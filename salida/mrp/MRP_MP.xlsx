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'MP_MATAFUEGOS_FABRICADOS'!$A$16:$E$113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3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0.2666</v>
      </c>
      <c r="AP17" s="22" t="n">
        <v>0.2615</v>
      </c>
      <c r="AQ17" s="22" t="n">
        <v>0.3071</v>
      </c>
      <c r="AR17" s="22" t="n">
        <v>0.2784</v>
      </c>
    </row>
    <row r="18">
      <c r="A18" s="2" t="inlineStr">
        <is>
          <t>Caño SAE 1010 Ø33,7 × 3,25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0.052</v>
      </c>
      <c r="AP18" s="22" t="n">
        <v>0.0553</v>
      </c>
      <c r="AQ18" s="22" t="n">
        <v>0.067</v>
      </c>
      <c r="AR18" s="22" t="n">
        <v>0.067</v>
      </c>
    </row>
    <row r="19">
      <c r="A19" s="2" t="inlineStr">
        <is>
          <t>Caño Ø76,2 × 1,25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Metalpri / Prilux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K19" s="22" t="n">
        <v>0.0435</v>
      </c>
    </row>
    <row r="20">
      <c r="A20" s="2" t="inlineStr">
        <is>
          <t>Chapa LAC 1500 × 3000 e=3,2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O20" s="22" t="n">
        <v>12.558</v>
      </c>
      <c r="AP20" s="22" t="n">
        <v>18.845</v>
      </c>
    </row>
    <row r="21">
      <c r="A21" s="2" t="inlineStr">
        <is>
          <t>Chapa LAC 1500 × 3000 e=4,75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Q21" s="22" t="n">
        <v>38.802</v>
      </c>
      <c r="AR21" s="22" t="n">
        <v>51.355</v>
      </c>
    </row>
    <row r="22">
      <c r="A22" s="2" t="inlineStr">
        <is>
          <t>Chapa LAF 1000 × 2000 e=1,6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M22" s="22" t="n">
        <v>2.092</v>
      </c>
    </row>
    <row r="23">
      <c r="A23" s="2" t="inlineStr">
        <is>
          <t>Chapa LAF 1220 × 2440 e=1,25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L23" s="22" t="n">
        <v>1.082</v>
      </c>
    </row>
    <row r="24">
      <c r="A24" s="2" t="inlineStr">
        <is>
          <t>Chapa LAF 1500 × 3000 e=2</t>
        </is>
      </c>
      <c r="B24" s="2" t="inlineStr">
        <is>
          <t>kg</t>
        </is>
      </c>
      <c r="C24" s="2" t="inlineStr">
        <is>
          <t>Materia prima</t>
        </is>
      </c>
      <c r="D24" s="2" t="inlineStr">
        <is>
          <t>Pradecon S.A.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N24" s="22" t="n">
        <v>4.71</v>
      </c>
    </row>
    <row r="25">
      <c r="A25" s="2" t="inlineStr">
        <is>
          <t>Fleje e=0,9 × 114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0.111</v>
      </c>
    </row>
    <row r="26">
      <c r="A26" s="2" t="inlineStr">
        <is>
          <t>Fleje e=1,25 × 106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K26" s="22" t="n">
        <v>0.103</v>
      </c>
    </row>
    <row r="27">
      <c r="A27" s="2" t="inlineStr">
        <is>
          <t>Fleje e=1,25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L27" s="22" t="n">
        <v>0.333</v>
      </c>
    </row>
    <row r="28">
      <c r="A28" s="2" t="inlineStr">
        <is>
          <t>Fleje e=1,6 × 200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0.18</v>
      </c>
    </row>
    <row r="29">
      <c r="A29" s="2" t="inlineStr">
        <is>
          <t>Fleje e=1,6 × 250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M29" s="22" t="n">
        <v>0.224</v>
      </c>
    </row>
    <row r="30">
      <c r="A30" s="2" t="inlineStr">
        <is>
          <t>Fleje e=1,6 × 300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0.261</v>
      </c>
    </row>
    <row r="31">
      <c r="A31" s="2" t="inlineStr">
        <is>
          <t>Fleje e=2 × 249</t>
        </is>
      </c>
      <c r="B31" s="2" t="inlineStr">
        <is>
          <t>m</t>
        </is>
      </c>
      <c r="C31" s="2" t="inlineStr">
        <is>
          <t>Materia prima</t>
        </is>
      </c>
      <c r="D31" s="2" t="inlineStr">
        <is>
          <t>Pacheco Chapas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0.208</v>
      </c>
    </row>
    <row r="32">
      <c r="A32" s="2" t="inlineStr">
        <is>
          <t>Redondo SAE 1045 Ø25</t>
        </is>
      </c>
      <c r="B32" s="2" t="inlineStr">
        <is>
          <t>barra 6 m</t>
        </is>
      </c>
      <c r="C32" s="2" t="inlineStr">
        <is>
          <t>Materia prima</t>
        </is>
      </c>
      <c r="D32" s="2" t="inlineStr">
        <is>
          <t>Hierros Parrotta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O32" s="22" t="n">
        <v>0.08</v>
      </c>
      <c r="AP32" s="22" t="n">
        <v>0.0833</v>
      </c>
      <c r="AQ32" s="22" t="n">
        <v>0.095</v>
      </c>
      <c r="AR32" s="22" t="n">
        <v>0.1083</v>
      </c>
    </row>
    <row r="33">
      <c r="A33" s="2" t="inlineStr">
        <is>
          <t>Cuello roscado — Ø29 × 12,5 de alto, rosca M22x1,5, asiento Ø26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K33" s="22" t="n">
        <v>1</v>
      </c>
    </row>
    <row r="34">
      <c r="A34" s="2" t="inlineStr">
        <is>
          <t>Cuello roscado — Ø36,8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N34" s="22" t="n">
        <v>1</v>
      </c>
    </row>
    <row r="35">
      <c r="A35" s="2" t="inlineStr">
        <is>
          <t>Cuello roscado — Ø37 × 14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L35" s="22" t="n">
        <v>1</v>
      </c>
    </row>
    <row r="36">
      <c r="A36" s="2" t="inlineStr">
        <is>
          <t>Cuello roscado — Ø37 × 15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M36" s="22" t="n">
        <v>1</v>
      </c>
    </row>
    <row r="37">
      <c r="A37" s="2" t="inlineStr">
        <is>
          <t>Cuello roscado — Ø37 × 35 de alto, rosca M30x1,5, asiento Ø35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O37" s="22" t="n">
        <v>1</v>
      </c>
    </row>
    <row r="38">
      <c r="A38" s="2" t="inlineStr">
        <is>
          <t>Cuello roscado — Ø88 × 37 de alto, rosca RBSP 2 1/2"-11 h, asiento Ø80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Eli-Met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P38" s="22" t="n">
        <v>1</v>
      </c>
      <c r="AQ38" s="22" t="n">
        <v>1</v>
      </c>
      <c r="AR38" s="22" t="n">
        <v>1</v>
      </c>
    </row>
    <row r="39">
      <c r="A39" s="2" t="inlineStr">
        <is>
          <t>Cúpula — Ø276,5 × e3,2 × 94,4 de alto; disco Ø358,3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Cúpula — Ø320 × e3,2 × 109,9 de alto; disco Ø410,8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Cúpula — Ø390 × e4,75 × 137,3 de alto; disco Ø507,3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" t="inlineStr">
        <is>
          <t>Fondo — Ø276,5 × e3,2 × 95 de alto; disco Ø362,5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O42" s="22" t="n">
        <v>1</v>
      </c>
    </row>
    <row r="43">
      <c r="A43" s="2" t="inlineStr">
        <is>
          <t>Fondo — Ø320 × e3,2 × 113 de alto; disco Ø423,5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P43" s="22" t="n">
        <v>1</v>
      </c>
    </row>
    <row r="44">
      <c r="A44" s="2" t="inlineStr">
        <is>
          <t>Fondo — Ø390 × e4,75 × 139,8 de alto; disco Ø518,1</t>
        </is>
      </c>
      <c r="B44" s="2" t="inlineStr">
        <is>
          <t>u</t>
        </is>
      </c>
      <c r="C44" s="2" t="inlineStr">
        <is>
          <t>Semielaborado comprado</t>
        </is>
      </c>
      <c r="D44" s="2" t="inlineStr">
        <is>
          <t>Gockel Ingeniería S.R.L.</t>
        </is>
      </c>
      <c r="E44" s="2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Q44" s="22" t="n">
        <v>1</v>
      </c>
      <c r="AR44" s="22" t="n">
        <v>1</v>
      </c>
    </row>
    <row r="45">
      <c r="A45" s="23" t="inlineStr">
        <is>
          <t>Arandelas de tope (4) — 4 × Ø40 × Ø26 × 4</t>
        </is>
      </c>
      <c r="B45" s="23" t="inlineStr">
        <is>
          <t>u</t>
        </is>
      </c>
      <c r="C45" s="23" t="inlineStr">
        <is>
          <t>Componente comprado</t>
        </is>
      </c>
      <c r="D45" s="23" t="inlineStr">
        <is>
          <t>Hierros Parrotta</t>
        </is>
      </c>
      <c r="E45" s="23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O45" s="22" t="n">
        <v>1</v>
      </c>
      <c r="AP45" s="22" t="n">
        <v>1</v>
      </c>
      <c r="AQ45" s="22" t="n">
        <v>1</v>
      </c>
      <c r="AR45" s="22" t="n">
        <v>1</v>
      </c>
    </row>
    <row r="46">
      <c r="A46" s="2" t="inlineStr">
        <is>
          <t>Junta tórica de asiento — Ø24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</row>
    <row r="47">
      <c r="A47" s="2" t="inlineStr">
        <is>
          <t>Junta tórica de asiento — Ø32,8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L47" s="22" t="n">
        <v>1</v>
      </c>
      <c r="AM47" s="22" t="n">
        <v>1</v>
      </c>
      <c r="AN47" s="22" t="n">
        <v>1</v>
      </c>
      <c r="AO47" s="22" t="n">
        <v>1</v>
      </c>
    </row>
    <row r="48">
      <c r="A48" s="2" t="inlineStr">
        <is>
          <t>Junta tórica de asiento — Ø78 ext. × cordón 3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Argensold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Manguera (tramo enrollado) — Ø25 × 1.037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O49" s="22" t="n">
        <v>1</v>
      </c>
    </row>
    <row r="50">
      <c r="A50" s="2" t="inlineStr">
        <is>
          <t>Manguera (tramo enrollado) — Ø25 × 1.305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P50" s="22" t="n">
        <v>1</v>
      </c>
    </row>
    <row r="51">
      <c r="A51" s="2" t="inlineStr">
        <is>
          <t>Manguera (tramo enrollado) — Ø25 × 1.371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Q51" s="22" t="n">
        <v>1</v>
      </c>
    </row>
    <row r="52">
      <c r="A52" s="2" t="inlineStr">
        <is>
          <t>Manguera (tramo enrollado) — Ø25 × 1.714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R52" s="22" t="n">
        <v>1</v>
      </c>
    </row>
    <row r="53">
      <c r="A53" s="2" t="inlineStr">
        <is>
          <t>Manguera — Ø16 × 1.698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O53" s="22" t="n">
        <v>1</v>
      </c>
    </row>
    <row r="54">
      <c r="A54" s="2" t="inlineStr">
        <is>
          <t>Manguera — Ø16 × 2.168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P54" s="22" t="n">
        <v>1</v>
      </c>
    </row>
    <row r="55">
      <c r="A55" s="2" t="inlineStr">
        <is>
          <t>Manguera — Ø16 × 2.398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Q55" s="22" t="n">
        <v>1</v>
      </c>
    </row>
    <row r="56">
      <c r="A56" s="2" t="inlineStr">
        <is>
          <t>Manguera — Ø16 × 2.871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R56" s="22" t="n">
        <v>1</v>
      </c>
    </row>
    <row r="57">
      <c r="A57" s="2" t="inlineStr">
        <is>
          <t>Manguera — Ø16 × 238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L57" s="22" t="n">
        <v>1</v>
      </c>
    </row>
    <row r="58">
      <c r="A58" s="2" t="inlineStr">
        <is>
          <t>Manguera — Ø16 × 329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M58" s="22" t="n">
        <v>1</v>
      </c>
    </row>
    <row r="59">
      <c r="A59" s="2" t="inlineStr">
        <is>
          <t>Manguera — Ø16 × 518 de largo desarrollado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N59" s="22" t="n">
        <v>1</v>
      </c>
    </row>
    <row r="60">
      <c r="A60" s="24" t="inlineStr">
        <is>
          <t>Manómetro — Ø36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</row>
    <row r="61">
      <c r="A61" s="24" t="inlineStr">
        <is>
          <t>Manómetro — Ø47 esfera, rango 0-3,5 MPa, sector verde en 1,4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Yukon / MatafuegosYa S.R.L.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1</v>
      </c>
      <c r="AP61" s="22" t="n">
        <v>1</v>
      </c>
      <c r="AQ61" s="22" t="n">
        <v>1</v>
      </c>
      <c r="AR61" s="22" t="n">
        <v>1</v>
      </c>
    </row>
    <row r="62">
      <c r="A62" s="24" t="inlineStr">
        <is>
          <t>Neumático macizo — Ø300 × 60 de ancho</t>
        </is>
      </c>
      <c r="B62" s="24" t="inlineStr">
        <is>
          <t>u</t>
        </is>
      </c>
      <c r="C62" s="24" t="inlineStr">
        <is>
          <t>Componente comprado</t>
        </is>
      </c>
      <c r="D62" s="24" t="inlineStr">
        <is>
          <t>Ruedar</t>
        </is>
      </c>
      <c r="E62" s="24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O62" s="22" t="n">
        <v>2</v>
      </c>
    </row>
    <row r="63">
      <c r="A63" s="2" t="inlineStr">
        <is>
          <t>Neumático macizo — Ø350 × 60 de ancho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Ruedar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P63" s="22" t="n">
        <v>2</v>
      </c>
      <c r="AQ63" s="22" t="n">
        <v>2</v>
      </c>
    </row>
    <row r="64">
      <c r="A64" s="2" t="inlineStr">
        <is>
          <t>Racor de manguera — 19,4 × 18,8 × 18,8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L64" s="22" t="n">
        <v>1</v>
      </c>
      <c r="AM64" s="22" t="n">
        <v>1</v>
      </c>
      <c r="AN64" s="22" t="n">
        <v>1</v>
      </c>
    </row>
    <row r="65">
      <c r="A65" s="2" t="inlineStr">
        <is>
          <t>Racor de manguera — 24 × 24 × 16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Yukon / MatafuegosYa S.R.L.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O65" s="22" t="n">
        <v>1</v>
      </c>
      <c r="AP65" s="22" t="n">
        <v>1</v>
      </c>
      <c r="AQ65" s="22" t="n">
        <v>1</v>
      </c>
      <c r="AR65" s="22" t="n">
        <v>1</v>
      </c>
    </row>
    <row r="66">
      <c r="A66" s="2" t="inlineStr">
        <is>
          <t>Rueda con cubierta neumática — Ø400 × 100 de ancho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Escanort S.A.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R66" s="22" t="n">
        <v>2</v>
      </c>
    </row>
    <row r="67">
      <c r="A67" s="2" t="inlineStr">
        <is>
          <t>Suncho portatobera — 137,6 × 127,6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L67" s="22" t="n">
        <v>1</v>
      </c>
    </row>
    <row r="68">
      <c r="A68" s="2" t="inlineStr">
        <is>
          <t>Suncho portatobera — 166,6 × 156,6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M68" s="22" t="n">
        <v>1</v>
      </c>
    </row>
    <row r="69">
      <c r="A69" s="2" t="inlineStr">
        <is>
          <t>Suncho portatobera — 195,1 × 185,1 × 14,4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N69" s="22" t="n">
        <v>1</v>
      </c>
    </row>
    <row r="70">
      <c r="A70" s="2" t="inlineStr">
        <is>
          <t>Tobera campana — 200 × 68 × 68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O70" s="22" t="n">
        <v>1</v>
      </c>
      <c r="AP70" s="22" t="n">
        <v>1</v>
      </c>
      <c r="AQ70" s="22" t="n">
        <v>1</v>
      </c>
      <c r="AR70" s="22" t="n">
        <v>1</v>
      </c>
    </row>
    <row r="71">
      <c r="A71" s="2" t="inlineStr">
        <is>
          <t>Tobera con portatobera — 73,5 × 19,9 × 19,9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L71" s="22" t="n">
        <v>1</v>
      </c>
      <c r="AM71" s="22" t="n">
        <v>1</v>
      </c>
      <c r="AN71" s="22" t="n">
        <v>1</v>
      </c>
    </row>
    <row r="72">
      <c r="A72" s="2" t="inlineStr">
        <is>
          <t>Tobera — 12 × 12 × 10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Yukon / MatafuegosYa S.R.L.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M-22 1 kg c/tubo de pesca plástico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K73" s="22" t="n">
        <v>1</v>
      </c>
    </row>
    <row r="74">
      <c r="A74" s="2" t="inlineStr">
        <is>
          <t>Válvula HZ armada M-30 c/resorte y tubo 7/8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L74" s="22" t="n">
        <v>1</v>
      </c>
      <c r="AM74" s="22" t="n">
        <v>1</v>
      </c>
      <c r="AN74" s="22" t="n">
        <v>1</v>
      </c>
    </row>
    <row r="75">
      <c r="A75" s="2" t="inlineStr">
        <is>
          <t>Válvula HZ armada de carro 25 kg c/traba, manija y resorte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O75" s="22" t="n">
        <v>1</v>
      </c>
    </row>
    <row r="76">
      <c r="A76" s="2" t="inlineStr">
        <is>
          <t>Válvula HZ armada de carro 50-70-100 kg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Polvex S.R.L. / Sancibrao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P76" s="22" t="n">
        <v>1</v>
      </c>
      <c r="AQ76" s="22" t="n">
        <v>1</v>
      </c>
      <c r="AR76" s="22" t="n">
        <v>1</v>
      </c>
    </row>
    <row r="77">
      <c r="A77" s="2" t="inlineStr">
        <is>
          <t>Válvula esférica — 110 × 60 × 40</t>
        </is>
      </c>
      <c r="B77" s="2" t="inlineStr">
        <is>
          <t>u</t>
        </is>
      </c>
      <c r="C77" s="2" t="inlineStr">
        <is>
          <t>Componente comprado</t>
        </is>
      </c>
      <c r="D77" s="2" t="inlineStr">
        <is>
          <t>Yukon / MatafuegosYa S.R.L.</t>
        </is>
      </c>
      <c r="E77" s="2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O77" s="22" t="n">
        <v>1</v>
      </c>
      <c r="AP77" s="22" t="n">
        <v>1</v>
      </c>
      <c r="AQ77" s="22" t="n">
        <v>1</v>
      </c>
      <c r="AR77" s="22" t="n">
        <v>1</v>
      </c>
    </row>
    <row r="78">
      <c r="A78" s="23" t="inlineStr">
        <is>
          <t>Alambre MAG ER70S-6 Ø0,9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K78" s="22" t="n">
        <v>0.0146</v>
      </c>
      <c r="AL78" s="22" t="n">
        <v>0.0292</v>
      </c>
      <c r="AM78" s="22" t="n">
        <v>0.0551</v>
      </c>
      <c r="AN78" s="22" t="n">
        <v>0.0985</v>
      </c>
    </row>
    <row r="79">
      <c r="A79" s="23" t="inlineStr">
        <is>
          <t>Alambre MAG ER70S-6 Ø1,0 (AWS A5.18)</t>
        </is>
      </c>
      <c r="B79" s="23" t="inlineStr">
        <is>
          <t>kg</t>
        </is>
      </c>
      <c r="C79" s="23" t="inlineStr">
        <is>
          <t>Consumible de proceso</t>
        </is>
      </c>
      <c r="D79" s="23" t="inlineStr">
        <is>
          <t>Conarco (ESAB Argentina)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O79" s="22" t="n">
        <v>0.3431</v>
      </c>
      <c r="AP79" s="22" t="n">
        <v>0.4262</v>
      </c>
      <c r="AQ79" s="22" t="n">
        <v>1.0749</v>
      </c>
      <c r="AR79" s="22" t="n">
        <v>1.0956</v>
      </c>
    </row>
    <row r="80">
      <c r="A80" s="23" t="inlineStr">
        <is>
          <t>Gas de protección MAG Arcal 21 / ARCAL Speed (Ar + 8 % CO₂, M20)</t>
        </is>
      </c>
      <c r="B80" s="23" t="inlineStr">
        <is>
          <t>L</t>
        </is>
      </c>
      <c r="C80" s="23" t="inlineStr">
        <is>
          <t>Consumible de proceso</t>
        </is>
      </c>
      <c r="D80" s="23" t="inlineStr">
        <is>
          <t>Air Liquide Argentina - sucursal Piñeyro</t>
        </is>
      </c>
      <c r="E80" s="23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13.3</v>
      </c>
      <c r="AL80" s="22" t="n">
        <v>27.1</v>
      </c>
      <c r="AM80" s="22" t="n">
        <v>32.8</v>
      </c>
      <c r="AN80" s="22" t="n">
        <v>40.8</v>
      </c>
      <c r="AO80" s="22" t="n">
        <v>54.8</v>
      </c>
      <c r="AP80" s="22" t="n">
        <v>68.3</v>
      </c>
      <c r="AQ80" s="22" t="n">
        <v>79.5</v>
      </c>
      <c r="AR80" s="22" t="n">
        <v>84.59999999999999</v>
      </c>
    </row>
    <row r="81">
      <c r="A81" s="25" t="inlineStr">
        <is>
          <t>Granalla de acero S330 / S390 (ISO 11124-3, SAE J444)</t>
        </is>
      </c>
      <c r="B81" s="25" t="inlineStr">
        <is>
          <t>kg</t>
        </is>
      </c>
      <c r="C81" s="25" t="inlineStr">
        <is>
          <t>Consumible de proceso</t>
        </is>
      </c>
      <c r="D81" s="25" t="inlineStr">
        <is>
          <t>CyM Materiales</t>
        </is>
      </c>
      <c r="E81" s="25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0.08</v>
      </c>
      <c r="AL81" s="22" t="n">
        <v>0.08</v>
      </c>
      <c r="AM81" s="22" t="n">
        <v>0.08</v>
      </c>
      <c r="AN81" s="22" t="n">
        <v>0.08</v>
      </c>
    </row>
    <row r="82">
      <c r="A82" s="2" t="inlineStr">
        <is>
          <t>Servicio de pintura en polvo al horno, rojo 03-1-050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Prymax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K82" s="22" t="n">
        <v>1</v>
      </c>
      <c r="AL82" s="22" t="n">
        <v>1</v>
      </c>
      <c r="AM82" s="22" t="n">
        <v>1</v>
      </c>
      <c r="AN82" s="22" t="n">
        <v>1</v>
      </c>
    </row>
    <row r="83">
      <c r="A83" s="2" t="inlineStr">
        <is>
          <t>Servicio de pintura en polvo al horno, rojo 03-1-050 (con preparación por quemado)</t>
        </is>
      </c>
      <c r="B83" s="2" t="inlineStr">
        <is>
          <t>u</t>
        </is>
      </c>
      <c r="C83" s="2" t="inlineStr">
        <is>
          <t>Servicio</t>
        </is>
      </c>
      <c r="D83" s="2" t="inlineStr">
        <is>
          <t>Pintor de carros (cotización por mensaje)</t>
        </is>
      </c>
      <c r="E83" s="2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O83" s="22" t="n">
        <v>1</v>
      </c>
      <c r="AP83" s="22" t="n">
        <v>1</v>
      </c>
      <c r="AQ83" s="22" t="n">
        <v>1</v>
      </c>
      <c r="AR83" s="22" t="n">
        <v>1</v>
      </c>
    </row>
    <row r="84">
      <c r="A84" s="23" t="inlineStr">
        <is>
          <t>Gas impulsor: N₂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Air Liquide Argentina - sucursal Piñeyro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0.0047</v>
      </c>
      <c r="AL84" s="22" t="n">
        <v>0.0212</v>
      </c>
      <c r="AM84" s="22" t="n">
        <v>0.0251</v>
      </c>
      <c r="AN84" s="22" t="n">
        <v>0.0588</v>
      </c>
      <c r="AO84" s="22" t="n">
        <v>0.2013</v>
      </c>
      <c r="AP84" s="22" t="n">
        <v>0.2819</v>
      </c>
      <c r="AQ84" s="22" t="n">
        <v>0.5581</v>
      </c>
      <c r="AR84" s="22" t="n">
        <v>0.5189</v>
      </c>
    </row>
    <row r="85">
      <c r="A85" s="23" t="inlineStr">
        <is>
          <t>Polvo químico seco ABC 60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K85" s="22" t="n">
        <v>1.05</v>
      </c>
      <c r="AL85" s="22" t="n">
        <v>2.55</v>
      </c>
      <c r="AM85" s="22" t="n">
        <v>5.15</v>
      </c>
      <c r="AN85" s="22" t="n">
        <v>10.15</v>
      </c>
    </row>
    <row r="86">
      <c r="A86" s="23" t="inlineStr">
        <is>
          <t>Polvo químico seco ABC 90 (Sello IRAM 3569)</t>
        </is>
      </c>
      <c r="B86" s="23" t="inlineStr">
        <is>
          <t>kg</t>
        </is>
      </c>
      <c r="C86" s="23" t="inlineStr">
        <is>
          <t>Carga (agente y gas)</t>
        </is>
      </c>
      <c r="D86" s="23" t="inlineStr">
        <is>
          <t>DEM S.A. (DEMSA)</t>
        </is>
      </c>
      <c r="E86" s="23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O86" s="22" t="n">
        <v>25</v>
      </c>
      <c r="AP86" s="22" t="n">
        <v>50</v>
      </c>
      <c r="AQ86" s="22" t="n">
        <v>70</v>
      </c>
      <c r="AR86" s="22" t="n">
        <v>100</v>
      </c>
    </row>
    <row r="87">
      <c r="A87" s="2" t="inlineStr">
        <is>
          <t>Estampilla IRAM de conformidad — 60 × 40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IRAM - Instituto Argentino de Normalización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  <c r="AL87" s="22" t="n">
        <v>1</v>
      </c>
      <c r="AM87" s="22" t="n">
        <v>1</v>
      </c>
      <c r="AN87" s="22" t="n">
        <v>1</v>
      </c>
      <c r="AO87" s="22" t="n">
        <v>1</v>
      </c>
      <c r="AP87" s="22" t="n">
        <v>1</v>
      </c>
      <c r="AQ87" s="22" t="n">
        <v>1</v>
      </c>
      <c r="AR87" s="22" t="n">
        <v>1</v>
      </c>
    </row>
    <row r="88">
      <c r="A88" s="2" t="inlineStr">
        <is>
          <t>Etiqueta / placa de características — 168 × 137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K88" s="22" t="n">
        <v>1</v>
      </c>
    </row>
    <row r="89">
      <c r="A89" s="2" t="inlineStr">
        <is>
          <t>Etiqueta / placa de características — 234 × 152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L89" s="22" t="n">
        <v>1</v>
      </c>
    </row>
    <row r="90">
      <c r="A90" s="2" t="inlineStr">
        <is>
          <t>Etiqueta / placa de características — 289 × 144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M90" s="22" t="n">
        <v>1</v>
      </c>
    </row>
    <row r="91">
      <c r="A91" s="2" t="inlineStr">
        <is>
          <t>Etiqueta / placa de características — 343 × 224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N91" s="22" t="n">
        <v>1</v>
      </c>
    </row>
    <row r="92">
      <c r="A92" s="2" t="inlineStr">
        <is>
          <t>Etiqueta / placa de características — 522 × 210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O92" s="22" t="n">
        <v>1</v>
      </c>
    </row>
    <row r="93">
      <c r="A93" s="2" t="inlineStr">
        <is>
          <t>Etiqueta / placa de características — 604 × 207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P93" s="22" t="n">
        <v>1</v>
      </c>
    </row>
    <row r="94">
      <c r="A94" s="2" t="inlineStr">
        <is>
          <t>Etiqueta / placa de características — 736 × 214 (desarrollo × alto: panel central 108° + 2 alas laterales), e ≈ 0,3, laminado UV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Q94" s="22" t="n">
        <v>1</v>
      </c>
      <c r="AR94" s="22" t="n">
        <v>1</v>
      </c>
    </row>
    <row r="95">
      <c r="A95" s="2" t="inlineStr">
        <is>
          <t>Etiqueta de n° de serie GS1 — 45 × 25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Faja de garantía válvula-cuello — 30 × 40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Astuprint</t>
        </is>
      </c>
      <c r="E96" s="2" t="inlineStr">
        <is>
          <t>Todos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  <c r="AL96" s="22" t="n">
        <v>1</v>
      </c>
      <c r="AM96" s="22" t="n">
        <v>1</v>
      </c>
      <c r="AN96" s="22" t="n">
        <v>1</v>
      </c>
      <c r="AO96" s="22" t="n">
        <v>1</v>
      </c>
      <c r="AP96" s="22" t="n">
        <v>1</v>
      </c>
      <c r="AQ96" s="22" t="n">
        <v>1</v>
      </c>
      <c r="AR96" s="22" t="n">
        <v>1</v>
      </c>
    </row>
    <row r="97">
      <c r="A97" s="2" t="inlineStr">
        <is>
          <t>Oblea de fabricación (PBA) — Ø46 (Res. OPDS 522/07), numerada, autodestructible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Ministerio de Ambiente PBA (ex OPDS)</t>
        </is>
      </c>
      <c r="E97" s="2" t="inlineStr">
        <is>
          <t>PBA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K97" s="22" t="n">
        <v>1</v>
      </c>
      <c r="AL97" s="22" t="n">
        <v>1</v>
      </c>
      <c r="AM97" s="22" t="n">
        <v>1</v>
      </c>
      <c r="AN97" s="22" t="n">
        <v>1</v>
      </c>
      <c r="AO97" s="22" t="n">
        <v>1</v>
      </c>
      <c r="AP97" s="22" t="n">
        <v>1</v>
      </c>
      <c r="AQ97" s="22" t="n">
        <v>1</v>
      </c>
      <c r="AR97" s="22" t="n">
        <v>1</v>
      </c>
    </row>
    <row r="98">
      <c r="A98" s="2" t="inlineStr">
        <is>
          <t>Precinto de fábrica — Ø5 × 10, numerado, rotura 30-50 N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SonFuertes (vía Papelera Damián)</t>
        </is>
      </c>
      <c r="E98" s="2" t="inlineStr">
        <is>
          <t>Todos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K98" s="22" t="n">
        <v>1</v>
      </c>
      <c r="AL98" s="22" t="n">
        <v>1</v>
      </c>
      <c r="AM98" s="22" t="n">
        <v>1</v>
      </c>
      <c r="AN98" s="22" t="n">
        <v>1</v>
      </c>
      <c r="AO98" s="22" t="n">
        <v>1</v>
      </c>
      <c r="AP98" s="22" t="n">
        <v>1</v>
      </c>
      <c r="AQ98" s="22" t="n">
        <v>1</v>
      </c>
      <c r="AR98" s="22" t="n">
        <v>1</v>
      </c>
    </row>
    <row r="99">
      <c r="A99" s="2" t="inlineStr">
        <is>
          <t>Tarjeta de identificación AGC (CABA) — 140 × 55</t>
        </is>
      </c>
      <c r="B99" s="2" t="inlineStr">
        <is>
          <t>u</t>
        </is>
      </c>
      <c r="C99" s="2" t="inlineStr">
        <is>
          <t>Identificación</t>
        </is>
      </c>
      <c r="D99" s="2" t="inlineStr">
        <is>
          <t>Agencia Gubernamental de Control (CABA)</t>
        </is>
      </c>
      <c r="E99" s="2" t="inlineStr">
        <is>
          <t>CABA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L99" s="22" t="n">
        <v>1</v>
      </c>
      <c r="AM99" s="22" t="n">
        <v>1</v>
      </c>
      <c r="AN99" s="22" t="n">
        <v>1</v>
      </c>
      <c r="AO99" s="22" t="n">
        <v>1</v>
      </c>
      <c r="AP99" s="22" t="n">
        <v>1</v>
      </c>
      <c r="AQ99" s="22" t="n">
        <v>1</v>
      </c>
      <c r="AR99" s="22" t="n">
        <v>1</v>
      </c>
    </row>
    <row r="100">
      <c r="A100" s="2" t="inlineStr">
        <is>
          <t>Soporte de pared (FL_ACC_01)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Maxiseguridad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L100" s="22" t="n">
        <v>1</v>
      </c>
      <c r="AM100" s="22" t="n">
        <v>1</v>
      </c>
      <c r="AN100" s="22" t="n">
        <v>1</v>
      </c>
    </row>
    <row r="101">
      <c r="A101" s="2" t="inlineStr">
        <is>
          <t>Soporte vehicular con cierre rápido (FL_ACC_02)</t>
        </is>
      </c>
      <c r="B101" s="2" t="inlineStr">
        <is>
          <t>u</t>
        </is>
      </c>
      <c r="C101" s="2" t="inlineStr">
        <is>
          <t>Soporte</t>
        </is>
      </c>
      <c r="D101" s="2" t="inlineStr">
        <is>
          <t>Maxiseguridad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K101" s="22" t="n">
        <v>1</v>
      </c>
    </row>
    <row r="102">
      <c r="A102" s="2" t="inlineStr">
        <is>
          <t>Tornillo y tarugo de fijación</t>
        </is>
      </c>
      <c r="B102" s="2" t="inlineStr">
        <is>
          <t>u</t>
        </is>
      </c>
      <c r="C102" s="2" t="inlineStr">
        <is>
          <t>Soporte</t>
        </is>
      </c>
      <c r="D102" s="2" t="inlineStr">
        <is>
          <t>Würth Argentina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L102" s="22" t="n">
        <v>2</v>
      </c>
      <c r="AM102" s="22" t="n">
        <v>2</v>
      </c>
      <c r="AN102" s="22" t="n">
        <v>2</v>
      </c>
    </row>
    <row r="103">
      <c r="A103" s="2" t="inlineStr">
        <is>
          <t>Caja de cartón corrugado doble — 258 × 215 × 628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Todos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N103" s="22" t="n">
        <v>1</v>
      </c>
    </row>
    <row r="104">
      <c r="A104" s="2" t="inlineStr">
        <is>
          <t>Caja de cartón corrugado simple — 160 × 107 × 347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K104" s="22" t="n">
        <v>1</v>
      </c>
    </row>
    <row r="105">
      <c r="A105" s="2" t="inlineStr">
        <is>
          <t>Caja de cartón corrugado simple — 229 × 158 × 379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L105" s="22" t="n">
        <v>1</v>
      </c>
    </row>
    <row r="106">
      <c r="A106" s="2" t="inlineStr">
        <is>
          <t>Caja de cartón corrugado simple — 244 × 187 × 455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M106" s="22" t="n">
        <v>1</v>
      </c>
    </row>
    <row r="107">
      <c r="A107" s="23" t="inlineStr">
        <is>
          <t>Cinta de embalaje PP 48 mm (cierre de la caja)</t>
        </is>
      </c>
      <c r="B107" s="23" t="inlineStr">
        <is>
          <t>m</t>
        </is>
      </c>
      <c r="C107" s="23" t="inlineStr">
        <is>
          <t>Embalaje</t>
        </is>
      </c>
      <c r="D107" s="23" t="inlineStr">
        <is>
          <t>MV Embalajes</t>
        </is>
      </c>
      <c r="E107" s="23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0.6</v>
      </c>
      <c r="AL107" s="22" t="n">
        <v>0.738</v>
      </c>
      <c r="AM107" s="22" t="n">
        <v>0.767</v>
      </c>
      <c r="AN107" s="22" t="n">
        <v>0.796</v>
      </c>
    </row>
    <row r="108">
      <c r="A108" s="2" t="inlineStr">
        <is>
          <t>Esquineros de cartón 50 × 50 × 1200 (fracción del pallet)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K108" s="22" t="n">
        <v>0.0152</v>
      </c>
      <c r="AL108" s="22" t="n">
        <v>0.0444</v>
      </c>
      <c r="AM108" s="22" t="n">
        <v>0.0556</v>
      </c>
      <c r="AN108" s="22" t="n">
        <v>0.125</v>
      </c>
    </row>
    <row r="109">
      <c r="A109" s="2" t="inlineStr">
        <is>
          <t>Esquineros y funda de polietileno — a medida de la envolvente del plano</t>
        </is>
      </c>
      <c r="B109" s="2" t="inlineStr">
        <is>
          <t>jgo</t>
        </is>
      </c>
      <c r="C109" s="2" t="inlineStr">
        <is>
          <t>Embalaje</t>
        </is>
      </c>
      <c r="D109" s="2" t="inlineStr">
        <is>
          <t>MV Embalajes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O109" s="22" t="n">
        <v>1</v>
      </c>
      <c r="AP109" s="22" t="n">
        <v>1</v>
      </c>
      <c r="AQ109" s="22" t="n">
        <v>1</v>
      </c>
      <c r="AR109" s="22" t="n">
        <v>1</v>
      </c>
    </row>
    <row r="110">
      <c r="A110" s="2" t="inlineStr">
        <is>
          <t>Etiqueta de pallet (lote y destino, fracción)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Astuprint</t>
        </is>
      </c>
      <c r="E110" s="2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0.0038</v>
      </c>
      <c r="AL110" s="22" t="n">
        <v>0.0111</v>
      </c>
      <c r="AM110" s="22" t="n">
        <v>0.0139</v>
      </c>
      <c r="AN110" s="22" t="n">
        <v>0.0312</v>
      </c>
      <c r="AO110" s="22" t="n">
        <v>0.5</v>
      </c>
      <c r="AP110" s="22" t="n">
        <v>0.5</v>
      </c>
      <c r="AQ110" s="22" t="n">
        <v>0.5</v>
      </c>
      <c r="AR110" s="22" t="n">
        <v>1</v>
      </c>
    </row>
    <row r="111">
      <c r="A111" s="23" t="inlineStr">
        <is>
          <t>Film stretch (fracción del pallet)</t>
        </is>
      </c>
      <c r="B111" s="23" t="inlineStr">
        <is>
          <t>kg</t>
        </is>
      </c>
      <c r="C111" s="23" t="inlineStr">
        <is>
          <t>Embalaje</t>
        </is>
      </c>
      <c r="D111" s="23" t="inlineStr">
        <is>
          <t>MV Embalajes</t>
        </is>
      </c>
      <c r="E111" s="23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0.0005</v>
      </c>
      <c r="AL111" s="22" t="n">
        <v>0.0013</v>
      </c>
      <c r="AM111" s="22" t="n">
        <v>0.0017</v>
      </c>
      <c r="AN111" s="22" t="n">
        <v>0.0037</v>
      </c>
      <c r="AO111" s="22" t="n">
        <v>0.06</v>
      </c>
      <c r="AP111" s="22" t="n">
        <v>0.06</v>
      </c>
      <c r="AQ111" s="22" t="n">
        <v>0.06</v>
      </c>
      <c r="AR111" s="22" t="n">
        <v>0.12</v>
      </c>
    </row>
    <row r="112">
      <c r="A112" s="2" t="inlineStr">
        <is>
          <t>Instructivo de uso y mantenimiento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Astuprint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1</v>
      </c>
      <c r="AL112" s="22" t="n">
        <v>1</v>
      </c>
      <c r="AM112" s="22" t="n">
        <v>1</v>
      </c>
      <c r="AN112" s="22" t="n">
        <v>1</v>
      </c>
    </row>
    <row r="113">
      <c r="A113" s="2" t="inlineStr">
        <is>
          <t>Pallet 1200 × 1000 (fracción)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IndusPallets</t>
        </is>
      </c>
      <c r="E113" s="2" t="inlineStr">
        <is>
          <t>Todos</t>
        </is>
      </c>
      <c r="F113" s="21">
        <f>SUMPRODUCT($AK113:$AR113,$AK$5:$AR$5)*IF($E113="CABA",'Parametros'!B$7,IF($E113="PBA",1-'Parametros'!B$7,1))</f>
        <v/>
      </c>
      <c r="G113" s="21">
        <f>SUMPRODUCT($AK113:$AR113,$AK$6:$AR$6)*IF($E113="CABA",'Parametros'!C$7,IF($E113="PBA",1-'Parametros'!C$7,1))</f>
        <v/>
      </c>
      <c r="H113" s="21">
        <f>SUMPRODUCT($AK113:$AR113,$AK$7:$AR$7)*IF($E113="CABA",'Parametros'!D$7,IF($E113="PBA",1-'Parametros'!D$7,1))</f>
        <v/>
      </c>
      <c r="I113" s="21">
        <f>SUMPRODUCT($AK113:$AR113,$AK$8:$AR$8)*IF($E113="CABA",'Parametros'!E$7,IF($E113="PBA",1-'Parametros'!E$7,1))</f>
        <v/>
      </c>
      <c r="J113" s="21">
        <f>SUMPRODUCT($AK113:$AR113,$AK$9:$AR$9)*IF($E113="CABA",'Parametros'!F$7,IF($E113="PBA",1-'Parametros'!F$7,1))</f>
        <v/>
      </c>
      <c r="K113" s="21">
        <f>SUMPRODUCT($AK113:$AR113,$AK$10:$AR$10)*IF($E113="CABA",'Parametros'!G$7,IF($E113="PBA",1-'Parametros'!G$7,1))</f>
        <v/>
      </c>
      <c r="L113" s="21">
        <f>SUMPRODUCT($AK113:$AR113,$AK$11:$AR$11)*IF($E113="CABA",'Parametros'!H$7,IF($E113="PBA",1-'Parametros'!H$7,1))</f>
        <v/>
      </c>
      <c r="M113" s="21">
        <f>SUMPRODUCT($AK113:$AR113,$AK$12:$AR$12)*IF($E113="CABA",'Parametros'!I$7,IF($E113="PBA",1-'Parametros'!I$7,1))</f>
        <v/>
      </c>
      <c r="N113" s="21">
        <f>SUMPRODUCT($AK113:$AR113,$AK$13:$AR$13)*IF($E113="CABA",'Parametros'!J$7,IF($E113="PBA",1-'Parametros'!J$7,1))</f>
        <v/>
      </c>
      <c r="O113" s="21">
        <f>SUMPRODUCT($AK113:$AR113,$AK$14:$AR$14)*IF($E113="CABA",'Parametros'!K$7,IF($E113="PBA",1-'Parametros'!K$7,1))</f>
        <v/>
      </c>
      <c r="AK113" s="22" t="n">
        <v>0.0038</v>
      </c>
      <c r="AL113" s="22" t="n">
        <v>0.0111</v>
      </c>
      <c r="AM113" s="22" t="n">
        <v>0.0139</v>
      </c>
      <c r="AN113" s="22" t="n">
        <v>0.0312</v>
      </c>
      <c r="AO113" s="22" t="n">
        <v>0.5</v>
      </c>
      <c r="AP113" s="22" t="n">
        <v>0.5</v>
      </c>
      <c r="AQ113" s="22" t="n">
        <v>0.5</v>
      </c>
      <c r="AR113" s="22" t="n">
        <v>1</v>
      </c>
    </row>
  </sheetData>
  <autoFilter ref="A16:E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Ø1,0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SAE 1010 Ø33,7 × 3,25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</t>
        </is>
      </c>
      <c r="F6" s="21">
        <f>SUMIFS('MP_MATAFUEGOS_FABRICADOS'!F:F,'MP_MATAFUEGOS_FABRICADOS'!$A:$A,$A6,'MP_MATAFUEGOS_FABRICADOS'!$B:$B,$B6)</f>
        <v/>
      </c>
      <c r="G6" s="21">
        <f>SUMIFS('MP_MATAFUEGOS_FABRICADOS'!G:G,'MP_MATAFUEGOS_FABRICADOS'!$A:$A,$A6,'MP_MATAFUEGOS_FABRICADOS'!$B:$B,$B6)</f>
        <v/>
      </c>
      <c r="H6" s="21">
        <f>SUMIFS('MP_MATAFUEGOS_FABRICADOS'!H:H,'MP_MATAFUEGOS_FABRICADOS'!$A:$A,$A6,'MP_MATAFUEGOS_FABRICADOS'!$B:$B,$B6)</f>
        <v/>
      </c>
      <c r="I6" s="21">
        <f>SUMIFS('MP_MATAFUEGOS_FABRICADOS'!I:I,'MP_MATAFUEGOS_FABRICADOS'!$A:$A,$A6,'MP_MATAFUEGOS_FABRICADOS'!$B:$B,$B6)</f>
        <v/>
      </c>
      <c r="J6" s="21">
        <f>SUMIFS('MP_MATAFUEGOS_FABRICADOS'!J:J,'MP_MATAFUEGOS_FABRICADOS'!$A:$A,$A6,'MP_MATAFUEGOS_FABRICADOS'!$B:$B,$B6)</f>
        <v/>
      </c>
      <c r="K6" s="21">
        <f>SUMIFS('MP_MATAFUEGOS_FABRICADOS'!K:K,'MP_MATAFUEGOS_FABRICADOS'!$A:$A,$A6,'MP_MATAFUEGOS_FABRICADOS'!$B:$B,$B6)</f>
        <v/>
      </c>
      <c r="L6" s="21">
        <f>SUMIFS('MP_MATAFUEGOS_FABRICADOS'!L:L,'MP_MATAFUEGOS_FABRICADOS'!$A:$A,$A6,'MP_MATAFUEGOS_FABRICADOS'!$B:$B,$B6)</f>
        <v/>
      </c>
      <c r="M6" s="21">
        <f>SUMIFS('MP_MATAFUEGOS_FABRICADOS'!M:M,'MP_MATAFUEGOS_FABRICADOS'!$A:$A,$A6,'MP_MATAFUEGOS_FABRICADOS'!$B:$B,$B6)</f>
        <v/>
      </c>
      <c r="N6" s="21">
        <f>SUMIFS('MP_MATAFUEGOS_FABRICADOS'!N:N,'MP_MATAFUEGOS_FABRICADOS'!$A:$A,$A6,'MP_MATAFUEGOS_FABRICADOS'!$B:$B,$B6)</f>
        <v/>
      </c>
      <c r="O6" s="21">
        <f>SUMIFS('MP_MATAFUEGOS_FABRICADOS'!O:O,'MP_MATAFUEGOS_FABRICADOS'!$A:$A,$A6,'MP_MATAFUEGOS_FABRICADOS'!$B:$B,$B6)</f>
        <v/>
      </c>
    </row>
    <row r="7">
      <c r="A7" s="2" t="inlineStr">
        <is>
          <t>Caño Ø76,2 × 1,25</t>
        </is>
      </c>
      <c r="B7" s="2" t="inlineStr">
        <is>
          <t>barra 6 m</t>
        </is>
      </c>
      <c r="C7" s="2" t="inlineStr">
        <is>
          <t>Materia prima</t>
        </is>
      </c>
      <c r="D7" s="2" t="inlineStr">
        <is>
          <t>Metalpri / Prilux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e=3,2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LAC 1500 × 3000 e=4,75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1000 × 2000 e=1,6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1220 × 2440 e=1,25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Chapa LAF 1500 × 3000 e=2</t>
        </is>
      </c>
      <c r="B12" s="2" t="inlineStr">
        <is>
          <t>kg</t>
        </is>
      </c>
      <c r="C12" s="2" t="inlineStr">
        <is>
          <t>Materia prima</t>
        </is>
      </c>
      <c r="D12" s="2" t="inlineStr">
        <is>
          <t>Pradecon S.A.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e=0,9 × 114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106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e=1,25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200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250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e=1,6 × 300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Fleje e=2 × 249</t>
        </is>
      </c>
      <c r="B19" s="2" t="inlineStr">
        <is>
          <t>m</t>
        </is>
      </c>
      <c r="C19" s="2" t="inlineStr">
        <is>
          <t>Materia prima</t>
        </is>
      </c>
      <c r="D19" s="2" t="inlineStr">
        <is>
          <t>Pacheco Chapas</t>
        </is>
      </c>
      <c r="E19" s="2" t="inlineStr">
        <is>
          <t>MP_MATAFUEGOS_FABRICADOS, MP_CILINDROS</t>
        </is>
      </c>
      <c r="F19" s="21">
        <f>SUMIFS('MP_MATAFUEGOS_FABRICADOS'!F:F,'MP_MATAFUEGOS_FABRICADOS'!$A:$A,$A19,'MP_MATAFUEGOS_FABRICADOS'!$B:$B,$B19)+SUMIFS('MP_CILINDROS'!F:F,'MP_CILINDROS'!$A:$A,$A19,'MP_CILINDROS'!$B:$B,$B19)</f>
        <v/>
      </c>
      <c r="G19" s="21">
        <f>SUMIFS('MP_MATAFUEGOS_FABRICADOS'!G:G,'MP_MATAFUEGOS_FABRICADOS'!$A:$A,$A19,'MP_MATAFUEGOS_FABRICADOS'!$B:$B,$B19)+SUMIFS('MP_CILINDROS'!G:G,'MP_CILINDROS'!$A:$A,$A19,'MP_CILINDROS'!$B:$B,$B19)</f>
        <v/>
      </c>
      <c r="H19" s="21">
        <f>SUMIFS('MP_MATAFUEGOS_FABRICADOS'!H:H,'MP_MATAFUEGOS_FABRICADOS'!$A:$A,$A19,'MP_MATAFUEGOS_FABRICADOS'!$B:$B,$B19)+SUMIFS('MP_CILINDROS'!H:H,'MP_CILINDROS'!$A:$A,$A19,'MP_CILINDROS'!$B:$B,$B19)</f>
        <v/>
      </c>
      <c r="I19" s="21">
        <f>SUMIFS('MP_MATAFUEGOS_FABRICADOS'!I:I,'MP_MATAFUEGOS_FABRICADOS'!$A:$A,$A19,'MP_MATAFUEGOS_FABRICADOS'!$B:$B,$B19)+SUMIFS('MP_CILINDROS'!I:I,'MP_CILINDROS'!$A:$A,$A19,'MP_CILINDROS'!$B:$B,$B19)</f>
        <v/>
      </c>
      <c r="J19" s="21">
        <f>SUMIFS('MP_MATAFUEGOS_FABRICADOS'!J:J,'MP_MATAFUEGOS_FABRICADOS'!$A:$A,$A19,'MP_MATAFUEGOS_FABRICADOS'!$B:$B,$B19)+SUMIFS('MP_CILINDROS'!J:J,'MP_CILINDROS'!$A:$A,$A19,'MP_CILINDROS'!$B:$B,$B19)</f>
        <v/>
      </c>
      <c r="K19" s="21">
        <f>SUMIFS('MP_MATAFUEGOS_FABRICADOS'!K:K,'MP_MATAFUEGOS_FABRICADOS'!$A:$A,$A19,'MP_MATAFUEGOS_FABRICADOS'!$B:$B,$B19)+SUMIFS('MP_CILINDROS'!K:K,'MP_CILINDROS'!$A:$A,$A19,'MP_CILINDROS'!$B:$B,$B19)</f>
        <v/>
      </c>
      <c r="L19" s="21">
        <f>SUMIFS('MP_MATAFUEGOS_FABRICADOS'!L:L,'MP_MATAFUEGOS_FABRICADOS'!$A:$A,$A19,'MP_MATAFUEGOS_FABRICADOS'!$B:$B,$B19)+SUMIFS('MP_CILINDROS'!L:L,'MP_CILINDROS'!$A:$A,$A19,'MP_CILINDROS'!$B:$B,$B19)</f>
        <v/>
      </c>
      <c r="M19" s="21">
        <f>SUMIFS('MP_MATAFUEGOS_FABRICADOS'!M:M,'MP_MATAFUEGOS_FABRICADOS'!$A:$A,$A19,'MP_MATAFUEGOS_FABRICADOS'!$B:$B,$B19)+SUMIFS('MP_CILINDROS'!M:M,'MP_CILINDROS'!$A:$A,$A19,'MP_CILINDROS'!$B:$B,$B19)</f>
        <v/>
      </c>
      <c r="N19" s="21">
        <f>SUMIFS('MP_MATAFUEGOS_FABRICADOS'!N:N,'MP_MATAFUEGOS_FABRICADOS'!$A:$A,$A19,'MP_MATAFUEGOS_FABRICADOS'!$B:$B,$B19)+SUMIFS('MP_CILINDROS'!N:N,'MP_CILINDROS'!$A:$A,$A19,'MP_CILINDROS'!$B:$B,$B19)</f>
        <v/>
      </c>
      <c r="O19" s="21">
        <f>SUMIFS('MP_MATAFUEGOS_FABRICADOS'!O:O,'MP_MATAFUEGOS_FABRICADOS'!$A:$A,$A19,'MP_MATAFUEGOS_FABRICADOS'!$B:$B,$B19)+SUMIFS('MP_CILINDROS'!O:O,'MP_CILINDROS'!$A:$A,$A19,'MP_CILINDROS'!$B:$B,$B19)</f>
        <v/>
      </c>
    </row>
    <row r="20">
      <c r="A20" s="2" t="inlineStr">
        <is>
          <t>Redondo SAE 1045 Ø25</t>
        </is>
      </c>
      <c r="B20" s="2" t="inlineStr">
        <is>
          <t>barra 6 m</t>
        </is>
      </c>
      <c r="C20" s="2" t="inlineStr">
        <is>
          <t>Materia prima</t>
        </is>
      </c>
      <c r="D20" s="2" t="inlineStr">
        <is>
          <t>Hierros Parrotta</t>
        </is>
      </c>
      <c r="E20" s="2" t="inlineStr">
        <is>
          <t>MP_MATAFUEGOS_FABRICADOS</t>
        </is>
      </c>
      <c r="F20" s="21">
        <f>SUMIFS('MP_MATAFUEGOS_FABRICADOS'!F:F,'MP_MATAFUEGOS_FABRICADOS'!$A:$A,$A20,'MP_MATAFUEGOS_FABRICADOS'!$B:$B,$B20)</f>
        <v/>
      </c>
      <c r="G20" s="21">
        <f>SUMIFS('MP_MATAFUEGOS_FABRICADOS'!G:G,'MP_MATAFUEGOS_FABRICADOS'!$A:$A,$A20,'MP_MATAFUEGOS_FABRICADOS'!$B:$B,$B20)</f>
        <v/>
      </c>
      <c r="H20" s="21">
        <f>SUMIFS('MP_MATAFUEGOS_FABRICADOS'!H:H,'MP_MATAFUEGOS_FABRICADOS'!$A:$A,$A20,'MP_MATAFUEGOS_FABRICADOS'!$B:$B,$B20)</f>
        <v/>
      </c>
      <c r="I20" s="21">
        <f>SUMIFS('MP_MATAFUEGOS_FABRICADOS'!I:I,'MP_MATAFUEGOS_FABRICADOS'!$A:$A,$A20,'MP_MATAFUEGOS_FABRICADOS'!$B:$B,$B20)</f>
        <v/>
      </c>
      <c r="J20" s="21">
        <f>SUMIFS('MP_MATAFUEGOS_FABRICADOS'!J:J,'MP_MATAFUEGOS_FABRICADOS'!$A:$A,$A20,'MP_MATAFUEGOS_FABRICADOS'!$B:$B,$B20)</f>
        <v/>
      </c>
      <c r="K20" s="21">
        <f>SUMIFS('MP_MATAFUEGOS_FABRICADOS'!K:K,'MP_MATAFUEGOS_FABRICADOS'!$A:$A,$A20,'MP_MATAFUEGOS_FABRICADOS'!$B:$B,$B20)</f>
        <v/>
      </c>
      <c r="L20" s="21">
        <f>SUMIFS('MP_MATAFUEGOS_FABRICADOS'!L:L,'MP_MATAFUEGOS_FABRICADOS'!$A:$A,$A20,'MP_MATAFUEGOS_FABRICADOS'!$B:$B,$B20)</f>
        <v/>
      </c>
      <c r="M20" s="21">
        <f>SUMIFS('MP_MATAFUEGOS_FABRICADOS'!M:M,'MP_MATAFUEGOS_FABRICADOS'!$A:$A,$A20,'MP_MATAFUEGOS_FABRICADOS'!$B:$B,$B20)</f>
        <v/>
      </c>
      <c r="N20" s="21">
        <f>SUMIFS('MP_MATAFUEGOS_FABRICADOS'!N:N,'MP_MATAFUEGOS_FABRICADOS'!$A:$A,$A20,'MP_MATAFUEGOS_FABRICADOS'!$B:$B,$B20)</f>
        <v/>
      </c>
      <c r="O20" s="21">
        <f>SUMIFS('MP_MATAFUEGOS_FABRICADOS'!O:O,'MP_MATAFUEGOS_FABRICADOS'!$A:$A,$A20,'MP_MATAFUEGOS_FABRICADOS'!$B:$B,$B20)</f>
        <v/>
      </c>
    </row>
    <row r="21">
      <c r="A21" s="2" t="inlineStr">
        <is>
          <t>Cuello roscado — Ø29 × 12,5 de alto, rosca M22x1,5, asiento Ø26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Ø36,8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14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15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Ø37 × 35 de alto, rosca M30x1,5, asiento Ø35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Cuello roscado — Ø88 × 37 de alto, rosca RBSP 2 1/2"-11 h, asiento Ø80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Eli-Met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Ø276,5 × e3,2 × 94,4 de alto; disco Ø358,3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Ø320 × e3,2 × 109,9 de alto; disco Ø410,8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Cúpula — Ø390 × e4,75 × 137,3 de alto; disco Ø507,3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Ø276,5 × e3,2 × 95 de alto; disco Ø362,5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Ø320 × e3,2 × 113 de alto; disco Ø423,5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Fondo — Ø390 × e4,75 × 139,8 de alto; disco Ø518,1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Gockel Ingeniería S.R.L.</t>
        </is>
      </c>
      <c r="E32" s="2" t="inlineStr">
        <is>
          <t>MP_MATAFUEGOS_FABRICADOS, MP_CILINDROS</t>
        </is>
      </c>
      <c r="F32" s="21">
        <f>SUMIFS('MP_MATAFUEGOS_FABRICADOS'!F:F,'MP_MATAFUEGOS_FABRICADOS'!$A:$A,$A32,'MP_MATAFUEGOS_FABRICADOS'!$B:$B,$B32)+SUMIFS('MP_CILINDROS'!F:F,'MP_CILINDROS'!$A:$A,$A32,'MP_CILINDROS'!$B:$B,$B32)</f>
        <v/>
      </c>
      <c r="G32" s="21">
        <f>SUMIFS('MP_MATAFUEGOS_FABRICADOS'!G:G,'MP_MATAFUEGOS_FABRICADOS'!$A:$A,$A32,'MP_MATAFUEGOS_FABRICADOS'!$B:$B,$B32)+SUMIFS('MP_CILINDROS'!G:G,'MP_CILINDROS'!$A:$A,$A32,'MP_CILINDROS'!$B:$B,$B32)</f>
        <v/>
      </c>
      <c r="H32" s="21">
        <f>SUMIFS('MP_MATAFUEGOS_FABRICADOS'!H:H,'MP_MATAFUEGOS_FABRICADOS'!$A:$A,$A32,'MP_MATAFUEGOS_FABRICADOS'!$B:$B,$B32)+SUMIFS('MP_CILINDROS'!H:H,'MP_CILINDROS'!$A:$A,$A32,'MP_CILINDROS'!$B:$B,$B32)</f>
        <v/>
      </c>
      <c r="I32" s="21">
        <f>SUMIFS('MP_MATAFUEGOS_FABRICADOS'!I:I,'MP_MATAFUEGOS_FABRICADOS'!$A:$A,$A32,'MP_MATAFUEGOS_FABRICADOS'!$B:$B,$B32)+SUMIFS('MP_CILINDROS'!I:I,'MP_CILINDROS'!$A:$A,$A32,'MP_CILINDROS'!$B:$B,$B32)</f>
        <v/>
      </c>
      <c r="J32" s="21">
        <f>SUMIFS('MP_MATAFUEGOS_FABRICADOS'!J:J,'MP_MATAFUEGOS_FABRICADOS'!$A:$A,$A32,'MP_MATAFUEGOS_FABRICADOS'!$B:$B,$B32)+SUMIFS('MP_CILINDROS'!J:J,'MP_CILINDROS'!$A:$A,$A32,'MP_CILINDROS'!$B:$B,$B32)</f>
        <v/>
      </c>
      <c r="K32" s="21">
        <f>SUMIFS('MP_MATAFUEGOS_FABRICADOS'!K:K,'MP_MATAFUEGOS_FABRICADOS'!$A:$A,$A32,'MP_MATAFUEGOS_FABRICADOS'!$B:$B,$B32)+SUMIFS('MP_CILINDROS'!K:K,'MP_CILINDROS'!$A:$A,$A32,'MP_CILINDROS'!$B:$B,$B32)</f>
        <v/>
      </c>
      <c r="L32" s="21">
        <f>SUMIFS('MP_MATAFUEGOS_FABRICADOS'!L:L,'MP_MATAFUEGOS_FABRICADOS'!$A:$A,$A32,'MP_MATAFUEGOS_FABRICADOS'!$B:$B,$B32)+SUMIFS('MP_CILINDROS'!L:L,'MP_CILINDROS'!$A:$A,$A32,'MP_CILINDROS'!$B:$B,$B32)</f>
        <v/>
      </c>
      <c r="M32" s="21">
        <f>SUMIFS('MP_MATAFUEGOS_FABRICADOS'!M:M,'MP_MATAFUEGOS_FABRICADOS'!$A:$A,$A32,'MP_MATAFUEGOS_FABRICADOS'!$B:$B,$B32)+SUMIFS('MP_CILINDROS'!M:M,'MP_CILINDROS'!$A:$A,$A32,'MP_CILINDROS'!$B:$B,$B32)</f>
        <v/>
      </c>
      <c r="N32" s="21">
        <f>SUMIFS('MP_MATAFUEGOS_FABRICADOS'!N:N,'MP_MATAFUEGOS_FABRICADOS'!$A:$A,$A32,'MP_MATAFUEGOS_FABRICADOS'!$B:$B,$B32)+SUMIFS('MP_CILINDROS'!N:N,'MP_CILINDROS'!$A:$A,$A32,'MP_CILINDROS'!$B:$B,$B32)</f>
        <v/>
      </c>
      <c r="O32" s="21">
        <f>SUMIFS('MP_MATAFUEGOS_FABRICADOS'!O:O,'MP_MATAFUEGOS_FABRICADOS'!$A:$A,$A32,'MP_MATAFUEGOS_FABRICADOS'!$B:$B,$B32)+SUMIFS('MP_CILINDROS'!O:O,'MP_CILINDROS'!$A:$A,$A32,'MP_CILINDROS'!$B:$B,$B32)</f>
        <v/>
      </c>
    </row>
    <row r="33">
      <c r="A33" s="2" t="inlineStr">
        <is>
          <t>Arandelas de tope (4) — 4 × Ø40 × Ø26 × 4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Hierros Parrotta</t>
        </is>
      </c>
      <c r="E33" s="2" t="inlineStr">
        <is>
          <t>MP_MATAFUEGOS_FABRICADOS</t>
        </is>
      </c>
      <c r="F33" s="21">
        <f>SUMIFS('MP_MATAFUEGOS_FABRICADOS'!F:F,'MP_MATAFUEGOS_FABRICADOS'!$A:$A,$A33,'MP_MATAFUEGOS_FABRICADOS'!$B:$B,$B33)</f>
        <v/>
      </c>
      <c r="G33" s="21">
        <f>SUMIFS('MP_MATAFUEGOS_FABRICADOS'!G:G,'MP_MATAFUEGOS_FABRICADOS'!$A:$A,$A33,'MP_MATAFUEGOS_FABRICADOS'!$B:$B,$B33)</f>
        <v/>
      </c>
      <c r="H33" s="21">
        <f>SUMIFS('MP_MATAFUEGOS_FABRICADOS'!H:H,'MP_MATAFUEGOS_FABRICADOS'!$A:$A,$A33,'MP_MATAFUEGOS_FABRICADOS'!$B:$B,$B33)</f>
        <v/>
      </c>
      <c r="I33" s="21">
        <f>SUMIFS('MP_MATAFUEGOS_FABRICADOS'!I:I,'MP_MATAFUEGOS_FABRICADOS'!$A:$A,$A33,'MP_MATAFUEGOS_FABRICADOS'!$B:$B,$B33)</f>
        <v/>
      </c>
      <c r="J33" s="21">
        <f>SUMIFS('MP_MATAFUEGOS_FABRICADOS'!J:J,'MP_MATAFUEGOS_FABRICADOS'!$A:$A,$A33,'MP_MATAFUEGOS_FABRICADOS'!$B:$B,$B33)</f>
        <v/>
      </c>
      <c r="K33" s="21">
        <f>SUMIFS('MP_MATAFUEGOS_FABRICADOS'!K:K,'MP_MATAFUEGOS_FABRICADOS'!$A:$A,$A33,'MP_MATAFUEGOS_FABRICADOS'!$B:$B,$B33)</f>
        <v/>
      </c>
      <c r="L33" s="21">
        <f>SUMIFS('MP_MATAFUEGOS_FABRICADOS'!L:L,'MP_MATAFUEGOS_FABRICADOS'!$A:$A,$A33,'MP_MATAFUEGOS_FABRICADOS'!$B:$B,$B33)</f>
        <v/>
      </c>
      <c r="M33" s="21">
        <f>SUMIFS('MP_MATAFUEGOS_FABRICADOS'!M:M,'MP_MATAFUEGOS_FABRICADOS'!$A:$A,$A33,'MP_MATAFUEGOS_FABRICADOS'!$B:$B,$B33)</f>
        <v/>
      </c>
      <c r="N33" s="21">
        <f>SUMIFS('MP_MATAFUEGOS_FABRICADOS'!N:N,'MP_MATAFUEGOS_FABRICADOS'!$A:$A,$A33,'MP_MATAFUEGOS_FABRICADOS'!$B:$B,$B33)</f>
        <v/>
      </c>
      <c r="O33" s="21">
        <f>SUMIFS('MP_MATAFUEGOS_FABRICADOS'!O:O,'MP_MATAFUEGOS_FABRICADOS'!$A:$A,$A33,'MP_MATAFUEGOS_FABRICADOS'!$B:$B,$B33)</f>
        <v/>
      </c>
    </row>
    <row r="34">
      <c r="A34" s="2" t="inlineStr">
        <is>
          <t>Faja amarilla de sustituto en la pollera (3 leyendas) — 40 × 1025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1245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460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501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590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Faja amarilla de sustituto en la pollera (3 leyendas) — 40 × 617 (alto ≤ 40; perímetro + 20 de solape)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Astuprint</t>
        </is>
      </c>
      <c r="E39" s="2" t="inlineStr">
        <is>
          <t>MP_SUSTITUTOS</t>
        </is>
      </c>
      <c r="F39" s="21">
        <f>SUMIFS('MP_SUSTITUTOS'!F:F,'MP_SUSTITUTOS'!$A:$A,$A39,'MP_SUSTITUTOS'!$B:$B,$B39)</f>
        <v/>
      </c>
      <c r="G39" s="21">
        <f>SUMIFS('MP_SUSTITUTOS'!G:G,'MP_SUSTITUTOS'!$A:$A,$A39,'MP_SUSTITUTOS'!$B:$B,$B39)</f>
        <v/>
      </c>
      <c r="H39" s="21">
        <f>SUMIFS('MP_SUSTITUTOS'!H:H,'MP_SUSTITUTOS'!$A:$A,$A39,'MP_SUSTITUTOS'!$B:$B,$B39)</f>
        <v/>
      </c>
      <c r="I39" s="21">
        <f>SUMIFS('MP_SUSTITUTOS'!I:I,'MP_SUSTITUTOS'!$A:$A,$A39,'MP_SUSTITUTOS'!$B:$B,$B39)</f>
        <v/>
      </c>
      <c r="J39" s="21">
        <f>SUMIFS('MP_SUSTITUTOS'!J:J,'MP_SUSTITUTOS'!$A:$A,$A39,'MP_SUSTITUTOS'!$B:$B,$B39)</f>
        <v/>
      </c>
      <c r="K39" s="21">
        <f>SUMIFS('MP_SUSTITUTOS'!K:K,'MP_SUSTITUTOS'!$A:$A,$A39,'MP_SUSTITUTOS'!$B:$B,$B39)</f>
        <v/>
      </c>
      <c r="L39" s="21">
        <f>SUMIFS('MP_SUSTITUTOS'!L:L,'MP_SUSTITUTOS'!$A:$A,$A39,'MP_SUSTITUTOS'!$B:$B,$B39)</f>
        <v/>
      </c>
      <c r="M39" s="21">
        <f>SUMIFS('MP_SUSTITUTOS'!M:M,'MP_SUSTITUTOS'!$A:$A,$A39,'MP_SUSTITUTOS'!$B:$B,$B39)</f>
        <v/>
      </c>
      <c r="N39" s="21">
        <f>SUMIFS('MP_SUSTITUTOS'!N:N,'MP_SUSTITUTOS'!$A:$A,$A39,'MP_SUSTITUTOS'!$B:$B,$B39)</f>
        <v/>
      </c>
      <c r="O39" s="21">
        <f>SUMIFS('MP_SUSTITUTOS'!O:O,'MP_SUSTITUTOS'!$A:$A,$A39,'MP_SUSTITUTOS'!$B:$B,$B39)</f>
        <v/>
      </c>
    </row>
    <row r="40">
      <c r="A40" s="2" t="inlineStr">
        <is>
          <t>Junta tórica de asiento — Ø24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Ø32,8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Junta tórica de asiento — Ø78 ext. × cordón 3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Argensold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1.037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1.305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1.371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(tramo enrollado) — Ø25 × 1.714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1.698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2.168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2.398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2.871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238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329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Manguera — Ø16 × 518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Ø36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Manómetro — Ø47 esfera, rango 0-3,5 MPa, sector verde en 1,4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Ø300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Neumático macizo — Ø350 × 60 de ancho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Ruedar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19,4 × 18,8 × 18,8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Racor de manguera — 24 × 24 × 16</t>
        </is>
      </c>
      <c r="B59" s="2" t="inlineStr">
        <is>
          <t>u</t>
        </is>
      </c>
      <c r="C59" s="2" t="inlineStr">
        <is>
          <t>Componente comprado</t>
        </is>
      </c>
      <c r="D59" s="2" t="inlineStr">
        <is>
          <t>Yukon / MatafuegosYa S.R.L.</t>
        </is>
      </c>
      <c r="E59" s="2" t="inlineStr">
        <is>
          <t>MP_MATAFUEGOS_FABRICADOS</t>
        </is>
      </c>
      <c r="F59" s="21">
        <f>SUMIFS('MP_MATAFUEGOS_FABRICADOS'!F:F,'MP_MATAFUEGOS_FABRICADOS'!$A:$A,$A59,'MP_MATAFUEGOS_FABRICADOS'!$B:$B,$B59)</f>
        <v/>
      </c>
      <c r="G59" s="21">
        <f>SUMIFS('MP_MATAFUEGOS_FABRICADOS'!G:G,'MP_MATAFUEGOS_FABRICADOS'!$A:$A,$A59,'MP_MATAFUEGOS_FABRICADOS'!$B:$B,$B59)</f>
        <v/>
      </c>
      <c r="H59" s="21">
        <f>SUMIFS('MP_MATAFUEGOS_FABRICADOS'!H:H,'MP_MATAFUEGOS_FABRICADOS'!$A:$A,$A59,'MP_MATAFUEGOS_FABRICADOS'!$B:$B,$B59)</f>
        <v/>
      </c>
      <c r="I59" s="21">
        <f>SUMIFS('MP_MATAFUEGOS_FABRICADOS'!I:I,'MP_MATAFUEGOS_FABRICADOS'!$A:$A,$A59,'MP_MATAFUEGOS_FABRICADOS'!$B:$B,$B59)</f>
        <v/>
      </c>
      <c r="J59" s="21">
        <f>SUMIFS('MP_MATAFUEGOS_FABRICADOS'!J:J,'MP_MATAFUEGOS_FABRICADOS'!$A:$A,$A59,'MP_MATAFUEGOS_FABRICADOS'!$B:$B,$B59)</f>
        <v/>
      </c>
      <c r="K59" s="21">
        <f>SUMIFS('MP_MATAFUEGOS_FABRICADOS'!K:K,'MP_MATAFUEGOS_FABRICADOS'!$A:$A,$A59,'MP_MATAFUEGOS_FABRICADOS'!$B:$B,$B59)</f>
        <v/>
      </c>
      <c r="L59" s="21">
        <f>SUMIFS('MP_MATAFUEGOS_FABRICADOS'!L:L,'MP_MATAFUEGOS_FABRICADOS'!$A:$A,$A59,'MP_MATAFUEGOS_FABRICADOS'!$B:$B,$B59)</f>
        <v/>
      </c>
      <c r="M59" s="21">
        <f>SUMIFS('MP_MATAFUEGOS_FABRICADOS'!M:M,'MP_MATAFUEGOS_FABRICADOS'!$A:$A,$A59,'MP_MATAFUEGOS_FABRICADOS'!$B:$B,$B59)</f>
        <v/>
      </c>
      <c r="N59" s="21">
        <f>SUMIFS('MP_MATAFUEGOS_FABRICADOS'!N:N,'MP_MATAFUEGOS_FABRICADOS'!$A:$A,$A59,'MP_MATAFUEGOS_FABRICADOS'!$B:$B,$B59)</f>
        <v/>
      </c>
      <c r="O59" s="21">
        <f>SUMIFS('MP_MATAFUEGOS_FABRICADOS'!O:O,'MP_MATAFUEGOS_FABRICADOS'!$A:$A,$A59,'MP_MATAFUEGOS_FABRICADOS'!$B:$B,$B59)</f>
        <v/>
      </c>
    </row>
    <row r="60">
      <c r="A60" s="2" t="inlineStr">
        <is>
          <t>Remito de préstamo con membrete (n° de extintor, puesto, equipo retirado, fechas) — A5 duplicado</t>
        </is>
      </c>
      <c r="B60" s="2" t="inlineStr">
        <is>
          <t>u/préstamo</t>
        </is>
      </c>
      <c r="C60" s="2" t="inlineStr">
        <is>
          <t>Componente comprado</t>
        </is>
      </c>
      <c r="D60" s="2" t="inlineStr">
        <is>
          <t>Astuprint</t>
        </is>
      </c>
      <c r="E60" s="2" t="inlineStr">
        <is>
          <t>MP_SUSTITUTOS</t>
        </is>
      </c>
      <c r="F60" s="21">
        <f>SUMIFS('MP_SUSTITUTOS'!F:F,'MP_SUSTITUTOS'!$A:$A,$A60,'MP_SUSTITUTOS'!$B:$B,$B60)</f>
        <v/>
      </c>
      <c r="G60" s="21">
        <f>SUMIFS('MP_SUSTITUTOS'!G:G,'MP_SUSTITUTOS'!$A:$A,$A60,'MP_SUSTITUTOS'!$B:$B,$B60)</f>
        <v/>
      </c>
      <c r="H60" s="21">
        <f>SUMIFS('MP_SUSTITUTOS'!H:H,'MP_SUSTITUTOS'!$A:$A,$A60,'MP_SUSTITUTOS'!$B:$B,$B60)</f>
        <v/>
      </c>
      <c r="I60" s="21">
        <f>SUMIFS('MP_SUSTITUTOS'!I:I,'MP_SUSTITUTOS'!$A:$A,$A60,'MP_SUSTITUTOS'!$B:$B,$B60)</f>
        <v/>
      </c>
      <c r="J60" s="21">
        <f>SUMIFS('MP_SUSTITUTOS'!J:J,'MP_SUSTITUTOS'!$A:$A,$A60,'MP_SUSTITUTOS'!$B:$B,$B60)</f>
        <v/>
      </c>
      <c r="K60" s="21">
        <f>SUMIFS('MP_SUSTITUTOS'!K:K,'MP_SUSTITUTOS'!$A:$A,$A60,'MP_SUSTITUTOS'!$B:$B,$B60)</f>
        <v/>
      </c>
      <c r="L60" s="21">
        <f>SUMIFS('MP_SUSTITUTOS'!L:L,'MP_SUSTITUTOS'!$A:$A,$A60,'MP_SUSTITUTOS'!$B:$B,$B60)</f>
        <v/>
      </c>
      <c r="M60" s="21">
        <f>SUMIFS('MP_SUSTITUTOS'!M:M,'MP_SUSTITUTOS'!$A:$A,$A60,'MP_SUSTITUTOS'!$B:$B,$B60)</f>
        <v/>
      </c>
      <c r="N60" s="21">
        <f>SUMIFS('MP_SUSTITUTOS'!N:N,'MP_SUSTITUTOS'!$A:$A,$A60,'MP_SUSTITUTOS'!$B:$B,$B60)</f>
        <v/>
      </c>
      <c r="O60" s="21">
        <f>SUMIFS('MP_SUSTITUTOS'!O:O,'MP_SUSTITUTOS'!$A:$A,$A60,'MP_SUSTITUTOS'!$B:$B,$B60)</f>
        <v/>
      </c>
    </row>
    <row r="61">
      <c r="A61" s="2" t="inlineStr">
        <is>
          <t>Rueda con cubierta neumática — Ø400 × 100 de ancho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Escanort S.A.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137,6 × 127,6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166,6 × 156,6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Suncho portatobera — 195,1 × 185,1 × 14,4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MP_MATAFUEGOS_FABRICADOS</t>
        </is>
      </c>
      <c r="F64" s="21">
        <f>SUMIFS('MP_MATAFUEGOS_FABRICADOS'!F:F,'MP_MATAFUEGOS_FABRICADOS'!$A:$A,$A64,'MP_MATAFUEGOS_FABRICADOS'!$B:$B,$B64)</f>
        <v/>
      </c>
      <c r="G64" s="21">
        <f>SUMIFS('MP_MATAFUEGOS_FABRICADOS'!G:G,'MP_MATAFUEGOS_FABRICADOS'!$A:$A,$A64,'MP_MATAFUEGOS_FABRICADOS'!$B:$B,$B64)</f>
        <v/>
      </c>
      <c r="H64" s="21">
        <f>SUMIFS('MP_MATAFUEGOS_FABRICADOS'!H:H,'MP_MATAFUEGOS_FABRICADOS'!$A:$A,$A64,'MP_MATAFUEGOS_FABRICADOS'!$B:$B,$B64)</f>
        <v/>
      </c>
      <c r="I64" s="21">
        <f>SUMIFS('MP_MATAFUEGOS_FABRICADOS'!I:I,'MP_MATAFUEGOS_FABRICADOS'!$A:$A,$A64,'MP_MATAFUEGOS_FABRICADOS'!$B:$B,$B64)</f>
        <v/>
      </c>
      <c r="J64" s="21">
        <f>SUMIFS('MP_MATAFUEGOS_FABRICADOS'!J:J,'MP_MATAFUEGOS_FABRICADOS'!$A:$A,$A64,'MP_MATAFUEGOS_FABRICADOS'!$B:$B,$B64)</f>
        <v/>
      </c>
      <c r="K64" s="21">
        <f>SUMIFS('MP_MATAFUEGOS_FABRICADOS'!K:K,'MP_MATAFUEGOS_FABRICADOS'!$A:$A,$A64,'MP_MATAFUEGOS_FABRICADOS'!$B:$B,$B64)</f>
        <v/>
      </c>
      <c r="L64" s="21">
        <f>SUMIFS('MP_MATAFUEGOS_FABRICADOS'!L:L,'MP_MATAFUEGOS_FABRICADOS'!$A:$A,$A64,'MP_MATAFUEGOS_FABRICADOS'!$B:$B,$B64)</f>
        <v/>
      </c>
      <c r="M64" s="21">
        <f>SUMIFS('MP_MATAFUEGOS_FABRICADOS'!M:M,'MP_MATAFUEGOS_FABRICADOS'!$A:$A,$A64,'MP_MATAFUEGOS_FABRICADOS'!$B:$B,$B64)</f>
        <v/>
      </c>
      <c r="N64" s="21">
        <f>SUMIFS('MP_MATAFUEGOS_FABRICADOS'!N:N,'MP_MATAFUEGOS_FABRICADOS'!$A:$A,$A64,'MP_MATAFUEGOS_FABRICADOS'!$B:$B,$B64)</f>
        <v/>
      </c>
      <c r="O64" s="21">
        <f>SUMIFS('MP_MATAFUEGOS_FABRICADOS'!O:O,'MP_MATAFUEGOS_FABRICADOS'!$A:$A,$A64,'MP_MATAFUEGOS_FABRICADOS'!$B:$B,$B64)</f>
        <v/>
      </c>
    </row>
    <row r="65">
      <c r="A65" s="2" t="inlineStr">
        <is>
          <t>Tarjeta AGC con «Es sustituto» (sin domicilio de instalación)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Agencia Gubernamental de Control (CABA)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Tarjeta de identificación DPS con sello «SUSTITUTO HABILITADO» — formato oficial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Ministerio de Ambiente PBA (ex OPDS)</t>
        </is>
      </c>
      <c r="E66" s="2" t="inlineStr">
        <is>
          <t>MP_SUSTITUTOS</t>
        </is>
      </c>
      <c r="F66" s="21">
        <f>SUMIFS('MP_SUSTITUTOS'!F:F,'MP_SUSTITUTOS'!$A:$A,$A66,'MP_SUSTITUTOS'!$B:$B,$B66)</f>
        <v/>
      </c>
      <c r="G66" s="21">
        <f>SUMIFS('MP_SUSTITUTOS'!G:G,'MP_SUSTITUTOS'!$A:$A,$A66,'MP_SUSTITUTOS'!$B:$B,$B66)</f>
        <v/>
      </c>
      <c r="H66" s="21">
        <f>SUMIFS('MP_SUSTITUTOS'!H:H,'MP_SUSTITUTOS'!$A:$A,$A66,'MP_SUSTITUTOS'!$B:$B,$B66)</f>
        <v/>
      </c>
      <c r="I66" s="21">
        <f>SUMIFS('MP_SUSTITUTOS'!I:I,'MP_SUSTITUTOS'!$A:$A,$A66,'MP_SUSTITUTOS'!$B:$B,$B66)</f>
        <v/>
      </c>
      <c r="J66" s="21">
        <f>SUMIFS('MP_SUSTITUTOS'!J:J,'MP_SUSTITUTOS'!$A:$A,$A66,'MP_SUSTITUTOS'!$B:$B,$B66)</f>
        <v/>
      </c>
      <c r="K66" s="21">
        <f>SUMIFS('MP_SUSTITUTOS'!K:K,'MP_SUSTITUTOS'!$A:$A,$A66,'MP_SUSTITUTOS'!$B:$B,$B66)</f>
        <v/>
      </c>
      <c r="L66" s="21">
        <f>SUMIFS('MP_SUSTITUTOS'!L:L,'MP_SUSTITUTOS'!$A:$A,$A66,'MP_SUSTITUTOS'!$B:$B,$B66)</f>
        <v/>
      </c>
      <c r="M66" s="21">
        <f>SUMIFS('MP_SUSTITUTOS'!M:M,'MP_SUSTITUTOS'!$A:$A,$A66,'MP_SUSTITUTOS'!$B:$B,$B66)</f>
        <v/>
      </c>
      <c r="N66" s="21">
        <f>SUMIFS('MP_SUSTITUTOS'!N:N,'MP_SUSTITUTOS'!$A:$A,$A66,'MP_SUSTITUTOS'!$B:$B,$B66)</f>
        <v/>
      </c>
      <c r="O66" s="21">
        <f>SUMIFS('MP_SUSTITUTOS'!O:O,'MP_SUSTITUTOS'!$A:$A,$A66,'MP_SUSTITUTOS'!$B:$B,$B66)</f>
        <v/>
      </c>
    </row>
    <row r="67">
      <c r="A67" s="2" t="inlineStr">
        <is>
          <t>Tobera campana — 200 × 68 × 68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con portatobera — 73,5 × 19,9 × 19,9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Tobera — 12 × 12 × 10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M-22 1 kg c/tubo de pesca plástico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M-30 c/resorte y tubo 7/8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25 kg c/traba, manija y resorte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HZ armada de carro 50-70-100 kg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Válvula esférica — 110 × 60 × 40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Yukon / MatafuegosYa S.R.L.</t>
        </is>
      </c>
      <c r="E74" s="2" t="inlineStr">
        <is>
          <t>MP_MATAFUEGOS_FABRICADOS</t>
        </is>
      </c>
      <c r="F74" s="21">
        <f>SUMIFS('MP_MATAFUEGOS_FABRICADOS'!F:F,'MP_MATAFUEGOS_FABRICADOS'!$A:$A,$A74,'MP_MATAFUEGOS_FABRICADOS'!$B:$B,$B74)</f>
        <v/>
      </c>
      <c r="G74" s="21">
        <f>SUMIFS('MP_MATAFUEGOS_FABRICADOS'!G:G,'MP_MATAFUEGOS_FABRICADOS'!$A:$A,$A74,'MP_MATAFUEGOS_FABRICADOS'!$B:$B,$B74)</f>
        <v/>
      </c>
      <c r="H74" s="21">
        <f>SUMIFS('MP_MATAFUEGOS_FABRICADOS'!H:H,'MP_MATAFUEGOS_FABRICADOS'!$A:$A,$A74,'MP_MATAFUEGOS_FABRICADOS'!$B:$B,$B74)</f>
        <v/>
      </c>
      <c r="I74" s="21">
        <f>SUMIFS('MP_MATAFUEGOS_FABRICADOS'!I:I,'MP_MATAFUEGOS_FABRICADOS'!$A:$A,$A74,'MP_MATAFUEGOS_FABRICADOS'!$B:$B,$B74)</f>
        <v/>
      </c>
      <c r="J74" s="21">
        <f>SUMIFS('MP_MATAFUEGOS_FABRICADOS'!J:J,'MP_MATAFUEGOS_FABRICADOS'!$A:$A,$A74,'MP_MATAFUEGOS_FABRICADOS'!$B:$B,$B74)</f>
        <v/>
      </c>
      <c r="K74" s="21">
        <f>SUMIFS('MP_MATAFUEGOS_FABRICADOS'!K:K,'MP_MATAFUEGOS_FABRICADOS'!$A:$A,$A74,'MP_MATAFUEGOS_FABRICADOS'!$B:$B,$B74)</f>
        <v/>
      </c>
      <c r="L74" s="21">
        <f>SUMIFS('MP_MATAFUEGOS_FABRICADOS'!L:L,'MP_MATAFUEGOS_FABRICADOS'!$A:$A,$A74,'MP_MATAFUEGOS_FABRICADOS'!$B:$B,$B74)</f>
        <v/>
      </c>
      <c r="M74" s="21">
        <f>SUMIFS('MP_MATAFUEGOS_FABRICADOS'!M:M,'MP_MATAFUEGOS_FABRICADOS'!$A:$A,$A74,'MP_MATAFUEGOS_FABRICADOS'!$B:$B,$B74)</f>
        <v/>
      </c>
      <c r="N74" s="21">
        <f>SUMIFS('MP_MATAFUEGOS_FABRICADOS'!N:N,'MP_MATAFUEGOS_FABRICADOS'!$A:$A,$A74,'MP_MATAFUEGOS_FABRICADOS'!$B:$B,$B74)</f>
        <v/>
      </c>
      <c r="O74" s="21">
        <f>SUMIFS('MP_MATAFUEGOS_FABRICADOS'!O:O,'MP_MATAFUEGOS_FABRICADOS'!$A:$A,$A74,'MP_MATAFUEGOS_FABRICADOS'!$B:$B,$B74)</f>
        <v/>
      </c>
    </row>
    <row r="75">
      <c r="A75" s="2" t="inlineStr">
        <is>
          <t>Alambre MAG ER70S-6 Ø0,9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Alambre MAG ER70S-6 Ø1,0 (AWS A5.18)</t>
        </is>
      </c>
      <c r="B76" s="2" t="inlineStr">
        <is>
          <t>kg</t>
        </is>
      </c>
      <c r="C76" s="2" t="inlineStr">
        <is>
          <t>Consumible de proceso</t>
        </is>
      </c>
      <c r="D76" s="2" t="inlineStr">
        <is>
          <t>Conarco (ESAB Argentina)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Gas de protección MAG Arcal 21 / ARCAL Speed (Ar + 8 % CO₂, M20)</t>
        </is>
      </c>
      <c r="B77" s="2" t="inlineStr">
        <is>
          <t>L</t>
        </is>
      </c>
      <c r="C77" s="2" t="inlineStr">
        <is>
          <t>Consumible de proceso</t>
        </is>
      </c>
      <c r="D77" s="2" t="inlineStr">
        <is>
          <t>Air Liquide Argentina - sucursal Piñeyro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Granalla de acero S330 / S390 (ISO 11124-3, SAE J444)</t>
        </is>
      </c>
      <c r="B78" s="2" t="inlineStr">
        <is>
          <t>kg</t>
        </is>
      </c>
      <c r="C78" s="2" t="inlineStr">
        <is>
          <t>Consumible de proceso</t>
        </is>
      </c>
      <c r="D78" s="2" t="inlineStr">
        <is>
          <t>CyM Materiales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Prymax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Servicio de pintura en polvo al horno, rojo 03-1-050 (con preparación por quemado)</t>
        </is>
      </c>
      <c r="B80" s="2" t="inlineStr">
        <is>
          <t>u</t>
        </is>
      </c>
      <c r="C80" s="2" t="inlineStr">
        <is>
          <t>Servicio</t>
        </is>
      </c>
      <c r="D80" s="2" t="inlineStr">
        <is>
          <t>Pintor de carros (cotización por mensaje)</t>
        </is>
      </c>
      <c r="E80" s="2" t="inlineStr">
        <is>
          <t>MP_MATAFUEGOS_FABRICADOS, MP_CILINDROS</t>
        </is>
      </c>
      <c r="F80" s="21">
        <f>SUMIFS('MP_MATAFUEGOS_FABRICADOS'!F:F,'MP_MATAFUEGOS_FABRICADOS'!$A:$A,$A80,'MP_MATAFUEGOS_FABRICADOS'!$B:$B,$B80)+SUMIFS('MP_CILINDROS'!F:F,'MP_CILINDROS'!$A:$A,$A80,'MP_CILINDROS'!$B:$B,$B80)</f>
        <v/>
      </c>
      <c r="G80" s="21">
        <f>SUMIFS('MP_MATAFUEGOS_FABRICADOS'!G:G,'MP_MATAFUEGOS_FABRICADOS'!$A:$A,$A80,'MP_MATAFUEGOS_FABRICADOS'!$B:$B,$B80)+SUMIFS('MP_CILINDROS'!G:G,'MP_CILINDROS'!$A:$A,$A80,'MP_CILINDROS'!$B:$B,$B80)</f>
        <v/>
      </c>
      <c r="H80" s="21">
        <f>SUMIFS('MP_MATAFUEGOS_FABRICADOS'!H:H,'MP_MATAFUEGOS_FABRICADOS'!$A:$A,$A80,'MP_MATAFUEGOS_FABRICADOS'!$B:$B,$B80)+SUMIFS('MP_CILINDROS'!H:H,'MP_CILINDROS'!$A:$A,$A80,'MP_CILINDROS'!$B:$B,$B80)</f>
        <v/>
      </c>
      <c r="I80" s="21">
        <f>SUMIFS('MP_MATAFUEGOS_FABRICADOS'!I:I,'MP_MATAFUEGOS_FABRICADOS'!$A:$A,$A80,'MP_MATAFUEGOS_FABRICADOS'!$B:$B,$B80)+SUMIFS('MP_CILINDROS'!I:I,'MP_CILINDROS'!$A:$A,$A80,'MP_CILINDROS'!$B:$B,$B80)</f>
        <v/>
      </c>
      <c r="J80" s="21">
        <f>SUMIFS('MP_MATAFUEGOS_FABRICADOS'!J:J,'MP_MATAFUEGOS_FABRICADOS'!$A:$A,$A80,'MP_MATAFUEGOS_FABRICADOS'!$B:$B,$B80)+SUMIFS('MP_CILINDROS'!J:J,'MP_CILINDROS'!$A:$A,$A80,'MP_CILINDROS'!$B:$B,$B80)</f>
        <v/>
      </c>
      <c r="K80" s="21">
        <f>SUMIFS('MP_MATAFUEGOS_FABRICADOS'!K:K,'MP_MATAFUEGOS_FABRICADOS'!$A:$A,$A80,'MP_MATAFUEGOS_FABRICADOS'!$B:$B,$B80)+SUMIFS('MP_CILINDROS'!K:K,'MP_CILINDROS'!$A:$A,$A80,'MP_CILINDROS'!$B:$B,$B80)</f>
        <v/>
      </c>
      <c r="L80" s="21">
        <f>SUMIFS('MP_MATAFUEGOS_FABRICADOS'!L:L,'MP_MATAFUEGOS_FABRICADOS'!$A:$A,$A80,'MP_MATAFUEGOS_FABRICADOS'!$B:$B,$B80)+SUMIFS('MP_CILINDROS'!L:L,'MP_CILINDROS'!$A:$A,$A80,'MP_CILINDROS'!$B:$B,$B80)</f>
        <v/>
      </c>
      <c r="M80" s="21">
        <f>SUMIFS('MP_MATAFUEGOS_FABRICADOS'!M:M,'MP_MATAFUEGOS_FABRICADOS'!$A:$A,$A80,'MP_MATAFUEGOS_FABRICADOS'!$B:$B,$B80)+SUMIFS('MP_CILINDROS'!M:M,'MP_CILINDROS'!$A:$A,$A80,'MP_CILINDROS'!$B:$B,$B80)</f>
        <v/>
      </c>
      <c r="N80" s="21">
        <f>SUMIFS('MP_MATAFUEGOS_FABRICADOS'!N:N,'MP_MATAFUEGOS_FABRICADOS'!$A:$A,$A80,'MP_MATAFUEGOS_FABRICADOS'!$B:$B,$B80)+SUMIFS('MP_CILINDROS'!N:N,'MP_CILINDROS'!$A:$A,$A80,'MP_CILINDROS'!$B:$B,$B80)</f>
        <v/>
      </c>
      <c r="O80" s="21">
        <f>SUMIFS('MP_MATAFUEGOS_FABRICADOS'!O:O,'MP_MATAFUEGOS_FABRICADOS'!$A:$A,$A80,'MP_MATAFUEGOS_FABRICADOS'!$B:$B,$B80)+SUMIFS('MP_CILINDROS'!O:O,'MP_CILINDROS'!$A:$A,$A80,'MP_CILINDROS'!$B:$B,$B80)</f>
        <v/>
      </c>
    </row>
    <row r="81">
      <c r="A81" s="2" t="inlineStr">
        <is>
          <t>Gas impulsor: N₂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Air Liquide Argentina - sucursal Piñeyro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60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Polvo químico seco ABC 90 (Sello IRAM 3569)</t>
        </is>
      </c>
      <c r="B83" s="2" t="inlineStr">
        <is>
          <t>kg</t>
        </is>
      </c>
      <c r="C83" s="2" t="inlineStr">
        <is>
          <t>Carga (agente y gas)</t>
        </is>
      </c>
      <c r="D83" s="2" t="inlineStr">
        <is>
          <t>DEM S.A. (DEMSA)</t>
        </is>
      </c>
      <c r="E83" s="2" t="inlineStr">
        <is>
          <t>MP_MATAFUEGOS_FABRICADOS, MP_RECARGAS</t>
        </is>
      </c>
      <c r="F83" s="21">
        <f>SUMIFS('MP_MATAFUEGOS_FABRICADOS'!F:F,'MP_MATAFUEGOS_FABRICADOS'!$A:$A,$A83,'MP_MATAFUEGOS_FABRICADOS'!$B:$B,$B83)+SUMIFS('MP_RECARGAS'!F:F,'MP_RECARGAS'!$A:$A,$A83,'MP_RECARGAS'!$B:$B,$B83)</f>
        <v/>
      </c>
      <c r="G83" s="21">
        <f>SUMIFS('MP_MATAFUEGOS_FABRICADOS'!G:G,'MP_MATAFUEGOS_FABRICADOS'!$A:$A,$A83,'MP_MATAFUEGOS_FABRICADOS'!$B:$B,$B83)+SUMIFS('MP_RECARGAS'!G:G,'MP_RECARGAS'!$A:$A,$A83,'MP_RECARGAS'!$B:$B,$B83)</f>
        <v/>
      </c>
      <c r="H83" s="21">
        <f>SUMIFS('MP_MATAFUEGOS_FABRICADOS'!H:H,'MP_MATAFUEGOS_FABRICADOS'!$A:$A,$A83,'MP_MATAFUEGOS_FABRICADOS'!$B:$B,$B83)+SUMIFS('MP_RECARGAS'!H:H,'MP_RECARGAS'!$A:$A,$A83,'MP_RECARGAS'!$B:$B,$B83)</f>
        <v/>
      </c>
      <c r="I83" s="21">
        <f>SUMIFS('MP_MATAFUEGOS_FABRICADOS'!I:I,'MP_MATAFUEGOS_FABRICADOS'!$A:$A,$A83,'MP_MATAFUEGOS_FABRICADOS'!$B:$B,$B83)+SUMIFS('MP_RECARGAS'!I:I,'MP_RECARGAS'!$A:$A,$A83,'MP_RECARGAS'!$B:$B,$B83)</f>
        <v/>
      </c>
      <c r="J83" s="21">
        <f>SUMIFS('MP_MATAFUEGOS_FABRICADOS'!J:J,'MP_MATAFUEGOS_FABRICADOS'!$A:$A,$A83,'MP_MATAFUEGOS_FABRICADOS'!$B:$B,$B83)+SUMIFS('MP_RECARGAS'!J:J,'MP_RECARGAS'!$A:$A,$A83,'MP_RECARGAS'!$B:$B,$B83)</f>
        <v/>
      </c>
      <c r="K83" s="21">
        <f>SUMIFS('MP_MATAFUEGOS_FABRICADOS'!K:K,'MP_MATAFUEGOS_FABRICADOS'!$A:$A,$A83,'MP_MATAFUEGOS_FABRICADOS'!$B:$B,$B83)+SUMIFS('MP_RECARGAS'!K:K,'MP_RECARGAS'!$A:$A,$A83,'MP_RECARGAS'!$B:$B,$B83)</f>
        <v/>
      </c>
      <c r="L83" s="21">
        <f>SUMIFS('MP_MATAFUEGOS_FABRICADOS'!L:L,'MP_MATAFUEGOS_FABRICADOS'!$A:$A,$A83,'MP_MATAFUEGOS_FABRICADOS'!$B:$B,$B83)+SUMIFS('MP_RECARGAS'!L:L,'MP_RECARGAS'!$A:$A,$A83,'MP_RECARGAS'!$B:$B,$B83)</f>
        <v/>
      </c>
      <c r="M83" s="21">
        <f>SUMIFS('MP_MATAFUEGOS_FABRICADOS'!M:M,'MP_MATAFUEGOS_FABRICADOS'!$A:$A,$A83,'MP_MATAFUEGOS_FABRICADOS'!$B:$B,$B83)+SUMIFS('MP_RECARGAS'!M:M,'MP_RECARGAS'!$A:$A,$A83,'MP_RECARGAS'!$B:$B,$B83)</f>
        <v/>
      </c>
      <c r="N83" s="21">
        <f>SUMIFS('MP_MATAFUEGOS_FABRICADOS'!N:N,'MP_MATAFUEGOS_FABRICADOS'!$A:$A,$A83,'MP_MATAFUEGOS_FABRICADOS'!$B:$B,$B83)+SUMIFS('MP_RECARGAS'!N:N,'MP_RECARGAS'!$A:$A,$A83,'MP_RECARGAS'!$B:$B,$B83)</f>
        <v/>
      </c>
      <c r="O83" s="21">
        <f>SUMIFS('MP_MATAFUEGOS_FABRICADOS'!O:O,'MP_MATAFUEGOS_FABRICADOS'!$A:$A,$A83,'MP_MATAFUEGOS_FABRICADOS'!$B:$B,$B83)+SUMIFS('MP_RECARGAS'!O:O,'MP_RECARGAS'!$A:$A,$A83,'MP_RECARGAS'!$B:$B,$B83)</f>
        <v/>
      </c>
    </row>
    <row r="84">
      <c r="A84" s="2" t="inlineStr">
        <is>
          <t>Estampilla IRAM de conformidad — 60 × 40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IRAM - Instituto Argentino de Normalización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168 × 137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234 × 152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289 × 144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343 × 224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522 × 210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604 × 207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/ placa de características — 736 × 214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MP_MATAFUEGOS_FABRICADOS</t>
        </is>
      </c>
      <c r="F91" s="21">
        <f>SUMIFS('MP_MATAFUEGOS_FABRICADOS'!F:F,'MP_MATAFUEGOS_FABRICADOS'!$A:$A,$A91,'MP_MATAFUEGOS_FABRICADOS'!$B:$B,$B91)</f>
        <v/>
      </c>
      <c r="G91" s="21">
        <f>SUMIFS('MP_MATAFUEGOS_FABRICADOS'!G:G,'MP_MATAFUEGOS_FABRICADOS'!$A:$A,$A91,'MP_MATAFUEGOS_FABRICADOS'!$B:$B,$B91)</f>
        <v/>
      </c>
      <c r="H91" s="21">
        <f>SUMIFS('MP_MATAFUEGOS_FABRICADOS'!H:H,'MP_MATAFUEGOS_FABRICADOS'!$A:$A,$A91,'MP_MATAFUEGOS_FABRICADOS'!$B:$B,$B91)</f>
        <v/>
      </c>
      <c r="I91" s="21">
        <f>SUMIFS('MP_MATAFUEGOS_FABRICADOS'!I:I,'MP_MATAFUEGOS_FABRICADOS'!$A:$A,$A91,'MP_MATAFUEGOS_FABRICADOS'!$B:$B,$B91)</f>
        <v/>
      </c>
      <c r="J91" s="21">
        <f>SUMIFS('MP_MATAFUEGOS_FABRICADOS'!J:J,'MP_MATAFUEGOS_FABRICADOS'!$A:$A,$A91,'MP_MATAFUEGOS_FABRICADOS'!$B:$B,$B91)</f>
        <v/>
      </c>
      <c r="K91" s="21">
        <f>SUMIFS('MP_MATAFUEGOS_FABRICADOS'!K:K,'MP_MATAFUEGOS_FABRICADOS'!$A:$A,$A91,'MP_MATAFUEGOS_FABRICADOS'!$B:$B,$B91)</f>
        <v/>
      </c>
      <c r="L91" s="21">
        <f>SUMIFS('MP_MATAFUEGOS_FABRICADOS'!L:L,'MP_MATAFUEGOS_FABRICADOS'!$A:$A,$A91,'MP_MATAFUEGOS_FABRICADOS'!$B:$B,$B91)</f>
        <v/>
      </c>
      <c r="M91" s="21">
        <f>SUMIFS('MP_MATAFUEGOS_FABRICADOS'!M:M,'MP_MATAFUEGOS_FABRICADOS'!$A:$A,$A91,'MP_MATAFUEGOS_FABRICADOS'!$B:$B,$B91)</f>
        <v/>
      </c>
      <c r="N91" s="21">
        <f>SUMIFS('MP_MATAFUEGOS_FABRICADOS'!N:N,'MP_MATAFUEGOS_FABRICADOS'!$A:$A,$A91,'MP_MATAFUEGOS_FABRICADOS'!$B:$B,$B91)</f>
        <v/>
      </c>
      <c r="O91" s="21">
        <f>SUMIFS('MP_MATAFUEGOS_FABRICADOS'!O:O,'MP_MATAFUEGOS_FABRICADOS'!$A:$A,$A91,'MP_MATAFUEGOS_FABRICADOS'!$B:$B,$B91)</f>
        <v/>
      </c>
    </row>
    <row r="92">
      <c r="A92" s="2" t="inlineStr">
        <is>
          <t>Etiqueta de identificación del cilindro suelto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MP_CILINDROS</t>
        </is>
      </c>
      <c r="F92" s="21">
        <f>SUMIFS('MP_CILINDROS'!F:F,'MP_CILINDROS'!$A:$A,$A92,'MP_CILINDROS'!$B:$B,$B92)</f>
        <v/>
      </c>
      <c r="G92" s="21">
        <f>SUMIFS('MP_CILINDROS'!G:G,'MP_CILINDROS'!$A:$A,$A92,'MP_CILINDROS'!$B:$B,$B92)</f>
        <v/>
      </c>
      <c r="H92" s="21">
        <f>SUMIFS('MP_CILINDROS'!H:H,'MP_CILINDROS'!$A:$A,$A92,'MP_CILINDROS'!$B:$B,$B92)</f>
        <v/>
      </c>
      <c r="I92" s="21">
        <f>SUMIFS('MP_CILINDROS'!I:I,'MP_CILINDROS'!$A:$A,$A92,'MP_CILINDROS'!$B:$B,$B92)</f>
        <v/>
      </c>
      <c r="J92" s="21">
        <f>SUMIFS('MP_CILINDROS'!J:J,'MP_CILINDROS'!$A:$A,$A92,'MP_CILINDROS'!$B:$B,$B92)</f>
        <v/>
      </c>
      <c r="K92" s="21">
        <f>SUMIFS('MP_CILINDROS'!K:K,'MP_CILINDROS'!$A:$A,$A92,'MP_CILINDROS'!$B:$B,$B92)</f>
        <v/>
      </c>
      <c r="L92" s="21">
        <f>SUMIFS('MP_CILINDROS'!L:L,'MP_CILINDROS'!$A:$A,$A92,'MP_CILINDROS'!$B:$B,$B92)</f>
        <v/>
      </c>
      <c r="M92" s="21">
        <f>SUMIFS('MP_CILINDROS'!M:M,'MP_CILINDROS'!$A:$A,$A92,'MP_CILINDROS'!$B:$B,$B92)</f>
        <v/>
      </c>
      <c r="N92" s="21">
        <f>SUMIFS('MP_CILINDROS'!N:N,'MP_CILINDROS'!$A:$A,$A92,'MP_CILINDROS'!$B:$B,$B92)</f>
        <v/>
      </c>
      <c r="O92" s="21">
        <f>SUMIFS('MP_CILINDROS'!O:O,'MP_CILINDROS'!$A:$A,$A92,'MP_CILINDROS'!$B:$B,$B92)</f>
        <v/>
      </c>
    </row>
    <row r="93">
      <c r="A93" s="2" t="inlineStr">
        <is>
          <t>Etiqueta de n° de serie GS1 — 45 × 25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Faja de garantía válvula-cuello — 30 × 40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Oblea de fabricación (PBA) — Ø46 (Res. OPDS 522/07), numerada, autodestructible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Ministerio de Ambiente PBA (ex OPDS)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Precinto de fábrica — Ø5 × 10, numerado, rotura 30-50 N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SonFuertes (vía Papelera Damián)</t>
        </is>
      </c>
      <c r="E96" s="2" t="inlineStr">
        <is>
          <t>MP_MATAFUEGOS_FABRICADOS</t>
        </is>
      </c>
      <c r="F96" s="21">
        <f>SUMIFS('MP_MATAFUEGOS_FABRICADOS'!F:F,'MP_MATAFUEGOS_FABRICADOS'!$A:$A,$A96,'MP_MATAFUEGOS_FABRICADOS'!$B:$B,$B96)</f>
        <v/>
      </c>
      <c r="G96" s="21">
        <f>SUMIFS('MP_MATAFUEGOS_FABRICADOS'!G:G,'MP_MATAFUEGOS_FABRICADOS'!$A:$A,$A96,'MP_MATAFUEGOS_FABRICADOS'!$B:$B,$B96)</f>
        <v/>
      </c>
      <c r="H96" s="21">
        <f>SUMIFS('MP_MATAFUEGOS_FABRICADOS'!H:H,'MP_MATAFUEGOS_FABRICADOS'!$A:$A,$A96,'MP_MATAFUEGOS_FABRICADOS'!$B:$B,$B96)</f>
        <v/>
      </c>
      <c r="I96" s="21">
        <f>SUMIFS('MP_MATAFUEGOS_FABRICADOS'!I:I,'MP_MATAFUEGOS_FABRICADOS'!$A:$A,$A96,'MP_MATAFUEGOS_FABRICADOS'!$B:$B,$B96)</f>
        <v/>
      </c>
      <c r="J96" s="21">
        <f>SUMIFS('MP_MATAFUEGOS_FABRICADOS'!J:J,'MP_MATAFUEGOS_FABRICADOS'!$A:$A,$A96,'MP_MATAFUEGOS_FABRICADOS'!$B:$B,$B96)</f>
        <v/>
      </c>
      <c r="K96" s="21">
        <f>SUMIFS('MP_MATAFUEGOS_FABRICADOS'!K:K,'MP_MATAFUEGOS_FABRICADOS'!$A:$A,$A96,'MP_MATAFUEGOS_FABRICADOS'!$B:$B,$B96)</f>
        <v/>
      </c>
      <c r="L96" s="21">
        <f>SUMIFS('MP_MATAFUEGOS_FABRICADOS'!L:L,'MP_MATAFUEGOS_FABRICADOS'!$A:$A,$A96,'MP_MATAFUEGOS_FABRICADOS'!$B:$B,$B96)</f>
        <v/>
      </c>
      <c r="M96" s="21">
        <f>SUMIFS('MP_MATAFUEGOS_FABRICADOS'!M:M,'MP_MATAFUEGOS_FABRICADOS'!$A:$A,$A96,'MP_MATAFUEGOS_FABRICADOS'!$B:$B,$B96)</f>
        <v/>
      </c>
      <c r="N96" s="21">
        <f>SUMIFS('MP_MATAFUEGOS_FABRICADOS'!N:N,'MP_MATAFUEGOS_FABRICADOS'!$A:$A,$A96,'MP_MATAFUEGOS_FABRICADOS'!$B:$B,$B96)</f>
        <v/>
      </c>
      <c r="O96" s="21">
        <f>SUMIFS('MP_MATAFUEGOS_FABRICADOS'!O:O,'MP_MATAFUEGOS_FABRICADOS'!$A:$A,$A96,'MP_MATAFUEGOS_FABRICADOS'!$B:$B,$B96)</f>
        <v/>
      </c>
    </row>
    <row r="97">
      <c r="A97" s="2" t="inlineStr">
        <is>
          <t>Tarjeta de identificación AGC (CABA) — 140 × 55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Agencia Gubernamental de Control (CABA)</t>
        </is>
      </c>
      <c r="E97" s="2" t="inlineStr">
        <is>
          <t>MP_MATAFUEGOS_FABRICADOS, MP_MATAFUEGOS_REVENDIDOS</t>
        </is>
      </c>
      <c r="F97" s="21">
        <f>SUMIFS('MP_MATAFUEGOS_FABRICADOS'!F:F,'MP_MATAFUEGOS_FABRICADOS'!$A:$A,$A97,'MP_MATAFUEGOS_FABRICADOS'!$B:$B,$B97)+SUMIFS('MP_MATAFUEGOS_REVENDIDOS'!F:F,'MP_MATAFUEGOS_REVENDIDOS'!$A:$A,$A97,'MP_MATAFUEGOS_REVENDIDOS'!$B:$B,$B97)</f>
        <v/>
      </c>
      <c r="G97" s="21">
        <f>SUMIFS('MP_MATAFUEGOS_FABRICADOS'!G:G,'MP_MATAFUEGOS_FABRICADOS'!$A:$A,$A97,'MP_MATAFUEGOS_FABRICADOS'!$B:$B,$B97)+SUMIFS('MP_MATAFUEGOS_REVENDIDOS'!G:G,'MP_MATAFUEGOS_REVENDIDOS'!$A:$A,$A97,'MP_MATAFUEGOS_REVENDIDOS'!$B:$B,$B97)</f>
        <v/>
      </c>
      <c r="H97" s="21">
        <f>SUMIFS('MP_MATAFUEGOS_FABRICADOS'!H:H,'MP_MATAFUEGOS_FABRICADOS'!$A:$A,$A97,'MP_MATAFUEGOS_FABRICADOS'!$B:$B,$B97)+SUMIFS('MP_MATAFUEGOS_REVENDIDOS'!H:H,'MP_MATAFUEGOS_REVENDIDOS'!$A:$A,$A97,'MP_MATAFUEGOS_REVENDIDOS'!$B:$B,$B97)</f>
        <v/>
      </c>
      <c r="I97" s="21">
        <f>SUMIFS('MP_MATAFUEGOS_FABRICADOS'!I:I,'MP_MATAFUEGOS_FABRICADOS'!$A:$A,$A97,'MP_MATAFUEGOS_FABRICADOS'!$B:$B,$B97)+SUMIFS('MP_MATAFUEGOS_REVENDIDOS'!I:I,'MP_MATAFUEGOS_REVENDIDOS'!$A:$A,$A97,'MP_MATAFUEGOS_REVENDIDOS'!$B:$B,$B97)</f>
        <v/>
      </c>
      <c r="J97" s="21">
        <f>SUMIFS('MP_MATAFUEGOS_FABRICADOS'!J:J,'MP_MATAFUEGOS_FABRICADOS'!$A:$A,$A97,'MP_MATAFUEGOS_FABRICADOS'!$B:$B,$B97)+SUMIFS('MP_MATAFUEGOS_REVENDIDOS'!J:J,'MP_MATAFUEGOS_REVENDIDOS'!$A:$A,$A97,'MP_MATAFUEGOS_REVENDIDOS'!$B:$B,$B97)</f>
        <v/>
      </c>
      <c r="K97" s="21">
        <f>SUMIFS('MP_MATAFUEGOS_FABRICADOS'!K:K,'MP_MATAFUEGOS_FABRICADOS'!$A:$A,$A97,'MP_MATAFUEGOS_FABRICADOS'!$B:$B,$B97)+SUMIFS('MP_MATAFUEGOS_REVENDIDOS'!K:K,'MP_MATAFUEGOS_REVENDIDOS'!$A:$A,$A97,'MP_MATAFUEGOS_REVENDIDOS'!$B:$B,$B97)</f>
        <v/>
      </c>
      <c r="L97" s="21">
        <f>SUMIFS('MP_MATAFUEGOS_FABRICADOS'!L:L,'MP_MATAFUEGOS_FABRICADOS'!$A:$A,$A97,'MP_MATAFUEGOS_FABRICADOS'!$B:$B,$B97)+SUMIFS('MP_MATAFUEGOS_REVENDIDOS'!L:L,'MP_MATAFUEGOS_REVENDIDOS'!$A:$A,$A97,'MP_MATAFUEGOS_REVENDIDOS'!$B:$B,$B97)</f>
        <v/>
      </c>
      <c r="M97" s="21">
        <f>SUMIFS('MP_MATAFUEGOS_FABRICADOS'!M:M,'MP_MATAFUEGOS_FABRICADOS'!$A:$A,$A97,'MP_MATAFUEGOS_FABRICADOS'!$B:$B,$B97)+SUMIFS('MP_MATAFUEGOS_REVENDIDOS'!M:M,'MP_MATAFUEGOS_REVENDIDOS'!$A:$A,$A97,'MP_MATAFUEGOS_REVENDIDOS'!$B:$B,$B97)</f>
        <v/>
      </c>
      <c r="N97" s="21">
        <f>SUMIFS('MP_MATAFUEGOS_FABRICADOS'!N:N,'MP_MATAFUEGOS_FABRICADOS'!$A:$A,$A97,'MP_MATAFUEGOS_FABRICADOS'!$B:$B,$B97)+SUMIFS('MP_MATAFUEGOS_REVENDIDOS'!N:N,'MP_MATAFUEGOS_REVENDIDOS'!$A:$A,$A97,'MP_MATAFUEGOS_REVENDIDOS'!$B:$B,$B97)</f>
        <v/>
      </c>
      <c r="O97" s="21">
        <f>SUMIFS('MP_MATAFUEGOS_FABRICADOS'!O:O,'MP_MATAFUEGOS_FABRICADOS'!$A:$A,$A97,'MP_MATAFUEGOS_FABRICADOS'!$B:$B,$B97)+SUMIFS('MP_MATAFUEGOS_REVENDIDOS'!O:O,'MP_MATAFUEGOS_REVENDIDOS'!$A:$A,$A97,'MP_MATAFUEGOS_REVENDIDOS'!$B:$B,$B97)</f>
        <v/>
      </c>
    </row>
    <row r="98">
      <c r="A98" s="2" t="inlineStr">
        <is>
          <t>Soporte de pared (FL_ACC_01)</t>
        </is>
      </c>
      <c r="B98" s="2" t="inlineStr">
        <is>
          <t>u</t>
        </is>
      </c>
      <c r="C98" s="2" t="inlineStr">
        <is>
          <t>Soporte</t>
        </is>
      </c>
      <c r="D98" s="2" t="inlineStr">
        <is>
          <t>Maxiseguridad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Soporte vehicular con cierre rápido (FL_ACC_02)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Maxiseguridad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Tornillo y tarugo de fijación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Würth Argentina</t>
        </is>
      </c>
      <c r="E100" s="2" t="inlineStr">
        <is>
          <t>MP_MATAFUEGOS_FABRICADOS</t>
        </is>
      </c>
      <c r="F100" s="21">
        <f>SUMIFS('MP_MATAFUEGOS_FABRICADOS'!F:F,'MP_MATAFUEGOS_FABRICADOS'!$A:$A,$A100,'MP_MATAFUEGOS_FABRICADOS'!$B:$B,$B100)</f>
        <v/>
      </c>
      <c r="G100" s="21">
        <f>SUMIFS('MP_MATAFUEGOS_FABRICADOS'!G:G,'MP_MATAFUEGOS_FABRICADOS'!$A:$A,$A100,'MP_MATAFUEGOS_FABRICADOS'!$B:$B,$B100)</f>
        <v/>
      </c>
      <c r="H100" s="21">
        <f>SUMIFS('MP_MATAFUEGOS_FABRICADOS'!H:H,'MP_MATAFUEGOS_FABRICADOS'!$A:$A,$A100,'MP_MATAFUEGOS_FABRICADOS'!$B:$B,$B100)</f>
        <v/>
      </c>
      <c r="I100" s="21">
        <f>SUMIFS('MP_MATAFUEGOS_FABRICADOS'!I:I,'MP_MATAFUEGOS_FABRICADOS'!$A:$A,$A100,'MP_MATAFUEGOS_FABRICADOS'!$B:$B,$B100)</f>
        <v/>
      </c>
      <c r="J100" s="21">
        <f>SUMIFS('MP_MATAFUEGOS_FABRICADOS'!J:J,'MP_MATAFUEGOS_FABRICADOS'!$A:$A,$A100,'MP_MATAFUEGOS_FABRICADOS'!$B:$B,$B100)</f>
        <v/>
      </c>
      <c r="K100" s="21">
        <f>SUMIFS('MP_MATAFUEGOS_FABRICADOS'!K:K,'MP_MATAFUEGOS_FABRICADOS'!$A:$A,$A100,'MP_MATAFUEGOS_FABRICADOS'!$B:$B,$B100)</f>
        <v/>
      </c>
      <c r="L100" s="21">
        <f>SUMIFS('MP_MATAFUEGOS_FABRICADOS'!L:L,'MP_MATAFUEGOS_FABRICADOS'!$A:$A,$A100,'MP_MATAFUEGOS_FABRICADOS'!$B:$B,$B100)</f>
        <v/>
      </c>
      <c r="M100" s="21">
        <f>SUMIFS('MP_MATAFUEGOS_FABRICADOS'!M:M,'MP_MATAFUEGOS_FABRICADOS'!$A:$A,$A100,'MP_MATAFUEGOS_FABRICADOS'!$B:$B,$B100)</f>
        <v/>
      </c>
      <c r="N100" s="21">
        <f>SUMIFS('MP_MATAFUEGOS_FABRICADOS'!N:N,'MP_MATAFUEGOS_FABRICADOS'!$A:$A,$A100,'MP_MATAFUEGOS_FABRICADOS'!$B:$B,$B100)</f>
        <v/>
      </c>
      <c r="O100" s="21">
        <f>SUMIFS('MP_MATAFUEGOS_FABRICADOS'!O:O,'MP_MATAFUEGOS_FABRICADOS'!$A:$A,$A100,'MP_MATAFUEGOS_FABRICADOS'!$B:$B,$B100)</f>
        <v/>
      </c>
    </row>
    <row r="101">
      <c r="A101" s="2" t="inlineStr">
        <is>
          <t>Caja de cartón corrugado doble — 212 × 212 × 582 interior (envolvente del plano + 15 por lado)</t>
        </is>
      </c>
      <c r="B101" s="2" t="inlineStr">
        <is>
          <t>u</t>
        </is>
      </c>
      <c r="C101" s="2" t="inlineStr">
        <is>
          <t>Embalaje</t>
        </is>
      </c>
      <c r="D101" s="2" t="inlineStr">
        <is>
          <t>Maxipack</t>
        </is>
      </c>
      <c r="E101" s="2" t="inlineStr">
        <is>
          <t>MP_CILINDROS</t>
        </is>
      </c>
      <c r="F101" s="21">
        <f>SUMIFS('MP_CILINDROS'!F:F,'MP_CILINDROS'!$A:$A,$A101,'MP_CILINDROS'!$B:$B,$B101)</f>
        <v/>
      </c>
      <c r="G101" s="21">
        <f>SUMIFS('MP_CILINDROS'!G:G,'MP_CILINDROS'!$A:$A,$A101,'MP_CILINDROS'!$B:$B,$B101)</f>
        <v/>
      </c>
      <c r="H101" s="21">
        <f>SUMIFS('MP_CILINDROS'!H:H,'MP_CILINDROS'!$A:$A,$A101,'MP_CILINDROS'!$B:$B,$B101)</f>
        <v/>
      </c>
      <c r="I101" s="21">
        <f>SUMIFS('MP_CILINDROS'!I:I,'MP_CILINDROS'!$A:$A,$A101,'MP_CILINDROS'!$B:$B,$B101)</f>
        <v/>
      </c>
      <c r="J101" s="21">
        <f>SUMIFS('MP_CILINDROS'!J:J,'MP_CILINDROS'!$A:$A,$A101,'MP_CILINDROS'!$B:$B,$B101)</f>
        <v/>
      </c>
      <c r="K101" s="21">
        <f>SUMIFS('MP_CILINDROS'!K:K,'MP_CILINDROS'!$A:$A,$A101,'MP_CILINDROS'!$B:$B,$B101)</f>
        <v/>
      </c>
      <c r="L101" s="21">
        <f>SUMIFS('MP_CILINDROS'!L:L,'MP_CILINDROS'!$A:$A,$A101,'MP_CILINDROS'!$B:$B,$B101)</f>
        <v/>
      </c>
      <c r="M101" s="21">
        <f>SUMIFS('MP_CILINDROS'!M:M,'MP_CILINDROS'!$A:$A,$A101,'MP_CILINDROS'!$B:$B,$B101)</f>
        <v/>
      </c>
      <c r="N101" s="21">
        <f>SUMIFS('MP_CILINDROS'!N:N,'MP_CILINDROS'!$A:$A,$A101,'MP_CILINDROS'!$B:$B,$B101)</f>
        <v/>
      </c>
      <c r="O101" s="21">
        <f>SUMIFS('MP_CILINDROS'!O:O,'MP_CILINDROS'!$A:$A,$A101,'MP_CILINDROS'!$B:$B,$B101)</f>
        <v/>
      </c>
    </row>
    <row r="102">
      <c r="A102" s="2" t="inlineStr">
        <is>
          <t>Caja de cartón corrugado doble — 258 × 215 × 628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MP_MATAFUEGOS_FABRICADOS</t>
        </is>
      </c>
      <c r="F102" s="21">
        <f>SUMIFS('MP_MATAFUEGOS_FABRICADOS'!F:F,'MP_MATAFUEGOS_FABRICADOS'!$A:$A,$A102,'MP_MATAFUEGOS_FABRICADOS'!$B:$B,$B102)</f>
        <v/>
      </c>
      <c r="G102" s="21">
        <f>SUMIFS('MP_MATAFUEGOS_FABRICADOS'!G:G,'MP_MATAFUEGOS_FABRICADOS'!$A:$A,$A102,'MP_MATAFUEGOS_FABRICADOS'!$B:$B,$B102)</f>
        <v/>
      </c>
      <c r="H102" s="21">
        <f>SUMIFS('MP_MATAFUEGOS_FABRICADOS'!H:H,'MP_MATAFUEGOS_FABRICADOS'!$A:$A,$A102,'MP_MATAFUEGOS_FABRICADOS'!$B:$B,$B102)</f>
        <v/>
      </c>
      <c r="I102" s="21">
        <f>SUMIFS('MP_MATAFUEGOS_FABRICADOS'!I:I,'MP_MATAFUEGOS_FABRICADOS'!$A:$A,$A102,'MP_MATAFUEGOS_FABRICADOS'!$B:$B,$B102)</f>
        <v/>
      </c>
      <c r="J102" s="21">
        <f>SUMIFS('MP_MATAFUEGOS_FABRICADOS'!J:J,'MP_MATAFUEGOS_FABRICADOS'!$A:$A,$A102,'MP_MATAFUEGOS_FABRICADOS'!$B:$B,$B102)</f>
        <v/>
      </c>
      <c r="K102" s="21">
        <f>SUMIFS('MP_MATAFUEGOS_FABRICADOS'!K:K,'MP_MATAFUEGOS_FABRICADOS'!$A:$A,$A102,'MP_MATAFUEGOS_FABRICADOS'!$B:$B,$B102)</f>
        <v/>
      </c>
      <c r="L102" s="21">
        <f>SUMIFS('MP_MATAFUEGOS_FABRICADOS'!L:L,'MP_MATAFUEGOS_FABRICADOS'!$A:$A,$A102,'MP_MATAFUEGOS_FABRICADOS'!$B:$B,$B102)</f>
        <v/>
      </c>
      <c r="M102" s="21">
        <f>SUMIFS('MP_MATAFUEGOS_FABRICADOS'!M:M,'MP_MATAFUEGOS_FABRICADOS'!$A:$A,$A102,'MP_MATAFUEGOS_FABRICADOS'!$B:$B,$B102)</f>
        <v/>
      </c>
      <c r="N102" s="21">
        <f>SUMIFS('MP_MATAFUEGOS_FABRICADOS'!N:N,'MP_MATAFUEGOS_FABRICADOS'!$A:$A,$A102,'MP_MATAFUEGOS_FABRICADOS'!$B:$B,$B102)</f>
        <v/>
      </c>
      <c r="O102" s="21">
        <f>SUMIFS('MP_MATAFUEGOS_FABRICADOS'!O:O,'MP_MATAFUEGOS_FABRICADOS'!$A:$A,$A102,'MP_MATAFUEGOS_FABRICADOS'!$B:$B,$B102)</f>
        <v/>
      </c>
    </row>
    <row r="103">
      <c r="A103" s="2" t="inlineStr">
        <is>
          <t>Caja de cartón corrugado simple — 106 × 106 × 318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MP_CILINDROS</t>
        </is>
      </c>
      <c r="F103" s="21">
        <f>SUMIFS('MP_CILINDROS'!F:F,'MP_CILINDROS'!$A:$A,$A103,'MP_CILINDROS'!$B:$B,$B103)</f>
        <v/>
      </c>
      <c r="G103" s="21">
        <f>SUMIFS('MP_CILINDROS'!G:G,'MP_CILINDROS'!$A:$A,$A103,'MP_CILINDROS'!$B:$B,$B103)</f>
        <v/>
      </c>
      <c r="H103" s="21">
        <f>SUMIFS('MP_CILINDROS'!H:H,'MP_CILINDROS'!$A:$A,$A103,'MP_CILINDROS'!$B:$B,$B103)</f>
        <v/>
      </c>
      <c r="I103" s="21">
        <f>SUMIFS('MP_CILINDROS'!I:I,'MP_CILINDROS'!$A:$A,$A103,'MP_CILINDROS'!$B:$B,$B103)</f>
        <v/>
      </c>
      <c r="J103" s="21">
        <f>SUMIFS('MP_CILINDROS'!J:J,'MP_CILINDROS'!$A:$A,$A103,'MP_CILINDROS'!$B:$B,$B103)</f>
        <v/>
      </c>
      <c r="K103" s="21">
        <f>SUMIFS('MP_CILINDROS'!K:K,'MP_CILINDROS'!$A:$A,$A103,'MP_CILINDROS'!$B:$B,$B103)</f>
        <v/>
      </c>
      <c r="L103" s="21">
        <f>SUMIFS('MP_CILINDROS'!L:L,'MP_CILINDROS'!$A:$A,$A103,'MP_CILINDROS'!$B:$B,$B103)</f>
        <v/>
      </c>
      <c r="M103" s="21">
        <f>SUMIFS('MP_CILINDROS'!M:M,'MP_CILINDROS'!$A:$A,$A103,'MP_CILINDROS'!$B:$B,$B103)</f>
        <v/>
      </c>
      <c r="N103" s="21">
        <f>SUMIFS('MP_CILINDROS'!N:N,'MP_CILINDROS'!$A:$A,$A103,'MP_CILINDROS'!$B:$B,$B103)</f>
        <v/>
      </c>
      <c r="O103" s="21">
        <f>SUMIFS('MP_CILINDROS'!O:O,'MP_CILINDROS'!$A:$A,$A103,'MP_CILINDROS'!$B:$B,$B103)</f>
        <v/>
      </c>
    </row>
    <row r="104">
      <c r="A104" s="2" t="inlineStr">
        <is>
          <t>Caja de cartón corrugado simple — 154 × 154 × 334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MP_CILINDROS</t>
        </is>
      </c>
      <c r="F104" s="21">
        <f>SUMIFS('MP_CILINDROS'!F:F,'MP_CILINDROS'!$A:$A,$A104,'MP_CILINDROS'!$B:$B,$B104)</f>
        <v/>
      </c>
      <c r="G104" s="21">
        <f>SUMIFS('MP_CILINDROS'!G:G,'MP_CILINDROS'!$A:$A,$A104,'MP_CILINDROS'!$B:$B,$B104)</f>
        <v/>
      </c>
      <c r="H104" s="21">
        <f>SUMIFS('MP_CILINDROS'!H:H,'MP_CILINDROS'!$A:$A,$A104,'MP_CILINDROS'!$B:$B,$B104)</f>
        <v/>
      </c>
      <c r="I104" s="21">
        <f>SUMIFS('MP_CILINDROS'!I:I,'MP_CILINDROS'!$A:$A,$A104,'MP_CILINDROS'!$B:$B,$B104)</f>
        <v/>
      </c>
      <c r="J104" s="21">
        <f>SUMIFS('MP_CILINDROS'!J:J,'MP_CILINDROS'!$A:$A,$A104,'MP_CILINDROS'!$B:$B,$B104)</f>
        <v/>
      </c>
      <c r="K104" s="21">
        <f>SUMIFS('MP_CILINDROS'!K:K,'MP_CILINDROS'!$A:$A,$A104,'MP_CILINDROS'!$B:$B,$B104)</f>
        <v/>
      </c>
      <c r="L104" s="21">
        <f>SUMIFS('MP_CILINDROS'!L:L,'MP_CILINDROS'!$A:$A,$A104,'MP_CILINDROS'!$B:$B,$B104)</f>
        <v/>
      </c>
      <c r="M104" s="21">
        <f>SUMIFS('MP_CILINDROS'!M:M,'MP_CILINDROS'!$A:$A,$A104,'MP_CILINDROS'!$B:$B,$B104)</f>
        <v/>
      </c>
      <c r="N104" s="21">
        <f>SUMIFS('MP_CILINDROS'!N:N,'MP_CILINDROS'!$A:$A,$A104,'MP_CILINDROS'!$B:$B,$B104)</f>
        <v/>
      </c>
      <c r="O104" s="21">
        <f>SUMIFS('MP_CILINDROS'!O:O,'MP_CILINDROS'!$A:$A,$A104,'MP_CILINDROS'!$B:$B,$B104)</f>
        <v/>
      </c>
    </row>
    <row r="105">
      <c r="A105" s="2" t="inlineStr">
        <is>
          <t>Caja de cartón corrugado simple — 160 × 107 × 347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MP_MATAFUEGOS_FABRICADOS</t>
        </is>
      </c>
      <c r="F105" s="21">
        <f>SUMIFS('MP_MATAFUEGOS_FABRICADOS'!F:F,'MP_MATAFUEGOS_FABRICADOS'!$A:$A,$A105,'MP_MATAFUEGOS_FABRICADOS'!$B:$B,$B105)</f>
        <v/>
      </c>
      <c r="G105" s="21">
        <f>SUMIFS('MP_MATAFUEGOS_FABRICADOS'!G:G,'MP_MATAFUEGOS_FABRICADOS'!$A:$A,$A105,'MP_MATAFUEGOS_FABRICADOS'!$B:$B,$B105)</f>
        <v/>
      </c>
      <c r="H105" s="21">
        <f>SUMIFS('MP_MATAFUEGOS_FABRICADOS'!H:H,'MP_MATAFUEGOS_FABRICADOS'!$A:$A,$A105,'MP_MATAFUEGOS_FABRICADOS'!$B:$B,$B105)</f>
        <v/>
      </c>
      <c r="I105" s="21">
        <f>SUMIFS('MP_MATAFUEGOS_FABRICADOS'!I:I,'MP_MATAFUEGOS_FABRICADOS'!$A:$A,$A105,'MP_MATAFUEGOS_FABRICADOS'!$B:$B,$B105)</f>
        <v/>
      </c>
      <c r="J105" s="21">
        <f>SUMIFS('MP_MATAFUEGOS_FABRICADOS'!J:J,'MP_MATAFUEGOS_FABRICADOS'!$A:$A,$A105,'MP_MATAFUEGOS_FABRICADOS'!$B:$B,$B105)</f>
        <v/>
      </c>
      <c r="K105" s="21">
        <f>SUMIFS('MP_MATAFUEGOS_FABRICADOS'!K:K,'MP_MATAFUEGOS_FABRICADOS'!$A:$A,$A105,'MP_MATAFUEGOS_FABRICADOS'!$B:$B,$B105)</f>
        <v/>
      </c>
      <c r="L105" s="21">
        <f>SUMIFS('MP_MATAFUEGOS_FABRICADOS'!L:L,'MP_MATAFUEGOS_FABRICADOS'!$A:$A,$A105,'MP_MATAFUEGOS_FABRICADOS'!$B:$B,$B105)</f>
        <v/>
      </c>
      <c r="M105" s="21">
        <f>SUMIFS('MP_MATAFUEGOS_FABRICADOS'!M:M,'MP_MATAFUEGOS_FABRICADOS'!$A:$A,$A105,'MP_MATAFUEGOS_FABRICADOS'!$B:$B,$B105)</f>
        <v/>
      </c>
      <c r="N105" s="21">
        <f>SUMIFS('MP_MATAFUEGOS_FABRICADOS'!N:N,'MP_MATAFUEGOS_FABRICADOS'!$A:$A,$A105,'MP_MATAFUEGOS_FABRICADOS'!$B:$B,$B105)</f>
        <v/>
      </c>
      <c r="O105" s="21">
        <f>SUMIFS('MP_MATAFUEGOS_FABRICADOS'!O:O,'MP_MATAFUEGOS_FABRICADOS'!$A:$A,$A105,'MP_MATAFUEGOS_FABRICADOS'!$B:$B,$B105)</f>
        <v/>
      </c>
    </row>
    <row r="106">
      <c r="A106" s="2" t="inlineStr">
        <is>
          <t>Caja de cartón corrugado simple — 183 × 183 × 410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MP_CILINDROS</t>
        </is>
      </c>
      <c r="F106" s="21">
        <f>SUMIFS('MP_CILINDROS'!F:F,'MP_CILINDROS'!$A:$A,$A106,'MP_CILINDROS'!$B:$B,$B106)</f>
        <v/>
      </c>
      <c r="G106" s="21">
        <f>SUMIFS('MP_CILINDROS'!G:G,'MP_CILINDROS'!$A:$A,$A106,'MP_CILINDROS'!$B:$B,$B106)</f>
        <v/>
      </c>
      <c r="H106" s="21">
        <f>SUMIFS('MP_CILINDROS'!H:H,'MP_CILINDROS'!$A:$A,$A106,'MP_CILINDROS'!$B:$B,$B106)</f>
        <v/>
      </c>
      <c r="I106" s="21">
        <f>SUMIFS('MP_CILINDROS'!I:I,'MP_CILINDROS'!$A:$A,$A106,'MP_CILINDROS'!$B:$B,$B106)</f>
        <v/>
      </c>
      <c r="J106" s="21">
        <f>SUMIFS('MP_CILINDROS'!J:J,'MP_CILINDROS'!$A:$A,$A106,'MP_CILINDROS'!$B:$B,$B106)</f>
        <v/>
      </c>
      <c r="K106" s="21">
        <f>SUMIFS('MP_CILINDROS'!K:K,'MP_CILINDROS'!$A:$A,$A106,'MP_CILINDROS'!$B:$B,$B106)</f>
        <v/>
      </c>
      <c r="L106" s="21">
        <f>SUMIFS('MP_CILINDROS'!L:L,'MP_CILINDROS'!$A:$A,$A106,'MP_CILINDROS'!$B:$B,$B106)</f>
        <v/>
      </c>
      <c r="M106" s="21">
        <f>SUMIFS('MP_CILINDROS'!M:M,'MP_CILINDROS'!$A:$A,$A106,'MP_CILINDROS'!$B:$B,$B106)</f>
        <v/>
      </c>
      <c r="N106" s="21">
        <f>SUMIFS('MP_CILINDROS'!N:N,'MP_CILINDROS'!$A:$A,$A106,'MP_CILINDROS'!$B:$B,$B106)</f>
        <v/>
      </c>
      <c r="O106" s="21">
        <f>SUMIFS('MP_CILINDROS'!O:O,'MP_CILINDROS'!$A:$A,$A106,'MP_CILINDROS'!$B:$B,$B106)</f>
        <v/>
      </c>
    </row>
    <row r="107">
      <c r="A107" s="2" t="inlineStr">
        <is>
          <t>Caja de cartón corrugado simple — 229 × 158 × 379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MP_MATAFUEGOS_FABRICADOS</t>
        </is>
      </c>
      <c r="F107" s="21">
        <f>SUMIFS('MP_MATAFUEGOS_FABRICADOS'!F:F,'MP_MATAFUEGOS_FABRICADOS'!$A:$A,$A107,'MP_MATAFUEGOS_FABRICADOS'!$B:$B,$B107)</f>
        <v/>
      </c>
      <c r="G107" s="21">
        <f>SUMIFS('MP_MATAFUEGOS_FABRICADOS'!G:G,'MP_MATAFUEGOS_FABRICADOS'!$A:$A,$A107,'MP_MATAFUEGOS_FABRICADOS'!$B:$B,$B107)</f>
        <v/>
      </c>
      <c r="H107" s="21">
        <f>SUMIFS('MP_MATAFUEGOS_FABRICADOS'!H:H,'MP_MATAFUEGOS_FABRICADOS'!$A:$A,$A107,'MP_MATAFUEGOS_FABRICADOS'!$B:$B,$B107)</f>
        <v/>
      </c>
      <c r="I107" s="21">
        <f>SUMIFS('MP_MATAFUEGOS_FABRICADOS'!I:I,'MP_MATAFUEGOS_FABRICADOS'!$A:$A,$A107,'MP_MATAFUEGOS_FABRICADOS'!$B:$B,$B107)</f>
        <v/>
      </c>
      <c r="J107" s="21">
        <f>SUMIFS('MP_MATAFUEGOS_FABRICADOS'!J:J,'MP_MATAFUEGOS_FABRICADOS'!$A:$A,$A107,'MP_MATAFUEGOS_FABRICADOS'!$B:$B,$B107)</f>
        <v/>
      </c>
      <c r="K107" s="21">
        <f>SUMIFS('MP_MATAFUEGOS_FABRICADOS'!K:K,'MP_MATAFUEGOS_FABRICADOS'!$A:$A,$A107,'MP_MATAFUEGOS_FABRICADOS'!$B:$B,$B107)</f>
        <v/>
      </c>
      <c r="L107" s="21">
        <f>SUMIFS('MP_MATAFUEGOS_FABRICADOS'!L:L,'MP_MATAFUEGOS_FABRICADOS'!$A:$A,$A107,'MP_MATAFUEGOS_FABRICADOS'!$B:$B,$B107)</f>
        <v/>
      </c>
      <c r="M107" s="21">
        <f>SUMIFS('MP_MATAFUEGOS_FABRICADOS'!M:M,'MP_MATAFUEGOS_FABRICADOS'!$A:$A,$A107,'MP_MATAFUEGOS_FABRICADOS'!$B:$B,$B107)</f>
        <v/>
      </c>
      <c r="N107" s="21">
        <f>SUMIFS('MP_MATAFUEGOS_FABRICADOS'!N:N,'MP_MATAFUEGOS_FABRICADOS'!$A:$A,$A107,'MP_MATAFUEGOS_FABRICADOS'!$B:$B,$B107)</f>
        <v/>
      </c>
      <c r="O107" s="21">
        <f>SUMIFS('MP_MATAFUEGOS_FABRICADOS'!O:O,'MP_MATAFUEGOS_FABRICADOS'!$A:$A,$A107,'MP_MATAFUEGOS_FABRICADOS'!$B:$B,$B107)</f>
        <v/>
      </c>
    </row>
    <row r="108">
      <c r="A108" s="2" t="inlineStr">
        <is>
          <t>Caja de cartón corrugado simple — 244 × 187 × 455 interior (envolvente del plano + 15 por lado)</t>
        </is>
      </c>
      <c r="B108" s="2" t="inlineStr">
        <is>
          <t>u</t>
        </is>
      </c>
      <c r="C108" s="2" t="inlineStr">
        <is>
          <t>Embalaje</t>
        </is>
      </c>
      <c r="D108" s="2" t="inlineStr">
        <is>
          <t>Maxipack</t>
        </is>
      </c>
      <c r="E108" s="2" t="inlineStr">
        <is>
          <t>MP_MATAFUEGOS_FABRICADOS</t>
        </is>
      </c>
      <c r="F108" s="21">
        <f>SUMIFS('MP_MATAFUEGOS_FABRICADOS'!F:F,'MP_MATAFUEGOS_FABRICADOS'!$A:$A,$A108,'MP_MATAFUEGOS_FABRICADOS'!$B:$B,$B108)</f>
        <v/>
      </c>
      <c r="G108" s="21">
        <f>SUMIFS('MP_MATAFUEGOS_FABRICADOS'!G:G,'MP_MATAFUEGOS_FABRICADOS'!$A:$A,$A108,'MP_MATAFUEGOS_FABRICADOS'!$B:$B,$B108)</f>
        <v/>
      </c>
      <c r="H108" s="21">
        <f>SUMIFS('MP_MATAFUEGOS_FABRICADOS'!H:H,'MP_MATAFUEGOS_FABRICADOS'!$A:$A,$A108,'MP_MATAFUEGOS_FABRICADOS'!$B:$B,$B108)</f>
        <v/>
      </c>
      <c r="I108" s="21">
        <f>SUMIFS('MP_MATAFUEGOS_FABRICADOS'!I:I,'MP_MATAFUEGOS_FABRICADOS'!$A:$A,$A108,'MP_MATAFUEGOS_FABRICADOS'!$B:$B,$B108)</f>
        <v/>
      </c>
      <c r="J108" s="21">
        <f>SUMIFS('MP_MATAFUEGOS_FABRICADOS'!J:J,'MP_MATAFUEGOS_FABRICADOS'!$A:$A,$A108,'MP_MATAFUEGOS_FABRICADOS'!$B:$B,$B108)</f>
        <v/>
      </c>
      <c r="K108" s="21">
        <f>SUMIFS('MP_MATAFUEGOS_FABRICADOS'!K:K,'MP_MATAFUEGOS_FABRICADOS'!$A:$A,$A108,'MP_MATAFUEGOS_FABRICADOS'!$B:$B,$B108)</f>
        <v/>
      </c>
      <c r="L108" s="21">
        <f>SUMIFS('MP_MATAFUEGOS_FABRICADOS'!L:L,'MP_MATAFUEGOS_FABRICADOS'!$A:$A,$A108,'MP_MATAFUEGOS_FABRICADOS'!$B:$B,$B108)</f>
        <v/>
      </c>
      <c r="M108" s="21">
        <f>SUMIFS('MP_MATAFUEGOS_FABRICADOS'!M:M,'MP_MATAFUEGOS_FABRICADOS'!$A:$A,$A108,'MP_MATAFUEGOS_FABRICADOS'!$B:$B,$B108)</f>
        <v/>
      </c>
      <c r="N108" s="21">
        <f>SUMIFS('MP_MATAFUEGOS_FABRICADOS'!N:N,'MP_MATAFUEGOS_FABRICADOS'!$A:$A,$A108,'MP_MATAFUEGOS_FABRICADOS'!$B:$B,$B108)</f>
        <v/>
      </c>
      <c r="O108" s="21">
        <f>SUMIFS('MP_MATAFUEGOS_FABRICADOS'!O:O,'MP_MATAFUEGOS_FABRICADOS'!$A:$A,$A108,'MP_MATAFUEGOS_FABRICADOS'!$B:$B,$B108)</f>
        <v/>
      </c>
    </row>
    <row r="109">
      <c r="A109" s="2" t="inlineStr">
        <is>
          <t>Cinta de embalaje PP 48 mm (cierre de la caja)</t>
        </is>
      </c>
      <c r="B109" s="2" t="inlineStr">
        <is>
          <t>m</t>
        </is>
      </c>
      <c r="C109" s="2" t="inlineStr">
        <is>
          <t>Embalaje</t>
        </is>
      </c>
      <c r="D109" s="2" t="inlineStr">
        <is>
          <t>MV Embalajes</t>
        </is>
      </c>
      <c r="E109" s="2" t="inlineStr">
        <is>
          <t>MP_MATAFUEGOS_FABRICADOS, MP_CILINDROS</t>
        </is>
      </c>
      <c r="F109" s="21">
        <f>SUMIFS('MP_MATAFUEGOS_FABRICADOS'!F:F,'MP_MATAFUEGOS_FABRICADOS'!$A:$A,$A109,'MP_MATAFUEGOS_FABRICADOS'!$B:$B,$B109)+SUMIFS('MP_CILINDROS'!F:F,'MP_CILINDROS'!$A:$A,$A109,'MP_CILINDROS'!$B:$B,$B109)</f>
        <v/>
      </c>
      <c r="G109" s="21">
        <f>SUMIFS('MP_MATAFUEGOS_FABRICADOS'!G:G,'MP_MATAFUEGOS_FABRICADOS'!$A:$A,$A109,'MP_MATAFUEGOS_FABRICADOS'!$B:$B,$B109)+SUMIFS('MP_CILINDROS'!G:G,'MP_CILINDROS'!$A:$A,$A109,'MP_CILINDROS'!$B:$B,$B109)</f>
        <v/>
      </c>
      <c r="H109" s="21">
        <f>SUMIFS('MP_MATAFUEGOS_FABRICADOS'!H:H,'MP_MATAFUEGOS_FABRICADOS'!$A:$A,$A109,'MP_MATAFUEGOS_FABRICADOS'!$B:$B,$B109)+SUMIFS('MP_CILINDROS'!H:H,'MP_CILINDROS'!$A:$A,$A109,'MP_CILINDROS'!$B:$B,$B109)</f>
        <v/>
      </c>
      <c r="I109" s="21">
        <f>SUMIFS('MP_MATAFUEGOS_FABRICADOS'!I:I,'MP_MATAFUEGOS_FABRICADOS'!$A:$A,$A109,'MP_MATAFUEGOS_FABRICADOS'!$B:$B,$B109)+SUMIFS('MP_CILINDROS'!I:I,'MP_CILINDROS'!$A:$A,$A109,'MP_CILINDROS'!$B:$B,$B109)</f>
        <v/>
      </c>
      <c r="J109" s="21">
        <f>SUMIFS('MP_MATAFUEGOS_FABRICADOS'!J:J,'MP_MATAFUEGOS_FABRICADOS'!$A:$A,$A109,'MP_MATAFUEGOS_FABRICADOS'!$B:$B,$B109)+SUMIFS('MP_CILINDROS'!J:J,'MP_CILINDROS'!$A:$A,$A109,'MP_CILINDROS'!$B:$B,$B109)</f>
        <v/>
      </c>
      <c r="K109" s="21">
        <f>SUMIFS('MP_MATAFUEGOS_FABRICADOS'!K:K,'MP_MATAFUEGOS_FABRICADOS'!$A:$A,$A109,'MP_MATAFUEGOS_FABRICADOS'!$B:$B,$B109)+SUMIFS('MP_CILINDROS'!K:K,'MP_CILINDROS'!$A:$A,$A109,'MP_CILINDROS'!$B:$B,$B109)</f>
        <v/>
      </c>
      <c r="L109" s="21">
        <f>SUMIFS('MP_MATAFUEGOS_FABRICADOS'!L:L,'MP_MATAFUEGOS_FABRICADOS'!$A:$A,$A109,'MP_MATAFUEGOS_FABRICADOS'!$B:$B,$B109)+SUMIFS('MP_CILINDROS'!L:L,'MP_CILINDROS'!$A:$A,$A109,'MP_CILINDROS'!$B:$B,$B109)</f>
        <v/>
      </c>
      <c r="M109" s="21">
        <f>SUMIFS('MP_MATAFUEGOS_FABRICADOS'!M:M,'MP_MATAFUEGOS_FABRICADOS'!$A:$A,$A109,'MP_MATAFUEGOS_FABRICADOS'!$B:$B,$B109)+SUMIFS('MP_CILINDROS'!M:M,'MP_CILINDROS'!$A:$A,$A109,'MP_CILINDROS'!$B:$B,$B109)</f>
        <v/>
      </c>
      <c r="N109" s="21">
        <f>SUMIFS('MP_MATAFUEGOS_FABRICADOS'!N:N,'MP_MATAFUEGOS_FABRICADOS'!$A:$A,$A109,'MP_MATAFUEGOS_FABRICADOS'!$B:$B,$B109)+SUMIFS('MP_CILINDROS'!N:N,'MP_CILINDROS'!$A:$A,$A109,'MP_CILINDROS'!$B:$B,$B109)</f>
        <v/>
      </c>
      <c r="O109" s="21">
        <f>SUMIFS('MP_MATAFUEGOS_FABRICADOS'!O:O,'MP_MATAFUEGOS_FABRICADOS'!$A:$A,$A109,'MP_MATAFUEGOS_FABRICADOS'!$B:$B,$B109)+SUMIFS('MP_CILINDROS'!O:O,'MP_CILINDROS'!$A:$A,$A109,'MP_CILINDROS'!$B:$B,$B109)</f>
        <v/>
      </c>
    </row>
    <row r="110">
      <c r="A110" s="2" t="inlineStr">
        <is>
          <t>Esquineros de cartón 50 × 50 × 1200 (fracción del pallet)</t>
        </is>
      </c>
      <c r="B110" s="2" t="inlineStr">
        <is>
          <t>u</t>
        </is>
      </c>
      <c r="C110" s="2" t="inlineStr">
        <is>
          <t>Embalaje</t>
        </is>
      </c>
      <c r="D110" s="2" t="inlineStr">
        <is>
          <t>Maxipack</t>
        </is>
      </c>
      <c r="E110" s="2" t="inlineStr">
        <is>
          <t>MP_MATAFUEGOS_FABRICADOS, MP_CILINDROS</t>
        </is>
      </c>
      <c r="F110" s="21">
        <f>SUMIFS('MP_MATAFUEGOS_FABRICADOS'!F:F,'MP_MATAFUEGOS_FABRICADOS'!$A:$A,$A110,'MP_MATAFUEGOS_FABRICADOS'!$B:$B,$B110)+SUMIFS('MP_CILINDROS'!F:F,'MP_CILINDROS'!$A:$A,$A110,'MP_CILINDROS'!$B:$B,$B110)</f>
        <v/>
      </c>
      <c r="G110" s="21">
        <f>SUMIFS('MP_MATAFUEGOS_FABRICADOS'!G:G,'MP_MATAFUEGOS_FABRICADOS'!$A:$A,$A110,'MP_MATAFUEGOS_FABRICADOS'!$B:$B,$B110)+SUMIFS('MP_CILINDROS'!G:G,'MP_CILINDROS'!$A:$A,$A110,'MP_CILINDROS'!$B:$B,$B110)</f>
        <v/>
      </c>
      <c r="H110" s="21">
        <f>SUMIFS('MP_MATAFUEGOS_FABRICADOS'!H:H,'MP_MATAFUEGOS_FABRICADOS'!$A:$A,$A110,'MP_MATAFUEGOS_FABRICADOS'!$B:$B,$B110)+SUMIFS('MP_CILINDROS'!H:H,'MP_CILINDROS'!$A:$A,$A110,'MP_CILINDROS'!$B:$B,$B110)</f>
        <v/>
      </c>
      <c r="I110" s="21">
        <f>SUMIFS('MP_MATAFUEGOS_FABRICADOS'!I:I,'MP_MATAFUEGOS_FABRICADOS'!$A:$A,$A110,'MP_MATAFUEGOS_FABRICADOS'!$B:$B,$B110)+SUMIFS('MP_CILINDROS'!I:I,'MP_CILINDROS'!$A:$A,$A110,'MP_CILINDROS'!$B:$B,$B110)</f>
        <v/>
      </c>
      <c r="J110" s="21">
        <f>SUMIFS('MP_MATAFUEGOS_FABRICADOS'!J:J,'MP_MATAFUEGOS_FABRICADOS'!$A:$A,$A110,'MP_MATAFUEGOS_FABRICADOS'!$B:$B,$B110)+SUMIFS('MP_CILINDROS'!J:J,'MP_CILINDROS'!$A:$A,$A110,'MP_CILINDROS'!$B:$B,$B110)</f>
        <v/>
      </c>
      <c r="K110" s="21">
        <f>SUMIFS('MP_MATAFUEGOS_FABRICADOS'!K:K,'MP_MATAFUEGOS_FABRICADOS'!$A:$A,$A110,'MP_MATAFUEGOS_FABRICADOS'!$B:$B,$B110)+SUMIFS('MP_CILINDROS'!K:K,'MP_CILINDROS'!$A:$A,$A110,'MP_CILINDROS'!$B:$B,$B110)</f>
        <v/>
      </c>
      <c r="L110" s="21">
        <f>SUMIFS('MP_MATAFUEGOS_FABRICADOS'!L:L,'MP_MATAFUEGOS_FABRICADOS'!$A:$A,$A110,'MP_MATAFUEGOS_FABRICADOS'!$B:$B,$B110)+SUMIFS('MP_CILINDROS'!L:L,'MP_CILINDROS'!$A:$A,$A110,'MP_CILINDROS'!$B:$B,$B110)</f>
        <v/>
      </c>
      <c r="M110" s="21">
        <f>SUMIFS('MP_MATAFUEGOS_FABRICADOS'!M:M,'MP_MATAFUEGOS_FABRICADOS'!$A:$A,$A110,'MP_MATAFUEGOS_FABRICADOS'!$B:$B,$B110)+SUMIFS('MP_CILINDROS'!M:M,'MP_CILINDROS'!$A:$A,$A110,'MP_CILINDROS'!$B:$B,$B110)</f>
        <v/>
      </c>
      <c r="N110" s="21">
        <f>SUMIFS('MP_MATAFUEGOS_FABRICADOS'!N:N,'MP_MATAFUEGOS_FABRICADOS'!$A:$A,$A110,'MP_MATAFUEGOS_FABRICADOS'!$B:$B,$B110)+SUMIFS('MP_CILINDROS'!N:N,'MP_CILINDROS'!$A:$A,$A110,'MP_CILINDROS'!$B:$B,$B110)</f>
        <v/>
      </c>
      <c r="O110" s="21">
        <f>SUMIFS('MP_MATAFUEGOS_FABRICADOS'!O:O,'MP_MATAFUEGOS_FABRICADOS'!$A:$A,$A110,'MP_MATAFUEGOS_FABRICADOS'!$B:$B,$B110)+SUMIFS('MP_CILINDROS'!O:O,'MP_CILINDROS'!$A:$A,$A110,'MP_CILINDROS'!$B:$B,$B110)</f>
        <v/>
      </c>
    </row>
    <row r="111">
      <c r="A111" s="2" t="inlineStr">
        <is>
          <t>Esquineros y funda de polietileno — a medida de la envolvente del plano</t>
        </is>
      </c>
      <c r="B111" s="2" t="inlineStr">
        <is>
          <t>jgo</t>
        </is>
      </c>
      <c r="C111" s="2" t="inlineStr">
        <is>
          <t>Embalaje</t>
        </is>
      </c>
      <c r="D111" s="2" t="inlineStr">
        <is>
          <t>MV Embalajes</t>
        </is>
      </c>
      <c r="E111" s="2" t="inlineStr">
        <is>
          <t>MP_MATAFUEGOS_FABRICADOS, MP_CILINDROS</t>
        </is>
      </c>
      <c r="F111" s="21">
        <f>SUMIFS('MP_MATAFUEGOS_FABRICADOS'!F:F,'MP_MATAFUEGOS_FABRICADOS'!$A:$A,$A111,'MP_MATAFUEGOS_FABRICADOS'!$B:$B,$B111)+SUMIFS('MP_CILINDROS'!F:F,'MP_CILINDROS'!$A:$A,$A111,'MP_CILINDROS'!$B:$B,$B111)</f>
        <v/>
      </c>
      <c r="G111" s="21">
        <f>SUMIFS('MP_MATAFUEGOS_FABRICADOS'!G:G,'MP_MATAFUEGOS_FABRICADOS'!$A:$A,$A111,'MP_MATAFUEGOS_FABRICADOS'!$B:$B,$B111)+SUMIFS('MP_CILINDROS'!G:G,'MP_CILINDROS'!$A:$A,$A111,'MP_CILINDROS'!$B:$B,$B111)</f>
        <v/>
      </c>
      <c r="H111" s="21">
        <f>SUMIFS('MP_MATAFUEGOS_FABRICADOS'!H:H,'MP_MATAFUEGOS_FABRICADOS'!$A:$A,$A111,'MP_MATAFUEGOS_FABRICADOS'!$B:$B,$B111)+SUMIFS('MP_CILINDROS'!H:H,'MP_CILINDROS'!$A:$A,$A111,'MP_CILINDROS'!$B:$B,$B111)</f>
        <v/>
      </c>
      <c r="I111" s="21">
        <f>SUMIFS('MP_MATAFUEGOS_FABRICADOS'!I:I,'MP_MATAFUEGOS_FABRICADOS'!$A:$A,$A111,'MP_MATAFUEGOS_FABRICADOS'!$B:$B,$B111)+SUMIFS('MP_CILINDROS'!I:I,'MP_CILINDROS'!$A:$A,$A111,'MP_CILINDROS'!$B:$B,$B111)</f>
        <v/>
      </c>
      <c r="J111" s="21">
        <f>SUMIFS('MP_MATAFUEGOS_FABRICADOS'!J:J,'MP_MATAFUEGOS_FABRICADOS'!$A:$A,$A111,'MP_MATAFUEGOS_FABRICADOS'!$B:$B,$B111)+SUMIFS('MP_CILINDROS'!J:J,'MP_CILINDROS'!$A:$A,$A111,'MP_CILINDROS'!$B:$B,$B111)</f>
        <v/>
      </c>
      <c r="K111" s="21">
        <f>SUMIFS('MP_MATAFUEGOS_FABRICADOS'!K:K,'MP_MATAFUEGOS_FABRICADOS'!$A:$A,$A111,'MP_MATAFUEGOS_FABRICADOS'!$B:$B,$B111)+SUMIFS('MP_CILINDROS'!K:K,'MP_CILINDROS'!$A:$A,$A111,'MP_CILINDROS'!$B:$B,$B111)</f>
        <v/>
      </c>
      <c r="L111" s="21">
        <f>SUMIFS('MP_MATAFUEGOS_FABRICADOS'!L:L,'MP_MATAFUEGOS_FABRICADOS'!$A:$A,$A111,'MP_MATAFUEGOS_FABRICADOS'!$B:$B,$B111)+SUMIFS('MP_CILINDROS'!L:L,'MP_CILINDROS'!$A:$A,$A111,'MP_CILINDROS'!$B:$B,$B111)</f>
        <v/>
      </c>
      <c r="M111" s="21">
        <f>SUMIFS('MP_MATAFUEGOS_FABRICADOS'!M:M,'MP_MATAFUEGOS_FABRICADOS'!$A:$A,$A111,'MP_MATAFUEGOS_FABRICADOS'!$B:$B,$B111)+SUMIFS('MP_CILINDROS'!M:M,'MP_CILINDROS'!$A:$A,$A111,'MP_CILINDROS'!$B:$B,$B111)</f>
        <v/>
      </c>
      <c r="N111" s="21">
        <f>SUMIFS('MP_MATAFUEGOS_FABRICADOS'!N:N,'MP_MATAFUEGOS_FABRICADOS'!$A:$A,$A111,'MP_MATAFUEGOS_FABRICADOS'!$B:$B,$B111)+SUMIFS('MP_CILINDROS'!N:N,'MP_CILINDROS'!$A:$A,$A111,'MP_CILINDROS'!$B:$B,$B111)</f>
        <v/>
      </c>
      <c r="O111" s="21">
        <f>SUMIFS('MP_MATAFUEGOS_FABRICADOS'!O:O,'MP_MATAFUEGOS_FABRICADOS'!$A:$A,$A111,'MP_MATAFUEGOS_FABRICADOS'!$B:$B,$B111)+SUMIFS('MP_CILINDROS'!O:O,'MP_CILINDROS'!$A:$A,$A111,'MP_CILINDROS'!$B:$B,$B111)</f>
        <v/>
      </c>
    </row>
    <row r="112">
      <c r="A112" s="2" t="inlineStr">
        <is>
          <t>Etiqueta de pallet (lote y destino, fracción)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Astuprint</t>
        </is>
      </c>
      <c r="E112" s="2" t="inlineStr">
        <is>
          <t>MP_MATAFUEGOS_FABRICADOS, MP_CILINDROS</t>
        </is>
      </c>
      <c r="F112" s="21">
        <f>SUMIFS('MP_MATAFUEGOS_FABRICADOS'!F:F,'MP_MATAFUEGOS_FABRICADOS'!$A:$A,$A112,'MP_MATAFUEGOS_FABRICADOS'!$B:$B,$B112)+SUMIFS('MP_CILINDROS'!F:F,'MP_CILINDROS'!$A:$A,$A112,'MP_CILINDROS'!$B:$B,$B112)</f>
        <v/>
      </c>
      <c r="G112" s="21">
        <f>SUMIFS('MP_MATAFUEGOS_FABRICADOS'!G:G,'MP_MATAFUEGOS_FABRICADOS'!$A:$A,$A112,'MP_MATAFUEGOS_FABRICADOS'!$B:$B,$B112)+SUMIFS('MP_CILINDROS'!G:G,'MP_CILINDROS'!$A:$A,$A112,'MP_CILINDROS'!$B:$B,$B112)</f>
        <v/>
      </c>
      <c r="H112" s="21">
        <f>SUMIFS('MP_MATAFUEGOS_FABRICADOS'!H:H,'MP_MATAFUEGOS_FABRICADOS'!$A:$A,$A112,'MP_MATAFUEGOS_FABRICADOS'!$B:$B,$B112)+SUMIFS('MP_CILINDROS'!H:H,'MP_CILINDROS'!$A:$A,$A112,'MP_CILINDROS'!$B:$B,$B112)</f>
        <v/>
      </c>
      <c r="I112" s="21">
        <f>SUMIFS('MP_MATAFUEGOS_FABRICADOS'!I:I,'MP_MATAFUEGOS_FABRICADOS'!$A:$A,$A112,'MP_MATAFUEGOS_FABRICADOS'!$B:$B,$B112)+SUMIFS('MP_CILINDROS'!I:I,'MP_CILINDROS'!$A:$A,$A112,'MP_CILINDROS'!$B:$B,$B112)</f>
        <v/>
      </c>
      <c r="J112" s="21">
        <f>SUMIFS('MP_MATAFUEGOS_FABRICADOS'!J:J,'MP_MATAFUEGOS_FABRICADOS'!$A:$A,$A112,'MP_MATAFUEGOS_FABRICADOS'!$B:$B,$B112)+SUMIFS('MP_CILINDROS'!J:J,'MP_CILINDROS'!$A:$A,$A112,'MP_CILINDROS'!$B:$B,$B112)</f>
        <v/>
      </c>
      <c r="K112" s="21">
        <f>SUMIFS('MP_MATAFUEGOS_FABRICADOS'!K:K,'MP_MATAFUEGOS_FABRICADOS'!$A:$A,$A112,'MP_MATAFUEGOS_FABRICADOS'!$B:$B,$B112)+SUMIFS('MP_CILINDROS'!K:K,'MP_CILINDROS'!$A:$A,$A112,'MP_CILINDROS'!$B:$B,$B112)</f>
        <v/>
      </c>
      <c r="L112" s="21">
        <f>SUMIFS('MP_MATAFUEGOS_FABRICADOS'!L:L,'MP_MATAFUEGOS_FABRICADOS'!$A:$A,$A112,'MP_MATAFUEGOS_FABRICADOS'!$B:$B,$B112)+SUMIFS('MP_CILINDROS'!L:L,'MP_CILINDROS'!$A:$A,$A112,'MP_CILINDROS'!$B:$B,$B112)</f>
        <v/>
      </c>
      <c r="M112" s="21">
        <f>SUMIFS('MP_MATAFUEGOS_FABRICADOS'!M:M,'MP_MATAFUEGOS_FABRICADOS'!$A:$A,$A112,'MP_MATAFUEGOS_FABRICADOS'!$B:$B,$B112)+SUMIFS('MP_CILINDROS'!M:M,'MP_CILINDROS'!$A:$A,$A112,'MP_CILINDROS'!$B:$B,$B112)</f>
        <v/>
      </c>
      <c r="N112" s="21">
        <f>SUMIFS('MP_MATAFUEGOS_FABRICADOS'!N:N,'MP_MATAFUEGOS_FABRICADOS'!$A:$A,$A112,'MP_MATAFUEGOS_FABRICADOS'!$B:$B,$B112)+SUMIFS('MP_CILINDROS'!N:N,'MP_CILINDROS'!$A:$A,$A112,'MP_CILINDROS'!$B:$B,$B112)</f>
        <v/>
      </c>
      <c r="O112" s="21">
        <f>SUMIFS('MP_MATAFUEGOS_FABRICADOS'!O:O,'MP_MATAFUEGOS_FABRICADOS'!$A:$A,$A112,'MP_MATAFUEGOS_FABRICADOS'!$B:$B,$B112)+SUMIFS('MP_CILINDROS'!O:O,'MP_CILINDROS'!$A:$A,$A112,'MP_CILINDROS'!$B:$B,$B112)</f>
        <v/>
      </c>
    </row>
    <row r="113">
      <c r="A113" s="2" t="inlineStr">
        <is>
          <t>Film stretch (fracción del pallet)</t>
        </is>
      </c>
      <c r="B113" s="2" t="inlineStr">
        <is>
          <t>kg</t>
        </is>
      </c>
      <c r="C113" s="2" t="inlineStr">
        <is>
          <t>Embalaje</t>
        </is>
      </c>
      <c r="D113" s="2" t="inlineStr">
        <is>
          <t>MV Embalajes</t>
        </is>
      </c>
      <c r="E113" s="2" t="inlineStr">
        <is>
          <t>MP_MATAFUEGOS_FABRICADOS, MP_CILINDROS</t>
        </is>
      </c>
      <c r="F113" s="21">
        <f>SUMIFS('MP_MATAFUEGOS_FABRICADOS'!F:F,'MP_MATAFUEGOS_FABRICADOS'!$A:$A,$A113,'MP_MATAFUEGOS_FABRICADOS'!$B:$B,$B113)+SUMIFS('MP_CILINDROS'!F:F,'MP_CILINDROS'!$A:$A,$A113,'MP_CILINDROS'!$B:$B,$B113)</f>
        <v/>
      </c>
      <c r="G113" s="21">
        <f>SUMIFS('MP_MATAFUEGOS_FABRICADOS'!G:G,'MP_MATAFUEGOS_FABRICADOS'!$A:$A,$A113,'MP_MATAFUEGOS_FABRICADOS'!$B:$B,$B113)+SUMIFS('MP_CILINDROS'!G:G,'MP_CILINDROS'!$A:$A,$A113,'MP_CILINDROS'!$B:$B,$B113)</f>
        <v/>
      </c>
      <c r="H113" s="21">
        <f>SUMIFS('MP_MATAFUEGOS_FABRICADOS'!H:H,'MP_MATAFUEGOS_FABRICADOS'!$A:$A,$A113,'MP_MATAFUEGOS_FABRICADOS'!$B:$B,$B113)+SUMIFS('MP_CILINDROS'!H:H,'MP_CILINDROS'!$A:$A,$A113,'MP_CILINDROS'!$B:$B,$B113)</f>
        <v/>
      </c>
      <c r="I113" s="21">
        <f>SUMIFS('MP_MATAFUEGOS_FABRICADOS'!I:I,'MP_MATAFUEGOS_FABRICADOS'!$A:$A,$A113,'MP_MATAFUEGOS_FABRICADOS'!$B:$B,$B113)+SUMIFS('MP_CILINDROS'!I:I,'MP_CILINDROS'!$A:$A,$A113,'MP_CILINDROS'!$B:$B,$B113)</f>
        <v/>
      </c>
      <c r="J113" s="21">
        <f>SUMIFS('MP_MATAFUEGOS_FABRICADOS'!J:J,'MP_MATAFUEGOS_FABRICADOS'!$A:$A,$A113,'MP_MATAFUEGOS_FABRICADOS'!$B:$B,$B113)+SUMIFS('MP_CILINDROS'!J:J,'MP_CILINDROS'!$A:$A,$A113,'MP_CILINDROS'!$B:$B,$B113)</f>
        <v/>
      </c>
      <c r="K113" s="21">
        <f>SUMIFS('MP_MATAFUEGOS_FABRICADOS'!K:K,'MP_MATAFUEGOS_FABRICADOS'!$A:$A,$A113,'MP_MATAFUEGOS_FABRICADOS'!$B:$B,$B113)+SUMIFS('MP_CILINDROS'!K:K,'MP_CILINDROS'!$A:$A,$A113,'MP_CILINDROS'!$B:$B,$B113)</f>
        <v/>
      </c>
      <c r="L113" s="21">
        <f>SUMIFS('MP_MATAFUEGOS_FABRICADOS'!L:L,'MP_MATAFUEGOS_FABRICADOS'!$A:$A,$A113,'MP_MATAFUEGOS_FABRICADOS'!$B:$B,$B113)+SUMIFS('MP_CILINDROS'!L:L,'MP_CILINDROS'!$A:$A,$A113,'MP_CILINDROS'!$B:$B,$B113)</f>
        <v/>
      </c>
      <c r="M113" s="21">
        <f>SUMIFS('MP_MATAFUEGOS_FABRICADOS'!M:M,'MP_MATAFUEGOS_FABRICADOS'!$A:$A,$A113,'MP_MATAFUEGOS_FABRICADOS'!$B:$B,$B113)+SUMIFS('MP_CILINDROS'!M:M,'MP_CILINDROS'!$A:$A,$A113,'MP_CILINDROS'!$B:$B,$B113)</f>
        <v/>
      </c>
      <c r="N113" s="21">
        <f>SUMIFS('MP_MATAFUEGOS_FABRICADOS'!N:N,'MP_MATAFUEGOS_FABRICADOS'!$A:$A,$A113,'MP_MATAFUEGOS_FABRICADOS'!$B:$B,$B113)+SUMIFS('MP_CILINDROS'!N:N,'MP_CILINDROS'!$A:$A,$A113,'MP_CILINDROS'!$B:$B,$B113)</f>
        <v/>
      </c>
      <c r="O113" s="21">
        <f>SUMIFS('MP_MATAFUEGOS_FABRICADOS'!O:O,'MP_MATAFUEGOS_FABRICADOS'!$A:$A,$A113,'MP_MATAFUEGOS_FABRICADOS'!$B:$B,$B113)+SUMIFS('MP_CILINDROS'!O:O,'MP_CILINDROS'!$A:$A,$A113,'MP_CILINDROS'!$B:$B,$B113)</f>
        <v/>
      </c>
    </row>
    <row r="114">
      <c r="A114" s="2" t="inlineStr">
        <is>
          <t>Instructivo de uso y mantenimiento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Astuprint</t>
        </is>
      </c>
      <c r="E114" s="2" t="inlineStr">
        <is>
          <t>MP_MATAFUEGOS_FABRICADOS</t>
        </is>
      </c>
      <c r="F114" s="21">
        <f>SUMIFS('MP_MATAFUEGOS_FABRICADOS'!F:F,'MP_MATAFUEGOS_FABRICADOS'!$A:$A,$A114,'MP_MATAFUEGOS_FABRICADOS'!$B:$B,$B114)</f>
        <v/>
      </c>
      <c r="G114" s="21">
        <f>SUMIFS('MP_MATAFUEGOS_FABRICADOS'!G:G,'MP_MATAFUEGOS_FABRICADOS'!$A:$A,$A114,'MP_MATAFUEGOS_FABRICADOS'!$B:$B,$B114)</f>
        <v/>
      </c>
      <c r="H114" s="21">
        <f>SUMIFS('MP_MATAFUEGOS_FABRICADOS'!H:H,'MP_MATAFUEGOS_FABRICADOS'!$A:$A,$A114,'MP_MATAFUEGOS_FABRICADOS'!$B:$B,$B114)</f>
        <v/>
      </c>
      <c r="I114" s="21">
        <f>SUMIFS('MP_MATAFUEGOS_FABRICADOS'!I:I,'MP_MATAFUEGOS_FABRICADOS'!$A:$A,$A114,'MP_MATAFUEGOS_FABRICADOS'!$B:$B,$B114)</f>
        <v/>
      </c>
      <c r="J114" s="21">
        <f>SUMIFS('MP_MATAFUEGOS_FABRICADOS'!J:J,'MP_MATAFUEGOS_FABRICADOS'!$A:$A,$A114,'MP_MATAFUEGOS_FABRICADOS'!$B:$B,$B114)</f>
        <v/>
      </c>
      <c r="K114" s="21">
        <f>SUMIFS('MP_MATAFUEGOS_FABRICADOS'!K:K,'MP_MATAFUEGOS_FABRICADOS'!$A:$A,$A114,'MP_MATAFUEGOS_FABRICADOS'!$B:$B,$B114)</f>
        <v/>
      </c>
      <c r="L114" s="21">
        <f>SUMIFS('MP_MATAFUEGOS_FABRICADOS'!L:L,'MP_MATAFUEGOS_FABRICADOS'!$A:$A,$A114,'MP_MATAFUEGOS_FABRICADOS'!$B:$B,$B114)</f>
        <v/>
      </c>
      <c r="M114" s="21">
        <f>SUMIFS('MP_MATAFUEGOS_FABRICADOS'!M:M,'MP_MATAFUEGOS_FABRICADOS'!$A:$A,$A114,'MP_MATAFUEGOS_FABRICADOS'!$B:$B,$B114)</f>
        <v/>
      </c>
      <c r="N114" s="21">
        <f>SUMIFS('MP_MATAFUEGOS_FABRICADOS'!N:N,'MP_MATAFUEGOS_FABRICADOS'!$A:$A,$A114,'MP_MATAFUEGOS_FABRICADOS'!$B:$B,$B114)</f>
        <v/>
      </c>
      <c r="O114" s="21">
        <f>SUMIFS('MP_MATAFUEGOS_FABRICADOS'!O:O,'MP_MATAFUEGOS_FABRICADOS'!$A:$A,$A114,'MP_MATAFUEGOS_FABRICADOS'!$B:$B,$B114)</f>
        <v/>
      </c>
    </row>
    <row r="115">
      <c r="A115" s="2" t="inlineStr">
        <is>
          <t>Pallet 1200 × 1000 (fracción)</t>
        </is>
      </c>
      <c r="B115" s="2" t="inlineStr">
        <is>
          <t>u</t>
        </is>
      </c>
      <c r="C115" s="2" t="inlineStr">
        <is>
          <t>Embalaje</t>
        </is>
      </c>
      <c r="D115" s="2" t="inlineStr">
        <is>
          <t>IndusPallets</t>
        </is>
      </c>
      <c r="E115" s="2" t="inlineStr">
        <is>
          <t>MP_MATAFUEGOS_FABRICADOS, MP_CILINDROS</t>
        </is>
      </c>
      <c r="F115" s="21">
        <f>SUMIFS('MP_MATAFUEGOS_FABRICADOS'!F:F,'MP_MATAFUEGOS_FABRICADOS'!$A:$A,$A115,'MP_MATAFUEGOS_FABRICADOS'!$B:$B,$B115)+SUMIFS('MP_CILINDROS'!F:F,'MP_CILINDROS'!$A:$A,$A115,'MP_CILINDROS'!$B:$B,$B115)</f>
        <v/>
      </c>
      <c r="G115" s="21">
        <f>SUMIFS('MP_MATAFUEGOS_FABRICADOS'!G:G,'MP_MATAFUEGOS_FABRICADOS'!$A:$A,$A115,'MP_MATAFUEGOS_FABRICADOS'!$B:$B,$B115)+SUMIFS('MP_CILINDROS'!G:G,'MP_CILINDROS'!$A:$A,$A115,'MP_CILINDROS'!$B:$B,$B115)</f>
        <v/>
      </c>
      <c r="H115" s="21">
        <f>SUMIFS('MP_MATAFUEGOS_FABRICADOS'!H:H,'MP_MATAFUEGOS_FABRICADOS'!$A:$A,$A115,'MP_MATAFUEGOS_FABRICADOS'!$B:$B,$B115)+SUMIFS('MP_CILINDROS'!H:H,'MP_CILINDROS'!$A:$A,$A115,'MP_CILINDROS'!$B:$B,$B115)</f>
        <v/>
      </c>
      <c r="I115" s="21">
        <f>SUMIFS('MP_MATAFUEGOS_FABRICADOS'!I:I,'MP_MATAFUEGOS_FABRICADOS'!$A:$A,$A115,'MP_MATAFUEGOS_FABRICADOS'!$B:$B,$B115)+SUMIFS('MP_CILINDROS'!I:I,'MP_CILINDROS'!$A:$A,$A115,'MP_CILINDROS'!$B:$B,$B115)</f>
        <v/>
      </c>
      <c r="J115" s="21">
        <f>SUMIFS('MP_MATAFUEGOS_FABRICADOS'!J:J,'MP_MATAFUEGOS_FABRICADOS'!$A:$A,$A115,'MP_MATAFUEGOS_FABRICADOS'!$B:$B,$B115)+SUMIFS('MP_CILINDROS'!J:J,'MP_CILINDROS'!$A:$A,$A115,'MP_CILINDROS'!$B:$B,$B115)</f>
        <v/>
      </c>
      <c r="K115" s="21">
        <f>SUMIFS('MP_MATAFUEGOS_FABRICADOS'!K:K,'MP_MATAFUEGOS_FABRICADOS'!$A:$A,$A115,'MP_MATAFUEGOS_FABRICADOS'!$B:$B,$B115)+SUMIFS('MP_CILINDROS'!K:K,'MP_CILINDROS'!$A:$A,$A115,'MP_CILINDROS'!$B:$B,$B115)</f>
        <v/>
      </c>
      <c r="L115" s="21">
        <f>SUMIFS('MP_MATAFUEGOS_FABRICADOS'!L:L,'MP_MATAFUEGOS_FABRICADOS'!$A:$A,$A115,'MP_MATAFUEGOS_FABRICADOS'!$B:$B,$B115)+SUMIFS('MP_CILINDROS'!L:L,'MP_CILINDROS'!$A:$A,$A115,'MP_CILINDROS'!$B:$B,$B115)</f>
        <v/>
      </c>
      <c r="M115" s="21">
        <f>SUMIFS('MP_MATAFUEGOS_FABRICADOS'!M:M,'MP_MATAFUEGOS_FABRICADOS'!$A:$A,$A115,'MP_MATAFUEGOS_FABRICADOS'!$B:$B,$B115)+SUMIFS('MP_CILINDROS'!M:M,'MP_CILINDROS'!$A:$A,$A115,'MP_CILINDROS'!$B:$B,$B115)</f>
        <v/>
      </c>
      <c r="N115" s="21">
        <f>SUMIFS('MP_MATAFUEGOS_FABRICADOS'!N:N,'MP_MATAFUEGOS_FABRICADOS'!$A:$A,$A115,'MP_MATAFUEGOS_FABRICADOS'!$B:$B,$B115)+SUMIFS('MP_CILINDROS'!N:N,'MP_CILINDROS'!$A:$A,$A115,'MP_CILINDROS'!$B:$B,$B115)</f>
        <v/>
      </c>
      <c r="O115" s="21">
        <f>SUMIFS('MP_MATAFUEGOS_FABRICADOS'!O:O,'MP_MATAFUEGOS_FABRICADOS'!$A:$A,$A115,'MP_MATAFUEGOS_FABRICADOS'!$B:$B,$B115)+SUMIFS('MP_CILINDROS'!O:O,'MP_CILINDROS'!$A:$A,$A115,'MP_CILINDROS'!$B:$B,$B115)</f>
        <v/>
      </c>
    </row>
    <row r="116">
      <c r="A116" s="2" t="inlineStr">
        <is>
          <t>Separador de capa de cartón 1200 × 1000 (fracción del pallet)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Maxipack</t>
        </is>
      </c>
      <c r="E116" s="2" t="inlineStr">
        <is>
          <t>MP_CILINDROS</t>
        </is>
      </c>
      <c r="F116" s="21">
        <f>SUMIFS('MP_CILINDROS'!F:F,'MP_CILINDROS'!$A:$A,$A116,'MP_CILINDROS'!$B:$B,$B116)</f>
        <v/>
      </c>
      <c r="G116" s="21">
        <f>SUMIFS('MP_CILINDROS'!G:G,'MP_CILINDROS'!$A:$A,$A116,'MP_CILINDROS'!$B:$B,$B116)</f>
        <v/>
      </c>
      <c r="H116" s="21">
        <f>SUMIFS('MP_CILINDROS'!H:H,'MP_CILINDROS'!$A:$A,$A116,'MP_CILINDROS'!$B:$B,$B116)</f>
        <v/>
      </c>
      <c r="I116" s="21">
        <f>SUMIFS('MP_CILINDROS'!I:I,'MP_CILINDROS'!$A:$A,$A116,'MP_CILINDROS'!$B:$B,$B116)</f>
        <v/>
      </c>
      <c r="J116" s="21">
        <f>SUMIFS('MP_CILINDROS'!J:J,'MP_CILINDROS'!$A:$A,$A116,'MP_CILINDROS'!$B:$B,$B116)</f>
        <v/>
      </c>
      <c r="K116" s="21">
        <f>SUMIFS('MP_CILINDROS'!K:K,'MP_CILINDROS'!$A:$A,$A116,'MP_CILINDROS'!$B:$B,$B116)</f>
        <v/>
      </c>
      <c r="L116" s="21">
        <f>SUMIFS('MP_CILINDROS'!L:L,'MP_CILINDROS'!$A:$A,$A116,'MP_CILINDROS'!$B:$B,$B116)</f>
        <v/>
      </c>
      <c r="M116" s="21">
        <f>SUMIFS('MP_CILINDROS'!M:M,'MP_CILINDROS'!$A:$A,$A116,'MP_CILINDROS'!$B:$B,$B116)</f>
        <v/>
      </c>
      <c r="N116" s="21">
        <f>SUMIFS('MP_CILINDROS'!N:N,'MP_CILINDROS'!$A:$A,$A116,'MP_CILINDROS'!$B:$B,$B116)</f>
        <v/>
      </c>
      <c r="O116" s="21">
        <f>SUMIFS('MP_CILINDROS'!O:O,'MP_CILINDROS'!$A:$A,$A116,'MP_CILINDROS'!$B:$B,$B116)</f>
        <v/>
      </c>
    </row>
    <row r="117">
      <c r="A117" s="2" t="inlineStr">
        <is>
          <t>Tapón protector de rosca del cuello</t>
        </is>
      </c>
      <c r="B117" s="2" t="inlineStr">
        <is>
          <t>u</t>
        </is>
      </c>
      <c r="C117" s="2" t="inlineStr">
        <is>
          <t>Embalaje</t>
        </is>
      </c>
      <c r="D117" s="2" t="inlineStr">
        <is>
          <t>-</t>
        </is>
      </c>
      <c r="E117" s="2" t="inlineStr">
        <is>
          <t>MP_CILINDROS</t>
        </is>
      </c>
      <c r="F117" s="21">
        <f>SUMIFS('MP_CILINDROS'!F:F,'MP_CILINDROS'!$A:$A,$A117,'MP_CILINDROS'!$B:$B,$B117)</f>
        <v/>
      </c>
      <c r="G117" s="21">
        <f>SUMIFS('MP_CILINDROS'!G:G,'MP_CILINDROS'!$A:$A,$A117,'MP_CILINDROS'!$B:$B,$B117)</f>
        <v/>
      </c>
      <c r="H117" s="21">
        <f>SUMIFS('MP_CILINDROS'!H:H,'MP_CILINDROS'!$A:$A,$A117,'MP_CILINDROS'!$B:$B,$B117)</f>
        <v/>
      </c>
      <c r="I117" s="21">
        <f>SUMIFS('MP_CILINDROS'!I:I,'MP_CILINDROS'!$A:$A,$A117,'MP_CILINDROS'!$B:$B,$B117)</f>
        <v/>
      </c>
      <c r="J117" s="21">
        <f>SUMIFS('MP_CILINDROS'!J:J,'MP_CILINDROS'!$A:$A,$A117,'MP_CILINDROS'!$B:$B,$B117)</f>
        <v/>
      </c>
      <c r="K117" s="21">
        <f>SUMIFS('MP_CILINDROS'!K:K,'MP_CILINDROS'!$A:$A,$A117,'MP_CILINDROS'!$B:$B,$B117)</f>
        <v/>
      </c>
      <c r="L117" s="21">
        <f>SUMIFS('MP_CILINDROS'!L:L,'MP_CILINDROS'!$A:$A,$A117,'MP_CILINDROS'!$B:$B,$B117)</f>
        <v/>
      </c>
      <c r="M117" s="21">
        <f>SUMIFS('MP_CILINDROS'!M:M,'MP_CILINDROS'!$A:$A,$A117,'MP_CILINDROS'!$B:$B,$B117)</f>
        <v/>
      </c>
      <c r="N117" s="21">
        <f>SUMIFS('MP_CILINDROS'!N:N,'MP_CILINDROS'!$A:$A,$A117,'MP_CILINDROS'!$B:$B,$B117)</f>
        <v/>
      </c>
      <c r="O117" s="21">
        <f>SUMIFS('MP_CILINDROS'!O:O,'MP_CILINDROS'!$A:$A,$A117,'MP_CILINDROS'!$B:$B,$B117)</f>
        <v/>
      </c>
    </row>
    <row r="118">
      <c r="A118" s="2" t="inlineStr">
        <is>
          <t>Equipo terminado comprado (fabricante con Sello IRAM): FL_MAT_AFFF_10l</t>
        </is>
      </c>
      <c r="B118" s="2" t="inlineStr">
        <is>
          <t>u</t>
        </is>
      </c>
      <c r="C118" s="2" t="inlineStr">
        <is>
          <t>Equipo terminado comprado</t>
        </is>
      </c>
      <c r="D118" s="2" t="inlineStr">
        <is>
          <t>Matafuegos Georgia - venta mayorista</t>
        </is>
      </c>
      <c r="E118" s="2" t="inlineStr">
        <is>
          <t>MP_MATAFUEGOS_REVENDIDOS</t>
        </is>
      </c>
      <c r="F118" s="21">
        <f>SUMIFS('MP_MATAFUEGOS_REVENDIDOS'!F:F,'MP_MATAFUEGOS_REVENDIDOS'!$A:$A,$A118,'MP_MATAFUEGOS_REVENDIDOS'!$B:$B,$B118)</f>
        <v/>
      </c>
      <c r="G118" s="21">
        <f>SUMIFS('MP_MATAFUEGOS_REVENDIDOS'!G:G,'MP_MATAFUEGOS_REVENDIDOS'!$A:$A,$A118,'MP_MATAFUEGOS_REVENDIDOS'!$B:$B,$B118)</f>
        <v/>
      </c>
      <c r="H118" s="21">
        <f>SUMIFS('MP_MATAFUEGOS_REVENDIDOS'!H:H,'MP_MATAFUEGOS_REVENDIDOS'!$A:$A,$A118,'MP_MATAFUEGOS_REVENDIDOS'!$B:$B,$B118)</f>
        <v/>
      </c>
      <c r="I118" s="21">
        <f>SUMIFS('MP_MATAFUEGOS_REVENDIDOS'!I:I,'MP_MATAFUEGOS_REVENDIDOS'!$A:$A,$A118,'MP_MATAFUEGOS_REVENDIDOS'!$B:$B,$B118)</f>
        <v/>
      </c>
      <c r="J118" s="21">
        <f>SUMIFS('MP_MATAFUEGOS_REVENDIDOS'!J:J,'MP_MATAFUEGOS_REVENDIDOS'!$A:$A,$A118,'MP_MATAFUEGOS_REVENDIDOS'!$B:$B,$B118)</f>
        <v/>
      </c>
      <c r="K118" s="21">
        <f>SUMIFS('MP_MATAFUEGOS_REVENDIDOS'!K:K,'MP_MATAFUEGOS_REVENDIDOS'!$A:$A,$A118,'MP_MATAFUEGOS_REVENDIDOS'!$B:$B,$B118)</f>
        <v/>
      </c>
      <c r="L118" s="21">
        <f>SUMIFS('MP_MATAFUEGOS_REVENDIDOS'!L:L,'MP_MATAFUEGOS_REVENDIDOS'!$A:$A,$A118,'MP_MATAFUEGOS_REVENDIDOS'!$B:$B,$B118)</f>
        <v/>
      </c>
      <c r="M118" s="21">
        <f>SUMIFS('MP_MATAFUEGOS_REVENDIDOS'!M:M,'MP_MATAFUEGOS_REVENDIDOS'!$A:$A,$A118,'MP_MATAFUEGOS_REVENDIDOS'!$B:$B,$B118)</f>
        <v/>
      </c>
      <c r="N118" s="21">
        <f>SUMIFS('MP_MATAFUEGOS_REVENDIDOS'!N:N,'MP_MATAFUEGOS_REVENDIDOS'!$A:$A,$A118,'MP_MATAFUEGOS_REVENDIDOS'!$B:$B,$B118)</f>
        <v/>
      </c>
      <c r="O118" s="21">
        <f>SUMIFS('MP_MATAFUEGOS_REVENDIDOS'!O:O,'MP_MATAFUEGOS_REVENDIDOS'!$A:$A,$A118,'MP_MATAFUEGOS_REVENDIDOS'!$B:$B,$B118)</f>
        <v/>
      </c>
    </row>
    <row r="119">
      <c r="A119" s="2" t="inlineStr">
        <is>
          <t>Equipo terminado comprado (fabricante con Sello IRAM): FL_MAT_AFFF_50l</t>
        </is>
      </c>
      <c r="B119" s="2" t="inlineStr">
        <is>
          <t>u</t>
        </is>
      </c>
      <c r="C119" s="2" t="inlineStr">
        <is>
          <t>Equipo terminado comprado</t>
        </is>
      </c>
      <c r="D119" s="2" t="inlineStr">
        <is>
          <t>Matafuegos Georgia - venta mayorista</t>
        </is>
      </c>
      <c r="E119" s="2" t="inlineStr">
        <is>
          <t>MP_MATAFUEGOS_REVENDIDOS</t>
        </is>
      </c>
      <c r="F119" s="21">
        <f>SUMIFS('MP_MATAFUEGOS_REVENDIDOS'!F:F,'MP_MATAFUEGOS_REVENDIDOS'!$A:$A,$A119,'MP_MATAFUEGOS_REVENDIDOS'!$B:$B,$B119)</f>
        <v/>
      </c>
      <c r="G119" s="21">
        <f>SUMIFS('MP_MATAFUEGOS_REVENDIDOS'!G:G,'MP_MATAFUEGOS_REVENDIDOS'!$A:$A,$A119,'MP_MATAFUEGOS_REVENDIDOS'!$B:$B,$B119)</f>
        <v/>
      </c>
      <c r="H119" s="21">
        <f>SUMIFS('MP_MATAFUEGOS_REVENDIDOS'!H:H,'MP_MATAFUEGOS_REVENDIDOS'!$A:$A,$A119,'MP_MATAFUEGOS_REVENDIDOS'!$B:$B,$B119)</f>
        <v/>
      </c>
      <c r="I119" s="21">
        <f>SUMIFS('MP_MATAFUEGOS_REVENDIDOS'!I:I,'MP_MATAFUEGOS_REVENDIDOS'!$A:$A,$A119,'MP_MATAFUEGOS_REVENDIDOS'!$B:$B,$B119)</f>
        <v/>
      </c>
      <c r="J119" s="21">
        <f>SUMIFS('MP_MATAFUEGOS_REVENDIDOS'!J:J,'MP_MATAFUEGOS_REVENDIDOS'!$A:$A,$A119,'MP_MATAFUEGOS_REVENDIDOS'!$B:$B,$B119)</f>
        <v/>
      </c>
      <c r="K119" s="21">
        <f>SUMIFS('MP_MATAFUEGOS_REVENDIDOS'!K:K,'MP_MATAFUEGOS_REVENDIDOS'!$A:$A,$A119,'MP_MATAFUEGOS_REVENDIDOS'!$B:$B,$B119)</f>
        <v/>
      </c>
      <c r="L119" s="21">
        <f>SUMIFS('MP_MATAFUEGOS_REVENDIDOS'!L:L,'MP_MATAFUEGOS_REVENDIDOS'!$A:$A,$A119,'MP_MATAFUEGOS_REVENDIDOS'!$B:$B,$B119)</f>
        <v/>
      </c>
      <c r="M119" s="21">
        <f>SUMIFS('MP_MATAFUEGOS_REVENDIDOS'!M:M,'MP_MATAFUEGOS_REVENDIDOS'!$A:$A,$A119,'MP_MATAFUEGOS_REVENDIDOS'!$B:$B,$B119)</f>
        <v/>
      </c>
      <c r="N119" s="21">
        <f>SUMIFS('MP_MATAFUEGOS_REVENDIDOS'!N:N,'MP_MATAFUEGOS_REVENDIDOS'!$A:$A,$A119,'MP_MATAFUEGOS_REVENDIDOS'!$B:$B,$B119)</f>
        <v/>
      </c>
      <c r="O119" s="21">
        <f>SUMIFS('MP_MATAFUEGOS_REVENDIDOS'!O:O,'MP_MATAFUEGOS_REVENDIDOS'!$A:$A,$A119,'MP_MATAFUEGOS_REVENDIDOS'!$B:$B,$B119)</f>
        <v/>
      </c>
    </row>
    <row r="120">
      <c r="A120" s="2" t="inlineStr">
        <is>
          <t>Equipo terminado comprado (fabricante con Sello IRAM): FL_MAT_AGUA_10l</t>
        </is>
      </c>
      <c r="B120" s="2" t="inlineStr">
        <is>
          <t>u</t>
        </is>
      </c>
      <c r="C120" s="2" t="inlineStr">
        <is>
          <t>Equipo terminado comprado</t>
        </is>
      </c>
      <c r="D120" s="2" t="inlineStr">
        <is>
          <t>Matafuegos Georgia - venta mayorista</t>
        </is>
      </c>
      <c r="E120" s="2" t="inlineStr">
        <is>
          <t>MP_MATAFUEGOS_REVENDIDOS</t>
        </is>
      </c>
      <c r="F120" s="21">
        <f>SUMIFS('MP_MATAFUEGOS_REVENDIDOS'!F:F,'MP_MATAFUEGOS_REVENDIDOS'!$A:$A,$A120,'MP_MATAFUEGOS_REVENDIDOS'!$B:$B,$B120)</f>
        <v/>
      </c>
      <c r="G120" s="21">
        <f>SUMIFS('MP_MATAFUEGOS_REVENDIDOS'!G:G,'MP_MATAFUEGOS_REVENDIDOS'!$A:$A,$A120,'MP_MATAFUEGOS_REVENDIDOS'!$B:$B,$B120)</f>
        <v/>
      </c>
      <c r="H120" s="21">
        <f>SUMIFS('MP_MATAFUEGOS_REVENDIDOS'!H:H,'MP_MATAFUEGOS_REVENDIDOS'!$A:$A,$A120,'MP_MATAFUEGOS_REVENDIDOS'!$B:$B,$B120)</f>
        <v/>
      </c>
      <c r="I120" s="21">
        <f>SUMIFS('MP_MATAFUEGOS_REVENDIDOS'!I:I,'MP_MATAFUEGOS_REVENDIDOS'!$A:$A,$A120,'MP_MATAFUEGOS_REVENDIDOS'!$B:$B,$B120)</f>
        <v/>
      </c>
      <c r="J120" s="21">
        <f>SUMIFS('MP_MATAFUEGOS_REVENDIDOS'!J:J,'MP_MATAFUEGOS_REVENDIDOS'!$A:$A,$A120,'MP_MATAFUEGOS_REVENDIDOS'!$B:$B,$B120)</f>
        <v/>
      </c>
      <c r="K120" s="21">
        <f>SUMIFS('MP_MATAFUEGOS_REVENDIDOS'!K:K,'MP_MATAFUEGOS_REVENDIDOS'!$A:$A,$A120,'MP_MATAFUEGOS_REVENDIDOS'!$B:$B,$B120)</f>
        <v/>
      </c>
      <c r="L120" s="21">
        <f>SUMIFS('MP_MATAFUEGOS_REVENDIDOS'!L:L,'MP_MATAFUEGOS_REVENDIDOS'!$A:$A,$A120,'MP_MATAFUEGOS_REVENDIDOS'!$B:$B,$B120)</f>
        <v/>
      </c>
      <c r="M120" s="21">
        <f>SUMIFS('MP_MATAFUEGOS_REVENDIDOS'!M:M,'MP_MATAFUEGOS_REVENDIDOS'!$A:$A,$A120,'MP_MATAFUEGOS_REVENDIDOS'!$B:$B,$B120)</f>
        <v/>
      </c>
      <c r="N120" s="21">
        <f>SUMIFS('MP_MATAFUEGOS_REVENDIDOS'!N:N,'MP_MATAFUEGOS_REVENDIDOS'!$A:$A,$A120,'MP_MATAFUEGOS_REVENDIDOS'!$B:$B,$B120)</f>
        <v/>
      </c>
      <c r="O120" s="21">
        <f>SUMIFS('MP_MATAFUEGOS_REVENDIDOS'!O:O,'MP_MATAFUEGOS_REVENDIDOS'!$A:$A,$A120,'MP_MATAFUEGOS_REVENDIDOS'!$B:$B,$B120)</f>
        <v/>
      </c>
    </row>
    <row r="121">
      <c r="A121" s="2" t="inlineStr">
        <is>
          <t>Equipo terminado comprado (fabricante con Sello IRAM): FL_MAT_BC_5kg</t>
        </is>
      </c>
      <c r="B121" s="2" t="inlineStr">
        <is>
          <t>u</t>
        </is>
      </c>
      <c r="C121" s="2" t="inlineStr">
        <is>
          <t>Equipo terminado comprado</t>
        </is>
      </c>
      <c r="D121" s="2" t="inlineStr">
        <is>
          <t>Matafuegos Georgia - venta mayorista</t>
        </is>
      </c>
      <c r="E121" s="2" t="inlineStr">
        <is>
          <t>MP_MATAFUEGOS_REVENDIDOS</t>
        </is>
      </c>
      <c r="F121" s="21">
        <f>SUMIFS('MP_MATAFUEGOS_REVENDIDOS'!F:F,'MP_MATAFUEGOS_REVENDIDOS'!$A:$A,$A121,'MP_MATAFUEGOS_REVENDIDOS'!$B:$B,$B121)</f>
        <v/>
      </c>
      <c r="G121" s="21">
        <f>SUMIFS('MP_MATAFUEGOS_REVENDIDOS'!G:G,'MP_MATAFUEGOS_REVENDIDOS'!$A:$A,$A121,'MP_MATAFUEGOS_REVENDIDOS'!$B:$B,$B121)</f>
        <v/>
      </c>
      <c r="H121" s="21">
        <f>SUMIFS('MP_MATAFUEGOS_REVENDIDOS'!H:H,'MP_MATAFUEGOS_REVENDIDOS'!$A:$A,$A121,'MP_MATAFUEGOS_REVENDIDOS'!$B:$B,$B121)</f>
        <v/>
      </c>
      <c r="I121" s="21">
        <f>SUMIFS('MP_MATAFUEGOS_REVENDIDOS'!I:I,'MP_MATAFUEGOS_REVENDIDOS'!$A:$A,$A121,'MP_MATAFUEGOS_REVENDIDOS'!$B:$B,$B121)</f>
        <v/>
      </c>
      <c r="J121" s="21">
        <f>SUMIFS('MP_MATAFUEGOS_REVENDIDOS'!J:J,'MP_MATAFUEGOS_REVENDIDOS'!$A:$A,$A121,'MP_MATAFUEGOS_REVENDIDOS'!$B:$B,$B121)</f>
        <v/>
      </c>
      <c r="K121" s="21">
        <f>SUMIFS('MP_MATAFUEGOS_REVENDIDOS'!K:K,'MP_MATAFUEGOS_REVENDIDOS'!$A:$A,$A121,'MP_MATAFUEGOS_REVENDIDOS'!$B:$B,$B121)</f>
        <v/>
      </c>
      <c r="L121" s="21">
        <f>SUMIFS('MP_MATAFUEGOS_REVENDIDOS'!L:L,'MP_MATAFUEGOS_REVENDIDOS'!$A:$A,$A121,'MP_MATAFUEGOS_REVENDIDOS'!$B:$B,$B121)</f>
        <v/>
      </c>
      <c r="M121" s="21">
        <f>SUMIFS('MP_MATAFUEGOS_REVENDIDOS'!M:M,'MP_MATAFUEGOS_REVENDIDOS'!$A:$A,$A121,'MP_MATAFUEGOS_REVENDIDOS'!$B:$B,$B121)</f>
        <v/>
      </c>
      <c r="N121" s="21">
        <f>SUMIFS('MP_MATAFUEGOS_REVENDIDOS'!N:N,'MP_MATAFUEGOS_REVENDIDOS'!$A:$A,$A121,'MP_MATAFUEGOS_REVENDIDOS'!$B:$B,$B121)</f>
        <v/>
      </c>
      <c r="O121" s="21">
        <f>SUMIFS('MP_MATAFUEGOS_REVENDIDOS'!O:O,'MP_MATAFUEGOS_REVENDIDOS'!$A:$A,$A121,'MP_MATAFUEGOS_REVENDIDOS'!$B:$B,$B121)</f>
        <v/>
      </c>
    </row>
    <row r="122">
      <c r="A122" s="2" t="inlineStr">
        <is>
          <t>Equipo terminado comprado (fabricante con Sello IRAM): FL_MAT_CLASED_9l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Matafuegos Georgia - venta mayorista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FL_MAT_CO2_2kg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Mozart S.R.L.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FL_MAT_CO2_5kg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Mozart S.R.L.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FL_MAT_HCFC-HFC_5kg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Equipo terminado comprado (fabricante con Sello IRAM): FL_MAT_SALESK_6l</t>
        </is>
      </c>
      <c r="B126" s="2" t="inlineStr">
        <is>
          <t>u</t>
        </is>
      </c>
      <c r="C126" s="2" t="inlineStr">
        <is>
          <t>Equipo terminado comprado</t>
        </is>
      </c>
      <c r="D126" s="2" t="inlineStr">
        <is>
          <t>Matafuegos Georgia - venta mayorista</t>
        </is>
      </c>
      <c r="E126" s="2" t="inlineStr">
        <is>
          <t>MP_MATAFUEGOS_REVENDIDOS</t>
        </is>
      </c>
      <c r="F126" s="21">
        <f>SUMIFS('MP_MATAFUEGOS_REVENDIDOS'!F:F,'MP_MATAFUEGOS_REVENDIDOS'!$A:$A,$A126,'MP_MATAFUEGOS_REVENDIDOS'!$B:$B,$B126)</f>
        <v/>
      </c>
      <c r="G126" s="21">
        <f>SUMIFS('MP_MATAFUEGOS_REVENDIDOS'!G:G,'MP_MATAFUEGOS_REVENDIDOS'!$A:$A,$A126,'MP_MATAFUEGOS_REVENDIDOS'!$B:$B,$B126)</f>
        <v/>
      </c>
      <c r="H126" s="21">
        <f>SUMIFS('MP_MATAFUEGOS_REVENDIDOS'!H:H,'MP_MATAFUEGOS_REVENDIDOS'!$A:$A,$A126,'MP_MATAFUEGOS_REVENDIDOS'!$B:$B,$B126)</f>
        <v/>
      </c>
      <c r="I126" s="21">
        <f>SUMIFS('MP_MATAFUEGOS_REVENDIDOS'!I:I,'MP_MATAFUEGOS_REVENDIDOS'!$A:$A,$A126,'MP_MATAFUEGOS_REVENDIDOS'!$B:$B,$B126)</f>
        <v/>
      </c>
      <c r="J126" s="21">
        <f>SUMIFS('MP_MATAFUEGOS_REVENDIDOS'!J:J,'MP_MATAFUEGOS_REVENDIDOS'!$A:$A,$A126,'MP_MATAFUEGOS_REVENDIDOS'!$B:$B,$B126)</f>
        <v/>
      </c>
      <c r="K126" s="21">
        <f>SUMIFS('MP_MATAFUEGOS_REVENDIDOS'!K:K,'MP_MATAFUEGOS_REVENDIDOS'!$A:$A,$A126,'MP_MATAFUEGOS_REVENDIDOS'!$B:$B,$B126)</f>
        <v/>
      </c>
      <c r="L126" s="21">
        <f>SUMIFS('MP_MATAFUEGOS_REVENDIDOS'!L:L,'MP_MATAFUEGOS_REVENDIDOS'!$A:$A,$A126,'MP_MATAFUEGOS_REVENDIDOS'!$B:$B,$B126)</f>
        <v/>
      </c>
      <c r="M126" s="21">
        <f>SUMIFS('MP_MATAFUEGOS_REVENDIDOS'!M:M,'MP_MATAFUEGOS_REVENDIDOS'!$A:$A,$A126,'MP_MATAFUEGOS_REVENDIDOS'!$B:$B,$B126)</f>
        <v/>
      </c>
      <c r="N126" s="21">
        <f>SUMIFS('MP_MATAFUEGOS_REVENDIDOS'!N:N,'MP_MATAFUEGOS_REVENDIDOS'!$A:$A,$A126,'MP_MATAFUEGOS_REVENDIDOS'!$B:$B,$B126)</f>
        <v/>
      </c>
      <c r="O126" s="21">
        <f>SUMIFS('MP_MATAFUEGOS_REVENDIDOS'!O:O,'MP_MATAFUEGOS_REVENDIDOS'!$A:$A,$A126,'MP_MATAFUEGOS_REVENDIDOS'!$B:$B,$B126)</f>
        <v/>
      </c>
    </row>
    <row r="127">
      <c r="A127" s="2" t="inlineStr">
        <is>
          <t>Acetato de potasio - DEMSA Kitchen (IRAM 3697)</t>
        </is>
      </c>
      <c r="B127" s="2" t="inlineStr">
        <is>
          <t>L</t>
        </is>
      </c>
      <c r="C127" s="2" t="inlineStr">
        <is>
          <t>Recarga y mantenimiento</t>
        </is>
      </c>
      <c r="D127" s="2" t="inlineStr">
        <is>
          <t>Polvex S.R.L. / Sancibrao</t>
        </is>
      </c>
      <c r="E127" s="2" t="inlineStr">
        <is>
          <t>MP_RECARGAS</t>
        </is>
      </c>
      <c r="F127" s="21">
        <f>SUMIFS('MP_RECARGAS'!F:F,'MP_RECARGAS'!$A:$A,$A127,'MP_RECARGAS'!$B:$B,$B127)</f>
        <v/>
      </c>
      <c r="G127" s="21">
        <f>SUMIFS('MP_RECARGAS'!G:G,'MP_RECARGAS'!$A:$A,$A127,'MP_RECARGAS'!$B:$B,$B127)</f>
        <v/>
      </c>
      <c r="H127" s="21">
        <f>SUMIFS('MP_RECARGAS'!H:H,'MP_RECARGAS'!$A:$A,$A127,'MP_RECARGAS'!$B:$B,$B127)</f>
        <v/>
      </c>
      <c r="I127" s="21">
        <f>SUMIFS('MP_RECARGAS'!I:I,'MP_RECARGAS'!$A:$A,$A127,'MP_RECARGAS'!$B:$B,$B127)</f>
        <v/>
      </c>
      <c r="J127" s="21">
        <f>SUMIFS('MP_RECARGAS'!J:J,'MP_RECARGAS'!$A:$A,$A127,'MP_RECARGAS'!$B:$B,$B127)</f>
        <v/>
      </c>
      <c r="K127" s="21">
        <f>SUMIFS('MP_RECARGAS'!K:K,'MP_RECARGAS'!$A:$A,$A127,'MP_RECARGAS'!$B:$B,$B127)</f>
        <v/>
      </c>
      <c r="L127" s="21">
        <f>SUMIFS('MP_RECARGAS'!L:L,'MP_RECARGAS'!$A:$A,$A127,'MP_RECARGAS'!$B:$B,$B127)</f>
        <v/>
      </c>
      <c r="M127" s="21">
        <f>SUMIFS('MP_RECARGAS'!M:M,'MP_RECARGAS'!$A:$A,$A127,'MP_RECARGAS'!$B:$B,$B127)</f>
        <v/>
      </c>
      <c r="N127" s="21">
        <f>SUMIFS('MP_RECARGAS'!N:N,'MP_RECARGAS'!$A:$A,$A127,'MP_RECARGAS'!$B:$B,$B127)</f>
        <v/>
      </c>
      <c r="O127" s="21">
        <f>SUMIFS('MP_RECARGAS'!O:O,'MP_RECARGAS'!$A:$A,$A127,'MP_RECARGAS'!$B:$B,$B127)</f>
        <v/>
      </c>
    </row>
    <row r="128">
      <c r="A128" s="2" t="inlineStr">
        <is>
          <t>Concentrado espumígeno AFFF 3 % (IRAM 3515)</t>
        </is>
      </c>
      <c r="B128" s="2" t="inlineStr">
        <is>
          <t>L</t>
        </is>
      </c>
      <c r="C128" s="2" t="inlineStr">
        <is>
          <t>Recarga y mantenimiento</t>
        </is>
      </c>
      <c r="D128" s="2" t="inlineStr">
        <is>
          <t>DEM S.A. (DEMSA)</t>
        </is>
      </c>
      <c r="E128" s="2" t="inlineStr">
        <is>
          <t>MP_RECARGAS</t>
        </is>
      </c>
      <c r="F128" s="21">
        <f>SUMIFS('MP_RECARGAS'!F:F,'MP_RECARGAS'!$A:$A,$A128,'MP_RECARGAS'!$B:$B,$B128)</f>
        <v/>
      </c>
      <c r="G128" s="21">
        <f>SUMIFS('MP_RECARGAS'!G:G,'MP_RECARGAS'!$A:$A,$A128,'MP_RECARGAS'!$B:$B,$B128)</f>
        <v/>
      </c>
      <c r="H128" s="21">
        <f>SUMIFS('MP_RECARGAS'!H:H,'MP_RECARGAS'!$A:$A,$A128,'MP_RECARGAS'!$B:$B,$B128)</f>
        <v/>
      </c>
      <c r="I128" s="21">
        <f>SUMIFS('MP_RECARGAS'!I:I,'MP_RECARGAS'!$A:$A,$A128,'MP_RECARGAS'!$B:$B,$B128)</f>
        <v/>
      </c>
      <c r="J128" s="21">
        <f>SUMIFS('MP_RECARGAS'!J:J,'MP_RECARGAS'!$A:$A,$A128,'MP_RECARGAS'!$B:$B,$B128)</f>
        <v/>
      </c>
      <c r="K128" s="21">
        <f>SUMIFS('MP_RECARGAS'!K:K,'MP_RECARGAS'!$A:$A,$A128,'MP_RECARGAS'!$B:$B,$B128)</f>
        <v/>
      </c>
      <c r="L128" s="21">
        <f>SUMIFS('MP_RECARGAS'!L:L,'MP_RECARGAS'!$A:$A,$A128,'MP_RECARGAS'!$B:$B,$B128)</f>
        <v/>
      </c>
      <c r="M128" s="21">
        <f>SUMIFS('MP_RECARGAS'!M:M,'MP_RECARGAS'!$A:$A,$A128,'MP_RECARGAS'!$B:$B,$B128)</f>
        <v/>
      </c>
      <c r="N128" s="21">
        <f>SUMIFS('MP_RECARGAS'!N:N,'MP_RECARGAS'!$A:$A,$A128,'MP_RECARGAS'!$B:$B,$B128)</f>
        <v/>
      </c>
      <c r="O128" s="21">
        <f>SUMIFS('MP_RECARGAS'!O:O,'MP_RECARGAS'!$A:$A,$A128,'MP_RECARGAS'!$B:$B,$B128)</f>
        <v/>
      </c>
    </row>
    <row r="129">
      <c r="A129" s="2" t="inlineStr">
        <is>
          <t>Disco de seguridad</t>
        </is>
      </c>
      <c r="B129" s="2" t="inlineStr">
        <is>
          <t>u</t>
        </is>
      </c>
      <c r="C129" s="2" t="inlineStr">
        <is>
          <t>Recarga y mantenimiento</t>
        </is>
      </c>
      <c r="D129" s="2" t="inlineStr">
        <is>
          <t>Polvex S.R.L. / Sancibrao</t>
        </is>
      </c>
      <c r="E129" s="2" t="inlineStr">
        <is>
          <t>MP_RECARGAS</t>
        </is>
      </c>
      <c r="F129" s="21">
        <f>SUMIFS('MP_RECARGAS'!F:F,'MP_RECARGAS'!$A:$A,$A129,'MP_RECARGAS'!$B:$B,$B129)</f>
        <v/>
      </c>
      <c r="G129" s="21">
        <f>SUMIFS('MP_RECARGAS'!G:G,'MP_RECARGAS'!$A:$A,$A129,'MP_RECARGAS'!$B:$B,$B129)</f>
        <v/>
      </c>
      <c r="H129" s="21">
        <f>SUMIFS('MP_RECARGAS'!H:H,'MP_RECARGAS'!$A:$A,$A129,'MP_RECARGAS'!$B:$B,$B129)</f>
        <v/>
      </c>
      <c r="I129" s="21">
        <f>SUMIFS('MP_RECARGAS'!I:I,'MP_RECARGAS'!$A:$A,$A129,'MP_RECARGAS'!$B:$B,$B129)</f>
        <v/>
      </c>
      <c r="J129" s="21">
        <f>SUMIFS('MP_RECARGAS'!J:J,'MP_RECARGAS'!$A:$A,$A129,'MP_RECARGAS'!$B:$B,$B129)</f>
        <v/>
      </c>
      <c r="K129" s="21">
        <f>SUMIFS('MP_RECARGAS'!K:K,'MP_RECARGAS'!$A:$A,$A129,'MP_RECARGAS'!$B:$B,$B129)</f>
        <v/>
      </c>
      <c r="L129" s="21">
        <f>SUMIFS('MP_RECARGAS'!L:L,'MP_RECARGAS'!$A:$A,$A129,'MP_RECARGAS'!$B:$B,$B129)</f>
        <v/>
      </c>
      <c r="M129" s="21">
        <f>SUMIFS('MP_RECARGAS'!M:M,'MP_RECARGAS'!$A:$A,$A129,'MP_RECARGAS'!$B:$B,$B129)</f>
        <v/>
      </c>
      <c r="N129" s="21">
        <f>SUMIFS('MP_RECARGAS'!N:N,'MP_RECARGAS'!$A:$A,$A129,'MP_RECARGAS'!$B:$B,$B129)</f>
        <v/>
      </c>
      <c r="O129" s="21">
        <f>SUMIFS('MP_RECARGAS'!O:O,'MP_RECARGAS'!$A:$A,$A129,'MP_RECARGAS'!$B:$B,$B129)</f>
        <v/>
      </c>
    </row>
    <row r="130">
      <c r="A130" s="2" t="inlineStr">
        <is>
          <t>Dióxido de carbono (IRAM 41170)</t>
        </is>
      </c>
      <c r="B130" s="2" t="inlineStr">
        <is>
          <t>kg</t>
        </is>
      </c>
      <c r="C130" s="2" t="inlineStr">
        <is>
          <t>Recarga y mantenimiento</t>
        </is>
      </c>
      <c r="D130" s="2" t="inlineStr">
        <is>
          <t>Air Liquide Argentina - sucursal Piñeyro</t>
        </is>
      </c>
      <c r="E130" s="2" t="inlineStr">
        <is>
          <t>MP_RECARGAS</t>
        </is>
      </c>
      <c r="F130" s="21">
        <f>SUMIFS('MP_RECARGAS'!F:F,'MP_RECARGAS'!$A:$A,$A130,'MP_RECARGAS'!$B:$B,$B130)</f>
        <v/>
      </c>
      <c r="G130" s="21">
        <f>SUMIFS('MP_RECARGAS'!G:G,'MP_RECARGAS'!$A:$A,$A130,'MP_RECARGAS'!$B:$B,$B130)</f>
        <v/>
      </c>
      <c r="H130" s="21">
        <f>SUMIFS('MP_RECARGAS'!H:H,'MP_RECARGAS'!$A:$A,$A130,'MP_RECARGAS'!$B:$B,$B130)</f>
        <v/>
      </c>
      <c r="I130" s="21">
        <f>SUMIFS('MP_RECARGAS'!I:I,'MP_RECARGAS'!$A:$A,$A130,'MP_RECARGAS'!$B:$B,$B130)</f>
        <v/>
      </c>
      <c r="J130" s="21">
        <f>SUMIFS('MP_RECARGAS'!J:J,'MP_RECARGAS'!$A:$A,$A130,'MP_RECARGAS'!$B:$B,$B130)</f>
        <v/>
      </c>
      <c r="K130" s="21">
        <f>SUMIFS('MP_RECARGAS'!K:K,'MP_RECARGAS'!$A:$A,$A130,'MP_RECARGAS'!$B:$B,$B130)</f>
        <v/>
      </c>
      <c r="L130" s="21">
        <f>SUMIFS('MP_RECARGAS'!L:L,'MP_RECARGAS'!$A:$A,$A130,'MP_RECARGAS'!$B:$B,$B130)</f>
        <v/>
      </c>
      <c r="M130" s="21">
        <f>SUMIFS('MP_RECARGAS'!M:M,'MP_RECARGAS'!$A:$A,$A130,'MP_RECARGAS'!$B:$B,$B130)</f>
        <v/>
      </c>
      <c r="N130" s="21">
        <f>SUMIFS('MP_RECARGAS'!N:N,'MP_RECARGAS'!$A:$A,$A130,'MP_RECARGAS'!$B:$B,$B130)</f>
        <v/>
      </c>
      <c r="O130" s="21">
        <f>SUMIFS('MP_RECARGAS'!O:O,'MP_RECARGAS'!$A:$A,$A130,'MP_RECARGAS'!$B:$B,$B130)</f>
        <v/>
      </c>
    </row>
    <row r="131">
      <c r="A131" s="2" t="inlineStr">
        <is>
          <t>Etiqueta de servicio del recargador (extintor n°, serie, próxima recarga y PH)</t>
        </is>
      </c>
      <c r="B131" s="2" t="inlineStr">
        <is>
          <t>u</t>
        </is>
      </c>
      <c r="C131" s="2" t="inlineStr">
        <is>
          <t>Recarga y mantenimiento</t>
        </is>
      </c>
      <c r="D131" s="2" t="inlineStr">
        <is>
          <t>Astuprint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Gas impulsor: Argón</t>
        </is>
      </c>
      <c r="B132" s="2" t="inlineStr">
        <is>
          <t>kg</t>
        </is>
      </c>
      <c r="C132" s="2" t="inlineStr">
        <is>
          <t>Recarga y mantenimiento</t>
        </is>
      </c>
      <c r="D132" s="2" t="inlineStr">
        <is>
          <t>Air Liquide Argentina - sucursal Piñeyro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HCFC 123 / HFC 236fa (agente limpio)</t>
        </is>
      </c>
      <c r="B133" s="2" t="inlineStr">
        <is>
          <t>kg</t>
        </is>
      </c>
      <c r="C133" s="2" t="inlineStr">
        <is>
          <t>Recarga y mantenimiento</t>
        </is>
      </c>
      <c r="D133" s="2" t="inlineStr">
        <is>
          <t>-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Junta tórica de asiento del cuello</t>
        </is>
      </c>
      <c r="B134" s="2" t="inlineStr">
        <is>
          <t>u</t>
        </is>
      </c>
      <c r="C134" s="2" t="inlineStr">
        <is>
          <t>Recarga y mantenimiento</t>
        </is>
      </c>
      <c r="D134" s="2" t="inlineStr">
        <is>
          <t>Argensold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Marbete (anillo, color del año)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Astuprint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Oblea PBA de recarga Ø46 + estampilla precinto 1" × 200 mm válvula-cuerpo</t>
        </is>
      </c>
      <c r="B136" s="2" t="inlineStr">
        <is>
          <t>u</t>
        </is>
      </c>
      <c r="C136" s="2" t="inlineStr">
        <is>
          <t>Recarga y mantenimiento</t>
        </is>
      </c>
      <c r="D136" s="2" t="inlineStr">
        <is>
          <t>Ministerio de Ambiente PBA (ex OPDS)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Polvo para metales combustibles clase D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DEM S.A. (DEMSA)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Polvo químico seco BC (bicarbonato)</t>
        </is>
      </c>
      <c r="B138" s="2" t="inlineStr">
        <is>
          <t>kg</t>
        </is>
      </c>
      <c r="C138" s="2" t="inlineStr">
        <is>
          <t>Recarga y mantenimiento</t>
        </is>
      </c>
      <c r="D138" s="2" t="inlineStr">
        <is>
          <t>Polvex S.R.L. / Sancibrao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Precinto plástico numerado, color, con nombre del recargador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SonFuertes (vía Papelera Damián)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Tarjeta de identificación AGC (módulo papel con QR + etiqueta AGC)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Agencia Gubernamental de Control (CABA)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  <row r="141">
      <c r="A141" s="2" t="inlineStr">
        <is>
          <t>Tarjeta de identificación DPS de revisión / recarga</t>
        </is>
      </c>
      <c r="B141" s="2" t="inlineStr">
        <is>
          <t>u</t>
        </is>
      </c>
      <c r="C141" s="2" t="inlineStr">
        <is>
          <t>Recarga y mantenimiento</t>
        </is>
      </c>
      <c r="D141" s="2" t="inlineStr">
        <is>
          <t>Ministerio de Ambiente PBA (ex OPDS)</t>
        </is>
      </c>
      <c r="E141" s="2" t="inlineStr">
        <is>
          <t>MP_RECARGAS</t>
        </is>
      </c>
      <c r="F141" s="21">
        <f>SUMIFS('MP_RECARGAS'!F:F,'MP_RECARGAS'!$A:$A,$A141,'MP_RECARGAS'!$B:$B,$B141)</f>
        <v/>
      </c>
      <c r="G141" s="21">
        <f>SUMIFS('MP_RECARGAS'!G:G,'MP_RECARGAS'!$A:$A,$A141,'MP_RECARGAS'!$B:$B,$B141)</f>
        <v/>
      </c>
      <c r="H141" s="21">
        <f>SUMIFS('MP_RECARGAS'!H:H,'MP_RECARGAS'!$A:$A,$A141,'MP_RECARGAS'!$B:$B,$B141)</f>
        <v/>
      </c>
      <c r="I141" s="21">
        <f>SUMIFS('MP_RECARGAS'!I:I,'MP_RECARGAS'!$A:$A,$A141,'MP_RECARGAS'!$B:$B,$B141)</f>
        <v/>
      </c>
      <c r="J141" s="21">
        <f>SUMIFS('MP_RECARGAS'!J:J,'MP_RECARGAS'!$A:$A,$A141,'MP_RECARGAS'!$B:$B,$B141)</f>
        <v/>
      </c>
      <c r="K141" s="21">
        <f>SUMIFS('MP_RECARGAS'!K:K,'MP_RECARGAS'!$A:$A,$A141,'MP_RECARGAS'!$B:$B,$B141)</f>
        <v/>
      </c>
      <c r="L141" s="21">
        <f>SUMIFS('MP_RECARGAS'!L:L,'MP_RECARGAS'!$A:$A,$A141,'MP_RECARGAS'!$B:$B,$B141)</f>
        <v/>
      </c>
      <c r="M141" s="21">
        <f>SUMIFS('MP_RECARGAS'!M:M,'MP_RECARGAS'!$A:$A,$A141,'MP_RECARGAS'!$B:$B,$B141)</f>
        <v/>
      </c>
      <c r="N141" s="21">
        <f>SUMIFS('MP_RECARGAS'!N:N,'MP_RECARGAS'!$A:$A,$A141,'MP_RECARGAS'!$B:$B,$B141)</f>
        <v/>
      </c>
      <c r="O141" s="21">
        <f>SUMIFS('MP_RECARGAS'!O:O,'MP_RECARGAS'!$A:$A,$A141,'MP_RECARGAS'!$B:$B,$B141)</f>
        <v/>
      </c>
    </row>
  </sheetData>
  <autoFilter ref="A4:E1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2026-10-10T04:38:13Z</dcterms:created>
  <dcterms:modified xmlns:dcterms="http://purl.org/dc/terms/" xmlns:xsi="http://www.w3.org/2001/XMLSchema-instance" xsi:type="dcterms:W3CDTF">2026-10-10T04:38:14Z</dcterms:modified>
</cp:coreProperties>
</file>