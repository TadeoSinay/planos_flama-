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ado Dim Técnico" sheetId="1" state="visible" r:id="rId1"/>
    <sheet xmlns:r="http://schemas.openxmlformats.org/officeDocument/2006/relationships" name="Reservas y Sustitutos" sheetId="2" state="visible" r:id="rId2"/>
    <sheet xmlns:r="http://schemas.openxmlformats.org/officeDocument/2006/relationships" name="Parametros" sheetId="3" state="visible" r:id="rId3"/>
    <sheet xmlns:r="http://schemas.openxmlformats.org/officeDocument/2006/relationships" name="Demanda" sheetId="4" state="visible" r:id="rId4"/>
    <sheet xmlns:r="http://schemas.openxmlformats.org/officeDocument/2006/relationships" name="MP_MATAFUEGOS_FABRICADOS" sheetId="5" state="visible" r:id="rId5"/>
    <sheet xmlns:r="http://schemas.openxmlformats.org/officeDocument/2006/relationships" name="MP_MATAFUEGOS_REVENDIDOS" sheetId="6" state="visible" r:id="rId6"/>
    <sheet xmlns:r="http://schemas.openxmlformats.org/officeDocument/2006/relationships" name="MP_CILINDROS" sheetId="7" state="visible" r:id="rId7"/>
    <sheet xmlns:r="http://schemas.openxmlformats.org/officeDocument/2006/relationships" name="MP_SUSTITUTOS" sheetId="8" state="visible" r:id="rId8"/>
    <sheet xmlns:r="http://schemas.openxmlformats.org/officeDocument/2006/relationships" name="MP_RECARGAS" sheetId="9" state="visible" r:id="rId9"/>
    <sheet xmlns:r="http://schemas.openxmlformats.org/officeDocument/2006/relationships" name="MP_INSUMOS_PROCESO" sheetId="10" state="visible" r:id="rId10"/>
    <sheet xmlns:r="http://schemas.openxmlformats.org/officeDocument/2006/relationships" name="MRP_CONSOLIDADO" sheetId="11" state="visible" r:id="rId11"/>
  </sheets>
  <definedNames>
    <definedName name="_xlnm._FilterDatabase" localSheetId="4" hidden="1">'MP_MATAFUEGOS_FABRICADOS'!$A$16:$E$112</definedName>
    <definedName name="_xlnm._FilterDatabase" localSheetId="5" hidden="1">'MP_MATAFUEGOS_REVENDIDOS'!$A$16:$E$26</definedName>
    <definedName name="_xlnm._FilterDatabase" localSheetId="6" hidden="1">'MP_CILINDROS'!$A$16:$E$60</definedName>
    <definedName name="_xlnm._FilterDatabase" localSheetId="7" hidden="1">'MP_SUSTITUTOS'!$A$16:$E$25</definedName>
    <definedName name="_xlnm._FilterDatabase" localSheetId="8" hidden="1">'MP_RECARGAS'!$A$16:$E$34</definedName>
    <definedName name="_xlnm._FilterDatabase" localSheetId="10" hidden="1">'MRP_CONSOLIDADO'!$A$4:$E$140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0.0000"/>
    <numFmt numFmtId="167" formatCode="#,##0.0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7F1D1D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8B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164" fontId="2" fillId="0" borderId="0" pivotButton="0" quotePrefix="0" xfId="0"/>
    <xf numFmtId="165" fontId="1" fillId="0" borderId="0" pivotButton="0" quotePrefix="0" xfId="0"/>
    <xf numFmtId="1" fontId="2" fillId="0" borderId="0" pivotButton="0" quotePrefix="0" xfId="0"/>
    <xf numFmtId="1" fontId="1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9" fontId="2" fillId="2" borderId="0" pivotButton="0" quotePrefix="0" xfId="0"/>
    <xf numFmtId="0" fontId="4" fillId="0" borderId="0" pivotButton="0" quotePrefix="0" xfId="0"/>
    <xf numFmtId="165" fontId="2" fillId="0" borderId="0" pivotButton="0" quotePrefix="0" xfId="0"/>
    <xf numFmtId="3" fontId="0" fillId="0" borderId="0" pivotButton="0" quotePrefix="0" xfId="0"/>
    <xf numFmtId="0" fontId="5" fillId="3" borderId="0" applyAlignment="1" pivotButton="0" quotePrefix="0" xfId="0">
      <alignment textRotation="90"/>
    </xf>
    <xf numFmtId="0" fontId="5" fillId="3" borderId="0" applyAlignment="1" pivotButton="0" quotePrefix="0" xfId="0">
      <alignment vertical="center" wrapText="1"/>
    </xf>
    <xf numFmtId="0" fontId="5" fillId="3" borderId="0" pivotButton="0" quotePrefix="0" xfId="0"/>
    <xf numFmtId="0" fontId="5" fillId="3" borderId="0" applyAlignment="1" pivotButton="0" quotePrefix="0" xfId="0">
      <alignment textRotation="90" wrapText="1"/>
    </xf>
    <xf numFmtId="4" fontId="0" fillId="0" borderId="0" pivotButton="0" quotePrefix="0" xfId="0"/>
    <xf numFmtId="166" fontId="6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166" fontId="2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cols>
    <col width="34.13" customWidth="1" min="1" max="1"/>
    <col width="15.63" customWidth="1" min="2" max="2"/>
    <col width="13.5" customWidth="1" min="8" max="8"/>
    <col width="14.38" customWidth="1" min="11" max="11"/>
    <col width="17.13" customWidth="1" min="12" max="12"/>
    <col width="15.38" customWidth="1" min="13" max="13"/>
  </cols>
  <sheetData>
    <row r="1">
      <c r="A1" s="1" t="inlineStr">
        <is>
          <t xml:space="preserve">PRODUCCION DE MATAFUEGOS TERMINADOS </t>
        </is>
      </c>
    </row>
    <row r="2">
      <c r="A2" s="1" t="inlineStr">
        <is>
          <t>Demanda</t>
        </is>
      </c>
      <c r="B2" s="1" t="n">
        <v>2026</v>
      </c>
      <c r="C2" s="1" t="n">
        <v>2027</v>
      </c>
      <c r="D2" s="1" t="n">
        <v>2028</v>
      </c>
      <c r="E2" s="1" t="n">
        <v>2029</v>
      </c>
      <c r="F2" s="1" t="n">
        <v>2030</v>
      </c>
      <c r="G2" s="1" t="n">
        <v>2031</v>
      </c>
      <c r="H2" s="1" t="n">
        <v>2032</v>
      </c>
      <c r="I2" s="1" t="n">
        <v>2033</v>
      </c>
      <c r="J2" s="1" t="n">
        <v>2034</v>
      </c>
      <c r="K2" s="1" t="n">
        <v>2035</v>
      </c>
      <c r="L2" s="1" t="inlineStr">
        <is>
          <t>%</t>
        </is>
      </c>
    </row>
    <row r="3">
      <c r="A3" s="2" t="inlineStr">
        <is>
          <t>ABC 1 kg</t>
        </is>
      </c>
      <c r="B3" s="3" t="n">
        <v>4178.736543</v>
      </c>
      <c r="C3" s="3" t="n">
        <v>5997.303977</v>
      </c>
      <c r="D3" s="3" t="n">
        <v>6851.747758</v>
      </c>
      <c r="E3" s="3" t="n">
        <v>8467.135549000001</v>
      </c>
      <c r="F3" s="3" t="n">
        <v>12680.63271</v>
      </c>
      <c r="G3" s="3" t="n">
        <v>15620.25307</v>
      </c>
      <c r="H3" s="3" t="n">
        <v>20332.55326</v>
      </c>
      <c r="I3" s="3" t="n">
        <v>25132.07848</v>
      </c>
      <c r="J3" s="3" t="n">
        <v>28573.33614</v>
      </c>
      <c r="K3" s="3" t="n">
        <v>32072.63913</v>
      </c>
      <c r="L3" s="4" t="n">
        <v>0.4339875715</v>
      </c>
    </row>
    <row r="4">
      <c r="A4" s="2" t="inlineStr">
        <is>
          <t>ABC 2,5 kg</t>
        </is>
      </c>
      <c r="B4" s="3" t="n">
        <v>295.0303572</v>
      </c>
      <c r="C4" s="3" t="n">
        <v>709.7274503</v>
      </c>
      <c r="D4" s="3" t="n">
        <v>986.8680576</v>
      </c>
      <c r="E4" s="3" t="n">
        <v>1500.638174</v>
      </c>
      <c r="F4" s="3" t="n">
        <v>2312.627726</v>
      </c>
      <c r="G4" s="3" t="n">
        <v>3252.869887</v>
      </c>
      <c r="H4" s="3" t="n">
        <v>4102.315524</v>
      </c>
      <c r="I4" s="3" t="n">
        <v>5104.306587</v>
      </c>
      <c r="J4" s="3" t="n">
        <v>6195.186243</v>
      </c>
      <c r="K4" s="3" t="n">
        <v>7424.858444</v>
      </c>
      <c r="L4" s="4" t="n">
        <v>0.1004686977</v>
      </c>
    </row>
    <row r="5">
      <c r="A5" s="2" t="inlineStr">
        <is>
          <t>ABC 5 kg</t>
        </is>
      </c>
      <c r="B5" s="3" t="n">
        <v>2255.773025</v>
      </c>
      <c r="C5" s="3" t="n">
        <v>3846.978881</v>
      </c>
      <c r="D5" s="3" t="n">
        <v>5093.537591</v>
      </c>
      <c r="E5" s="3" t="n">
        <v>6823.115313</v>
      </c>
      <c r="F5" s="3" t="n">
        <v>10819.30694</v>
      </c>
      <c r="G5" s="3" t="n">
        <v>14605.96411</v>
      </c>
      <c r="H5" s="3" t="n">
        <v>18877.75984</v>
      </c>
      <c r="I5" s="3" t="n">
        <v>23368.18637</v>
      </c>
      <c r="J5" s="3" t="n">
        <v>26967.72455</v>
      </c>
      <c r="K5" s="3" t="n">
        <v>30750.77872</v>
      </c>
      <c r="L5" s="4" t="n">
        <v>0.4161009552</v>
      </c>
    </row>
    <row r="6">
      <c r="A6" s="2" t="inlineStr">
        <is>
          <t>ABC 10 kg</t>
        </is>
      </c>
      <c r="B6" s="3" t="n">
        <v>91.83318153</v>
      </c>
      <c r="C6" s="3" t="n">
        <v>177.2472967</v>
      </c>
      <c r="D6" s="3" t="n">
        <v>252.9787798</v>
      </c>
      <c r="E6" s="3" t="n">
        <v>358.0204941</v>
      </c>
      <c r="F6" s="3" t="n">
        <v>602.7181519</v>
      </c>
      <c r="G6" s="3" t="n">
        <v>872.6050320000001</v>
      </c>
      <c r="H6" s="3" t="n">
        <v>1127.160545</v>
      </c>
      <c r="I6" s="3" t="n">
        <v>1395.444812</v>
      </c>
      <c r="J6" s="3" t="n">
        <v>1612.350054</v>
      </c>
      <c r="K6" s="3" t="n">
        <v>1840.848079</v>
      </c>
      <c r="L6" s="4" t="n">
        <v>0.02490924379</v>
      </c>
    </row>
    <row r="7">
      <c r="A7" s="2" t="inlineStr">
        <is>
          <t>ABC 25 kg s/ruedas</t>
        </is>
      </c>
      <c r="B7" s="3" t="n">
        <v>34.05179136</v>
      </c>
      <c r="C7" s="3" t="n">
        <v>58.46214745</v>
      </c>
      <c r="D7" s="3" t="n">
        <v>75.20853998</v>
      </c>
      <c r="E7" s="3" t="n">
        <v>100.5298529</v>
      </c>
      <c r="F7" s="3" t="n">
        <v>155.8760035</v>
      </c>
      <c r="G7" s="3" t="n">
        <v>211.9344827</v>
      </c>
      <c r="H7" s="3" t="n">
        <v>272.6682332</v>
      </c>
      <c r="I7" s="3" t="n">
        <v>337.8486707</v>
      </c>
      <c r="J7" s="3" t="n">
        <v>393.6274156</v>
      </c>
      <c r="K7" s="3" t="n">
        <v>453.2705332</v>
      </c>
      <c r="L7" s="4" t="n">
        <v>0.006133382949</v>
      </c>
    </row>
    <row r="8">
      <c r="A8" s="2" t="inlineStr">
        <is>
          <t>ABC 50 kg s/ruedas</t>
        </is>
      </c>
      <c r="B8" s="3" t="n">
        <v>74.91394099999999</v>
      </c>
      <c r="C8" s="3" t="n">
        <v>128.6167244</v>
      </c>
      <c r="D8" s="3" t="n">
        <v>165.458788</v>
      </c>
      <c r="E8" s="3" t="n">
        <v>221.1656765</v>
      </c>
      <c r="F8" s="3" t="n">
        <v>342.9272077</v>
      </c>
      <c r="G8" s="3" t="n">
        <v>466.255862</v>
      </c>
      <c r="H8" s="3" t="n">
        <v>599.8701129</v>
      </c>
      <c r="I8" s="3" t="n">
        <v>743.2670756</v>
      </c>
      <c r="J8" s="3" t="n">
        <v>865.9803143</v>
      </c>
      <c r="K8" s="3" t="n">
        <v>997.1951731</v>
      </c>
      <c r="L8" s="4" t="n">
        <v>0.01349344249</v>
      </c>
    </row>
    <row r="9">
      <c r="A9" s="2" t="inlineStr">
        <is>
          <t>ABC 70 kg s/ruedas</t>
        </is>
      </c>
      <c r="B9" s="3" t="n">
        <v>16.34485985</v>
      </c>
      <c r="C9" s="3" t="n">
        <v>28.06183078</v>
      </c>
      <c r="D9" s="3" t="n">
        <v>36.10009919</v>
      </c>
      <c r="E9" s="3" t="n">
        <v>48.25432941</v>
      </c>
      <c r="F9" s="3" t="n">
        <v>74.82048167000001</v>
      </c>
      <c r="G9" s="3" t="n">
        <v>101.7285517</v>
      </c>
      <c r="H9" s="3" t="n">
        <v>130.8807519</v>
      </c>
      <c r="I9" s="3" t="n">
        <v>162.1673619</v>
      </c>
      <c r="J9" s="3" t="n">
        <v>188.9411595</v>
      </c>
      <c r="K9" s="3" t="n">
        <v>217.569856</v>
      </c>
      <c r="L9" s="4" t="n">
        <v>0.002944023815</v>
      </c>
    </row>
    <row r="10">
      <c r="A10" s="2" t="inlineStr">
        <is>
          <t>ABC 100 kg s/ruedas</t>
        </is>
      </c>
      <c r="B10" s="3" t="n">
        <v>10.89657324</v>
      </c>
      <c r="C10" s="3" t="n">
        <v>18.70788719</v>
      </c>
      <c r="D10" s="3" t="n">
        <v>24.06673279</v>
      </c>
      <c r="E10" s="3" t="n">
        <v>32.16955294</v>
      </c>
      <c r="F10" s="3" t="n">
        <v>49.88032112</v>
      </c>
      <c r="G10" s="3" t="n">
        <v>67.81903447000001</v>
      </c>
      <c r="H10" s="3" t="n">
        <v>87.25383461</v>
      </c>
      <c r="I10" s="3" t="n">
        <v>108.1115746</v>
      </c>
      <c r="J10" s="3" t="n">
        <v>125.960773</v>
      </c>
      <c r="K10" s="3" t="n">
        <v>145.0465706</v>
      </c>
      <c r="L10" s="4" t="n">
        <v>0.001962682544</v>
      </c>
    </row>
    <row r="11">
      <c r="A11" s="1" t="inlineStr">
        <is>
          <t>TOTAL</t>
        </is>
      </c>
      <c r="B11" s="5" t="n">
        <v>6957.580272</v>
      </c>
      <c r="C11" s="5" t="n">
        <v>10965.10619</v>
      </c>
      <c r="D11" s="5" t="n">
        <v>13485.96635</v>
      </c>
      <c r="E11" s="5" t="n">
        <v>17551.02894</v>
      </c>
      <c r="F11" s="5" t="n">
        <v>27038.78955</v>
      </c>
      <c r="G11" s="5" t="n">
        <v>35199.43004</v>
      </c>
      <c r="H11" s="5" t="n">
        <v>45530.46211</v>
      </c>
      <c r="I11" s="5" t="n">
        <v>56351.41093</v>
      </c>
      <c r="J11" s="5" t="n">
        <v>64923.10665</v>
      </c>
      <c r="K11" s="5" t="n">
        <v>73902.20651</v>
      </c>
      <c r="L11" s="6" t="n">
        <v>1</v>
      </c>
    </row>
    <row r="13">
      <c r="A13" s="1" t="inlineStr">
        <is>
          <t>PRODUCCION DE CILINDROS</t>
        </is>
      </c>
    </row>
    <row r="14">
      <c r="A14" s="1" t="inlineStr">
        <is>
          <t>Demanda</t>
        </is>
      </c>
      <c r="B14" s="1" t="n">
        <v>2026</v>
      </c>
      <c r="C14" s="1" t="n">
        <v>2027</v>
      </c>
      <c r="D14" s="1" t="n">
        <v>2028</v>
      </c>
      <c r="E14" s="1" t="n">
        <v>2029</v>
      </c>
      <c r="F14" s="1" t="n">
        <v>2030</v>
      </c>
      <c r="G14" s="1" t="n">
        <v>2031</v>
      </c>
      <c r="H14" s="1" t="n">
        <v>2032</v>
      </c>
      <c r="I14" s="1" t="n">
        <v>2033</v>
      </c>
      <c r="J14" s="1" t="n">
        <v>2034</v>
      </c>
      <c r="K14" s="1" t="n">
        <v>2035</v>
      </c>
      <c r="L14" s="1" t="inlineStr">
        <is>
          <t>%</t>
        </is>
      </c>
    </row>
    <row r="15">
      <c r="A15" s="2" t="inlineStr">
        <is>
          <t>Cilindros ABC 1 kg</t>
        </is>
      </c>
      <c r="B15" s="3" t="n">
        <v>0</v>
      </c>
      <c r="C15" s="3" t="n">
        <v>0</v>
      </c>
      <c r="D15" s="3" t="n">
        <v>7662.4</v>
      </c>
      <c r="E15" s="3" t="n">
        <v>26694.8</v>
      </c>
      <c r="F15" s="3" t="n">
        <v>49434.8</v>
      </c>
      <c r="G15" s="3" t="n">
        <v>71680.2</v>
      </c>
      <c r="H15" s="3" t="n">
        <v>101340.6</v>
      </c>
      <c r="I15" s="3" t="n">
        <v>131001</v>
      </c>
      <c r="J15" s="3" t="n">
        <v>146819.8</v>
      </c>
      <c r="K15" s="3" t="n">
        <v>170548</v>
      </c>
      <c r="L15" s="4" t="n">
        <v>0.7990816661</v>
      </c>
    </row>
    <row r="16">
      <c r="A16" s="2" t="inlineStr">
        <is>
          <t>Cilindros ABC 2,5 kg</t>
        </is>
      </c>
      <c r="B16" s="3" t="n">
        <v>0</v>
      </c>
      <c r="C16" s="3" t="n">
        <v>0</v>
      </c>
      <c r="D16" s="3" t="n">
        <v>299.6</v>
      </c>
      <c r="E16" s="3" t="n">
        <v>1043.8</v>
      </c>
      <c r="F16" s="3" t="n">
        <v>1933</v>
      </c>
      <c r="G16" s="3" t="n">
        <v>2803</v>
      </c>
      <c r="H16" s="3" t="n">
        <v>3963</v>
      </c>
      <c r="I16" s="3" t="n">
        <v>5123</v>
      </c>
      <c r="J16" s="3" t="n">
        <v>5741.4</v>
      </c>
      <c r="K16" s="3" t="n">
        <v>6669</v>
      </c>
      <c r="L16" s="4" t="n">
        <v>0.0312467788</v>
      </c>
    </row>
    <row r="17">
      <c r="A17" s="2" t="inlineStr">
        <is>
          <t>Cilindros ABC 5 kg</t>
        </is>
      </c>
      <c r="B17" s="3" t="n">
        <v>0</v>
      </c>
      <c r="C17" s="3" t="n">
        <v>0</v>
      </c>
      <c r="D17" s="3" t="n">
        <v>1478.8</v>
      </c>
      <c r="E17" s="3" t="n">
        <v>5152</v>
      </c>
      <c r="F17" s="3" t="n">
        <v>9540.799999999999</v>
      </c>
      <c r="G17" s="3" t="n">
        <v>13834.2</v>
      </c>
      <c r="H17" s="3" t="n">
        <v>19558.6</v>
      </c>
      <c r="I17" s="3" t="n">
        <v>25283</v>
      </c>
      <c r="J17" s="3" t="n">
        <v>28335.8</v>
      </c>
      <c r="K17" s="3" t="n">
        <v>32915</v>
      </c>
      <c r="L17" s="4" t="n">
        <v>0.1542191819</v>
      </c>
    </row>
    <row r="18">
      <c r="A18" s="2" t="inlineStr">
        <is>
          <t>Cilindros ABC 10 kg</t>
        </is>
      </c>
      <c r="B18" s="3" t="n">
        <v>0</v>
      </c>
      <c r="C18" s="3" t="n">
        <v>0</v>
      </c>
      <c r="D18" s="3" t="n">
        <v>90.40000000000001</v>
      </c>
      <c r="E18" s="3" t="n">
        <v>315</v>
      </c>
      <c r="F18" s="3" t="n">
        <v>583.4</v>
      </c>
      <c r="G18" s="3" t="n">
        <v>845.8</v>
      </c>
      <c r="H18" s="3" t="n">
        <v>1195.4</v>
      </c>
      <c r="I18" s="3" t="n">
        <v>1545</v>
      </c>
      <c r="J18" s="3" t="n">
        <v>1731.4</v>
      </c>
      <c r="K18" s="3" t="n">
        <v>2011</v>
      </c>
      <c r="L18" s="4" t="n">
        <v>0.009422293022999999</v>
      </c>
    </row>
    <row r="19">
      <c r="A19" s="2" t="inlineStr">
        <is>
          <t>Cilindros ABC 25 kg</t>
        </is>
      </c>
      <c r="B19" s="3" t="n">
        <v>0</v>
      </c>
      <c r="C19" s="3" t="n">
        <v>0</v>
      </c>
      <c r="D19" s="3" t="n">
        <v>14.4</v>
      </c>
      <c r="E19" s="3" t="n">
        <v>50.2</v>
      </c>
      <c r="F19" s="3" t="n">
        <v>93</v>
      </c>
      <c r="G19" s="3" t="n">
        <v>135</v>
      </c>
      <c r="H19" s="3" t="n">
        <v>191</v>
      </c>
      <c r="I19" s="3" t="n">
        <v>247</v>
      </c>
      <c r="J19" s="3" t="n">
        <v>277</v>
      </c>
      <c r="K19" s="3" t="n">
        <v>322</v>
      </c>
      <c r="L19" s="4" t="n">
        <v>0.001508691374</v>
      </c>
    </row>
    <row r="20">
      <c r="A20" s="2" t="inlineStr">
        <is>
          <t>Cilindros ABC 50 kg</t>
        </is>
      </c>
      <c r="B20" s="3" t="n">
        <v>0</v>
      </c>
      <c r="C20" s="3" t="n">
        <v>0</v>
      </c>
      <c r="D20" s="3" t="n">
        <v>31.8</v>
      </c>
      <c r="E20" s="3" t="n">
        <v>110.8</v>
      </c>
      <c r="F20" s="3" t="n">
        <v>205.2</v>
      </c>
      <c r="G20" s="3" t="n">
        <v>297.6</v>
      </c>
      <c r="H20" s="3" t="n">
        <v>420.8</v>
      </c>
      <c r="I20" s="3" t="n">
        <v>544</v>
      </c>
      <c r="J20" s="3" t="n">
        <v>609.6</v>
      </c>
      <c r="K20" s="3" t="n">
        <v>708</v>
      </c>
      <c r="L20" s="4" t="n">
        <v>0.003317246873</v>
      </c>
    </row>
    <row r="21">
      <c r="A21" s="2" t="inlineStr">
        <is>
          <t>Cilindros ABC 70 kg</t>
        </is>
      </c>
      <c r="B21" s="3" t="n">
        <v>0</v>
      </c>
      <c r="C21" s="3" t="n">
        <v>0</v>
      </c>
      <c r="D21" s="3" t="n">
        <v>7</v>
      </c>
      <c r="E21" s="3" t="n">
        <v>24.4</v>
      </c>
      <c r="F21" s="3" t="n">
        <v>45.2</v>
      </c>
      <c r="G21" s="3" t="n">
        <v>65.40000000000001</v>
      </c>
      <c r="H21" s="3" t="n">
        <v>92.2</v>
      </c>
      <c r="I21" s="3" t="n">
        <v>119</v>
      </c>
      <c r="J21" s="3" t="n">
        <v>133.4</v>
      </c>
      <c r="K21" s="3" t="n">
        <v>155</v>
      </c>
      <c r="L21" s="4" t="n">
        <v>0.0007262334255</v>
      </c>
    </row>
    <row r="22">
      <c r="A22" s="2" t="inlineStr">
        <is>
          <t>Cilindros ABC 100 kg</t>
        </is>
      </c>
      <c r="B22" s="3" t="n">
        <v>0</v>
      </c>
      <c r="C22" s="3" t="n">
        <v>0</v>
      </c>
      <c r="D22" s="3" t="n">
        <v>4.6</v>
      </c>
      <c r="E22" s="3" t="n">
        <v>16</v>
      </c>
      <c r="F22" s="3" t="n">
        <v>29.6</v>
      </c>
      <c r="G22" s="3" t="n">
        <v>42.8</v>
      </c>
      <c r="H22" s="3" t="n">
        <v>60.4</v>
      </c>
      <c r="I22" s="3" t="n">
        <v>78</v>
      </c>
      <c r="J22" s="3" t="n">
        <v>87.59999999999999</v>
      </c>
      <c r="K22" s="3" t="n">
        <v>102</v>
      </c>
      <c r="L22" s="4" t="n">
        <v>0.0004779084477</v>
      </c>
    </row>
    <row r="23">
      <c r="A23" s="1" t="inlineStr">
        <is>
          <t>Cilindros Total</t>
        </is>
      </c>
      <c r="B23" s="5" t="n">
        <v>0</v>
      </c>
      <c r="C23" s="5" t="n">
        <v>0</v>
      </c>
      <c r="D23" s="5" t="n">
        <v>9589</v>
      </c>
      <c r="E23" s="5" t="n">
        <v>33407</v>
      </c>
      <c r="F23" s="5" t="n">
        <v>61865</v>
      </c>
      <c r="G23" s="5" t="n">
        <v>89704</v>
      </c>
      <c r="H23" s="5" t="n">
        <v>126822</v>
      </c>
      <c r="I23" s="5" t="n">
        <v>163940</v>
      </c>
      <c r="J23" s="5" t="n">
        <v>183736</v>
      </c>
      <c r="K23" s="5" t="n">
        <v>213430</v>
      </c>
      <c r="L23" s="6" t="n">
        <v>1</v>
      </c>
    </row>
    <row r="25">
      <c r="A25" s="1" t="inlineStr">
        <is>
          <t>RECARGAS</t>
        </is>
      </c>
    </row>
    <row r="26">
      <c r="A26" s="1" t="inlineStr">
        <is>
          <t>Demanda</t>
        </is>
      </c>
      <c r="B26" s="1" t="n">
        <v>2026</v>
      </c>
      <c r="C26" s="1" t="n">
        <v>2027</v>
      </c>
      <c r="D26" s="1" t="n">
        <v>2028</v>
      </c>
      <c r="E26" s="1" t="n">
        <v>2029</v>
      </c>
      <c r="F26" s="1" t="n">
        <v>2030</v>
      </c>
      <c r="G26" s="1" t="n">
        <v>2031</v>
      </c>
      <c r="H26" s="1" t="n">
        <v>2032</v>
      </c>
      <c r="I26" s="1" t="n">
        <v>2033</v>
      </c>
      <c r="J26" s="1" t="n">
        <v>2034</v>
      </c>
      <c r="K26" s="1" t="n">
        <v>2035</v>
      </c>
      <c r="L26" s="1" t="inlineStr">
        <is>
          <t>%</t>
        </is>
      </c>
    </row>
    <row r="27">
      <c r="A27" s="2" t="inlineStr">
        <is>
          <t>ABC 1 kg</t>
        </is>
      </c>
      <c r="B27" s="3" t="n">
        <v>3477.482124</v>
      </c>
      <c r="C27" s="3" t="n">
        <v>16970.58564</v>
      </c>
      <c r="D27" s="3" t="n">
        <v>30546.08951</v>
      </c>
      <c r="E27" s="3" t="n">
        <v>56048.31106</v>
      </c>
      <c r="F27" s="3" t="n">
        <v>84270.22613</v>
      </c>
      <c r="G27" s="3" t="n">
        <v>117407.8231</v>
      </c>
      <c r="H27" s="3" t="n">
        <v>147610.6356</v>
      </c>
      <c r="I27" s="3" t="n">
        <v>171404.3607</v>
      </c>
      <c r="J27" s="3" t="n">
        <v>183690.566</v>
      </c>
      <c r="K27" s="3" t="n">
        <v>196282.6907</v>
      </c>
      <c r="L27" s="4" t="n">
        <v>0.5277726064</v>
      </c>
    </row>
    <row r="28">
      <c r="A28" s="2" t="inlineStr">
        <is>
          <t>ABC 2,5 kg</t>
        </is>
      </c>
      <c r="B28" s="3" t="n">
        <v>329.9966675</v>
      </c>
      <c r="C28" s="3" t="n">
        <v>1287.414024</v>
      </c>
      <c r="D28" s="3" t="n">
        <v>2947.169216</v>
      </c>
      <c r="E28" s="3" t="n">
        <v>5426.043269</v>
      </c>
      <c r="F28" s="3" t="n">
        <v>7850.875806</v>
      </c>
      <c r="G28" s="3" t="n">
        <v>10423.94365</v>
      </c>
      <c r="H28" s="3" t="n">
        <v>12809.89571</v>
      </c>
      <c r="I28" s="3" t="n">
        <v>14263.06831</v>
      </c>
      <c r="J28" s="3" t="n">
        <v>15432.86983</v>
      </c>
      <c r="K28" s="3" t="n">
        <v>16620.76117</v>
      </c>
      <c r="L28" s="4" t="n">
        <v>0.04469055529</v>
      </c>
    </row>
    <row r="29">
      <c r="A29" s="2" t="inlineStr">
        <is>
          <t>ABC 5 kg</t>
        </is>
      </c>
      <c r="B29" s="3" t="n">
        <v>1950.394097</v>
      </c>
      <c r="C29" s="3" t="n">
        <v>7852.61852</v>
      </c>
      <c r="D29" s="3" t="n">
        <v>17775.85701</v>
      </c>
      <c r="E29" s="3" t="n">
        <v>33605.56835</v>
      </c>
      <c r="F29" s="3" t="n">
        <v>48407.57189</v>
      </c>
      <c r="G29" s="3" t="n">
        <v>64323.04276</v>
      </c>
      <c r="H29" s="3" t="n">
        <v>78721.10039000001</v>
      </c>
      <c r="I29" s="3" t="n">
        <v>87237.2124</v>
      </c>
      <c r="J29" s="3" t="n">
        <v>94103.66761</v>
      </c>
      <c r="K29" s="3" t="n">
        <v>101095.1762</v>
      </c>
      <c r="L29" s="4" t="n">
        <v>0.2718286797</v>
      </c>
    </row>
    <row r="30">
      <c r="A30" s="2" t="inlineStr">
        <is>
          <t>ABC 10 kg</t>
        </is>
      </c>
      <c r="B30" s="3" t="n">
        <v>118.3436325</v>
      </c>
      <c r="C30" s="3" t="n">
        <v>437.7165779</v>
      </c>
      <c r="D30" s="3" t="n">
        <v>1024.974821</v>
      </c>
      <c r="E30" s="3" t="n">
        <v>1960.409862</v>
      </c>
      <c r="F30" s="3" t="n">
        <v>2844.976846</v>
      </c>
      <c r="G30" s="3" t="n">
        <v>3810.390622</v>
      </c>
      <c r="H30" s="3" t="n">
        <v>4663.67807</v>
      </c>
      <c r="I30" s="3" t="n">
        <v>5164.514584</v>
      </c>
      <c r="J30" s="3" t="n">
        <v>5571.544328</v>
      </c>
      <c r="K30" s="3" t="n">
        <v>5985.950855</v>
      </c>
      <c r="L30" s="4" t="n">
        <v>0.01609525972</v>
      </c>
    </row>
    <row r="31">
      <c r="A31" s="2" t="inlineStr">
        <is>
          <t>Agua 10 l</t>
        </is>
      </c>
      <c r="B31" s="3" t="n">
        <v>159.308736</v>
      </c>
      <c r="C31" s="3" t="n">
        <v>643.4235418</v>
      </c>
      <c r="D31" s="3" t="n">
        <v>1474.362741</v>
      </c>
      <c r="E31" s="3" t="n">
        <v>2766.451205</v>
      </c>
      <c r="F31" s="3" t="n">
        <v>3991.465221</v>
      </c>
      <c r="G31" s="3" t="n">
        <v>5335.75578</v>
      </c>
      <c r="H31" s="3" t="n">
        <v>6538.958887</v>
      </c>
      <c r="I31" s="3" t="n">
        <v>7269.819681</v>
      </c>
      <c r="J31" s="3" t="n">
        <v>7855.44139</v>
      </c>
      <c r="K31" s="3" t="n">
        <v>8450.814081</v>
      </c>
      <c r="L31" s="4" t="n">
        <v>0.02272288075</v>
      </c>
    </row>
    <row r="32">
      <c r="A32" s="2" t="inlineStr">
        <is>
          <t>AFFF 10 l</t>
        </is>
      </c>
      <c r="B32" s="3" t="n">
        <v>22.75839086</v>
      </c>
      <c r="C32" s="3" t="n">
        <v>161.315751</v>
      </c>
      <c r="D32" s="3" t="n">
        <v>316.6072761</v>
      </c>
      <c r="E32" s="3" t="n">
        <v>527.3946199</v>
      </c>
      <c r="F32" s="3" t="n">
        <v>743.7889463</v>
      </c>
      <c r="G32" s="3" t="n">
        <v>962.8743352</v>
      </c>
      <c r="H32" s="3" t="n">
        <v>1194.942207</v>
      </c>
      <c r="I32" s="3" t="n">
        <v>1351.617183</v>
      </c>
      <c r="J32" s="3" t="n">
        <v>1477.54886</v>
      </c>
      <c r="K32" s="3" t="n">
        <v>1604.441422</v>
      </c>
      <c r="L32" s="4" t="n">
        <v>0.0043140851</v>
      </c>
    </row>
    <row r="33">
      <c r="A33" s="2" t="inlineStr">
        <is>
          <t>AFFF 50 l s/ruedas</t>
        </is>
      </c>
      <c r="B33" s="3" t="n">
        <v>11.37919543</v>
      </c>
      <c r="C33" s="3" t="n">
        <v>83.22351964000001</v>
      </c>
      <c r="D33" s="3" t="n">
        <v>164.4638337</v>
      </c>
      <c r="E33" s="3" t="n">
        <v>281.3411453</v>
      </c>
      <c r="F33" s="3" t="n">
        <v>398.9025091</v>
      </c>
      <c r="G33" s="3" t="n">
        <v>514.5272844</v>
      </c>
      <c r="H33" s="3" t="n">
        <v>629.0655051</v>
      </c>
      <c r="I33" s="3" t="n">
        <v>711.1780237</v>
      </c>
      <c r="J33" s="3" t="n">
        <v>773.4109798</v>
      </c>
      <c r="K33" s="3" t="n">
        <v>836.3508051</v>
      </c>
      <c r="L33" s="4" t="n">
        <v>0.002248812887</v>
      </c>
    </row>
    <row r="34">
      <c r="A34" s="2" t="inlineStr">
        <is>
          <t>BC 5 kg</t>
        </is>
      </c>
      <c r="B34" s="3" t="n">
        <v>6.827517259</v>
      </c>
      <c r="C34" s="3" t="n">
        <v>47.07311209</v>
      </c>
      <c r="D34" s="3" t="n">
        <v>88.88967623000001</v>
      </c>
      <c r="E34" s="3" t="n">
        <v>159.5024913</v>
      </c>
      <c r="F34" s="3" t="n">
        <v>219.7962019</v>
      </c>
      <c r="G34" s="3" t="n">
        <v>291.8698531</v>
      </c>
      <c r="H34" s="3" t="n">
        <v>368.8441692</v>
      </c>
      <c r="I34" s="3" t="n">
        <v>408.4089531</v>
      </c>
      <c r="J34" s="3" t="n">
        <v>445.7819443</v>
      </c>
      <c r="K34" s="3" t="n">
        <v>483.4792034</v>
      </c>
      <c r="L34" s="4" t="n">
        <v>0.001299997867</v>
      </c>
    </row>
    <row r="35">
      <c r="A35" s="2" t="inlineStr">
        <is>
          <t>Sales K 6 l</t>
        </is>
      </c>
      <c r="B35" s="3" t="n">
        <v>81.93020711</v>
      </c>
      <c r="C35" s="3" t="n">
        <v>335.3988553</v>
      </c>
      <c r="D35" s="3" t="n">
        <v>746.5983521000001</v>
      </c>
      <c r="E35" s="3" t="n">
        <v>1358.899837</v>
      </c>
      <c r="F35" s="3" t="n">
        <v>1961.125522</v>
      </c>
      <c r="G35" s="3" t="n">
        <v>2598.541412</v>
      </c>
      <c r="H35" s="3" t="n">
        <v>3197.263477</v>
      </c>
      <c r="I35" s="3" t="n">
        <v>3578.539452</v>
      </c>
      <c r="J35" s="3" t="n">
        <v>3870.747997</v>
      </c>
      <c r="K35" s="3" t="n">
        <v>4167.559622</v>
      </c>
      <c r="L35" s="4" t="n">
        <v>0.01120589796</v>
      </c>
    </row>
    <row r="36">
      <c r="A36" s="2" t="inlineStr">
        <is>
          <t>CO₂ 2 kg</t>
        </is>
      </c>
      <c r="B36" s="3" t="n">
        <v>450.6161391</v>
      </c>
      <c r="C36" s="3" t="n">
        <v>1697.18149</v>
      </c>
      <c r="D36" s="3" t="n">
        <v>3955.196858</v>
      </c>
      <c r="E36" s="3" t="n">
        <v>7561.26033</v>
      </c>
      <c r="F36" s="3" t="n">
        <v>10920.14481</v>
      </c>
      <c r="G36" s="3" t="n">
        <v>14514.88522</v>
      </c>
      <c r="H36" s="3" t="n">
        <v>17746.49927</v>
      </c>
      <c r="I36" s="3" t="n">
        <v>19617.20546</v>
      </c>
      <c r="J36" s="3" t="n">
        <v>21161.80625</v>
      </c>
      <c r="K36" s="3" t="n">
        <v>22734.50171</v>
      </c>
      <c r="L36" s="4" t="n">
        <v>0.06112942093</v>
      </c>
    </row>
    <row r="37">
      <c r="A37" s="2" t="inlineStr">
        <is>
          <t>CO₂ 5 kg</t>
        </is>
      </c>
      <c r="B37" s="3" t="n">
        <v>125.1711497</v>
      </c>
      <c r="C37" s="3" t="n">
        <v>643.6303708</v>
      </c>
      <c r="D37" s="3" t="n">
        <v>1375.626719</v>
      </c>
      <c r="E37" s="3" t="n">
        <v>2460.284265</v>
      </c>
      <c r="F37" s="3" t="n">
        <v>3545.257683</v>
      </c>
      <c r="G37" s="3" t="n">
        <v>4723.461784</v>
      </c>
      <c r="H37" s="3" t="n">
        <v>5853.905178</v>
      </c>
      <c r="I37" s="3" t="n">
        <v>6608.459909</v>
      </c>
      <c r="J37" s="3" t="n">
        <v>7185.708397</v>
      </c>
      <c r="K37" s="3" t="n">
        <v>7769.577127</v>
      </c>
      <c r="L37" s="4" t="n">
        <v>0.02089114408</v>
      </c>
    </row>
    <row r="38">
      <c r="A38" s="2" t="inlineStr">
        <is>
          <t>HCFC/HFC 5 kg</t>
        </is>
      </c>
      <c r="B38" s="3" t="n">
        <v>18.20671269</v>
      </c>
      <c r="C38" s="3" t="n">
        <v>112.0751219</v>
      </c>
      <c r="D38" s="3" t="n">
        <v>230.8540412</v>
      </c>
      <c r="E38" s="3" t="n">
        <v>400.7153345</v>
      </c>
      <c r="F38" s="3" t="n">
        <v>574.5077894999999</v>
      </c>
      <c r="G38" s="3" t="n">
        <v>754.3456228</v>
      </c>
      <c r="H38" s="3" t="n">
        <v>944.8488404</v>
      </c>
      <c r="I38" s="3" t="n">
        <v>1072.234671</v>
      </c>
      <c r="J38" s="3" t="n">
        <v>1171.695753</v>
      </c>
      <c r="K38" s="3" t="n">
        <v>1271.941099</v>
      </c>
      <c r="L38" s="4" t="n">
        <v>0.003420045173</v>
      </c>
    </row>
    <row r="39">
      <c r="A39" s="2" t="inlineStr">
        <is>
          <t>Clase D 9 l</t>
        </is>
      </c>
      <c r="B39" s="3" t="n">
        <v>6.827517259</v>
      </c>
      <c r="C39" s="3" t="n">
        <v>47.07311209</v>
      </c>
      <c r="D39" s="3" t="n">
        <v>88.88967623000001</v>
      </c>
      <c r="E39" s="3" t="n">
        <v>148.2791824</v>
      </c>
      <c r="F39" s="3" t="n">
        <v>205.2260532</v>
      </c>
      <c r="G39" s="3" t="n">
        <v>255.765145</v>
      </c>
      <c r="H39" s="3" t="n">
        <v>328.4179018</v>
      </c>
      <c r="I39" s="3" t="n">
        <v>366.9080713</v>
      </c>
      <c r="J39" s="3" t="n">
        <v>401.6817071</v>
      </c>
      <c r="K39" s="3" t="n">
        <v>436.6867823</v>
      </c>
      <c r="L39" s="4" t="n">
        <v>0.001174180568</v>
      </c>
    </row>
    <row r="40">
      <c r="A40" s="2" t="inlineStr">
        <is>
          <t>ABC 25 kg s/ruedas</t>
        </is>
      </c>
      <c r="B40" s="3" t="n">
        <v>17.63775292</v>
      </c>
      <c r="C40" s="3" t="n">
        <v>85.98781940000001</v>
      </c>
      <c r="D40" s="3" t="n">
        <v>186.8695673</v>
      </c>
      <c r="E40" s="3" t="n">
        <v>336.5836208</v>
      </c>
      <c r="F40" s="3" t="n">
        <v>484.1325977</v>
      </c>
      <c r="G40" s="3" t="n">
        <v>643.2203854000001</v>
      </c>
      <c r="H40" s="3" t="n">
        <v>792.4317423</v>
      </c>
      <c r="I40" s="3" t="n">
        <v>889.6777070000001</v>
      </c>
      <c r="J40" s="3" t="n">
        <v>965.3111095</v>
      </c>
      <c r="K40" s="3" t="n">
        <v>1041.939702</v>
      </c>
      <c r="L40" s="4" t="n">
        <v>0.002801608385</v>
      </c>
    </row>
    <row r="41">
      <c r="A41" s="2" t="inlineStr">
        <is>
          <t>ABC 50 kg s/ruedas</t>
        </is>
      </c>
      <c r="B41" s="3" t="n">
        <v>38.80305642</v>
      </c>
      <c r="C41" s="3" t="n">
        <v>189.1732027</v>
      </c>
      <c r="D41" s="3" t="n">
        <v>411.113048</v>
      </c>
      <c r="E41" s="3" t="n">
        <v>740.4839657</v>
      </c>
      <c r="F41" s="3" t="n">
        <v>1065.091715</v>
      </c>
      <c r="G41" s="3" t="n">
        <v>1415.084848</v>
      </c>
      <c r="H41" s="3" t="n">
        <v>1743.349833</v>
      </c>
      <c r="I41" s="3" t="n">
        <v>1957.290955</v>
      </c>
      <c r="J41" s="3" t="n">
        <v>2123.684441</v>
      </c>
      <c r="K41" s="3" t="n">
        <v>2292.267343</v>
      </c>
      <c r="L41" s="4" t="n">
        <v>0.006163538446</v>
      </c>
    </row>
    <row r="42">
      <c r="A42" s="2" t="inlineStr">
        <is>
          <t>ABC 70 kg s/ruedas</t>
        </is>
      </c>
      <c r="B42" s="3" t="n">
        <v>8.466121401000001</v>
      </c>
      <c r="C42" s="3" t="n">
        <v>41.27415331</v>
      </c>
      <c r="D42" s="3" t="n">
        <v>89.69739229</v>
      </c>
      <c r="E42" s="3" t="n">
        <v>161.560138</v>
      </c>
      <c r="F42" s="3" t="n">
        <v>232.3836469</v>
      </c>
      <c r="G42" s="3" t="n">
        <v>308.745785</v>
      </c>
      <c r="H42" s="3" t="n">
        <v>380.3672363</v>
      </c>
      <c r="I42" s="3" t="n">
        <v>427.0452993</v>
      </c>
      <c r="J42" s="3" t="n">
        <v>463.3493326</v>
      </c>
      <c r="K42" s="3" t="n">
        <v>500.1310567</v>
      </c>
      <c r="L42" s="4" t="n">
        <v>0.001344772025</v>
      </c>
    </row>
    <row r="43">
      <c r="A43" s="2" t="inlineStr">
        <is>
          <t>ABC 100 kg s/ruedas</t>
        </is>
      </c>
      <c r="B43" s="3" t="n">
        <v>5.644080934</v>
      </c>
      <c r="C43" s="3" t="n">
        <v>27.51610221</v>
      </c>
      <c r="D43" s="3" t="n">
        <v>59.79826153</v>
      </c>
      <c r="E43" s="3" t="n">
        <v>107.7067586</v>
      </c>
      <c r="F43" s="3" t="n">
        <v>154.9224313</v>
      </c>
      <c r="G43" s="3" t="n">
        <v>205.8305233</v>
      </c>
      <c r="H43" s="3" t="n">
        <v>253.5781575</v>
      </c>
      <c r="I43" s="3" t="n">
        <v>284.6968662</v>
      </c>
      <c r="J43" s="3" t="n">
        <v>308.899555</v>
      </c>
      <c r="K43" s="3" t="n">
        <v>333.4207045</v>
      </c>
      <c r="L43" s="4" t="n">
        <v>0.0008965146831</v>
      </c>
    </row>
    <row r="44">
      <c r="A44" s="1" t="inlineStr">
        <is>
          <t>Recargas Total</t>
        </is>
      </c>
      <c r="B44" s="5" t="n">
        <v>6829.793098</v>
      </c>
      <c r="C44" s="5" t="n">
        <v>30662.68091</v>
      </c>
      <c r="D44" s="5" t="n">
        <v>61483.058</v>
      </c>
      <c r="E44" s="5" t="n">
        <v>114050.7954</v>
      </c>
      <c r="F44" s="5" t="n">
        <v>167870.3958</v>
      </c>
      <c r="G44" s="5" t="n">
        <v>228490.1081</v>
      </c>
      <c r="H44" s="5" t="n">
        <v>283777.7821</v>
      </c>
      <c r="I44" s="5" t="n">
        <v>322612.2382</v>
      </c>
      <c r="J44" s="5" t="n">
        <v>347003.7155</v>
      </c>
      <c r="K44" s="5" t="n">
        <v>371907.6896</v>
      </c>
      <c r="L44" s="6" t="n">
        <v>1</v>
      </c>
    </row>
    <row r="46">
      <c r="A46" s="1" t="inlineStr">
        <is>
          <t>MATAFUEGOS TERCIARIZADOS VENDIDOS</t>
        </is>
      </c>
    </row>
    <row r="47">
      <c r="A47" s="1" t="inlineStr">
        <is>
          <t>Demanda</t>
        </is>
      </c>
      <c r="B47" s="1" t="n">
        <v>2026</v>
      </c>
      <c r="C47" s="1" t="n">
        <v>2027</v>
      </c>
      <c r="D47" s="1" t="n">
        <v>2028</v>
      </c>
      <c r="E47" s="1" t="n">
        <v>2029</v>
      </c>
      <c r="F47" s="1" t="n">
        <v>2030</v>
      </c>
      <c r="G47" s="1" t="n">
        <v>2031</v>
      </c>
      <c r="H47" s="1" t="n">
        <v>2032</v>
      </c>
      <c r="I47" s="1" t="n">
        <v>2033</v>
      </c>
      <c r="J47" s="1" t="n">
        <v>2034</v>
      </c>
      <c r="K47" s="1" t="n">
        <v>2035</v>
      </c>
      <c r="L47" s="1" t="inlineStr">
        <is>
          <t>%</t>
        </is>
      </c>
    </row>
    <row r="48">
      <c r="A48" s="2" t="inlineStr">
        <is>
          <t>Agua 10 l</t>
        </is>
      </c>
      <c r="B48" s="3" t="n">
        <v>175.6079593</v>
      </c>
      <c r="C48" s="3" t="n">
        <v>320.3906115</v>
      </c>
      <c r="D48" s="3" t="n">
        <v>436.5887807</v>
      </c>
      <c r="E48" s="3" t="n">
        <v>602.2865757</v>
      </c>
      <c r="F48" s="3" t="n">
        <v>974.7593754</v>
      </c>
      <c r="G48" s="3" t="n">
        <v>1370.081328</v>
      </c>
      <c r="H48" s="3" t="n">
        <v>1767.18337</v>
      </c>
      <c r="I48" s="3" t="n">
        <v>2188.466718</v>
      </c>
      <c r="J48" s="3" t="n">
        <v>2536.343254</v>
      </c>
      <c r="K48" s="3" t="n">
        <v>2904.897406</v>
      </c>
      <c r="L48" s="4" t="n">
        <v>0.1612887482</v>
      </c>
    </row>
    <row r="49">
      <c r="A49" s="2" t="inlineStr">
        <is>
          <t>AFFF 10 l</t>
        </is>
      </c>
      <c r="B49" s="3" t="n">
        <v>99.50178533</v>
      </c>
      <c r="C49" s="3" t="n">
        <v>159.8868424</v>
      </c>
      <c r="D49" s="3" t="n">
        <v>193.4151498</v>
      </c>
      <c r="E49" s="3" t="n">
        <v>247.8822329</v>
      </c>
      <c r="F49" s="3" t="n">
        <v>360.2676432</v>
      </c>
      <c r="G49" s="3" t="n">
        <v>447.8696133</v>
      </c>
      <c r="H49" s="3" t="n">
        <v>573.9459793</v>
      </c>
      <c r="I49" s="3" t="n">
        <v>711.731345</v>
      </c>
      <c r="J49" s="3" t="n">
        <v>836.044561</v>
      </c>
      <c r="K49" s="3" t="n">
        <v>970.7041311</v>
      </c>
      <c r="L49" s="4" t="n">
        <v>0.05389644876</v>
      </c>
    </row>
    <row r="50">
      <c r="A50" s="2" t="inlineStr">
        <is>
          <t>AFFF 50 l s/ruedas</t>
        </is>
      </c>
      <c r="B50" s="3" t="n">
        <v>42.64362229</v>
      </c>
      <c r="C50" s="3" t="n">
        <v>68.52293247</v>
      </c>
      <c r="D50" s="3" t="n">
        <v>82.89220707</v>
      </c>
      <c r="E50" s="3" t="n">
        <v>106.2352427</v>
      </c>
      <c r="F50" s="3" t="n">
        <v>154.4004185</v>
      </c>
      <c r="G50" s="3" t="n">
        <v>191.94412</v>
      </c>
      <c r="H50" s="3" t="n">
        <v>245.9768483</v>
      </c>
      <c r="I50" s="3" t="n">
        <v>305.0277193</v>
      </c>
      <c r="J50" s="3" t="n">
        <v>358.3048119</v>
      </c>
      <c r="K50" s="3" t="n">
        <v>416.0160562</v>
      </c>
      <c r="L50" s="4" t="n">
        <v>0.02309847804</v>
      </c>
    </row>
    <row r="51">
      <c r="A51" s="2" t="inlineStr">
        <is>
          <t>BC 5 kg</t>
        </is>
      </c>
      <c r="B51" s="3" t="n">
        <v>28.42908152</v>
      </c>
      <c r="C51" s="3" t="n">
        <v>45.68195498</v>
      </c>
      <c r="D51" s="3" t="n">
        <v>55.26147138</v>
      </c>
      <c r="E51" s="3" t="n">
        <v>70.82349512</v>
      </c>
      <c r="F51" s="3" t="n">
        <v>102.9336123</v>
      </c>
      <c r="G51" s="3" t="n">
        <v>127.9627467</v>
      </c>
      <c r="H51" s="3" t="n">
        <v>163.9845655</v>
      </c>
      <c r="I51" s="3" t="n">
        <v>203.3518129</v>
      </c>
      <c r="J51" s="3" t="n">
        <v>238.8698746</v>
      </c>
      <c r="K51" s="3" t="n">
        <v>277.3440374</v>
      </c>
      <c r="L51" s="4" t="n">
        <v>0.01539898536</v>
      </c>
    </row>
    <row r="52">
      <c r="A52" s="2" t="inlineStr">
        <is>
          <t>Sales K 6 l</t>
        </is>
      </c>
      <c r="B52" s="3" t="n">
        <v>100.6111337</v>
      </c>
      <c r="C52" s="3" t="n">
        <v>188.8972271</v>
      </c>
      <c r="D52" s="3" t="n">
        <v>248.9891832</v>
      </c>
      <c r="E52" s="3" t="n">
        <v>348.413746</v>
      </c>
      <c r="F52" s="3" t="n">
        <v>546.1766841</v>
      </c>
      <c r="G52" s="3" t="n">
        <v>751.8580799</v>
      </c>
      <c r="H52" s="3" t="n">
        <v>960.0471252999999</v>
      </c>
      <c r="I52" s="3" t="n">
        <v>1191.419103</v>
      </c>
      <c r="J52" s="3" t="n">
        <v>1409.930374</v>
      </c>
      <c r="K52" s="3" t="n">
        <v>1649.135599</v>
      </c>
      <c r="L52" s="4" t="n">
        <v>0.0915650294</v>
      </c>
    </row>
    <row r="53">
      <c r="A53" s="2" t="inlineStr">
        <is>
          <t>CO₂ 2 kg</t>
        </is>
      </c>
      <c r="B53" s="3" t="n">
        <v>421.9843726</v>
      </c>
      <c r="C53" s="3" t="n">
        <v>772.3206222</v>
      </c>
      <c r="D53" s="3" t="n">
        <v>1066.363722</v>
      </c>
      <c r="E53" s="3" t="n">
        <v>1474.963344</v>
      </c>
      <c r="F53" s="3" t="n">
        <v>2394.644883</v>
      </c>
      <c r="G53" s="3" t="n">
        <v>3311.547454</v>
      </c>
      <c r="H53" s="3" t="n">
        <v>4274.187843</v>
      </c>
      <c r="I53" s="3" t="n">
        <v>5292.394724</v>
      </c>
      <c r="J53" s="3" t="n">
        <v>6125.204809</v>
      </c>
      <c r="K53" s="3" t="n">
        <v>7005.27737</v>
      </c>
      <c r="L53" s="4" t="n">
        <v>0.3889543279</v>
      </c>
    </row>
    <row r="54">
      <c r="A54" s="2" t="inlineStr">
        <is>
          <t>CO₂ 5 kg</t>
        </is>
      </c>
      <c r="B54" s="3" t="n">
        <v>284.0395051</v>
      </c>
      <c r="C54" s="3" t="n">
        <v>489.4529733</v>
      </c>
      <c r="D54" s="3" t="n">
        <v>625.4306114</v>
      </c>
      <c r="E54" s="3" t="n">
        <v>836.9518675</v>
      </c>
      <c r="F54" s="3" t="n">
        <v>1289.143315</v>
      </c>
      <c r="G54" s="3" t="n">
        <v>1751.735715</v>
      </c>
      <c r="H54" s="3" t="n">
        <v>2250.247068</v>
      </c>
      <c r="I54" s="3" t="n">
        <v>2789.059394</v>
      </c>
      <c r="J54" s="3" t="n">
        <v>3259.974804</v>
      </c>
      <c r="K54" s="3" t="n">
        <v>3766.175472</v>
      </c>
      <c r="L54" s="4" t="n">
        <v>0.2091095287</v>
      </c>
    </row>
    <row r="55">
      <c r="A55" s="7" t="inlineStr">
        <is>
          <t>HCFC/HFC 5 kg</t>
        </is>
      </c>
      <c r="B55" s="3" t="n">
        <v>58.85960407</v>
      </c>
      <c r="C55" s="3" t="n">
        <v>100.2618958</v>
      </c>
      <c r="D55" s="3" t="n">
        <v>126.5296618</v>
      </c>
      <c r="E55" s="3" t="n">
        <v>167.8179923</v>
      </c>
      <c r="F55" s="3" t="n">
        <v>256.5901403</v>
      </c>
      <c r="G55" s="3" t="n">
        <v>346.1145766</v>
      </c>
      <c r="H55" s="3" t="n">
        <v>444.6989087</v>
      </c>
      <c r="I55" s="3" t="n">
        <v>551.1578445</v>
      </c>
      <c r="J55" s="3" t="n">
        <v>643.9574165</v>
      </c>
      <c r="K55" s="3" t="n">
        <v>743.6456074</v>
      </c>
      <c r="L55" s="4" t="n">
        <v>0.04128946823</v>
      </c>
    </row>
    <row r="56">
      <c r="A56" s="7" t="inlineStr">
        <is>
          <t>Clase D 9 l</t>
        </is>
      </c>
      <c r="B56" s="3" t="n">
        <v>28.42908152</v>
      </c>
      <c r="C56" s="3" t="n">
        <v>45.68195498</v>
      </c>
      <c r="D56" s="3" t="n">
        <v>55.26147138</v>
      </c>
      <c r="E56" s="3" t="n">
        <v>70.82349512</v>
      </c>
      <c r="F56" s="3" t="n">
        <v>102.9336123</v>
      </c>
      <c r="G56" s="3" t="n">
        <v>127.9627467</v>
      </c>
      <c r="H56" s="3" t="n">
        <v>163.9845655</v>
      </c>
      <c r="I56" s="3" t="n">
        <v>203.3518129</v>
      </c>
      <c r="J56" s="3" t="n">
        <v>238.8698746</v>
      </c>
      <c r="K56" s="3" t="n">
        <v>277.3440374</v>
      </c>
      <c r="L56" s="4" t="n">
        <v>0.01539898536</v>
      </c>
    </row>
    <row r="57">
      <c r="A57" s="1" t="inlineStr">
        <is>
          <t>Revendidos Total</t>
        </is>
      </c>
      <c r="B57" s="5" t="n">
        <v>1240.106145</v>
      </c>
      <c r="C57" s="5" t="n">
        <v>2191.097015</v>
      </c>
      <c r="D57" s="5" t="n">
        <v>2890.732259</v>
      </c>
      <c r="E57" s="5" t="n">
        <v>3926.197991</v>
      </c>
      <c r="F57" s="5" t="n">
        <v>6181.849685</v>
      </c>
      <c r="G57" s="5" t="n">
        <v>8427.076381000001</v>
      </c>
      <c r="H57" s="5" t="n">
        <v>10844.25627</v>
      </c>
      <c r="I57" s="5" t="n">
        <v>13435.96047</v>
      </c>
      <c r="J57" s="5" t="n">
        <v>15647.49978</v>
      </c>
      <c r="K57" s="5" t="n">
        <v>18010.53972</v>
      </c>
      <c r="L57" s="6" t="n">
        <v>1</v>
      </c>
    </row>
    <row r="59">
      <c r="A59" s="1" t="inlineStr">
        <is>
          <t>DISTRIBUCIÓN DE RECARGAS POR ZONA</t>
        </is>
      </c>
    </row>
    <row r="60">
      <c r="A60" s="1" t="inlineStr">
        <is>
          <t>ZONA</t>
        </is>
      </c>
      <c r="B60" s="1" t="n">
        <v>2026</v>
      </c>
      <c r="C60" s="1" t="n">
        <v>2027</v>
      </c>
      <c r="D60" s="1" t="n">
        <v>2028</v>
      </c>
      <c r="E60" s="1" t="n">
        <v>2029</v>
      </c>
      <c r="F60" s="1" t="n">
        <v>2030</v>
      </c>
      <c r="G60" s="1" t="n">
        <v>2031</v>
      </c>
      <c r="H60" s="1" t="n">
        <v>2032</v>
      </c>
      <c r="I60" s="1" t="n">
        <v>2033</v>
      </c>
      <c r="J60" s="1" t="n">
        <v>2034</v>
      </c>
      <c r="K60" s="1" t="n">
        <v>2035</v>
      </c>
      <c r="L60" s="1" t="inlineStr">
        <is>
          <t>% ZONAL AÑO 2026</t>
        </is>
      </c>
      <c r="M60" s="1" t="inlineStr">
        <is>
          <t>% ZONAL AÑO 2027</t>
        </is>
      </c>
      <c r="N60" s="1" t="inlineStr">
        <is>
          <t>% ZONAL AÑO 2028</t>
        </is>
      </c>
      <c r="O60" s="1" t="inlineStr">
        <is>
          <t>% ZONAL AÑO 2029</t>
        </is>
      </c>
      <c r="P60" s="1" t="inlineStr">
        <is>
          <t>% ZONAL AÑO 2030</t>
        </is>
      </c>
      <c r="Q60" s="1" t="inlineStr">
        <is>
          <t>% ZONAL AÑO 2031</t>
        </is>
      </c>
      <c r="R60" s="1" t="inlineStr">
        <is>
          <t>% ZONAL AÑO 2032</t>
        </is>
      </c>
      <c r="S60" s="1" t="inlineStr">
        <is>
          <t>% ZONAL AÑO 2033</t>
        </is>
      </c>
      <c r="T60" s="1" t="inlineStr">
        <is>
          <t>% ZONAL AÑO 2034</t>
        </is>
      </c>
      <c r="U60" s="1" t="inlineStr">
        <is>
          <t>% ZONAL AÑO 2035</t>
        </is>
      </c>
      <c r="V60" s="1" t="inlineStr">
        <is>
          <t>Ratio de cobertura año 10 planta comercial</t>
        </is>
      </c>
    </row>
    <row r="61">
      <c r="A61" s="3" t="inlineStr">
        <is>
          <t>CABA Norte</t>
        </is>
      </c>
      <c r="B61" s="3" t="n">
        <v>372.5578681</v>
      </c>
      <c r="C61" s="3" t="n">
        <v>1662.24271</v>
      </c>
      <c r="D61" s="3" t="n">
        <v>3313.049363</v>
      </c>
      <c r="E61" s="3" t="n">
        <v>6110.276863</v>
      </c>
      <c r="F61" s="3" t="n">
        <v>8944.56445</v>
      </c>
      <c r="G61" s="3" t="n">
        <v>12112.06552</v>
      </c>
      <c r="H61" s="3" t="n">
        <v>14971.75851</v>
      </c>
      <c r="I61" s="3" t="n">
        <v>16948.14182</v>
      </c>
      <c r="J61" s="3" t="n">
        <v>18162.04352</v>
      </c>
      <c r="K61" s="3" t="n">
        <v>19406.04652</v>
      </c>
      <c r="L61" s="4" t="n">
        <v>0.0545489245</v>
      </c>
      <c r="M61" s="4" t="n">
        <v>0.05421061239</v>
      </c>
      <c r="N61" s="4" t="n">
        <v>0.05388556572</v>
      </c>
      <c r="O61" s="4" t="n">
        <v>0.0535750482</v>
      </c>
      <c r="P61" s="4" t="n">
        <v>0.05328256008</v>
      </c>
      <c r="Q61" s="4" t="n">
        <v>0.0530091461</v>
      </c>
      <c r="R61" s="4" t="n">
        <v>0.05275874102</v>
      </c>
      <c r="S61" s="4" t="n">
        <v>0.05253409453</v>
      </c>
      <c r="T61" s="4" t="n">
        <v>0.05233962263</v>
      </c>
      <c r="U61" s="4" t="n">
        <v>0.05217973992</v>
      </c>
      <c r="V61" s="8" t="n">
        <v>0.3848886263</v>
      </c>
    </row>
    <row r="62">
      <c r="A62" s="3" t="inlineStr">
        <is>
          <t>CABA Este</t>
        </is>
      </c>
      <c r="B62" s="3" t="n">
        <v>528.0264245</v>
      </c>
      <c r="C62" s="3" t="n">
        <v>2376.820601</v>
      </c>
      <c r="D62" s="3" t="n">
        <v>4779.184318</v>
      </c>
      <c r="E62" s="3" t="n">
        <v>8891.842726000001</v>
      </c>
      <c r="F62" s="3" t="n">
        <v>13129.92165</v>
      </c>
      <c r="G62" s="3" t="n">
        <v>17933.54836</v>
      </c>
      <c r="H62" s="3" t="n">
        <v>22357.66155</v>
      </c>
      <c r="I62" s="3" t="n">
        <v>25523.28074</v>
      </c>
      <c r="J62" s="3" t="n">
        <v>27579.27179</v>
      </c>
      <c r="K62" s="3" t="n">
        <v>29709.33113</v>
      </c>
      <c r="L62" s="4" t="n">
        <v>0.07731221384</v>
      </c>
      <c r="M62" s="4" t="n">
        <v>0.07751509424</v>
      </c>
      <c r="N62" s="4" t="n">
        <v>0.07773172762</v>
      </c>
      <c r="O62" s="4" t="n">
        <v>0.07796388173</v>
      </c>
      <c r="P62" s="4" t="n">
        <v>0.07821463451000001</v>
      </c>
      <c r="Q62" s="4" t="n">
        <v>0.07848719800999999</v>
      </c>
      <c r="R62" s="4" t="n">
        <v>0.07878580691000001</v>
      </c>
      <c r="S62" s="4" t="n">
        <v>0.07911442193</v>
      </c>
      <c r="T62" s="4" t="n">
        <v>0.0794783184</v>
      </c>
      <c r="U62" s="4" t="n">
        <v>0.07988361617</v>
      </c>
      <c r="V62" s="1" t="inlineStr">
        <is>
          <t>Ratio de cobertura año 10 planta industrial</t>
        </is>
      </c>
    </row>
    <row r="63">
      <c r="A63" s="3" t="inlineStr">
        <is>
          <t>CABA Sur</t>
        </is>
      </c>
      <c r="B63" s="3" t="n">
        <v>415.7960908</v>
      </c>
      <c r="C63" s="3" t="n">
        <v>1860.58443</v>
      </c>
      <c r="D63" s="3" t="n">
        <v>3719.281371</v>
      </c>
      <c r="E63" s="3" t="n">
        <v>6879.802354</v>
      </c>
      <c r="F63" s="3" t="n">
        <v>10100.91475</v>
      </c>
      <c r="G63" s="3" t="n">
        <v>13718.7249</v>
      </c>
      <c r="H63" s="3" t="n">
        <v>17008.50253</v>
      </c>
      <c r="I63" s="3" t="n">
        <v>19311.75536</v>
      </c>
      <c r="J63" s="3" t="n">
        <v>20757.43519</v>
      </c>
      <c r="K63" s="3" t="n">
        <v>22246.50863</v>
      </c>
      <c r="L63" s="4" t="n">
        <v>0.06087974919</v>
      </c>
      <c r="M63" s="4" t="n">
        <v>0.06067911789</v>
      </c>
      <c r="N63" s="4" t="n">
        <v>0.06049278438</v>
      </c>
      <c r="O63" s="4" t="n">
        <v>0.06032226542</v>
      </c>
      <c r="P63" s="4" t="n">
        <v>0.06017091164</v>
      </c>
      <c r="Q63" s="4" t="n">
        <v>0.06004078256</v>
      </c>
      <c r="R63" s="4" t="n">
        <v>0.05993599077</v>
      </c>
      <c r="S63" s="4" t="n">
        <v>0.05986057895</v>
      </c>
      <c r="T63" s="4" t="n">
        <v>0.05981905743</v>
      </c>
      <c r="U63" s="4" t="n">
        <v>0.05981728598</v>
      </c>
      <c r="V63" s="8" t="n">
        <v>0.6151113737</v>
      </c>
    </row>
    <row r="64">
      <c r="A64" s="3" t="inlineStr">
        <is>
          <t>CABA Oeste</t>
        </is>
      </c>
      <c r="B64" s="3" t="n">
        <v>441.4477156</v>
      </c>
      <c r="C64" s="3" t="n">
        <v>1978.434974</v>
      </c>
      <c r="D64" s="3" t="n">
        <v>3960.259954</v>
      </c>
      <c r="E64" s="3" t="n">
        <v>7334.101502</v>
      </c>
      <c r="F64" s="3" t="n">
        <v>10777.69972</v>
      </c>
      <c r="G64" s="3" t="n">
        <v>14647.07918</v>
      </c>
      <c r="H64" s="3" t="n">
        <v>18164.61357</v>
      </c>
      <c r="I64" s="3" t="n">
        <v>20621.86791</v>
      </c>
      <c r="J64" s="3" t="n">
        <v>22152.69484</v>
      </c>
      <c r="K64" s="3" t="n">
        <v>23714.72031</v>
      </c>
      <c r="L64" s="4" t="n">
        <v>0.06463559134000001</v>
      </c>
      <c r="M64" s="4" t="n">
        <v>0.06452256993</v>
      </c>
      <c r="N64" s="4" t="n">
        <v>0.06441221504</v>
      </c>
      <c r="O64" s="4" t="n">
        <v>0.06430557081</v>
      </c>
      <c r="P64" s="4" t="n">
        <v>0.06420250377</v>
      </c>
      <c r="Q64" s="4" t="n">
        <v>0.06410377808000001</v>
      </c>
      <c r="R64" s="4" t="n">
        <v>0.06400999202</v>
      </c>
      <c r="S64" s="4" t="n">
        <v>0.06392153014</v>
      </c>
      <c r="T64" s="4" t="n">
        <v>0.06383993555</v>
      </c>
      <c r="U64" s="4" t="n">
        <v>0.0637650712</v>
      </c>
    </row>
    <row r="65">
      <c r="A65" s="3" t="inlineStr">
        <is>
          <t>PBA Sur 1er (Avellaneda)</t>
        </is>
      </c>
      <c r="B65" s="3" t="n">
        <v>458.7077749</v>
      </c>
      <c r="C65" s="3" t="n">
        <v>2061.932829</v>
      </c>
      <c r="D65" s="3" t="n">
        <v>4139.299058</v>
      </c>
      <c r="E65" s="3" t="n">
        <v>7686.812477</v>
      </c>
      <c r="F65" s="3" t="n">
        <v>11325.45979</v>
      </c>
      <c r="G65" s="3" t="n">
        <v>15429.1071</v>
      </c>
      <c r="H65" s="3" t="n">
        <v>19177.45706</v>
      </c>
      <c r="I65" s="3" t="n">
        <v>21816.32819</v>
      </c>
      <c r="J65" s="3" t="n">
        <v>23477.64602</v>
      </c>
      <c r="K65" s="3" t="n">
        <v>25170.76644</v>
      </c>
      <c r="L65" s="4" t="n">
        <v>0.06716276296</v>
      </c>
      <c r="M65" s="4" t="n">
        <v>0.06724568</v>
      </c>
      <c r="N65" s="4" t="n">
        <v>0.06732422219</v>
      </c>
      <c r="O65" s="4" t="n">
        <v>0.06739814876</v>
      </c>
      <c r="P65" s="4" t="n">
        <v>0.06746549764</v>
      </c>
      <c r="Q65" s="4" t="n">
        <v>0.06752636788999999</v>
      </c>
      <c r="R65" s="4" t="n">
        <v>0.06757913505</v>
      </c>
      <c r="S65" s="4" t="n">
        <v>0.0676239944</v>
      </c>
      <c r="T65" s="4" t="n">
        <v>0.0676581978</v>
      </c>
      <c r="U65" s="4" t="n">
        <v>0.06768014522</v>
      </c>
    </row>
    <row r="66">
      <c r="A66" s="3" t="inlineStr">
        <is>
          <t>PBA Sur 2do cordón</t>
        </is>
      </c>
      <c r="B66" s="3" t="n">
        <v>636.3885052000001</v>
      </c>
      <c r="C66" s="3" t="n">
        <v>2858.302353</v>
      </c>
      <c r="D66" s="3" t="n">
        <v>5733.315478</v>
      </c>
      <c r="E66" s="3" t="n">
        <v>10638.22032</v>
      </c>
      <c r="F66" s="3" t="n">
        <v>15661.31817</v>
      </c>
      <c r="G66" s="3" t="n">
        <v>21318.84853</v>
      </c>
      <c r="H66" s="3" t="n">
        <v>26476.85412</v>
      </c>
      <c r="I66" s="3" t="n">
        <v>30095.90856</v>
      </c>
      <c r="J66" s="3" t="n">
        <v>32361.71713</v>
      </c>
      <c r="K66" s="3" t="n">
        <v>34668.23012</v>
      </c>
      <c r="L66" s="4" t="n">
        <v>0.09317829927</v>
      </c>
      <c r="M66" s="4" t="n">
        <v>0.09321762703</v>
      </c>
      <c r="N66" s="4" t="n">
        <v>0.09325033048</v>
      </c>
      <c r="O66" s="4" t="n">
        <v>0.09327616065</v>
      </c>
      <c r="P66" s="4" t="n">
        <v>0.09329410402</v>
      </c>
      <c r="Q66" s="4" t="n">
        <v>0.09330315746999999</v>
      </c>
      <c r="R66" s="4" t="n">
        <v>0.09330136391</v>
      </c>
      <c r="S66" s="4" t="n">
        <v>0.09328818003</v>
      </c>
      <c r="T66" s="4" t="n">
        <v>0.09326043404999999</v>
      </c>
      <c r="U66" s="4" t="n">
        <v>0.0932172985</v>
      </c>
    </row>
    <row r="67">
      <c r="A67" s="3" t="inlineStr">
        <is>
          <t>PBA Sur 3er cordón</t>
        </is>
      </c>
      <c r="B67" s="3" t="n">
        <v>454.6292721</v>
      </c>
      <c r="C67" s="3" t="n">
        <v>2045.10724</v>
      </c>
      <c r="D67" s="3" t="n">
        <v>4108.556483</v>
      </c>
      <c r="E67" s="3" t="n">
        <v>7635.29826</v>
      </c>
      <c r="F67" s="3" t="n">
        <v>11257.83942</v>
      </c>
      <c r="G67" s="3" t="n">
        <v>15348.23912</v>
      </c>
      <c r="H67" s="3" t="n">
        <v>19090.97627</v>
      </c>
      <c r="I67" s="3" t="n">
        <v>21733.53584</v>
      </c>
      <c r="J67" s="3" t="n">
        <v>23405.61598</v>
      </c>
      <c r="K67" s="3" t="n">
        <v>25111.86765</v>
      </c>
      <c r="L67" s="4" t="n">
        <v>0.06656559951</v>
      </c>
      <c r="M67" s="4" t="n">
        <v>0.06669694817000001</v>
      </c>
      <c r="N67" s="4" t="n">
        <v>0.06682420518</v>
      </c>
      <c r="O67" s="4" t="n">
        <v>0.06694647092</v>
      </c>
      <c r="P67" s="4" t="n">
        <v>0.0670626847</v>
      </c>
      <c r="Q67" s="4" t="n">
        <v>0.06717244456</v>
      </c>
      <c r="R67" s="4" t="n">
        <v>0.06727438677</v>
      </c>
      <c r="S67" s="4" t="n">
        <v>0.06736736325000001</v>
      </c>
      <c r="T67" s="4" t="n">
        <v>0.06745062065</v>
      </c>
      <c r="U67" s="4" t="n">
        <v>0.06752177584999999</v>
      </c>
    </row>
    <row r="68">
      <c r="A68" s="3" t="inlineStr">
        <is>
          <t>PBA Norte 1er cordón</t>
        </is>
      </c>
      <c r="B68" s="3" t="n">
        <v>359.9487589</v>
      </c>
      <c r="C68" s="3" t="n">
        <v>1618.861915</v>
      </c>
      <c r="D68" s="3" t="n">
        <v>3251.547844</v>
      </c>
      <c r="E68" s="3" t="n">
        <v>6041.286981</v>
      </c>
      <c r="F68" s="3" t="n">
        <v>8905.631366</v>
      </c>
      <c r="G68" s="3" t="n">
        <v>12138.70505</v>
      </c>
      <c r="H68" s="3" t="n">
        <v>15095.51626</v>
      </c>
      <c r="I68" s="3" t="n">
        <v>17181.35364</v>
      </c>
      <c r="J68" s="3" t="n">
        <v>18499.25584</v>
      </c>
      <c r="K68" s="3" t="n">
        <v>19843.46332</v>
      </c>
      <c r="L68" s="4" t="n">
        <v>0.05270273253</v>
      </c>
      <c r="M68" s="4" t="n">
        <v>0.05279583736</v>
      </c>
      <c r="N68" s="4" t="n">
        <v>0.05288526547</v>
      </c>
      <c r="O68" s="4" t="n">
        <v>0.05297014333</v>
      </c>
      <c r="P68" s="4" t="n">
        <v>0.05305063661</v>
      </c>
      <c r="Q68" s="4" t="n">
        <v>0.05312573551</v>
      </c>
      <c r="R68" s="4" t="n">
        <v>0.05319484896</v>
      </c>
      <c r="S68" s="4" t="n">
        <v>0.05325698037</v>
      </c>
      <c r="T68" s="4" t="n">
        <v>0.05331140566</v>
      </c>
      <c r="U68" s="4" t="n">
        <v>0.05335588339</v>
      </c>
    </row>
    <row r="69">
      <c r="A69" s="3" t="inlineStr">
        <is>
          <t>PBA Norte 2do cordón</t>
        </is>
      </c>
      <c r="B69" s="3" t="n">
        <v>597.3416232</v>
      </c>
      <c r="C69" s="3" t="n">
        <v>2686.667428</v>
      </c>
      <c r="D69" s="3" t="n">
        <v>5396.521871</v>
      </c>
      <c r="E69" s="3" t="n">
        <v>10027.09856</v>
      </c>
      <c r="F69" s="3" t="n">
        <v>14781.80777</v>
      </c>
      <c r="G69" s="3" t="n">
        <v>20148.82106</v>
      </c>
      <c r="H69" s="3" t="n">
        <v>25057.42855</v>
      </c>
      <c r="I69" s="3" t="n">
        <v>28520.16121</v>
      </c>
      <c r="J69" s="3" t="n">
        <v>30707.69594</v>
      </c>
      <c r="K69" s="3" t="n">
        <v>32939.19647</v>
      </c>
      <c r="L69" s="4" t="n">
        <v>0.08746115945999999</v>
      </c>
      <c r="M69" s="4" t="n">
        <v>0.08762010848</v>
      </c>
      <c r="N69" s="4" t="n">
        <v>0.08777250263</v>
      </c>
      <c r="O69" s="4" t="n">
        <v>0.08791783102</v>
      </c>
      <c r="P69" s="4" t="n">
        <v>0.08805488129</v>
      </c>
      <c r="Q69" s="4" t="n">
        <v>0.08818246544</v>
      </c>
      <c r="R69" s="4" t="n">
        <v>0.08829947277</v>
      </c>
      <c r="S69" s="4" t="n">
        <v>0.08840384162000001</v>
      </c>
      <c r="T69" s="4" t="n">
        <v>0.08849385342</v>
      </c>
      <c r="U69" s="4" t="n">
        <v>0.08856820492</v>
      </c>
    </row>
    <row r="70">
      <c r="A70" s="3" t="inlineStr">
        <is>
          <t>PBA Norte 3er cordón</t>
        </is>
      </c>
      <c r="B70" s="3" t="n">
        <v>319.1232273</v>
      </c>
      <c r="C70" s="3" t="n">
        <v>1434.662368</v>
      </c>
      <c r="D70" s="3" t="n">
        <v>2880.380922</v>
      </c>
      <c r="E70" s="3" t="n">
        <v>5349.543623</v>
      </c>
      <c r="F70" s="3" t="n">
        <v>7882.759521</v>
      </c>
      <c r="G70" s="3" t="n">
        <v>10740.34523</v>
      </c>
      <c r="H70" s="3" t="n">
        <v>13351.32928</v>
      </c>
      <c r="I70" s="3" t="n">
        <v>15190.192</v>
      </c>
      <c r="J70" s="3" t="n">
        <v>16349.03157</v>
      </c>
      <c r="K70" s="3" t="n">
        <v>17530.28203</v>
      </c>
      <c r="L70" s="4" t="n">
        <v>0.04672516762</v>
      </c>
      <c r="M70" s="4" t="n">
        <v>0.04678854965</v>
      </c>
      <c r="N70" s="4" t="n">
        <v>0.04684836791</v>
      </c>
      <c r="O70" s="4" t="n">
        <v>0.04690492164</v>
      </c>
      <c r="P70" s="4" t="n">
        <v>0.04695741309</v>
      </c>
      <c r="Q70" s="4" t="n">
        <v>0.04700573396</v>
      </c>
      <c r="R70" s="4" t="n">
        <v>0.04704853629</v>
      </c>
      <c r="S70" s="4" t="n">
        <v>0.04708498378</v>
      </c>
      <c r="T70" s="4" t="n">
        <v>0.04711486028</v>
      </c>
      <c r="U70" s="4" t="n">
        <v>0.04713611071</v>
      </c>
    </row>
    <row r="71">
      <c r="A71" s="3" t="inlineStr">
        <is>
          <t>PBA Oeste 1er cordón</t>
        </is>
      </c>
      <c r="B71" s="3" t="n">
        <v>584.1099197999999</v>
      </c>
      <c r="C71" s="3" t="n">
        <v>2621.157122</v>
      </c>
      <c r="D71" s="3" t="n">
        <v>5253.002382</v>
      </c>
      <c r="E71" s="3" t="n">
        <v>9738.39993</v>
      </c>
      <c r="F71" s="3" t="n">
        <v>14324.08353</v>
      </c>
      <c r="G71" s="3" t="n">
        <v>19481.48607</v>
      </c>
      <c r="H71" s="3" t="n">
        <v>24173.9614</v>
      </c>
      <c r="I71" s="3" t="n">
        <v>27454.47796</v>
      </c>
      <c r="J71" s="3" t="n">
        <v>29496.08899</v>
      </c>
      <c r="K71" s="3" t="n">
        <v>31571.26847</v>
      </c>
      <c r="L71" s="4" t="n">
        <v>0.08552380891</v>
      </c>
      <c r="M71" s="4" t="n">
        <v>0.08548362516999999</v>
      </c>
      <c r="N71" s="4" t="n">
        <v>0.08543820936</v>
      </c>
      <c r="O71" s="4" t="n">
        <v>0.08538651478000001</v>
      </c>
      <c r="P71" s="4" t="n">
        <v>0.08532822871</v>
      </c>
      <c r="Q71" s="4" t="n">
        <v>0.08526183577</v>
      </c>
      <c r="R71" s="4" t="n">
        <v>0.08518623698</v>
      </c>
      <c r="S71" s="4" t="n">
        <v>0.08510054706</v>
      </c>
      <c r="T71" s="4" t="n">
        <v>0.08500222812</v>
      </c>
      <c r="U71" s="4" t="n">
        <v>0.08489006641000001</v>
      </c>
    </row>
    <row r="72">
      <c r="A72" s="3" t="inlineStr">
        <is>
          <t>PBA Oeste 2do cordón</t>
        </is>
      </c>
      <c r="B72" s="3" t="n">
        <v>456.2408143</v>
      </c>
      <c r="C72" s="3" t="n">
        <v>2050.713914</v>
      </c>
      <c r="D72" s="3" t="n">
        <v>4116.48809</v>
      </c>
      <c r="E72" s="3" t="n">
        <v>7643.861156</v>
      </c>
      <c r="F72" s="3" t="n">
        <v>11261.27727</v>
      </c>
      <c r="G72" s="3" t="n">
        <v>15340.40022</v>
      </c>
      <c r="H72" s="3" t="n">
        <v>19065.60463</v>
      </c>
      <c r="I72" s="3" t="n">
        <v>21686.68762</v>
      </c>
      <c r="J72" s="3" t="n">
        <v>23335.73245</v>
      </c>
      <c r="K72" s="3" t="n">
        <v>25016.1113</v>
      </c>
      <c r="L72" s="4" t="n">
        <v>0.0668015572</v>
      </c>
      <c r="M72" s="4" t="n">
        <v>0.06687979828</v>
      </c>
      <c r="N72" s="4" t="n">
        <v>0.06695320992999999</v>
      </c>
      <c r="O72" s="4" t="n">
        <v>0.06702155059000001</v>
      </c>
      <c r="P72" s="4" t="n">
        <v>0.06708316389000001</v>
      </c>
      <c r="Q72" s="4" t="n">
        <v>0.06713813719</v>
      </c>
      <c r="R72" s="4" t="n">
        <v>0.06718498002999999</v>
      </c>
      <c r="S72" s="4" t="n">
        <v>0.06722214798999999</v>
      </c>
      <c r="T72" s="4" t="n">
        <v>0.06724922936</v>
      </c>
      <c r="U72" s="4" t="n">
        <v>0.0672643024</v>
      </c>
    </row>
    <row r="73">
      <c r="A73" s="3" t="inlineStr">
        <is>
          <t>PBA Oeste 3er cordón</t>
        </is>
      </c>
      <c r="B73" s="3" t="n">
        <v>117.0880233</v>
      </c>
      <c r="C73" s="3" t="n">
        <v>527.0142638999999</v>
      </c>
      <c r="D73" s="3" t="n">
        <v>1059.361861</v>
      </c>
      <c r="E73" s="3" t="n">
        <v>1969.844752</v>
      </c>
      <c r="F73" s="3" t="n">
        <v>2906.005078</v>
      </c>
      <c r="G73" s="3" t="n">
        <v>3964.086353</v>
      </c>
      <c r="H73" s="3" t="n">
        <v>4933.53607</v>
      </c>
      <c r="I73" s="3" t="n">
        <v>5619.423908</v>
      </c>
      <c r="J73" s="3" t="n">
        <v>6054.902822</v>
      </c>
      <c r="K73" s="3" t="n">
        <v>6499.735416</v>
      </c>
      <c r="L73" s="4" t="n">
        <v>0.01714371455</v>
      </c>
      <c r="M73" s="4" t="n">
        <v>0.0171874816</v>
      </c>
      <c r="N73" s="4" t="n">
        <v>0.01723014267</v>
      </c>
      <c r="O73" s="4" t="n">
        <v>0.01727164413</v>
      </c>
      <c r="P73" s="4" t="n">
        <v>0.01731100391</v>
      </c>
      <c r="Q73" s="4" t="n">
        <v>0.01734905019</v>
      </c>
      <c r="R73" s="4" t="n">
        <v>0.01738520906</v>
      </c>
      <c r="S73" s="4" t="n">
        <v>0.01741850817</v>
      </c>
      <c r="T73" s="4" t="n">
        <v>0.01744910083</v>
      </c>
      <c r="U73" s="4" t="n">
        <v>0.01747674382</v>
      </c>
    </row>
    <row r="74">
      <c r="A74" s="3" t="inlineStr">
        <is>
          <t>PBA Interior</t>
        </is>
      </c>
      <c r="B74" s="3" t="n">
        <v>1088.38708</v>
      </c>
      <c r="C74" s="3" t="n">
        <v>4880.178768</v>
      </c>
      <c r="D74" s="3" t="n">
        <v>9772.809010000001</v>
      </c>
      <c r="E74" s="3" t="n">
        <v>18104.40593</v>
      </c>
      <c r="F74" s="3" t="n">
        <v>26611.1133</v>
      </c>
      <c r="G74" s="3" t="n">
        <v>36168.65139</v>
      </c>
      <c r="H74" s="3" t="n">
        <v>44852.58234</v>
      </c>
      <c r="I74" s="3" t="n">
        <v>50909.12347</v>
      </c>
      <c r="J74" s="3" t="n">
        <v>54664.58344</v>
      </c>
      <c r="K74" s="3" t="n">
        <v>58480.16182</v>
      </c>
      <c r="L74" s="4" t="n">
        <v>0.1593587191</v>
      </c>
      <c r="M74" s="4" t="n">
        <v>0.1591569498</v>
      </c>
      <c r="N74" s="4" t="n">
        <v>0.1589512514</v>
      </c>
      <c r="O74" s="4" t="n">
        <v>0.158739848</v>
      </c>
      <c r="P74" s="4" t="n">
        <v>0.1585217761</v>
      </c>
      <c r="Q74" s="4" t="n">
        <v>0.1582941673</v>
      </c>
      <c r="R74" s="4" t="n">
        <v>0.1580552995</v>
      </c>
      <c r="S74" s="4" t="n">
        <v>0.1578028278</v>
      </c>
      <c r="T74" s="4" t="n">
        <v>0.1575331358</v>
      </c>
      <c r="U74" s="4" t="n">
        <v>0.1572437555</v>
      </c>
    </row>
    <row r="75">
      <c r="A75" s="1" t="inlineStr">
        <is>
          <t>SUBTOTAL CABA + PBA</t>
        </is>
      </c>
      <c r="B75" s="5" t="n">
        <v>6829.793098</v>
      </c>
      <c r="C75" s="5" t="n">
        <v>30662.68091</v>
      </c>
      <c r="D75" s="5" t="n">
        <v>61483.058</v>
      </c>
      <c r="E75" s="5" t="n">
        <v>114050.7954</v>
      </c>
      <c r="F75" s="5" t="n">
        <v>167870.3958</v>
      </c>
      <c r="G75" s="5" t="n">
        <v>228490.1081</v>
      </c>
      <c r="H75" s="5" t="n">
        <v>283777.7821</v>
      </c>
      <c r="I75" s="5" t="n">
        <v>322612.2382</v>
      </c>
      <c r="J75" s="5" t="n">
        <v>347003.7155</v>
      </c>
      <c r="K75" s="5" t="n">
        <v>371907.6896</v>
      </c>
      <c r="L75" s="6" t="n">
        <v>1</v>
      </c>
      <c r="M75" s="6" t="n">
        <v>1</v>
      </c>
      <c r="N75" s="6" t="n">
        <v>1</v>
      </c>
      <c r="O75" s="6" t="n">
        <v>1</v>
      </c>
      <c r="P75" s="6" t="n">
        <v>1</v>
      </c>
      <c r="Q75" s="6" t="n">
        <v>1</v>
      </c>
      <c r="R75" s="6" t="n">
        <v>1</v>
      </c>
      <c r="S75" s="6" t="n">
        <v>1</v>
      </c>
      <c r="T75" s="6" t="n">
        <v>1</v>
      </c>
      <c r="U75" s="6" t="n">
        <v>1</v>
      </c>
    </row>
    <row r="77">
      <c r="A77" s="1" t="inlineStr">
        <is>
          <t>DISTRIBUCIÓN DE UNIDADES NUEVAS REVENDIDAS POR ZONA – TODOS LOS AÑOS</t>
        </is>
      </c>
    </row>
    <row r="78">
      <c r="A78" s="1" t="inlineStr">
        <is>
          <t>ZONA</t>
        </is>
      </c>
      <c r="B78" s="1" t="n">
        <v>2026</v>
      </c>
      <c r="C78" s="1" t="n">
        <v>2027</v>
      </c>
      <c r="D78" s="1" t="n">
        <v>2028</v>
      </c>
      <c r="E78" s="1" t="n">
        <v>2029</v>
      </c>
      <c r="F78" s="1" t="n">
        <v>2030</v>
      </c>
      <c r="G78" s="1" t="n">
        <v>2031</v>
      </c>
      <c r="H78" s="1" t="n">
        <v>2032</v>
      </c>
      <c r="I78" s="1" t="n">
        <v>2033</v>
      </c>
      <c r="J78" s="1" t="n">
        <v>2034</v>
      </c>
      <c r="K78" s="1" t="n">
        <v>2035</v>
      </c>
      <c r="L78" s="1" t="inlineStr">
        <is>
          <t>% ZONAL AÑO 2026</t>
        </is>
      </c>
      <c r="M78" s="1" t="inlineStr">
        <is>
          <t>% ZONAL AÑO 2027</t>
        </is>
      </c>
      <c r="N78" s="1" t="inlineStr">
        <is>
          <t>% ZONAL AÑO 2028</t>
        </is>
      </c>
      <c r="O78" s="1" t="inlineStr">
        <is>
          <t>% ZONAL AÑO 2029</t>
        </is>
      </c>
      <c r="P78" s="1" t="inlineStr">
        <is>
          <t>% ZONAL AÑO 2030</t>
        </is>
      </c>
      <c r="Q78" s="1" t="inlineStr">
        <is>
          <t>% ZONAL AÑO 2031</t>
        </is>
      </c>
      <c r="R78" s="1" t="inlineStr">
        <is>
          <t>% ZONAL AÑO 2032</t>
        </is>
      </c>
      <c r="S78" s="1" t="inlineStr">
        <is>
          <t>% ZONAL AÑO 2033</t>
        </is>
      </c>
      <c r="T78" s="1" t="inlineStr">
        <is>
          <t>% ZONAL AÑO 2034</t>
        </is>
      </c>
      <c r="U78" s="1" t="inlineStr">
        <is>
          <t>% ZONAL AÑO 2035</t>
        </is>
      </c>
      <c r="V78" s="1" t="inlineStr">
        <is>
          <t>Ratio de cobertura año 10 planta comercial</t>
        </is>
      </c>
    </row>
    <row r="79">
      <c r="A79" s="3" t="inlineStr">
        <is>
          <t>CABA Norte</t>
        </is>
      </c>
      <c r="B79" s="3" t="n">
        <v>44.57232481</v>
      </c>
      <c r="C79" s="3" t="n">
        <v>78.37282962</v>
      </c>
      <c r="D79" s="3" t="n">
        <v>102.947211</v>
      </c>
      <c r="E79" s="3" t="n">
        <v>139.3121874</v>
      </c>
      <c r="F79" s="3" t="n">
        <v>218.746109</v>
      </c>
      <c r="G79" s="3" t="n">
        <v>297.6324488</v>
      </c>
      <c r="H79" s="3" t="n">
        <v>382.6430286</v>
      </c>
      <c r="I79" s="3" t="n">
        <v>474.378255</v>
      </c>
      <c r="J79" s="3" t="n">
        <v>553.5231369000001</v>
      </c>
      <c r="K79" s="3" t="n">
        <v>639.3736032</v>
      </c>
      <c r="L79" s="4" t="n">
        <v>0.03594234653</v>
      </c>
      <c r="M79" s="4" t="n">
        <v>0.0357687629</v>
      </c>
      <c r="N79" s="4" t="n">
        <v>0.03561284885</v>
      </c>
      <c r="O79" s="4" t="n">
        <v>0.03548272087</v>
      </c>
      <c r="P79" s="4" t="n">
        <v>0.03538521965</v>
      </c>
      <c r="Q79" s="4" t="n">
        <v>0.03531858919</v>
      </c>
      <c r="R79" s="4" t="n">
        <v>0.03528531777</v>
      </c>
      <c r="S79" s="4" t="n">
        <v>0.03530661287</v>
      </c>
      <c r="T79" s="4" t="n">
        <v>0.03537454192</v>
      </c>
      <c r="U79" s="4" t="n">
        <v>0.03549996909</v>
      </c>
      <c r="V79" s="8" t="n">
        <v>0.3873481014</v>
      </c>
    </row>
    <row r="80">
      <c r="A80" s="3" t="inlineStr">
        <is>
          <t>CABA Este</t>
        </is>
      </c>
      <c r="B80" s="3" t="n">
        <v>104.5860924</v>
      </c>
      <c r="C80" s="3" t="n">
        <v>185.2896162</v>
      </c>
      <c r="D80" s="3" t="n">
        <v>245.1882686</v>
      </c>
      <c r="E80" s="3" t="n">
        <v>334.1236697</v>
      </c>
      <c r="F80" s="3" t="n">
        <v>527.9603228</v>
      </c>
      <c r="G80" s="3" t="n">
        <v>722.6195017</v>
      </c>
      <c r="H80" s="3" t="n">
        <v>934.1104719</v>
      </c>
      <c r="I80" s="3" t="n">
        <v>1163.211854</v>
      </c>
      <c r="J80" s="3" t="n">
        <v>1362.367719</v>
      </c>
      <c r="K80" s="3" t="n">
        <v>1578.186148</v>
      </c>
      <c r="L80" s="4" t="n">
        <v>0.08433640363</v>
      </c>
      <c r="M80" s="4" t="n">
        <v>0.08456477048</v>
      </c>
      <c r="N80" s="4" t="n">
        <v>0.08481874025</v>
      </c>
      <c r="O80" s="4" t="n">
        <v>0.08510107499</v>
      </c>
      <c r="P80" s="4" t="n">
        <v>0.08540491109999999</v>
      </c>
      <c r="Q80" s="4" t="n">
        <v>0.08574972732</v>
      </c>
      <c r="R80" s="4" t="n">
        <v>0.08613873079999999</v>
      </c>
      <c r="S80" s="4" t="n">
        <v>0.08657452190999999</v>
      </c>
      <c r="T80" s="4" t="n">
        <v>0.08706615999</v>
      </c>
      <c r="U80" s="4" t="n">
        <v>0.08762569987</v>
      </c>
      <c r="V80" s="1" t="inlineStr">
        <is>
          <t>Ratio de cobertura año 10 planta industrial</t>
        </is>
      </c>
    </row>
    <row r="81">
      <c r="A81" s="3" t="inlineStr">
        <is>
          <t>CABA Sur</t>
        </is>
      </c>
      <c r="B81" s="3" t="n">
        <v>64.37273051</v>
      </c>
      <c r="C81" s="3" t="n">
        <v>113.5654226</v>
      </c>
      <c r="D81" s="3" t="n">
        <v>149.6931426</v>
      </c>
      <c r="E81" s="3" t="n">
        <v>203.207132</v>
      </c>
      <c r="F81" s="3" t="n">
        <v>320.0214767</v>
      </c>
      <c r="G81" s="3" t="n">
        <v>436.6129788</v>
      </c>
      <c r="H81" s="3" t="n">
        <v>562.8399985999999</v>
      </c>
      <c r="I81" s="3" t="n">
        <v>699.1598608</v>
      </c>
      <c r="J81" s="3" t="n">
        <v>817.2415568</v>
      </c>
      <c r="K81" s="3" t="n">
        <v>945.396208</v>
      </c>
      <c r="L81" s="4" t="n">
        <v>0.05190904887</v>
      </c>
      <c r="M81" s="4" t="n">
        <v>0.05183039449</v>
      </c>
      <c r="N81" s="4" t="n">
        <v>0.05178381435</v>
      </c>
      <c r="O81" s="4" t="n">
        <v>0.05175672047</v>
      </c>
      <c r="P81" s="4" t="n">
        <v>0.05176791623</v>
      </c>
      <c r="Q81" s="4" t="n">
        <v>0.05181072998</v>
      </c>
      <c r="R81" s="4" t="n">
        <v>0.05190212997</v>
      </c>
      <c r="S81" s="4" t="n">
        <v>0.05203646305</v>
      </c>
      <c r="T81" s="4" t="n">
        <v>0.05222825169</v>
      </c>
      <c r="U81" s="4" t="n">
        <v>0.05249127582</v>
      </c>
      <c r="V81" s="8" t="n">
        <v>0.6126518986</v>
      </c>
    </row>
    <row r="82">
      <c r="A82" s="3" t="inlineStr">
        <is>
          <t>CABA Oeste</t>
        </is>
      </c>
      <c r="B82" s="3" t="n">
        <v>75.60330764</v>
      </c>
      <c r="C82" s="3" t="n">
        <v>133.439625</v>
      </c>
      <c r="D82" s="3" t="n">
        <v>175.8846186</v>
      </c>
      <c r="E82" s="3" t="n">
        <v>238.652681</v>
      </c>
      <c r="F82" s="3" t="n">
        <v>375.4326138</v>
      </c>
      <c r="G82" s="3" t="n">
        <v>511.4349273</v>
      </c>
      <c r="H82" s="3" t="n">
        <v>657.7518254</v>
      </c>
      <c r="I82" s="3" t="n">
        <v>814.5451861</v>
      </c>
      <c r="J82" s="3" t="n">
        <v>948.3301762</v>
      </c>
      <c r="K82" s="3" t="n">
        <v>1091.406691</v>
      </c>
      <c r="L82" s="4" t="n">
        <v>0.0609651907</v>
      </c>
      <c r="M82" s="4" t="n">
        <v>0.06090082918</v>
      </c>
      <c r="N82" s="4" t="n">
        <v>0.06084431308</v>
      </c>
      <c r="O82" s="4" t="n">
        <v>0.06078467808</v>
      </c>
      <c r="P82" s="4" t="n">
        <v>0.06073143686</v>
      </c>
      <c r="Q82" s="4" t="n">
        <v>0.0606894852</v>
      </c>
      <c r="R82" s="4" t="n">
        <v>0.06065439702</v>
      </c>
      <c r="S82" s="4" t="n">
        <v>0.06062426186</v>
      </c>
      <c r="T82" s="4" t="n">
        <v>0.0606058597</v>
      </c>
      <c r="U82" s="4" t="n">
        <v>0.0605982224</v>
      </c>
    </row>
    <row r="83">
      <c r="A83" s="3" t="inlineStr">
        <is>
          <t>PBA Sur 1er (Avellaneda)</t>
        </is>
      </c>
      <c r="B83" s="3" t="n">
        <v>87.61934294</v>
      </c>
      <c r="C83" s="3" t="n">
        <v>154.8932639</v>
      </c>
      <c r="D83" s="3" t="n">
        <v>204.4283337</v>
      </c>
      <c r="E83" s="3" t="n">
        <v>277.74315</v>
      </c>
      <c r="F83" s="3" t="n">
        <v>437.3829629</v>
      </c>
      <c r="G83" s="3" t="n">
        <v>596.2237952</v>
      </c>
      <c r="H83" s="3" t="n">
        <v>767.1033326</v>
      </c>
      <c r="I83" s="3" t="n">
        <v>950.0922739</v>
      </c>
      <c r="J83" s="3" t="n">
        <v>1105.817813</v>
      </c>
      <c r="K83" s="3" t="n">
        <v>1271.665928</v>
      </c>
      <c r="L83" s="4" t="n">
        <v>0.07065471231000001</v>
      </c>
      <c r="M83" s="4" t="n">
        <v>0.07069210669000001</v>
      </c>
      <c r="N83" s="4" t="n">
        <v>0.0707185292</v>
      </c>
      <c r="O83" s="4" t="n">
        <v>0.07074099436</v>
      </c>
      <c r="P83" s="4" t="n">
        <v>0.07075276579000001</v>
      </c>
      <c r="Q83" s="4" t="n">
        <v>0.07075096608000001</v>
      </c>
      <c r="R83" s="4" t="n">
        <v>0.07073821508</v>
      </c>
      <c r="S83" s="4" t="n">
        <v>0.07071264282</v>
      </c>
      <c r="T83" s="4" t="n">
        <v>0.07067057541000001</v>
      </c>
      <c r="U83" s="4" t="n">
        <v>0.07060676402</v>
      </c>
    </row>
    <row r="84">
      <c r="A84" s="3" t="inlineStr">
        <is>
          <t>PBA Sur 2do cordón</t>
        </is>
      </c>
      <c r="B84" s="3" t="n">
        <v>118.210211</v>
      </c>
      <c r="C84" s="3" t="n">
        <v>208.8518295</v>
      </c>
      <c r="D84" s="3" t="n">
        <v>275.504676</v>
      </c>
      <c r="E84" s="3" t="n">
        <v>374.0934341</v>
      </c>
      <c r="F84" s="3" t="n">
        <v>588.7935271</v>
      </c>
      <c r="G84" s="3" t="n">
        <v>802.2680655</v>
      </c>
      <c r="H84" s="3" t="n">
        <v>1031.629148</v>
      </c>
      <c r="I84" s="3" t="n">
        <v>1277.042694</v>
      </c>
      <c r="J84" s="3" t="n">
        <v>1485.561175</v>
      </c>
      <c r="K84" s="3" t="n">
        <v>1707.547136</v>
      </c>
      <c r="L84" s="4" t="n">
        <v>0.0953226556</v>
      </c>
      <c r="M84" s="4" t="n">
        <v>0.09531838532</v>
      </c>
      <c r="N84" s="4" t="n">
        <v>0.09530618934</v>
      </c>
      <c r="O84" s="4" t="n">
        <v>0.09528134722000001</v>
      </c>
      <c r="P84" s="4" t="n">
        <v>0.09524552635</v>
      </c>
      <c r="Q84" s="4" t="n">
        <v>0.09520123341</v>
      </c>
      <c r="R84" s="4" t="n">
        <v>0.09513138771</v>
      </c>
      <c r="S84" s="4" t="n">
        <v>0.09504662483</v>
      </c>
      <c r="T84" s="4" t="n">
        <v>0.09493920406</v>
      </c>
      <c r="U84" s="4" t="n">
        <v>0.0948082158</v>
      </c>
    </row>
    <row r="85">
      <c r="A85" s="3" t="inlineStr">
        <is>
          <t>PBA Sur 3er cordón</t>
        </is>
      </c>
      <c r="B85" s="3" t="n">
        <v>91.96465879</v>
      </c>
      <c r="C85" s="3" t="n">
        <v>162.6521432</v>
      </c>
      <c r="D85" s="3" t="n">
        <v>214.7869864</v>
      </c>
      <c r="E85" s="3" t="n">
        <v>291.9583575</v>
      </c>
      <c r="F85" s="3" t="n">
        <v>460.003771</v>
      </c>
      <c r="G85" s="3" t="n">
        <v>627.4148263</v>
      </c>
      <c r="H85" s="3" t="n">
        <v>807.6147204</v>
      </c>
      <c r="I85" s="3" t="n">
        <v>1000.749373</v>
      </c>
      <c r="J85" s="3" t="n">
        <v>1165.34522</v>
      </c>
      <c r="K85" s="3" t="n">
        <v>1340.821442</v>
      </c>
      <c r="L85" s="4" t="n">
        <v>0.07415869933999999</v>
      </c>
      <c r="M85" s="4" t="n">
        <v>0.07423320013</v>
      </c>
      <c r="N85" s="4" t="n">
        <v>0.07430193015</v>
      </c>
      <c r="O85" s="4" t="n">
        <v>0.07436159821</v>
      </c>
      <c r="P85" s="4" t="n">
        <v>0.07441199552</v>
      </c>
      <c r="Q85" s="4" t="n">
        <v>0.07445225342</v>
      </c>
      <c r="R85" s="4" t="n">
        <v>0.07447396115</v>
      </c>
      <c r="S85" s="4" t="n">
        <v>0.07448290542</v>
      </c>
      <c r="T85" s="4" t="n">
        <v>0.07447485135</v>
      </c>
      <c r="U85" s="4" t="n">
        <v>0.07444648870999999</v>
      </c>
    </row>
    <row r="86">
      <c r="A86" s="3" t="inlineStr">
        <is>
          <t>PBA Norte 1er cordón</t>
        </is>
      </c>
      <c r="B86" s="3" t="n">
        <v>68.8442948</v>
      </c>
      <c r="C86" s="3" t="n">
        <v>121.7294831</v>
      </c>
      <c r="D86" s="3" t="n">
        <v>160.7182483</v>
      </c>
      <c r="E86" s="3" t="n">
        <v>218.4025459</v>
      </c>
      <c r="F86" s="3" t="n">
        <v>344.0538105</v>
      </c>
      <c r="G86" s="3" t="n">
        <v>469.1276303</v>
      </c>
      <c r="H86" s="3" t="n">
        <v>603.7723845</v>
      </c>
      <c r="I86" s="3" t="n">
        <v>747.9773314</v>
      </c>
      <c r="J86" s="3" t="n">
        <v>870.8130384999999</v>
      </c>
      <c r="K86" s="3" t="n">
        <v>1001.699796</v>
      </c>
      <c r="L86" s="4" t="n">
        <v>0.05551484045</v>
      </c>
      <c r="M86" s="4" t="n">
        <v>0.05555640955</v>
      </c>
      <c r="N86" s="4" t="n">
        <v>0.05559776342</v>
      </c>
      <c r="O86" s="4" t="n">
        <v>0.05562698222</v>
      </c>
      <c r="P86" s="4" t="n">
        <v>0.05565547983</v>
      </c>
      <c r="Q86" s="4" t="n">
        <v>0.05566908488</v>
      </c>
      <c r="R86" s="4" t="n">
        <v>0.05567669827</v>
      </c>
      <c r="S86" s="4" t="n">
        <v>0.05566980737</v>
      </c>
      <c r="T86" s="4" t="n">
        <v>0.05565189652</v>
      </c>
      <c r="U86" s="4" t="n">
        <v>0.05561742243</v>
      </c>
    </row>
    <row r="87">
      <c r="A87" s="3" t="inlineStr">
        <is>
          <t>PBA Norte 2do cordón</t>
        </is>
      </c>
      <c r="B87" s="3" t="n">
        <v>120.7137646</v>
      </c>
      <c r="C87" s="3" t="n">
        <v>213.4859608</v>
      </c>
      <c r="D87" s="3" t="n">
        <v>281.8742302</v>
      </c>
      <c r="E87" s="3" t="n">
        <v>383.1068383</v>
      </c>
      <c r="F87" s="3" t="n">
        <v>603.528202</v>
      </c>
      <c r="G87" s="3" t="n">
        <v>823.0395331</v>
      </c>
      <c r="H87" s="3" t="n">
        <v>1059.318806</v>
      </c>
      <c r="I87" s="3" t="n">
        <v>1312.476308</v>
      </c>
      <c r="J87" s="3" t="n">
        <v>1528.060817</v>
      </c>
      <c r="K87" s="3" t="n">
        <v>1757.868142</v>
      </c>
      <c r="L87" s="4" t="n">
        <v>0.09734147763999999</v>
      </c>
      <c r="M87" s="4" t="n">
        <v>0.09743336756</v>
      </c>
      <c r="N87" s="4" t="n">
        <v>0.09750962902</v>
      </c>
      <c r="O87" s="4" t="n">
        <v>0.09757705523</v>
      </c>
      <c r="P87" s="4" t="n">
        <v>0.09762906456999999</v>
      </c>
      <c r="Q87" s="4" t="n">
        <v>0.09766608203</v>
      </c>
      <c r="R87" s="4" t="n">
        <v>0.09768478167</v>
      </c>
      <c r="S87" s="4" t="n">
        <v>0.09768384706</v>
      </c>
      <c r="T87" s="4" t="n">
        <v>0.09765527005000001</v>
      </c>
      <c r="U87" s="4" t="n">
        <v>0.09760219124</v>
      </c>
    </row>
    <row r="88">
      <c r="A88" s="3" t="inlineStr">
        <is>
          <t>PBA Norte 3er cordón</t>
        </is>
      </c>
      <c r="B88" s="3" t="n">
        <v>62.48272333</v>
      </c>
      <c r="C88" s="3" t="n">
        <v>110.4726846</v>
      </c>
      <c r="D88" s="3" t="n">
        <v>145.8197094</v>
      </c>
      <c r="E88" s="3" t="n">
        <v>198.1360452</v>
      </c>
      <c r="F88" s="3" t="n">
        <v>312.071875</v>
      </c>
      <c r="G88" s="3" t="n">
        <v>425.4388951</v>
      </c>
      <c r="H88" s="3" t="n">
        <v>547.4474048</v>
      </c>
      <c r="I88" s="3" t="n">
        <v>678.0753001</v>
      </c>
      <c r="J88" s="3" t="n">
        <v>789.3445277</v>
      </c>
      <c r="K88" s="3" t="n">
        <v>907.8139843</v>
      </c>
      <c r="L88" s="4" t="n">
        <v>0.05038497999</v>
      </c>
      <c r="M88" s="4" t="n">
        <v>0.05041889238</v>
      </c>
      <c r="N88" s="4" t="n">
        <v>0.05044386556</v>
      </c>
      <c r="O88" s="4" t="n">
        <v>0.05046511807</v>
      </c>
      <c r="P88" s="4" t="n">
        <v>0.05048195782</v>
      </c>
      <c r="Q88" s="4" t="n">
        <v>0.05048475603</v>
      </c>
      <c r="R88" s="4" t="n">
        <v>0.05048270633</v>
      </c>
      <c r="S88" s="4" t="n">
        <v>0.05046719968</v>
      </c>
      <c r="T88" s="4" t="n">
        <v>0.0504454091</v>
      </c>
      <c r="U88" s="4" t="n">
        <v>0.05040459634</v>
      </c>
    </row>
    <row r="89">
      <c r="A89" s="3" t="inlineStr">
        <is>
          <t>PBA Oeste 1er cordón</t>
        </is>
      </c>
      <c r="B89" s="3" t="n">
        <v>100.4011767</v>
      </c>
      <c r="C89" s="3" t="n">
        <v>177.2511495</v>
      </c>
      <c r="D89" s="3" t="n">
        <v>233.6376462</v>
      </c>
      <c r="E89" s="3" t="n">
        <v>317.0088743</v>
      </c>
      <c r="F89" s="3" t="n">
        <v>498.5738242</v>
      </c>
      <c r="G89" s="3" t="n">
        <v>678.7937902</v>
      </c>
      <c r="H89" s="3" t="n">
        <v>872.2414836</v>
      </c>
      <c r="I89" s="3" t="n">
        <v>1078.97369</v>
      </c>
      <c r="J89" s="3" t="n">
        <v>1254.266342</v>
      </c>
      <c r="K89" s="3" t="n">
        <v>1440.638811</v>
      </c>
      <c r="L89" s="4" t="n">
        <v>0.08096176046</v>
      </c>
      <c r="M89" s="4" t="n">
        <v>0.08089607548</v>
      </c>
      <c r="N89" s="4" t="n">
        <v>0.08082299750999999</v>
      </c>
      <c r="O89" s="4" t="n">
        <v>0.08074194805</v>
      </c>
      <c r="P89" s="4" t="n">
        <v>0.08065123703</v>
      </c>
      <c r="Q89" s="4" t="n">
        <v>0.08054914415</v>
      </c>
      <c r="R89" s="4" t="n">
        <v>0.08043349968000001</v>
      </c>
      <c r="S89" s="4" t="n">
        <v>0.08030491699</v>
      </c>
      <c r="T89" s="4" t="n">
        <v>0.08015762002</v>
      </c>
      <c r="U89" s="4" t="n">
        <v>0.07998865298000001</v>
      </c>
    </row>
    <row r="90">
      <c r="A90" s="3" t="inlineStr">
        <is>
          <t>PBA Oeste 2do cordón</t>
        </is>
      </c>
      <c r="B90" s="3" t="n">
        <v>90.02768737</v>
      </c>
      <c r="C90" s="3" t="n">
        <v>159.1493825</v>
      </c>
      <c r="D90" s="3" t="n">
        <v>210.04307</v>
      </c>
      <c r="E90" s="3" t="n">
        <v>285.3710161</v>
      </c>
      <c r="F90" s="3" t="n">
        <v>449.3715257</v>
      </c>
      <c r="G90" s="3" t="n">
        <v>612.5504926</v>
      </c>
      <c r="H90" s="3" t="n">
        <v>788.1413372</v>
      </c>
      <c r="I90" s="3" t="n">
        <v>976.0834599999999</v>
      </c>
      <c r="J90" s="3" t="n">
        <v>1136.017916</v>
      </c>
      <c r="K90" s="3" t="n">
        <v>1306.365887</v>
      </c>
      <c r="L90" s="4" t="n">
        <v>0.07259675932</v>
      </c>
      <c r="M90" s="4" t="n">
        <v>0.07263456679999999</v>
      </c>
      <c r="N90" s="4" t="n">
        <v>0.0726608524</v>
      </c>
      <c r="O90" s="4" t="n">
        <v>0.07268380675</v>
      </c>
      <c r="P90" s="4" t="n">
        <v>0.07269208225</v>
      </c>
      <c r="Q90" s="4" t="n">
        <v>0.07268837553</v>
      </c>
      <c r="R90" s="4" t="n">
        <v>0.07267822867</v>
      </c>
      <c r="S90" s="4" t="n">
        <v>0.07264709225</v>
      </c>
      <c r="T90" s="4" t="n">
        <v>0.07260060281</v>
      </c>
      <c r="U90" s="4" t="n">
        <v>0.07253341143</v>
      </c>
    </row>
    <row r="91">
      <c r="A91" s="3" t="inlineStr">
        <is>
          <t>PBA Oeste 3er cordón</t>
        </is>
      </c>
      <c r="B91" s="3" t="n">
        <v>24.64853976</v>
      </c>
      <c r="C91" s="3" t="n">
        <v>43.60594865</v>
      </c>
      <c r="D91" s="3" t="n">
        <v>57.6078999</v>
      </c>
      <c r="E91" s="3" t="n">
        <v>78.33167997</v>
      </c>
      <c r="F91" s="3" t="n">
        <v>123.4504894</v>
      </c>
      <c r="G91" s="3" t="n">
        <v>168.4604717</v>
      </c>
      <c r="H91" s="3" t="n">
        <v>216.9159325</v>
      </c>
      <c r="I91" s="3" t="n">
        <v>268.8936344</v>
      </c>
      <c r="J91" s="3" t="n">
        <v>313.1558848</v>
      </c>
      <c r="K91" s="3" t="n">
        <v>360.4409941</v>
      </c>
      <c r="L91" s="4" t="n">
        <v>0.01987615322</v>
      </c>
      <c r="M91" s="4" t="n">
        <v>0.01990142306</v>
      </c>
      <c r="N91" s="4" t="n">
        <v>0.01992847996</v>
      </c>
      <c r="O91" s="4" t="n">
        <v>0.01995102645</v>
      </c>
      <c r="P91" s="4" t="n">
        <v>0.01996983034</v>
      </c>
      <c r="Q91" s="4" t="n">
        <v>0.01999038149</v>
      </c>
      <c r="R91" s="4" t="n">
        <v>0.02000284086</v>
      </c>
      <c r="S91" s="4" t="n">
        <v>0.02001298195</v>
      </c>
      <c r="T91" s="4" t="n">
        <v>0.02001315796</v>
      </c>
      <c r="U91" s="4" t="n">
        <v>0.02001278139</v>
      </c>
    </row>
    <row r="92">
      <c r="A92" s="3" t="inlineStr">
        <is>
          <t>PBA Interior</t>
        </is>
      </c>
      <c r="B92" s="3" t="n">
        <v>186.0592907</v>
      </c>
      <c r="C92" s="3" t="n">
        <v>328.3376756</v>
      </c>
      <c r="D92" s="3" t="n">
        <v>432.5982182</v>
      </c>
      <c r="E92" s="3" t="n">
        <v>586.7503802</v>
      </c>
      <c r="F92" s="3" t="n">
        <v>922.4591746999999</v>
      </c>
      <c r="G92" s="3" t="n">
        <v>1255.459024</v>
      </c>
      <c r="H92" s="3" t="n">
        <v>1612.726399</v>
      </c>
      <c r="I92" s="3" t="n">
        <v>1994.301252</v>
      </c>
      <c r="J92" s="3" t="n">
        <v>2317.654457</v>
      </c>
      <c r="K92" s="3" t="n">
        <v>2661.314947</v>
      </c>
      <c r="L92" s="4" t="n">
        <v>0.1500349719</v>
      </c>
      <c r="M92" s="4" t="n">
        <v>0.149850816</v>
      </c>
      <c r="N92" s="4" t="n">
        <v>0.1496500469</v>
      </c>
      <c r="O92" s="4" t="n">
        <v>0.149444929</v>
      </c>
      <c r="P92" s="4" t="n">
        <v>0.1492205766</v>
      </c>
      <c r="Q92" s="4" t="n">
        <v>0.1489791913</v>
      </c>
      <c r="R92" s="4" t="n">
        <v>0.148717105</v>
      </c>
      <c r="S92" s="4" t="n">
        <v>0.1484301219</v>
      </c>
      <c r="T92" s="4" t="n">
        <v>0.1481165994</v>
      </c>
      <c r="U92" s="4" t="n">
        <v>0.1477643085</v>
      </c>
    </row>
    <row r="93">
      <c r="A93" s="1" t="inlineStr">
        <is>
          <t>SUBTOTAL CABA + PBA</t>
        </is>
      </c>
      <c r="B93" s="5" t="n">
        <v>1240.106145</v>
      </c>
      <c r="C93" s="5" t="n">
        <v>2191.097015</v>
      </c>
      <c r="D93" s="5" t="n">
        <v>2890.732259</v>
      </c>
      <c r="E93" s="5" t="n">
        <v>3926.197991</v>
      </c>
      <c r="F93" s="5" t="n">
        <v>6181.849685</v>
      </c>
      <c r="G93" s="5" t="n">
        <v>8427.076381000001</v>
      </c>
      <c r="H93" s="5" t="n">
        <v>10844.25627</v>
      </c>
      <c r="I93" s="5" t="n">
        <v>13435.96047</v>
      </c>
      <c r="J93" s="5" t="n">
        <v>15647.49978</v>
      </c>
      <c r="K93" s="5" t="n">
        <v>18010.53972</v>
      </c>
      <c r="L93" s="8" t="n">
        <v>1</v>
      </c>
      <c r="M93" s="6" t="n">
        <v>1</v>
      </c>
      <c r="N93" s="6" t="n">
        <v>1</v>
      </c>
      <c r="O93" s="8" t="n">
        <v>1</v>
      </c>
      <c r="P93" s="6" t="n">
        <v>1</v>
      </c>
      <c r="Q93" s="6" t="n">
        <v>1</v>
      </c>
      <c r="R93" s="6" t="n">
        <v>1</v>
      </c>
      <c r="S93" s="6" t="n">
        <v>1</v>
      </c>
      <c r="T93" s="6" t="n">
        <v>1</v>
      </c>
      <c r="U93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 del cliente (IRAM 3517-2:2020 5.3) y extintores sustitutos (9.4.5) — FLAMA</t>
        </is>
      </c>
    </row>
    <row r="2">
      <c r="A2" s="2" t="inlineStr">
        <is>
          <t>5.3: «Esta dotación no debe ser menor al 10% de la dotación mínima requerida» · «Si fuera heterogénea, la de reserva debe ser de extintores tipo ABC de 5 kg» · «Las propiedades que tengan menos de 5 extintores pueden no tener dotación de reserva».</t>
        </is>
      </c>
    </row>
    <row r="3">
      <c r="A3" s="2" t="inlineStr">
        <is>
          <t>9.4.5: «Los extintores fuera de servicio por mantenimiento o recarga deben ser sustituidos por equipos sustitutos que tengan igual clasificación y por lo menos igual capacidad» · se cubre «con extintores de reserva (ver 5.3) o requiriendo al prestador responsable del servicio su provisión temporaria».</t>
        </is>
      </c>
    </row>
    <row r="5">
      <c r="A5" s="1" t="inlineStr">
        <is>
          <t>PARÁMETROS (celdas amarillas: completar con datos de planta)</t>
        </is>
      </c>
    </row>
    <row r="6">
      <c r="A6" s="2" t="inlineStr">
        <is>
          <t>Días hábiles por año (DH)</t>
        </is>
      </c>
      <c r="B6" s="3" t="n">
        <v>260</v>
      </c>
      <c r="E6" s="2" t="inlineStr">
        <is>
          <t>menor a 5 matafuegos sin reserva obligatoria</t>
        </is>
      </c>
      <c r="L6" s="2" t="inlineStr">
        <is>
          <t>Dato de planta</t>
        </is>
      </c>
    </row>
    <row r="7">
      <c r="A7" s="2" t="inlineStr">
        <is>
          <t>Ciclo de recarga en planta (días: retiro + recarga + devolución)</t>
        </is>
      </c>
      <c r="B7" s="3" t="n">
        <v>3</v>
      </c>
      <c r="L7" s="2" t="inlineStr">
        <is>
          <t>Dato de planta (dimensionamiento técnico de la línea de recarga)</t>
        </is>
      </c>
    </row>
    <row r="8">
      <c r="A8" s="2" t="inlineStr">
        <is>
          <t>Reserva mínima de la norma</t>
        </is>
      </c>
      <c r="B8" s="4" t="n">
        <v>0.1</v>
      </c>
      <c r="L8" s="2" t="inlineStr">
        <is>
          <t>IRAM 3517-2:2020 5.3 (10 %)</t>
        </is>
      </c>
    </row>
    <row r="9">
      <c r="A9" s="2" t="inlineStr">
        <is>
          <t>Vida útil extintor (años)</t>
        </is>
      </c>
      <c r="B9" s="9" t="n">
        <v>20</v>
      </c>
      <c r="L9" s="2" t="inlineStr">
        <is>
          <t>Res. 349/07 PBA art. 26</t>
        </is>
      </c>
    </row>
    <row r="10">
      <c r="A10" s="2" t="inlineStr">
        <is>
          <t>Vida útil CO₂ (años)</t>
        </is>
      </c>
      <c r="B10" s="9" t="n">
        <v>30</v>
      </c>
      <c r="L10" s="2" t="inlineStr">
        <is>
          <t>Res. 349/07 PBA art. 26</t>
        </is>
      </c>
    </row>
    <row r="12">
      <c r="A12" s="1" t="inlineStr">
        <is>
          <t>Año</t>
        </is>
      </c>
      <c r="B12" s="10" t="n">
        <v>2026</v>
      </c>
      <c r="C12" s="10" t="n">
        <v>2027</v>
      </c>
      <c r="D12" s="10" t="n">
        <v>2028</v>
      </c>
      <c r="E12" s="10" t="n">
        <v>2029</v>
      </c>
      <c r="F12" s="10" t="n">
        <v>2030</v>
      </c>
      <c r="G12" s="10" t="n">
        <v>2031</v>
      </c>
      <c r="H12" s="10" t="n">
        <v>2032</v>
      </c>
      <c r="I12" s="10" t="n">
        <v>2033</v>
      </c>
      <c r="J12" s="10" t="n">
        <v>2034</v>
      </c>
      <c r="K12" s="10" t="n">
        <v>2035</v>
      </c>
    </row>
    <row r="14">
      <c r="A14" s="1" t="inlineStr">
        <is>
          <t>A. PARQUE INSTALADO POR SEGMENTO</t>
        </is>
      </c>
    </row>
    <row r="15">
      <c r="A15" s="2" t="inlineStr">
        <is>
          <t>Supermercados</t>
        </is>
      </c>
      <c r="B15" s="3" t="n">
        <v>39725</v>
      </c>
      <c r="C15" s="3" t="n">
        <v>39940</v>
      </c>
      <c r="D15" s="3" t="n">
        <v>40154</v>
      </c>
      <c r="E15" s="3" t="n">
        <v>40369</v>
      </c>
      <c r="F15" s="3" t="n">
        <v>40593</v>
      </c>
      <c r="G15" s="3" t="n">
        <v>40811</v>
      </c>
      <c r="H15" s="3" t="n">
        <v>41042</v>
      </c>
      <c r="I15" s="3" t="n">
        <v>41258</v>
      </c>
      <c r="J15" s="3" t="n">
        <v>41486</v>
      </c>
      <c r="K15" s="3" t="n">
        <v>41707</v>
      </c>
    </row>
    <row r="16">
      <c r="A16" s="2" t="inlineStr">
        <is>
          <t>Salud</t>
        </is>
      </c>
      <c r="B16" s="3" t="n">
        <v>3393423</v>
      </c>
      <c r="C16" s="3" t="n">
        <v>3525669</v>
      </c>
      <c r="D16" s="3" t="n">
        <v>3663072</v>
      </c>
      <c r="E16" s="3" t="n">
        <v>3805830</v>
      </c>
      <c r="F16" s="3" t="n">
        <v>3954150</v>
      </c>
      <c r="G16" s="3" t="n">
        <v>4108248</v>
      </c>
      <c r="H16" s="3" t="n">
        <v>4268358</v>
      </c>
      <c r="I16" s="3" t="n">
        <v>4434705</v>
      </c>
      <c r="J16" s="3" t="n">
        <v>4607532</v>
      </c>
      <c r="K16" s="3" t="n">
        <v>4787100</v>
      </c>
    </row>
    <row r="17">
      <c r="A17" s="2" t="inlineStr">
        <is>
          <t>Educación</t>
        </is>
      </c>
      <c r="B17" s="3" t="n">
        <v>703633</v>
      </c>
      <c r="C17" s="3" t="n">
        <v>704099</v>
      </c>
      <c r="D17" s="3" t="n">
        <v>704578</v>
      </c>
      <c r="E17" s="3" t="n">
        <v>705077</v>
      </c>
      <c r="F17" s="3" t="n">
        <v>705582</v>
      </c>
      <c r="G17" s="3" t="n">
        <v>706103</v>
      </c>
      <c r="H17" s="3" t="n">
        <v>706636</v>
      </c>
      <c r="I17" s="3" t="n">
        <v>707181</v>
      </c>
      <c r="J17" s="3" t="n">
        <v>707746</v>
      </c>
      <c r="K17" s="3" t="n">
        <v>708321</v>
      </c>
    </row>
    <row r="18">
      <c r="A18" s="2" t="inlineStr">
        <is>
          <t>Automotor</t>
        </is>
      </c>
      <c r="B18" s="3" t="n">
        <v>12094003</v>
      </c>
      <c r="C18" s="3" t="n">
        <v>12355237</v>
      </c>
      <c r="D18" s="3" t="n">
        <v>12622105</v>
      </c>
      <c r="E18" s="3" t="n">
        <v>12894744</v>
      </c>
      <c r="F18" s="3" t="n">
        <v>13173268</v>
      </c>
      <c r="G18" s="3" t="n">
        <v>13457809</v>
      </c>
      <c r="H18" s="3" t="n">
        <v>13748498</v>
      </c>
      <c r="I18" s="3" t="n">
        <v>14045462</v>
      </c>
      <c r="J18" s="3" t="n">
        <v>14348845</v>
      </c>
      <c r="K18" s="3" t="n">
        <v>14658783</v>
      </c>
    </row>
    <row r="19">
      <c r="A19" s="2" t="inlineStr">
        <is>
          <t>Industrias / almacenes</t>
        </is>
      </c>
      <c r="B19" s="3" t="n">
        <v>480202</v>
      </c>
      <c r="C19" s="3" t="n">
        <v>491487</v>
      </c>
      <c r="D19" s="3" t="n">
        <v>503046</v>
      </c>
      <c r="E19" s="3" t="n">
        <v>514886</v>
      </c>
      <c r="F19" s="3" t="n">
        <v>527016</v>
      </c>
      <c r="G19" s="3" t="n">
        <v>539450</v>
      </c>
      <c r="H19" s="3" t="n">
        <v>552192</v>
      </c>
      <c r="I19" s="3" t="n">
        <v>565246</v>
      </c>
      <c r="J19" s="3" t="n">
        <v>578626</v>
      </c>
      <c r="K19" s="3" t="n">
        <v>592334</v>
      </c>
    </row>
    <row r="20">
      <c r="A20" s="2" t="inlineStr">
        <is>
          <t>Edificios</t>
        </is>
      </c>
      <c r="B20" s="3" t="n">
        <v>18972632</v>
      </c>
      <c r="C20" s="3" t="n">
        <v>19153968</v>
      </c>
      <c r="D20" s="3" t="n">
        <v>19337280</v>
      </c>
      <c r="E20" s="3" t="n">
        <v>19522464</v>
      </c>
      <c r="F20" s="3" t="n">
        <v>19709624</v>
      </c>
      <c r="G20" s="3" t="n">
        <v>19898792</v>
      </c>
      <c r="H20" s="3" t="n">
        <v>20089920</v>
      </c>
      <c r="I20" s="3" t="n">
        <v>20283056</v>
      </c>
      <c r="J20" s="3" t="n">
        <v>20478312</v>
      </c>
      <c r="K20" s="3" t="n">
        <v>20675608</v>
      </c>
    </row>
    <row r="21">
      <c r="A21" s="2" t="inlineStr">
        <is>
          <t>Hoteles</t>
        </is>
      </c>
      <c r="B21" s="3" t="n">
        <v>327007</v>
      </c>
      <c r="C21" s="3" t="n">
        <v>330622</v>
      </c>
      <c r="D21" s="3" t="n">
        <v>334864</v>
      </c>
      <c r="E21" s="3" t="n">
        <v>339841</v>
      </c>
      <c r="F21" s="3" t="n">
        <v>345690</v>
      </c>
      <c r="G21" s="3" t="n">
        <v>352567</v>
      </c>
      <c r="H21" s="3" t="n">
        <v>360658</v>
      </c>
      <c r="I21" s="3" t="n">
        <v>370183</v>
      </c>
      <c r="J21" s="3" t="n">
        <v>381402</v>
      </c>
      <c r="K21" s="3" t="n">
        <v>394627</v>
      </c>
    </row>
    <row r="22">
      <c r="A22" s="1" t="inlineStr">
        <is>
          <t>Parque total</t>
        </is>
      </c>
      <c r="B22" s="5" t="n">
        <v>36010625</v>
      </c>
      <c r="C22" s="5" t="n">
        <v>36601022</v>
      </c>
      <c r="D22" s="5" t="n">
        <v>37205099</v>
      </c>
      <c r="E22" s="5" t="n">
        <v>37823211</v>
      </c>
      <c r="F22" s="5" t="n">
        <v>38455923</v>
      </c>
      <c r="G22" s="5" t="n">
        <v>39103780</v>
      </c>
      <c r="H22" s="5" t="n">
        <v>39767304</v>
      </c>
      <c r="I22" s="5" t="n">
        <v>40447091</v>
      </c>
      <c r="J22" s="5" t="n">
        <v>41143949</v>
      </c>
      <c r="K22" s="5" t="n">
        <v>41858480</v>
      </c>
    </row>
    <row r="23">
      <c r="A23" s="2" t="inlineStr">
        <is>
          <t>Parque con reserva obligatoria (sin Automotor)</t>
        </is>
      </c>
      <c r="B23" s="3" t="n">
        <v>23916622</v>
      </c>
      <c r="C23" s="3" t="n">
        <v>24245785</v>
      </c>
      <c r="D23" s="3" t="n">
        <v>24582994</v>
      </c>
      <c r="E23" s="3" t="n">
        <v>24928467</v>
      </c>
      <c r="F23" s="3" t="n">
        <v>25282655</v>
      </c>
      <c r="G23" s="3" t="n">
        <v>25645971</v>
      </c>
      <c r="H23" s="3" t="n">
        <v>26018806</v>
      </c>
      <c r="I23" s="3" t="n">
        <v>26401629</v>
      </c>
      <c r="J23" s="3" t="n">
        <v>26795104</v>
      </c>
      <c r="K23" s="3" t="n">
        <v>27199697</v>
      </c>
    </row>
    <row r="24">
      <c r="A24" s="2" t="inlineStr">
        <is>
          <t>% del parque con reserva obligatoria</t>
        </is>
      </c>
      <c r="B24" s="4" t="n">
        <v>0.6641545933</v>
      </c>
      <c r="C24" s="4" t="n">
        <v>0.6624346446</v>
      </c>
      <c r="D24" s="4" t="n">
        <v>0.6607426041</v>
      </c>
      <c r="E24" s="4" t="n">
        <v>0.6590785484</v>
      </c>
      <c r="F24" s="4" t="n">
        <v>0.6574450183</v>
      </c>
      <c r="G24" s="4" t="n">
        <v>0.6558437829</v>
      </c>
      <c r="H24" s="4" t="n">
        <v>0.6542763372</v>
      </c>
      <c r="I24" s="4" t="n">
        <v>0.6527448167</v>
      </c>
      <c r="J24" s="4" t="n">
        <v>0.6512526058</v>
      </c>
      <c r="K24" s="4" t="n">
        <v>0.6498013545</v>
      </c>
      <c r="L24" s="2" t="inlineStr">
        <is>
          <t>5.3: propiedades con &lt; 5 extintores exentas; en el Excel el único segmento así es Automotor</t>
        </is>
      </c>
    </row>
    <row r="26">
      <c r="A26" s="1" t="inlineStr">
        <is>
          <t>B. RESERVA DEL CLIENTE (5.3)</t>
        </is>
      </c>
    </row>
    <row r="27">
      <c r="A27" s="2" t="inlineStr">
        <is>
          <t>Recargas del año (mantenimiento anual)</t>
        </is>
      </c>
      <c r="B27" s="3" t="n">
        <v>6829.793098</v>
      </c>
      <c r="C27" s="3" t="n">
        <v>30662.68091</v>
      </c>
      <c r="D27" s="3" t="n">
        <v>61483.058</v>
      </c>
      <c r="E27" s="3" t="n">
        <v>114050.7954</v>
      </c>
      <c r="F27" s="3" t="n">
        <v>167870.3958</v>
      </c>
      <c r="G27" s="3" t="n">
        <v>228490.1081</v>
      </c>
      <c r="H27" s="3" t="n">
        <v>283777.7821</v>
      </c>
      <c r="I27" s="3" t="n">
        <v>322612.2382</v>
      </c>
      <c r="J27" s="3" t="n">
        <v>347003.7155</v>
      </c>
      <c r="K27" s="3" t="n">
        <v>371907.6896</v>
      </c>
      <c r="L27" s="2" t="inlineStr">
        <is>
          <t>Indexado Dim Técnico fila 44</t>
        </is>
      </c>
    </row>
    <row r="28">
      <c r="A28" s="2" t="inlineStr">
        <is>
          <t>Parque de reserva obligatoria</t>
        </is>
      </c>
      <c r="B28" s="3" t="n">
        <v>4536.038457</v>
      </c>
      <c r="C28" s="3" t="n">
        <v>20312.02213</v>
      </c>
      <c r="D28" s="3" t="n">
        <v>40624.47586</v>
      </c>
      <c r="E28" s="3" t="n">
        <v>75168.43269</v>
      </c>
      <c r="F28" s="3" t="n">
        <v>110365.5554</v>
      </c>
      <c r="G28" s="3" t="n">
        <v>149853.8168</v>
      </c>
      <c r="H28" s="3" t="n">
        <v>185669.0879</v>
      </c>
      <c r="I28" s="3" t="n">
        <v>210583.4663</v>
      </c>
      <c r="J28" s="3" t="n">
        <v>225987.074</v>
      </c>
      <c r="K28" s="3" t="n">
        <v>241666.1205</v>
      </c>
    </row>
    <row r="29">
      <c r="A29" s="1" t="inlineStr">
        <is>
          <t>Reserva requerida en clientes</t>
        </is>
      </c>
      <c r="B29" s="5" t="n">
        <v>454</v>
      </c>
      <c r="C29" s="5" t="n">
        <v>2032</v>
      </c>
      <c r="D29" s="5" t="n">
        <v>4063</v>
      </c>
      <c r="E29" s="5" t="n">
        <v>7517</v>
      </c>
      <c r="F29" s="5" t="n">
        <v>11037</v>
      </c>
      <c r="G29" s="5" t="n">
        <v>14986</v>
      </c>
      <c r="H29" s="5" t="n">
        <v>18567</v>
      </c>
      <c r="I29" s="5" t="n">
        <v>21059</v>
      </c>
      <c r="J29" s="5" t="n">
        <v>22599</v>
      </c>
      <c r="K29" s="5" t="n">
        <v>24167</v>
      </c>
      <c r="L29" s="2" t="inlineStr">
        <is>
          <t>5.3: ≥ 10 % de la dotación</t>
        </is>
      </c>
    </row>
    <row r="30">
      <c r="A30" s="1" t="inlineStr">
        <is>
          <t>VENTA de reserva</t>
        </is>
      </c>
      <c r="B30" s="5" t="n">
        <v>454</v>
      </c>
      <c r="C30" s="5" t="n">
        <v>1578</v>
      </c>
      <c r="D30" s="5" t="n">
        <v>2031</v>
      </c>
      <c r="E30" s="5" t="n">
        <v>3454</v>
      </c>
      <c r="F30" s="5" t="n">
        <v>3520</v>
      </c>
      <c r="G30" s="5" t="n">
        <v>3949</v>
      </c>
      <c r="H30" s="5" t="n">
        <v>3581</v>
      </c>
      <c r="I30" s="5" t="n">
        <v>2492</v>
      </c>
      <c r="J30" s="5" t="n">
        <v>1540</v>
      </c>
      <c r="K30" s="5" t="n">
        <v>1568</v>
      </c>
    </row>
    <row r="32">
      <c r="A32" s="1" t="inlineStr">
        <is>
          <t>C. EXTINTORES SUSTITUTOS (9.4.5) — STOCK</t>
        </is>
      </c>
    </row>
    <row r="33">
      <c r="A33" s="2" t="inlineStr">
        <is>
          <t>Fracción de retiros cubierta por la reserva del cliente</t>
        </is>
      </c>
      <c r="B33" s="4" t="n">
        <v>0.06647346318</v>
      </c>
      <c r="C33" s="4" t="n">
        <v>0.06626948262</v>
      </c>
      <c r="D33" s="4" t="n">
        <v>0.06608324524</v>
      </c>
      <c r="E33" s="4" t="n">
        <v>0.06590922905</v>
      </c>
      <c r="F33" s="4" t="n">
        <v>0.06574714945</v>
      </c>
      <c r="G33" s="4" t="n">
        <v>0.06558708438999999</v>
      </c>
      <c r="H33" s="4" t="n">
        <v>0.06542795513999999</v>
      </c>
      <c r="I33" s="4" t="n">
        <v>0.06527650691</v>
      </c>
      <c r="J33" s="4" t="n">
        <v>0.06512610381</v>
      </c>
      <c r="K33" s="4" t="n">
        <v>0.06498117858999999</v>
      </c>
      <c r="L33" s="2" t="inlineStr">
        <is>
          <t>La reserva (10 %) cubre como máximo esa fracción de lo que se retira</t>
        </is>
      </c>
    </row>
    <row r="34">
      <c r="A34" s="1" t="inlineStr">
        <is>
          <t>Necesidad por tipo = recargas / DH × ciclo × (1 − cobertura)</t>
        </is>
      </c>
    </row>
    <row r="35">
      <c r="A35" s="2" t="inlineStr">
        <is>
          <t>ABC 1 kg</t>
        </is>
      </c>
      <c r="B35" s="11" t="n">
        <v>37.45755974</v>
      </c>
      <c r="C35" s="11" t="n">
        <v>182.8379274</v>
      </c>
      <c r="D35" s="11" t="n">
        <v>329.1635168</v>
      </c>
      <c r="E35" s="11" t="n">
        <v>604.0870394999999</v>
      </c>
      <c r="F35" s="11" t="n">
        <v>908.4196036</v>
      </c>
      <c r="G35" s="11" t="n">
        <v>1265.854457</v>
      </c>
      <c r="H35" s="11" t="n">
        <v>1591.762771</v>
      </c>
      <c r="I35" s="11" t="n">
        <v>1848.642494</v>
      </c>
      <c r="J35" s="11" t="n">
        <v>1981.471329</v>
      </c>
      <c r="K35" s="11" t="n">
        <v>2117.630886</v>
      </c>
    </row>
    <row r="36">
      <c r="A36" s="2" t="inlineStr">
        <is>
          <t>ABC 2,5 kg</t>
        </is>
      </c>
      <c r="B36" s="11" t="n">
        <v>3.554545917</v>
      </c>
      <c r="C36" s="11" t="n">
        <v>13.8703588</v>
      </c>
      <c r="D36" s="11" t="n">
        <v>31.75858511</v>
      </c>
      <c r="E36" s="11" t="n">
        <v>58.48173393</v>
      </c>
      <c r="F36" s="11" t="n">
        <v>84.63118962999999</v>
      </c>
      <c r="G36" s="11" t="n">
        <v>112.3877028</v>
      </c>
      <c r="H36" s="11" t="n">
        <v>138.1358126</v>
      </c>
      <c r="I36" s="11" t="n">
        <v>153.831058</v>
      </c>
      <c r="J36" s="11" t="n">
        <v>166.4744671</v>
      </c>
      <c r="K36" s="11" t="n">
        <v>179.3160521</v>
      </c>
    </row>
    <row r="37">
      <c r="A37" s="2" t="inlineStr">
        <is>
          <t>ABC 5 kg</t>
        </is>
      </c>
      <c r="B37" s="11" t="n">
        <v>21.00859208</v>
      </c>
      <c r="C37" s="11" t="n">
        <v>84.6026487</v>
      </c>
      <c r="D37" s="11" t="n">
        <v>191.5519695</v>
      </c>
      <c r="E37" s="11" t="n">
        <v>362.1998221</v>
      </c>
      <c r="F37" s="11" t="n">
        <v>521.825908</v>
      </c>
      <c r="G37" s="11" t="n">
        <v>693.5109453</v>
      </c>
      <c r="H37" s="11" t="n">
        <v>848.8908434</v>
      </c>
      <c r="I37" s="11" t="n">
        <v>940.8769835000001</v>
      </c>
      <c r="J37" s="11" t="n">
        <v>1015.096874</v>
      </c>
      <c r="K37" s="11" t="n">
        <v>1090.683375</v>
      </c>
    </row>
    <row r="38">
      <c r="A38" s="2" t="inlineStr">
        <is>
          <t>ABC 10 kg</t>
        </is>
      </c>
      <c r="B38" s="11" t="n">
        <v>1.274733708</v>
      </c>
      <c r="C38" s="11" t="n">
        <v>4.715876847</v>
      </c>
      <c r="D38" s="11" t="n">
        <v>11.04509029</v>
      </c>
      <c r="E38" s="11" t="n">
        <v>21.12923953</v>
      </c>
      <c r="F38" s="11" t="n">
        <v>30.66839686</v>
      </c>
      <c r="G38" s="11" t="n">
        <v>41.08244089</v>
      </c>
      <c r="H38" s="11" t="n">
        <v>50.29088251</v>
      </c>
      <c r="I38" s="11" t="n">
        <v>55.70068976</v>
      </c>
      <c r="J38" s="11" t="n">
        <v>60.10028485</v>
      </c>
      <c r="K38" s="11" t="n">
        <v>64.58050054</v>
      </c>
    </row>
    <row r="39">
      <c r="A39" s="2" t="inlineStr">
        <is>
          <t>Agua 10 l</t>
        </is>
      </c>
      <c r="B39" s="11" t="n">
        <v>1.715987684</v>
      </c>
      <c r="C39" s="11" t="n">
        <v>6.932125345</v>
      </c>
      <c r="D39" s="11" t="n">
        <v>15.88767769</v>
      </c>
      <c r="E39" s="11" t="n">
        <v>29.8167293</v>
      </c>
      <c r="F39" s="11" t="n">
        <v>43.02735878</v>
      </c>
      <c r="G39" s="11" t="n">
        <v>57.52845133</v>
      </c>
      <c r="H39" s="11" t="n">
        <v>70.51301744</v>
      </c>
      <c r="I39" s="11" t="n">
        <v>78.40697591999999</v>
      </c>
      <c r="J39" s="11" t="n">
        <v>84.73669729</v>
      </c>
      <c r="K39" s="11" t="n">
        <v>91.17311795000001</v>
      </c>
    </row>
    <row r="40">
      <c r="A40" s="2" t="inlineStr">
        <is>
          <t>AFFF 10 l</t>
        </is>
      </c>
      <c r="B40" s="11" t="n">
        <v>0.2451410978</v>
      </c>
      <c r="C40" s="11" t="n">
        <v>1.737985842</v>
      </c>
      <c r="D40" s="11" t="n">
        <v>3.411748152</v>
      </c>
      <c r="E40" s="11" t="n">
        <v>5.684243621</v>
      </c>
      <c r="F40" s="11" t="n">
        <v>8.017926269</v>
      </c>
      <c r="G40" s="11" t="n">
        <v>10.38141017</v>
      </c>
      <c r="H40" s="11" t="n">
        <v>12.88568749</v>
      </c>
      <c r="I40" s="11" t="n">
        <v>14.5775577</v>
      </c>
      <c r="J40" s="11" t="n">
        <v>15.93832915</v>
      </c>
      <c r="K40" s="11" t="n">
        <v>17.30980301</v>
      </c>
    </row>
    <row r="41">
      <c r="A41" s="2" t="inlineStr">
        <is>
          <t>AFFF 50 l s/ruedas</t>
        </is>
      </c>
      <c r="B41" s="11" t="n">
        <v>0.1225705489</v>
      </c>
      <c r="C41" s="11" t="n">
        <v>0.8966346929</v>
      </c>
      <c r="D41" s="11" t="n">
        <v>1.772256113</v>
      </c>
      <c r="E41" s="11" t="n">
        <v>3.032286546</v>
      </c>
      <c r="F41" s="11" t="n">
        <v>4.300105456</v>
      </c>
      <c r="G41" s="11" t="n">
        <v>5.547472384</v>
      </c>
      <c r="H41" s="11" t="n">
        <v>6.783542717</v>
      </c>
      <c r="I41" s="11" t="n">
        <v>7.670247767</v>
      </c>
      <c r="J41" s="11" t="n">
        <v>8.342789262</v>
      </c>
      <c r="K41" s="11" t="n">
        <v>9.023120124</v>
      </c>
    </row>
    <row r="42">
      <c r="A42" s="2" t="inlineStr">
        <is>
          <t>BC 5 kg</t>
        </is>
      </c>
      <c r="B42" s="11" t="n">
        <v>0.07354232933</v>
      </c>
      <c r="C42" s="11" t="n">
        <v>0.5071569382</v>
      </c>
      <c r="D42" s="11" t="n">
        <v>0.9578718226</v>
      </c>
      <c r="E42" s="11" t="n">
        <v>1.719113135</v>
      </c>
      <c r="F42" s="11" t="n">
        <v>2.369368017</v>
      </c>
      <c r="G42" s="11" t="n">
        <v>3.146849543</v>
      </c>
      <c r="H42" s="11" t="n">
        <v>3.977439801</v>
      </c>
      <c r="I42" s="11" t="n">
        <v>4.404801268</v>
      </c>
      <c r="J42" s="11" t="n">
        <v>4.808652728</v>
      </c>
      <c r="K42" s="11" t="n">
        <v>5.216101788</v>
      </c>
    </row>
    <row r="43">
      <c r="A43" s="2" t="inlineStr">
        <is>
          <t>Sales K 6 l</t>
        </is>
      </c>
      <c r="B43" s="11" t="n">
        <v>0.8825079519</v>
      </c>
      <c r="C43" s="11" t="n">
        <v>3.613524769</v>
      </c>
      <c r="D43" s="11" t="n">
        <v>8.045315885000001</v>
      </c>
      <c r="E43" s="11" t="n">
        <v>14.64618227</v>
      </c>
      <c r="F43" s="11" t="n">
        <v>21.14062049</v>
      </c>
      <c r="G43" s="11" t="n">
        <v>28.01666142</v>
      </c>
      <c r="H43" s="11" t="n">
        <v>34.47776614</v>
      </c>
      <c r="I43" s="11" t="n">
        <v>38.59551804</v>
      </c>
      <c r="J43" s="11" t="n">
        <v>41.75378378</v>
      </c>
      <c r="K43" s="11" t="n">
        <v>44.96246176</v>
      </c>
    </row>
    <row r="44">
      <c r="A44" s="2" t="inlineStr">
        <is>
          <t>CO₂ 2 kg</t>
        </is>
      </c>
      <c r="B44" s="11" t="n">
        <v>4.853793736</v>
      </c>
      <c r="C44" s="11" t="n">
        <v>18.28511713</v>
      </c>
      <c r="D44" s="11" t="n">
        <v>42.62105324</v>
      </c>
      <c r="E44" s="11" t="n">
        <v>81.49504029000001</v>
      </c>
      <c r="F44" s="11" t="n">
        <v>117.7174202</v>
      </c>
      <c r="G44" s="11" t="n">
        <v>156.4949564</v>
      </c>
      <c r="H44" s="11" t="n">
        <v>191.3697936</v>
      </c>
      <c r="I44" s="11" t="n">
        <v>211.5768786</v>
      </c>
      <c r="J44" s="11" t="n">
        <v>228.2725415</v>
      </c>
      <c r="K44" s="11" t="n">
        <v>245.2752345</v>
      </c>
    </row>
    <row r="45">
      <c r="A45" s="2" t="inlineStr">
        <is>
          <t>CO₂ 5 kg</t>
        </is>
      </c>
      <c r="B45" s="11" t="n">
        <v>1.348276038</v>
      </c>
      <c r="C45" s="11" t="n">
        <v>6.934353682</v>
      </c>
      <c r="D45" s="11" t="n">
        <v>14.82370201</v>
      </c>
      <c r="E45" s="11" t="n">
        <v>26.51687107</v>
      </c>
      <c r="F45" s="11" t="n">
        <v>38.21731265</v>
      </c>
      <c r="G45" s="11" t="n">
        <v>50.92688882</v>
      </c>
      <c r="H45" s="11" t="n">
        <v>63.12572461</v>
      </c>
      <c r="I45" s="11" t="n">
        <v>71.27403150000001</v>
      </c>
      <c r="J45" s="11" t="n">
        <v>77.51228315</v>
      </c>
      <c r="K45" s="11" t="n">
        <v>83.82347133</v>
      </c>
    </row>
    <row r="46">
      <c r="A46" s="2" t="inlineStr">
        <is>
          <t>HCFC/HFC 5 kg</t>
        </is>
      </c>
      <c r="B46" s="11" t="n">
        <v>0.1961128782</v>
      </c>
      <c r="C46" s="11" t="n">
        <v>1.20747648</v>
      </c>
      <c r="D46" s="11" t="n">
        <v>2.487674503</v>
      </c>
      <c r="E46" s="11" t="n">
        <v>4.318898028</v>
      </c>
      <c r="F46" s="11" t="n">
        <v>6.193102385</v>
      </c>
      <c r="G46" s="11" t="n">
        <v>8.133118763000001</v>
      </c>
      <c r="H46" s="11" t="n">
        <v>10.18879976</v>
      </c>
      <c r="I46" s="11" t="n">
        <v>11.56434158</v>
      </c>
      <c r="J46" s="11" t="n">
        <v>12.63908969</v>
      </c>
      <c r="K46" s="11" t="n">
        <v>13.72256385</v>
      </c>
    </row>
    <row r="47">
      <c r="A47" s="2" t="inlineStr">
        <is>
          <t>Clase D 9 l</t>
        </is>
      </c>
      <c r="B47" s="11" t="n">
        <v>0.07354232933</v>
      </c>
      <c r="C47" s="11" t="n">
        <v>0.5071569382</v>
      </c>
      <c r="D47" s="11" t="n">
        <v>0.9578718226</v>
      </c>
      <c r="E47" s="11" t="n">
        <v>1.598148643</v>
      </c>
      <c r="F47" s="11" t="n">
        <v>2.212304137</v>
      </c>
      <c r="G47" s="11" t="n">
        <v>2.757579864</v>
      </c>
      <c r="H47" s="11" t="n">
        <v>3.541502193</v>
      </c>
      <c r="I47" s="11" t="n">
        <v>3.957203009</v>
      </c>
      <c r="J47" s="11" t="n">
        <v>4.332943183</v>
      </c>
      <c r="K47" s="11" t="n">
        <v>4.711273391</v>
      </c>
    </row>
    <row r="48">
      <c r="A48" s="2" t="inlineStr">
        <is>
          <t>ABC 25 kg s/ruedas</t>
        </is>
      </c>
      <c r="B48" s="11" t="n">
        <v>0.1899843508</v>
      </c>
      <c r="C48" s="11" t="n">
        <v>0.9264167434</v>
      </c>
      <c r="D48" s="11" t="n">
        <v>2.01369946</v>
      </c>
      <c r="E48" s="11" t="n">
        <v>3.627688313</v>
      </c>
      <c r="F48" s="11" t="n">
        <v>5.218872224</v>
      </c>
      <c r="G48" s="11" t="n">
        <v>6.935001181</v>
      </c>
      <c r="H48" s="11" t="n">
        <v>8.545206390000001</v>
      </c>
      <c r="I48" s="11" t="n">
        <v>9.595415237999999</v>
      </c>
      <c r="J48" s="11" t="n">
        <v>10.41281721</v>
      </c>
      <c r="K48" s="11" t="n">
        <v>11.24115267</v>
      </c>
    </row>
    <row r="49">
      <c r="A49" s="2" t="inlineStr">
        <is>
          <t>ABC 50 kg s/ruedas</t>
        </is>
      </c>
      <c r="B49" s="11" t="n">
        <v>0.4179655717</v>
      </c>
      <c r="C49" s="11" t="n">
        <v>2.038116836</v>
      </c>
      <c r="D49" s="11" t="n">
        <v>4.430138811</v>
      </c>
      <c r="E49" s="11" t="n">
        <v>7.980914289</v>
      </c>
      <c r="F49" s="11" t="n">
        <v>11.48151889</v>
      </c>
      <c r="G49" s="11" t="n">
        <v>15.2570026</v>
      </c>
      <c r="H49" s="11" t="n">
        <v>18.79945406</v>
      </c>
      <c r="I49" s="11" t="n">
        <v>21.10991352</v>
      </c>
      <c r="J49" s="11" t="n">
        <v>22.90819786</v>
      </c>
      <c r="K49" s="11" t="n">
        <v>24.73053588</v>
      </c>
    </row>
    <row r="50">
      <c r="A50" s="2" t="inlineStr">
        <is>
          <t>ABC 70 kg s/ruedas</t>
        </is>
      </c>
      <c r="B50" s="11" t="n">
        <v>0.09119248837</v>
      </c>
      <c r="C50" s="11" t="n">
        <v>0.4446800368</v>
      </c>
      <c r="D50" s="11" t="n">
        <v>0.9665757406</v>
      </c>
      <c r="E50" s="11" t="n">
        <v>1.74129039</v>
      </c>
      <c r="F50" s="11" t="n">
        <v>2.505058668</v>
      </c>
      <c r="G50" s="11" t="n">
        <v>3.328800567</v>
      </c>
      <c r="H50" s="11" t="n">
        <v>4.101699067</v>
      </c>
      <c r="I50" s="11" t="n">
        <v>4.605799314</v>
      </c>
      <c r="J50" s="11" t="n">
        <v>4.99815226</v>
      </c>
      <c r="K50" s="11" t="n">
        <v>5.395753283</v>
      </c>
    </row>
    <row r="51">
      <c r="A51" s="2" t="inlineStr">
        <is>
          <t>ABC 100 kg s/ruedas</t>
        </is>
      </c>
      <c r="B51" s="11" t="n">
        <v>0.06079499224</v>
      </c>
      <c r="C51" s="11" t="n">
        <v>0.2964533579</v>
      </c>
      <c r="D51" s="11" t="n">
        <v>0.6443838271</v>
      </c>
      <c r="E51" s="11" t="n">
        <v>1.16086026</v>
      </c>
      <c r="F51" s="11" t="n">
        <v>1.670039112</v>
      </c>
      <c r="G51" s="11" t="n">
        <v>2.219200378</v>
      </c>
      <c r="H51" s="11" t="n">
        <v>2.734466045</v>
      </c>
      <c r="I51" s="11" t="n">
        <v>3.070532876</v>
      </c>
      <c r="J51" s="11" t="n">
        <v>3.332101506</v>
      </c>
      <c r="K51" s="11" t="n">
        <v>3.597168856</v>
      </c>
    </row>
    <row r="53">
      <c r="A53" s="1" t="inlineStr">
        <is>
          <t>STOCK DE SUSTITUTOS  (siempre igual capacidad de extinción o mayor para sustituir)</t>
        </is>
      </c>
    </row>
    <row r="54">
      <c r="A54" s="2" t="inlineStr">
        <is>
          <t>ABC 5 kg (cubre ABC 1; 2,5 y 5 kg)</t>
        </is>
      </c>
      <c r="B54" s="3" t="n">
        <v>63</v>
      </c>
      <c r="C54" s="3" t="n">
        <v>282</v>
      </c>
      <c r="D54" s="3" t="n">
        <v>553</v>
      </c>
      <c r="E54" s="3" t="n">
        <v>1025</v>
      </c>
      <c r="F54" s="3" t="n">
        <v>1515</v>
      </c>
      <c r="G54" s="3" t="n">
        <v>2072</v>
      </c>
      <c r="H54" s="3" t="n">
        <v>2579</v>
      </c>
      <c r="I54" s="3" t="n">
        <v>2944</v>
      </c>
      <c r="J54" s="3" t="n">
        <v>3164</v>
      </c>
      <c r="K54" s="3" t="n">
        <v>3388</v>
      </c>
    </row>
    <row r="55">
      <c r="A55" s="2" t="inlineStr">
        <is>
          <t>ABC 10 kg</t>
        </is>
      </c>
      <c r="B55" s="3" t="n">
        <v>2</v>
      </c>
      <c r="C55" s="3" t="n">
        <v>5</v>
      </c>
      <c r="D55" s="3" t="n">
        <v>12</v>
      </c>
      <c r="E55" s="3" t="n">
        <v>22</v>
      </c>
      <c r="F55" s="3" t="n">
        <v>31</v>
      </c>
      <c r="G55" s="3" t="n">
        <v>42</v>
      </c>
      <c r="H55" s="3" t="n">
        <v>51</v>
      </c>
      <c r="I55" s="3" t="n">
        <v>56</v>
      </c>
      <c r="J55" s="3" t="n">
        <v>61</v>
      </c>
      <c r="K55" s="3" t="n">
        <v>65</v>
      </c>
    </row>
    <row r="56">
      <c r="A56" s="2" t="inlineStr">
        <is>
          <t>Agua 10 l</t>
        </is>
      </c>
      <c r="B56" s="3" t="n">
        <v>2</v>
      </c>
      <c r="C56" s="3" t="n">
        <v>7</v>
      </c>
      <c r="D56" s="3" t="n">
        <v>16</v>
      </c>
      <c r="E56" s="3" t="n">
        <v>30</v>
      </c>
      <c r="F56" s="3" t="n">
        <v>44</v>
      </c>
      <c r="G56" s="3" t="n">
        <v>58</v>
      </c>
      <c r="H56" s="3" t="n">
        <v>71</v>
      </c>
      <c r="I56" s="3" t="n">
        <v>79</v>
      </c>
      <c r="J56" s="3" t="n">
        <v>85</v>
      </c>
      <c r="K56" s="3" t="n">
        <v>92</v>
      </c>
    </row>
    <row r="57">
      <c r="A57" s="2" t="inlineStr">
        <is>
          <t>AFFF 10 l</t>
        </is>
      </c>
      <c r="B57" s="3" t="n">
        <v>1</v>
      </c>
      <c r="C57" s="3" t="n">
        <v>2</v>
      </c>
      <c r="D57" s="3" t="n">
        <v>4</v>
      </c>
      <c r="E57" s="3" t="n">
        <v>6</v>
      </c>
      <c r="F57" s="3" t="n">
        <v>9</v>
      </c>
      <c r="G57" s="3" t="n">
        <v>11</v>
      </c>
      <c r="H57" s="3" t="n">
        <v>13</v>
      </c>
      <c r="I57" s="3" t="n">
        <v>15</v>
      </c>
      <c r="J57" s="3" t="n">
        <v>16</v>
      </c>
      <c r="K57" s="3" t="n">
        <v>18</v>
      </c>
    </row>
    <row r="58">
      <c r="A58" s="2" t="inlineStr">
        <is>
          <t>AFFF 50 l s/ruedas</t>
        </is>
      </c>
      <c r="B58" s="3" t="n">
        <v>1</v>
      </c>
      <c r="C58" s="3" t="n">
        <v>1</v>
      </c>
      <c r="D58" s="3" t="n">
        <v>2</v>
      </c>
      <c r="E58" s="3" t="n">
        <v>4</v>
      </c>
      <c r="F58" s="3" t="n">
        <v>5</v>
      </c>
      <c r="G58" s="3" t="n">
        <v>6</v>
      </c>
      <c r="H58" s="3" t="n">
        <v>7</v>
      </c>
      <c r="I58" s="3" t="n">
        <v>8</v>
      </c>
      <c r="J58" s="3" t="n">
        <v>9</v>
      </c>
      <c r="K58" s="3" t="n">
        <v>10</v>
      </c>
    </row>
    <row r="59">
      <c r="A59" s="2" t="inlineStr">
        <is>
          <t>BC 5 kg</t>
        </is>
      </c>
      <c r="B59" s="3" t="n">
        <v>1</v>
      </c>
      <c r="C59" s="3" t="n">
        <v>1</v>
      </c>
      <c r="D59" s="3" t="n">
        <v>1</v>
      </c>
      <c r="E59" s="3" t="n">
        <v>2</v>
      </c>
      <c r="F59" s="3" t="n">
        <v>3</v>
      </c>
      <c r="G59" s="3" t="n">
        <v>4</v>
      </c>
      <c r="H59" s="3" t="n">
        <v>4</v>
      </c>
      <c r="I59" s="3" t="n">
        <v>5</v>
      </c>
      <c r="J59" s="3" t="n">
        <v>5</v>
      </c>
      <c r="K59" s="3" t="n">
        <v>6</v>
      </c>
    </row>
    <row r="60">
      <c r="A60" s="2" t="inlineStr">
        <is>
          <t>Sales K 6 l</t>
        </is>
      </c>
      <c r="B60" s="3" t="n">
        <v>1</v>
      </c>
      <c r="C60" s="3" t="n">
        <v>4</v>
      </c>
      <c r="D60" s="3" t="n">
        <v>9</v>
      </c>
      <c r="E60" s="3" t="n">
        <v>15</v>
      </c>
      <c r="F60" s="3" t="n">
        <v>22</v>
      </c>
      <c r="G60" s="3" t="n">
        <v>29</v>
      </c>
      <c r="H60" s="3" t="n">
        <v>35</v>
      </c>
      <c r="I60" s="3" t="n">
        <v>39</v>
      </c>
      <c r="J60" s="3" t="n">
        <v>42</v>
      </c>
      <c r="K60" s="3" t="n">
        <v>45</v>
      </c>
    </row>
    <row r="61">
      <c r="A61" s="2" t="inlineStr">
        <is>
          <t>CO₂ 5 kg (cubre CO₂ 2 y 5 kg)</t>
        </is>
      </c>
      <c r="B61" s="3" t="n">
        <v>7</v>
      </c>
      <c r="C61" s="3" t="n">
        <v>26</v>
      </c>
      <c r="D61" s="3" t="n">
        <v>58</v>
      </c>
      <c r="E61" s="3" t="n">
        <v>109</v>
      </c>
      <c r="F61" s="3" t="n">
        <v>156</v>
      </c>
      <c r="G61" s="3" t="n">
        <v>208</v>
      </c>
      <c r="H61" s="3" t="n">
        <v>255</v>
      </c>
      <c r="I61" s="3" t="n">
        <v>283</v>
      </c>
      <c r="J61" s="3" t="n">
        <v>306</v>
      </c>
      <c r="K61" s="3" t="n">
        <v>330</v>
      </c>
    </row>
    <row r="62">
      <c r="A62" s="2" t="inlineStr">
        <is>
          <t>HCFC/HFC 5 kg</t>
        </is>
      </c>
      <c r="B62" s="3" t="n">
        <v>1</v>
      </c>
      <c r="C62" s="3" t="n">
        <v>2</v>
      </c>
      <c r="D62" s="3" t="n">
        <v>3</v>
      </c>
      <c r="E62" s="3" t="n">
        <v>5</v>
      </c>
      <c r="F62" s="3" t="n">
        <v>7</v>
      </c>
      <c r="G62" s="3" t="n">
        <v>9</v>
      </c>
      <c r="H62" s="3" t="n">
        <v>11</v>
      </c>
      <c r="I62" s="3" t="n">
        <v>12</v>
      </c>
      <c r="J62" s="3" t="n">
        <v>13</v>
      </c>
      <c r="K62" s="3" t="n">
        <v>14</v>
      </c>
    </row>
    <row r="63">
      <c r="A63" s="2" t="inlineStr">
        <is>
          <t>Clase D 9 l</t>
        </is>
      </c>
      <c r="B63" s="3" t="n">
        <v>1</v>
      </c>
      <c r="C63" s="3" t="n">
        <v>1</v>
      </c>
      <c r="D63" s="3" t="n">
        <v>1</v>
      </c>
      <c r="E63" s="3" t="n">
        <v>2</v>
      </c>
      <c r="F63" s="3" t="n">
        <v>3</v>
      </c>
      <c r="G63" s="3" t="n">
        <v>3</v>
      </c>
      <c r="H63" s="3" t="n">
        <v>4</v>
      </c>
      <c r="I63" s="3" t="n">
        <v>4</v>
      </c>
      <c r="J63" s="3" t="n">
        <v>5</v>
      </c>
      <c r="K63" s="3" t="n">
        <v>5</v>
      </c>
    </row>
    <row r="64">
      <c r="A64" s="2" t="inlineStr">
        <is>
          <t>ABC 50 kg s/ruedas (cubre 25 y 50 kg)</t>
        </is>
      </c>
      <c r="B64" s="3" t="n">
        <v>1</v>
      </c>
      <c r="C64" s="3" t="n">
        <v>3</v>
      </c>
      <c r="D64" s="3" t="n">
        <v>7</v>
      </c>
      <c r="E64" s="3" t="n">
        <v>12</v>
      </c>
      <c r="F64" s="3" t="n">
        <v>17</v>
      </c>
      <c r="G64" s="3" t="n">
        <v>23</v>
      </c>
      <c r="H64" s="3" t="n">
        <v>28</v>
      </c>
      <c r="I64" s="3" t="n">
        <v>31</v>
      </c>
      <c r="J64" s="3" t="n">
        <v>34</v>
      </c>
      <c r="K64" s="3" t="n">
        <v>36</v>
      </c>
    </row>
    <row r="65">
      <c r="A65" s="2" t="inlineStr">
        <is>
          <t>ABC 100 kg s/ruedas (cubre 70 y 100 kg)</t>
        </is>
      </c>
      <c r="B65" s="3" t="n">
        <v>1</v>
      </c>
      <c r="C65" s="3" t="n">
        <v>1</v>
      </c>
      <c r="D65" s="3" t="n">
        <v>2</v>
      </c>
      <c r="E65" s="3" t="n">
        <v>3</v>
      </c>
      <c r="F65" s="3" t="n">
        <v>5</v>
      </c>
      <c r="G65" s="3" t="n">
        <v>6</v>
      </c>
      <c r="H65" s="3" t="n">
        <v>7</v>
      </c>
      <c r="I65" s="3" t="n">
        <v>8</v>
      </c>
      <c r="J65" s="3" t="n">
        <v>9</v>
      </c>
      <c r="K65" s="3" t="n">
        <v>9</v>
      </c>
    </row>
    <row r="66">
      <c r="A66" s="1" t="inlineStr">
        <is>
          <t>Total stock de sustitutos</t>
        </is>
      </c>
      <c r="B66" s="5" t="n">
        <v>82</v>
      </c>
      <c r="C66" s="5" t="n">
        <v>335</v>
      </c>
      <c r="D66" s="5" t="n">
        <v>668</v>
      </c>
      <c r="E66" s="5" t="n">
        <v>1235</v>
      </c>
      <c r="F66" s="5" t="n">
        <v>1817</v>
      </c>
      <c r="G66" s="5" t="n">
        <v>2471</v>
      </c>
      <c r="H66" s="5" t="n">
        <v>3065</v>
      </c>
      <c r="I66" s="5" t="n">
        <v>3484</v>
      </c>
      <c r="J66" s="5" t="n">
        <v>3749</v>
      </c>
      <c r="K66" s="5" t="n">
        <v>4018</v>
      </c>
    </row>
    <row r="68">
      <c r="A68" s="1" t="inlineStr">
        <is>
          <t>ALTA ANUAL DE SUSTITUTOS</t>
        </is>
      </c>
    </row>
    <row r="69">
      <c r="A69" s="2" t="inlineStr">
        <is>
          <t>ABC 5 kg (cubre ABC 1; 2,5 y 5 kg)</t>
        </is>
      </c>
      <c r="B69" s="3" t="n">
        <v>63</v>
      </c>
      <c r="C69" s="3" t="n">
        <v>222.15</v>
      </c>
      <c r="D69" s="3" t="n">
        <v>285.1</v>
      </c>
      <c r="E69" s="3" t="n">
        <v>499.65</v>
      </c>
      <c r="F69" s="3" t="n">
        <v>541.25</v>
      </c>
      <c r="G69" s="3" t="n">
        <v>632.75</v>
      </c>
      <c r="H69" s="3" t="n">
        <v>610.6</v>
      </c>
      <c r="I69" s="3" t="n">
        <v>493.95</v>
      </c>
      <c r="J69" s="3" t="n">
        <v>367.2</v>
      </c>
      <c r="K69" s="3" t="n">
        <v>382.2</v>
      </c>
    </row>
    <row r="70">
      <c r="A70" s="2" t="inlineStr">
        <is>
          <t>ABC 10 kg</t>
        </is>
      </c>
      <c r="B70" s="3" t="n">
        <v>2</v>
      </c>
      <c r="C70" s="3" t="n">
        <v>3.1</v>
      </c>
      <c r="D70" s="3" t="n">
        <v>7.25</v>
      </c>
      <c r="E70" s="3" t="n">
        <v>10.6</v>
      </c>
      <c r="F70" s="3" t="n">
        <v>10.1</v>
      </c>
      <c r="G70" s="3" t="n">
        <v>12.55</v>
      </c>
      <c r="H70" s="3" t="n">
        <v>11.1</v>
      </c>
      <c r="I70" s="3" t="n">
        <v>7.55</v>
      </c>
      <c r="J70" s="3" t="n">
        <v>7.8</v>
      </c>
      <c r="K70" s="3" t="n">
        <v>7.05</v>
      </c>
    </row>
    <row r="71">
      <c r="A71" s="2" t="inlineStr">
        <is>
          <t>Agua 10 l</t>
        </is>
      </c>
      <c r="B71" s="3" t="n">
        <v>2</v>
      </c>
      <c r="C71" s="3" t="n">
        <v>5.1</v>
      </c>
      <c r="D71" s="3" t="n">
        <v>9.35</v>
      </c>
      <c r="E71" s="3" t="n">
        <v>14.8</v>
      </c>
      <c r="F71" s="3" t="n">
        <v>15.5</v>
      </c>
      <c r="G71" s="3" t="n">
        <v>16.2</v>
      </c>
      <c r="H71" s="3" t="n">
        <v>15.9</v>
      </c>
      <c r="I71" s="3" t="n">
        <v>11.55</v>
      </c>
      <c r="J71" s="3" t="n">
        <v>9.949999999999999</v>
      </c>
      <c r="K71" s="3" t="n">
        <v>11.25</v>
      </c>
    </row>
    <row r="72">
      <c r="A72" s="2" t="inlineStr">
        <is>
          <t>AFFF 10 l</t>
        </is>
      </c>
      <c r="B72" s="3" t="n">
        <v>1</v>
      </c>
      <c r="C72" s="3" t="n">
        <v>1.05</v>
      </c>
      <c r="D72" s="3" t="n">
        <v>2.1</v>
      </c>
      <c r="E72" s="3" t="n">
        <v>2.2</v>
      </c>
      <c r="F72" s="3" t="n">
        <v>3.3</v>
      </c>
      <c r="G72" s="3" t="n">
        <v>2.45</v>
      </c>
      <c r="H72" s="3" t="n">
        <v>2.55</v>
      </c>
      <c r="I72" s="3" t="n">
        <v>2.65</v>
      </c>
      <c r="J72" s="3" t="n">
        <v>1.75</v>
      </c>
      <c r="K72" s="3" t="n">
        <v>2.8</v>
      </c>
    </row>
    <row r="73">
      <c r="A73" s="2" t="inlineStr">
        <is>
          <t>AFFF 50 l s/ruedas</t>
        </is>
      </c>
      <c r="B73" s="3" t="n">
        <v>1</v>
      </c>
      <c r="C73" s="3" t="n">
        <v>0.05</v>
      </c>
      <c r="D73" s="3" t="n">
        <v>1.05</v>
      </c>
      <c r="E73" s="3" t="n">
        <v>2.1</v>
      </c>
      <c r="F73" s="3" t="n">
        <v>1.2</v>
      </c>
      <c r="G73" s="3" t="n">
        <v>1.25</v>
      </c>
      <c r="H73" s="3" t="n">
        <v>1.3</v>
      </c>
      <c r="I73" s="3" t="n">
        <v>1.35</v>
      </c>
      <c r="J73" s="3" t="n">
        <v>1.4</v>
      </c>
      <c r="K73" s="3" t="n">
        <v>1.45</v>
      </c>
    </row>
    <row r="74">
      <c r="A74" s="2" t="inlineStr">
        <is>
          <t>BC 5 kg</t>
        </is>
      </c>
      <c r="B74" s="3" t="n">
        <v>1</v>
      </c>
      <c r="C74" s="3" t="n">
        <v>0.05</v>
      </c>
      <c r="D74" s="3" t="n">
        <v>0.05</v>
      </c>
      <c r="E74" s="3" t="n">
        <v>1.05</v>
      </c>
      <c r="F74" s="3" t="n">
        <v>1.1</v>
      </c>
      <c r="G74" s="3" t="n">
        <v>1.15</v>
      </c>
      <c r="H74" s="3" t="n">
        <v>0.2</v>
      </c>
      <c r="I74" s="3" t="n">
        <v>1.2</v>
      </c>
      <c r="J74" s="3" t="n">
        <v>0.25</v>
      </c>
      <c r="K74" s="3" t="n">
        <v>1.25</v>
      </c>
    </row>
    <row r="75">
      <c r="A75" s="2" t="inlineStr">
        <is>
          <t>Sales K 6 l</t>
        </is>
      </c>
      <c r="B75" s="3" t="n">
        <v>1</v>
      </c>
      <c r="C75" s="3" t="n">
        <v>3.05</v>
      </c>
      <c r="D75" s="3" t="n">
        <v>5.2</v>
      </c>
      <c r="E75" s="3" t="n">
        <v>6.45</v>
      </c>
      <c r="F75" s="3" t="n">
        <v>7.75</v>
      </c>
      <c r="G75" s="3" t="n">
        <v>8.1</v>
      </c>
      <c r="H75" s="3" t="n">
        <v>7.45</v>
      </c>
      <c r="I75" s="3" t="n">
        <v>5.75</v>
      </c>
      <c r="J75" s="3" t="n">
        <v>4.95</v>
      </c>
      <c r="K75" s="3" t="n">
        <v>5.1</v>
      </c>
    </row>
    <row r="76">
      <c r="A76" s="2" t="inlineStr">
        <is>
          <t>CO₂ 5 kg (cubre CO₂ 2 y 5 kg)</t>
        </is>
      </c>
      <c r="B76" s="3" t="n">
        <v>7</v>
      </c>
      <c r="C76" s="3" t="n">
        <v>19.23333333</v>
      </c>
      <c r="D76" s="3" t="n">
        <v>32.86666667</v>
      </c>
      <c r="E76" s="3" t="n">
        <v>52.93333333</v>
      </c>
      <c r="F76" s="3" t="n">
        <v>50.63333333</v>
      </c>
      <c r="G76" s="3" t="n">
        <v>57.2</v>
      </c>
      <c r="H76" s="3" t="n">
        <v>53.93333333</v>
      </c>
      <c r="I76" s="3" t="n">
        <v>36.5</v>
      </c>
      <c r="J76" s="3" t="n">
        <v>32.43333333</v>
      </c>
      <c r="K76" s="3" t="n">
        <v>34.2</v>
      </c>
    </row>
    <row r="77">
      <c r="A77" s="2" t="inlineStr">
        <is>
          <t>HCFC/HFC 5 kg</t>
        </is>
      </c>
      <c r="B77" s="3" t="n">
        <v>1</v>
      </c>
      <c r="C77" s="3" t="n">
        <v>1.05</v>
      </c>
      <c r="D77" s="3" t="n">
        <v>1.1</v>
      </c>
      <c r="E77" s="3" t="n">
        <v>2.15</v>
      </c>
      <c r="F77" s="3" t="n">
        <v>2.25</v>
      </c>
      <c r="G77" s="3" t="n">
        <v>2.35</v>
      </c>
      <c r="H77" s="3" t="n">
        <v>2.45</v>
      </c>
      <c r="I77" s="3" t="n">
        <v>1.55</v>
      </c>
      <c r="J77" s="3" t="n">
        <v>1.6</v>
      </c>
      <c r="K77" s="3" t="n">
        <v>1.65</v>
      </c>
    </row>
    <row r="78">
      <c r="A78" s="2" t="inlineStr">
        <is>
          <t>Clase D 9 l</t>
        </is>
      </c>
      <c r="B78" s="3" t="n">
        <v>1</v>
      </c>
      <c r="C78" s="3" t="n">
        <v>0.05</v>
      </c>
      <c r="D78" s="3" t="n">
        <v>0.05</v>
      </c>
      <c r="E78" s="3" t="n">
        <v>1.05</v>
      </c>
      <c r="F78" s="3" t="n">
        <v>1.1</v>
      </c>
      <c r="G78" s="3" t="n">
        <v>0.15</v>
      </c>
      <c r="H78" s="3" t="n">
        <v>1.15</v>
      </c>
      <c r="I78" s="3" t="n">
        <v>0.2</v>
      </c>
      <c r="J78" s="3" t="n">
        <v>1.2</v>
      </c>
      <c r="K78" s="3" t="n">
        <v>0.25</v>
      </c>
    </row>
    <row r="79">
      <c r="A79" s="2" t="inlineStr">
        <is>
          <t>ABC 50 kg s/ruedas (cubre 25 y 50 kg)</t>
        </is>
      </c>
      <c r="B79" s="3" t="n">
        <v>1</v>
      </c>
      <c r="C79" s="3" t="n">
        <v>2.05</v>
      </c>
      <c r="D79" s="3" t="n">
        <v>4.15</v>
      </c>
      <c r="E79" s="3" t="n">
        <v>5.35</v>
      </c>
      <c r="F79" s="3" t="n">
        <v>5.6</v>
      </c>
      <c r="G79" s="3" t="n">
        <v>6.85</v>
      </c>
      <c r="H79" s="3" t="n">
        <v>6.15</v>
      </c>
      <c r="I79" s="3" t="n">
        <v>4.4</v>
      </c>
      <c r="J79" s="3" t="n">
        <v>4.55</v>
      </c>
      <c r="K79" s="3" t="n">
        <v>3.7</v>
      </c>
    </row>
    <row r="80">
      <c r="A80" s="2" t="inlineStr">
        <is>
          <t>ABC 100 kg s/ruedas (cubre 70 y 100 kg)</t>
        </is>
      </c>
      <c r="B80" s="3" t="n">
        <v>1</v>
      </c>
      <c r="C80" s="3" t="n">
        <v>0.05</v>
      </c>
      <c r="D80" s="3" t="n">
        <v>1.05</v>
      </c>
      <c r="E80" s="3" t="n">
        <v>1.1</v>
      </c>
      <c r="F80" s="3" t="n">
        <v>2.15</v>
      </c>
      <c r="G80" s="3" t="n">
        <v>1.25</v>
      </c>
      <c r="H80" s="3" t="n">
        <v>1.3</v>
      </c>
      <c r="I80" s="3" t="n">
        <v>1.35</v>
      </c>
      <c r="J80" s="3" t="n">
        <v>1.4</v>
      </c>
      <c r="K80" s="3" t="n">
        <v>0.45</v>
      </c>
    </row>
    <row r="81">
      <c r="A81" s="1" t="inlineStr">
        <is>
          <t>Total alta anual de sustitutos</t>
        </is>
      </c>
      <c r="B81" s="5" t="n">
        <v>82</v>
      </c>
      <c r="C81" s="5" t="n">
        <v>256.9833333</v>
      </c>
      <c r="D81" s="5" t="n">
        <v>349.3166667</v>
      </c>
      <c r="E81" s="5" t="n">
        <v>599.4333333</v>
      </c>
      <c r="F81" s="5" t="n">
        <v>641.9333333</v>
      </c>
      <c r="G81" s="5" t="n">
        <v>742.25</v>
      </c>
      <c r="H81" s="5" t="n">
        <v>714.0833333</v>
      </c>
      <c r="I81" s="5" t="n">
        <v>568</v>
      </c>
      <c r="J81" s="5" t="n">
        <v>434.4833333</v>
      </c>
      <c r="K81" s="5" t="n">
        <v>451.35</v>
      </c>
    </row>
    <row r="82">
      <c r="A82" s="2" t="inlineStr">
        <is>
          <t>Recargas de los sustitutos (= stock: se mantienen cada año, 9.4.5)</t>
        </is>
      </c>
      <c r="B82" s="3" t="n">
        <v>82</v>
      </c>
      <c r="C82" s="3" t="n">
        <v>335</v>
      </c>
      <c r="D82" s="3" t="n">
        <v>668</v>
      </c>
      <c r="E82" s="3" t="n">
        <v>1235</v>
      </c>
      <c r="F82" s="3" t="n">
        <v>1817</v>
      </c>
      <c r="G82" s="3" t="n">
        <v>2471</v>
      </c>
      <c r="H82" s="3" t="n">
        <v>3065</v>
      </c>
      <c r="I82" s="3" t="n">
        <v>3484</v>
      </c>
      <c r="J82" s="3" t="n">
        <v>3749</v>
      </c>
      <c r="K82" s="3" t="n">
        <v>4018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F00"/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2" t="inlineStr">
        <is>
          <t>Parámetros del MRP</t>
        </is>
      </c>
    </row>
    <row r="3">
      <c r="A3" s="2" t="inlineStr">
        <is>
          <t>Fracción de recargas con agente 100 % nuevo (equipo accionado)</t>
        </is>
      </c>
      <c r="B3" s="13" t="n">
        <v>1</v>
      </c>
      <c r="C3" s="14" t="inlineStr">
        <is>
          <t>IRAM 3517-2:2020 9.9.1.4: el polvo de un extintor accionado no se reutiliza. 100 % = cota superior. El resto de las recargas usa el caso B del BOM (recuperado + reposición de mermas). Ajustar con el dato real de la planta de recargas.</t>
        </is>
      </c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1" t="inlineStr">
        <is>
          <t>Año</t>
        </is>
      </c>
      <c r="B6" s="1">
        <f>'Indexado Dim Técnico'!B26</f>
        <v/>
      </c>
      <c r="C6" s="1">
        <f>'Indexado Dim Técnico'!C26</f>
        <v/>
      </c>
      <c r="D6" s="1">
        <f>'Indexado Dim Técnico'!D26</f>
        <v/>
      </c>
      <c r="E6" s="1">
        <f>'Indexado Dim Técnico'!E26</f>
        <v/>
      </c>
      <c r="F6" s="1">
        <f>'Indexado Dim Técnico'!F26</f>
        <v/>
      </c>
      <c r="G6" s="1">
        <f>'Indexado Dim Técnico'!G26</f>
        <v/>
      </c>
      <c r="H6" s="1">
        <f>'Indexado Dim Técnico'!H26</f>
        <v/>
      </c>
      <c r="I6" s="1">
        <f>'Indexado Dim Técnico'!I26</f>
        <v/>
      </c>
      <c r="J6" s="1">
        <f>'Indexado Dim Técnico'!J26</f>
        <v/>
      </c>
      <c r="K6" s="1">
        <f>'Indexado Dim Técnico'!K26</f>
        <v/>
      </c>
    </row>
    <row r="7">
      <c r="A7" s="2" t="inlineStr">
        <is>
          <t>% destino CABA — unidades nuevas (zonal de revendidos, filas 79-82)</t>
        </is>
      </c>
      <c r="B7" s="15">
        <f>'Indexado Dim Técnico'!L79+'Indexado Dim Técnico'!L80+'Indexado Dim Técnico'!L81+'Indexado Dim Técnico'!L82</f>
        <v/>
      </c>
      <c r="C7" s="15">
        <f>'Indexado Dim Técnico'!M79+'Indexado Dim Técnico'!M80+'Indexado Dim Técnico'!M81+'Indexado Dim Técnico'!M82</f>
        <v/>
      </c>
      <c r="D7" s="15">
        <f>'Indexado Dim Técnico'!N79+'Indexado Dim Técnico'!N80+'Indexado Dim Técnico'!N81+'Indexado Dim Técnico'!N82</f>
        <v/>
      </c>
      <c r="E7" s="15">
        <f>'Indexado Dim Técnico'!O79+'Indexado Dim Técnico'!O80+'Indexado Dim Técnico'!O81+'Indexado Dim Técnico'!O82</f>
        <v/>
      </c>
      <c r="F7" s="15">
        <f>'Indexado Dim Técnico'!P79+'Indexado Dim Técnico'!P80+'Indexado Dim Técnico'!P81+'Indexado Dim Técnico'!P82</f>
        <v/>
      </c>
      <c r="G7" s="15">
        <f>'Indexado Dim Técnico'!Q79+'Indexado Dim Técnico'!Q80+'Indexado Dim Técnico'!Q81+'Indexado Dim Técnico'!Q82</f>
        <v/>
      </c>
      <c r="H7" s="15">
        <f>'Indexado Dim Técnico'!R79+'Indexado Dim Técnico'!R80+'Indexado Dim Técnico'!R81+'Indexado Dim Técnico'!R82</f>
        <v/>
      </c>
      <c r="I7" s="15">
        <f>'Indexado Dim Técnico'!S79+'Indexado Dim Técnico'!S80+'Indexado Dim Técnico'!S81+'Indexado Dim Técnico'!S82</f>
        <v/>
      </c>
      <c r="J7" s="15">
        <f>'Indexado Dim Técnico'!T79+'Indexado Dim Técnico'!T80+'Indexado Dim Técnico'!T81+'Indexado Dim Técnico'!T82</f>
        <v/>
      </c>
      <c r="K7" s="15">
        <f>'Indexado Dim Técnico'!U79+'Indexado Dim Técnico'!U80+'Indexado Dim Técnico'!U81+'Indexado Dim Técnico'!U82</f>
        <v/>
      </c>
    </row>
    <row r="8">
      <c r="A8" s="2" t="inlineStr">
        <is>
          <t>% destino CABA — recargas (zonal de recargas, filas 61-64)</t>
        </is>
      </c>
      <c r="B8" s="15">
        <f>'Indexado Dim Técnico'!L61+'Indexado Dim Técnico'!L62+'Indexado Dim Técnico'!L63+'Indexado Dim Técnico'!L64</f>
        <v/>
      </c>
      <c r="C8" s="15">
        <f>'Indexado Dim Técnico'!M61+'Indexado Dim Técnico'!M62+'Indexado Dim Técnico'!M63+'Indexado Dim Técnico'!M64</f>
        <v/>
      </c>
      <c r="D8" s="15">
        <f>'Indexado Dim Técnico'!N61+'Indexado Dim Técnico'!N62+'Indexado Dim Técnico'!N63+'Indexado Dim Técnico'!N64</f>
        <v/>
      </c>
      <c r="E8" s="15">
        <f>'Indexado Dim Técnico'!O61+'Indexado Dim Técnico'!O62+'Indexado Dim Técnico'!O63+'Indexado Dim Técnico'!O64</f>
        <v/>
      </c>
      <c r="F8" s="15">
        <f>'Indexado Dim Técnico'!P61+'Indexado Dim Técnico'!P62+'Indexado Dim Técnico'!P63+'Indexado Dim Técnico'!P64</f>
        <v/>
      </c>
      <c r="G8" s="15">
        <f>'Indexado Dim Técnico'!Q61+'Indexado Dim Técnico'!Q62+'Indexado Dim Técnico'!Q63+'Indexado Dim Técnico'!Q64</f>
        <v/>
      </c>
      <c r="H8" s="15">
        <f>'Indexado Dim Técnico'!R61+'Indexado Dim Técnico'!R62+'Indexado Dim Técnico'!R63+'Indexado Dim Técnico'!R64</f>
        <v/>
      </c>
      <c r="I8" s="15">
        <f>'Indexado Dim Técnico'!S61+'Indexado Dim Técnico'!S62+'Indexado Dim Técnico'!S63+'Indexado Dim Técnico'!S64</f>
        <v/>
      </c>
      <c r="J8" s="15">
        <f>'Indexado Dim Técnico'!T61+'Indexado Dim Técnico'!T62+'Indexado Dim Técnico'!T63+'Indexado Dim Técnico'!T64</f>
        <v/>
      </c>
      <c r="K8" s="15">
        <f>'Indexado Dim Técnico'!U61+'Indexado Dim Técnico'!U62+'Indexado Dim Técnico'!U63+'Indexado Dim Técnico'!U64</f>
        <v/>
      </c>
    </row>
    <row r="9">
      <c r="A9" s="2" t="inlineStr">
        <is>
          <t>% recargas planta COMERCIAL (zonas de Indexado V60: CABA N/E/O, PBA Norte 1°-3°)</t>
        </is>
      </c>
      <c r="B9" s="15">
        <f>'Indexado Dim Técnico'!L61+'Indexado Dim Técnico'!L62+'Indexado Dim Técnico'!L64+'Indexado Dim Técnico'!L68+'Indexado Dim Técnico'!L69+'Indexado Dim Técnico'!L70</f>
        <v/>
      </c>
      <c r="C9" s="15">
        <f>'Indexado Dim Técnico'!M61+'Indexado Dim Técnico'!M62+'Indexado Dim Técnico'!M64+'Indexado Dim Técnico'!M68+'Indexado Dim Técnico'!M69+'Indexado Dim Técnico'!M70</f>
        <v/>
      </c>
      <c r="D9" s="15">
        <f>'Indexado Dim Técnico'!N61+'Indexado Dim Técnico'!N62+'Indexado Dim Técnico'!N64+'Indexado Dim Técnico'!N68+'Indexado Dim Técnico'!N69+'Indexado Dim Técnico'!N70</f>
        <v/>
      </c>
      <c r="E9" s="15">
        <f>'Indexado Dim Técnico'!O61+'Indexado Dim Técnico'!O62+'Indexado Dim Técnico'!O64+'Indexado Dim Técnico'!O68+'Indexado Dim Técnico'!O69+'Indexado Dim Técnico'!O70</f>
        <v/>
      </c>
      <c r="F9" s="15">
        <f>'Indexado Dim Técnico'!P61+'Indexado Dim Técnico'!P62+'Indexado Dim Técnico'!P64+'Indexado Dim Técnico'!P68+'Indexado Dim Técnico'!P69+'Indexado Dim Técnico'!P70</f>
        <v/>
      </c>
      <c r="G9" s="15">
        <f>'Indexado Dim Técnico'!Q61+'Indexado Dim Técnico'!Q62+'Indexado Dim Técnico'!Q64+'Indexado Dim Técnico'!Q68+'Indexado Dim Técnico'!Q69+'Indexado Dim Técnico'!Q70</f>
        <v/>
      </c>
      <c r="H9" s="15">
        <f>'Indexado Dim Técnico'!R61+'Indexado Dim Técnico'!R62+'Indexado Dim Técnico'!R64+'Indexado Dim Técnico'!R68+'Indexado Dim Técnico'!R69+'Indexado Dim Técnico'!R70</f>
        <v/>
      </c>
      <c r="I9" s="15">
        <f>'Indexado Dim Técnico'!S61+'Indexado Dim Técnico'!S62+'Indexado Dim Técnico'!S64+'Indexado Dim Técnico'!S68+'Indexado Dim Técnico'!S69+'Indexado Dim Técnico'!S70</f>
        <v/>
      </c>
      <c r="J9" s="15">
        <f>'Indexado Dim Técnico'!T61+'Indexado Dim Técnico'!T62+'Indexado Dim Técnico'!T64+'Indexado Dim Técnico'!T68+'Indexado Dim Técnico'!T69+'Indexado Dim Técnico'!T70</f>
        <v/>
      </c>
      <c r="K9" s="15">
        <f>'Indexado Dim Técnico'!U61+'Indexado Dim Técnico'!U62+'Indexado Dim Técnico'!U64+'Indexado Dim Técnico'!U68+'Indexado Dim Técnico'!U69+'Indexado Dim Técnico'!U70</f>
        <v/>
      </c>
    </row>
    <row r="10">
      <c r="A10" s="2" t="inlineStr">
        <is>
          <t>% recargas planta INDUSTRIAL (CABA Sur, PBA Sur 1°-3°, PBA Oeste 1°-3°, Interior)</t>
        </is>
      </c>
      <c r="B10" s="15">
        <f>1-B9</f>
        <v/>
      </c>
      <c r="C10" s="15">
        <f>1-C9</f>
        <v/>
      </c>
      <c r="D10" s="15">
        <f>1-D9</f>
        <v/>
      </c>
      <c r="E10" s="15">
        <f>1-E9</f>
        <v/>
      </c>
      <c r="F10" s="15">
        <f>1-F9</f>
        <v/>
      </c>
      <c r="G10" s="15">
        <f>1-G9</f>
        <v/>
      </c>
      <c r="H10" s="15">
        <f>1-H9</f>
        <v/>
      </c>
      <c r="I10" s="15">
        <f>1-I9</f>
        <v/>
      </c>
      <c r="J10" s="15">
        <f>1-J9</f>
        <v/>
      </c>
      <c r="K10" s="15">
        <f>1-K9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14" t="inlineStr">
        <is>
          <t>Destino: lo que exige una norma de PBA (oblea Res. 522/07, tarjeta DPS Res. 349/07) se aplica a la proporción PBA; lo de CABA (tarjeta AGC, Ord. 40.473) a la proporción CABA. Para unidades nuevas se usa la distribución zonal de revendidos (única de unidades nuevas en el Indexado).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L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0" customWidth="1" min="12" max="12"/>
  </cols>
  <sheetData>
    <row r="1">
      <c r="A1" s="12" t="inlineStr">
        <is>
          <t>Demanda por producto (unidades/año) — fórmulas sobre las dos primeras hojas</t>
        </is>
      </c>
    </row>
    <row r="3">
      <c r="A3" s="1" t="inlineStr">
        <is>
          <t>Producto</t>
        </is>
      </c>
      <c r="B3" s="1">
        <f>'Indexado Dim Técnico'!B26</f>
        <v/>
      </c>
      <c r="C3" s="1">
        <f>'Indexado Dim Técnico'!C26</f>
        <v/>
      </c>
      <c r="D3" s="1">
        <f>'Indexado Dim Técnico'!D26</f>
        <v/>
      </c>
      <c r="E3" s="1">
        <f>'Indexado Dim Técnico'!E26</f>
        <v/>
      </c>
      <c r="F3" s="1">
        <f>'Indexado Dim Técnico'!F26</f>
        <v/>
      </c>
      <c r="G3" s="1">
        <f>'Indexado Dim Técnico'!G26</f>
        <v/>
      </c>
      <c r="H3" s="1">
        <f>'Indexado Dim Técnico'!H26</f>
        <v/>
      </c>
      <c r="I3" s="1">
        <f>'Indexado Dim Técnico'!I26</f>
        <v/>
      </c>
      <c r="J3" s="1">
        <f>'Indexado Dim Técnico'!J26</f>
        <v/>
      </c>
      <c r="K3" s="1">
        <f>'Indexado Dim Técnico'!K26</f>
        <v/>
      </c>
      <c r="L3" s="1" t="inlineStr">
        <is>
          <t>Origen</t>
        </is>
      </c>
    </row>
    <row r="5">
      <c r="A5" s="1" t="inlineStr">
        <is>
          <t>MATAFUEGOS FABRICADOS (unidades nuevas + venta de reserva + alta de sustitutos)</t>
        </is>
      </c>
    </row>
    <row r="6">
      <c r="A6" t="inlineStr">
        <is>
          <t>FL_MAT_ABC_1kg</t>
        </is>
      </c>
      <c r="B6" s="16">
        <f>'Indexado Dim Técnico'!B3</f>
        <v/>
      </c>
      <c r="C6" s="16">
        <f>'Indexado Dim Técnico'!C3</f>
        <v/>
      </c>
      <c r="D6" s="16">
        <f>'Indexado Dim Técnico'!D3</f>
        <v/>
      </c>
      <c r="E6" s="16">
        <f>'Indexado Dim Técnico'!E3</f>
        <v/>
      </c>
      <c r="F6" s="16">
        <f>'Indexado Dim Técnico'!F3</f>
        <v/>
      </c>
      <c r="G6" s="16">
        <f>'Indexado Dim Técnico'!G3</f>
        <v/>
      </c>
      <c r="H6" s="16">
        <f>'Indexado Dim Técnico'!H3</f>
        <v/>
      </c>
      <c r="I6" s="16">
        <f>'Indexado Dim Técnico'!I3</f>
        <v/>
      </c>
      <c r="J6" s="16">
        <f>'Indexado Dim Técnico'!J3</f>
        <v/>
      </c>
      <c r="K6" s="16">
        <f>'Indexado Dim Técnico'!K3</f>
        <v/>
      </c>
      <c r="L6" s="14" t="inlineStr">
        <is>
          <t>Indexado fila 3</t>
        </is>
      </c>
    </row>
    <row r="7">
      <c r="A7" t="inlineStr">
        <is>
          <t>FL_MAT_ABC_2.5kg</t>
        </is>
      </c>
      <c r="B7" s="16">
        <f>'Indexado Dim Técnico'!B4</f>
        <v/>
      </c>
      <c r="C7" s="16">
        <f>'Indexado Dim Técnico'!C4</f>
        <v/>
      </c>
      <c r="D7" s="16">
        <f>'Indexado Dim Técnico'!D4</f>
        <v/>
      </c>
      <c r="E7" s="16">
        <f>'Indexado Dim Técnico'!E4</f>
        <v/>
      </c>
      <c r="F7" s="16">
        <f>'Indexado Dim Técnico'!F4</f>
        <v/>
      </c>
      <c r="G7" s="16">
        <f>'Indexado Dim Técnico'!G4</f>
        <v/>
      </c>
      <c r="H7" s="16">
        <f>'Indexado Dim Técnico'!H4</f>
        <v/>
      </c>
      <c r="I7" s="16">
        <f>'Indexado Dim Técnico'!I4</f>
        <v/>
      </c>
      <c r="J7" s="16">
        <f>'Indexado Dim Técnico'!J4</f>
        <v/>
      </c>
      <c r="K7" s="16">
        <f>'Indexado Dim Técnico'!K4</f>
        <v/>
      </c>
      <c r="L7" s="14" t="inlineStr">
        <is>
          <t>Indexado fila 4</t>
        </is>
      </c>
    </row>
    <row r="8">
      <c r="A8" t="inlineStr">
        <is>
          <t>FL_MAT_ABC_5kg</t>
        </is>
      </c>
      <c r="B8" s="16">
        <f>'Indexado Dim Técnico'!B5+'Reservas y Sustitutos'!B30+'Reservas y Sustitutos'!B69</f>
        <v/>
      </c>
      <c r="C8" s="16">
        <f>'Indexado Dim Técnico'!C5+'Reservas y Sustitutos'!C30+'Reservas y Sustitutos'!C69</f>
        <v/>
      </c>
      <c r="D8" s="16">
        <f>'Indexado Dim Técnico'!D5+'Reservas y Sustitutos'!D30+'Reservas y Sustitutos'!D69</f>
        <v/>
      </c>
      <c r="E8" s="16">
        <f>'Indexado Dim Técnico'!E5+'Reservas y Sustitutos'!E30+'Reservas y Sustitutos'!E69</f>
        <v/>
      </c>
      <c r="F8" s="16">
        <f>'Indexado Dim Técnico'!F5+'Reservas y Sustitutos'!F30+'Reservas y Sustitutos'!F69</f>
        <v/>
      </c>
      <c r="G8" s="16">
        <f>'Indexado Dim Técnico'!G5+'Reservas y Sustitutos'!G30+'Reservas y Sustitutos'!G69</f>
        <v/>
      </c>
      <c r="H8" s="16">
        <f>'Indexado Dim Técnico'!H5+'Reservas y Sustitutos'!H30+'Reservas y Sustitutos'!H69</f>
        <v/>
      </c>
      <c r="I8" s="16">
        <f>'Indexado Dim Técnico'!I5+'Reservas y Sustitutos'!I30+'Reservas y Sustitutos'!I69</f>
        <v/>
      </c>
      <c r="J8" s="16">
        <f>'Indexado Dim Técnico'!J5+'Reservas y Sustitutos'!J30+'Reservas y Sustitutos'!J69</f>
        <v/>
      </c>
      <c r="K8" s="16">
        <f>'Indexado Dim Técnico'!K5+'Reservas y Sustitutos'!K30+'Reservas y Sustitutos'!K69</f>
        <v/>
      </c>
      <c r="L8" s="14" t="inlineStr">
        <is>
          <t>Indexado fila 5 + Reservas fila 30 + Reservas fila 69</t>
        </is>
      </c>
    </row>
    <row r="9">
      <c r="A9" t="inlineStr">
        <is>
          <t>FL_MAT_ABC_10kg</t>
        </is>
      </c>
      <c r="B9" s="16">
        <f>'Indexado Dim Técnico'!B6+'Reservas y Sustitutos'!B70</f>
        <v/>
      </c>
      <c r="C9" s="16">
        <f>'Indexado Dim Técnico'!C6+'Reservas y Sustitutos'!C70</f>
        <v/>
      </c>
      <c r="D9" s="16">
        <f>'Indexado Dim Técnico'!D6+'Reservas y Sustitutos'!D70</f>
        <v/>
      </c>
      <c r="E9" s="16">
        <f>'Indexado Dim Técnico'!E6+'Reservas y Sustitutos'!E70</f>
        <v/>
      </c>
      <c r="F9" s="16">
        <f>'Indexado Dim Técnico'!F6+'Reservas y Sustitutos'!F70</f>
        <v/>
      </c>
      <c r="G9" s="16">
        <f>'Indexado Dim Técnico'!G6+'Reservas y Sustitutos'!G70</f>
        <v/>
      </c>
      <c r="H9" s="16">
        <f>'Indexado Dim Técnico'!H6+'Reservas y Sustitutos'!H70</f>
        <v/>
      </c>
      <c r="I9" s="16">
        <f>'Indexado Dim Técnico'!I6+'Reservas y Sustitutos'!I70</f>
        <v/>
      </c>
      <c r="J9" s="16">
        <f>'Indexado Dim Técnico'!J6+'Reservas y Sustitutos'!J70</f>
        <v/>
      </c>
      <c r="K9" s="16">
        <f>'Indexado Dim Técnico'!K6+'Reservas y Sustitutos'!K70</f>
        <v/>
      </c>
      <c r="L9" s="14" t="inlineStr">
        <is>
          <t>Indexado fila 6 + Reservas fila 70</t>
        </is>
      </c>
    </row>
    <row r="10">
      <c r="A10" t="inlineStr">
        <is>
          <t>FL_MAT_ABC_25kg</t>
        </is>
      </c>
      <c r="B10" s="16">
        <f>'Indexado Dim Técnico'!B7</f>
        <v/>
      </c>
      <c r="C10" s="16">
        <f>'Indexado Dim Técnico'!C7</f>
        <v/>
      </c>
      <c r="D10" s="16">
        <f>'Indexado Dim Técnico'!D7</f>
        <v/>
      </c>
      <c r="E10" s="16">
        <f>'Indexado Dim Técnico'!E7</f>
        <v/>
      </c>
      <c r="F10" s="16">
        <f>'Indexado Dim Técnico'!F7</f>
        <v/>
      </c>
      <c r="G10" s="16">
        <f>'Indexado Dim Técnico'!G7</f>
        <v/>
      </c>
      <c r="H10" s="16">
        <f>'Indexado Dim Técnico'!H7</f>
        <v/>
      </c>
      <c r="I10" s="16">
        <f>'Indexado Dim Técnico'!I7</f>
        <v/>
      </c>
      <c r="J10" s="16">
        <f>'Indexado Dim Técnico'!J7</f>
        <v/>
      </c>
      <c r="K10" s="16">
        <f>'Indexado Dim Técnico'!K7</f>
        <v/>
      </c>
      <c r="L10" s="14" t="inlineStr">
        <is>
          <t>Indexado fila 7</t>
        </is>
      </c>
    </row>
    <row r="11">
      <c r="A11" t="inlineStr">
        <is>
          <t>FL_MAT_ABC_50kg</t>
        </is>
      </c>
      <c r="B11" s="16">
        <f>'Indexado Dim Técnico'!B8+'Reservas y Sustitutos'!B79</f>
        <v/>
      </c>
      <c r="C11" s="16">
        <f>'Indexado Dim Técnico'!C8+'Reservas y Sustitutos'!C79</f>
        <v/>
      </c>
      <c r="D11" s="16">
        <f>'Indexado Dim Técnico'!D8+'Reservas y Sustitutos'!D79</f>
        <v/>
      </c>
      <c r="E11" s="16">
        <f>'Indexado Dim Técnico'!E8+'Reservas y Sustitutos'!E79</f>
        <v/>
      </c>
      <c r="F11" s="16">
        <f>'Indexado Dim Técnico'!F8+'Reservas y Sustitutos'!F79</f>
        <v/>
      </c>
      <c r="G11" s="16">
        <f>'Indexado Dim Técnico'!G8+'Reservas y Sustitutos'!G79</f>
        <v/>
      </c>
      <c r="H11" s="16">
        <f>'Indexado Dim Técnico'!H8+'Reservas y Sustitutos'!H79</f>
        <v/>
      </c>
      <c r="I11" s="16">
        <f>'Indexado Dim Técnico'!I8+'Reservas y Sustitutos'!I79</f>
        <v/>
      </c>
      <c r="J11" s="16">
        <f>'Indexado Dim Técnico'!J8+'Reservas y Sustitutos'!J79</f>
        <v/>
      </c>
      <c r="K11" s="16">
        <f>'Indexado Dim Técnico'!K8+'Reservas y Sustitutos'!K79</f>
        <v/>
      </c>
      <c r="L11" s="14" t="inlineStr">
        <is>
          <t>Indexado fila 8 + Reservas fila 79</t>
        </is>
      </c>
    </row>
    <row r="12">
      <c r="A12" t="inlineStr">
        <is>
          <t>FL_MAT_ABC_70kg</t>
        </is>
      </c>
      <c r="B12" s="16">
        <f>'Indexado Dim Técnico'!B9</f>
        <v/>
      </c>
      <c r="C12" s="16">
        <f>'Indexado Dim Técnico'!C9</f>
        <v/>
      </c>
      <c r="D12" s="16">
        <f>'Indexado Dim Técnico'!D9</f>
        <v/>
      </c>
      <c r="E12" s="16">
        <f>'Indexado Dim Técnico'!E9</f>
        <v/>
      </c>
      <c r="F12" s="16">
        <f>'Indexado Dim Técnico'!F9</f>
        <v/>
      </c>
      <c r="G12" s="16">
        <f>'Indexado Dim Técnico'!G9</f>
        <v/>
      </c>
      <c r="H12" s="16">
        <f>'Indexado Dim Técnico'!H9</f>
        <v/>
      </c>
      <c r="I12" s="16">
        <f>'Indexado Dim Técnico'!I9</f>
        <v/>
      </c>
      <c r="J12" s="16">
        <f>'Indexado Dim Técnico'!J9</f>
        <v/>
      </c>
      <c r="K12" s="16">
        <f>'Indexado Dim Técnico'!K9</f>
        <v/>
      </c>
      <c r="L12" s="14" t="inlineStr">
        <is>
          <t>Indexado fila 9</t>
        </is>
      </c>
    </row>
    <row r="13">
      <c r="A13" t="inlineStr">
        <is>
          <t>FL_MAT_ABC_100kg</t>
        </is>
      </c>
      <c r="B13" s="16">
        <f>'Indexado Dim Técnico'!B10+'Reservas y Sustitutos'!B80</f>
        <v/>
      </c>
      <c r="C13" s="16">
        <f>'Indexado Dim Técnico'!C10+'Reservas y Sustitutos'!C80</f>
        <v/>
      </c>
      <c r="D13" s="16">
        <f>'Indexado Dim Técnico'!D10+'Reservas y Sustitutos'!D80</f>
        <v/>
      </c>
      <c r="E13" s="16">
        <f>'Indexado Dim Técnico'!E10+'Reservas y Sustitutos'!E80</f>
        <v/>
      </c>
      <c r="F13" s="16">
        <f>'Indexado Dim Técnico'!F10+'Reservas y Sustitutos'!F80</f>
        <v/>
      </c>
      <c r="G13" s="16">
        <f>'Indexado Dim Técnico'!G10+'Reservas y Sustitutos'!G80</f>
        <v/>
      </c>
      <c r="H13" s="16">
        <f>'Indexado Dim Técnico'!H10+'Reservas y Sustitutos'!H80</f>
        <v/>
      </c>
      <c r="I13" s="16">
        <f>'Indexado Dim Técnico'!I10+'Reservas y Sustitutos'!I80</f>
        <v/>
      </c>
      <c r="J13" s="16">
        <f>'Indexado Dim Técnico'!J10+'Reservas y Sustitutos'!J80</f>
        <v/>
      </c>
      <c r="K13" s="16">
        <f>'Indexado Dim Técnico'!K10+'Reservas y Sustitutos'!K80</f>
        <v/>
      </c>
      <c r="L13" s="14" t="inlineStr">
        <is>
          <t>Indexado fila 10 + Reservas fila 80</t>
        </is>
      </c>
    </row>
    <row r="15">
      <c r="A15" s="1" t="inlineStr">
        <is>
          <t>MATAFUEGOS REVENDIDOS (compra de unidades nuevas + alta de sustitutos)</t>
        </is>
      </c>
    </row>
    <row r="16">
      <c r="A16" t="inlineStr">
        <is>
          <t>FL_MAT_AGUA_10l</t>
        </is>
      </c>
      <c r="B16" s="16">
        <f>'Indexado Dim Técnico'!B48+'Reservas y Sustitutos'!B71</f>
        <v/>
      </c>
      <c r="C16" s="16">
        <f>'Indexado Dim Técnico'!C48+'Reservas y Sustitutos'!C71</f>
        <v/>
      </c>
      <c r="D16" s="16">
        <f>'Indexado Dim Técnico'!D48+'Reservas y Sustitutos'!D71</f>
        <v/>
      </c>
      <c r="E16" s="16">
        <f>'Indexado Dim Técnico'!E48+'Reservas y Sustitutos'!E71</f>
        <v/>
      </c>
      <c r="F16" s="16">
        <f>'Indexado Dim Técnico'!F48+'Reservas y Sustitutos'!F71</f>
        <v/>
      </c>
      <c r="G16" s="16">
        <f>'Indexado Dim Técnico'!G48+'Reservas y Sustitutos'!G71</f>
        <v/>
      </c>
      <c r="H16" s="16">
        <f>'Indexado Dim Técnico'!H48+'Reservas y Sustitutos'!H71</f>
        <v/>
      </c>
      <c r="I16" s="16">
        <f>'Indexado Dim Técnico'!I48+'Reservas y Sustitutos'!I71</f>
        <v/>
      </c>
      <c r="J16" s="16">
        <f>'Indexado Dim Técnico'!J48+'Reservas y Sustitutos'!J71</f>
        <v/>
      </c>
      <c r="K16" s="16">
        <f>'Indexado Dim Técnico'!K48+'Reservas y Sustitutos'!K71</f>
        <v/>
      </c>
      <c r="L16" s="14" t="inlineStr">
        <is>
          <t>Indexado fila 48 + Reservas fila 71</t>
        </is>
      </c>
    </row>
    <row r="17">
      <c r="A17" t="inlineStr">
        <is>
          <t>FL_MAT_AFFF_10l</t>
        </is>
      </c>
      <c r="B17" s="16">
        <f>'Indexado Dim Técnico'!B49+'Reservas y Sustitutos'!B72</f>
        <v/>
      </c>
      <c r="C17" s="16">
        <f>'Indexado Dim Técnico'!C49+'Reservas y Sustitutos'!C72</f>
        <v/>
      </c>
      <c r="D17" s="16">
        <f>'Indexado Dim Técnico'!D49+'Reservas y Sustitutos'!D72</f>
        <v/>
      </c>
      <c r="E17" s="16">
        <f>'Indexado Dim Técnico'!E49+'Reservas y Sustitutos'!E72</f>
        <v/>
      </c>
      <c r="F17" s="16">
        <f>'Indexado Dim Técnico'!F49+'Reservas y Sustitutos'!F72</f>
        <v/>
      </c>
      <c r="G17" s="16">
        <f>'Indexado Dim Técnico'!G49+'Reservas y Sustitutos'!G72</f>
        <v/>
      </c>
      <c r="H17" s="16">
        <f>'Indexado Dim Técnico'!H49+'Reservas y Sustitutos'!H72</f>
        <v/>
      </c>
      <c r="I17" s="16">
        <f>'Indexado Dim Técnico'!I49+'Reservas y Sustitutos'!I72</f>
        <v/>
      </c>
      <c r="J17" s="16">
        <f>'Indexado Dim Técnico'!J49+'Reservas y Sustitutos'!J72</f>
        <v/>
      </c>
      <c r="K17" s="16">
        <f>'Indexado Dim Técnico'!K49+'Reservas y Sustitutos'!K72</f>
        <v/>
      </c>
      <c r="L17" s="14" t="inlineStr">
        <is>
          <t>Indexado fila 49 + Reservas fila 72</t>
        </is>
      </c>
    </row>
    <row r="18">
      <c r="A18" t="inlineStr">
        <is>
          <t>FL_MAT_AFFF_50l</t>
        </is>
      </c>
      <c r="B18" s="16">
        <f>'Indexado Dim Técnico'!B50+'Reservas y Sustitutos'!B73</f>
        <v/>
      </c>
      <c r="C18" s="16">
        <f>'Indexado Dim Técnico'!C50+'Reservas y Sustitutos'!C73</f>
        <v/>
      </c>
      <c r="D18" s="16">
        <f>'Indexado Dim Técnico'!D50+'Reservas y Sustitutos'!D73</f>
        <v/>
      </c>
      <c r="E18" s="16">
        <f>'Indexado Dim Técnico'!E50+'Reservas y Sustitutos'!E73</f>
        <v/>
      </c>
      <c r="F18" s="16">
        <f>'Indexado Dim Técnico'!F50+'Reservas y Sustitutos'!F73</f>
        <v/>
      </c>
      <c r="G18" s="16">
        <f>'Indexado Dim Técnico'!G50+'Reservas y Sustitutos'!G73</f>
        <v/>
      </c>
      <c r="H18" s="16">
        <f>'Indexado Dim Técnico'!H50+'Reservas y Sustitutos'!H73</f>
        <v/>
      </c>
      <c r="I18" s="16">
        <f>'Indexado Dim Técnico'!I50+'Reservas y Sustitutos'!I73</f>
        <v/>
      </c>
      <c r="J18" s="16">
        <f>'Indexado Dim Técnico'!J50+'Reservas y Sustitutos'!J73</f>
        <v/>
      </c>
      <c r="K18" s="16">
        <f>'Indexado Dim Técnico'!K50+'Reservas y Sustitutos'!K73</f>
        <v/>
      </c>
      <c r="L18" s="14" t="inlineStr">
        <is>
          <t>Indexado fila 50 + Reservas fila 73</t>
        </is>
      </c>
    </row>
    <row r="19">
      <c r="A19" t="inlineStr">
        <is>
          <t>FL_MAT_BC_5kg</t>
        </is>
      </c>
      <c r="B19" s="16">
        <f>'Indexado Dim Técnico'!B51+'Reservas y Sustitutos'!B74</f>
        <v/>
      </c>
      <c r="C19" s="16">
        <f>'Indexado Dim Técnico'!C51+'Reservas y Sustitutos'!C74</f>
        <v/>
      </c>
      <c r="D19" s="16">
        <f>'Indexado Dim Técnico'!D51+'Reservas y Sustitutos'!D74</f>
        <v/>
      </c>
      <c r="E19" s="16">
        <f>'Indexado Dim Técnico'!E51+'Reservas y Sustitutos'!E74</f>
        <v/>
      </c>
      <c r="F19" s="16">
        <f>'Indexado Dim Técnico'!F51+'Reservas y Sustitutos'!F74</f>
        <v/>
      </c>
      <c r="G19" s="16">
        <f>'Indexado Dim Técnico'!G51+'Reservas y Sustitutos'!G74</f>
        <v/>
      </c>
      <c r="H19" s="16">
        <f>'Indexado Dim Técnico'!H51+'Reservas y Sustitutos'!H74</f>
        <v/>
      </c>
      <c r="I19" s="16">
        <f>'Indexado Dim Técnico'!I51+'Reservas y Sustitutos'!I74</f>
        <v/>
      </c>
      <c r="J19" s="16">
        <f>'Indexado Dim Técnico'!J51+'Reservas y Sustitutos'!J74</f>
        <v/>
      </c>
      <c r="K19" s="16">
        <f>'Indexado Dim Técnico'!K51+'Reservas y Sustitutos'!K74</f>
        <v/>
      </c>
      <c r="L19" s="14" t="inlineStr">
        <is>
          <t>Indexado fila 51 + Reservas fila 74</t>
        </is>
      </c>
    </row>
    <row r="20">
      <c r="A20" t="inlineStr">
        <is>
          <t>FL_MAT_SALESK_6l</t>
        </is>
      </c>
      <c r="B20" s="16">
        <f>'Indexado Dim Técnico'!B52+'Reservas y Sustitutos'!B75</f>
        <v/>
      </c>
      <c r="C20" s="16">
        <f>'Indexado Dim Técnico'!C52+'Reservas y Sustitutos'!C75</f>
        <v/>
      </c>
      <c r="D20" s="16">
        <f>'Indexado Dim Técnico'!D52+'Reservas y Sustitutos'!D75</f>
        <v/>
      </c>
      <c r="E20" s="16">
        <f>'Indexado Dim Técnico'!E52+'Reservas y Sustitutos'!E75</f>
        <v/>
      </c>
      <c r="F20" s="16">
        <f>'Indexado Dim Técnico'!F52+'Reservas y Sustitutos'!F75</f>
        <v/>
      </c>
      <c r="G20" s="16">
        <f>'Indexado Dim Técnico'!G52+'Reservas y Sustitutos'!G75</f>
        <v/>
      </c>
      <c r="H20" s="16">
        <f>'Indexado Dim Técnico'!H52+'Reservas y Sustitutos'!H75</f>
        <v/>
      </c>
      <c r="I20" s="16">
        <f>'Indexado Dim Técnico'!I52+'Reservas y Sustitutos'!I75</f>
        <v/>
      </c>
      <c r="J20" s="16">
        <f>'Indexado Dim Técnico'!J52+'Reservas y Sustitutos'!J75</f>
        <v/>
      </c>
      <c r="K20" s="16">
        <f>'Indexado Dim Técnico'!K52+'Reservas y Sustitutos'!K75</f>
        <v/>
      </c>
      <c r="L20" s="14" t="inlineStr">
        <is>
          <t>Indexado fila 52 + Reservas fila 75</t>
        </is>
      </c>
    </row>
    <row r="21">
      <c r="A21" t="inlineStr">
        <is>
          <t>FL_MAT_CO2_2kg</t>
        </is>
      </c>
      <c r="B21" s="16">
        <f>'Indexado Dim Técnico'!B53</f>
        <v/>
      </c>
      <c r="C21" s="16">
        <f>'Indexado Dim Técnico'!C53</f>
        <v/>
      </c>
      <c r="D21" s="16">
        <f>'Indexado Dim Técnico'!D53</f>
        <v/>
      </c>
      <c r="E21" s="16">
        <f>'Indexado Dim Técnico'!E53</f>
        <v/>
      </c>
      <c r="F21" s="16">
        <f>'Indexado Dim Técnico'!F53</f>
        <v/>
      </c>
      <c r="G21" s="16">
        <f>'Indexado Dim Técnico'!G53</f>
        <v/>
      </c>
      <c r="H21" s="16">
        <f>'Indexado Dim Técnico'!H53</f>
        <v/>
      </c>
      <c r="I21" s="16">
        <f>'Indexado Dim Técnico'!I53</f>
        <v/>
      </c>
      <c r="J21" s="16">
        <f>'Indexado Dim Técnico'!J53</f>
        <v/>
      </c>
      <c r="K21" s="16">
        <f>'Indexado Dim Técnico'!K53</f>
        <v/>
      </c>
      <c r="L21" s="14" t="inlineStr">
        <is>
          <t>Indexado fila 53</t>
        </is>
      </c>
    </row>
    <row r="22">
      <c r="A22" t="inlineStr">
        <is>
          <t>FL_MAT_CO2_5kg</t>
        </is>
      </c>
      <c r="B22" s="16">
        <f>'Indexado Dim Técnico'!B54+'Reservas y Sustitutos'!B76</f>
        <v/>
      </c>
      <c r="C22" s="16">
        <f>'Indexado Dim Técnico'!C54+'Reservas y Sustitutos'!C76</f>
        <v/>
      </c>
      <c r="D22" s="16">
        <f>'Indexado Dim Técnico'!D54+'Reservas y Sustitutos'!D76</f>
        <v/>
      </c>
      <c r="E22" s="16">
        <f>'Indexado Dim Técnico'!E54+'Reservas y Sustitutos'!E76</f>
        <v/>
      </c>
      <c r="F22" s="16">
        <f>'Indexado Dim Técnico'!F54+'Reservas y Sustitutos'!F76</f>
        <v/>
      </c>
      <c r="G22" s="16">
        <f>'Indexado Dim Técnico'!G54+'Reservas y Sustitutos'!G76</f>
        <v/>
      </c>
      <c r="H22" s="16">
        <f>'Indexado Dim Técnico'!H54+'Reservas y Sustitutos'!H76</f>
        <v/>
      </c>
      <c r="I22" s="16">
        <f>'Indexado Dim Técnico'!I54+'Reservas y Sustitutos'!I76</f>
        <v/>
      </c>
      <c r="J22" s="16">
        <f>'Indexado Dim Técnico'!J54+'Reservas y Sustitutos'!J76</f>
        <v/>
      </c>
      <c r="K22" s="16">
        <f>'Indexado Dim Técnico'!K54+'Reservas y Sustitutos'!K76</f>
        <v/>
      </c>
      <c r="L22" s="14" t="inlineStr">
        <is>
          <t>Indexado fila 54 + Reservas fila 76</t>
        </is>
      </c>
    </row>
    <row r="23">
      <c r="A23" t="inlineStr">
        <is>
          <t>FL_MAT_HCFC-HFC_5kg</t>
        </is>
      </c>
      <c r="B23" s="16">
        <f>'Indexado Dim Técnico'!B55+'Reservas y Sustitutos'!B77</f>
        <v/>
      </c>
      <c r="C23" s="16">
        <f>'Indexado Dim Técnico'!C55+'Reservas y Sustitutos'!C77</f>
        <v/>
      </c>
      <c r="D23" s="16">
        <f>'Indexado Dim Técnico'!D55+'Reservas y Sustitutos'!D77</f>
        <v/>
      </c>
      <c r="E23" s="16">
        <f>'Indexado Dim Técnico'!E55+'Reservas y Sustitutos'!E77</f>
        <v/>
      </c>
      <c r="F23" s="16">
        <f>'Indexado Dim Técnico'!F55+'Reservas y Sustitutos'!F77</f>
        <v/>
      </c>
      <c r="G23" s="16">
        <f>'Indexado Dim Técnico'!G55+'Reservas y Sustitutos'!G77</f>
        <v/>
      </c>
      <c r="H23" s="16">
        <f>'Indexado Dim Técnico'!H55+'Reservas y Sustitutos'!H77</f>
        <v/>
      </c>
      <c r="I23" s="16">
        <f>'Indexado Dim Técnico'!I55+'Reservas y Sustitutos'!I77</f>
        <v/>
      </c>
      <c r="J23" s="16">
        <f>'Indexado Dim Técnico'!J55+'Reservas y Sustitutos'!J77</f>
        <v/>
      </c>
      <c r="K23" s="16">
        <f>'Indexado Dim Técnico'!K55+'Reservas y Sustitutos'!K77</f>
        <v/>
      </c>
      <c r="L23" s="14" t="inlineStr">
        <is>
          <t>Indexado fila 55 + Reservas fila 77</t>
        </is>
      </c>
    </row>
    <row r="24">
      <c r="A24" t="inlineStr">
        <is>
          <t>FL_MAT_CLASED_9l</t>
        </is>
      </c>
      <c r="B24" s="16">
        <f>'Indexado Dim Técnico'!B56+'Reservas y Sustitutos'!B78</f>
        <v/>
      </c>
      <c r="C24" s="16">
        <f>'Indexado Dim Técnico'!C56+'Reservas y Sustitutos'!C78</f>
        <v/>
      </c>
      <c r="D24" s="16">
        <f>'Indexado Dim Técnico'!D56+'Reservas y Sustitutos'!D78</f>
        <v/>
      </c>
      <c r="E24" s="16">
        <f>'Indexado Dim Técnico'!E56+'Reservas y Sustitutos'!E78</f>
        <v/>
      </c>
      <c r="F24" s="16">
        <f>'Indexado Dim Técnico'!F56+'Reservas y Sustitutos'!F78</f>
        <v/>
      </c>
      <c r="G24" s="16">
        <f>'Indexado Dim Técnico'!G56+'Reservas y Sustitutos'!G78</f>
        <v/>
      </c>
      <c r="H24" s="16">
        <f>'Indexado Dim Técnico'!H56+'Reservas y Sustitutos'!H78</f>
        <v/>
      </c>
      <c r="I24" s="16">
        <f>'Indexado Dim Técnico'!I56+'Reservas y Sustitutos'!I78</f>
        <v/>
      </c>
      <c r="J24" s="16">
        <f>'Indexado Dim Técnico'!J56+'Reservas y Sustitutos'!J78</f>
        <v/>
      </c>
      <c r="K24" s="16">
        <f>'Indexado Dim Técnico'!K56+'Reservas y Sustitutos'!K78</f>
        <v/>
      </c>
      <c r="L24" s="14" t="inlineStr">
        <is>
          <t>Indexado fila 56 + Reservas fila 78</t>
        </is>
      </c>
    </row>
    <row r="26">
      <c r="A26" s="1" t="inlineStr">
        <is>
          <t>CILINDROS SUELTOS (venta)</t>
        </is>
      </c>
    </row>
    <row r="27">
      <c r="A27" t="inlineStr">
        <is>
          <t>FL_REC_ABC_1kg</t>
        </is>
      </c>
      <c r="B27" s="16">
        <f>'Indexado Dim Técnico'!B15</f>
        <v/>
      </c>
      <c r="C27" s="16">
        <f>'Indexado Dim Técnico'!C15</f>
        <v/>
      </c>
      <c r="D27" s="16">
        <f>'Indexado Dim Técnico'!D15</f>
        <v/>
      </c>
      <c r="E27" s="16">
        <f>'Indexado Dim Técnico'!E15</f>
        <v/>
      </c>
      <c r="F27" s="16">
        <f>'Indexado Dim Técnico'!F15</f>
        <v/>
      </c>
      <c r="G27" s="16">
        <f>'Indexado Dim Técnico'!G15</f>
        <v/>
      </c>
      <c r="H27" s="16">
        <f>'Indexado Dim Técnico'!H15</f>
        <v/>
      </c>
      <c r="I27" s="16">
        <f>'Indexado Dim Técnico'!I15</f>
        <v/>
      </c>
      <c r="J27" s="16">
        <f>'Indexado Dim Técnico'!J15</f>
        <v/>
      </c>
      <c r="K27" s="16">
        <f>'Indexado Dim Técnico'!K15</f>
        <v/>
      </c>
      <c r="L27" s="14" t="inlineStr">
        <is>
          <t>Indexado fila 15</t>
        </is>
      </c>
    </row>
    <row r="28">
      <c r="A28" t="inlineStr">
        <is>
          <t>FL_REC_ABC_2.5kg</t>
        </is>
      </c>
      <c r="B28" s="16">
        <f>'Indexado Dim Técnico'!B16</f>
        <v/>
      </c>
      <c r="C28" s="16">
        <f>'Indexado Dim Técnico'!C16</f>
        <v/>
      </c>
      <c r="D28" s="16">
        <f>'Indexado Dim Técnico'!D16</f>
        <v/>
      </c>
      <c r="E28" s="16">
        <f>'Indexado Dim Técnico'!E16</f>
        <v/>
      </c>
      <c r="F28" s="16">
        <f>'Indexado Dim Técnico'!F16</f>
        <v/>
      </c>
      <c r="G28" s="16">
        <f>'Indexado Dim Técnico'!G16</f>
        <v/>
      </c>
      <c r="H28" s="16">
        <f>'Indexado Dim Técnico'!H16</f>
        <v/>
      </c>
      <c r="I28" s="16">
        <f>'Indexado Dim Técnico'!I16</f>
        <v/>
      </c>
      <c r="J28" s="16">
        <f>'Indexado Dim Técnico'!J16</f>
        <v/>
      </c>
      <c r="K28" s="16">
        <f>'Indexado Dim Técnico'!K16</f>
        <v/>
      </c>
      <c r="L28" s="14" t="inlineStr">
        <is>
          <t>Indexado fila 16</t>
        </is>
      </c>
    </row>
    <row r="29">
      <c r="A29" t="inlineStr">
        <is>
          <t>FL_REC_ABC_5kg</t>
        </is>
      </c>
      <c r="B29" s="16">
        <f>'Indexado Dim Técnico'!B17</f>
        <v/>
      </c>
      <c r="C29" s="16">
        <f>'Indexado Dim Técnico'!C17</f>
        <v/>
      </c>
      <c r="D29" s="16">
        <f>'Indexado Dim Técnico'!D17</f>
        <v/>
      </c>
      <c r="E29" s="16">
        <f>'Indexado Dim Técnico'!E17</f>
        <v/>
      </c>
      <c r="F29" s="16">
        <f>'Indexado Dim Técnico'!F17</f>
        <v/>
      </c>
      <c r="G29" s="16">
        <f>'Indexado Dim Técnico'!G17</f>
        <v/>
      </c>
      <c r="H29" s="16">
        <f>'Indexado Dim Técnico'!H17</f>
        <v/>
      </c>
      <c r="I29" s="16">
        <f>'Indexado Dim Técnico'!I17</f>
        <v/>
      </c>
      <c r="J29" s="16">
        <f>'Indexado Dim Técnico'!J17</f>
        <v/>
      </c>
      <c r="K29" s="16">
        <f>'Indexado Dim Técnico'!K17</f>
        <v/>
      </c>
      <c r="L29" s="14" t="inlineStr">
        <is>
          <t>Indexado fila 17</t>
        </is>
      </c>
    </row>
    <row r="30">
      <c r="A30" t="inlineStr">
        <is>
          <t>FL_REC_ABC_10kg</t>
        </is>
      </c>
      <c r="B30" s="16">
        <f>'Indexado Dim Técnico'!B18</f>
        <v/>
      </c>
      <c r="C30" s="16">
        <f>'Indexado Dim Técnico'!C18</f>
        <v/>
      </c>
      <c r="D30" s="16">
        <f>'Indexado Dim Técnico'!D18</f>
        <v/>
      </c>
      <c r="E30" s="16">
        <f>'Indexado Dim Técnico'!E18</f>
        <v/>
      </c>
      <c r="F30" s="16">
        <f>'Indexado Dim Técnico'!F18</f>
        <v/>
      </c>
      <c r="G30" s="16">
        <f>'Indexado Dim Técnico'!G18</f>
        <v/>
      </c>
      <c r="H30" s="16">
        <f>'Indexado Dim Técnico'!H18</f>
        <v/>
      </c>
      <c r="I30" s="16">
        <f>'Indexado Dim Técnico'!I18</f>
        <v/>
      </c>
      <c r="J30" s="16">
        <f>'Indexado Dim Técnico'!J18</f>
        <v/>
      </c>
      <c r="K30" s="16">
        <f>'Indexado Dim Técnico'!K18</f>
        <v/>
      </c>
      <c r="L30" s="14" t="inlineStr">
        <is>
          <t>Indexado fila 18</t>
        </is>
      </c>
    </row>
    <row r="31">
      <c r="A31" t="inlineStr">
        <is>
          <t>FL_REC_ABC_25kg</t>
        </is>
      </c>
      <c r="B31" s="16">
        <f>'Indexado Dim Técnico'!B19</f>
        <v/>
      </c>
      <c r="C31" s="16">
        <f>'Indexado Dim Técnico'!C19</f>
        <v/>
      </c>
      <c r="D31" s="16">
        <f>'Indexado Dim Técnico'!D19</f>
        <v/>
      </c>
      <c r="E31" s="16">
        <f>'Indexado Dim Técnico'!E19</f>
        <v/>
      </c>
      <c r="F31" s="16">
        <f>'Indexado Dim Técnico'!F19</f>
        <v/>
      </c>
      <c r="G31" s="16">
        <f>'Indexado Dim Técnico'!G19</f>
        <v/>
      </c>
      <c r="H31" s="16">
        <f>'Indexado Dim Técnico'!H19</f>
        <v/>
      </c>
      <c r="I31" s="16">
        <f>'Indexado Dim Técnico'!I19</f>
        <v/>
      </c>
      <c r="J31" s="16">
        <f>'Indexado Dim Técnico'!J19</f>
        <v/>
      </c>
      <c r="K31" s="16">
        <f>'Indexado Dim Técnico'!K19</f>
        <v/>
      </c>
      <c r="L31" s="14" t="inlineStr">
        <is>
          <t>Indexado fila 19</t>
        </is>
      </c>
    </row>
    <row r="32">
      <c r="A32" t="inlineStr">
        <is>
          <t>FL_REC_ABC_50kg</t>
        </is>
      </c>
      <c r="B32" s="16">
        <f>'Indexado Dim Técnico'!B20</f>
        <v/>
      </c>
      <c r="C32" s="16">
        <f>'Indexado Dim Técnico'!C20</f>
        <v/>
      </c>
      <c r="D32" s="16">
        <f>'Indexado Dim Técnico'!D20</f>
        <v/>
      </c>
      <c r="E32" s="16">
        <f>'Indexado Dim Técnico'!E20</f>
        <v/>
      </c>
      <c r="F32" s="16">
        <f>'Indexado Dim Técnico'!F20</f>
        <v/>
      </c>
      <c r="G32" s="16">
        <f>'Indexado Dim Técnico'!G20</f>
        <v/>
      </c>
      <c r="H32" s="16">
        <f>'Indexado Dim Técnico'!H20</f>
        <v/>
      </c>
      <c r="I32" s="16">
        <f>'Indexado Dim Técnico'!I20</f>
        <v/>
      </c>
      <c r="J32" s="16">
        <f>'Indexado Dim Técnico'!J20</f>
        <v/>
      </c>
      <c r="K32" s="16">
        <f>'Indexado Dim Técnico'!K20</f>
        <v/>
      </c>
      <c r="L32" s="14" t="inlineStr">
        <is>
          <t>Indexado fila 20</t>
        </is>
      </c>
    </row>
    <row r="33">
      <c r="A33" t="inlineStr">
        <is>
          <t>FL_REC_ABC_70kg</t>
        </is>
      </c>
      <c r="B33" s="16">
        <f>'Indexado Dim Técnico'!B21</f>
        <v/>
      </c>
      <c r="C33" s="16">
        <f>'Indexado Dim Técnico'!C21</f>
        <v/>
      </c>
      <c r="D33" s="16">
        <f>'Indexado Dim Técnico'!D21</f>
        <v/>
      </c>
      <c r="E33" s="16">
        <f>'Indexado Dim Técnico'!E21</f>
        <v/>
      </c>
      <c r="F33" s="16">
        <f>'Indexado Dim Técnico'!F21</f>
        <v/>
      </c>
      <c r="G33" s="16">
        <f>'Indexado Dim Técnico'!G21</f>
        <v/>
      </c>
      <c r="H33" s="16">
        <f>'Indexado Dim Técnico'!H21</f>
        <v/>
      </c>
      <c r="I33" s="16">
        <f>'Indexado Dim Técnico'!I21</f>
        <v/>
      </c>
      <c r="J33" s="16">
        <f>'Indexado Dim Técnico'!J21</f>
        <v/>
      </c>
      <c r="K33" s="16">
        <f>'Indexado Dim Técnico'!K21</f>
        <v/>
      </c>
      <c r="L33" s="14" t="inlineStr">
        <is>
          <t>Indexado fila 21</t>
        </is>
      </c>
    </row>
    <row r="34">
      <c r="A34" t="inlineStr">
        <is>
          <t>FL_REC_ABC_100kg</t>
        </is>
      </c>
      <c r="B34" s="16">
        <f>'Indexado Dim Técnico'!B22</f>
        <v/>
      </c>
      <c r="C34" s="16">
        <f>'Indexado Dim Técnico'!C22</f>
        <v/>
      </c>
      <c r="D34" s="16">
        <f>'Indexado Dim Técnico'!D22</f>
        <v/>
      </c>
      <c r="E34" s="16">
        <f>'Indexado Dim Técnico'!E22</f>
        <v/>
      </c>
      <c r="F34" s="16">
        <f>'Indexado Dim Técnico'!F22</f>
        <v/>
      </c>
      <c r="G34" s="16">
        <f>'Indexado Dim Técnico'!G22</f>
        <v/>
      </c>
      <c r="H34" s="16">
        <f>'Indexado Dim Técnico'!H22</f>
        <v/>
      </c>
      <c r="I34" s="16">
        <f>'Indexado Dim Técnico'!I22</f>
        <v/>
      </c>
      <c r="J34" s="16">
        <f>'Indexado Dim Técnico'!J22</f>
        <v/>
      </c>
      <c r="K34" s="16">
        <f>'Indexado Dim Técnico'!K22</f>
        <v/>
      </c>
      <c r="L34" s="14" t="inlineStr">
        <is>
          <t>Indexado fila 22</t>
        </is>
      </c>
    </row>
    <row r="36">
      <c r="A36" s="1" t="inlineStr">
        <is>
          <t>KITS DE SUSTITUTO (alta anual de sustitutos por pool)</t>
        </is>
      </c>
    </row>
    <row r="37">
      <c r="A37" t="inlineStr">
        <is>
          <t>FL_SUS_ABC_5kg</t>
        </is>
      </c>
      <c r="B37" s="16">
        <f>'Reservas y Sustitutos'!B69</f>
        <v/>
      </c>
      <c r="C37" s="16">
        <f>'Reservas y Sustitutos'!C69</f>
        <v/>
      </c>
      <c r="D37" s="16">
        <f>'Reservas y Sustitutos'!D69</f>
        <v/>
      </c>
      <c r="E37" s="16">
        <f>'Reservas y Sustitutos'!E69</f>
        <v/>
      </c>
      <c r="F37" s="16">
        <f>'Reservas y Sustitutos'!F69</f>
        <v/>
      </c>
      <c r="G37" s="16">
        <f>'Reservas y Sustitutos'!G69</f>
        <v/>
      </c>
      <c r="H37" s="16">
        <f>'Reservas y Sustitutos'!H69</f>
        <v/>
      </c>
      <c r="I37" s="16">
        <f>'Reservas y Sustitutos'!I69</f>
        <v/>
      </c>
      <c r="J37" s="16">
        <f>'Reservas y Sustitutos'!J69</f>
        <v/>
      </c>
      <c r="K37" s="16">
        <f>'Reservas y Sustitutos'!K69</f>
        <v/>
      </c>
      <c r="L37" s="14" t="inlineStr">
        <is>
          <t>Reservas fila 69</t>
        </is>
      </c>
    </row>
    <row r="38">
      <c r="A38" t="inlineStr">
        <is>
          <t>FL_SUS_ABC_10kg</t>
        </is>
      </c>
      <c r="B38" s="16">
        <f>'Reservas y Sustitutos'!B70</f>
        <v/>
      </c>
      <c r="C38" s="16">
        <f>'Reservas y Sustitutos'!C70</f>
        <v/>
      </c>
      <c r="D38" s="16">
        <f>'Reservas y Sustitutos'!D70</f>
        <v/>
      </c>
      <c r="E38" s="16">
        <f>'Reservas y Sustitutos'!E70</f>
        <v/>
      </c>
      <c r="F38" s="16">
        <f>'Reservas y Sustitutos'!F70</f>
        <v/>
      </c>
      <c r="G38" s="16">
        <f>'Reservas y Sustitutos'!G70</f>
        <v/>
      </c>
      <c r="H38" s="16">
        <f>'Reservas y Sustitutos'!H70</f>
        <v/>
      </c>
      <c r="I38" s="16">
        <f>'Reservas y Sustitutos'!I70</f>
        <v/>
      </c>
      <c r="J38" s="16">
        <f>'Reservas y Sustitutos'!J70</f>
        <v/>
      </c>
      <c r="K38" s="16">
        <f>'Reservas y Sustitutos'!K70</f>
        <v/>
      </c>
      <c r="L38" s="14" t="inlineStr">
        <is>
          <t>Reservas fila 70</t>
        </is>
      </c>
    </row>
    <row r="39">
      <c r="A39" t="inlineStr">
        <is>
          <t>FL_SUS_AGUA_10l</t>
        </is>
      </c>
      <c r="B39" s="16">
        <f>'Reservas y Sustitutos'!B71</f>
        <v/>
      </c>
      <c r="C39" s="16">
        <f>'Reservas y Sustitutos'!C71</f>
        <v/>
      </c>
      <c r="D39" s="16">
        <f>'Reservas y Sustitutos'!D71</f>
        <v/>
      </c>
      <c r="E39" s="16">
        <f>'Reservas y Sustitutos'!E71</f>
        <v/>
      </c>
      <c r="F39" s="16">
        <f>'Reservas y Sustitutos'!F71</f>
        <v/>
      </c>
      <c r="G39" s="16">
        <f>'Reservas y Sustitutos'!G71</f>
        <v/>
      </c>
      <c r="H39" s="16">
        <f>'Reservas y Sustitutos'!H71</f>
        <v/>
      </c>
      <c r="I39" s="16">
        <f>'Reservas y Sustitutos'!I71</f>
        <v/>
      </c>
      <c r="J39" s="16">
        <f>'Reservas y Sustitutos'!J71</f>
        <v/>
      </c>
      <c r="K39" s="16">
        <f>'Reservas y Sustitutos'!K71</f>
        <v/>
      </c>
      <c r="L39" s="14" t="inlineStr">
        <is>
          <t>Reservas fila 71</t>
        </is>
      </c>
    </row>
    <row r="40">
      <c r="A40" t="inlineStr">
        <is>
          <t>FL_SUS_AFFF_10l</t>
        </is>
      </c>
      <c r="B40" s="16">
        <f>'Reservas y Sustitutos'!B72</f>
        <v/>
      </c>
      <c r="C40" s="16">
        <f>'Reservas y Sustitutos'!C72</f>
        <v/>
      </c>
      <c r="D40" s="16">
        <f>'Reservas y Sustitutos'!D72</f>
        <v/>
      </c>
      <c r="E40" s="16">
        <f>'Reservas y Sustitutos'!E72</f>
        <v/>
      </c>
      <c r="F40" s="16">
        <f>'Reservas y Sustitutos'!F72</f>
        <v/>
      </c>
      <c r="G40" s="16">
        <f>'Reservas y Sustitutos'!G72</f>
        <v/>
      </c>
      <c r="H40" s="16">
        <f>'Reservas y Sustitutos'!H72</f>
        <v/>
      </c>
      <c r="I40" s="16">
        <f>'Reservas y Sustitutos'!I72</f>
        <v/>
      </c>
      <c r="J40" s="16">
        <f>'Reservas y Sustitutos'!J72</f>
        <v/>
      </c>
      <c r="K40" s="16">
        <f>'Reservas y Sustitutos'!K72</f>
        <v/>
      </c>
      <c r="L40" s="14" t="inlineStr">
        <is>
          <t>Reservas fila 72</t>
        </is>
      </c>
    </row>
    <row r="41">
      <c r="A41" t="inlineStr">
        <is>
          <t>FL_SUS_AFFF_50l</t>
        </is>
      </c>
      <c r="B41" s="16">
        <f>'Reservas y Sustitutos'!B73</f>
        <v/>
      </c>
      <c r="C41" s="16">
        <f>'Reservas y Sustitutos'!C73</f>
        <v/>
      </c>
      <c r="D41" s="16">
        <f>'Reservas y Sustitutos'!D73</f>
        <v/>
      </c>
      <c r="E41" s="16">
        <f>'Reservas y Sustitutos'!E73</f>
        <v/>
      </c>
      <c r="F41" s="16">
        <f>'Reservas y Sustitutos'!F73</f>
        <v/>
      </c>
      <c r="G41" s="16">
        <f>'Reservas y Sustitutos'!G73</f>
        <v/>
      </c>
      <c r="H41" s="16">
        <f>'Reservas y Sustitutos'!H73</f>
        <v/>
      </c>
      <c r="I41" s="16">
        <f>'Reservas y Sustitutos'!I73</f>
        <v/>
      </c>
      <c r="J41" s="16">
        <f>'Reservas y Sustitutos'!J73</f>
        <v/>
      </c>
      <c r="K41" s="16">
        <f>'Reservas y Sustitutos'!K73</f>
        <v/>
      </c>
      <c r="L41" s="14" t="inlineStr">
        <is>
          <t>Reservas fila 73</t>
        </is>
      </c>
    </row>
    <row r="42">
      <c r="A42" t="inlineStr">
        <is>
          <t>FL_SUS_BC_5kg</t>
        </is>
      </c>
      <c r="B42" s="16">
        <f>'Reservas y Sustitutos'!B74</f>
        <v/>
      </c>
      <c r="C42" s="16">
        <f>'Reservas y Sustitutos'!C74</f>
        <v/>
      </c>
      <c r="D42" s="16">
        <f>'Reservas y Sustitutos'!D74</f>
        <v/>
      </c>
      <c r="E42" s="16">
        <f>'Reservas y Sustitutos'!E74</f>
        <v/>
      </c>
      <c r="F42" s="16">
        <f>'Reservas y Sustitutos'!F74</f>
        <v/>
      </c>
      <c r="G42" s="16">
        <f>'Reservas y Sustitutos'!G74</f>
        <v/>
      </c>
      <c r="H42" s="16">
        <f>'Reservas y Sustitutos'!H74</f>
        <v/>
      </c>
      <c r="I42" s="16">
        <f>'Reservas y Sustitutos'!I74</f>
        <v/>
      </c>
      <c r="J42" s="16">
        <f>'Reservas y Sustitutos'!J74</f>
        <v/>
      </c>
      <c r="K42" s="16">
        <f>'Reservas y Sustitutos'!K74</f>
        <v/>
      </c>
      <c r="L42" s="14" t="inlineStr">
        <is>
          <t>Reservas fila 74</t>
        </is>
      </c>
    </row>
    <row r="43">
      <c r="A43" t="inlineStr">
        <is>
          <t>FL_SUS_SALESK_6l</t>
        </is>
      </c>
      <c r="B43" s="16">
        <f>'Reservas y Sustitutos'!B75</f>
        <v/>
      </c>
      <c r="C43" s="16">
        <f>'Reservas y Sustitutos'!C75</f>
        <v/>
      </c>
      <c r="D43" s="16">
        <f>'Reservas y Sustitutos'!D75</f>
        <v/>
      </c>
      <c r="E43" s="16">
        <f>'Reservas y Sustitutos'!E75</f>
        <v/>
      </c>
      <c r="F43" s="16">
        <f>'Reservas y Sustitutos'!F75</f>
        <v/>
      </c>
      <c r="G43" s="16">
        <f>'Reservas y Sustitutos'!G75</f>
        <v/>
      </c>
      <c r="H43" s="16">
        <f>'Reservas y Sustitutos'!H75</f>
        <v/>
      </c>
      <c r="I43" s="16">
        <f>'Reservas y Sustitutos'!I75</f>
        <v/>
      </c>
      <c r="J43" s="16">
        <f>'Reservas y Sustitutos'!J75</f>
        <v/>
      </c>
      <c r="K43" s="16">
        <f>'Reservas y Sustitutos'!K75</f>
        <v/>
      </c>
      <c r="L43" s="14" t="inlineStr">
        <is>
          <t>Reservas fila 75</t>
        </is>
      </c>
    </row>
    <row r="44">
      <c r="A44" t="inlineStr">
        <is>
          <t>FL_SUS_CO2_5kg</t>
        </is>
      </c>
      <c r="B44" s="16">
        <f>'Reservas y Sustitutos'!B76</f>
        <v/>
      </c>
      <c r="C44" s="16">
        <f>'Reservas y Sustitutos'!C76</f>
        <v/>
      </c>
      <c r="D44" s="16">
        <f>'Reservas y Sustitutos'!D76</f>
        <v/>
      </c>
      <c r="E44" s="16">
        <f>'Reservas y Sustitutos'!E76</f>
        <v/>
      </c>
      <c r="F44" s="16">
        <f>'Reservas y Sustitutos'!F76</f>
        <v/>
      </c>
      <c r="G44" s="16">
        <f>'Reservas y Sustitutos'!G76</f>
        <v/>
      </c>
      <c r="H44" s="16">
        <f>'Reservas y Sustitutos'!H76</f>
        <v/>
      </c>
      <c r="I44" s="16">
        <f>'Reservas y Sustitutos'!I76</f>
        <v/>
      </c>
      <c r="J44" s="16">
        <f>'Reservas y Sustitutos'!J76</f>
        <v/>
      </c>
      <c r="K44" s="16">
        <f>'Reservas y Sustitutos'!K76</f>
        <v/>
      </c>
      <c r="L44" s="14" t="inlineStr">
        <is>
          <t>Reservas fila 76</t>
        </is>
      </c>
    </row>
    <row r="45">
      <c r="A45" t="inlineStr">
        <is>
          <t>FL_SUS_HCFC-HFC_5kg</t>
        </is>
      </c>
      <c r="B45" s="16">
        <f>'Reservas y Sustitutos'!B77</f>
        <v/>
      </c>
      <c r="C45" s="16">
        <f>'Reservas y Sustitutos'!C77</f>
        <v/>
      </c>
      <c r="D45" s="16">
        <f>'Reservas y Sustitutos'!D77</f>
        <v/>
      </c>
      <c r="E45" s="16">
        <f>'Reservas y Sustitutos'!E77</f>
        <v/>
      </c>
      <c r="F45" s="16">
        <f>'Reservas y Sustitutos'!F77</f>
        <v/>
      </c>
      <c r="G45" s="16">
        <f>'Reservas y Sustitutos'!G77</f>
        <v/>
      </c>
      <c r="H45" s="16">
        <f>'Reservas y Sustitutos'!H77</f>
        <v/>
      </c>
      <c r="I45" s="16">
        <f>'Reservas y Sustitutos'!I77</f>
        <v/>
      </c>
      <c r="J45" s="16">
        <f>'Reservas y Sustitutos'!J77</f>
        <v/>
      </c>
      <c r="K45" s="16">
        <f>'Reservas y Sustitutos'!K77</f>
        <v/>
      </c>
      <c r="L45" s="14" t="inlineStr">
        <is>
          <t>Reservas fila 77</t>
        </is>
      </c>
    </row>
    <row r="46">
      <c r="A46" t="inlineStr">
        <is>
          <t>FL_SUS_CLASED_9l</t>
        </is>
      </c>
      <c r="B46" s="16">
        <f>'Reservas y Sustitutos'!B78</f>
        <v/>
      </c>
      <c r="C46" s="16">
        <f>'Reservas y Sustitutos'!C78</f>
        <v/>
      </c>
      <c r="D46" s="16">
        <f>'Reservas y Sustitutos'!D78</f>
        <v/>
      </c>
      <c r="E46" s="16">
        <f>'Reservas y Sustitutos'!E78</f>
        <v/>
      </c>
      <c r="F46" s="16">
        <f>'Reservas y Sustitutos'!F78</f>
        <v/>
      </c>
      <c r="G46" s="16">
        <f>'Reservas y Sustitutos'!G78</f>
        <v/>
      </c>
      <c r="H46" s="16">
        <f>'Reservas y Sustitutos'!H78</f>
        <v/>
      </c>
      <c r="I46" s="16">
        <f>'Reservas y Sustitutos'!I78</f>
        <v/>
      </c>
      <c r="J46" s="16">
        <f>'Reservas y Sustitutos'!J78</f>
        <v/>
      </c>
      <c r="K46" s="16">
        <f>'Reservas y Sustitutos'!K78</f>
        <v/>
      </c>
      <c r="L46" s="14" t="inlineStr">
        <is>
          <t>Reservas fila 78</t>
        </is>
      </c>
    </row>
    <row r="47">
      <c r="A47" t="inlineStr">
        <is>
          <t>FL_SUS_ABC_50kg</t>
        </is>
      </c>
      <c r="B47" s="16">
        <f>'Reservas y Sustitutos'!B79</f>
        <v/>
      </c>
      <c r="C47" s="16">
        <f>'Reservas y Sustitutos'!C79</f>
        <v/>
      </c>
      <c r="D47" s="16">
        <f>'Reservas y Sustitutos'!D79</f>
        <v/>
      </c>
      <c r="E47" s="16">
        <f>'Reservas y Sustitutos'!E79</f>
        <v/>
      </c>
      <c r="F47" s="16">
        <f>'Reservas y Sustitutos'!F79</f>
        <v/>
      </c>
      <c r="G47" s="16">
        <f>'Reservas y Sustitutos'!G79</f>
        <v/>
      </c>
      <c r="H47" s="16">
        <f>'Reservas y Sustitutos'!H79</f>
        <v/>
      </c>
      <c r="I47" s="16">
        <f>'Reservas y Sustitutos'!I79</f>
        <v/>
      </c>
      <c r="J47" s="16">
        <f>'Reservas y Sustitutos'!J79</f>
        <v/>
      </c>
      <c r="K47" s="16">
        <f>'Reservas y Sustitutos'!K79</f>
        <v/>
      </c>
      <c r="L47" s="14" t="inlineStr">
        <is>
          <t>Reservas fila 79</t>
        </is>
      </c>
    </row>
    <row r="48">
      <c r="A48" t="inlineStr">
        <is>
          <t>FL_SUS_ABC_100kg</t>
        </is>
      </c>
      <c r="B48" s="16">
        <f>'Reservas y Sustitutos'!B80</f>
        <v/>
      </c>
      <c r="C48" s="16">
        <f>'Reservas y Sustitutos'!C80</f>
        <v/>
      </c>
      <c r="D48" s="16">
        <f>'Reservas y Sustitutos'!D80</f>
        <v/>
      </c>
      <c r="E48" s="16">
        <f>'Reservas y Sustitutos'!E80</f>
        <v/>
      </c>
      <c r="F48" s="16">
        <f>'Reservas y Sustitutos'!F80</f>
        <v/>
      </c>
      <c r="G48" s="16">
        <f>'Reservas y Sustitutos'!G80</f>
        <v/>
      </c>
      <c r="H48" s="16">
        <f>'Reservas y Sustitutos'!H80</f>
        <v/>
      </c>
      <c r="I48" s="16">
        <f>'Reservas y Sustitutos'!I80</f>
        <v/>
      </c>
      <c r="J48" s="16">
        <f>'Reservas y Sustitutos'!J80</f>
        <v/>
      </c>
      <c r="K48" s="16">
        <f>'Reservas y Sustitutos'!K80</f>
        <v/>
      </c>
      <c r="L48" s="14" t="inlineStr">
        <is>
          <t>Reservas fila 80</t>
        </is>
      </c>
    </row>
    <row r="50">
      <c r="A50" s="1" t="inlineStr">
        <is>
          <t>RECARGAS (Indexado + mantenimiento anual del stock de sustitutos)</t>
        </is>
      </c>
    </row>
    <row r="51">
      <c r="A51" t="inlineStr">
        <is>
          <t>FL_MAT_ABC_1kg</t>
        </is>
      </c>
      <c r="B51" s="16">
        <f>'Indexado Dim Técnico'!B27</f>
        <v/>
      </c>
      <c r="C51" s="16">
        <f>'Indexado Dim Técnico'!C27</f>
        <v/>
      </c>
      <c r="D51" s="16">
        <f>'Indexado Dim Técnico'!D27</f>
        <v/>
      </c>
      <c r="E51" s="16">
        <f>'Indexado Dim Técnico'!E27</f>
        <v/>
      </c>
      <c r="F51" s="16">
        <f>'Indexado Dim Técnico'!F27</f>
        <v/>
      </c>
      <c r="G51" s="16">
        <f>'Indexado Dim Técnico'!G27</f>
        <v/>
      </c>
      <c r="H51" s="16">
        <f>'Indexado Dim Técnico'!H27</f>
        <v/>
      </c>
      <c r="I51" s="16">
        <f>'Indexado Dim Técnico'!I27</f>
        <v/>
      </c>
      <c r="J51" s="16">
        <f>'Indexado Dim Técnico'!J27</f>
        <v/>
      </c>
      <c r="K51" s="16">
        <f>'Indexado Dim Técnico'!K27</f>
        <v/>
      </c>
      <c r="L51" s="14" t="inlineStr">
        <is>
          <t>Indexado fila 27</t>
        </is>
      </c>
    </row>
    <row r="52">
      <c r="A52" t="inlineStr">
        <is>
          <t>FL_MAT_ABC_2.5kg</t>
        </is>
      </c>
      <c r="B52" s="16">
        <f>'Indexado Dim Técnico'!B28</f>
        <v/>
      </c>
      <c r="C52" s="16">
        <f>'Indexado Dim Técnico'!C28</f>
        <v/>
      </c>
      <c r="D52" s="16">
        <f>'Indexado Dim Técnico'!D28</f>
        <v/>
      </c>
      <c r="E52" s="16">
        <f>'Indexado Dim Técnico'!E28</f>
        <v/>
      </c>
      <c r="F52" s="16">
        <f>'Indexado Dim Técnico'!F28</f>
        <v/>
      </c>
      <c r="G52" s="16">
        <f>'Indexado Dim Técnico'!G28</f>
        <v/>
      </c>
      <c r="H52" s="16">
        <f>'Indexado Dim Técnico'!H28</f>
        <v/>
      </c>
      <c r="I52" s="16">
        <f>'Indexado Dim Técnico'!I28</f>
        <v/>
      </c>
      <c r="J52" s="16">
        <f>'Indexado Dim Técnico'!J28</f>
        <v/>
      </c>
      <c r="K52" s="16">
        <f>'Indexado Dim Técnico'!K28</f>
        <v/>
      </c>
      <c r="L52" s="14" t="inlineStr">
        <is>
          <t>Indexado fila 28</t>
        </is>
      </c>
    </row>
    <row r="53">
      <c r="A53" t="inlineStr">
        <is>
          <t>FL_MAT_ABC_5kg</t>
        </is>
      </c>
      <c r="B53" s="16">
        <f>'Indexado Dim Técnico'!B29+'Reservas y Sustitutos'!B54</f>
        <v/>
      </c>
      <c r="C53" s="16">
        <f>'Indexado Dim Técnico'!C29+'Reservas y Sustitutos'!C54</f>
        <v/>
      </c>
      <c r="D53" s="16">
        <f>'Indexado Dim Técnico'!D29+'Reservas y Sustitutos'!D54</f>
        <v/>
      </c>
      <c r="E53" s="16">
        <f>'Indexado Dim Técnico'!E29+'Reservas y Sustitutos'!E54</f>
        <v/>
      </c>
      <c r="F53" s="16">
        <f>'Indexado Dim Técnico'!F29+'Reservas y Sustitutos'!F54</f>
        <v/>
      </c>
      <c r="G53" s="16">
        <f>'Indexado Dim Técnico'!G29+'Reservas y Sustitutos'!G54</f>
        <v/>
      </c>
      <c r="H53" s="16">
        <f>'Indexado Dim Técnico'!H29+'Reservas y Sustitutos'!H54</f>
        <v/>
      </c>
      <c r="I53" s="16">
        <f>'Indexado Dim Técnico'!I29+'Reservas y Sustitutos'!I54</f>
        <v/>
      </c>
      <c r="J53" s="16">
        <f>'Indexado Dim Técnico'!J29+'Reservas y Sustitutos'!J54</f>
        <v/>
      </c>
      <c r="K53" s="16">
        <f>'Indexado Dim Técnico'!K29+'Reservas y Sustitutos'!K54</f>
        <v/>
      </c>
      <c r="L53" s="14" t="inlineStr">
        <is>
          <t>Indexado fila 29 + Reservas fila 54</t>
        </is>
      </c>
    </row>
    <row r="54">
      <c r="A54" t="inlineStr">
        <is>
          <t>FL_MAT_ABC_10kg</t>
        </is>
      </c>
      <c r="B54" s="16">
        <f>'Indexado Dim Técnico'!B30+'Reservas y Sustitutos'!B55</f>
        <v/>
      </c>
      <c r="C54" s="16">
        <f>'Indexado Dim Técnico'!C30+'Reservas y Sustitutos'!C55</f>
        <v/>
      </c>
      <c r="D54" s="16">
        <f>'Indexado Dim Técnico'!D30+'Reservas y Sustitutos'!D55</f>
        <v/>
      </c>
      <c r="E54" s="16">
        <f>'Indexado Dim Técnico'!E30+'Reservas y Sustitutos'!E55</f>
        <v/>
      </c>
      <c r="F54" s="16">
        <f>'Indexado Dim Técnico'!F30+'Reservas y Sustitutos'!F55</f>
        <v/>
      </c>
      <c r="G54" s="16">
        <f>'Indexado Dim Técnico'!G30+'Reservas y Sustitutos'!G55</f>
        <v/>
      </c>
      <c r="H54" s="16">
        <f>'Indexado Dim Técnico'!H30+'Reservas y Sustitutos'!H55</f>
        <v/>
      </c>
      <c r="I54" s="16">
        <f>'Indexado Dim Técnico'!I30+'Reservas y Sustitutos'!I55</f>
        <v/>
      </c>
      <c r="J54" s="16">
        <f>'Indexado Dim Técnico'!J30+'Reservas y Sustitutos'!J55</f>
        <v/>
      </c>
      <c r="K54" s="16">
        <f>'Indexado Dim Técnico'!K30+'Reservas y Sustitutos'!K55</f>
        <v/>
      </c>
      <c r="L54" s="14" t="inlineStr">
        <is>
          <t>Indexado fila 30 + Reservas fila 55</t>
        </is>
      </c>
    </row>
    <row r="55">
      <c r="A55" t="inlineStr">
        <is>
          <t>FL_MAT_AGUA_10l</t>
        </is>
      </c>
      <c r="B55" s="16">
        <f>'Indexado Dim Técnico'!B31+'Reservas y Sustitutos'!B56</f>
        <v/>
      </c>
      <c r="C55" s="16">
        <f>'Indexado Dim Técnico'!C31+'Reservas y Sustitutos'!C56</f>
        <v/>
      </c>
      <c r="D55" s="16">
        <f>'Indexado Dim Técnico'!D31+'Reservas y Sustitutos'!D56</f>
        <v/>
      </c>
      <c r="E55" s="16">
        <f>'Indexado Dim Técnico'!E31+'Reservas y Sustitutos'!E56</f>
        <v/>
      </c>
      <c r="F55" s="16">
        <f>'Indexado Dim Técnico'!F31+'Reservas y Sustitutos'!F56</f>
        <v/>
      </c>
      <c r="G55" s="16">
        <f>'Indexado Dim Técnico'!G31+'Reservas y Sustitutos'!G56</f>
        <v/>
      </c>
      <c r="H55" s="16">
        <f>'Indexado Dim Técnico'!H31+'Reservas y Sustitutos'!H56</f>
        <v/>
      </c>
      <c r="I55" s="16">
        <f>'Indexado Dim Técnico'!I31+'Reservas y Sustitutos'!I56</f>
        <v/>
      </c>
      <c r="J55" s="16">
        <f>'Indexado Dim Técnico'!J31+'Reservas y Sustitutos'!J56</f>
        <v/>
      </c>
      <c r="K55" s="16">
        <f>'Indexado Dim Técnico'!K31+'Reservas y Sustitutos'!K56</f>
        <v/>
      </c>
      <c r="L55" s="14" t="inlineStr">
        <is>
          <t>Indexado fila 31 + Reservas fila 56</t>
        </is>
      </c>
    </row>
    <row r="56">
      <c r="A56" t="inlineStr">
        <is>
          <t>FL_MAT_AFFF_10l</t>
        </is>
      </c>
      <c r="B56" s="16">
        <f>'Indexado Dim Técnico'!B32+'Reservas y Sustitutos'!B57</f>
        <v/>
      </c>
      <c r="C56" s="16">
        <f>'Indexado Dim Técnico'!C32+'Reservas y Sustitutos'!C57</f>
        <v/>
      </c>
      <c r="D56" s="16">
        <f>'Indexado Dim Técnico'!D32+'Reservas y Sustitutos'!D57</f>
        <v/>
      </c>
      <c r="E56" s="16">
        <f>'Indexado Dim Técnico'!E32+'Reservas y Sustitutos'!E57</f>
        <v/>
      </c>
      <c r="F56" s="16">
        <f>'Indexado Dim Técnico'!F32+'Reservas y Sustitutos'!F57</f>
        <v/>
      </c>
      <c r="G56" s="16">
        <f>'Indexado Dim Técnico'!G32+'Reservas y Sustitutos'!G57</f>
        <v/>
      </c>
      <c r="H56" s="16">
        <f>'Indexado Dim Técnico'!H32+'Reservas y Sustitutos'!H57</f>
        <v/>
      </c>
      <c r="I56" s="16">
        <f>'Indexado Dim Técnico'!I32+'Reservas y Sustitutos'!I57</f>
        <v/>
      </c>
      <c r="J56" s="16">
        <f>'Indexado Dim Técnico'!J32+'Reservas y Sustitutos'!J57</f>
        <v/>
      </c>
      <c r="K56" s="16">
        <f>'Indexado Dim Técnico'!K32+'Reservas y Sustitutos'!K57</f>
        <v/>
      </c>
      <c r="L56" s="14" t="inlineStr">
        <is>
          <t>Indexado fila 32 + Reservas fila 57</t>
        </is>
      </c>
    </row>
    <row r="57">
      <c r="A57" t="inlineStr">
        <is>
          <t>FL_MAT_AFFF_50l</t>
        </is>
      </c>
      <c r="B57" s="16">
        <f>'Indexado Dim Técnico'!B33+'Reservas y Sustitutos'!B58</f>
        <v/>
      </c>
      <c r="C57" s="16">
        <f>'Indexado Dim Técnico'!C33+'Reservas y Sustitutos'!C58</f>
        <v/>
      </c>
      <c r="D57" s="16">
        <f>'Indexado Dim Técnico'!D33+'Reservas y Sustitutos'!D58</f>
        <v/>
      </c>
      <c r="E57" s="16">
        <f>'Indexado Dim Técnico'!E33+'Reservas y Sustitutos'!E58</f>
        <v/>
      </c>
      <c r="F57" s="16">
        <f>'Indexado Dim Técnico'!F33+'Reservas y Sustitutos'!F58</f>
        <v/>
      </c>
      <c r="G57" s="16">
        <f>'Indexado Dim Técnico'!G33+'Reservas y Sustitutos'!G58</f>
        <v/>
      </c>
      <c r="H57" s="16">
        <f>'Indexado Dim Técnico'!H33+'Reservas y Sustitutos'!H58</f>
        <v/>
      </c>
      <c r="I57" s="16">
        <f>'Indexado Dim Técnico'!I33+'Reservas y Sustitutos'!I58</f>
        <v/>
      </c>
      <c r="J57" s="16">
        <f>'Indexado Dim Técnico'!J33+'Reservas y Sustitutos'!J58</f>
        <v/>
      </c>
      <c r="K57" s="16">
        <f>'Indexado Dim Técnico'!K33+'Reservas y Sustitutos'!K58</f>
        <v/>
      </c>
      <c r="L57" s="14" t="inlineStr">
        <is>
          <t>Indexado fila 33 + Reservas fila 58</t>
        </is>
      </c>
    </row>
    <row r="58">
      <c r="A58" t="inlineStr">
        <is>
          <t>FL_MAT_BC_5kg</t>
        </is>
      </c>
      <c r="B58" s="16">
        <f>'Indexado Dim Técnico'!B34+'Reservas y Sustitutos'!B59</f>
        <v/>
      </c>
      <c r="C58" s="16">
        <f>'Indexado Dim Técnico'!C34+'Reservas y Sustitutos'!C59</f>
        <v/>
      </c>
      <c r="D58" s="16">
        <f>'Indexado Dim Técnico'!D34+'Reservas y Sustitutos'!D59</f>
        <v/>
      </c>
      <c r="E58" s="16">
        <f>'Indexado Dim Técnico'!E34+'Reservas y Sustitutos'!E59</f>
        <v/>
      </c>
      <c r="F58" s="16">
        <f>'Indexado Dim Técnico'!F34+'Reservas y Sustitutos'!F59</f>
        <v/>
      </c>
      <c r="G58" s="16">
        <f>'Indexado Dim Técnico'!G34+'Reservas y Sustitutos'!G59</f>
        <v/>
      </c>
      <c r="H58" s="16">
        <f>'Indexado Dim Técnico'!H34+'Reservas y Sustitutos'!H59</f>
        <v/>
      </c>
      <c r="I58" s="16">
        <f>'Indexado Dim Técnico'!I34+'Reservas y Sustitutos'!I59</f>
        <v/>
      </c>
      <c r="J58" s="16">
        <f>'Indexado Dim Técnico'!J34+'Reservas y Sustitutos'!J59</f>
        <v/>
      </c>
      <c r="K58" s="16">
        <f>'Indexado Dim Técnico'!K34+'Reservas y Sustitutos'!K59</f>
        <v/>
      </c>
      <c r="L58" s="14" t="inlineStr">
        <is>
          <t>Indexado fila 34 + Reservas fila 59</t>
        </is>
      </c>
    </row>
    <row r="59">
      <c r="A59" t="inlineStr">
        <is>
          <t>FL_MAT_SALESK_6l</t>
        </is>
      </c>
      <c r="B59" s="16">
        <f>'Indexado Dim Técnico'!B35+'Reservas y Sustitutos'!B60</f>
        <v/>
      </c>
      <c r="C59" s="16">
        <f>'Indexado Dim Técnico'!C35+'Reservas y Sustitutos'!C60</f>
        <v/>
      </c>
      <c r="D59" s="16">
        <f>'Indexado Dim Técnico'!D35+'Reservas y Sustitutos'!D60</f>
        <v/>
      </c>
      <c r="E59" s="16">
        <f>'Indexado Dim Técnico'!E35+'Reservas y Sustitutos'!E60</f>
        <v/>
      </c>
      <c r="F59" s="16">
        <f>'Indexado Dim Técnico'!F35+'Reservas y Sustitutos'!F60</f>
        <v/>
      </c>
      <c r="G59" s="16">
        <f>'Indexado Dim Técnico'!G35+'Reservas y Sustitutos'!G60</f>
        <v/>
      </c>
      <c r="H59" s="16">
        <f>'Indexado Dim Técnico'!H35+'Reservas y Sustitutos'!H60</f>
        <v/>
      </c>
      <c r="I59" s="16">
        <f>'Indexado Dim Técnico'!I35+'Reservas y Sustitutos'!I60</f>
        <v/>
      </c>
      <c r="J59" s="16">
        <f>'Indexado Dim Técnico'!J35+'Reservas y Sustitutos'!J60</f>
        <v/>
      </c>
      <c r="K59" s="16">
        <f>'Indexado Dim Técnico'!K35+'Reservas y Sustitutos'!K60</f>
        <v/>
      </c>
      <c r="L59" s="14" t="inlineStr">
        <is>
          <t>Indexado fila 35 + Reservas fila 60</t>
        </is>
      </c>
    </row>
    <row r="60">
      <c r="A60" t="inlineStr">
        <is>
          <t>FL_MAT_CO2_2kg</t>
        </is>
      </c>
      <c r="B60" s="16">
        <f>'Indexado Dim Técnico'!B36</f>
        <v/>
      </c>
      <c r="C60" s="16">
        <f>'Indexado Dim Técnico'!C36</f>
        <v/>
      </c>
      <c r="D60" s="16">
        <f>'Indexado Dim Técnico'!D36</f>
        <v/>
      </c>
      <c r="E60" s="16">
        <f>'Indexado Dim Técnico'!E36</f>
        <v/>
      </c>
      <c r="F60" s="16">
        <f>'Indexado Dim Técnico'!F36</f>
        <v/>
      </c>
      <c r="G60" s="16">
        <f>'Indexado Dim Técnico'!G36</f>
        <v/>
      </c>
      <c r="H60" s="16">
        <f>'Indexado Dim Técnico'!H36</f>
        <v/>
      </c>
      <c r="I60" s="16">
        <f>'Indexado Dim Técnico'!I36</f>
        <v/>
      </c>
      <c r="J60" s="16">
        <f>'Indexado Dim Técnico'!J36</f>
        <v/>
      </c>
      <c r="K60" s="16">
        <f>'Indexado Dim Técnico'!K36</f>
        <v/>
      </c>
      <c r="L60" s="14" t="inlineStr">
        <is>
          <t>Indexado fila 36</t>
        </is>
      </c>
    </row>
    <row r="61">
      <c r="A61" t="inlineStr">
        <is>
          <t>FL_MAT_CO2_5kg</t>
        </is>
      </c>
      <c r="B61" s="16">
        <f>'Indexado Dim Técnico'!B37+'Reservas y Sustitutos'!B61</f>
        <v/>
      </c>
      <c r="C61" s="16">
        <f>'Indexado Dim Técnico'!C37+'Reservas y Sustitutos'!C61</f>
        <v/>
      </c>
      <c r="D61" s="16">
        <f>'Indexado Dim Técnico'!D37+'Reservas y Sustitutos'!D61</f>
        <v/>
      </c>
      <c r="E61" s="16">
        <f>'Indexado Dim Técnico'!E37+'Reservas y Sustitutos'!E61</f>
        <v/>
      </c>
      <c r="F61" s="16">
        <f>'Indexado Dim Técnico'!F37+'Reservas y Sustitutos'!F61</f>
        <v/>
      </c>
      <c r="G61" s="16">
        <f>'Indexado Dim Técnico'!G37+'Reservas y Sustitutos'!G61</f>
        <v/>
      </c>
      <c r="H61" s="16">
        <f>'Indexado Dim Técnico'!H37+'Reservas y Sustitutos'!H61</f>
        <v/>
      </c>
      <c r="I61" s="16">
        <f>'Indexado Dim Técnico'!I37+'Reservas y Sustitutos'!I61</f>
        <v/>
      </c>
      <c r="J61" s="16">
        <f>'Indexado Dim Técnico'!J37+'Reservas y Sustitutos'!J61</f>
        <v/>
      </c>
      <c r="K61" s="16">
        <f>'Indexado Dim Técnico'!K37+'Reservas y Sustitutos'!K61</f>
        <v/>
      </c>
      <c r="L61" s="14" t="inlineStr">
        <is>
          <t>Indexado fila 37 + Reservas fila 61</t>
        </is>
      </c>
    </row>
    <row r="62">
      <c r="A62" t="inlineStr">
        <is>
          <t>FL_MAT_HCFC-HFC_5kg</t>
        </is>
      </c>
      <c r="B62" s="16">
        <f>'Indexado Dim Técnico'!B38+'Reservas y Sustitutos'!B62</f>
        <v/>
      </c>
      <c r="C62" s="16">
        <f>'Indexado Dim Técnico'!C38+'Reservas y Sustitutos'!C62</f>
        <v/>
      </c>
      <c r="D62" s="16">
        <f>'Indexado Dim Técnico'!D38+'Reservas y Sustitutos'!D62</f>
        <v/>
      </c>
      <c r="E62" s="16">
        <f>'Indexado Dim Técnico'!E38+'Reservas y Sustitutos'!E62</f>
        <v/>
      </c>
      <c r="F62" s="16">
        <f>'Indexado Dim Técnico'!F38+'Reservas y Sustitutos'!F62</f>
        <v/>
      </c>
      <c r="G62" s="16">
        <f>'Indexado Dim Técnico'!G38+'Reservas y Sustitutos'!G62</f>
        <v/>
      </c>
      <c r="H62" s="16">
        <f>'Indexado Dim Técnico'!H38+'Reservas y Sustitutos'!H62</f>
        <v/>
      </c>
      <c r="I62" s="16">
        <f>'Indexado Dim Técnico'!I38+'Reservas y Sustitutos'!I62</f>
        <v/>
      </c>
      <c r="J62" s="16">
        <f>'Indexado Dim Técnico'!J38+'Reservas y Sustitutos'!J62</f>
        <v/>
      </c>
      <c r="K62" s="16">
        <f>'Indexado Dim Técnico'!K38+'Reservas y Sustitutos'!K62</f>
        <v/>
      </c>
      <c r="L62" s="14" t="inlineStr">
        <is>
          <t>Indexado fila 38 + Reservas fila 62</t>
        </is>
      </c>
    </row>
    <row r="63">
      <c r="A63" t="inlineStr">
        <is>
          <t>FL_MAT_CLASED_9l</t>
        </is>
      </c>
      <c r="B63" s="16">
        <f>'Indexado Dim Técnico'!B39+'Reservas y Sustitutos'!B63</f>
        <v/>
      </c>
      <c r="C63" s="16">
        <f>'Indexado Dim Técnico'!C39+'Reservas y Sustitutos'!C63</f>
        <v/>
      </c>
      <c r="D63" s="16">
        <f>'Indexado Dim Técnico'!D39+'Reservas y Sustitutos'!D63</f>
        <v/>
      </c>
      <c r="E63" s="16">
        <f>'Indexado Dim Técnico'!E39+'Reservas y Sustitutos'!E63</f>
        <v/>
      </c>
      <c r="F63" s="16">
        <f>'Indexado Dim Técnico'!F39+'Reservas y Sustitutos'!F63</f>
        <v/>
      </c>
      <c r="G63" s="16">
        <f>'Indexado Dim Técnico'!G39+'Reservas y Sustitutos'!G63</f>
        <v/>
      </c>
      <c r="H63" s="16">
        <f>'Indexado Dim Técnico'!H39+'Reservas y Sustitutos'!H63</f>
        <v/>
      </c>
      <c r="I63" s="16">
        <f>'Indexado Dim Técnico'!I39+'Reservas y Sustitutos'!I63</f>
        <v/>
      </c>
      <c r="J63" s="16">
        <f>'Indexado Dim Técnico'!J39+'Reservas y Sustitutos'!J63</f>
        <v/>
      </c>
      <c r="K63" s="16">
        <f>'Indexado Dim Técnico'!K39+'Reservas y Sustitutos'!K63</f>
        <v/>
      </c>
      <c r="L63" s="14" t="inlineStr">
        <is>
          <t>Indexado fila 39 + Reservas fila 63</t>
        </is>
      </c>
    </row>
    <row r="64">
      <c r="A64" t="inlineStr">
        <is>
          <t>FL_MAT_ABC_25kg</t>
        </is>
      </c>
      <c r="B64" s="16">
        <f>'Indexado Dim Técnico'!B40</f>
        <v/>
      </c>
      <c r="C64" s="16">
        <f>'Indexado Dim Técnico'!C40</f>
        <v/>
      </c>
      <c r="D64" s="16">
        <f>'Indexado Dim Técnico'!D40</f>
        <v/>
      </c>
      <c r="E64" s="16">
        <f>'Indexado Dim Técnico'!E40</f>
        <v/>
      </c>
      <c r="F64" s="16">
        <f>'Indexado Dim Técnico'!F40</f>
        <v/>
      </c>
      <c r="G64" s="16">
        <f>'Indexado Dim Técnico'!G40</f>
        <v/>
      </c>
      <c r="H64" s="16">
        <f>'Indexado Dim Técnico'!H40</f>
        <v/>
      </c>
      <c r="I64" s="16">
        <f>'Indexado Dim Técnico'!I40</f>
        <v/>
      </c>
      <c r="J64" s="16">
        <f>'Indexado Dim Técnico'!J40</f>
        <v/>
      </c>
      <c r="K64" s="16">
        <f>'Indexado Dim Técnico'!K40</f>
        <v/>
      </c>
      <c r="L64" s="14" t="inlineStr">
        <is>
          <t>Indexado fila 40</t>
        </is>
      </c>
    </row>
    <row r="65">
      <c r="A65" t="inlineStr">
        <is>
          <t>FL_MAT_ABC_50kg</t>
        </is>
      </c>
      <c r="B65" s="16">
        <f>'Indexado Dim Técnico'!B41+'Reservas y Sustitutos'!B64</f>
        <v/>
      </c>
      <c r="C65" s="16">
        <f>'Indexado Dim Técnico'!C41+'Reservas y Sustitutos'!C64</f>
        <v/>
      </c>
      <c r="D65" s="16">
        <f>'Indexado Dim Técnico'!D41+'Reservas y Sustitutos'!D64</f>
        <v/>
      </c>
      <c r="E65" s="16">
        <f>'Indexado Dim Técnico'!E41+'Reservas y Sustitutos'!E64</f>
        <v/>
      </c>
      <c r="F65" s="16">
        <f>'Indexado Dim Técnico'!F41+'Reservas y Sustitutos'!F64</f>
        <v/>
      </c>
      <c r="G65" s="16">
        <f>'Indexado Dim Técnico'!G41+'Reservas y Sustitutos'!G64</f>
        <v/>
      </c>
      <c r="H65" s="16">
        <f>'Indexado Dim Técnico'!H41+'Reservas y Sustitutos'!H64</f>
        <v/>
      </c>
      <c r="I65" s="16">
        <f>'Indexado Dim Técnico'!I41+'Reservas y Sustitutos'!I64</f>
        <v/>
      </c>
      <c r="J65" s="16">
        <f>'Indexado Dim Técnico'!J41+'Reservas y Sustitutos'!J64</f>
        <v/>
      </c>
      <c r="K65" s="16">
        <f>'Indexado Dim Técnico'!K41+'Reservas y Sustitutos'!K64</f>
        <v/>
      </c>
      <c r="L65" s="14" t="inlineStr">
        <is>
          <t>Indexado fila 41 + Reservas fila 64</t>
        </is>
      </c>
    </row>
    <row r="66">
      <c r="A66" t="inlineStr">
        <is>
          <t>FL_MAT_ABC_70kg</t>
        </is>
      </c>
      <c r="B66" s="16">
        <f>'Indexado Dim Técnico'!B42</f>
        <v/>
      </c>
      <c r="C66" s="16">
        <f>'Indexado Dim Técnico'!C42</f>
        <v/>
      </c>
      <c r="D66" s="16">
        <f>'Indexado Dim Técnico'!D42</f>
        <v/>
      </c>
      <c r="E66" s="16">
        <f>'Indexado Dim Técnico'!E42</f>
        <v/>
      </c>
      <c r="F66" s="16">
        <f>'Indexado Dim Técnico'!F42</f>
        <v/>
      </c>
      <c r="G66" s="16">
        <f>'Indexado Dim Técnico'!G42</f>
        <v/>
      </c>
      <c r="H66" s="16">
        <f>'Indexado Dim Técnico'!H42</f>
        <v/>
      </c>
      <c r="I66" s="16">
        <f>'Indexado Dim Técnico'!I42</f>
        <v/>
      </c>
      <c r="J66" s="16">
        <f>'Indexado Dim Técnico'!J42</f>
        <v/>
      </c>
      <c r="K66" s="16">
        <f>'Indexado Dim Técnico'!K42</f>
        <v/>
      </c>
      <c r="L66" s="14" t="inlineStr">
        <is>
          <t>Indexado fila 42</t>
        </is>
      </c>
    </row>
    <row r="67">
      <c r="A67" t="inlineStr">
        <is>
          <t>FL_MAT_ABC_100kg</t>
        </is>
      </c>
      <c r="B67" s="16">
        <f>'Indexado Dim Técnico'!B43+'Reservas y Sustitutos'!B65</f>
        <v/>
      </c>
      <c r="C67" s="16">
        <f>'Indexado Dim Técnico'!C43+'Reservas y Sustitutos'!C65</f>
        <v/>
      </c>
      <c r="D67" s="16">
        <f>'Indexado Dim Técnico'!D43+'Reservas y Sustitutos'!D65</f>
        <v/>
      </c>
      <c r="E67" s="16">
        <f>'Indexado Dim Técnico'!E43+'Reservas y Sustitutos'!E65</f>
        <v/>
      </c>
      <c r="F67" s="16">
        <f>'Indexado Dim Técnico'!F43+'Reservas y Sustitutos'!F65</f>
        <v/>
      </c>
      <c r="G67" s="16">
        <f>'Indexado Dim Técnico'!G43+'Reservas y Sustitutos'!G65</f>
        <v/>
      </c>
      <c r="H67" s="16">
        <f>'Indexado Dim Técnico'!H43+'Reservas y Sustitutos'!H65</f>
        <v/>
      </c>
      <c r="I67" s="16">
        <f>'Indexado Dim Técnico'!I43+'Reservas y Sustitutos'!I65</f>
        <v/>
      </c>
      <c r="J67" s="16">
        <f>'Indexado Dim Técnico'!J43+'Reservas y Sustitutos'!J65</f>
        <v/>
      </c>
      <c r="K67" s="16">
        <f>'Indexado Dim Técnico'!K43+'Reservas y Sustitutos'!K65</f>
        <v/>
      </c>
      <c r="L67" s="14" t="inlineStr">
        <is>
          <t>Indexado fila 43 + Reservas fila 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12"/>
  <sheetViews>
    <sheetView workbookViewId="0">
      <pane xSplit="5" ySplit="16" topLeftCell="F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22" customWidth="1" min="3" max="3"/>
    <col width="30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2" t="inlineStr">
        <is>
          <t>Requerimiento de MP — matafuegos fabricados (ABC 1 a 100 kg)</t>
        </is>
      </c>
    </row>
    <row r="2">
      <c r="A2" s="14" t="inlineStr">
        <is>
          <t>Demanda = unidades nuevas + venta de reserva ABC 5 kg + alta de sustitutos. Coeficientes del BOM (azul). Destino CABA/PBA según % zonal (Parametros fila 7).</t>
        </is>
      </c>
    </row>
    <row r="4" ht="90" customHeight="1">
      <c r="AJ4" s="1" t="inlineStr">
        <is>
          <t>Demanda (u) →</t>
        </is>
      </c>
      <c r="AK4" s="17" t="inlineStr">
        <is>
          <t>ABC_1kg</t>
        </is>
      </c>
      <c r="AL4" s="17" t="inlineStr">
        <is>
          <t>ABC_2.5kg</t>
        </is>
      </c>
      <c r="AM4" s="17" t="inlineStr">
        <is>
          <t>ABC_5kg</t>
        </is>
      </c>
      <c r="AN4" s="17" t="inlineStr">
        <is>
          <t>ABC_10kg</t>
        </is>
      </c>
      <c r="AO4" s="17" t="inlineStr">
        <is>
          <t>ABC_25kg</t>
        </is>
      </c>
      <c r="AP4" s="17" t="inlineStr">
        <is>
          <t>ABC_50kg</t>
        </is>
      </c>
      <c r="AQ4" s="17" t="inlineStr">
        <is>
          <t>ABC_70kg</t>
        </is>
      </c>
      <c r="AR4" s="17" t="inlineStr">
        <is>
          <t>ABC_100kg</t>
        </is>
      </c>
    </row>
    <row r="5">
      <c r="AJ5" s="1">
        <f>'Demanda'!B3</f>
        <v/>
      </c>
      <c r="AK5" s="16">
        <f>'Demanda'!B6</f>
        <v/>
      </c>
      <c r="AL5" s="16">
        <f>'Demanda'!B7</f>
        <v/>
      </c>
      <c r="AM5" s="16">
        <f>'Demanda'!B8</f>
        <v/>
      </c>
      <c r="AN5" s="16">
        <f>'Demanda'!B9</f>
        <v/>
      </c>
      <c r="AO5" s="16">
        <f>'Demanda'!B10</f>
        <v/>
      </c>
      <c r="AP5" s="16">
        <f>'Demanda'!B11</f>
        <v/>
      </c>
      <c r="AQ5" s="16">
        <f>'Demanda'!B12</f>
        <v/>
      </c>
      <c r="AR5" s="16">
        <f>'Demanda'!B13</f>
        <v/>
      </c>
    </row>
    <row r="6">
      <c r="AJ6" s="1">
        <f>'Demanda'!C3</f>
        <v/>
      </c>
      <c r="AK6" s="16">
        <f>'Demanda'!C6</f>
        <v/>
      </c>
      <c r="AL6" s="16">
        <f>'Demanda'!C7</f>
        <v/>
      </c>
      <c r="AM6" s="16">
        <f>'Demanda'!C8</f>
        <v/>
      </c>
      <c r="AN6" s="16">
        <f>'Demanda'!C9</f>
        <v/>
      </c>
      <c r="AO6" s="16">
        <f>'Demanda'!C10</f>
        <v/>
      </c>
      <c r="AP6" s="16">
        <f>'Demanda'!C11</f>
        <v/>
      </c>
      <c r="AQ6" s="16">
        <f>'Demanda'!C12</f>
        <v/>
      </c>
      <c r="AR6" s="16">
        <f>'Demanda'!C13</f>
        <v/>
      </c>
    </row>
    <row r="7">
      <c r="AJ7" s="1">
        <f>'Demanda'!D3</f>
        <v/>
      </c>
      <c r="AK7" s="16">
        <f>'Demanda'!D6</f>
        <v/>
      </c>
      <c r="AL7" s="16">
        <f>'Demanda'!D7</f>
        <v/>
      </c>
      <c r="AM7" s="16">
        <f>'Demanda'!D8</f>
        <v/>
      </c>
      <c r="AN7" s="16">
        <f>'Demanda'!D9</f>
        <v/>
      </c>
      <c r="AO7" s="16">
        <f>'Demanda'!D10</f>
        <v/>
      </c>
      <c r="AP7" s="16">
        <f>'Demanda'!D11</f>
        <v/>
      </c>
      <c r="AQ7" s="16">
        <f>'Demanda'!D12</f>
        <v/>
      </c>
      <c r="AR7" s="16">
        <f>'Demanda'!D13</f>
        <v/>
      </c>
    </row>
    <row r="8">
      <c r="AJ8" s="1">
        <f>'Demanda'!E3</f>
        <v/>
      </c>
      <c r="AK8" s="16">
        <f>'Demanda'!E6</f>
        <v/>
      </c>
      <c r="AL8" s="16">
        <f>'Demanda'!E7</f>
        <v/>
      </c>
      <c r="AM8" s="16">
        <f>'Demanda'!E8</f>
        <v/>
      </c>
      <c r="AN8" s="16">
        <f>'Demanda'!E9</f>
        <v/>
      </c>
      <c r="AO8" s="16">
        <f>'Demanda'!E10</f>
        <v/>
      </c>
      <c r="AP8" s="16">
        <f>'Demanda'!E11</f>
        <v/>
      </c>
      <c r="AQ8" s="16">
        <f>'Demanda'!E12</f>
        <v/>
      </c>
      <c r="AR8" s="16">
        <f>'Demanda'!E13</f>
        <v/>
      </c>
    </row>
    <row r="9">
      <c r="AJ9" s="1">
        <f>'Demanda'!F3</f>
        <v/>
      </c>
      <c r="AK9" s="16">
        <f>'Demanda'!F6</f>
        <v/>
      </c>
      <c r="AL9" s="16">
        <f>'Demanda'!F7</f>
        <v/>
      </c>
      <c r="AM9" s="16">
        <f>'Demanda'!F8</f>
        <v/>
      </c>
      <c r="AN9" s="16">
        <f>'Demanda'!F9</f>
        <v/>
      </c>
      <c r="AO9" s="16">
        <f>'Demanda'!F10</f>
        <v/>
      </c>
      <c r="AP9" s="16">
        <f>'Demanda'!F11</f>
        <v/>
      </c>
      <c r="AQ9" s="16">
        <f>'Demanda'!F12</f>
        <v/>
      </c>
      <c r="AR9" s="16">
        <f>'Demanda'!F13</f>
        <v/>
      </c>
    </row>
    <row r="10">
      <c r="AJ10" s="1">
        <f>'Demanda'!G3</f>
        <v/>
      </c>
      <c r="AK10" s="16">
        <f>'Demanda'!G6</f>
        <v/>
      </c>
      <c r="AL10" s="16">
        <f>'Demanda'!G7</f>
        <v/>
      </c>
      <c r="AM10" s="16">
        <f>'Demanda'!G8</f>
        <v/>
      </c>
      <c r="AN10" s="16">
        <f>'Demanda'!G9</f>
        <v/>
      </c>
      <c r="AO10" s="16">
        <f>'Demanda'!G10</f>
        <v/>
      </c>
      <c r="AP10" s="16">
        <f>'Demanda'!G11</f>
        <v/>
      </c>
      <c r="AQ10" s="16">
        <f>'Demanda'!G12</f>
        <v/>
      </c>
      <c r="AR10" s="16">
        <f>'Demanda'!G13</f>
        <v/>
      </c>
    </row>
    <row r="11">
      <c r="AJ11" s="1">
        <f>'Demanda'!H3</f>
        <v/>
      </c>
      <c r="AK11" s="16">
        <f>'Demanda'!H6</f>
        <v/>
      </c>
      <c r="AL11" s="16">
        <f>'Demanda'!H7</f>
        <v/>
      </c>
      <c r="AM11" s="16">
        <f>'Demanda'!H8</f>
        <v/>
      </c>
      <c r="AN11" s="16">
        <f>'Demanda'!H9</f>
        <v/>
      </c>
      <c r="AO11" s="16">
        <f>'Demanda'!H10</f>
        <v/>
      </c>
      <c r="AP11" s="16">
        <f>'Demanda'!H11</f>
        <v/>
      </c>
      <c r="AQ11" s="16">
        <f>'Demanda'!H12</f>
        <v/>
      </c>
      <c r="AR11" s="16">
        <f>'Demanda'!H13</f>
        <v/>
      </c>
    </row>
    <row r="12">
      <c r="AJ12" s="1">
        <f>'Demanda'!I3</f>
        <v/>
      </c>
      <c r="AK12" s="16">
        <f>'Demanda'!I6</f>
        <v/>
      </c>
      <c r="AL12" s="16">
        <f>'Demanda'!I7</f>
        <v/>
      </c>
      <c r="AM12" s="16">
        <f>'Demanda'!I8</f>
        <v/>
      </c>
      <c r="AN12" s="16">
        <f>'Demanda'!I9</f>
        <v/>
      </c>
      <c r="AO12" s="16">
        <f>'Demanda'!I10</f>
        <v/>
      </c>
      <c r="AP12" s="16">
        <f>'Demanda'!I11</f>
        <v/>
      </c>
      <c r="AQ12" s="16">
        <f>'Demanda'!I12</f>
        <v/>
      </c>
      <c r="AR12" s="16">
        <f>'Demanda'!I13</f>
        <v/>
      </c>
    </row>
    <row r="13">
      <c r="AJ13" s="1">
        <f>'Demanda'!J3</f>
        <v/>
      </c>
      <c r="AK13" s="16">
        <f>'Demanda'!J6</f>
        <v/>
      </c>
      <c r="AL13" s="16">
        <f>'Demanda'!J7</f>
        <v/>
      </c>
      <c r="AM13" s="16">
        <f>'Demanda'!J8</f>
        <v/>
      </c>
      <c r="AN13" s="16">
        <f>'Demanda'!J9</f>
        <v/>
      </c>
      <c r="AO13" s="16">
        <f>'Demanda'!J10</f>
        <v/>
      </c>
      <c r="AP13" s="16">
        <f>'Demanda'!J11</f>
        <v/>
      </c>
      <c r="AQ13" s="16">
        <f>'Demanda'!J12</f>
        <v/>
      </c>
      <c r="AR13" s="16">
        <f>'Demanda'!J13</f>
        <v/>
      </c>
    </row>
    <row r="14">
      <c r="AJ14" s="1">
        <f>'Demanda'!K3</f>
        <v/>
      </c>
      <c r="AK14" s="16">
        <f>'Demanda'!K6</f>
        <v/>
      </c>
      <c r="AL14" s="16">
        <f>'Demanda'!K7</f>
        <v/>
      </c>
      <c r="AM14" s="16">
        <f>'Demanda'!K8</f>
        <v/>
      </c>
      <c r="AN14" s="16">
        <f>'Demanda'!K9</f>
        <v/>
      </c>
      <c r="AO14" s="16">
        <f>'Demanda'!K10</f>
        <v/>
      </c>
      <c r="AP14" s="16">
        <f>'Demanda'!K11</f>
        <v/>
      </c>
      <c r="AQ14" s="16">
        <f>'Demanda'!K12</f>
        <v/>
      </c>
      <c r="AR14" s="16">
        <f>'Demanda'!K13</f>
        <v/>
      </c>
    </row>
    <row r="16" ht="90" customHeight="1">
      <c r="A16" s="18" t="inlineStr">
        <is>
          <t>Ítem</t>
        </is>
      </c>
      <c r="B16" s="18" t="inlineStr">
        <is>
          <t>UM</t>
        </is>
      </c>
      <c r="C16" s="18" t="inlineStr">
        <is>
          <t>Rubro</t>
        </is>
      </c>
      <c r="D16" s="18" t="inlineStr">
        <is>
          <t>Proveedor principal</t>
        </is>
      </c>
      <c r="E16" s="18" t="inlineStr">
        <is>
          <t>Destino</t>
        </is>
      </c>
      <c r="F16" s="19">
        <f>'Demanda'!B3</f>
        <v/>
      </c>
      <c r="G16" s="19">
        <f>'Demanda'!C3</f>
        <v/>
      </c>
      <c r="H16" s="19">
        <f>'Demanda'!D3</f>
        <v/>
      </c>
      <c r="I16" s="19">
        <f>'Demanda'!E3</f>
        <v/>
      </c>
      <c r="J16" s="19">
        <f>'Demanda'!F3</f>
        <v/>
      </c>
      <c r="K16" s="19">
        <f>'Demanda'!G3</f>
        <v/>
      </c>
      <c r="L16" s="19">
        <f>'Demanda'!H3</f>
        <v/>
      </c>
      <c r="M16" s="19">
        <f>'Demanda'!I3</f>
        <v/>
      </c>
      <c r="N16" s="19">
        <f>'Demanda'!J3</f>
        <v/>
      </c>
      <c r="O16" s="19">
        <f>'Demanda'!K3</f>
        <v/>
      </c>
      <c r="AK16" s="20" t="inlineStr">
        <is>
          <t>coef. ABC_1kg</t>
        </is>
      </c>
      <c r="AL16" s="20" t="inlineStr">
        <is>
          <t>coef. ABC_2.5kg</t>
        </is>
      </c>
      <c r="AM16" s="20" t="inlineStr">
        <is>
          <t>coef. ABC_5kg</t>
        </is>
      </c>
      <c r="AN16" s="20" t="inlineStr">
        <is>
          <t>coef. ABC_10kg</t>
        </is>
      </c>
      <c r="AO16" s="20" t="inlineStr">
        <is>
          <t>coef. ABC_25kg</t>
        </is>
      </c>
      <c r="AP16" s="20" t="inlineStr">
        <is>
          <t>coef. ABC_50kg</t>
        </is>
      </c>
      <c r="AQ16" s="20" t="inlineStr">
        <is>
          <t>coef. ABC_70kg</t>
        </is>
      </c>
      <c r="AR16" s="20" t="inlineStr">
        <is>
          <t>coef. ABC_100kg</t>
        </is>
      </c>
    </row>
    <row r="17">
      <c r="A17" s="2" t="inlineStr">
        <is>
          <t>Caño SAE 1010 Ø25,4 × 1,6</t>
        </is>
      </c>
      <c r="B17" s="2" t="inlineStr">
        <is>
          <t>barra 6 m</t>
        </is>
      </c>
      <c r="C17" s="2" t="inlineStr">
        <is>
          <t>Materia prima</t>
        </is>
      </c>
      <c r="D17" s="2" t="inlineStr">
        <is>
          <t>Metalpri / Prilux</t>
        </is>
      </c>
      <c r="E17" s="2" t="inlineStr">
        <is>
          <t>Todos</t>
        </is>
      </c>
      <c r="F17" s="21">
        <f>SUMPRODUCT($AK17:$AR17,$AK$5:$AR$5)*IF($E17="CABA",'Parametros'!B$7,IF($E17="PBA",1-'Parametros'!B$7,1))</f>
        <v/>
      </c>
      <c r="G17" s="21">
        <f>SUMPRODUCT($AK17:$AR17,$AK$6:$AR$6)*IF($E17="CABA",'Parametros'!C$7,IF($E17="PBA",1-'Parametros'!C$7,1))</f>
        <v/>
      </c>
      <c r="H17" s="21">
        <f>SUMPRODUCT($AK17:$AR17,$AK$7:$AR$7)*IF($E17="CABA",'Parametros'!D$7,IF($E17="PBA",1-'Parametros'!D$7,1))</f>
        <v/>
      </c>
      <c r="I17" s="21">
        <f>SUMPRODUCT($AK17:$AR17,$AK$8:$AR$8)*IF($E17="CABA",'Parametros'!E$7,IF($E17="PBA",1-'Parametros'!E$7,1))</f>
        <v/>
      </c>
      <c r="J17" s="21">
        <f>SUMPRODUCT($AK17:$AR17,$AK$9:$AR$9)*IF($E17="CABA",'Parametros'!F$7,IF($E17="PBA",1-'Parametros'!F$7,1))</f>
        <v/>
      </c>
      <c r="K17" s="21">
        <f>SUMPRODUCT($AK17:$AR17,$AK$10:$AR$10)*IF($E17="CABA",'Parametros'!G$7,IF($E17="PBA",1-'Parametros'!G$7,1))</f>
        <v/>
      </c>
      <c r="L17" s="21">
        <f>SUMPRODUCT($AK17:$AR17,$AK$11:$AR$11)*IF($E17="CABA",'Parametros'!H$7,IF($E17="PBA",1-'Parametros'!H$7,1))</f>
        <v/>
      </c>
      <c r="M17" s="21">
        <f>SUMPRODUCT($AK17:$AR17,$AK$12:$AR$12)*IF($E17="CABA",'Parametros'!I$7,IF($E17="PBA",1-'Parametros'!I$7,1))</f>
        <v/>
      </c>
      <c r="N17" s="21">
        <f>SUMPRODUCT($AK17:$AR17,$AK$13:$AR$13)*IF($E17="CABA",'Parametros'!J$7,IF($E17="PBA",1-'Parametros'!J$7,1))</f>
        <v/>
      </c>
      <c r="O17" s="21">
        <f>SUMPRODUCT($AK17:$AR17,$AK$14:$AR$14)*IF($E17="CABA",'Parametros'!K$7,IF($E17="PBA",1-'Parametros'!K$7,1))</f>
        <v/>
      </c>
      <c r="AO17" s="22" t="n">
        <v>0.2774</v>
      </c>
      <c r="AP17" s="22" t="n">
        <v>0.2767</v>
      </c>
      <c r="AQ17" s="22" t="n">
        <v>0.3162</v>
      </c>
      <c r="AR17" s="22" t="n">
        <v>0.2998</v>
      </c>
    </row>
    <row r="18">
      <c r="A18" s="2" t="inlineStr">
        <is>
          <t>Caño Ø76,2 × 1,25</t>
        </is>
      </c>
      <c r="B18" s="2" t="inlineStr">
        <is>
          <t>barra 6 m</t>
        </is>
      </c>
      <c r="C18" s="2" t="inlineStr">
        <is>
          <t>Materia prima</t>
        </is>
      </c>
      <c r="D18" s="2" t="inlineStr">
        <is>
          <t>Metalpri / Prilux</t>
        </is>
      </c>
      <c r="E18" s="2" t="inlineStr">
        <is>
          <t>Todos</t>
        </is>
      </c>
      <c r="F18" s="21">
        <f>SUMPRODUCT($AK18:$AR18,$AK$5:$AR$5)*IF($E18="CABA",'Parametros'!B$7,IF($E18="PBA",1-'Parametros'!B$7,1))</f>
        <v/>
      </c>
      <c r="G18" s="21">
        <f>SUMPRODUCT($AK18:$AR18,$AK$6:$AR$6)*IF($E18="CABA",'Parametros'!C$7,IF($E18="PBA",1-'Parametros'!C$7,1))</f>
        <v/>
      </c>
      <c r="H18" s="21">
        <f>SUMPRODUCT($AK18:$AR18,$AK$7:$AR$7)*IF($E18="CABA",'Parametros'!D$7,IF($E18="PBA",1-'Parametros'!D$7,1))</f>
        <v/>
      </c>
      <c r="I18" s="21">
        <f>SUMPRODUCT($AK18:$AR18,$AK$8:$AR$8)*IF($E18="CABA",'Parametros'!E$7,IF($E18="PBA",1-'Parametros'!E$7,1))</f>
        <v/>
      </c>
      <c r="J18" s="21">
        <f>SUMPRODUCT($AK18:$AR18,$AK$9:$AR$9)*IF($E18="CABA",'Parametros'!F$7,IF($E18="PBA",1-'Parametros'!F$7,1))</f>
        <v/>
      </c>
      <c r="K18" s="21">
        <f>SUMPRODUCT($AK18:$AR18,$AK$10:$AR$10)*IF($E18="CABA",'Parametros'!G$7,IF($E18="PBA",1-'Parametros'!G$7,1))</f>
        <v/>
      </c>
      <c r="L18" s="21">
        <f>SUMPRODUCT($AK18:$AR18,$AK$11:$AR$11)*IF($E18="CABA",'Parametros'!H$7,IF($E18="PBA",1-'Parametros'!H$7,1))</f>
        <v/>
      </c>
      <c r="M18" s="21">
        <f>SUMPRODUCT($AK18:$AR18,$AK$12:$AR$12)*IF($E18="CABA",'Parametros'!I$7,IF($E18="PBA",1-'Parametros'!I$7,1))</f>
        <v/>
      </c>
      <c r="N18" s="21">
        <f>SUMPRODUCT($AK18:$AR18,$AK$13:$AR$13)*IF($E18="CABA",'Parametros'!J$7,IF($E18="PBA",1-'Parametros'!J$7,1))</f>
        <v/>
      </c>
      <c r="O18" s="21">
        <f>SUMPRODUCT($AK18:$AR18,$AK$14:$AR$14)*IF($E18="CABA",'Parametros'!K$7,IF($E18="PBA",1-'Parametros'!K$7,1))</f>
        <v/>
      </c>
      <c r="AK18" s="22" t="n">
        <v>0.0435</v>
      </c>
    </row>
    <row r="19">
      <c r="A19" s="2" t="inlineStr">
        <is>
          <t>Chapa LAC 1500 × 3000 e=3,2</t>
        </is>
      </c>
      <c r="B19" s="2" t="inlineStr">
        <is>
          <t>kg</t>
        </is>
      </c>
      <c r="C19" s="2" t="inlineStr">
        <is>
          <t>Materia prima</t>
        </is>
      </c>
      <c r="D19" s="2" t="inlineStr">
        <is>
          <t>Pradecon S.A.</t>
        </is>
      </c>
      <c r="E19" s="2" t="inlineStr">
        <is>
          <t>Todos</t>
        </is>
      </c>
      <c r="F19" s="21">
        <f>SUMPRODUCT($AK19:$AR19,$AK$5:$AR$5)*IF($E19="CABA",'Parametros'!B$7,IF($E19="PBA",1-'Parametros'!B$7,1))</f>
        <v/>
      </c>
      <c r="G19" s="21">
        <f>SUMPRODUCT($AK19:$AR19,$AK$6:$AR$6)*IF($E19="CABA",'Parametros'!C$7,IF($E19="PBA",1-'Parametros'!C$7,1))</f>
        <v/>
      </c>
      <c r="H19" s="21">
        <f>SUMPRODUCT($AK19:$AR19,$AK$7:$AR$7)*IF($E19="CABA",'Parametros'!D$7,IF($E19="PBA",1-'Parametros'!D$7,1))</f>
        <v/>
      </c>
      <c r="I19" s="21">
        <f>SUMPRODUCT($AK19:$AR19,$AK$8:$AR$8)*IF($E19="CABA",'Parametros'!E$7,IF($E19="PBA",1-'Parametros'!E$7,1))</f>
        <v/>
      </c>
      <c r="J19" s="21">
        <f>SUMPRODUCT($AK19:$AR19,$AK$9:$AR$9)*IF($E19="CABA",'Parametros'!F$7,IF($E19="PBA",1-'Parametros'!F$7,1))</f>
        <v/>
      </c>
      <c r="K19" s="21">
        <f>SUMPRODUCT($AK19:$AR19,$AK$10:$AR$10)*IF($E19="CABA",'Parametros'!G$7,IF($E19="PBA",1-'Parametros'!G$7,1))</f>
        <v/>
      </c>
      <c r="L19" s="21">
        <f>SUMPRODUCT($AK19:$AR19,$AK$11:$AR$11)*IF($E19="CABA",'Parametros'!H$7,IF($E19="PBA",1-'Parametros'!H$7,1))</f>
        <v/>
      </c>
      <c r="M19" s="21">
        <f>SUMPRODUCT($AK19:$AR19,$AK$12:$AR$12)*IF($E19="CABA",'Parametros'!I$7,IF($E19="PBA",1-'Parametros'!I$7,1))</f>
        <v/>
      </c>
      <c r="N19" s="21">
        <f>SUMPRODUCT($AK19:$AR19,$AK$13:$AR$13)*IF($E19="CABA",'Parametros'!J$7,IF($E19="PBA",1-'Parametros'!J$7,1))</f>
        <v/>
      </c>
      <c r="O19" s="21">
        <f>SUMPRODUCT($AK19:$AR19,$AK$14:$AR$14)*IF($E19="CABA",'Parametros'!K$7,IF($E19="PBA",1-'Parametros'!K$7,1))</f>
        <v/>
      </c>
      <c r="AO19" s="22" t="n">
        <v>12.558</v>
      </c>
      <c r="AP19" s="22" t="n">
        <v>18.845</v>
      </c>
    </row>
    <row r="20">
      <c r="A20" s="2" t="inlineStr">
        <is>
          <t>Chapa LAC 1500 × 3000 e=4,75</t>
        </is>
      </c>
      <c r="B20" s="2" t="inlineStr">
        <is>
          <t>kg</t>
        </is>
      </c>
      <c r="C20" s="2" t="inlineStr">
        <is>
          <t>Materia prima</t>
        </is>
      </c>
      <c r="D20" s="2" t="inlineStr">
        <is>
          <t>Pradecon S.A.</t>
        </is>
      </c>
      <c r="E20" s="2" t="inlineStr">
        <is>
          <t>Todos</t>
        </is>
      </c>
      <c r="F20" s="21">
        <f>SUMPRODUCT($AK20:$AR20,$AK$5:$AR$5)*IF($E20="CABA",'Parametros'!B$7,IF($E20="PBA",1-'Parametros'!B$7,1))</f>
        <v/>
      </c>
      <c r="G20" s="21">
        <f>SUMPRODUCT($AK20:$AR20,$AK$6:$AR$6)*IF($E20="CABA",'Parametros'!C$7,IF($E20="PBA",1-'Parametros'!C$7,1))</f>
        <v/>
      </c>
      <c r="H20" s="21">
        <f>SUMPRODUCT($AK20:$AR20,$AK$7:$AR$7)*IF($E20="CABA",'Parametros'!D$7,IF($E20="PBA",1-'Parametros'!D$7,1))</f>
        <v/>
      </c>
      <c r="I20" s="21">
        <f>SUMPRODUCT($AK20:$AR20,$AK$8:$AR$8)*IF($E20="CABA",'Parametros'!E$7,IF($E20="PBA",1-'Parametros'!E$7,1))</f>
        <v/>
      </c>
      <c r="J20" s="21">
        <f>SUMPRODUCT($AK20:$AR20,$AK$9:$AR$9)*IF($E20="CABA",'Parametros'!F$7,IF($E20="PBA",1-'Parametros'!F$7,1))</f>
        <v/>
      </c>
      <c r="K20" s="21">
        <f>SUMPRODUCT($AK20:$AR20,$AK$10:$AR$10)*IF($E20="CABA",'Parametros'!G$7,IF($E20="PBA",1-'Parametros'!G$7,1))</f>
        <v/>
      </c>
      <c r="L20" s="21">
        <f>SUMPRODUCT($AK20:$AR20,$AK$11:$AR$11)*IF($E20="CABA",'Parametros'!H$7,IF($E20="PBA",1-'Parametros'!H$7,1))</f>
        <v/>
      </c>
      <c r="M20" s="21">
        <f>SUMPRODUCT($AK20:$AR20,$AK$12:$AR$12)*IF($E20="CABA",'Parametros'!I$7,IF($E20="PBA",1-'Parametros'!I$7,1))</f>
        <v/>
      </c>
      <c r="N20" s="21">
        <f>SUMPRODUCT($AK20:$AR20,$AK$13:$AR$13)*IF($E20="CABA",'Parametros'!J$7,IF($E20="PBA",1-'Parametros'!J$7,1))</f>
        <v/>
      </c>
      <c r="O20" s="21">
        <f>SUMPRODUCT($AK20:$AR20,$AK$14:$AR$14)*IF($E20="CABA",'Parametros'!K$7,IF($E20="PBA",1-'Parametros'!K$7,1))</f>
        <v/>
      </c>
      <c r="AQ20" s="22" t="n">
        <v>38.802</v>
      </c>
      <c r="AR20" s="22" t="n">
        <v>51.355</v>
      </c>
    </row>
    <row r="21">
      <c r="A21" s="2" t="inlineStr">
        <is>
          <t>Chapa LAF 1000 × 2000 e=1,6</t>
        </is>
      </c>
      <c r="B21" s="2" t="inlineStr">
        <is>
          <t>kg</t>
        </is>
      </c>
      <c r="C21" s="2" t="inlineStr">
        <is>
          <t>Materia prima</t>
        </is>
      </c>
      <c r="D21" s="2" t="inlineStr">
        <is>
          <t>Pradecon S.A.</t>
        </is>
      </c>
      <c r="E21" s="2" t="inlineStr">
        <is>
          <t>Todos</t>
        </is>
      </c>
      <c r="F21" s="21">
        <f>SUMPRODUCT($AK21:$AR21,$AK$5:$AR$5)*IF($E21="CABA",'Parametros'!B$7,IF($E21="PBA",1-'Parametros'!B$7,1))</f>
        <v/>
      </c>
      <c r="G21" s="21">
        <f>SUMPRODUCT($AK21:$AR21,$AK$6:$AR$6)*IF($E21="CABA",'Parametros'!C$7,IF($E21="PBA",1-'Parametros'!C$7,1))</f>
        <v/>
      </c>
      <c r="H21" s="21">
        <f>SUMPRODUCT($AK21:$AR21,$AK$7:$AR$7)*IF($E21="CABA",'Parametros'!D$7,IF($E21="PBA",1-'Parametros'!D$7,1))</f>
        <v/>
      </c>
      <c r="I21" s="21">
        <f>SUMPRODUCT($AK21:$AR21,$AK$8:$AR$8)*IF($E21="CABA",'Parametros'!E$7,IF($E21="PBA",1-'Parametros'!E$7,1))</f>
        <v/>
      </c>
      <c r="J21" s="21">
        <f>SUMPRODUCT($AK21:$AR21,$AK$9:$AR$9)*IF($E21="CABA",'Parametros'!F$7,IF($E21="PBA",1-'Parametros'!F$7,1))</f>
        <v/>
      </c>
      <c r="K21" s="21">
        <f>SUMPRODUCT($AK21:$AR21,$AK$10:$AR$10)*IF($E21="CABA",'Parametros'!G$7,IF($E21="PBA",1-'Parametros'!G$7,1))</f>
        <v/>
      </c>
      <c r="L21" s="21">
        <f>SUMPRODUCT($AK21:$AR21,$AK$11:$AR$11)*IF($E21="CABA",'Parametros'!H$7,IF($E21="PBA",1-'Parametros'!H$7,1))</f>
        <v/>
      </c>
      <c r="M21" s="21">
        <f>SUMPRODUCT($AK21:$AR21,$AK$12:$AR$12)*IF($E21="CABA",'Parametros'!I$7,IF($E21="PBA",1-'Parametros'!I$7,1))</f>
        <v/>
      </c>
      <c r="N21" s="21">
        <f>SUMPRODUCT($AK21:$AR21,$AK$13:$AR$13)*IF($E21="CABA",'Parametros'!J$7,IF($E21="PBA",1-'Parametros'!J$7,1))</f>
        <v/>
      </c>
      <c r="O21" s="21">
        <f>SUMPRODUCT($AK21:$AR21,$AK$14:$AR$14)*IF($E21="CABA",'Parametros'!K$7,IF($E21="PBA",1-'Parametros'!K$7,1))</f>
        <v/>
      </c>
      <c r="AM21" s="22" t="n">
        <v>2.092</v>
      </c>
    </row>
    <row r="22">
      <c r="A22" s="2" t="inlineStr">
        <is>
          <t>Chapa LAF 1220 × 2440 e=1,25</t>
        </is>
      </c>
      <c r="B22" s="2" t="inlineStr">
        <is>
          <t>kg</t>
        </is>
      </c>
      <c r="C22" s="2" t="inlineStr">
        <is>
          <t>Materia prima</t>
        </is>
      </c>
      <c r="D22" s="2" t="inlineStr">
        <is>
          <t>Pradecon S.A.</t>
        </is>
      </c>
      <c r="E22" s="2" t="inlineStr">
        <is>
          <t>Todos</t>
        </is>
      </c>
      <c r="F22" s="21">
        <f>SUMPRODUCT($AK22:$AR22,$AK$5:$AR$5)*IF($E22="CABA",'Parametros'!B$7,IF($E22="PBA",1-'Parametros'!B$7,1))</f>
        <v/>
      </c>
      <c r="G22" s="21">
        <f>SUMPRODUCT($AK22:$AR22,$AK$6:$AR$6)*IF($E22="CABA",'Parametros'!C$7,IF($E22="PBA",1-'Parametros'!C$7,1))</f>
        <v/>
      </c>
      <c r="H22" s="21">
        <f>SUMPRODUCT($AK22:$AR22,$AK$7:$AR$7)*IF($E22="CABA",'Parametros'!D$7,IF($E22="PBA",1-'Parametros'!D$7,1))</f>
        <v/>
      </c>
      <c r="I22" s="21">
        <f>SUMPRODUCT($AK22:$AR22,$AK$8:$AR$8)*IF($E22="CABA",'Parametros'!E$7,IF($E22="PBA",1-'Parametros'!E$7,1))</f>
        <v/>
      </c>
      <c r="J22" s="21">
        <f>SUMPRODUCT($AK22:$AR22,$AK$9:$AR$9)*IF($E22="CABA",'Parametros'!F$7,IF($E22="PBA",1-'Parametros'!F$7,1))</f>
        <v/>
      </c>
      <c r="K22" s="21">
        <f>SUMPRODUCT($AK22:$AR22,$AK$10:$AR$10)*IF($E22="CABA",'Parametros'!G$7,IF($E22="PBA",1-'Parametros'!G$7,1))</f>
        <v/>
      </c>
      <c r="L22" s="21">
        <f>SUMPRODUCT($AK22:$AR22,$AK$11:$AR$11)*IF($E22="CABA",'Parametros'!H$7,IF($E22="PBA",1-'Parametros'!H$7,1))</f>
        <v/>
      </c>
      <c r="M22" s="21">
        <f>SUMPRODUCT($AK22:$AR22,$AK$12:$AR$12)*IF($E22="CABA",'Parametros'!I$7,IF($E22="PBA",1-'Parametros'!I$7,1))</f>
        <v/>
      </c>
      <c r="N22" s="21">
        <f>SUMPRODUCT($AK22:$AR22,$AK$13:$AR$13)*IF($E22="CABA",'Parametros'!J$7,IF($E22="PBA",1-'Parametros'!J$7,1))</f>
        <v/>
      </c>
      <c r="O22" s="21">
        <f>SUMPRODUCT($AK22:$AR22,$AK$14:$AR$14)*IF($E22="CABA",'Parametros'!K$7,IF($E22="PBA",1-'Parametros'!K$7,1))</f>
        <v/>
      </c>
      <c r="AL22" s="22" t="n">
        <v>1.082</v>
      </c>
    </row>
    <row r="23">
      <c r="A23" s="2" t="inlineStr">
        <is>
          <t>Chapa LAF 1500 × 3000 e=2</t>
        </is>
      </c>
      <c r="B23" s="2" t="inlineStr">
        <is>
          <t>kg</t>
        </is>
      </c>
      <c r="C23" s="2" t="inlineStr">
        <is>
          <t>Materia prima</t>
        </is>
      </c>
      <c r="D23" s="2" t="inlineStr">
        <is>
          <t>Pradecon S.A.</t>
        </is>
      </c>
      <c r="E23" s="2" t="inlineStr">
        <is>
          <t>Todos</t>
        </is>
      </c>
      <c r="F23" s="21">
        <f>SUMPRODUCT($AK23:$AR23,$AK$5:$AR$5)*IF($E23="CABA",'Parametros'!B$7,IF($E23="PBA",1-'Parametros'!B$7,1))</f>
        <v/>
      </c>
      <c r="G23" s="21">
        <f>SUMPRODUCT($AK23:$AR23,$AK$6:$AR$6)*IF($E23="CABA",'Parametros'!C$7,IF($E23="PBA",1-'Parametros'!C$7,1))</f>
        <v/>
      </c>
      <c r="H23" s="21">
        <f>SUMPRODUCT($AK23:$AR23,$AK$7:$AR$7)*IF($E23="CABA",'Parametros'!D$7,IF($E23="PBA",1-'Parametros'!D$7,1))</f>
        <v/>
      </c>
      <c r="I23" s="21">
        <f>SUMPRODUCT($AK23:$AR23,$AK$8:$AR$8)*IF($E23="CABA",'Parametros'!E$7,IF($E23="PBA",1-'Parametros'!E$7,1))</f>
        <v/>
      </c>
      <c r="J23" s="21">
        <f>SUMPRODUCT($AK23:$AR23,$AK$9:$AR$9)*IF($E23="CABA",'Parametros'!F$7,IF($E23="PBA",1-'Parametros'!F$7,1))</f>
        <v/>
      </c>
      <c r="K23" s="21">
        <f>SUMPRODUCT($AK23:$AR23,$AK$10:$AR$10)*IF($E23="CABA",'Parametros'!G$7,IF($E23="PBA",1-'Parametros'!G$7,1))</f>
        <v/>
      </c>
      <c r="L23" s="21">
        <f>SUMPRODUCT($AK23:$AR23,$AK$11:$AR$11)*IF($E23="CABA",'Parametros'!H$7,IF($E23="PBA",1-'Parametros'!H$7,1))</f>
        <v/>
      </c>
      <c r="M23" s="21">
        <f>SUMPRODUCT($AK23:$AR23,$AK$12:$AR$12)*IF($E23="CABA",'Parametros'!I$7,IF($E23="PBA",1-'Parametros'!I$7,1))</f>
        <v/>
      </c>
      <c r="N23" s="21">
        <f>SUMPRODUCT($AK23:$AR23,$AK$13:$AR$13)*IF($E23="CABA",'Parametros'!J$7,IF($E23="PBA",1-'Parametros'!J$7,1))</f>
        <v/>
      </c>
      <c r="O23" s="21">
        <f>SUMPRODUCT($AK23:$AR23,$AK$14:$AR$14)*IF($E23="CABA",'Parametros'!K$7,IF($E23="PBA",1-'Parametros'!K$7,1))</f>
        <v/>
      </c>
      <c r="AN23" s="22" t="n">
        <v>4.71</v>
      </c>
    </row>
    <row r="24">
      <c r="A24" s="2" t="inlineStr">
        <is>
          <t>Fleje e=0,9 × 114</t>
        </is>
      </c>
      <c r="B24" s="2" t="inlineStr">
        <is>
          <t>m</t>
        </is>
      </c>
      <c r="C24" s="2" t="inlineStr">
        <is>
          <t>Materia prima</t>
        </is>
      </c>
      <c r="D24" s="2" t="inlineStr">
        <is>
          <t>Pacheco Chapas</t>
        </is>
      </c>
      <c r="E24" s="2" t="inlineStr">
        <is>
          <t>Todos</t>
        </is>
      </c>
      <c r="F24" s="21">
        <f>SUMPRODUCT($AK24:$AR24,$AK$5:$AR$5)*IF($E24="CABA",'Parametros'!B$7,IF($E24="PBA",1-'Parametros'!B$7,1))</f>
        <v/>
      </c>
      <c r="G24" s="21">
        <f>SUMPRODUCT($AK24:$AR24,$AK$6:$AR$6)*IF($E24="CABA",'Parametros'!C$7,IF($E24="PBA",1-'Parametros'!C$7,1))</f>
        <v/>
      </c>
      <c r="H24" s="21">
        <f>SUMPRODUCT($AK24:$AR24,$AK$7:$AR$7)*IF($E24="CABA",'Parametros'!D$7,IF($E24="PBA",1-'Parametros'!D$7,1))</f>
        <v/>
      </c>
      <c r="I24" s="21">
        <f>SUMPRODUCT($AK24:$AR24,$AK$8:$AR$8)*IF($E24="CABA",'Parametros'!E$7,IF($E24="PBA",1-'Parametros'!E$7,1))</f>
        <v/>
      </c>
      <c r="J24" s="21">
        <f>SUMPRODUCT($AK24:$AR24,$AK$9:$AR$9)*IF($E24="CABA",'Parametros'!F$7,IF($E24="PBA",1-'Parametros'!F$7,1))</f>
        <v/>
      </c>
      <c r="K24" s="21">
        <f>SUMPRODUCT($AK24:$AR24,$AK$10:$AR$10)*IF($E24="CABA",'Parametros'!G$7,IF($E24="PBA",1-'Parametros'!G$7,1))</f>
        <v/>
      </c>
      <c r="L24" s="21">
        <f>SUMPRODUCT($AK24:$AR24,$AK$11:$AR$11)*IF($E24="CABA",'Parametros'!H$7,IF($E24="PBA",1-'Parametros'!H$7,1))</f>
        <v/>
      </c>
      <c r="M24" s="21">
        <f>SUMPRODUCT($AK24:$AR24,$AK$12:$AR$12)*IF($E24="CABA",'Parametros'!I$7,IF($E24="PBA",1-'Parametros'!I$7,1))</f>
        <v/>
      </c>
      <c r="N24" s="21">
        <f>SUMPRODUCT($AK24:$AR24,$AK$13:$AR$13)*IF($E24="CABA",'Parametros'!J$7,IF($E24="PBA",1-'Parametros'!J$7,1))</f>
        <v/>
      </c>
      <c r="O24" s="21">
        <f>SUMPRODUCT($AK24:$AR24,$AK$14:$AR$14)*IF($E24="CABA",'Parametros'!K$7,IF($E24="PBA",1-'Parametros'!K$7,1))</f>
        <v/>
      </c>
      <c r="AK24" s="22" t="n">
        <v>0.111</v>
      </c>
    </row>
    <row r="25">
      <c r="A25" s="2" t="inlineStr">
        <is>
          <t>Fleje e=1,25 × 106</t>
        </is>
      </c>
      <c r="B25" s="2" t="inlineStr">
        <is>
          <t>m</t>
        </is>
      </c>
      <c r="C25" s="2" t="inlineStr">
        <is>
          <t>Materia prima</t>
        </is>
      </c>
      <c r="D25" s="2" t="inlineStr">
        <is>
          <t>Pacheco Chapas</t>
        </is>
      </c>
      <c r="E25" s="2" t="inlineStr">
        <is>
          <t>Todos</t>
        </is>
      </c>
      <c r="F25" s="21">
        <f>SUMPRODUCT($AK25:$AR25,$AK$5:$AR$5)*IF($E25="CABA",'Parametros'!B$7,IF($E25="PBA",1-'Parametros'!B$7,1))</f>
        <v/>
      </c>
      <c r="G25" s="21">
        <f>SUMPRODUCT($AK25:$AR25,$AK$6:$AR$6)*IF($E25="CABA",'Parametros'!C$7,IF($E25="PBA",1-'Parametros'!C$7,1))</f>
        <v/>
      </c>
      <c r="H25" s="21">
        <f>SUMPRODUCT($AK25:$AR25,$AK$7:$AR$7)*IF($E25="CABA",'Parametros'!D$7,IF($E25="PBA",1-'Parametros'!D$7,1))</f>
        <v/>
      </c>
      <c r="I25" s="21">
        <f>SUMPRODUCT($AK25:$AR25,$AK$8:$AR$8)*IF($E25="CABA",'Parametros'!E$7,IF($E25="PBA",1-'Parametros'!E$7,1))</f>
        <v/>
      </c>
      <c r="J25" s="21">
        <f>SUMPRODUCT($AK25:$AR25,$AK$9:$AR$9)*IF($E25="CABA",'Parametros'!F$7,IF($E25="PBA",1-'Parametros'!F$7,1))</f>
        <v/>
      </c>
      <c r="K25" s="21">
        <f>SUMPRODUCT($AK25:$AR25,$AK$10:$AR$10)*IF($E25="CABA",'Parametros'!G$7,IF($E25="PBA",1-'Parametros'!G$7,1))</f>
        <v/>
      </c>
      <c r="L25" s="21">
        <f>SUMPRODUCT($AK25:$AR25,$AK$11:$AR$11)*IF($E25="CABA",'Parametros'!H$7,IF($E25="PBA",1-'Parametros'!H$7,1))</f>
        <v/>
      </c>
      <c r="M25" s="21">
        <f>SUMPRODUCT($AK25:$AR25,$AK$12:$AR$12)*IF($E25="CABA",'Parametros'!I$7,IF($E25="PBA",1-'Parametros'!I$7,1))</f>
        <v/>
      </c>
      <c r="N25" s="21">
        <f>SUMPRODUCT($AK25:$AR25,$AK$13:$AR$13)*IF($E25="CABA",'Parametros'!J$7,IF($E25="PBA",1-'Parametros'!J$7,1))</f>
        <v/>
      </c>
      <c r="O25" s="21">
        <f>SUMPRODUCT($AK25:$AR25,$AK$14:$AR$14)*IF($E25="CABA",'Parametros'!K$7,IF($E25="PBA",1-'Parametros'!K$7,1))</f>
        <v/>
      </c>
      <c r="AK25" s="22" t="n">
        <v>0.103</v>
      </c>
    </row>
    <row r="26">
      <c r="A26" s="2" t="inlineStr">
        <is>
          <t>Fleje e=1,25 × 200</t>
        </is>
      </c>
      <c r="B26" s="2" t="inlineStr">
        <is>
          <t>m</t>
        </is>
      </c>
      <c r="C26" s="2" t="inlineStr">
        <is>
          <t>Materia prima</t>
        </is>
      </c>
      <c r="D26" s="2" t="inlineStr">
        <is>
          <t>Pacheco Chapas</t>
        </is>
      </c>
      <c r="E26" s="2" t="inlineStr">
        <is>
          <t>Todos</t>
        </is>
      </c>
      <c r="F26" s="21">
        <f>SUMPRODUCT($AK26:$AR26,$AK$5:$AR$5)*IF($E26="CABA",'Parametros'!B$7,IF($E26="PBA",1-'Parametros'!B$7,1))</f>
        <v/>
      </c>
      <c r="G26" s="21">
        <f>SUMPRODUCT($AK26:$AR26,$AK$6:$AR$6)*IF($E26="CABA",'Parametros'!C$7,IF($E26="PBA",1-'Parametros'!C$7,1))</f>
        <v/>
      </c>
      <c r="H26" s="21">
        <f>SUMPRODUCT($AK26:$AR26,$AK$7:$AR$7)*IF($E26="CABA",'Parametros'!D$7,IF($E26="PBA",1-'Parametros'!D$7,1))</f>
        <v/>
      </c>
      <c r="I26" s="21">
        <f>SUMPRODUCT($AK26:$AR26,$AK$8:$AR$8)*IF($E26="CABA",'Parametros'!E$7,IF($E26="PBA",1-'Parametros'!E$7,1))</f>
        <v/>
      </c>
      <c r="J26" s="21">
        <f>SUMPRODUCT($AK26:$AR26,$AK$9:$AR$9)*IF($E26="CABA",'Parametros'!F$7,IF($E26="PBA",1-'Parametros'!F$7,1))</f>
        <v/>
      </c>
      <c r="K26" s="21">
        <f>SUMPRODUCT($AK26:$AR26,$AK$10:$AR$10)*IF($E26="CABA",'Parametros'!G$7,IF($E26="PBA",1-'Parametros'!G$7,1))</f>
        <v/>
      </c>
      <c r="L26" s="21">
        <f>SUMPRODUCT($AK26:$AR26,$AK$11:$AR$11)*IF($E26="CABA",'Parametros'!H$7,IF($E26="PBA",1-'Parametros'!H$7,1))</f>
        <v/>
      </c>
      <c r="M26" s="21">
        <f>SUMPRODUCT($AK26:$AR26,$AK$12:$AR$12)*IF($E26="CABA",'Parametros'!I$7,IF($E26="PBA",1-'Parametros'!I$7,1))</f>
        <v/>
      </c>
      <c r="N26" s="21">
        <f>SUMPRODUCT($AK26:$AR26,$AK$13:$AR$13)*IF($E26="CABA",'Parametros'!J$7,IF($E26="PBA",1-'Parametros'!J$7,1))</f>
        <v/>
      </c>
      <c r="O26" s="21">
        <f>SUMPRODUCT($AK26:$AR26,$AK$14:$AR$14)*IF($E26="CABA",'Parametros'!K$7,IF($E26="PBA",1-'Parametros'!K$7,1))</f>
        <v/>
      </c>
      <c r="AL26" s="22" t="n">
        <v>0.333</v>
      </c>
    </row>
    <row r="27">
      <c r="A27" s="2" t="inlineStr">
        <is>
          <t>Fleje e=1,6 × 200</t>
        </is>
      </c>
      <c r="B27" s="2" t="inlineStr">
        <is>
          <t>m</t>
        </is>
      </c>
      <c r="C27" s="2" t="inlineStr">
        <is>
          <t>Materia prima</t>
        </is>
      </c>
      <c r="D27" s="2" t="inlineStr">
        <is>
          <t>Pacheco Chapas</t>
        </is>
      </c>
      <c r="E27" s="2" t="inlineStr">
        <is>
          <t>Todos</t>
        </is>
      </c>
      <c r="F27" s="21">
        <f>SUMPRODUCT($AK27:$AR27,$AK$5:$AR$5)*IF($E27="CABA",'Parametros'!B$7,IF($E27="PBA",1-'Parametros'!B$7,1))</f>
        <v/>
      </c>
      <c r="G27" s="21">
        <f>SUMPRODUCT($AK27:$AR27,$AK$6:$AR$6)*IF($E27="CABA",'Parametros'!C$7,IF($E27="PBA",1-'Parametros'!C$7,1))</f>
        <v/>
      </c>
      <c r="H27" s="21">
        <f>SUMPRODUCT($AK27:$AR27,$AK$7:$AR$7)*IF($E27="CABA",'Parametros'!D$7,IF($E27="PBA",1-'Parametros'!D$7,1))</f>
        <v/>
      </c>
      <c r="I27" s="21">
        <f>SUMPRODUCT($AK27:$AR27,$AK$8:$AR$8)*IF($E27="CABA",'Parametros'!E$7,IF($E27="PBA",1-'Parametros'!E$7,1))</f>
        <v/>
      </c>
      <c r="J27" s="21">
        <f>SUMPRODUCT($AK27:$AR27,$AK$9:$AR$9)*IF($E27="CABA",'Parametros'!F$7,IF($E27="PBA",1-'Parametros'!F$7,1))</f>
        <v/>
      </c>
      <c r="K27" s="21">
        <f>SUMPRODUCT($AK27:$AR27,$AK$10:$AR$10)*IF($E27="CABA",'Parametros'!G$7,IF($E27="PBA",1-'Parametros'!G$7,1))</f>
        <v/>
      </c>
      <c r="L27" s="21">
        <f>SUMPRODUCT($AK27:$AR27,$AK$11:$AR$11)*IF($E27="CABA",'Parametros'!H$7,IF($E27="PBA",1-'Parametros'!H$7,1))</f>
        <v/>
      </c>
      <c r="M27" s="21">
        <f>SUMPRODUCT($AK27:$AR27,$AK$12:$AR$12)*IF($E27="CABA",'Parametros'!I$7,IF($E27="PBA",1-'Parametros'!I$7,1))</f>
        <v/>
      </c>
      <c r="N27" s="21">
        <f>SUMPRODUCT($AK27:$AR27,$AK$13:$AR$13)*IF($E27="CABA",'Parametros'!J$7,IF($E27="PBA",1-'Parametros'!J$7,1))</f>
        <v/>
      </c>
      <c r="O27" s="21">
        <f>SUMPRODUCT($AK27:$AR27,$AK$14:$AR$14)*IF($E27="CABA",'Parametros'!K$7,IF($E27="PBA",1-'Parametros'!K$7,1))</f>
        <v/>
      </c>
      <c r="AM27" s="22" t="n">
        <v>0.18</v>
      </c>
    </row>
    <row r="28">
      <c r="A28" s="2" t="inlineStr">
        <is>
          <t>Fleje e=1,6 × 250</t>
        </is>
      </c>
      <c r="B28" s="2" t="inlineStr">
        <is>
          <t>m</t>
        </is>
      </c>
      <c r="C28" s="2" t="inlineStr">
        <is>
          <t>Materia prima</t>
        </is>
      </c>
      <c r="D28" s="2" t="inlineStr">
        <is>
          <t>Pacheco Chapas</t>
        </is>
      </c>
      <c r="E28" s="2" t="inlineStr">
        <is>
          <t>Todos</t>
        </is>
      </c>
      <c r="F28" s="21">
        <f>SUMPRODUCT($AK28:$AR28,$AK$5:$AR$5)*IF($E28="CABA",'Parametros'!B$7,IF($E28="PBA",1-'Parametros'!B$7,1))</f>
        <v/>
      </c>
      <c r="G28" s="21">
        <f>SUMPRODUCT($AK28:$AR28,$AK$6:$AR$6)*IF($E28="CABA",'Parametros'!C$7,IF($E28="PBA",1-'Parametros'!C$7,1))</f>
        <v/>
      </c>
      <c r="H28" s="21">
        <f>SUMPRODUCT($AK28:$AR28,$AK$7:$AR$7)*IF($E28="CABA",'Parametros'!D$7,IF($E28="PBA",1-'Parametros'!D$7,1))</f>
        <v/>
      </c>
      <c r="I28" s="21">
        <f>SUMPRODUCT($AK28:$AR28,$AK$8:$AR$8)*IF($E28="CABA",'Parametros'!E$7,IF($E28="PBA",1-'Parametros'!E$7,1))</f>
        <v/>
      </c>
      <c r="J28" s="21">
        <f>SUMPRODUCT($AK28:$AR28,$AK$9:$AR$9)*IF($E28="CABA",'Parametros'!F$7,IF($E28="PBA",1-'Parametros'!F$7,1))</f>
        <v/>
      </c>
      <c r="K28" s="21">
        <f>SUMPRODUCT($AK28:$AR28,$AK$10:$AR$10)*IF($E28="CABA",'Parametros'!G$7,IF($E28="PBA",1-'Parametros'!G$7,1))</f>
        <v/>
      </c>
      <c r="L28" s="21">
        <f>SUMPRODUCT($AK28:$AR28,$AK$11:$AR$11)*IF($E28="CABA",'Parametros'!H$7,IF($E28="PBA",1-'Parametros'!H$7,1))</f>
        <v/>
      </c>
      <c r="M28" s="21">
        <f>SUMPRODUCT($AK28:$AR28,$AK$12:$AR$12)*IF($E28="CABA",'Parametros'!I$7,IF($E28="PBA",1-'Parametros'!I$7,1))</f>
        <v/>
      </c>
      <c r="N28" s="21">
        <f>SUMPRODUCT($AK28:$AR28,$AK$13:$AR$13)*IF($E28="CABA",'Parametros'!J$7,IF($E28="PBA",1-'Parametros'!J$7,1))</f>
        <v/>
      </c>
      <c r="O28" s="21">
        <f>SUMPRODUCT($AK28:$AR28,$AK$14:$AR$14)*IF($E28="CABA",'Parametros'!K$7,IF($E28="PBA",1-'Parametros'!K$7,1))</f>
        <v/>
      </c>
      <c r="AM28" s="22" t="n">
        <v>0.224</v>
      </c>
    </row>
    <row r="29">
      <c r="A29" s="2" t="inlineStr">
        <is>
          <t>Fleje e=1,6 × 300</t>
        </is>
      </c>
      <c r="B29" s="2" t="inlineStr">
        <is>
          <t>m</t>
        </is>
      </c>
      <c r="C29" s="2" t="inlineStr">
        <is>
          <t>Materia prima</t>
        </is>
      </c>
      <c r="D29" s="2" t="inlineStr">
        <is>
          <t>Pacheco Chapas</t>
        </is>
      </c>
      <c r="E29" s="2" t="inlineStr">
        <is>
          <t>Todos</t>
        </is>
      </c>
      <c r="F29" s="21">
        <f>SUMPRODUCT($AK29:$AR29,$AK$5:$AR$5)*IF($E29="CABA",'Parametros'!B$7,IF($E29="PBA",1-'Parametros'!B$7,1))</f>
        <v/>
      </c>
      <c r="G29" s="21">
        <f>SUMPRODUCT($AK29:$AR29,$AK$6:$AR$6)*IF($E29="CABA",'Parametros'!C$7,IF($E29="PBA",1-'Parametros'!C$7,1))</f>
        <v/>
      </c>
      <c r="H29" s="21">
        <f>SUMPRODUCT($AK29:$AR29,$AK$7:$AR$7)*IF($E29="CABA",'Parametros'!D$7,IF($E29="PBA",1-'Parametros'!D$7,1))</f>
        <v/>
      </c>
      <c r="I29" s="21">
        <f>SUMPRODUCT($AK29:$AR29,$AK$8:$AR$8)*IF($E29="CABA",'Parametros'!E$7,IF($E29="PBA",1-'Parametros'!E$7,1))</f>
        <v/>
      </c>
      <c r="J29" s="21">
        <f>SUMPRODUCT($AK29:$AR29,$AK$9:$AR$9)*IF($E29="CABA",'Parametros'!F$7,IF($E29="PBA",1-'Parametros'!F$7,1))</f>
        <v/>
      </c>
      <c r="K29" s="21">
        <f>SUMPRODUCT($AK29:$AR29,$AK$10:$AR$10)*IF($E29="CABA",'Parametros'!G$7,IF($E29="PBA",1-'Parametros'!G$7,1))</f>
        <v/>
      </c>
      <c r="L29" s="21">
        <f>SUMPRODUCT($AK29:$AR29,$AK$11:$AR$11)*IF($E29="CABA",'Parametros'!H$7,IF($E29="PBA",1-'Parametros'!H$7,1))</f>
        <v/>
      </c>
      <c r="M29" s="21">
        <f>SUMPRODUCT($AK29:$AR29,$AK$12:$AR$12)*IF($E29="CABA",'Parametros'!I$7,IF($E29="PBA",1-'Parametros'!I$7,1))</f>
        <v/>
      </c>
      <c r="N29" s="21">
        <f>SUMPRODUCT($AK29:$AR29,$AK$13:$AR$13)*IF($E29="CABA",'Parametros'!J$7,IF($E29="PBA",1-'Parametros'!J$7,1))</f>
        <v/>
      </c>
      <c r="O29" s="21">
        <f>SUMPRODUCT($AK29:$AR29,$AK$14:$AR$14)*IF($E29="CABA",'Parametros'!K$7,IF($E29="PBA",1-'Parametros'!K$7,1))</f>
        <v/>
      </c>
      <c r="AN29" s="22" t="n">
        <v>0.261</v>
      </c>
    </row>
    <row r="30">
      <c r="A30" s="2" t="inlineStr">
        <is>
          <t>Fleje e=2 × 249</t>
        </is>
      </c>
      <c r="B30" s="2" t="inlineStr">
        <is>
          <t>m</t>
        </is>
      </c>
      <c r="C30" s="2" t="inlineStr">
        <is>
          <t>Materia prima</t>
        </is>
      </c>
      <c r="D30" s="2" t="inlineStr">
        <is>
          <t>Pacheco Chapas</t>
        </is>
      </c>
      <c r="E30" s="2" t="inlineStr">
        <is>
          <t>Todos</t>
        </is>
      </c>
      <c r="F30" s="21">
        <f>SUMPRODUCT($AK30:$AR30,$AK$5:$AR$5)*IF($E30="CABA",'Parametros'!B$7,IF($E30="PBA",1-'Parametros'!B$7,1))</f>
        <v/>
      </c>
      <c r="G30" s="21">
        <f>SUMPRODUCT($AK30:$AR30,$AK$6:$AR$6)*IF($E30="CABA",'Parametros'!C$7,IF($E30="PBA",1-'Parametros'!C$7,1))</f>
        <v/>
      </c>
      <c r="H30" s="21">
        <f>SUMPRODUCT($AK30:$AR30,$AK$7:$AR$7)*IF($E30="CABA",'Parametros'!D$7,IF($E30="PBA",1-'Parametros'!D$7,1))</f>
        <v/>
      </c>
      <c r="I30" s="21">
        <f>SUMPRODUCT($AK30:$AR30,$AK$8:$AR$8)*IF($E30="CABA",'Parametros'!E$7,IF($E30="PBA",1-'Parametros'!E$7,1))</f>
        <v/>
      </c>
      <c r="J30" s="21">
        <f>SUMPRODUCT($AK30:$AR30,$AK$9:$AR$9)*IF($E30="CABA",'Parametros'!F$7,IF($E30="PBA",1-'Parametros'!F$7,1))</f>
        <v/>
      </c>
      <c r="K30" s="21">
        <f>SUMPRODUCT($AK30:$AR30,$AK$10:$AR$10)*IF($E30="CABA",'Parametros'!G$7,IF($E30="PBA",1-'Parametros'!G$7,1))</f>
        <v/>
      </c>
      <c r="L30" s="21">
        <f>SUMPRODUCT($AK30:$AR30,$AK$11:$AR$11)*IF($E30="CABA",'Parametros'!H$7,IF($E30="PBA",1-'Parametros'!H$7,1))</f>
        <v/>
      </c>
      <c r="M30" s="21">
        <f>SUMPRODUCT($AK30:$AR30,$AK$12:$AR$12)*IF($E30="CABA",'Parametros'!I$7,IF($E30="PBA",1-'Parametros'!I$7,1))</f>
        <v/>
      </c>
      <c r="N30" s="21">
        <f>SUMPRODUCT($AK30:$AR30,$AK$13:$AR$13)*IF($E30="CABA",'Parametros'!J$7,IF($E30="PBA",1-'Parametros'!J$7,1))</f>
        <v/>
      </c>
      <c r="O30" s="21">
        <f>SUMPRODUCT($AK30:$AR30,$AK$14:$AR$14)*IF($E30="CABA",'Parametros'!K$7,IF($E30="PBA",1-'Parametros'!K$7,1))</f>
        <v/>
      </c>
      <c r="AN30" s="22" t="n">
        <v>0.208</v>
      </c>
    </row>
    <row r="31">
      <c r="A31" s="2" t="inlineStr">
        <is>
          <t>Redondo SAE 1045 Ø25</t>
        </is>
      </c>
      <c r="B31" s="2" t="inlineStr">
        <is>
          <t>barra 6 m</t>
        </is>
      </c>
      <c r="C31" s="2" t="inlineStr">
        <is>
          <t>Materia prima</t>
        </is>
      </c>
      <c r="D31" s="2" t="inlineStr">
        <is>
          <t>Hierros Parrotta</t>
        </is>
      </c>
      <c r="E31" s="2" t="inlineStr">
        <is>
          <t>Todos</t>
        </is>
      </c>
      <c r="F31" s="21">
        <f>SUMPRODUCT($AK31:$AR31,$AK$5:$AR$5)*IF($E31="CABA",'Parametros'!B$7,IF($E31="PBA",1-'Parametros'!B$7,1))</f>
        <v/>
      </c>
      <c r="G31" s="21">
        <f>SUMPRODUCT($AK31:$AR31,$AK$6:$AR$6)*IF($E31="CABA",'Parametros'!C$7,IF($E31="PBA",1-'Parametros'!C$7,1))</f>
        <v/>
      </c>
      <c r="H31" s="21">
        <f>SUMPRODUCT($AK31:$AR31,$AK$7:$AR$7)*IF($E31="CABA",'Parametros'!D$7,IF($E31="PBA",1-'Parametros'!D$7,1))</f>
        <v/>
      </c>
      <c r="I31" s="21">
        <f>SUMPRODUCT($AK31:$AR31,$AK$8:$AR$8)*IF($E31="CABA",'Parametros'!E$7,IF($E31="PBA",1-'Parametros'!E$7,1))</f>
        <v/>
      </c>
      <c r="J31" s="21">
        <f>SUMPRODUCT($AK31:$AR31,$AK$9:$AR$9)*IF($E31="CABA",'Parametros'!F$7,IF($E31="PBA",1-'Parametros'!F$7,1))</f>
        <v/>
      </c>
      <c r="K31" s="21">
        <f>SUMPRODUCT($AK31:$AR31,$AK$10:$AR$10)*IF($E31="CABA",'Parametros'!G$7,IF($E31="PBA",1-'Parametros'!G$7,1))</f>
        <v/>
      </c>
      <c r="L31" s="21">
        <f>SUMPRODUCT($AK31:$AR31,$AK$11:$AR$11)*IF($E31="CABA",'Parametros'!H$7,IF($E31="PBA",1-'Parametros'!H$7,1))</f>
        <v/>
      </c>
      <c r="M31" s="21">
        <f>SUMPRODUCT($AK31:$AR31,$AK$12:$AR$12)*IF($E31="CABA",'Parametros'!I$7,IF($E31="PBA",1-'Parametros'!I$7,1))</f>
        <v/>
      </c>
      <c r="N31" s="21">
        <f>SUMPRODUCT($AK31:$AR31,$AK$13:$AR$13)*IF($E31="CABA",'Parametros'!J$7,IF($E31="PBA",1-'Parametros'!J$7,1))</f>
        <v/>
      </c>
      <c r="O31" s="21">
        <f>SUMPRODUCT($AK31:$AR31,$AK$14:$AR$14)*IF($E31="CABA",'Parametros'!K$7,IF($E31="PBA",1-'Parametros'!K$7,1))</f>
        <v/>
      </c>
      <c r="AO31" s="22" t="n">
        <v>0.07580000000000001</v>
      </c>
      <c r="AP31" s="22" t="n">
        <v>0.07770000000000001</v>
      </c>
      <c r="AQ31" s="22" t="n">
        <v>0.0958</v>
      </c>
      <c r="AR31" s="22" t="n">
        <v>0.105</v>
      </c>
    </row>
    <row r="32">
      <c r="A32" s="2" t="inlineStr">
        <is>
          <t>Cuello roscado — Ø29 × 12,5 de alto, rosca M22x1,5, asiento Ø26</t>
        </is>
      </c>
      <c r="B32" s="2" t="inlineStr">
        <is>
          <t>u</t>
        </is>
      </c>
      <c r="C32" s="2" t="inlineStr">
        <is>
          <t>Semielaborado comprado</t>
        </is>
      </c>
      <c r="D32" s="2" t="inlineStr">
        <is>
          <t>Eli-Met</t>
        </is>
      </c>
      <c r="E32" s="2" t="inlineStr">
        <is>
          <t>Todos</t>
        </is>
      </c>
      <c r="F32" s="21">
        <f>SUMPRODUCT($AK32:$AR32,$AK$5:$AR$5)*IF($E32="CABA",'Parametros'!B$7,IF($E32="PBA",1-'Parametros'!B$7,1))</f>
        <v/>
      </c>
      <c r="G32" s="21">
        <f>SUMPRODUCT($AK32:$AR32,$AK$6:$AR$6)*IF($E32="CABA",'Parametros'!C$7,IF($E32="PBA",1-'Parametros'!C$7,1))</f>
        <v/>
      </c>
      <c r="H32" s="21">
        <f>SUMPRODUCT($AK32:$AR32,$AK$7:$AR$7)*IF($E32="CABA",'Parametros'!D$7,IF($E32="PBA",1-'Parametros'!D$7,1))</f>
        <v/>
      </c>
      <c r="I32" s="21">
        <f>SUMPRODUCT($AK32:$AR32,$AK$8:$AR$8)*IF($E32="CABA",'Parametros'!E$7,IF($E32="PBA",1-'Parametros'!E$7,1))</f>
        <v/>
      </c>
      <c r="J32" s="21">
        <f>SUMPRODUCT($AK32:$AR32,$AK$9:$AR$9)*IF($E32="CABA",'Parametros'!F$7,IF($E32="PBA",1-'Parametros'!F$7,1))</f>
        <v/>
      </c>
      <c r="K32" s="21">
        <f>SUMPRODUCT($AK32:$AR32,$AK$10:$AR$10)*IF($E32="CABA",'Parametros'!G$7,IF($E32="PBA",1-'Parametros'!G$7,1))</f>
        <v/>
      </c>
      <c r="L32" s="21">
        <f>SUMPRODUCT($AK32:$AR32,$AK$11:$AR$11)*IF($E32="CABA",'Parametros'!H$7,IF($E32="PBA",1-'Parametros'!H$7,1))</f>
        <v/>
      </c>
      <c r="M32" s="21">
        <f>SUMPRODUCT($AK32:$AR32,$AK$12:$AR$12)*IF($E32="CABA",'Parametros'!I$7,IF($E32="PBA",1-'Parametros'!I$7,1))</f>
        <v/>
      </c>
      <c r="N32" s="21">
        <f>SUMPRODUCT($AK32:$AR32,$AK$13:$AR$13)*IF($E32="CABA",'Parametros'!J$7,IF($E32="PBA",1-'Parametros'!J$7,1))</f>
        <v/>
      </c>
      <c r="O32" s="21">
        <f>SUMPRODUCT($AK32:$AR32,$AK$14:$AR$14)*IF($E32="CABA",'Parametros'!K$7,IF($E32="PBA",1-'Parametros'!K$7,1))</f>
        <v/>
      </c>
      <c r="AK32" s="22" t="n">
        <v>1</v>
      </c>
    </row>
    <row r="33">
      <c r="A33" s="2" t="inlineStr">
        <is>
          <t>Cuello roscado — Ø36,8 × 14 de alto, rosca M30x1,5, asiento Ø35</t>
        </is>
      </c>
      <c r="B33" s="2" t="inlineStr">
        <is>
          <t>u</t>
        </is>
      </c>
      <c r="C33" s="2" t="inlineStr">
        <is>
          <t>Semielaborado comprado</t>
        </is>
      </c>
      <c r="D33" s="2" t="inlineStr">
        <is>
          <t>Eli-Met</t>
        </is>
      </c>
      <c r="E33" s="2" t="inlineStr">
        <is>
          <t>Todos</t>
        </is>
      </c>
      <c r="F33" s="21">
        <f>SUMPRODUCT($AK33:$AR33,$AK$5:$AR$5)*IF($E33="CABA",'Parametros'!B$7,IF($E33="PBA",1-'Parametros'!B$7,1))</f>
        <v/>
      </c>
      <c r="G33" s="21">
        <f>SUMPRODUCT($AK33:$AR33,$AK$6:$AR$6)*IF($E33="CABA",'Parametros'!C$7,IF($E33="PBA",1-'Parametros'!C$7,1))</f>
        <v/>
      </c>
      <c r="H33" s="21">
        <f>SUMPRODUCT($AK33:$AR33,$AK$7:$AR$7)*IF($E33="CABA",'Parametros'!D$7,IF($E33="PBA",1-'Parametros'!D$7,1))</f>
        <v/>
      </c>
      <c r="I33" s="21">
        <f>SUMPRODUCT($AK33:$AR33,$AK$8:$AR$8)*IF($E33="CABA",'Parametros'!E$7,IF($E33="PBA",1-'Parametros'!E$7,1))</f>
        <v/>
      </c>
      <c r="J33" s="21">
        <f>SUMPRODUCT($AK33:$AR33,$AK$9:$AR$9)*IF($E33="CABA",'Parametros'!F$7,IF($E33="PBA",1-'Parametros'!F$7,1))</f>
        <v/>
      </c>
      <c r="K33" s="21">
        <f>SUMPRODUCT($AK33:$AR33,$AK$10:$AR$10)*IF($E33="CABA",'Parametros'!G$7,IF($E33="PBA",1-'Parametros'!G$7,1))</f>
        <v/>
      </c>
      <c r="L33" s="21">
        <f>SUMPRODUCT($AK33:$AR33,$AK$11:$AR$11)*IF($E33="CABA",'Parametros'!H$7,IF($E33="PBA",1-'Parametros'!H$7,1))</f>
        <v/>
      </c>
      <c r="M33" s="21">
        <f>SUMPRODUCT($AK33:$AR33,$AK$12:$AR$12)*IF($E33="CABA",'Parametros'!I$7,IF($E33="PBA",1-'Parametros'!I$7,1))</f>
        <v/>
      </c>
      <c r="N33" s="21">
        <f>SUMPRODUCT($AK33:$AR33,$AK$13:$AR$13)*IF($E33="CABA",'Parametros'!J$7,IF($E33="PBA",1-'Parametros'!J$7,1))</f>
        <v/>
      </c>
      <c r="O33" s="21">
        <f>SUMPRODUCT($AK33:$AR33,$AK$14:$AR$14)*IF($E33="CABA",'Parametros'!K$7,IF($E33="PBA",1-'Parametros'!K$7,1))</f>
        <v/>
      </c>
      <c r="AN33" s="22" t="n">
        <v>1</v>
      </c>
    </row>
    <row r="34">
      <c r="A34" s="2" t="inlineStr">
        <is>
          <t>Cuello roscado — Ø37 × 14 de alto, rosca M30x1,5, asiento Ø35</t>
        </is>
      </c>
      <c r="B34" s="2" t="inlineStr">
        <is>
          <t>u</t>
        </is>
      </c>
      <c r="C34" s="2" t="inlineStr">
        <is>
          <t>Semielaborado comprado</t>
        </is>
      </c>
      <c r="D34" s="2" t="inlineStr">
        <is>
          <t>Eli-Met</t>
        </is>
      </c>
      <c r="E34" s="2" t="inlineStr">
        <is>
          <t>Todos</t>
        </is>
      </c>
      <c r="F34" s="21">
        <f>SUMPRODUCT($AK34:$AR34,$AK$5:$AR$5)*IF($E34="CABA",'Parametros'!B$7,IF($E34="PBA",1-'Parametros'!B$7,1))</f>
        <v/>
      </c>
      <c r="G34" s="21">
        <f>SUMPRODUCT($AK34:$AR34,$AK$6:$AR$6)*IF($E34="CABA",'Parametros'!C$7,IF($E34="PBA",1-'Parametros'!C$7,1))</f>
        <v/>
      </c>
      <c r="H34" s="21">
        <f>SUMPRODUCT($AK34:$AR34,$AK$7:$AR$7)*IF($E34="CABA",'Parametros'!D$7,IF($E34="PBA",1-'Parametros'!D$7,1))</f>
        <v/>
      </c>
      <c r="I34" s="21">
        <f>SUMPRODUCT($AK34:$AR34,$AK$8:$AR$8)*IF($E34="CABA",'Parametros'!E$7,IF($E34="PBA",1-'Parametros'!E$7,1))</f>
        <v/>
      </c>
      <c r="J34" s="21">
        <f>SUMPRODUCT($AK34:$AR34,$AK$9:$AR$9)*IF($E34="CABA",'Parametros'!F$7,IF($E34="PBA",1-'Parametros'!F$7,1))</f>
        <v/>
      </c>
      <c r="K34" s="21">
        <f>SUMPRODUCT($AK34:$AR34,$AK$10:$AR$10)*IF($E34="CABA",'Parametros'!G$7,IF($E34="PBA",1-'Parametros'!G$7,1))</f>
        <v/>
      </c>
      <c r="L34" s="21">
        <f>SUMPRODUCT($AK34:$AR34,$AK$11:$AR$11)*IF($E34="CABA",'Parametros'!H$7,IF($E34="PBA",1-'Parametros'!H$7,1))</f>
        <v/>
      </c>
      <c r="M34" s="21">
        <f>SUMPRODUCT($AK34:$AR34,$AK$12:$AR$12)*IF($E34="CABA",'Parametros'!I$7,IF($E34="PBA",1-'Parametros'!I$7,1))</f>
        <v/>
      </c>
      <c r="N34" s="21">
        <f>SUMPRODUCT($AK34:$AR34,$AK$13:$AR$13)*IF($E34="CABA",'Parametros'!J$7,IF($E34="PBA",1-'Parametros'!J$7,1))</f>
        <v/>
      </c>
      <c r="O34" s="21">
        <f>SUMPRODUCT($AK34:$AR34,$AK$14:$AR$14)*IF($E34="CABA",'Parametros'!K$7,IF($E34="PBA",1-'Parametros'!K$7,1))</f>
        <v/>
      </c>
      <c r="AL34" s="22" t="n">
        <v>1</v>
      </c>
    </row>
    <row r="35">
      <c r="A35" s="2" t="inlineStr">
        <is>
          <t>Cuello roscado — Ø37 × 15 de alto, rosca M30x1,5, asiento Ø35</t>
        </is>
      </c>
      <c r="B35" s="2" t="inlineStr">
        <is>
          <t>u</t>
        </is>
      </c>
      <c r="C35" s="2" t="inlineStr">
        <is>
          <t>Semielaborado comprado</t>
        </is>
      </c>
      <c r="D35" s="2" t="inlineStr">
        <is>
          <t>Eli-Met</t>
        </is>
      </c>
      <c r="E35" s="2" t="inlineStr">
        <is>
          <t>Todos</t>
        </is>
      </c>
      <c r="F35" s="21">
        <f>SUMPRODUCT($AK35:$AR35,$AK$5:$AR$5)*IF($E35="CABA",'Parametros'!B$7,IF($E35="PBA",1-'Parametros'!B$7,1))</f>
        <v/>
      </c>
      <c r="G35" s="21">
        <f>SUMPRODUCT($AK35:$AR35,$AK$6:$AR$6)*IF($E35="CABA",'Parametros'!C$7,IF($E35="PBA",1-'Parametros'!C$7,1))</f>
        <v/>
      </c>
      <c r="H35" s="21">
        <f>SUMPRODUCT($AK35:$AR35,$AK$7:$AR$7)*IF($E35="CABA",'Parametros'!D$7,IF($E35="PBA",1-'Parametros'!D$7,1))</f>
        <v/>
      </c>
      <c r="I35" s="21">
        <f>SUMPRODUCT($AK35:$AR35,$AK$8:$AR$8)*IF($E35="CABA",'Parametros'!E$7,IF($E35="PBA",1-'Parametros'!E$7,1))</f>
        <v/>
      </c>
      <c r="J35" s="21">
        <f>SUMPRODUCT($AK35:$AR35,$AK$9:$AR$9)*IF($E35="CABA",'Parametros'!F$7,IF($E35="PBA",1-'Parametros'!F$7,1))</f>
        <v/>
      </c>
      <c r="K35" s="21">
        <f>SUMPRODUCT($AK35:$AR35,$AK$10:$AR$10)*IF($E35="CABA",'Parametros'!G$7,IF($E35="PBA",1-'Parametros'!G$7,1))</f>
        <v/>
      </c>
      <c r="L35" s="21">
        <f>SUMPRODUCT($AK35:$AR35,$AK$11:$AR$11)*IF($E35="CABA",'Parametros'!H$7,IF($E35="PBA",1-'Parametros'!H$7,1))</f>
        <v/>
      </c>
      <c r="M35" s="21">
        <f>SUMPRODUCT($AK35:$AR35,$AK$12:$AR$12)*IF($E35="CABA",'Parametros'!I$7,IF($E35="PBA",1-'Parametros'!I$7,1))</f>
        <v/>
      </c>
      <c r="N35" s="21">
        <f>SUMPRODUCT($AK35:$AR35,$AK$13:$AR$13)*IF($E35="CABA",'Parametros'!J$7,IF($E35="PBA",1-'Parametros'!J$7,1))</f>
        <v/>
      </c>
      <c r="O35" s="21">
        <f>SUMPRODUCT($AK35:$AR35,$AK$14:$AR$14)*IF($E35="CABA",'Parametros'!K$7,IF($E35="PBA",1-'Parametros'!K$7,1))</f>
        <v/>
      </c>
      <c r="AM35" s="22" t="n">
        <v>1</v>
      </c>
    </row>
    <row r="36">
      <c r="A36" s="2" t="inlineStr">
        <is>
          <t>Cuello roscado — Ø37 × 35 de alto, rosca M30x1,5, asiento Ø35</t>
        </is>
      </c>
      <c r="B36" s="2" t="inlineStr">
        <is>
          <t>u</t>
        </is>
      </c>
      <c r="C36" s="2" t="inlineStr">
        <is>
          <t>Semielaborado comprado</t>
        </is>
      </c>
      <c r="D36" s="2" t="inlineStr">
        <is>
          <t>Eli-Met</t>
        </is>
      </c>
      <c r="E36" s="2" t="inlineStr">
        <is>
          <t>Todos</t>
        </is>
      </c>
      <c r="F36" s="21">
        <f>SUMPRODUCT($AK36:$AR36,$AK$5:$AR$5)*IF($E36="CABA",'Parametros'!B$7,IF($E36="PBA",1-'Parametros'!B$7,1))</f>
        <v/>
      </c>
      <c r="G36" s="21">
        <f>SUMPRODUCT($AK36:$AR36,$AK$6:$AR$6)*IF($E36="CABA",'Parametros'!C$7,IF($E36="PBA",1-'Parametros'!C$7,1))</f>
        <v/>
      </c>
      <c r="H36" s="21">
        <f>SUMPRODUCT($AK36:$AR36,$AK$7:$AR$7)*IF($E36="CABA",'Parametros'!D$7,IF($E36="PBA",1-'Parametros'!D$7,1))</f>
        <v/>
      </c>
      <c r="I36" s="21">
        <f>SUMPRODUCT($AK36:$AR36,$AK$8:$AR$8)*IF($E36="CABA",'Parametros'!E$7,IF($E36="PBA",1-'Parametros'!E$7,1))</f>
        <v/>
      </c>
      <c r="J36" s="21">
        <f>SUMPRODUCT($AK36:$AR36,$AK$9:$AR$9)*IF($E36="CABA",'Parametros'!F$7,IF($E36="PBA",1-'Parametros'!F$7,1))</f>
        <v/>
      </c>
      <c r="K36" s="21">
        <f>SUMPRODUCT($AK36:$AR36,$AK$10:$AR$10)*IF($E36="CABA",'Parametros'!G$7,IF($E36="PBA",1-'Parametros'!G$7,1))</f>
        <v/>
      </c>
      <c r="L36" s="21">
        <f>SUMPRODUCT($AK36:$AR36,$AK$11:$AR$11)*IF($E36="CABA",'Parametros'!H$7,IF($E36="PBA",1-'Parametros'!H$7,1))</f>
        <v/>
      </c>
      <c r="M36" s="21">
        <f>SUMPRODUCT($AK36:$AR36,$AK$12:$AR$12)*IF($E36="CABA",'Parametros'!I$7,IF($E36="PBA",1-'Parametros'!I$7,1))</f>
        <v/>
      </c>
      <c r="N36" s="21">
        <f>SUMPRODUCT($AK36:$AR36,$AK$13:$AR$13)*IF($E36="CABA",'Parametros'!J$7,IF($E36="PBA",1-'Parametros'!J$7,1))</f>
        <v/>
      </c>
      <c r="O36" s="21">
        <f>SUMPRODUCT($AK36:$AR36,$AK$14:$AR$14)*IF($E36="CABA",'Parametros'!K$7,IF($E36="PBA",1-'Parametros'!K$7,1))</f>
        <v/>
      </c>
      <c r="AO36" s="22" t="n">
        <v>1</v>
      </c>
    </row>
    <row r="37">
      <c r="A37" s="2" t="inlineStr">
        <is>
          <t>Cuello roscado — Ø88 × 37 de alto, rosca RBSP 2 1/2"-11 h, asiento Ø80</t>
        </is>
      </c>
      <c r="B37" s="2" t="inlineStr">
        <is>
          <t>u</t>
        </is>
      </c>
      <c r="C37" s="2" t="inlineStr">
        <is>
          <t>Semielaborado comprado</t>
        </is>
      </c>
      <c r="D37" s="2" t="inlineStr">
        <is>
          <t>Eli-Met</t>
        </is>
      </c>
      <c r="E37" s="2" t="inlineStr">
        <is>
          <t>Todos</t>
        </is>
      </c>
      <c r="F37" s="21">
        <f>SUMPRODUCT($AK37:$AR37,$AK$5:$AR$5)*IF($E37="CABA",'Parametros'!B$7,IF($E37="PBA",1-'Parametros'!B$7,1))</f>
        <v/>
      </c>
      <c r="G37" s="21">
        <f>SUMPRODUCT($AK37:$AR37,$AK$6:$AR$6)*IF($E37="CABA",'Parametros'!C$7,IF($E37="PBA",1-'Parametros'!C$7,1))</f>
        <v/>
      </c>
      <c r="H37" s="21">
        <f>SUMPRODUCT($AK37:$AR37,$AK$7:$AR$7)*IF($E37="CABA",'Parametros'!D$7,IF($E37="PBA",1-'Parametros'!D$7,1))</f>
        <v/>
      </c>
      <c r="I37" s="21">
        <f>SUMPRODUCT($AK37:$AR37,$AK$8:$AR$8)*IF($E37="CABA",'Parametros'!E$7,IF($E37="PBA",1-'Parametros'!E$7,1))</f>
        <v/>
      </c>
      <c r="J37" s="21">
        <f>SUMPRODUCT($AK37:$AR37,$AK$9:$AR$9)*IF($E37="CABA",'Parametros'!F$7,IF($E37="PBA",1-'Parametros'!F$7,1))</f>
        <v/>
      </c>
      <c r="K37" s="21">
        <f>SUMPRODUCT($AK37:$AR37,$AK$10:$AR$10)*IF($E37="CABA",'Parametros'!G$7,IF($E37="PBA",1-'Parametros'!G$7,1))</f>
        <v/>
      </c>
      <c r="L37" s="21">
        <f>SUMPRODUCT($AK37:$AR37,$AK$11:$AR$11)*IF($E37="CABA",'Parametros'!H$7,IF($E37="PBA",1-'Parametros'!H$7,1))</f>
        <v/>
      </c>
      <c r="M37" s="21">
        <f>SUMPRODUCT($AK37:$AR37,$AK$12:$AR$12)*IF($E37="CABA",'Parametros'!I$7,IF($E37="PBA",1-'Parametros'!I$7,1))</f>
        <v/>
      </c>
      <c r="N37" s="21">
        <f>SUMPRODUCT($AK37:$AR37,$AK$13:$AR$13)*IF($E37="CABA",'Parametros'!J$7,IF($E37="PBA",1-'Parametros'!J$7,1))</f>
        <v/>
      </c>
      <c r="O37" s="21">
        <f>SUMPRODUCT($AK37:$AR37,$AK$14:$AR$14)*IF($E37="CABA",'Parametros'!K$7,IF($E37="PBA",1-'Parametros'!K$7,1))</f>
        <v/>
      </c>
      <c r="AP37" s="22" t="n">
        <v>1</v>
      </c>
      <c r="AQ37" s="22" t="n">
        <v>1</v>
      </c>
      <c r="AR37" s="22" t="n">
        <v>1</v>
      </c>
    </row>
    <row r="38">
      <c r="A38" s="2" t="inlineStr">
        <is>
          <t>Cúpula — Ø276,5 × e3,2 × 94,4 de alto; disco Ø358,3</t>
        </is>
      </c>
      <c r="B38" s="2" t="inlineStr">
        <is>
          <t>u</t>
        </is>
      </c>
      <c r="C38" s="2" t="inlineStr">
        <is>
          <t>Semielaborado comprado</t>
        </is>
      </c>
      <c r="D38" s="2" t="inlineStr">
        <is>
          <t>Gockel Ingeniería S.R.L.</t>
        </is>
      </c>
      <c r="E38" s="2" t="inlineStr">
        <is>
          <t>Todos</t>
        </is>
      </c>
      <c r="F38" s="21">
        <f>SUMPRODUCT($AK38:$AR38,$AK$5:$AR$5)*IF($E38="CABA",'Parametros'!B$7,IF($E38="PBA",1-'Parametros'!B$7,1))</f>
        <v/>
      </c>
      <c r="G38" s="21">
        <f>SUMPRODUCT($AK38:$AR38,$AK$6:$AR$6)*IF($E38="CABA",'Parametros'!C$7,IF($E38="PBA",1-'Parametros'!C$7,1))</f>
        <v/>
      </c>
      <c r="H38" s="21">
        <f>SUMPRODUCT($AK38:$AR38,$AK$7:$AR$7)*IF($E38="CABA",'Parametros'!D$7,IF($E38="PBA",1-'Parametros'!D$7,1))</f>
        <v/>
      </c>
      <c r="I38" s="21">
        <f>SUMPRODUCT($AK38:$AR38,$AK$8:$AR$8)*IF($E38="CABA",'Parametros'!E$7,IF($E38="PBA",1-'Parametros'!E$7,1))</f>
        <v/>
      </c>
      <c r="J38" s="21">
        <f>SUMPRODUCT($AK38:$AR38,$AK$9:$AR$9)*IF($E38="CABA",'Parametros'!F$7,IF($E38="PBA",1-'Parametros'!F$7,1))</f>
        <v/>
      </c>
      <c r="K38" s="21">
        <f>SUMPRODUCT($AK38:$AR38,$AK$10:$AR$10)*IF($E38="CABA",'Parametros'!G$7,IF($E38="PBA",1-'Parametros'!G$7,1))</f>
        <v/>
      </c>
      <c r="L38" s="21">
        <f>SUMPRODUCT($AK38:$AR38,$AK$11:$AR$11)*IF($E38="CABA",'Parametros'!H$7,IF($E38="PBA",1-'Parametros'!H$7,1))</f>
        <v/>
      </c>
      <c r="M38" s="21">
        <f>SUMPRODUCT($AK38:$AR38,$AK$12:$AR$12)*IF($E38="CABA",'Parametros'!I$7,IF($E38="PBA",1-'Parametros'!I$7,1))</f>
        <v/>
      </c>
      <c r="N38" s="21">
        <f>SUMPRODUCT($AK38:$AR38,$AK$13:$AR$13)*IF($E38="CABA",'Parametros'!J$7,IF($E38="PBA",1-'Parametros'!J$7,1))</f>
        <v/>
      </c>
      <c r="O38" s="21">
        <f>SUMPRODUCT($AK38:$AR38,$AK$14:$AR$14)*IF($E38="CABA",'Parametros'!K$7,IF($E38="PBA",1-'Parametros'!K$7,1))</f>
        <v/>
      </c>
      <c r="AO38" s="22" t="n">
        <v>1</v>
      </c>
    </row>
    <row r="39">
      <c r="A39" s="2" t="inlineStr">
        <is>
          <t>Cúpula — Ø320 × e3,2 × 109,9 de alto; disco Ø410,8</t>
        </is>
      </c>
      <c r="B39" s="2" t="inlineStr">
        <is>
          <t>u</t>
        </is>
      </c>
      <c r="C39" s="2" t="inlineStr">
        <is>
          <t>Semielaborado comprado</t>
        </is>
      </c>
      <c r="D39" s="2" t="inlineStr">
        <is>
          <t>Gockel Ingeniería S.R.L.</t>
        </is>
      </c>
      <c r="E39" s="2" t="inlineStr">
        <is>
          <t>Todos</t>
        </is>
      </c>
      <c r="F39" s="21">
        <f>SUMPRODUCT($AK39:$AR39,$AK$5:$AR$5)*IF($E39="CABA",'Parametros'!B$7,IF($E39="PBA",1-'Parametros'!B$7,1))</f>
        <v/>
      </c>
      <c r="G39" s="21">
        <f>SUMPRODUCT($AK39:$AR39,$AK$6:$AR$6)*IF($E39="CABA",'Parametros'!C$7,IF($E39="PBA",1-'Parametros'!C$7,1))</f>
        <v/>
      </c>
      <c r="H39" s="21">
        <f>SUMPRODUCT($AK39:$AR39,$AK$7:$AR$7)*IF($E39="CABA",'Parametros'!D$7,IF($E39="PBA",1-'Parametros'!D$7,1))</f>
        <v/>
      </c>
      <c r="I39" s="21">
        <f>SUMPRODUCT($AK39:$AR39,$AK$8:$AR$8)*IF($E39="CABA",'Parametros'!E$7,IF($E39="PBA",1-'Parametros'!E$7,1))</f>
        <v/>
      </c>
      <c r="J39" s="21">
        <f>SUMPRODUCT($AK39:$AR39,$AK$9:$AR$9)*IF($E39="CABA",'Parametros'!F$7,IF($E39="PBA",1-'Parametros'!F$7,1))</f>
        <v/>
      </c>
      <c r="K39" s="21">
        <f>SUMPRODUCT($AK39:$AR39,$AK$10:$AR$10)*IF($E39="CABA",'Parametros'!G$7,IF($E39="PBA",1-'Parametros'!G$7,1))</f>
        <v/>
      </c>
      <c r="L39" s="21">
        <f>SUMPRODUCT($AK39:$AR39,$AK$11:$AR$11)*IF($E39="CABA",'Parametros'!H$7,IF($E39="PBA",1-'Parametros'!H$7,1))</f>
        <v/>
      </c>
      <c r="M39" s="21">
        <f>SUMPRODUCT($AK39:$AR39,$AK$12:$AR$12)*IF($E39="CABA",'Parametros'!I$7,IF($E39="PBA",1-'Parametros'!I$7,1))</f>
        <v/>
      </c>
      <c r="N39" s="21">
        <f>SUMPRODUCT($AK39:$AR39,$AK$13:$AR$13)*IF($E39="CABA",'Parametros'!J$7,IF($E39="PBA",1-'Parametros'!J$7,1))</f>
        <v/>
      </c>
      <c r="O39" s="21">
        <f>SUMPRODUCT($AK39:$AR39,$AK$14:$AR$14)*IF($E39="CABA",'Parametros'!K$7,IF($E39="PBA",1-'Parametros'!K$7,1))</f>
        <v/>
      </c>
      <c r="AP39" s="22" t="n">
        <v>1</v>
      </c>
    </row>
    <row r="40">
      <c r="A40" s="2" t="inlineStr">
        <is>
          <t>Cúpula — Ø390 × e4,75 × 137,3 de alto; disco Ø507,3</t>
        </is>
      </c>
      <c r="B40" s="2" t="inlineStr">
        <is>
          <t>u</t>
        </is>
      </c>
      <c r="C40" s="2" t="inlineStr">
        <is>
          <t>Semielaborado comprado</t>
        </is>
      </c>
      <c r="D40" s="2" t="inlineStr">
        <is>
          <t>Gockel Ingeniería S.R.L.</t>
        </is>
      </c>
      <c r="E40" s="2" t="inlineStr">
        <is>
          <t>Todos</t>
        </is>
      </c>
      <c r="F40" s="21">
        <f>SUMPRODUCT($AK40:$AR40,$AK$5:$AR$5)*IF($E40="CABA",'Parametros'!B$7,IF($E40="PBA",1-'Parametros'!B$7,1))</f>
        <v/>
      </c>
      <c r="G40" s="21">
        <f>SUMPRODUCT($AK40:$AR40,$AK$6:$AR$6)*IF($E40="CABA",'Parametros'!C$7,IF($E40="PBA",1-'Parametros'!C$7,1))</f>
        <v/>
      </c>
      <c r="H40" s="21">
        <f>SUMPRODUCT($AK40:$AR40,$AK$7:$AR$7)*IF($E40="CABA",'Parametros'!D$7,IF($E40="PBA",1-'Parametros'!D$7,1))</f>
        <v/>
      </c>
      <c r="I40" s="21">
        <f>SUMPRODUCT($AK40:$AR40,$AK$8:$AR$8)*IF($E40="CABA",'Parametros'!E$7,IF($E40="PBA",1-'Parametros'!E$7,1))</f>
        <v/>
      </c>
      <c r="J40" s="21">
        <f>SUMPRODUCT($AK40:$AR40,$AK$9:$AR$9)*IF($E40="CABA",'Parametros'!F$7,IF($E40="PBA",1-'Parametros'!F$7,1))</f>
        <v/>
      </c>
      <c r="K40" s="21">
        <f>SUMPRODUCT($AK40:$AR40,$AK$10:$AR$10)*IF($E40="CABA",'Parametros'!G$7,IF($E40="PBA",1-'Parametros'!G$7,1))</f>
        <v/>
      </c>
      <c r="L40" s="21">
        <f>SUMPRODUCT($AK40:$AR40,$AK$11:$AR$11)*IF($E40="CABA",'Parametros'!H$7,IF($E40="PBA",1-'Parametros'!H$7,1))</f>
        <v/>
      </c>
      <c r="M40" s="21">
        <f>SUMPRODUCT($AK40:$AR40,$AK$12:$AR$12)*IF($E40="CABA",'Parametros'!I$7,IF($E40="PBA",1-'Parametros'!I$7,1))</f>
        <v/>
      </c>
      <c r="N40" s="21">
        <f>SUMPRODUCT($AK40:$AR40,$AK$13:$AR$13)*IF($E40="CABA",'Parametros'!J$7,IF($E40="PBA",1-'Parametros'!J$7,1))</f>
        <v/>
      </c>
      <c r="O40" s="21">
        <f>SUMPRODUCT($AK40:$AR40,$AK$14:$AR$14)*IF($E40="CABA",'Parametros'!K$7,IF($E40="PBA",1-'Parametros'!K$7,1))</f>
        <v/>
      </c>
      <c r="AQ40" s="22" t="n">
        <v>1</v>
      </c>
      <c r="AR40" s="22" t="n">
        <v>1</v>
      </c>
    </row>
    <row r="41">
      <c r="A41" s="2" t="inlineStr">
        <is>
          <t>Fondo — Ø276,5 × e3,2 × 95 de alto; disco Ø362,5</t>
        </is>
      </c>
      <c r="B41" s="2" t="inlineStr">
        <is>
          <t>u</t>
        </is>
      </c>
      <c r="C41" s="2" t="inlineStr">
        <is>
          <t>Semielaborado comprado</t>
        </is>
      </c>
      <c r="D41" s="2" t="inlineStr">
        <is>
          <t>Gockel Ingeniería S.R.L.</t>
        </is>
      </c>
      <c r="E41" s="2" t="inlineStr">
        <is>
          <t>Todos</t>
        </is>
      </c>
      <c r="F41" s="21">
        <f>SUMPRODUCT($AK41:$AR41,$AK$5:$AR$5)*IF($E41="CABA",'Parametros'!B$7,IF($E41="PBA",1-'Parametros'!B$7,1))</f>
        <v/>
      </c>
      <c r="G41" s="21">
        <f>SUMPRODUCT($AK41:$AR41,$AK$6:$AR$6)*IF($E41="CABA",'Parametros'!C$7,IF($E41="PBA",1-'Parametros'!C$7,1))</f>
        <v/>
      </c>
      <c r="H41" s="21">
        <f>SUMPRODUCT($AK41:$AR41,$AK$7:$AR$7)*IF($E41="CABA",'Parametros'!D$7,IF($E41="PBA",1-'Parametros'!D$7,1))</f>
        <v/>
      </c>
      <c r="I41" s="21">
        <f>SUMPRODUCT($AK41:$AR41,$AK$8:$AR$8)*IF($E41="CABA",'Parametros'!E$7,IF($E41="PBA",1-'Parametros'!E$7,1))</f>
        <v/>
      </c>
      <c r="J41" s="21">
        <f>SUMPRODUCT($AK41:$AR41,$AK$9:$AR$9)*IF($E41="CABA",'Parametros'!F$7,IF($E41="PBA",1-'Parametros'!F$7,1))</f>
        <v/>
      </c>
      <c r="K41" s="21">
        <f>SUMPRODUCT($AK41:$AR41,$AK$10:$AR$10)*IF($E41="CABA",'Parametros'!G$7,IF($E41="PBA",1-'Parametros'!G$7,1))</f>
        <v/>
      </c>
      <c r="L41" s="21">
        <f>SUMPRODUCT($AK41:$AR41,$AK$11:$AR$11)*IF($E41="CABA",'Parametros'!H$7,IF($E41="PBA",1-'Parametros'!H$7,1))</f>
        <v/>
      </c>
      <c r="M41" s="21">
        <f>SUMPRODUCT($AK41:$AR41,$AK$12:$AR$12)*IF($E41="CABA",'Parametros'!I$7,IF($E41="PBA",1-'Parametros'!I$7,1))</f>
        <v/>
      </c>
      <c r="N41" s="21">
        <f>SUMPRODUCT($AK41:$AR41,$AK$13:$AR$13)*IF($E41="CABA",'Parametros'!J$7,IF($E41="PBA",1-'Parametros'!J$7,1))</f>
        <v/>
      </c>
      <c r="O41" s="21">
        <f>SUMPRODUCT($AK41:$AR41,$AK$14:$AR$14)*IF($E41="CABA",'Parametros'!K$7,IF($E41="PBA",1-'Parametros'!K$7,1))</f>
        <v/>
      </c>
      <c r="AO41" s="22" t="n">
        <v>1</v>
      </c>
    </row>
    <row r="42">
      <c r="A42" s="2" t="inlineStr">
        <is>
          <t>Fondo — Ø320 × e3,2 × 113 de alto; disco Ø423,5</t>
        </is>
      </c>
      <c r="B42" s="2" t="inlineStr">
        <is>
          <t>u</t>
        </is>
      </c>
      <c r="C42" s="2" t="inlineStr">
        <is>
          <t>Semielaborado comprado</t>
        </is>
      </c>
      <c r="D42" s="2" t="inlineStr">
        <is>
          <t>Gockel Ingeniería S.R.L.</t>
        </is>
      </c>
      <c r="E42" s="2" t="inlineStr">
        <is>
          <t>Todos</t>
        </is>
      </c>
      <c r="F42" s="21">
        <f>SUMPRODUCT($AK42:$AR42,$AK$5:$AR$5)*IF($E42="CABA",'Parametros'!B$7,IF($E42="PBA",1-'Parametros'!B$7,1))</f>
        <v/>
      </c>
      <c r="G42" s="21">
        <f>SUMPRODUCT($AK42:$AR42,$AK$6:$AR$6)*IF($E42="CABA",'Parametros'!C$7,IF($E42="PBA",1-'Parametros'!C$7,1))</f>
        <v/>
      </c>
      <c r="H42" s="21">
        <f>SUMPRODUCT($AK42:$AR42,$AK$7:$AR$7)*IF($E42="CABA",'Parametros'!D$7,IF($E42="PBA",1-'Parametros'!D$7,1))</f>
        <v/>
      </c>
      <c r="I42" s="21">
        <f>SUMPRODUCT($AK42:$AR42,$AK$8:$AR$8)*IF($E42="CABA",'Parametros'!E$7,IF($E42="PBA",1-'Parametros'!E$7,1))</f>
        <v/>
      </c>
      <c r="J42" s="21">
        <f>SUMPRODUCT($AK42:$AR42,$AK$9:$AR$9)*IF($E42="CABA",'Parametros'!F$7,IF($E42="PBA",1-'Parametros'!F$7,1))</f>
        <v/>
      </c>
      <c r="K42" s="21">
        <f>SUMPRODUCT($AK42:$AR42,$AK$10:$AR$10)*IF($E42="CABA",'Parametros'!G$7,IF($E42="PBA",1-'Parametros'!G$7,1))</f>
        <v/>
      </c>
      <c r="L42" s="21">
        <f>SUMPRODUCT($AK42:$AR42,$AK$11:$AR$11)*IF($E42="CABA",'Parametros'!H$7,IF($E42="PBA",1-'Parametros'!H$7,1))</f>
        <v/>
      </c>
      <c r="M42" s="21">
        <f>SUMPRODUCT($AK42:$AR42,$AK$12:$AR$12)*IF($E42="CABA",'Parametros'!I$7,IF($E42="PBA",1-'Parametros'!I$7,1))</f>
        <v/>
      </c>
      <c r="N42" s="21">
        <f>SUMPRODUCT($AK42:$AR42,$AK$13:$AR$13)*IF($E42="CABA",'Parametros'!J$7,IF($E42="PBA",1-'Parametros'!J$7,1))</f>
        <v/>
      </c>
      <c r="O42" s="21">
        <f>SUMPRODUCT($AK42:$AR42,$AK$14:$AR$14)*IF($E42="CABA",'Parametros'!K$7,IF($E42="PBA",1-'Parametros'!K$7,1))</f>
        <v/>
      </c>
      <c r="AP42" s="22" t="n">
        <v>1</v>
      </c>
    </row>
    <row r="43">
      <c r="A43" s="2" t="inlineStr">
        <is>
          <t>Fondo — Ø390 × e4,75 × 139,8 de alto; disco Ø518,1</t>
        </is>
      </c>
      <c r="B43" s="2" t="inlineStr">
        <is>
          <t>u</t>
        </is>
      </c>
      <c r="C43" s="2" t="inlineStr">
        <is>
          <t>Semielaborado comprado</t>
        </is>
      </c>
      <c r="D43" s="2" t="inlineStr">
        <is>
          <t>Gockel Ingeniería S.R.L.</t>
        </is>
      </c>
      <c r="E43" s="2" t="inlineStr">
        <is>
          <t>Todos</t>
        </is>
      </c>
      <c r="F43" s="21">
        <f>SUMPRODUCT($AK43:$AR43,$AK$5:$AR$5)*IF($E43="CABA",'Parametros'!B$7,IF($E43="PBA",1-'Parametros'!B$7,1))</f>
        <v/>
      </c>
      <c r="G43" s="21">
        <f>SUMPRODUCT($AK43:$AR43,$AK$6:$AR$6)*IF($E43="CABA",'Parametros'!C$7,IF($E43="PBA",1-'Parametros'!C$7,1))</f>
        <v/>
      </c>
      <c r="H43" s="21">
        <f>SUMPRODUCT($AK43:$AR43,$AK$7:$AR$7)*IF($E43="CABA",'Parametros'!D$7,IF($E43="PBA",1-'Parametros'!D$7,1))</f>
        <v/>
      </c>
      <c r="I43" s="21">
        <f>SUMPRODUCT($AK43:$AR43,$AK$8:$AR$8)*IF($E43="CABA",'Parametros'!E$7,IF($E43="PBA",1-'Parametros'!E$7,1))</f>
        <v/>
      </c>
      <c r="J43" s="21">
        <f>SUMPRODUCT($AK43:$AR43,$AK$9:$AR$9)*IF($E43="CABA",'Parametros'!F$7,IF($E43="PBA",1-'Parametros'!F$7,1))</f>
        <v/>
      </c>
      <c r="K43" s="21">
        <f>SUMPRODUCT($AK43:$AR43,$AK$10:$AR$10)*IF($E43="CABA",'Parametros'!G$7,IF($E43="PBA",1-'Parametros'!G$7,1))</f>
        <v/>
      </c>
      <c r="L43" s="21">
        <f>SUMPRODUCT($AK43:$AR43,$AK$11:$AR$11)*IF($E43="CABA",'Parametros'!H$7,IF($E43="PBA",1-'Parametros'!H$7,1))</f>
        <v/>
      </c>
      <c r="M43" s="21">
        <f>SUMPRODUCT($AK43:$AR43,$AK$12:$AR$12)*IF($E43="CABA",'Parametros'!I$7,IF($E43="PBA",1-'Parametros'!I$7,1))</f>
        <v/>
      </c>
      <c r="N43" s="21">
        <f>SUMPRODUCT($AK43:$AR43,$AK$13:$AR$13)*IF($E43="CABA",'Parametros'!J$7,IF($E43="PBA",1-'Parametros'!J$7,1))</f>
        <v/>
      </c>
      <c r="O43" s="21">
        <f>SUMPRODUCT($AK43:$AR43,$AK$14:$AR$14)*IF($E43="CABA",'Parametros'!K$7,IF($E43="PBA",1-'Parametros'!K$7,1))</f>
        <v/>
      </c>
      <c r="AQ43" s="22" t="n">
        <v>1</v>
      </c>
      <c r="AR43" s="22" t="n">
        <v>1</v>
      </c>
    </row>
    <row r="44">
      <c r="A44" s="23" t="inlineStr">
        <is>
          <t>Arandelas de tope (4) — 4 × Ø40 × Ø26 × 4</t>
        </is>
      </c>
      <c r="B44" s="23" t="inlineStr">
        <is>
          <t>u</t>
        </is>
      </c>
      <c r="C44" s="23" t="inlineStr">
        <is>
          <t>Componente comprado</t>
        </is>
      </c>
      <c r="D44" s="23" t="inlineStr">
        <is>
          <t>Hierros Parrotta</t>
        </is>
      </c>
      <c r="E44" s="23" t="inlineStr">
        <is>
          <t>Todos</t>
        </is>
      </c>
      <c r="F44" s="21">
        <f>SUMPRODUCT($AK44:$AR44,$AK$5:$AR$5)*IF($E44="CABA",'Parametros'!B$7,IF($E44="PBA",1-'Parametros'!B$7,1))</f>
        <v/>
      </c>
      <c r="G44" s="21">
        <f>SUMPRODUCT($AK44:$AR44,$AK$6:$AR$6)*IF($E44="CABA",'Parametros'!C$7,IF($E44="PBA",1-'Parametros'!C$7,1))</f>
        <v/>
      </c>
      <c r="H44" s="21">
        <f>SUMPRODUCT($AK44:$AR44,$AK$7:$AR$7)*IF($E44="CABA",'Parametros'!D$7,IF($E44="PBA",1-'Parametros'!D$7,1))</f>
        <v/>
      </c>
      <c r="I44" s="21">
        <f>SUMPRODUCT($AK44:$AR44,$AK$8:$AR$8)*IF($E44="CABA",'Parametros'!E$7,IF($E44="PBA",1-'Parametros'!E$7,1))</f>
        <v/>
      </c>
      <c r="J44" s="21">
        <f>SUMPRODUCT($AK44:$AR44,$AK$9:$AR$9)*IF($E44="CABA",'Parametros'!F$7,IF($E44="PBA",1-'Parametros'!F$7,1))</f>
        <v/>
      </c>
      <c r="K44" s="21">
        <f>SUMPRODUCT($AK44:$AR44,$AK$10:$AR$10)*IF($E44="CABA",'Parametros'!G$7,IF($E44="PBA",1-'Parametros'!G$7,1))</f>
        <v/>
      </c>
      <c r="L44" s="21">
        <f>SUMPRODUCT($AK44:$AR44,$AK$11:$AR$11)*IF($E44="CABA",'Parametros'!H$7,IF($E44="PBA",1-'Parametros'!H$7,1))</f>
        <v/>
      </c>
      <c r="M44" s="21">
        <f>SUMPRODUCT($AK44:$AR44,$AK$12:$AR$12)*IF($E44="CABA",'Parametros'!I$7,IF($E44="PBA",1-'Parametros'!I$7,1))</f>
        <v/>
      </c>
      <c r="N44" s="21">
        <f>SUMPRODUCT($AK44:$AR44,$AK$13:$AR$13)*IF($E44="CABA",'Parametros'!J$7,IF($E44="PBA",1-'Parametros'!J$7,1))</f>
        <v/>
      </c>
      <c r="O44" s="21">
        <f>SUMPRODUCT($AK44:$AR44,$AK$14:$AR$14)*IF($E44="CABA",'Parametros'!K$7,IF($E44="PBA",1-'Parametros'!K$7,1))</f>
        <v/>
      </c>
      <c r="AO44" s="22" t="n">
        <v>1</v>
      </c>
      <c r="AP44" s="22" t="n">
        <v>1</v>
      </c>
      <c r="AQ44" s="22" t="n">
        <v>1</v>
      </c>
      <c r="AR44" s="22" t="n">
        <v>1</v>
      </c>
    </row>
    <row r="45">
      <c r="A45" s="2" t="inlineStr">
        <is>
          <t>Junta tórica de asiento — Ø24 ext. × cordón 3</t>
        </is>
      </c>
      <c r="B45" s="2" t="inlineStr">
        <is>
          <t>u</t>
        </is>
      </c>
      <c r="C45" s="2" t="inlineStr">
        <is>
          <t>Componente comprado</t>
        </is>
      </c>
      <c r="D45" s="2" t="inlineStr">
        <is>
          <t>Argensold</t>
        </is>
      </c>
      <c r="E45" s="2" t="inlineStr">
        <is>
          <t>Todos</t>
        </is>
      </c>
      <c r="F45" s="21">
        <f>SUMPRODUCT($AK45:$AR45,$AK$5:$AR$5)*IF($E45="CABA",'Parametros'!B$7,IF($E45="PBA",1-'Parametros'!B$7,1))</f>
        <v/>
      </c>
      <c r="G45" s="21">
        <f>SUMPRODUCT($AK45:$AR45,$AK$6:$AR$6)*IF($E45="CABA",'Parametros'!C$7,IF($E45="PBA",1-'Parametros'!C$7,1))</f>
        <v/>
      </c>
      <c r="H45" s="21">
        <f>SUMPRODUCT($AK45:$AR45,$AK$7:$AR$7)*IF($E45="CABA",'Parametros'!D$7,IF($E45="PBA",1-'Parametros'!D$7,1))</f>
        <v/>
      </c>
      <c r="I45" s="21">
        <f>SUMPRODUCT($AK45:$AR45,$AK$8:$AR$8)*IF($E45="CABA",'Parametros'!E$7,IF($E45="PBA",1-'Parametros'!E$7,1))</f>
        <v/>
      </c>
      <c r="J45" s="21">
        <f>SUMPRODUCT($AK45:$AR45,$AK$9:$AR$9)*IF($E45="CABA",'Parametros'!F$7,IF($E45="PBA",1-'Parametros'!F$7,1))</f>
        <v/>
      </c>
      <c r="K45" s="21">
        <f>SUMPRODUCT($AK45:$AR45,$AK$10:$AR$10)*IF($E45="CABA",'Parametros'!G$7,IF($E45="PBA",1-'Parametros'!G$7,1))</f>
        <v/>
      </c>
      <c r="L45" s="21">
        <f>SUMPRODUCT($AK45:$AR45,$AK$11:$AR$11)*IF($E45="CABA",'Parametros'!H$7,IF($E45="PBA",1-'Parametros'!H$7,1))</f>
        <v/>
      </c>
      <c r="M45" s="21">
        <f>SUMPRODUCT($AK45:$AR45,$AK$12:$AR$12)*IF($E45="CABA",'Parametros'!I$7,IF($E45="PBA",1-'Parametros'!I$7,1))</f>
        <v/>
      </c>
      <c r="N45" s="21">
        <f>SUMPRODUCT($AK45:$AR45,$AK$13:$AR$13)*IF($E45="CABA",'Parametros'!J$7,IF($E45="PBA",1-'Parametros'!J$7,1))</f>
        <v/>
      </c>
      <c r="O45" s="21">
        <f>SUMPRODUCT($AK45:$AR45,$AK$14:$AR$14)*IF($E45="CABA",'Parametros'!K$7,IF($E45="PBA",1-'Parametros'!K$7,1))</f>
        <v/>
      </c>
      <c r="AK45" s="22" t="n">
        <v>1</v>
      </c>
    </row>
    <row r="46">
      <c r="A46" s="2" t="inlineStr">
        <is>
          <t>Junta tórica de asiento — Ø32,8 ext. × cordón 3</t>
        </is>
      </c>
      <c r="B46" s="2" t="inlineStr">
        <is>
          <t>u</t>
        </is>
      </c>
      <c r="C46" s="2" t="inlineStr">
        <is>
          <t>Componente comprado</t>
        </is>
      </c>
      <c r="D46" s="2" t="inlineStr">
        <is>
          <t>Argensold</t>
        </is>
      </c>
      <c r="E46" s="2" t="inlineStr">
        <is>
          <t>Todos</t>
        </is>
      </c>
      <c r="F46" s="21">
        <f>SUMPRODUCT($AK46:$AR46,$AK$5:$AR$5)*IF($E46="CABA",'Parametros'!B$7,IF($E46="PBA",1-'Parametros'!B$7,1))</f>
        <v/>
      </c>
      <c r="G46" s="21">
        <f>SUMPRODUCT($AK46:$AR46,$AK$6:$AR$6)*IF($E46="CABA",'Parametros'!C$7,IF($E46="PBA",1-'Parametros'!C$7,1))</f>
        <v/>
      </c>
      <c r="H46" s="21">
        <f>SUMPRODUCT($AK46:$AR46,$AK$7:$AR$7)*IF($E46="CABA",'Parametros'!D$7,IF($E46="PBA",1-'Parametros'!D$7,1))</f>
        <v/>
      </c>
      <c r="I46" s="21">
        <f>SUMPRODUCT($AK46:$AR46,$AK$8:$AR$8)*IF($E46="CABA",'Parametros'!E$7,IF($E46="PBA",1-'Parametros'!E$7,1))</f>
        <v/>
      </c>
      <c r="J46" s="21">
        <f>SUMPRODUCT($AK46:$AR46,$AK$9:$AR$9)*IF($E46="CABA",'Parametros'!F$7,IF($E46="PBA",1-'Parametros'!F$7,1))</f>
        <v/>
      </c>
      <c r="K46" s="21">
        <f>SUMPRODUCT($AK46:$AR46,$AK$10:$AR$10)*IF($E46="CABA",'Parametros'!G$7,IF($E46="PBA",1-'Parametros'!G$7,1))</f>
        <v/>
      </c>
      <c r="L46" s="21">
        <f>SUMPRODUCT($AK46:$AR46,$AK$11:$AR$11)*IF($E46="CABA",'Parametros'!H$7,IF($E46="PBA",1-'Parametros'!H$7,1))</f>
        <v/>
      </c>
      <c r="M46" s="21">
        <f>SUMPRODUCT($AK46:$AR46,$AK$12:$AR$12)*IF($E46="CABA",'Parametros'!I$7,IF($E46="PBA",1-'Parametros'!I$7,1))</f>
        <v/>
      </c>
      <c r="N46" s="21">
        <f>SUMPRODUCT($AK46:$AR46,$AK$13:$AR$13)*IF($E46="CABA",'Parametros'!J$7,IF($E46="PBA",1-'Parametros'!J$7,1))</f>
        <v/>
      </c>
      <c r="O46" s="21">
        <f>SUMPRODUCT($AK46:$AR46,$AK$14:$AR$14)*IF($E46="CABA",'Parametros'!K$7,IF($E46="PBA",1-'Parametros'!K$7,1))</f>
        <v/>
      </c>
      <c r="AL46" s="22" t="n">
        <v>1</v>
      </c>
      <c r="AM46" s="22" t="n">
        <v>1</v>
      </c>
      <c r="AN46" s="22" t="n">
        <v>1</v>
      </c>
      <c r="AO46" s="22" t="n">
        <v>1</v>
      </c>
    </row>
    <row r="47">
      <c r="A47" s="2" t="inlineStr">
        <is>
          <t>Junta tórica de asiento — Ø78 ext. × cordón 3</t>
        </is>
      </c>
      <c r="B47" s="2" t="inlineStr">
        <is>
          <t>u</t>
        </is>
      </c>
      <c r="C47" s="2" t="inlineStr">
        <is>
          <t>Componente comprado</t>
        </is>
      </c>
      <c r="D47" s="2" t="inlineStr">
        <is>
          <t>Argensold</t>
        </is>
      </c>
      <c r="E47" s="2" t="inlineStr">
        <is>
          <t>Todos</t>
        </is>
      </c>
      <c r="F47" s="21">
        <f>SUMPRODUCT($AK47:$AR47,$AK$5:$AR$5)*IF($E47="CABA",'Parametros'!B$7,IF($E47="PBA",1-'Parametros'!B$7,1))</f>
        <v/>
      </c>
      <c r="G47" s="21">
        <f>SUMPRODUCT($AK47:$AR47,$AK$6:$AR$6)*IF($E47="CABA",'Parametros'!C$7,IF($E47="PBA",1-'Parametros'!C$7,1))</f>
        <v/>
      </c>
      <c r="H47" s="21">
        <f>SUMPRODUCT($AK47:$AR47,$AK$7:$AR$7)*IF($E47="CABA",'Parametros'!D$7,IF($E47="PBA",1-'Parametros'!D$7,1))</f>
        <v/>
      </c>
      <c r="I47" s="21">
        <f>SUMPRODUCT($AK47:$AR47,$AK$8:$AR$8)*IF($E47="CABA",'Parametros'!E$7,IF($E47="PBA",1-'Parametros'!E$7,1))</f>
        <v/>
      </c>
      <c r="J47" s="21">
        <f>SUMPRODUCT($AK47:$AR47,$AK$9:$AR$9)*IF($E47="CABA",'Parametros'!F$7,IF($E47="PBA",1-'Parametros'!F$7,1))</f>
        <v/>
      </c>
      <c r="K47" s="21">
        <f>SUMPRODUCT($AK47:$AR47,$AK$10:$AR$10)*IF($E47="CABA",'Parametros'!G$7,IF($E47="PBA",1-'Parametros'!G$7,1))</f>
        <v/>
      </c>
      <c r="L47" s="21">
        <f>SUMPRODUCT($AK47:$AR47,$AK$11:$AR$11)*IF($E47="CABA",'Parametros'!H$7,IF($E47="PBA",1-'Parametros'!H$7,1))</f>
        <v/>
      </c>
      <c r="M47" s="21">
        <f>SUMPRODUCT($AK47:$AR47,$AK$12:$AR$12)*IF($E47="CABA",'Parametros'!I$7,IF($E47="PBA",1-'Parametros'!I$7,1))</f>
        <v/>
      </c>
      <c r="N47" s="21">
        <f>SUMPRODUCT($AK47:$AR47,$AK$13:$AR$13)*IF($E47="CABA",'Parametros'!J$7,IF($E47="PBA",1-'Parametros'!J$7,1))</f>
        <v/>
      </c>
      <c r="O47" s="21">
        <f>SUMPRODUCT($AK47:$AR47,$AK$14:$AR$14)*IF($E47="CABA",'Parametros'!K$7,IF($E47="PBA",1-'Parametros'!K$7,1))</f>
        <v/>
      </c>
      <c r="AP47" s="22" t="n">
        <v>1</v>
      </c>
      <c r="AQ47" s="22" t="n">
        <v>1</v>
      </c>
      <c r="AR47" s="22" t="n">
        <v>1</v>
      </c>
    </row>
    <row r="48">
      <c r="A48" s="2" t="inlineStr">
        <is>
          <t>Manguera (tramo enrollado) — Ø25 × 1.219 de largo desarrollado</t>
        </is>
      </c>
      <c r="B48" s="2" t="inlineStr">
        <is>
          <t>u</t>
        </is>
      </c>
      <c r="C48" s="2" t="inlineStr">
        <is>
          <t>Componente comprado</t>
        </is>
      </c>
      <c r="D48" s="2" t="inlineStr">
        <is>
          <t>Yukon / MatafuegosYa S.R.L.</t>
        </is>
      </c>
      <c r="E48" s="2" t="inlineStr">
        <is>
          <t>Todos</t>
        </is>
      </c>
      <c r="F48" s="21">
        <f>SUMPRODUCT($AK48:$AR48,$AK$5:$AR$5)*IF($E48="CABA",'Parametros'!B$7,IF($E48="PBA",1-'Parametros'!B$7,1))</f>
        <v/>
      </c>
      <c r="G48" s="21">
        <f>SUMPRODUCT($AK48:$AR48,$AK$6:$AR$6)*IF($E48="CABA",'Parametros'!C$7,IF($E48="PBA",1-'Parametros'!C$7,1))</f>
        <v/>
      </c>
      <c r="H48" s="21">
        <f>SUMPRODUCT($AK48:$AR48,$AK$7:$AR$7)*IF($E48="CABA",'Parametros'!D$7,IF($E48="PBA",1-'Parametros'!D$7,1))</f>
        <v/>
      </c>
      <c r="I48" s="21">
        <f>SUMPRODUCT($AK48:$AR48,$AK$8:$AR$8)*IF($E48="CABA",'Parametros'!E$7,IF($E48="PBA",1-'Parametros'!E$7,1))</f>
        <v/>
      </c>
      <c r="J48" s="21">
        <f>SUMPRODUCT($AK48:$AR48,$AK$9:$AR$9)*IF($E48="CABA",'Parametros'!F$7,IF($E48="PBA",1-'Parametros'!F$7,1))</f>
        <v/>
      </c>
      <c r="K48" s="21">
        <f>SUMPRODUCT($AK48:$AR48,$AK$10:$AR$10)*IF($E48="CABA",'Parametros'!G$7,IF($E48="PBA",1-'Parametros'!G$7,1))</f>
        <v/>
      </c>
      <c r="L48" s="21">
        <f>SUMPRODUCT($AK48:$AR48,$AK$11:$AR$11)*IF($E48="CABA",'Parametros'!H$7,IF($E48="PBA",1-'Parametros'!H$7,1))</f>
        <v/>
      </c>
      <c r="M48" s="21">
        <f>SUMPRODUCT($AK48:$AR48,$AK$12:$AR$12)*IF($E48="CABA",'Parametros'!I$7,IF($E48="PBA",1-'Parametros'!I$7,1))</f>
        <v/>
      </c>
      <c r="N48" s="21">
        <f>SUMPRODUCT($AK48:$AR48,$AK$13:$AR$13)*IF($E48="CABA",'Parametros'!J$7,IF($E48="PBA",1-'Parametros'!J$7,1))</f>
        <v/>
      </c>
      <c r="O48" s="21">
        <f>SUMPRODUCT($AK48:$AR48,$AK$14:$AR$14)*IF($E48="CABA",'Parametros'!K$7,IF($E48="PBA",1-'Parametros'!K$7,1))</f>
        <v/>
      </c>
      <c r="AP48" s="22" t="n">
        <v>1</v>
      </c>
    </row>
    <row r="49">
      <c r="A49" s="2" t="inlineStr">
        <is>
          <t>Manguera (tramo enrollado) — Ø25 × 1.321 de largo desarrollado</t>
        </is>
      </c>
      <c r="B49" s="2" t="inlineStr">
        <is>
          <t>u</t>
        </is>
      </c>
      <c r="C49" s="2" t="inlineStr">
        <is>
          <t>Componente comprado</t>
        </is>
      </c>
      <c r="D49" s="2" t="inlineStr">
        <is>
          <t>Yukon / MatafuegosYa S.R.L.</t>
        </is>
      </c>
      <c r="E49" s="2" t="inlineStr">
        <is>
          <t>Todos</t>
        </is>
      </c>
      <c r="F49" s="21">
        <f>SUMPRODUCT($AK49:$AR49,$AK$5:$AR$5)*IF($E49="CABA",'Parametros'!B$7,IF($E49="PBA",1-'Parametros'!B$7,1))</f>
        <v/>
      </c>
      <c r="G49" s="21">
        <f>SUMPRODUCT($AK49:$AR49,$AK$6:$AR$6)*IF($E49="CABA",'Parametros'!C$7,IF($E49="PBA",1-'Parametros'!C$7,1))</f>
        <v/>
      </c>
      <c r="H49" s="21">
        <f>SUMPRODUCT($AK49:$AR49,$AK$7:$AR$7)*IF($E49="CABA",'Parametros'!D$7,IF($E49="PBA",1-'Parametros'!D$7,1))</f>
        <v/>
      </c>
      <c r="I49" s="21">
        <f>SUMPRODUCT($AK49:$AR49,$AK$8:$AR$8)*IF($E49="CABA",'Parametros'!E$7,IF($E49="PBA",1-'Parametros'!E$7,1))</f>
        <v/>
      </c>
      <c r="J49" s="21">
        <f>SUMPRODUCT($AK49:$AR49,$AK$9:$AR$9)*IF($E49="CABA",'Parametros'!F$7,IF($E49="PBA",1-'Parametros'!F$7,1))</f>
        <v/>
      </c>
      <c r="K49" s="21">
        <f>SUMPRODUCT($AK49:$AR49,$AK$10:$AR$10)*IF($E49="CABA",'Parametros'!G$7,IF($E49="PBA",1-'Parametros'!G$7,1))</f>
        <v/>
      </c>
      <c r="L49" s="21">
        <f>SUMPRODUCT($AK49:$AR49,$AK$11:$AR$11)*IF($E49="CABA",'Parametros'!H$7,IF($E49="PBA",1-'Parametros'!H$7,1))</f>
        <v/>
      </c>
      <c r="M49" s="21">
        <f>SUMPRODUCT($AK49:$AR49,$AK$12:$AR$12)*IF($E49="CABA",'Parametros'!I$7,IF($E49="PBA",1-'Parametros'!I$7,1))</f>
        <v/>
      </c>
      <c r="N49" s="21">
        <f>SUMPRODUCT($AK49:$AR49,$AK$13:$AR$13)*IF($E49="CABA",'Parametros'!J$7,IF($E49="PBA",1-'Parametros'!J$7,1))</f>
        <v/>
      </c>
      <c r="O49" s="21">
        <f>SUMPRODUCT($AK49:$AR49,$AK$14:$AR$14)*IF($E49="CABA",'Parametros'!K$7,IF($E49="PBA",1-'Parametros'!K$7,1))</f>
        <v/>
      </c>
      <c r="AQ49" s="22" t="n">
        <v>1</v>
      </c>
    </row>
    <row r="50">
      <c r="A50" s="2" t="inlineStr">
        <is>
          <t>Manguera (tramo enrollado) — Ø25 × 1.664 de largo desarrollado</t>
        </is>
      </c>
      <c r="B50" s="2" t="inlineStr">
        <is>
          <t>u</t>
        </is>
      </c>
      <c r="C50" s="2" t="inlineStr">
        <is>
          <t>Componente comprado</t>
        </is>
      </c>
      <c r="D50" s="2" t="inlineStr">
        <is>
          <t>Yukon / MatafuegosYa S.R.L.</t>
        </is>
      </c>
      <c r="E50" s="2" t="inlineStr">
        <is>
          <t>Todos</t>
        </is>
      </c>
      <c r="F50" s="21">
        <f>SUMPRODUCT($AK50:$AR50,$AK$5:$AR$5)*IF($E50="CABA",'Parametros'!B$7,IF($E50="PBA",1-'Parametros'!B$7,1))</f>
        <v/>
      </c>
      <c r="G50" s="21">
        <f>SUMPRODUCT($AK50:$AR50,$AK$6:$AR$6)*IF($E50="CABA",'Parametros'!C$7,IF($E50="PBA",1-'Parametros'!C$7,1))</f>
        <v/>
      </c>
      <c r="H50" s="21">
        <f>SUMPRODUCT($AK50:$AR50,$AK$7:$AR$7)*IF($E50="CABA",'Parametros'!D$7,IF($E50="PBA",1-'Parametros'!D$7,1))</f>
        <v/>
      </c>
      <c r="I50" s="21">
        <f>SUMPRODUCT($AK50:$AR50,$AK$8:$AR$8)*IF($E50="CABA",'Parametros'!E$7,IF($E50="PBA",1-'Parametros'!E$7,1))</f>
        <v/>
      </c>
      <c r="J50" s="21">
        <f>SUMPRODUCT($AK50:$AR50,$AK$9:$AR$9)*IF($E50="CABA",'Parametros'!F$7,IF($E50="PBA",1-'Parametros'!F$7,1))</f>
        <v/>
      </c>
      <c r="K50" s="21">
        <f>SUMPRODUCT($AK50:$AR50,$AK$10:$AR$10)*IF($E50="CABA",'Parametros'!G$7,IF($E50="PBA",1-'Parametros'!G$7,1))</f>
        <v/>
      </c>
      <c r="L50" s="21">
        <f>SUMPRODUCT($AK50:$AR50,$AK$11:$AR$11)*IF($E50="CABA",'Parametros'!H$7,IF($E50="PBA",1-'Parametros'!H$7,1))</f>
        <v/>
      </c>
      <c r="M50" s="21">
        <f>SUMPRODUCT($AK50:$AR50,$AK$12:$AR$12)*IF($E50="CABA",'Parametros'!I$7,IF($E50="PBA",1-'Parametros'!I$7,1))</f>
        <v/>
      </c>
      <c r="N50" s="21">
        <f>SUMPRODUCT($AK50:$AR50,$AK$13:$AR$13)*IF($E50="CABA",'Parametros'!J$7,IF($E50="PBA",1-'Parametros'!J$7,1))</f>
        <v/>
      </c>
      <c r="O50" s="21">
        <f>SUMPRODUCT($AK50:$AR50,$AK$14:$AR$14)*IF($E50="CABA",'Parametros'!K$7,IF($E50="PBA",1-'Parametros'!K$7,1))</f>
        <v/>
      </c>
      <c r="AR50" s="22" t="n">
        <v>1</v>
      </c>
    </row>
    <row r="51">
      <c r="A51" s="2" t="inlineStr">
        <is>
          <t>Manguera (tramo enrollado) — Ø25 × 968 de largo desarrollado</t>
        </is>
      </c>
      <c r="B51" s="2" t="inlineStr">
        <is>
          <t>u</t>
        </is>
      </c>
      <c r="C51" s="2" t="inlineStr">
        <is>
          <t>Componente comprado</t>
        </is>
      </c>
      <c r="D51" s="2" t="inlineStr">
        <is>
          <t>Yukon / MatafuegosYa S.R.L.</t>
        </is>
      </c>
      <c r="E51" s="2" t="inlineStr">
        <is>
          <t>Todos</t>
        </is>
      </c>
      <c r="F51" s="21">
        <f>SUMPRODUCT($AK51:$AR51,$AK$5:$AR$5)*IF($E51="CABA",'Parametros'!B$7,IF($E51="PBA",1-'Parametros'!B$7,1))</f>
        <v/>
      </c>
      <c r="G51" s="21">
        <f>SUMPRODUCT($AK51:$AR51,$AK$6:$AR$6)*IF($E51="CABA",'Parametros'!C$7,IF($E51="PBA",1-'Parametros'!C$7,1))</f>
        <v/>
      </c>
      <c r="H51" s="21">
        <f>SUMPRODUCT($AK51:$AR51,$AK$7:$AR$7)*IF($E51="CABA",'Parametros'!D$7,IF($E51="PBA",1-'Parametros'!D$7,1))</f>
        <v/>
      </c>
      <c r="I51" s="21">
        <f>SUMPRODUCT($AK51:$AR51,$AK$8:$AR$8)*IF($E51="CABA",'Parametros'!E$7,IF($E51="PBA",1-'Parametros'!E$7,1))</f>
        <v/>
      </c>
      <c r="J51" s="21">
        <f>SUMPRODUCT($AK51:$AR51,$AK$9:$AR$9)*IF($E51="CABA",'Parametros'!F$7,IF($E51="PBA",1-'Parametros'!F$7,1))</f>
        <v/>
      </c>
      <c r="K51" s="21">
        <f>SUMPRODUCT($AK51:$AR51,$AK$10:$AR$10)*IF($E51="CABA",'Parametros'!G$7,IF($E51="PBA",1-'Parametros'!G$7,1))</f>
        <v/>
      </c>
      <c r="L51" s="21">
        <f>SUMPRODUCT($AK51:$AR51,$AK$11:$AR$11)*IF($E51="CABA",'Parametros'!H$7,IF($E51="PBA",1-'Parametros'!H$7,1))</f>
        <v/>
      </c>
      <c r="M51" s="21">
        <f>SUMPRODUCT($AK51:$AR51,$AK$12:$AR$12)*IF($E51="CABA",'Parametros'!I$7,IF($E51="PBA",1-'Parametros'!I$7,1))</f>
        <v/>
      </c>
      <c r="N51" s="21">
        <f>SUMPRODUCT($AK51:$AR51,$AK$13:$AR$13)*IF($E51="CABA",'Parametros'!J$7,IF($E51="PBA",1-'Parametros'!J$7,1))</f>
        <v/>
      </c>
      <c r="O51" s="21">
        <f>SUMPRODUCT($AK51:$AR51,$AK$14:$AR$14)*IF($E51="CABA",'Parametros'!K$7,IF($E51="PBA",1-'Parametros'!K$7,1))</f>
        <v/>
      </c>
      <c r="AO51" s="22" t="n">
        <v>1</v>
      </c>
    </row>
    <row r="52">
      <c r="A52" s="2" t="inlineStr">
        <is>
          <t>Manguera — Ø16 × 1.053 de largo desarrollado</t>
        </is>
      </c>
      <c r="B52" s="2" t="inlineStr">
        <is>
          <t>u</t>
        </is>
      </c>
      <c r="C52" s="2" t="inlineStr">
        <is>
          <t>Componente comprado</t>
        </is>
      </c>
      <c r="D52" s="2" t="inlineStr">
        <is>
          <t>Yukon / MatafuegosYa S.R.L.</t>
        </is>
      </c>
      <c r="E52" s="2" t="inlineStr">
        <is>
          <t>Todos</t>
        </is>
      </c>
      <c r="F52" s="21">
        <f>SUMPRODUCT($AK52:$AR52,$AK$5:$AR$5)*IF($E52="CABA",'Parametros'!B$7,IF($E52="PBA",1-'Parametros'!B$7,1))</f>
        <v/>
      </c>
      <c r="G52" s="21">
        <f>SUMPRODUCT($AK52:$AR52,$AK$6:$AR$6)*IF($E52="CABA",'Parametros'!C$7,IF($E52="PBA",1-'Parametros'!C$7,1))</f>
        <v/>
      </c>
      <c r="H52" s="21">
        <f>SUMPRODUCT($AK52:$AR52,$AK$7:$AR$7)*IF($E52="CABA",'Parametros'!D$7,IF($E52="PBA",1-'Parametros'!D$7,1))</f>
        <v/>
      </c>
      <c r="I52" s="21">
        <f>SUMPRODUCT($AK52:$AR52,$AK$8:$AR$8)*IF($E52="CABA",'Parametros'!E$7,IF($E52="PBA",1-'Parametros'!E$7,1))</f>
        <v/>
      </c>
      <c r="J52" s="21">
        <f>SUMPRODUCT($AK52:$AR52,$AK$9:$AR$9)*IF($E52="CABA",'Parametros'!F$7,IF($E52="PBA",1-'Parametros'!F$7,1))</f>
        <v/>
      </c>
      <c r="K52" s="21">
        <f>SUMPRODUCT($AK52:$AR52,$AK$10:$AR$10)*IF($E52="CABA",'Parametros'!G$7,IF($E52="PBA",1-'Parametros'!G$7,1))</f>
        <v/>
      </c>
      <c r="L52" s="21">
        <f>SUMPRODUCT($AK52:$AR52,$AK$11:$AR$11)*IF($E52="CABA",'Parametros'!H$7,IF($E52="PBA",1-'Parametros'!H$7,1))</f>
        <v/>
      </c>
      <c r="M52" s="21">
        <f>SUMPRODUCT($AK52:$AR52,$AK$12:$AR$12)*IF($E52="CABA",'Parametros'!I$7,IF($E52="PBA",1-'Parametros'!I$7,1))</f>
        <v/>
      </c>
      <c r="N52" s="21">
        <f>SUMPRODUCT($AK52:$AR52,$AK$13:$AR$13)*IF($E52="CABA",'Parametros'!J$7,IF($E52="PBA",1-'Parametros'!J$7,1))</f>
        <v/>
      </c>
      <c r="O52" s="21">
        <f>SUMPRODUCT($AK52:$AR52,$AK$14:$AR$14)*IF($E52="CABA",'Parametros'!K$7,IF($E52="PBA",1-'Parametros'!K$7,1))</f>
        <v/>
      </c>
      <c r="AR52" s="22" t="n">
        <v>1</v>
      </c>
    </row>
    <row r="53">
      <c r="A53" s="2" t="inlineStr">
        <is>
          <t>Manguera — Ø16 × 238 de largo desarrollado</t>
        </is>
      </c>
      <c r="B53" s="2" t="inlineStr">
        <is>
          <t>u</t>
        </is>
      </c>
      <c r="C53" s="2" t="inlineStr">
        <is>
          <t>Componente comprado</t>
        </is>
      </c>
      <c r="D53" s="2" t="inlineStr">
        <is>
          <t>Yukon / MatafuegosYa S.R.L.</t>
        </is>
      </c>
      <c r="E53" s="2" t="inlineStr">
        <is>
          <t>Todos</t>
        </is>
      </c>
      <c r="F53" s="21">
        <f>SUMPRODUCT($AK53:$AR53,$AK$5:$AR$5)*IF($E53="CABA",'Parametros'!B$7,IF($E53="PBA",1-'Parametros'!B$7,1))</f>
        <v/>
      </c>
      <c r="G53" s="21">
        <f>SUMPRODUCT($AK53:$AR53,$AK$6:$AR$6)*IF($E53="CABA",'Parametros'!C$7,IF($E53="PBA",1-'Parametros'!C$7,1))</f>
        <v/>
      </c>
      <c r="H53" s="21">
        <f>SUMPRODUCT($AK53:$AR53,$AK$7:$AR$7)*IF($E53="CABA",'Parametros'!D$7,IF($E53="PBA",1-'Parametros'!D$7,1))</f>
        <v/>
      </c>
      <c r="I53" s="21">
        <f>SUMPRODUCT($AK53:$AR53,$AK$8:$AR$8)*IF($E53="CABA",'Parametros'!E$7,IF($E53="PBA",1-'Parametros'!E$7,1))</f>
        <v/>
      </c>
      <c r="J53" s="21">
        <f>SUMPRODUCT($AK53:$AR53,$AK$9:$AR$9)*IF($E53="CABA",'Parametros'!F$7,IF($E53="PBA",1-'Parametros'!F$7,1))</f>
        <v/>
      </c>
      <c r="K53" s="21">
        <f>SUMPRODUCT($AK53:$AR53,$AK$10:$AR$10)*IF($E53="CABA",'Parametros'!G$7,IF($E53="PBA",1-'Parametros'!G$7,1))</f>
        <v/>
      </c>
      <c r="L53" s="21">
        <f>SUMPRODUCT($AK53:$AR53,$AK$11:$AR$11)*IF($E53="CABA",'Parametros'!H$7,IF($E53="PBA",1-'Parametros'!H$7,1))</f>
        <v/>
      </c>
      <c r="M53" s="21">
        <f>SUMPRODUCT($AK53:$AR53,$AK$12:$AR$12)*IF($E53="CABA",'Parametros'!I$7,IF($E53="PBA",1-'Parametros'!I$7,1))</f>
        <v/>
      </c>
      <c r="N53" s="21">
        <f>SUMPRODUCT($AK53:$AR53,$AK$13:$AR$13)*IF($E53="CABA",'Parametros'!J$7,IF($E53="PBA",1-'Parametros'!J$7,1))</f>
        <v/>
      </c>
      <c r="O53" s="21">
        <f>SUMPRODUCT($AK53:$AR53,$AK$14:$AR$14)*IF($E53="CABA",'Parametros'!K$7,IF($E53="PBA",1-'Parametros'!K$7,1))</f>
        <v/>
      </c>
      <c r="AL53" s="22" t="n">
        <v>1</v>
      </c>
    </row>
    <row r="54">
      <c r="A54" s="2" t="inlineStr">
        <is>
          <t>Manguera — Ø16 × 328 de largo desarrollado</t>
        </is>
      </c>
      <c r="B54" s="2" t="inlineStr">
        <is>
          <t>u</t>
        </is>
      </c>
      <c r="C54" s="2" t="inlineStr">
        <is>
          <t>Componente comprado</t>
        </is>
      </c>
      <c r="D54" s="2" t="inlineStr">
        <is>
          <t>Yukon / MatafuegosYa S.R.L.</t>
        </is>
      </c>
      <c r="E54" s="2" t="inlineStr">
        <is>
          <t>Todos</t>
        </is>
      </c>
      <c r="F54" s="21">
        <f>SUMPRODUCT($AK54:$AR54,$AK$5:$AR$5)*IF($E54="CABA",'Parametros'!B$7,IF($E54="PBA",1-'Parametros'!B$7,1))</f>
        <v/>
      </c>
      <c r="G54" s="21">
        <f>SUMPRODUCT($AK54:$AR54,$AK$6:$AR$6)*IF($E54="CABA",'Parametros'!C$7,IF($E54="PBA",1-'Parametros'!C$7,1))</f>
        <v/>
      </c>
      <c r="H54" s="21">
        <f>SUMPRODUCT($AK54:$AR54,$AK$7:$AR$7)*IF($E54="CABA",'Parametros'!D$7,IF($E54="PBA",1-'Parametros'!D$7,1))</f>
        <v/>
      </c>
      <c r="I54" s="21">
        <f>SUMPRODUCT($AK54:$AR54,$AK$8:$AR$8)*IF($E54="CABA",'Parametros'!E$7,IF($E54="PBA",1-'Parametros'!E$7,1))</f>
        <v/>
      </c>
      <c r="J54" s="21">
        <f>SUMPRODUCT($AK54:$AR54,$AK$9:$AR$9)*IF($E54="CABA",'Parametros'!F$7,IF($E54="PBA",1-'Parametros'!F$7,1))</f>
        <v/>
      </c>
      <c r="K54" s="21">
        <f>SUMPRODUCT($AK54:$AR54,$AK$10:$AR$10)*IF($E54="CABA",'Parametros'!G$7,IF($E54="PBA",1-'Parametros'!G$7,1))</f>
        <v/>
      </c>
      <c r="L54" s="21">
        <f>SUMPRODUCT($AK54:$AR54,$AK$11:$AR$11)*IF($E54="CABA",'Parametros'!H$7,IF($E54="PBA",1-'Parametros'!H$7,1))</f>
        <v/>
      </c>
      <c r="M54" s="21">
        <f>SUMPRODUCT($AK54:$AR54,$AK$12:$AR$12)*IF($E54="CABA",'Parametros'!I$7,IF($E54="PBA",1-'Parametros'!I$7,1))</f>
        <v/>
      </c>
      <c r="N54" s="21">
        <f>SUMPRODUCT($AK54:$AR54,$AK$13:$AR$13)*IF($E54="CABA",'Parametros'!J$7,IF($E54="PBA",1-'Parametros'!J$7,1))</f>
        <v/>
      </c>
      <c r="O54" s="21">
        <f>SUMPRODUCT($AK54:$AR54,$AK$14:$AR$14)*IF($E54="CABA",'Parametros'!K$7,IF($E54="PBA",1-'Parametros'!K$7,1))</f>
        <v/>
      </c>
      <c r="AM54" s="22" t="n">
        <v>1</v>
      </c>
    </row>
    <row r="55">
      <c r="A55" s="2" t="inlineStr">
        <is>
          <t>Manguera — Ø16 × 517 de largo desarrollado</t>
        </is>
      </c>
      <c r="B55" s="2" t="inlineStr">
        <is>
          <t>u</t>
        </is>
      </c>
      <c r="C55" s="2" t="inlineStr">
        <is>
          <t>Componente comprado</t>
        </is>
      </c>
      <c r="D55" s="2" t="inlineStr">
        <is>
          <t>Yukon / MatafuegosYa S.R.L.</t>
        </is>
      </c>
      <c r="E55" s="2" t="inlineStr">
        <is>
          <t>Todos</t>
        </is>
      </c>
      <c r="F55" s="21">
        <f>SUMPRODUCT($AK55:$AR55,$AK$5:$AR$5)*IF($E55="CABA",'Parametros'!B$7,IF($E55="PBA",1-'Parametros'!B$7,1))</f>
        <v/>
      </c>
      <c r="G55" s="21">
        <f>SUMPRODUCT($AK55:$AR55,$AK$6:$AR$6)*IF($E55="CABA",'Parametros'!C$7,IF($E55="PBA",1-'Parametros'!C$7,1))</f>
        <v/>
      </c>
      <c r="H55" s="21">
        <f>SUMPRODUCT($AK55:$AR55,$AK$7:$AR$7)*IF($E55="CABA",'Parametros'!D$7,IF($E55="PBA",1-'Parametros'!D$7,1))</f>
        <v/>
      </c>
      <c r="I55" s="21">
        <f>SUMPRODUCT($AK55:$AR55,$AK$8:$AR$8)*IF($E55="CABA",'Parametros'!E$7,IF($E55="PBA",1-'Parametros'!E$7,1))</f>
        <v/>
      </c>
      <c r="J55" s="21">
        <f>SUMPRODUCT($AK55:$AR55,$AK$9:$AR$9)*IF($E55="CABA",'Parametros'!F$7,IF($E55="PBA",1-'Parametros'!F$7,1))</f>
        <v/>
      </c>
      <c r="K55" s="21">
        <f>SUMPRODUCT($AK55:$AR55,$AK$10:$AR$10)*IF($E55="CABA",'Parametros'!G$7,IF($E55="PBA",1-'Parametros'!G$7,1))</f>
        <v/>
      </c>
      <c r="L55" s="21">
        <f>SUMPRODUCT($AK55:$AR55,$AK$11:$AR$11)*IF($E55="CABA",'Parametros'!H$7,IF($E55="PBA",1-'Parametros'!H$7,1))</f>
        <v/>
      </c>
      <c r="M55" s="21">
        <f>SUMPRODUCT($AK55:$AR55,$AK$12:$AR$12)*IF($E55="CABA",'Parametros'!I$7,IF($E55="PBA",1-'Parametros'!I$7,1))</f>
        <v/>
      </c>
      <c r="N55" s="21">
        <f>SUMPRODUCT($AK55:$AR55,$AK$13:$AR$13)*IF($E55="CABA",'Parametros'!J$7,IF($E55="PBA",1-'Parametros'!J$7,1))</f>
        <v/>
      </c>
      <c r="O55" s="21">
        <f>SUMPRODUCT($AK55:$AR55,$AK$14:$AR$14)*IF($E55="CABA",'Parametros'!K$7,IF($E55="PBA",1-'Parametros'!K$7,1))</f>
        <v/>
      </c>
      <c r="AN55" s="22" t="n">
        <v>1</v>
      </c>
    </row>
    <row r="56">
      <c r="A56" s="2" t="inlineStr">
        <is>
          <t>Manguera — Ø16 × 656 de largo desarrollado</t>
        </is>
      </c>
      <c r="B56" s="2" t="inlineStr">
        <is>
          <t>u</t>
        </is>
      </c>
      <c r="C56" s="2" t="inlineStr">
        <is>
          <t>Componente comprado</t>
        </is>
      </c>
      <c r="D56" s="2" t="inlineStr">
        <is>
          <t>Yukon / MatafuegosYa S.R.L.</t>
        </is>
      </c>
      <c r="E56" s="2" t="inlineStr">
        <is>
          <t>Todos</t>
        </is>
      </c>
      <c r="F56" s="21">
        <f>SUMPRODUCT($AK56:$AR56,$AK$5:$AR$5)*IF($E56="CABA",'Parametros'!B$7,IF($E56="PBA",1-'Parametros'!B$7,1))</f>
        <v/>
      </c>
      <c r="G56" s="21">
        <f>SUMPRODUCT($AK56:$AR56,$AK$6:$AR$6)*IF($E56="CABA",'Parametros'!C$7,IF($E56="PBA",1-'Parametros'!C$7,1))</f>
        <v/>
      </c>
      <c r="H56" s="21">
        <f>SUMPRODUCT($AK56:$AR56,$AK$7:$AR$7)*IF($E56="CABA",'Parametros'!D$7,IF($E56="PBA",1-'Parametros'!D$7,1))</f>
        <v/>
      </c>
      <c r="I56" s="21">
        <f>SUMPRODUCT($AK56:$AR56,$AK$8:$AR$8)*IF($E56="CABA",'Parametros'!E$7,IF($E56="PBA",1-'Parametros'!E$7,1))</f>
        <v/>
      </c>
      <c r="J56" s="21">
        <f>SUMPRODUCT($AK56:$AR56,$AK$9:$AR$9)*IF($E56="CABA",'Parametros'!F$7,IF($E56="PBA",1-'Parametros'!F$7,1))</f>
        <v/>
      </c>
      <c r="K56" s="21">
        <f>SUMPRODUCT($AK56:$AR56,$AK$10:$AR$10)*IF($E56="CABA",'Parametros'!G$7,IF($E56="PBA",1-'Parametros'!G$7,1))</f>
        <v/>
      </c>
      <c r="L56" s="21">
        <f>SUMPRODUCT($AK56:$AR56,$AK$11:$AR$11)*IF($E56="CABA",'Parametros'!H$7,IF($E56="PBA",1-'Parametros'!H$7,1))</f>
        <v/>
      </c>
      <c r="M56" s="21">
        <f>SUMPRODUCT($AK56:$AR56,$AK$12:$AR$12)*IF($E56="CABA",'Parametros'!I$7,IF($E56="PBA",1-'Parametros'!I$7,1))</f>
        <v/>
      </c>
      <c r="N56" s="21">
        <f>SUMPRODUCT($AK56:$AR56,$AK$13:$AR$13)*IF($E56="CABA",'Parametros'!J$7,IF($E56="PBA",1-'Parametros'!J$7,1))</f>
        <v/>
      </c>
      <c r="O56" s="21">
        <f>SUMPRODUCT($AK56:$AR56,$AK$14:$AR$14)*IF($E56="CABA",'Parametros'!K$7,IF($E56="PBA",1-'Parametros'!K$7,1))</f>
        <v/>
      </c>
      <c r="AO56" s="22" t="n">
        <v>1</v>
      </c>
    </row>
    <row r="57">
      <c r="A57" s="2" t="inlineStr">
        <is>
          <t>Manguera — Ø16 × 848 de largo desarrollado</t>
        </is>
      </c>
      <c r="B57" s="2" t="inlineStr">
        <is>
          <t>u</t>
        </is>
      </c>
      <c r="C57" s="2" t="inlineStr">
        <is>
          <t>Componente comprado</t>
        </is>
      </c>
      <c r="D57" s="2" t="inlineStr">
        <is>
          <t>Yukon / MatafuegosYa S.R.L.</t>
        </is>
      </c>
      <c r="E57" s="2" t="inlineStr">
        <is>
          <t>Todos</t>
        </is>
      </c>
      <c r="F57" s="21">
        <f>SUMPRODUCT($AK57:$AR57,$AK$5:$AR$5)*IF($E57="CABA",'Parametros'!B$7,IF($E57="PBA",1-'Parametros'!B$7,1))</f>
        <v/>
      </c>
      <c r="G57" s="21">
        <f>SUMPRODUCT($AK57:$AR57,$AK$6:$AR$6)*IF($E57="CABA",'Parametros'!C$7,IF($E57="PBA",1-'Parametros'!C$7,1))</f>
        <v/>
      </c>
      <c r="H57" s="21">
        <f>SUMPRODUCT($AK57:$AR57,$AK$7:$AR$7)*IF($E57="CABA",'Parametros'!D$7,IF($E57="PBA",1-'Parametros'!D$7,1))</f>
        <v/>
      </c>
      <c r="I57" s="21">
        <f>SUMPRODUCT($AK57:$AR57,$AK$8:$AR$8)*IF($E57="CABA",'Parametros'!E$7,IF($E57="PBA",1-'Parametros'!E$7,1))</f>
        <v/>
      </c>
      <c r="J57" s="21">
        <f>SUMPRODUCT($AK57:$AR57,$AK$9:$AR$9)*IF($E57="CABA",'Parametros'!F$7,IF($E57="PBA",1-'Parametros'!F$7,1))</f>
        <v/>
      </c>
      <c r="K57" s="21">
        <f>SUMPRODUCT($AK57:$AR57,$AK$10:$AR$10)*IF($E57="CABA",'Parametros'!G$7,IF($E57="PBA",1-'Parametros'!G$7,1))</f>
        <v/>
      </c>
      <c r="L57" s="21">
        <f>SUMPRODUCT($AK57:$AR57,$AK$11:$AR$11)*IF($E57="CABA",'Parametros'!H$7,IF($E57="PBA",1-'Parametros'!H$7,1))</f>
        <v/>
      </c>
      <c r="M57" s="21">
        <f>SUMPRODUCT($AK57:$AR57,$AK$12:$AR$12)*IF($E57="CABA",'Parametros'!I$7,IF($E57="PBA",1-'Parametros'!I$7,1))</f>
        <v/>
      </c>
      <c r="N57" s="21">
        <f>SUMPRODUCT($AK57:$AR57,$AK$13:$AR$13)*IF($E57="CABA",'Parametros'!J$7,IF($E57="PBA",1-'Parametros'!J$7,1))</f>
        <v/>
      </c>
      <c r="O57" s="21">
        <f>SUMPRODUCT($AK57:$AR57,$AK$14:$AR$14)*IF($E57="CABA",'Parametros'!K$7,IF($E57="PBA",1-'Parametros'!K$7,1))</f>
        <v/>
      </c>
      <c r="AP57" s="22" t="n">
        <v>1</v>
      </c>
    </row>
    <row r="58">
      <c r="A58" s="2" t="inlineStr">
        <is>
          <t>Manguera — Ø16 × 999 de largo desarrollado</t>
        </is>
      </c>
      <c r="B58" s="2" t="inlineStr">
        <is>
          <t>u</t>
        </is>
      </c>
      <c r="C58" s="2" t="inlineStr">
        <is>
          <t>Componente comprado</t>
        </is>
      </c>
      <c r="D58" s="2" t="inlineStr">
        <is>
          <t>Yukon / MatafuegosYa S.R.L.</t>
        </is>
      </c>
      <c r="E58" s="2" t="inlineStr">
        <is>
          <t>Todos</t>
        </is>
      </c>
      <c r="F58" s="21">
        <f>SUMPRODUCT($AK58:$AR58,$AK$5:$AR$5)*IF($E58="CABA",'Parametros'!B$7,IF($E58="PBA",1-'Parametros'!B$7,1))</f>
        <v/>
      </c>
      <c r="G58" s="21">
        <f>SUMPRODUCT($AK58:$AR58,$AK$6:$AR$6)*IF($E58="CABA",'Parametros'!C$7,IF($E58="PBA",1-'Parametros'!C$7,1))</f>
        <v/>
      </c>
      <c r="H58" s="21">
        <f>SUMPRODUCT($AK58:$AR58,$AK$7:$AR$7)*IF($E58="CABA",'Parametros'!D$7,IF($E58="PBA",1-'Parametros'!D$7,1))</f>
        <v/>
      </c>
      <c r="I58" s="21">
        <f>SUMPRODUCT($AK58:$AR58,$AK$8:$AR$8)*IF($E58="CABA",'Parametros'!E$7,IF($E58="PBA",1-'Parametros'!E$7,1))</f>
        <v/>
      </c>
      <c r="J58" s="21">
        <f>SUMPRODUCT($AK58:$AR58,$AK$9:$AR$9)*IF($E58="CABA",'Parametros'!F$7,IF($E58="PBA",1-'Parametros'!F$7,1))</f>
        <v/>
      </c>
      <c r="K58" s="21">
        <f>SUMPRODUCT($AK58:$AR58,$AK$10:$AR$10)*IF($E58="CABA",'Parametros'!G$7,IF($E58="PBA",1-'Parametros'!G$7,1))</f>
        <v/>
      </c>
      <c r="L58" s="21">
        <f>SUMPRODUCT($AK58:$AR58,$AK$11:$AR$11)*IF($E58="CABA",'Parametros'!H$7,IF($E58="PBA",1-'Parametros'!H$7,1))</f>
        <v/>
      </c>
      <c r="M58" s="21">
        <f>SUMPRODUCT($AK58:$AR58,$AK$12:$AR$12)*IF($E58="CABA",'Parametros'!I$7,IF($E58="PBA",1-'Parametros'!I$7,1))</f>
        <v/>
      </c>
      <c r="N58" s="21">
        <f>SUMPRODUCT($AK58:$AR58,$AK$13:$AR$13)*IF($E58="CABA",'Parametros'!J$7,IF($E58="PBA",1-'Parametros'!J$7,1))</f>
        <v/>
      </c>
      <c r="O58" s="21">
        <f>SUMPRODUCT($AK58:$AR58,$AK$14:$AR$14)*IF($E58="CABA",'Parametros'!K$7,IF($E58="PBA",1-'Parametros'!K$7,1))</f>
        <v/>
      </c>
      <c r="AQ58" s="22" t="n">
        <v>1</v>
      </c>
    </row>
    <row r="59">
      <c r="A59" s="24" t="inlineStr">
        <is>
          <t>Manómetro — Ø36 esfera, rango 0-3,5 MPa, sector verde en 1,4</t>
        </is>
      </c>
      <c r="B59" s="24" t="inlineStr">
        <is>
          <t>u</t>
        </is>
      </c>
      <c r="C59" s="24" t="inlineStr">
        <is>
          <t>Componente comprado</t>
        </is>
      </c>
      <c r="D59" s="24" t="inlineStr">
        <is>
          <t>Yukon / MatafuegosYa S.R.L.</t>
        </is>
      </c>
      <c r="E59" s="24" t="inlineStr">
        <is>
          <t>Todos</t>
        </is>
      </c>
      <c r="F59" s="21">
        <f>SUMPRODUCT($AK59:$AR59,$AK$5:$AR$5)*IF($E59="CABA",'Parametros'!B$7,IF($E59="PBA",1-'Parametros'!B$7,1))</f>
        <v/>
      </c>
      <c r="G59" s="21">
        <f>SUMPRODUCT($AK59:$AR59,$AK$6:$AR$6)*IF($E59="CABA",'Parametros'!C$7,IF($E59="PBA",1-'Parametros'!C$7,1))</f>
        <v/>
      </c>
      <c r="H59" s="21">
        <f>SUMPRODUCT($AK59:$AR59,$AK$7:$AR$7)*IF($E59="CABA",'Parametros'!D$7,IF($E59="PBA",1-'Parametros'!D$7,1))</f>
        <v/>
      </c>
      <c r="I59" s="21">
        <f>SUMPRODUCT($AK59:$AR59,$AK$8:$AR$8)*IF($E59="CABA",'Parametros'!E$7,IF($E59="PBA",1-'Parametros'!E$7,1))</f>
        <v/>
      </c>
      <c r="J59" s="21">
        <f>SUMPRODUCT($AK59:$AR59,$AK$9:$AR$9)*IF($E59="CABA",'Parametros'!F$7,IF($E59="PBA",1-'Parametros'!F$7,1))</f>
        <v/>
      </c>
      <c r="K59" s="21">
        <f>SUMPRODUCT($AK59:$AR59,$AK$10:$AR$10)*IF($E59="CABA",'Parametros'!G$7,IF($E59="PBA",1-'Parametros'!G$7,1))</f>
        <v/>
      </c>
      <c r="L59" s="21">
        <f>SUMPRODUCT($AK59:$AR59,$AK$11:$AR$11)*IF($E59="CABA",'Parametros'!H$7,IF($E59="PBA",1-'Parametros'!H$7,1))</f>
        <v/>
      </c>
      <c r="M59" s="21">
        <f>SUMPRODUCT($AK59:$AR59,$AK$12:$AR$12)*IF($E59="CABA",'Parametros'!I$7,IF($E59="PBA",1-'Parametros'!I$7,1))</f>
        <v/>
      </c>
      <c r="N59" s="21">
        <f>SUMPRODUCT($AK59:$AR59,$AK$13:$AR$13)*IF($E59="CABA",'Parametros'!J$7,IF($E59="PBA",1-'Parametros'!J$7,1))</f>
        <v/>
      </c>
      <c r="O59" s="21">
        <f>SUMPRODUCT($AK59:$AR59,$AK$14:$AR$14)*IF($E59="CABA",'Parametros'!K$7,IF($E59="PBA",1-'Parametros'!K$7,1))</f>
        <v/>
      </c>
      <c r="AK59" s="22" t="n">
        <v>1</v>
      </c>
      <c r="AL59" s="22" t="n">
        <v>1</v>
      </c>
      <c r="AM59" s="22" t="n">
        <v>1</v>
      </c>
      <c r="AN59" s="22" t="n">
        <v>1</v>
      </c>
    </row>
    <row r="60">
      <c r="A60" s="24" t="inlineStr">
        <is>
          <t>Manómetro — Ø47 esfera, rango 0-3,5 MPa, sector verde en 1,4</t>
        </is>
      </c>
      <c r="B60" s="24" t="inlineStr">
        <is>
          <t>u</t>
        </is>
      </c>
      <c r="C60" s="24" t="inlineStr">
        <is>
          <t>Componente comprado</t>
        </is>
      </c>
      <c r="D60" s="24" t="inlineStr">
        <is>
          <t>Yukon / MatafuegosYa S.R.L.</t>
        </is>
      </c>
      <c r="E60" s="24" t="inlineStr">
        <is>
          <t>Todos</t>
        </is>
      </c>
      <c r="F60" s="21">
        <f>SUMPRODUCT($AK60:$AR60,$AK$5:$AR$5)*IF($E60="CABA",'Parametros'!B$7,IF($E60="PBA",1-'Parametros'!B$7,1))</f>
        <v/>
      </c>
      <c r="G60" s="21">
        <f>SUMPRODUCT($AK60:$AR60,$AK$6:$AR$6)*IF($E60="CABA",'Parametros'!C$7,IF($E60="PBA",1-'Parametros'!C$7,1))</f>
        <v/>
      </c>
      <c r="H60" s="21">
        <f>SUMPRODUCT($AK60:$AR60,$AK$7:$AR$7)*IF($E60="CABA",'Parametros'!D$7,IF($E60="PBA",1-'Parametros'!D$7,1))</f>
        <v/>
      </c>
      <c r="I60" s="21">
        <f>SUMPRODUCT($AK60:$AR60,$AK$8:$AR$8)*IF($E60="CABA",'Parametros'!E$7,IF($E60="PBA",1-'Parametros'!E$7,1))</f>
        <v/>
      </c>
      <c r="J60" s="21">
        <f>SUMPRODUCT($AK60:$AR60,$AK$9:$AR$9)*IF($E60="CABA",'Parametros'!F$7,IF($E60="PBA",1-'Parametros'!F$7,1))</f>
        <v/>
      </c>
      <c r="K60" s="21">
        <f>SUMPRODUCT($AK60:$AR60,$AK$10:$AR$10)*IF($E60="CABA",'Parametros'!G$7,IF($E60="PBA",1-'Parametros'!G$7,1))</f>
        <v/>
      </c>
      <c r="L60" s="21">
        <f>SUMPRODUCT($AK60:$AR60,$AK$11:$AR$11)*IF($E60="CABA",'Parametros'!H$7,IF($E60="PBA",1-'Parametros'!H$7,1))</f>
        <v/>
      </c>
      <c r="M60" s="21">
        <f>SUMPRODUCT($AK60:$AR60,$AK$12:$AR$12)*IF($E60="CABA",'Parametros'!I$7,IF($E60="PBA",1-'Parametros'!I$7,1))</f>
        <v/>
      </c>
      <c r="N60" s="21">
        <f>SUMPRODUCT($AK60:$AR60,$AK$13:$AR$13)*IF($E60="CABA",'Parametros'!J$7,IF($E60="PBA",1-'Parametros'!J$7,1))</f>
        <v/>
      </c>
      <c r="O60" s="21">
        <f>SUMPRODUCT($AK60:$AR60,$AK$14:$AR$14)*IF($E60="CABA",'Parametros'!K$7,IF($E60="PBA",1-'Parametros'!K$7,1))</f>
        <v/>
      </c>
      <c r="AO60" s="22" t="n">
        <v>1</v>
      </c>
      <c r="AP60" s="22" t="n">
        <v>1</v>
      </c>
      <c r="AQ60" s="22" t="n">
        <v>1</v>
      </c>
      <c r="AR60" s="22" t="n">
        <v>1</v>
      </c>
    </row>
    <row r="61">
      <c r="A61" s="24" t="inlineStr">
        <is>
          <t>Neumático macizo — Ø300 × 49 de ancho</t>
        </is>
      </c>
      <c r="B61" s="24" t="inlineStr">
        <is>
          <t>u</t>
        </is>
      </c>
      <c r="C61" s="24" t="inlineStr">
        <is>
          <t>Componente comprado</t>
        </is>
      </c>
      <c r="D61" s="24" t="inlineStr">
        <is>
          <t>Ruedar</t>
        </is>
      </c>
      <c r="E61" s="24" t="inlineStr">
        <is>
          <t>Todos</t>
        </is>
      </c>
      <c r="F61" s="21">
        <f>SUMPRODUCT($AK61:$AR61,$AK$5:$AR$5)*IF($E61="CABA",'Parametros'!B$7,IF($E61="PBA",1-'Parametros'!B$7,1))</f>
        <v/>
      </c>
      <c r="G61" s="21">
        <f>SUMPRODUCT($AK61:$AR61,$AK$6:$AR$6)*IF($E61="CABA",'Parametros'!C$7,IF($E61="PBA",1-'Parametros'!C$7,1))</f>
        <v/>
      </c>
      <c r="H61" s="21">
        <f>SUMPRODUCT($AK61:$AR61,$AK$7:$AR$7)*IF($E61="CABA",'Parametros'!D$7,IF($E61="PBA",1-'Parametros'!D$7,1))</f>
        <v/>
      </c>
      <c r="I61" s="21">
        <f>SUMPRODUCT($AK61:$AR61,$AK$8:$AR$8)*IF($E61="CABA",'Parametros'!E$7,IF($E61="PBA",1-'Parametros'!E$7,1))</f>
        <v/>
      </c>
      <c r="J61" s="21">
        <f>SUMPRODUCT($AK61:$AR61,$AK$9:$AR$9)*IF($E61="CABA",'Parametros'!F$7,IF($E61="PBA",1-'Parametros'!F$7,1))</f>
        <v/>
      </c>
      <c r="K61" s="21">
        <f>SUMPRODUCT($AK61:$AR61,$AK$10:$AR$10)*IF($E61="CABA",'Parametros'!G$7,IF($E61="PBA",1-'Parametros'!G$7,1))</f>
        <v/>
      </c>
      <c r="L61" s="21">
        <f>SUMPRODUCT($AK61:$AR61,$AK$11:$AR$11)*IF($E61="CABA",'Parametros'!H$7,IF($E61="PBA",1-'Parametros'!H$7,1))</f>
        <v/>
      </c>
      <c r="M61" s="21">
        <f>SUMPRODUCT($AK61:$AR61,$AK$12:$AR$12)*IF($E61="CABA",'Parametros'!I$7,IF($E61="PBA",1-'Parametros'!I$7,1))</f>
        <v/>
      </c>
      <c r="N61" s="21">
        <f>SUMPRODUCT($AK61:$AR61,$AK$13:$AR$13)*IF($E61="CABA",'Parametros'!J$7,IF($E61="PBA",1-'Parametros'!J$7,1))</f>
        <v/>
      </c>
      <c r="O61" s="21">
        <f>SUMPRODUCT($AK61:$AR61,$AK$14:$AR$14)*IF($E61="CABA",'Parametros'!K$7,IF($E61="PBA",1-'Parametros'!K$7,1))</f>
        <v/>
      </c>
      <c r="AO61" s="22" t="n">
        <v>2</v>
      </c>
    </row>
    <row r="62">
      <c r="A62" s="2" t="inlineStr">
        <is>
          <t>Neumático macizo — Ø350 × 49 de ancho</t>
        </is>
      </c>
      <c r="B62" s="2" t="inlineStr">
        <is>
          <t>u</t>
        </is>
      </c>
      <c r="C62" s="2" t="inlineStr">
        <is>
          <t>Componente comprado</t>
        </is>
      </c>
      <c r="D62" s="2" t="inlineStr">
        <is>
          <t>Ruedar</t>
        </is>
      </c>
      <c r="E62" s="2" t="inlineStr">
        <is>
          <t>Todos</t>
        </is>
      </c>
      <c r="F62" s="21">
        <f>SUMPRODUCT($AK62:$AR62,$AK$5:$AR$5)*IF($E62="CABA",'Parametros'!B$7,IF($E62="PBA",1-'Parametros'!B$7,1))</f>
        <v/>
      </c>
      <c r="G62" s="21">
        <f>SUMPRODUCT($AK62:$AR62,$AK$6:$AR$6)*IF($E62="CABA",'Parametros'!C$7,IF($E62="PBA",1-'Parametros'!C$7,1))</f>
        <v/>
      </c>
      <c r="H62" s="21">
        <f>SUMPRODUCT($AK62:$AR62,$AK$7:$AR$7)*IF($E62="CABA",'Parametros'!D$7,IF($E62="PBA",1-'Parametros'!D$7,1))</f>
        <v/>
      </c>
      <c r="I62" s="21">
        <f>SUMPRODUCT($AK62:$AR62,$AK$8:$AR$8)*IF($E62="CABA",'Parametros'!E$7,IF($E62="PBA",1-'Parametros'!E$7,1))</f>
        <v/>
      </c>
      <c r="J62" s="21">
        <f>SUMPRODUCT($AK62:$AR62,$AK$9:$AR$9)*IF($E62="CABA",'Parametros'!F$7,IF($E62="PBA",1-'Parametros'!F$7,1))</f>
        <v/>
      </c>
      <c r="K62" s="21">
        <f>SUMPRODUCT($AK62:$AR62,$AK$10:$AR$10)*IF($E62="CABA",'Parametros'!G$7,IF($E62="PBA",1-'Parametros'!G$7,1))</f>
        <v/>
      </c>
      <c r="L62" s="21">
        <f>SUMPRODUCT($AK62:$AR62,$AK$11:$AR$11)*IF($E62="CABA",'Parametros'!H$7,IF($E62="PBA",1-'Parametros'!H$7,1))</f>
        <v/>
      </c>
      <c r="M62" s="21">
        <f>SUMPRODUCT($AK62:$AR62,$AK$12:$AR$12)*IF($E62="CABA",'Parametros'!I$7,IF($E62="PBA",1-'Parametros'!I$7,1))</f>
        <v/>
      </c>
      <c r="N62" s="21">
        <f>SUMPRODUCT($AK62:$AR62,$AK$13:$AR$13)*IF($E62="CABA",'Parametros'!J$7,IF($E62="PBA",1-'Parametros'!J$7,1))</f>
        <v/>
      </c>
      <c r="O62" s="21">
        <f>SUMPRODUCT($AK62:$AR62,$AK$14:$AR$14)*IF($E62="CABA",'Parametros'!K$7,IF($E62="PBA",1-'Parametros'!K$7,1))</f>
        <v/>
      </c>
      <c r="AP62" s="22" t="n">
        <v>2</v>
      </c>
      <c r="AQ62" s="22" t="n">
        <v>2</v>
      </c>
    </row>
    <row r="63">
      <c r="A63" s="25" t="inlineStr">
        <is>
          <t>Neumático macizo — Ø400 × 76 de ancho</t>
        </is>
      </c>
      <c r="B63" s="25" t="inlineStr">
        <is>
          <t>u</t>
        </is>
      </c>
      <c r="C63" s="25" t="inlineStr">
        <is>
          <t>Componente comprado</t>
        </is>
      </c>
      <c r="D63" s="25" t="inlineStr">
        <is>
          <t>Ruedar</t>
        </is>
      </c>
      <c r="E63" s="25" t="inlineStr">
        <is>
          <t>Todos</t>
        </is>
      </c>
      <c r="F63" s="21">
        <f>SUMPRODUCT($AK63:$AR63,$AK$5:$AR$5)*IF($E63="CABA",'Parametros'!B$7,IF($E63="PBA",1-'Parametros'!B$7,1))</f>
        <v/>
      </c>
      <c r="G63" s="21">
        <f>SUMPRODUCT($AK63:$AR63,$AK$6:$AR$6)*IF($E63="CABA",'Parametros'!C$7,IF($E63="PBA",1-'Parametros'!C$7,1))</f>
        <v/>
      </c>
      <c r="H63" s="21">
        <f>SUMPRODUCT($AK63:$AR63,$AK$7:$AR$7)*IF($E63="CABA",'Parametros'!D$7,IF($E63="PBA",1-'Parametros'!D$7,1))</f>
        <v/>
      </c>
      <c r="I63" s="21">
        <f>SUMPRODUCT($AK63:$AR63,$AK$8:$AR$8)*IF($E63="CABA",'Parametros'!E$7,IF($E63="PBA",1-'Parametros'!E$7,1))</f>
        <v/>
      </c>
      <c r="J63" s="21">
        <f>SUMPRODUCT($AK63:$AR63,$AK$9:$AR$9)*IF($E63="CABA",'Parametros'!F$7,IF($E63="PBA",1-'Parametros'!F$7,1))</f>
        <v/>
      </c>
      <c r="K63" s="21">
        <f>SUMPRODUCT($AK63:$AR63,$AK$10:$AR$10)*IF($E63="CABA",'Parametros'!G$7,IF($E63="PBA",1-'Parametros'!G$7,1))</f>
        <v/>
      </c>
      <c r="L63" s="21">
        <f>SUMPRODUCT($AK63:$AR63,$AK$11:$AR$11)*IF($E63="CABA",'Parametros'!H$7,IF($E63="PBA",1-'Parametros'!H$7,1))</f>
        <v/>
      </c>
      <c r="M63" s="21">
        <f>SUMPRODUCT($AK63:$AR63,$AK$12:$AR$12)*IF($E63="CABA",'Parametros'!I$7,IF($E63="PBA",1-'Parametros'!I$7,1))</f>
        <v/>
      </c>
      <c r="N63" s="21">
        <f>SUMPRODUCT($AK63:$AR63,$AK$13:$AR$13)*IF($E63="CABA",'Parametros'!J$7,IF($E63="PBA",1-'Parametros'!J$7,1))</f>
        <v/>
      </c>
      <c r="O63" s="21">
        <f>SUMPRODUCT($AK63:$AR63,$AK$14:$AR$14)*IF($E63="CABA",'Parametros'!K$7,IF($E63="PBA",1-'Parametros'!K$7,1))</f>
        <v/>
      </c>
      <c r="AR63" s="22" t="n">
        <v>2</v>
      </c>
    </row>
    <row r="64">
      <c r="A64" s="2" t="inlineStr">
        <is>
          <t>Racor de manguera — 19,4 × 18,8 × 18,8</t>
        </is>
      </c>
      <c r="B64" s="2" t="inlineStr">
        <is>
          <t>u</t>
        </is>
      </c>
      <c r="C64" s="2" t="inlineStr">
        <is>
          <t>Componente comprado</t>
        </is>
      </c>
      <c r="D64" s="2" t="inlineStr">
        <is>
          <t>Yukon / MatafuegosYa S.R.L.</t>
        </is>
      </c>
      <c r="E64" s="2" t="inlineStr">
        <is>
          <t>Todos</t>
        </is>
      </c>
      <c r="F64" s="21">
        <f>SUMPRODUCT($AK64:$AR64,$AK$5:$AR$5)*IF($E64="CABA",'Parametros'!B$7,IF($E64="PBA",1-'Parametros'!B$7,1))</f>
        <v/>
      </c>
      <c r="G64" s="21">
        <f>SUMPRODUCT($AK64:$AR64,$AK$6:$AR$6)*IF($E64="CABA",'Parametros'!C$7,IF($E64="PBA",1-'Parametros'!C$7,1))</f>
        <v/>
      </c>
      <c r="H64" s="21">
        <f>SUMPRODUCT($AK64:$AR64,$AK$7:$AR$7)*IF($E64="CABA",'Parametros'!D$7,IF($E64="PBA",1-'Parametros'!D$7,1))</f>
        <v/>
      </c>
      <c r="I64" s="21">
        <f>SUMPRODUCT($AK64:$AR64,$AK$8:$AR$8)*IF($E64="CABA",'Parametros'!E$7,IF($E64="PBA",1-'Parametros'!E$7,1))</f>
        <v/>
      </c>
      <c r="J64" s="21">
        <f>SUMPRODUCT($AK64:$AR64,$AK$9:$AR$9)*IF($E64="CABA",'Parametros'!F$7,IF($E64="PBA",1-'Parametros'!F$7,1))</f>
        <v/>
      </c>
      <c r="K64" s="21">
        <f>SUMPRODUCT($AK64:$AR64,$AK$10:$AR$10)*IF($E64="CABA",'Parametros'!G$7,IF($E64="PBA",1-'Parametros'!G$7,1))</f>
        <v/>
      </c>
      <c r="L64" s="21">
        <f>SUMPRODUCT($AK64:$AR64,$AK$11:$AR$11)*IF($E64="CABA",'Parametros'!H$7,IF($E64="PBA",1-'Parametros'!H$7,1))</f>
        <v/>
      </c>
      <c r="M64" s="21">
        <f>SUMPRODUCT($AK64:$AR64,$AK$12:$AR$12)*IF($E64="CABA",'Parametros'!I$7,IF($E64="PBA",1-'Parametros'!I$7,1))</f>
        <v/>
      </c>
      <c r="N64" s="21">
        <f>SUMPRODUCT($AK64:$AR64,$AK$13:$AR$13)*IF($E64="CABA",'Parametros'!J$7,IF($E64="PBA",1-'Parametros'!J$7,1))</f>
        <v/>
      </c>
      <c r="O64" s="21">
        <f>SUMPRODUCT($AK64:$AR64,$AK$14:$AR$14)*IF($E64="CABA",'Parametros'!K$7,IF($E64="PBA",1-'Parametros'!K$7,1))</f>
        <v/>
      </c>
      <c r="AL64" s="22" t="n">
        <v>1</v>
      </c>
      <c r="AM64" s="22" t="n">
        <v>1</v>
      </c>
      <c r="AN64" s="22" t="n">
        <v>1</v>
      </c>
    </row>
    <row r="65">
      <c r="A65" s="2" t="inlineStr">
        <is>
          <t>Racor de manguera — 24 × 24 × 16</t>
        </is>
      </c>
      <c r="B65" s="2" t="inlineStr">
        <is>
          <t>u</t>
        </is>
      </c>
      <c r="C65" s="2" t="inlineStr">
        <is>
          <t>Componente comprado</t>
        </is>
      </c>
      <c r="D65" s="2" t="inlineStr">
        <is>
          <t>Yukon / MatafuegosYa S.R.L.</t>
        </is>
      </c>
      <c r="E65" s="2" t="inlineStr">
        <is>
          <t>Todos</t>
        </is>
      </c>
      <c r="F65" s="21">
        <f>SUMPRODUCT($AK65:$AR65,$AK$5:$AR$5)*IF($E65="CABA",'Parametros'!B$7,IF($E65="PBA",1-'Parametros'!B$7,1))</f>
        <v/>
      </c>
      <c r="G65" s="21">
        <f>SUMPRODUCT($AK65:$AR65,$AK$6:$AR$6)*IF($E65="CABA",'Parametros'!C$7,IF($E65="PBA",1-'Parametros'!C$7,1))</f>
        <v/>
      </c>
      <c r="H65" s="21">
        <f>SUMPRODUCT($AK65:$AR65,$AK$7:$AR$7)*IF($E65="CABA",'Parametros'!D$7,IF($E65="PBA",1-'Parametros'!D$7,1))</f>
        <v/>
      </c>
      <c r="I65" s="21">
        <f>SUMPRODUCT($AK65:$AR65,$AK$8:$AR$8)*IF($E65="CABA",'Parametros'!E$7,IF($E65="PBA",1-'Parametros'!E$7,1))</f>
        <v/>
      </c>
      <c r="J65" s="21">
        <f>SUMPRODUCT($AK65:$AR65,$AK$9:$AR$9)*IF($E65="CABA",'Parametros'!F$7,IF($E65="PBA",1-'Parametros'!F$7,1))</f>
        <v/>
      </c>
      <c r="K65" s="21">
        <f>SUMPRODUCT($AK65:$AR65,$AK$10:$AR$10)*IF($E65="CABA",'Parametros'!G$7,IF($E65="PBA",1-'Parametros'!G$7,1))</f>
        <v/>
      </c>
      <c r="L65" s="21">
        <f>SUMPRODUCT($AK65:$AR65,$AK$11:$AR$11)*IF($E65="CABA",'Parametros'!H$7,IF($E65="PBA",1-'Parametros'!H$7,1))</f>
        <v/>
      </c>
      <c r="M65" s="21">
        <f>SUMPRODUCT($AK65:$AR65,$AK$12:$AR$12)*IF($E65="CABA",'Parametros'!I$7,IF($E65="PBA",1-'Parametros'!I$7,1))</f>
        <v/>
      </c>
      <c r="N65" s="21">
        <f>SUMPRODUCT($AK65:$AR65,$AK$13:$AR$13)*IF($E65="CABA",'Parametros'!J$7,IF($E65="PBA",1-'Parametros'!J$7,1))</f>
        <v/>
      </c>
      <c r="O65" s="21">
        <f>SUMPRODUCT($AK65:$AR65,$AK$14:$AR$14)*IF($E65="CABA",'Parametros'!K$7,IF($E65="PBA",1-'Parametros'!K$7,1))</f>
        <v/>
      </c>
      <c r="AO65" s="22" t="n">
        <v>1</v>
      </c>
      <c r="AP65" s="22" t="n">
        <v>1</v>
      </c>
      <c r="AQ65" s="22" t="n">
        <v>1</v>
      </c>
      <c r="AR65" s="22" t="n">
        <v>1</v>
      </c>
    </row>
    <row r="66">
      <c r="A66" s="2" t="inlineStr">
        <is>
          <t>Suncho portatobera — 137,3 × 127 × 14,4</t>
        </is>
      </c>
      <c r="B66" s="2" t="inlineStr">
        <is>
          <t>u</t>
        </is>
      </c>
      <c r="C66" s="2" t="inlineStr">
        <is>
          <t>Componente comprado</t>
        </is>
      </c>
      <c r="D66" s="2" t="inlineStr">
        <is>
          <t>Yukon / MatafuegosYa S.R.L.</t>
        </is>
      </c>
      <c r="E66" s="2" t="inlineStr">
        <is>
          <t>Todos</t>
        </is>
      </c>
      <c r="F66" s="21">
        <f>SUMPRODUCT($AK66:$AR66,$AK$5:$AR$5)*IF($E66="CABA",'Parametros'!B$7,IF($E66="PBA",1-'Parametros'!B$7,1))</f>
        <v/>
      </c>
      <c r="G66" s="21">
        <f>SUMPRODUCT($AK66:$AR66,$AK$6:$AR$6)*IF($E66="CABA",'Parametros'!C$7,IF($E66="PBA",1-'Parametros'!C$7,1))</f>
        <v/>
      </c>
      <c r="H66" s="21">
        <f>SUMPRODUCT($AK66:$AR66,$AK$7:$AR$7)*IF($E66="CABA",'Parametros'!D$7,IF($E66="PBA",1-'Parametros'!D$7,1))</f>
        <v/>
      </c>
      <c r="I66" s="21">
        <f>SUMPRODUCT($AK66:$AR66,$AK$8:$AR$8)*IF($E66="CABA",'Parametros'!E$7,IF($E66="PBA",1-'Parametros'!E$7,1))</f>
        <v/>
      </c>
      <c r="J66" s="21">
        <f>SUMPRODUCT($AK66:$AR66,$AK$9:$AR$9)*IF($E66="CABA",'Parametros'!F$7,IF($E66="PBA",1-'Parametros'!F$7,1))</f>
        <v/>
      </c>
      <c r="K66" s="21">
        <f>SUMPRODUCT($AK66:$AR66,$AK$10:$AR$10)*IF($E66="CABA",'Parametros'!G$7,IF($E66="PBA",1-'Parametros'!G$7,1))</f>
        <v/>
      </c>
      <c r="L66" s="21">
        <f>SUMPRODUCT($AK66:$AR66,$AK$11:$AR$11)*IF($E66="CABA",'Parametros'!H$7,IF($E66="PBA",1-'Parametros'!H$7,1))</f>
        <v/>
      </c>
      <c r="M66" s="21">
        <f>SUMPRODUCT($AK66:$AR66,$AK$12:$AR$12)*IF($E66="CABA",'Parametros'!I$7,IF($E66="PBA",1-'Parametros'!I$7,1))</f>
        <v/>
      </c>
      <c r="N66" s="21">
        <f>SUMPRODUCT($AK66:$AR66,$AK$13:$AR$13)*IF($E66="CABA",'Parametros'!J$7,IF($E66="PBA",1-'Parametros'!J$7,1))</f>
        <v/>
      </c>
      <c r="O66" s="21">
        <f>SUMPRODUCT($AK66:$AR66,$AK$14:$AR$14)*IF($E66="CABA",'Parametros'!K$7,IF($E66="PBA",1-'Parametros'!K$7,1))</f>
        <v/>
      </c>
      <c r="AL66" s="22" t="n">
        <v>1</v>
      </c>
    </row>
    <row r="67">
      <c r="A67" s="2" t="inlineStr">
        <is>
          <t>Suncho portatobera — 166,3 × 156 × 14,4</t>
        </is>
      </c>
      <c r="B67" s="2" t="inlineStr">
        <is>
          <t>u</t>
        </is>
      </c>
      <c r="C67" s="2" t="inlineStr">
        <is>
          <t>Componente comprado</t>
        </is>
      </c>
      <c r="D67" s="2" t="inlineStr">
        <is>
          <t>Yukon / MatafuegosYa S.R.L.</t>
        </is>
      </c>
      <c r="E67" s="2" t="inlineStr">
        <is>
          <t>Todos</t>
        </is>
      </c>
      <c r="F67" s="21">
        <f>SUMPRODUCT($AK67:$AR67,$AK$5:$AR$5)*IF($E67="CABA",'Parametros'!B$7,IF($E67="PBA",1-'Parametros'!B$7,1))</f>
        <v/>
      </c>
      <c r="G67" s="21">
        <f>SUMPRODUCT($AK67:$AR67,$AK$6:$AR$6)*IF($E67="CABA",'Parametros'!C$7,IF($E67="PBA",1-'Parametros'!C$7,1))</f>
        <v/>
      </c>
      <c r="H67" s="21">
        <f>SUMPRODUCT($AK67:$AR67,$AK$7:$AR$7)*IF($E67="CABA",'Parametros'!D$7,IF($E67="PBA",1-'Parametros'!D$7,1))</f>
        <v/>
      </c>
      <c r="I67" s="21">
        <f>SUMPRODUCT($AK67:$AR67,$AK$8:$AR$8)*IF($E67="CABA",'Parametros'!E$7,IF($E67="PBA",1-'Parametros'!E$7,1))</f>
        <v/>
      </c>
      <c r="J67" s="21">
        <f>SUMPRODUCT($AK67:$AR67,$AK$9:$AR$9)*IF($E67="CABA",'Parametros'!F$7,IF($E67="PBA",1-'Parametros'!F$7,1))</f>
        <v/>
      </c>
      <c r="K67" s="21">
        <f>SUMPRODUCT($AK67:$AR67,$AK$10:$AR$10)*IF($E67="CABA",'Parametros'!G$7,IF($E67="PBA",1-'Parametros'!G$7,1))</f>
        <v/>
      </c>
      <c r="L67" s="21">
        <f>SUMPRODUCT($AK67:$AR67,$AK$11:$AR$11)*IF($E67="CABA",'Parametros'!H$7,IF($E67="PBA",1-'Parametros'!H$7,1))</f>
        <v/>
      </c>
      <c r="M67" s="21">
        <f>SUMPRODUCT($AK67:$AR67,$AK$12:$AR$12)*IF($E67="CABA",'Parametros'!I$7,IF($E67="PBA",1-'Parametros'!I$7,1))</f>
        <v/>
      </c>
      <c r="N67" s="21">
        <f>SUMPRODUCT($AK67:$AR67,$AK$13:$AR$13)*IF($E67="CABA",'Parametros'!J$7,IF($E67="PBA",1-'Parametros'!J$7,1))</f>
        <v/>
      </c>
      <c r="O67" s="21">
        <f>SUMPRODUCT($AK67:$AR67,$AK$14:$AR$14)*IF($E67="CABA",'Parametros'!K$7,IF($E67="PBA",1-'Parametros'!K$7,1))</f>
        <v/>
      </c>
      <c r="AM67" s="22" t="n">
        <v>1</v>
      </c>
    </row>
    <row r="68">
      <c r="A68" s="2" t="inlineStr">
        <is>
          <t>Suncho portatobera — 194,8 × 184,5 × 14,4</t>
        </is>
      </c>
      <c r="B68" s="2" t="inlineStr">
        <is>
          <t>u</t>
        </is>
      </c>
      <c r="C68" s="2" t="inlineStr">
        <is>
          <t>Componente comprado</t>
        </is>
      </c>
      <c r="D68" s="2" t="inlineStr">
        <is>
          <t>Yukon / MatafuegosYa S.R.L.</t>
        </is>
      </c>
      <c r="E68" s="2" t="inlineStr">
        <is>
          <t>Todos</t>
        </is>
      </c>
      <c r="F68" s="21">
        <f>SUMPRODUCT($AK68:$AR68,$AK$5:$AR$5)*IF($E68="CABA",'Parametros'!B$7,IF($E68="PBA",1-'Parametros'!B$7,1))</f>
        <v/>
      </c>
      <c r="G68" s="21">
        <f>SUMPRODUCT($AK68:$AR68,$AK$6:$AR$6)*IF($E68="CABA",'Parametros'!C$7,IF($E68="PBA",1-'Parametros'!C$7,1))</f>
        <v/>
      </c>
      <c r="H68" s="21">
        <f>SUMPRODUCT($AK68:$AR68,$AK$7:$AR$7)*IF($E68="CABA",'Parametros'!D$7,IF($E68="PBA",1-'Parametros'!D$7,1))</f>
        <v/>
      </c>
      <c r="I68" s="21">
        <f>SUMPRODUCT($AK68:$AR68,$AK$8:$AR$8)*IF($E68="CABA",'Parametros'!E$7,IF($E68="PBA",1-'Parametros'!E$7,1))</f>
        <v/>
      </c>
      <c r="J68" s="21">
        <f>SUMPRODUCT($AK68:$AR68,$AK$9:$AR$9)*IF($E68="CABA",'Parametros'!F$7,IF($E68="PBA",1-'Parametros'!F$7,1))</f>
        <v/>
      </c>
      <c r="K68" s="21">
        <f>SUMPRODUCT($AK68:$AR68,$AK$10:$AR$10)*IF($E68="CABA",'Parametros'!G$7,IF($E68="PBA",1-'Parametros'!G$7,1))</f>
        <v/>
      </c>
      <c r="L68" s="21">
        <f>SUMPRODUCT($AK68:$AR68,$AK$11:$AR$11)*IF($E68="CABA",'Parametros'!H$7,IF($E68="PBA",1-'Parametros'!H$7,1))</f>
        <v/>
      </c>
      <c r="M68" s="21">
        <f>SUMPRODUCT($AK68:$AR68,$AK$12:$AR$12)*IF($E68="CABA",'Parametros'!I$7,IF($E68="PBA",1-'Parametros'!I$7,1))</f>
        <v/>
      </c>
      <c r="N68" s="21">
        <f>SUMPRODUCT($AK68:$AR68,$AK$13:$AR$13)*IF($E68="CABA",'Parametros'!J$7,IF($E68="PBA",1-'Parametros'!J$7,1))</f>
        <v/>
      </c>
      <c r="O68" s="21">
        <f>SUMPRODUCT($AK68:$AR68,$AK$14:$AR$14)*IF($E68="CABA",'Parametros'!K$7,IF($E68="PBA",1-'Parametros'!K$7,1))</f>
        <v/>
      </c>
      <c r="AN68" s="22" t="n">
        <v>1</v>
      </c>
    </row>
    <row r="69">
      <c r="A69" s="2" t="inlineStr">
        <is>
          <t>Tobera campana — 200 × 68 × 68</t>
        </is>
      </c>
      <c r="B69" s="2" t="inlineStr">
        <is>
          <t>u</t>
        </is>
      </c>
      <c r="C69" s="2" t="inlineStr">
        <is>
          <t>Componente comprado</t>
        </is>
      </c>
      <c r="D69" s="2" t="inlineStr">
        <is>
          <t>Yukon / MatafuegosYa S.R.L.</t>
        </is>
      </c>
      <c r="E69" s="2" t="inlineStr">
        <is>
          <t>Todos</t>
        </is>
      </c>
      <c r="F69" s="21">
        <f>SUMPRODUCT($AK69:$AR69,$AK$5:$AR$5)*IF($E69="CABA",'Parametros'!B$7,IF($E69="PBA",1-'Parametros'!B$7,1))</f>
        <v/>
      </c>
      <c r="G69" s="21">
        <f>SUMPRODUCT($AK69:$AR69,$AK$6:$AR$6)*IF($E69="CABA",'Parametros'!C$7,IF($E69="PBA",1-'Parametros'!C$7,1))</f>
        <v/>
      </c>
      <c r="H69" s="21">
        <f>SUMPRODUCT($AK69:$AR69,$AK$7:$AR$7)*IF($E69="CABA",'Parametros'!D$7,IF($E69="PBA",1-'Parametros'!D$7,1))</f>
        <v/>
      </c>
      <c r="I69" s="21">
        <f>SUMPRODUCT($AK69:$AR69,$AK$8:$AR$8)*IF($E69="CABA",'Parametros'!E$7,IF($E69="PBA",1-'Parametros'!E$7,1))</f>
        <v/>
      </c>
      <c r="J69" s="21">
        <f>SUMPRODUCT($AK69:$AR69,$AK$9:$AR$9)*IF($E69="CABA",'Parametros'!F$7,IF($E69="PBA",1-'Parametros'!F$7,1))</f>
        <v/>
      </c>
      <c r="K69" s="21">
        <f>SUMPRODUCT($AK69:$AR69,$AK$10:$AR$10)*IF($E69="CABA",'Parametros'!G$7,IF($E69="PBA",1-'Parametros'!G$7,1))</f>
        <v/>
      </c>
      <c r="L69" s="21">
        <f>SUMPRODUCT($AK69:$AR69,$AK$11:$AR$11)*IF($E69="CABA",'Parametros'!H$7,IF($E69="PBA",1-'Parametros'!H$7,1))</f>
        <v/>
      </c>
      <c r="M69" s="21">
        <f>SUMPRODUCT($AK69:$AR69,$AK$12:$AR$12)*IF($E69="CABA",'Parametros'!I$7,IF($E69="PBA",1-'Parametros'!I$7,1))</f>
        <v/>
      </c>
      <c r="N69" s="21">
        <f>SUMPRODUCT($AK69:$AR69,$AK$13:$AR$13)*IF($E69="CABA",'Parametros'!J$7,IF($E69="PBA",1-'Parametros'!J$7,1))</f>
        <v/>
      </c>
      <c r="O69" s="21">
        <f>SUMPRODUCT($AK69:$AR69,$AK$14:$AR$14)*IF($E69="CABA",'Parametros'!K$7,IF($E69="PBA",1-'Parametros'!K$7,1))</f>
        <v/>
      </c>
      <c r="AO69" s="22" t="n">
        <v>1</v>
      </c>
      <c r="AP69" s="22" t="n">
        <v>1</v>
      </c>
      <c r="AQ69" s="22" t="n">
        <v>1</v>
      </c>
      <c r="AR69" s="22" t="n">
        <v>1</v>
      </c>
    </row>
    <row r="70">
      <c r="A70" s="2" t="inlineStr">
        <is>
          <t>Tobera con portatobera — 73,5 × 19,9 × 19,9</t>
        </is>
      </c>
      <c r="B70" s="2" t="inlineStr">
        <is>
          <t>u</t>
        </is>
      </c>
      <c r="C70" s="2" t="inlineStr">
        <is>
          <t>Componente comprado</t>
        </is>
      </c>
      <c r="D70" s="2" t="inlineStr">
        <is>
          <t>Yukon / MatafuegosYa S.R.L.</t>
        </is>
      </c>
      <c r="E70" s="2" t="inlineStr">
        <is>
          <t>Todos</t>
        </is>
      </c>
      <c r="F70" s="21">
        <f>SUMPRODUCT($AK70:$AR70,$AK$5:$AR$5)*IF($E70="CABA",'Parametros'!B$7,IF($E70="PBA",1-'Parametros'!B$7,1))</f>
        <v/>
      </c>
      <c r="G70" s="21">
        <f>SUMPRODUCT($AK70:$AR70,$AK$6:$AR$6)*IF($E70="CABA",'Parametros'!C$7,IF($E70="PBA",1-'Parametros'!C$7,1))</f>
        <v/>
      </c>
      <c r="H70" s="21">
        <f>SUMPRODUCT($AK70:$AR70,$AK$7:$AR$7)*IF($E70="CABA",'Parametros'!D$7,IF($E70="PBA",1-'Parametros'!D$7,1))</f>
        <v/>
      </c>
      <c r="I70" s="21">
        <f>SUMPRODUCT($AK70:$AR70,$AK$8:$AR$8)*IF($E70="CABA",'Parametros'!E$7,IF($E70="PBA",1-'Parametros'!E$7,1))</f>
        <v/>
      </c>
      <c r="J70" s="21">
        <f>SUMPRODUCT($AK70:$AR70,$AK$9:$AR$9)*IF($E70="CABA",'Parametros'!F$7,IF($E70="PBA",1-'Parametros'!F$7,1))</f>
        <v/>
      </c>
      <c r="K70" s="21">
        <f>SUMPRODUCT($AK70:$AR70,$AK$10:$AR$10)*IF($E70="CABA",'Parametros'!G$7,IF($E70="PBA",1-'Parametros'!G$7,1))</f>
        <v/>
      </c>
      <c r="L70" s="21">
        <f>SUMPRODUCT($AK70:$AR70,$AK$11:$AR$11)*IF($E70="CABA",'Parametros'!H$7,IF($E70="PBA",1-'Parametros'!H$7,1))</f>
        <v/>
      </c>
      <c r="M70" s="21">
        <f>SUMPRODUCT($AK70:$AR70,$AK$12:$AR$12)*IF($E70="CABA",'Parametros'!I$7,IF($E70="PBA",1-'Parametros'!I$7,1))</f>
        <v/>
      </c>
      <c r="N70" s="21">
        <f>SUMPRODUCT($AK70:$AR70,$AK$13:$AR$13)*IF($E70="CABA",'Parametros'!J$7,IF($E70="PBA",1-'Parametros'!J$7,1))</f>
        <v/>
      </c>
      <c r="O70" s="21">
        <f>SUMPRODUCT($AK70:$AR70,$AK$14:$AR$14)*IF($E70="CABA",'Parametros'!K$7,IF($E70="PBA",1-'Parametros'!K$7,1))</f>
        <v/>
      </c>
      <c r="AL70" s="22" t="n">
        <v>1</v>
      </c>
      <c r="AM70" s="22" t="n">
        <v>1</v>
      </c>
      <c r="AN70" s="22" t="n">
        <v>1</v>
      </c>
    </row>
    <row r="71">
      <c r="A71" s="2" t="inlineStr">
        <is>
          <t>Tobera — 12 × 12 × 10</t>
        </is>
      </c>
      <c r="B71" s="2" t="inlineStr">
        <is>
          <t>u</t>
        </is>
      </c>
      <c r="C71" s="2" t="inlineStr">
        <is>
          <t>Componente comprado</t>
        </is>
      </c>
      <c r="D71" s="2" t="inlineStr">
        <is>
          <t>Yukon / MatafuegosYa S.R.L.</t>
        </is>
      </c>
      <c r="E71" s="2" t="inlineStr">
        <is>
          <t>Todos</t>
        </is>
      </c>
      <c r="F71" s="21">
        <f>SUMPRODUCT($AK71:$AR71,$AK$5:$AR$5)*IF($E71="CABA",'Parametros'!B$7,IF($E71="PBA",1-'Parametros'!B$7,1))</f>
        <v/>
      </c>
      <c r="G71" s="21">
        <f>SUMPRODUCT($AK71:$AR71,$AK$6:$AR$6)*IF($E71="CABA",'Parametros'!C$7,IF($E71="PBA",1-'Parametros'!C$7,1))</f>
        <v/>
      </c>
      <c r="H71" s="21">
        <f>SUMPRODUCT($AK71:$AR71,$AK$7:$AR$7)*IF($E71="CABA",'Parametros'!D$7,IF($E71="PBA",1-'Parametros'!D$7,1))</f>
        <v/>
      </c>
      <c r="I71" s="21">
        <f>SUMPRODUCT($AK71:$AR71,$AK$8:$AR$8)*IF($E71="CABA",'Parametros'!E$7,IF($E71="PBA",1-'Parametros'!E$7,1))</f>
        <v/>
      </c>
      <c r="J71" s="21">
        <f>SUMPRODUCT($AK71:$AR71,$AK$9:$AR$9)*IF($E71="CABA",'Parametros'!F$7,IF($E71="PBA",1-'Parametros'!F$7,1))</f>
        <v/>
      </c>
      <c r="K71" s="21">
        <f>SUMPRODUCT($AK71:$AR71,$AK$10:$AR$10)*IF($E71="CABA",'Parametros'!G$7,IF($E71="PBA",1-'Parametros'!G$7,1))</f>
        <v/>
      </c>
      <c r="L71" s="21">
        <f>SUMPRODUCT($AK71:$AR71,$AK$11:$AR$11)*IF($E71="CABA",'Parametros'!H$7,IF($E71="PBA",1-'Parametros'!H$7,1))</f>
        <v/>
      </c>
      <c r="M71" s="21">
        <f>SUMPRODUCT($AK71:$AR71,$AK$12:$AR$12)*IF($E71="CABA",'Parametros'!I$7,IF($E71="PBA",1-'Parametros'!I$7,1))</f>
        <v/>
      </c>
      <c r="N71" s="21">
        <f>SUMPRODUCT($AK71:$AR71,$AK$13:$AR$13)*IF($E71="CABA",'Parametros'!J$7,IF($E71="PBA",1-'Parametros'!J$7,1))</f>
        <v/>
      </c>
      <c r="O71" s="21">
        <f>SUMPRODUCT($AK71:$AR71,$AK$14:$AR$14)*IF($E71="CABA",'Parametros'!K$7,IF($E71="PBA",1-'Parametros'!K$7,1))</f>
        <v/>
      </c>
      <c r="AK71" s="22" t="n">
        <v>1</v>
      </c>
    </row>
    <row r="72">
      <c r="A72" s="2" t="inlineStr">
        <is>
          <t>Válvula HZ armada M-22 1 kg c/tubo de pesca plástico</t>
        </is>
      </c>
      <c r="B72" s="2" t="inlineStr">
        <is>
          <t>u</t>
        </is>
      </c>
      <c r="C72" s="2" t="inlineStr">
        <is>
          <t>Componente comprado</t>
        </is>
      </c>
      <c r="D72" s="2" t="inlineStr">
        <is>
          <t>Polvex S.R.L. / Sancibrao</t>
        </is>
      </c>
      <c r="E72" s="2" t="inlineStr">
        <is>
          <t>Todos</t>
        </is>
      </c>
      <c r="F72" s="21">
        <f>SUMPRODUCT($AK72:$AR72,$AK$5:$AR$5)*IF($E72="CABA",'Parametros'!B$7,IF($E72="PBA",1-'Parametros'!B$7,1))</f>
        <v/>
      </c>
      <c r="G72" s="21">
        <f>SUMPRODUCT($AK72:$AR72,$AK$6:$AR$6)*IF($E72="CABA",'Parametros'!C$7,IF($E72="PBA",1-'Parametros'!C$7,1))</f>
        <v/>
      </c>
      <c r="H72" s="21">
        <f>SUMPRODUCT($AK72:$AR72,$AK$7:$AR$7)*IF($E72="CABA",'Parametros'!D$7,IF($E72="PBA",1-'Parametros'!D$7,1))</f>
        <v/>
      </c>
      <c r="I72" s="21">
        <f>SUMPRODUCT($AK72:$AR72,$AK$8:$AR$8)*IF($E72="CABA",'Parametros'!E$7,IF($E72="PBA",1-'Parametros'!E$7,1))</f>
        <v/>
      </c>
      <c r="J72" s="21">
        <f>SUMPRODUCT($AK72:$AR72,$AK$9:$AR$9)*IF($E72="CABA",'Parametros'!F$7,IF($E72="PBA",1-'Parametros'!F$7,1))</f>
        <v/>
      </c>
      <c r="K72" s="21">
        <f>SUMPRODUCT($AK72:$AR72,$AK$10:$AR$10)*IF($E72="CABA",'Parametros'!G$7,IF($E72="PBA",1-'Parametros'!G$7,1))</f>
        <v/>
      </c>
      <c r="L72" s="21">
        <f>SUMPRODUCT($AK72:$AR72,$AK$11:$AR$11)*IF($E72="CABA",'Parametros'!H$7,IF($E72="PBA",1-'Parametros'!H$7,1))</f>
        <v/>
      </c>
      <c r="M72" s="21">
        <f>SUMPRODUCT($AK72:$AR72,$AK$12:$AR$12)*IF($E72="CABA",'Parametros'!I$7,IF($E72="PBA",1-'Parametros'!I$7,1))</f>
        <v/>
      </c>
      <c r="N72" s="21">
        <f>SUMPRODUCT($AK72:$AR72,$AK$13:$AR$13)*IF($E72="CABA",'Parametros'!J$7,IF($E72="PBA",1-'Parametros'!J$7,1))</f>
        <v/>
      </c>
      <c r="O72" s="21">
        <f>SUMPRODUCT($AK72:$AR72,$AK$14:$AR$14)*IF($E72="CABA",'Parametros'!K$7,IF($E72="PBA",1-'Parametros'!K$7,1))</f>
        <v/>
      </c>
      <c r="AK72" s="22" t="n">
        <v>1</v>
      </c>
    </row>
    <row r="73">
      <c r="A73" s="2" t="inlineStr">
        <is>
          <t>Válvula HZ armada M-30 c/resorte y tubo 7/8</t>
        </is>
      </c>
      <c r="B73" s="2" t="inlineStr">
        <is>
          <t>u</t>
        </is>
      </c>
      <c r="C73" s="2" t="inlineStr">
        <is>
          <t>Componente comprado</t>
        </is>
      </c>
      <c r="D73" s="2" t="inlineStr">
        <is>
          <t>Polvex S.R.L. / Sancibrao</t>
        </is>
      </c>
      <c r="E73" s="2" t="inlineStr">
        <is>
          <t>Todos</t>
        </is>
      </c>
      <c r="F73" s="21">
        <f>SUMPRODUCT($AK73:$AR73,$AK$5:$AR$5)*IF($E73="CABA",'Parametros'!B$7,IF($E73="PBA",1-'Parametros'!B$7,1))</f>
        <v/>
      </c>
      <c r="G73" s="21">
        <f>SUMPRODUCT($AK73:$AR73,$AK$6:$AR$6)*IF($E73="CABA",'Parametros'!C$7,IF($E73="PBA",1-'Parametros'!C$7,1))</f>
        <v/>
      </c>
      <c r="H73" s="21">
        <f>SUMPRODUCT($AK73:$AR73,$AK$7:$AR$7)*IF($E73="CABA",'Parametros'!D$7,IF($E73="PBA",1-'Parametros'!D$7,1))</f>
        <v/>
      </c>
      <c r="I73" s="21">
        <f>SUMPRODUCT($AK73:$AR73,$AK$8:$AR$8)*IF($E73="CABA",'Parametros'!E$7,IF($E73="PBA",1-'Parametros'!E$7,1))</f>
        <v/>
      </c>
      <c r="J73" s="21">
        <f>SUMPRODUCT($AK73:$AR73,$AK$9:$AR$9)*IF($E73="CABA",'Parametros'!F$7,IF($E73="PBA",1-'Parametros'!F$7,1))</f>
        <v/>
      </c>
      <c r="K73" s="21">
        <f>SUMPRODUCT($AK73:$AR73,$AK$10:$AR$10)*IF($E73="CABA",'Parametros'!G$7,IF($E73="PBA",1-'Parametros'!G$7,1))</f>
        <v/>
      </c>
      <c r="L73" s="21">
        <f>SUMPRODUCT($AK73:$AR73,$AK$11:$AR$11)*IF($E73="CABA",'Parametros'!H$7,IF($E73="PBA",1-'Parametros'!H$7,1))</f>
        <v/>
      </c>
      <c r="M73" s="21">
        <f>SUMPRODUCT($AK73:$AR73,$AK$12:$AR$12)*IF($E73="CABA",'Parametros'!I$7,IF($E73="PBA",1-'Parametros'!I$7,1))</f>
        <v/>
      </c>
      <c r="N73" s="21">
        <f>SUMPRODUCT($AK73:$AR73,$AK$13:$AR$13)*IF($E73="CABA",'Parametros'!J$7,IF($E73="PBA",1-'Parametros'!J$7,1))</f>
        <v/>
      </c>
      <c r="O73" s="21">
        <f>SUMPRODUCT($AK73:$AR73,$AK$14:$AR$14)*IF($E73="CABA",'Parametros'!K$7,IF($E73="PBA",1-'Parametros'!K$7,1))</f>
        <v/>
      </c>
      <c r="AL73" s="22" t="n">
        <v>1</v>
      </c>
      <c r="AM73" s="22" t="n">
        <v>1</v>
      </c>
      <c r="AN73" s="22" t="n">
        <v>1</v>
      </c>
    </row>
    <row r="74">
      <c r="A74" s="2" t="inlineStr">
        <is>
          <t>Válvula HZ armada de carro 25 kg c/traba, manija y resorte</t>
        </is>
      </c>
      <c r="B74" s="2" t="inlineStr">
        <is>
          <t>u</t>
        </is>
      </c>
      <c r="C74" s="2" t="inlineStr">
        <is>
          <t>Componente comprado</t>
        </is>
      </c>
      <c r="D74" s="2" t="inlineStr">
        <is>
          <t>Polvex S.R.L. / Sancibrao</t>
        </is>
      </c>
      <c r="E74" s="2" t="inlineStr">
        <is>
          <t>Todos</t>
        </is>
      </c>
      <c r="F74" s="21">
        <f>SUMPRODUCT($AK74:$AR74,$AK$5:$AR$5)*IF($E74="CABA",'Parametros'!B$7,IF($E74="PBA",1-'Parametros'!B$7,1))</f>
        <v/>
      </c>
      <c r="G74" s="21">
        <f>SUMPRODUCT($AK74:$AR74,$AK$6:$AR$6)*IF($E74="CABA",'Parametros'!C$7,IF($E74="PBA",1-'Parametros'!C$7,1))</f>
        <v/>
      </c>
      <c r="H74" s="21">
        <f>SUMPRODUCT($AK74:$AR74,$AK$7:$AR$7)*IF($E74="CABA",'Parametros'!D$7,IF($E74="PBA",1-'Parametros'!D$7,1))</f>
        <v/>
      </c>
      <c r="I74" s="21">
        <f>SUMPRODUCT($AK74:$AR74,$AK$8:$AR$8)*IF($E74="CABA",'Parametros'!E$7,IF($E74="PBA",1-'Parametros'!E$7,1))</f>
        <v/>
      </c>
      <c r="J74" s="21">
        <f>SUMPRODUCT($AK74:$AR74,$AK$9:$AR$9)*IF($E74="CABA",'Parametros'!F$7,IF($E74="PBA",1-'Parametros'!F$7,1))</f>
        <v/>
      </c>
      <c r="K74" s="21">
        <f>SUMPRODUCT($AK74:$AR74,$AK$10:$AR$10)*IF($E74="CABA",'Parametros'!G$7,IF($E74="PBA",1-'Parametros'!G$7,1))</f>
        <v/>
      </c>
      <c r="L74" s="21">
        <f>SUMPRODUCT($AK74:$AR74,$AK$11:$AR$11)*IF($E74="CABA",'Parametros'!H$7,IF($E74="PBA",1-'Parametros'!H$7,1))</f>
        <v/>
      </c>
      <c r="M74" s="21">
        <f>SUMPRODUCT($AK74:$AR74,$AK$12:$AR$12)*IF($E74="CABA",'Parametros'!I$7,IF($E74="PBA",1-'Parametros'!I$7,1))</f>
        <v/>
      </c>
      <c r="N74" s="21">
        <f>SUMPRODUCT($AK74:$AR74,$AK$13:$AR$13)*IF($E74="CABA",'Parametros'!J$7,IF($E74="PBA",1-'Parametros'!J$7,1))</f>
        <v/>
      </c>
      <c r="O74" s="21">
        <f>SUMPRODUCT($AK74:$AR74,$AK$14:$AR$14)*IF($E74="CABA",'Parametros'!K$7,IF($E74="PBA",1-'Parametros'!K$7,1))</f>
        <v/>
      </c>
      <c r="AO74" s="22" t="n">
        <v>1</v>
      </c>
    </row>
    <row r="75">
      <c r="A75" s="2" t="inlineStr">
        <is>
          <t>Válvula HZ armada de carro 50-70-100 kg</t>
        </is>
      </c>
      <c r="B75" s="2" t="inlineStr">
        <is>
          <t>u</t>
        </is>
      </c>
      <c r="C75" s="2" t="inlineStr">
        <is>
          <t>Componente comprado</t>
        </is>
      </c>
      <c r="D75" s="2" t="inlineStr">
        <is>
          <t>Polvex S.R.L. / Sancibrao</t>
        </is>
      </c>
      <c r="E75" s="2" t="inlineStr">
        <is>
          <t>Todos</t>
        </is>
      </c>
      <c r="F75" s="21">
        <f>SUMPRODUCT($AK75:$AR75,$AK$5:$AR$5)*IF($E75="CABA",'Parametros'!B$7,IF($E75="PBA",1-'Parametros'!B$7,1))</f>
        <v/>
      </c>
      <c r="G75" s="21">
        <f>SUMPRODUCT($AK75:$AR75,$AK$6:$AR$6)*IF($E75="CABA",'Parametros'!C$7,IF($E75="PBA",1-'Parametros'!C$7,1))</f>
        <v/>
      </c>
      <c r="H75" s="21">
        <f>SUMPRODUCT($AK75:$AR75,$AK$7:$AR$7)*IF($E75="CABA",'Parametros'!D$7,IF($E75="PBA",1-'Parametros'!D$7,1))</f>
        <v/>
      </c>
      <c r="I75" s="21">
        <f>SUMPRODUCT($AK75:$AR75,$AK$8:$AR$8)*IF($E75="CABA",'Parametros'!E$7,IF($E75="PBA",1-'Parametros'!E$7,1))</f>
        <v/>
      </c>
      <c r="J75" s="21">
        <f>SUMPRODUCT($AK75:$AR75,$AK$9:$AR$9)*IF($E75="CABA",'Parametros'!F$7,IF($E75="PBA",1-'Parametros'!F$7,1))</f>
        <v/>
      </c>
      <c r="K75" s="21">
        <f>SUMPRODUCT($AK75:$AR75,$AK$10:$AR$10)*IF($E75="CABA",'Parametros'!G$7,IF($E75="PBA",1-'Parametros'!G$7,1))</f>
        <v/>
      </c>
      <c r="L75" s="21">
        <f>SUMPRODUCT($AK75:$AR75,$AK$11:$AR$11)*IF($E75="CABA",'Parametros'!H$7,IF($E75="PBA",1-'Parametros'!H$7,1))</f>
        <v/>
      </c>
      <c r="M75" s="21">
        <f>SUMPRODUCT($AK75:$AR75,$AK$12:$AR$12)*IF($E75="CABA",'Parametros'!I$7,IF($E75="PBA",1-'Parametros'!I$7,1))</f>
        <v/>
      </c>
      <c r="N75" s="21">
        <f>SUMPRODUCT($AK75:$AR75,$AK$13:$AR$13)*IF($E75="CABA",'Parametros'!J$7,IF($E75="PBA",1-'Parametros'!J$7,1))</f>
        <v/>
      </c>
      <c r="O75" s="21">
        <f>SUMPRODUCT($AK75:$AR75,$AK$14:$AR$14)*IF($E75="CABA",'Parametros'!K$7,IF($E75="PBA",1-'Parametros'!K$7,1))</f>
        <v/>
      </c>
      <c r="AP75" s="22" t="n">
        <v>1</v>
      </c>
      <c r="AQ75" s="22" t="n">
        <v>1</v>
      </c>
      <c r="AR75" s="22" t="n">
        <v>1</v>
      </c>
    </row>
    <row r="76">
      <c r="A76" s="2" t="inlineStr">
        <is>
          <t>Válvula esférica — 110 × 60 × 40</t>
        </is>
      </c>
      <c r="B76" s="2" t="inlineStr">
        <is>
          <t>u</t>
        </is>
      </c>
      <c r="C76" s="2" t="inlineStr">
        <is>
          <t>Componente comprado</t>
        </is>
      </c>
      <c r="D76" s="2" t="inlineStr">
        <is>
          <t>Yukon / MatafuegosYa S.R.L.</t>
        </is>
      </c>
      <c r="E76" s="2" t="inlineStr">
        <is>
          <t>Todos</t>
        </is>
      </c>
      <c r="F76" s="21">
        <f>SUMPRODUCT($AK76:$AR76,$AK$5:$AR$5)*IF($E76="CABA",'Parametros'!B$7,IF($E76="PBA",1-'Parametros'!B$7,1))</f>
        <v/>
      </c>
      <c r="G76" s="21">
        <f>SUMPRODUCT($AK76:$AR76,$AK$6:$AR$6)*IF($E76="CABA",'Parametros'!C$7,IF($E76="PBA",1-'Parametros'!C$7,1))</f>
        <v/>
      </c>
      <c r="H76" s="21">
        <f>SUMPRODUCT($AK76:$AR76,$AK$7:$AR$7)*IF($E76="CABA",'Parametros'!D$7,IF($E76="PBA",1-'Parametros'!D$7,1))</f>
        <v/>
      </c>
      <c r="I76" s="21">
        <f>SUMPRODUCT($AK76:$AR76,$AK$8:$AR$8)*IF($E76="CABA",'Parametros'!E$7,IF($E76="PBA",1-'Parametros'!E$7,1))</f>
        <v/>
      </c>
      <c r="J76" s="21">
        <f>SUMPRODUCT($AK76:$AR76,$AK$9:$AR$9)*IF($E76="CABA",'Parametros'!F$7,IF($E76="PBA",1-'Parametros'!F$7,1))</f>
        <v/>
      </c>
      <c r="K76" s="21">
        <f>SUMPRODUCT($AK76:$AR76,$AK$10:$AR$10)*IF($E76="CABA",'Parametros'!G$7,IF($E76="PBA",1-'Parametros'!G$7,1))</f>
        <v/>
      </c>
      <c r="L76" s="21">
        <f>SUMPRODUCT($AK76:$AR76,$AK$11:$AR$11)*IF($E76="CABA",'Parametros'!H$7,IF($E76="PBA",1-'Parametros'!H$7,1))</f>
        <v/>
      </c>
      <c r="M76" s="21">
        <f>SUMPRODUCT($AK76:$AR76,$AK$12:$AR$12)*IF($E76="CABA",'Parametros'!I$7,IF($E76="PBA",1-'Parametros'!I$7,1))</f>
        <v/>
      </c>
      <c r="N76" s="21">
        <f>SUMPRODUCT($AK76:$AR76,$AK$13:$AR$13)*IF($E76="CABA",'Parametros'!J$7,IF($E76="PBA",1-'Parametros'!J$7,1))</f>
        <v/>
      </c>
      <c r="O76" s="21">
        <f>SUMPRODUCT($AK76:$AR76,$AK$14:$AR$14)*IF($E76="CABA",'Parametros'!K$7,IF($E76="PBA",1-'Parametros'!K$7,1))</f>
        <v/>
      </c>
      <c r="AO76" s="22" t="n">
        <v>1</v>
      </c>
      <c r="AP76" s="22" t="n">
        <v>1</v>
      </c>
      <c r="AQ76" s="22" t="n">
        <v>1</v>
      </c>
      <c r="AR76" s="22" t="n">
        <v>1</v>
      </c>
    </row>
    <row r="77">
      <c r="A77" s="23" t="inlineStr">
        <is>
          <t>Alambre MAG ER70S-6 Ø0,9 (AWS A5.18)</t>
        </is>
      </c>
      <c r="B77" s="23" t="inlineStr">
        <is>
          <t>kg</t>
        </is>
      </c>
      <c r="C77" s="23" t="inlineStr">
        <is>
          <t>Consumible de proceso</t>
        </is>
      </c>
      <c r="D77" s="23" t="inlineStr">
        <is>
          <t>Conarco (ESAB Argentina)</t>
        </is>
      </c>
      <c r="E77" s="23" t="inlineStr">
        <is>
          <t>Todos</t>
        </is>
      </c>
      <c r="F77" s="21">
        <f>SUMPRODUCT($AK77:$AR77,$AK$5:$AR$5)*IF($E77="CABA",'Parametros'!B$7,IF($E77="PBA",1-'Parametros'!B$7,1))</f>
        <v/>
      </c>
      <c r="G77" s="21">
        <f>SUMPRODUCT($AK77:$AR77,$AK$6:$AR$6)*IF($E77="CABA",'Parametros'!C$7,IF($E77="PBA",1-'Parametros'!C$7,1))</f>
        <v/>
      </c>
      <c r="H77" s="21">
        <f>SUMPRODUCT($AK77:$AR77,$AK$7:$AR$7)*IF($E77="CABA",'Parametros'!D$7,IF($E77="PBA",1-'Parametros'!D$7,1))</f>
        <v/>
      </c>
      <c r="I77" s="21">
        <f>SUMPRODUCT($AK77:$AR77,$AK$8:$AR$8)*IF($E77="CABA",'Parametros'!E$7,IF($E77="PBA",1-'Parametros'!E$7,1))</f>
        <v/>
      </c>
      <c r="J77" s="21">
        <f>SUMPRODUCT($AK77:$AR77,$AK$9:$AR$9)*IF($E77="CABA",'Parametros'!F$7,IF($E77="PBA",1-'Parametros'!F$7,1))</f>
        <v/>
      </c>
      <c r="K77" s="21">
        <f>SUMPRODUCT($AK77:$AR77,$AK$10:$AR$10)*IF($E77="CABA",'Parametros'!G$7,IF($E77="PBA",1-'Parametros'!G$7,1))</f>
        <v/>
      </c>
      <c r="L77" s="21">
        <f>SUMPRODUCT($AK77:$AR77,$AK$11:$AR$11)*IF($E77="CABA",'Parametros'!H$7,IF($E77="PBA",1-'Parametros'!H$7,1))</f>
        <v/>
      </c>
      <c r="M77" s="21">
        <f>SUMPRODUCT($AK77:$AR77,$AK$12:$AR$12)*IF($E77="CABA",'Parametros'!I$7,IF($E77="PBA",1-'Parametros'!I$7,1))</f>
        <v/>
      </c>
      <c r="N77" s="21">
        <f>SUMPRODUCT($AK77:$AR77,$AK$13:$AR$13)*IF($E77="CABA",'Parametros'!J$7,IF($E77="PBA",1-'Parametros'!J$7,1))</f>
        <v/>
      </c>
      <c r="O77" s="21">
        <f>SUMPRODUCT($AK77:$AR77,$AK$14:$AR$14)*IF($E77="CABA",'Parametros'!K$7,IF($E77="PBA",1-'Parametros'!K$7,1))</f>
        <v/>
      </c>
      <c r="AK77" s="22" t="n">
        <v>0.0146</v>
      </c>
      <c r="AL77" s="22" t="n">
        <v>0.0292</v>
      </c>
      <c r="AM77" s="22" t="n">
        <v>0.0551</v>
      </c>
      <c r="AN77" s="22" t="n">
        <v>0.0985</v>
      </c>
    </row>
    <row r="78">
      <c r="A78" s="23" t="inlineStr">
        <is>
          <t>Alambre MAG ER70S-6 Ø1,2 (AWS A5.18)</t>
        </is>
      </c>
      <c r="B78" s="23" t="inlineStr">
        <is>
          <t>kg</t>
        </is>
      </c>
      <c r="C78" s="23" t="inlineStr">
        <is>
          <t>Consumible de proceso</t>
        </is>
      </c>
      <c r="D78" s="23" t="inlineStr">
        <is>
          <t>Conarco (ESAB Argentina)</t>
        </is>
      </c>
      <c r="E78" s="23" t="inlineStr">
        <is>
          <t>Todos</t>
        </is>
      </c>
      <c r="F78" s="21">
        <f>SUMPRODUCT($AK78:$AR78,$AK$5:$AR$5)*IF($E78="CABA",'Parametros'!B$7,IF($E78="PBA",1-'Parametros'!B$7,1))</f>
        <v/>
      </c>
      <c r="G78" s="21">
        <f>SUMPRODUCT($AK78:$AR78,$AK$6:$AR$6)*IF($E78="CABA",'Parametros'!C$7,IF($E78="PBA",1-'Parametros'!C$7,1))</f>
        <v/>
      </c>
      <c r="H78" s="21">
        <f>SUMPRODUCT($AK78:$AR78,$AK$7:$AR$7)*IF($E78="CABA",'Parametros'!D$7,IF($E78="PBA",1-'Parametros'!D$7,1))</f>
        <v/>
      </c>
      <c r="I78" s="21">
        <f>SUMPRODUCT($AK78:$AR78,$AK$8:$AR$8)*IF($E78="CABA",'Parametros'!E$7,IF($E78="PBA",1-'Parametros'!E$7,1))</f>
        <v/>
      </c>
      <c r="J78" s="21">
        <f>SUMPRODUCT($AK78:$AR78,$AK$9:$AR$9)*IF($E78="CABA",'Parametros'!F$7,IF($E78="PBA",1-'Parametros'!F$7,1))</f>
        <v/>
      </c>
      <c r="K78" s="21">
        <f>SUMPRODUCT($AK78:$AR78,$AK$10:$AR$10)*IF($E78="CABA",'Parametros'!G$7,IF($E78="PBA",1-'Parametros'!G$7,1))</f>
        <v/>
      </c>
      <c r="L78" s="21">
        <f>SUMPRODUCT($AK78:$AR78,$AK$11:$AR$11)*IF($E78="CABA",'Parametros'!H$7,IF($E78="PBA",1-'Parametros'!H$7,1))</f>
        <v/>
      </c>
      <c r="M78" s="21">
        <f>SUMPRODUCT($AK78:$AR78,$AK$12:$AR$12)*IF($E78="CABA",'Parametros'!I$7,IF($E78="PBA",1-'Parametros'!I$7,1))</f>
        <v/>
      </c>
      <c r="N78" s="21">
        <f>SUMPRODUCT($AK78:$AR78,$AK$13:$AR$13)*IF($E78="CABA",'Parametros'!J$7,IF($E78="PBA",1-'Parametros'!J$7,1))</f>
        <v/>
      </c>
      <c r="O78" s="21">
        <f>SUMPRODUCT($AK78:$AR78,$AK$14:$AR$14)*IF($E78="CABA",'Parametros'!K$7,IF($E78="PBA",1-'Parametros'!K$7,1))</f>
        <v/>
      </c>
      <c r="AO78" s="22" t="n">
        <v>0.3431</v>
      </c>
      <c r="AP78" s="22" t="n">
        <v>0.4262</v>
      </c>
      <c r="AQ78" s="22" t="n">
        <v>1.0749</v>
      </c>
      <c r="AR78" s="22" t="n">
        <v>1.0956</v>
      </c>
    </row>
    <row r="79">
      <c r="A79" s="23" t="inlineStr">
        <is>
          <t>Gas de protección MAG Arcal 21 / ARCAL Speed (Ar + 8 % CO₂, M20)</t>
        </is>
      </c>
      <c r="B79" s="23" t="inlineStr">
        <is>
          <t>L</t>
        </is>
      </c>
      <c r="C79" s="23" t="inlineStr">
        <is>
          <t>Consumible de proceso</t>
        </is>
      </c>
      <c r="D79" s="23" t="inlineStr">
        <is>
          <t>Air Liquide Argentina - sucursal Piñeyro</t>
        </is>
      </c>
      <c r="E79" s="23" t="inlineStr">
        <is>
          <t>Todos</t>
        </is>
      </c>
      <c r="F79" s="21">
        <f>SUMPRODUCT($AK79:$AR79,$AK$5:$AR$5)*IF($E79="CABA",'Parametros'!B$7,IF($E79="PBA",1-'Parametros'!B$7,1))</f>
        <v/>
      </c>
      <c r="G79" s="21">
        <f>SUMPRODUCT($AK79:$AR79,$AK$6:$AR$6)*IF($E79="CABA",'Parametros'!C$7,IF($E79="PBA",1-'Parametros'!C$7,1))</f>
        <v/>
      </c>
      <c r="H79" s="21">
        <f>SUMPRODUCT($AK79:$AR79,$AK$7:$AR$7)*IF($E79="CABA",'Parametros'!D$7,IF($E79="PBA",1-'Parametros'!D$7,1))</f>
        <v/>
      </c>
      <c r="I79" s="21">
        <f>SUMPRODUCT($AK79:$AR79,$AK$8:$AR$8)*IF($E79="CABA",'Parametros'!E$7,IF($E79="PBA",1-'Parametros'!E$7,1))</f>
        <v/>
      </c>
      <c r="J79" s="21">
        <f>SUMPRODUCT($AK79:$AR79,$AK$9:$AR$9)*IF($E79="CABA",'Parametros'!F$7,IF($E79="PBA",1-'Parametros'!F$7,1))</f>
        <v/>
      </c>
      <c r="K79" s="21">
        <f>SUMPRODUCT($AK79:$AR79,$AK$10:$AR$10)*IF($E79="CABA",'Parametros'!G$7,IF($E79="PBA",1-'Parametros'!G$7,1))</f>
        <v/>
      </c>
      <c r="L79" s="21">
        <f>SUMPRODUCT($AK79:$AR79,$AK$11:$AR$11)*IF($E79="CABA",'Parametros'!H$7,IF($E79="PBA",1-'Parametros'!H$7,1))</f>
        <v/>
      </c>
      <c r="M79" s="21">
        <f>SUMPRODUCT($AK79:$AR79,$AK$12:$AR$12)*IF($E79="CABA",'Parametros'!I$7,IF($E79="PBA",1-'Parametros'!I$7,1))</f>
        <v/>
      </c>
      <c r="N79" s="21">
        <f>SUMPRODUCT($AK79:$AR79,$AK$13:$AR$13)*IF($E79="CABA",'Parametros'!J$7,IF($E79="PBA",1-'Parametros'!J$7,1))</f>
        <v/>
      </c>
      <c r="O79" s="21">
        <f>SUMPRODUCT($AK79:$AR79,$AK$14:$AR$14)*IF($E79="CABA",'Parametros'!K$7,IF($E79="PBA",1-'Parametros'!K$7,1))</f>
        <v/>
      </c>
      <c r="AK79" s="22" t="n">
        <v>13.3</v>
      </c>
      <c r="AL79" s="22" t="n">
        <v>27.1</v>
      </c>
      <c r="AM79" s="22" t="n">
        <v>32.8</v>
      </c>
      <c r="AN79" s="22" t="n">
        <v>40.8</v>
      </c>
      <c r="AO79" s="22" t="n">
        <v>54.8</v>
      </c>
      <c r="AP79" s="22" t="n">
        <v>68.3</v>
      </c>
      <c r="AQ79" s="22" t="n">
        <v>79.5</v>
      </c>
      <c r="AR79" s="22" t="n">
        <v>84.59999999999999</v>
      </c>
    </row>
    <row r="80">
      <c r="A80" s="25" t="inlineStr">
        <is>
          <t>Granalla de acero S330 / S390 (ISO 11124-3, SAE J444)</t>
        </is>
      </c>
      <c r="B80" s="25" t="inlineStr">
        <is>
          <t>kg</t>
        </is>
      </c>
      <c r="C80" s="25" t="inlineStr">
        <is>
          <t>Consumible de proceso</t>
        </is>
      </c>
      <c r="D80" s="25" t="inlineStr">
        <is>
          <t>CyM Materiales</t>
        </is>
      </c>
      <c r="E80" s="25" t="inlineStr">
        <is>
          <t>Todos</t>
        </is>
      </c>
      <c r="F80" s="21">
        <f>SUMPRODUCT($AK80:$AR80,$AK$5:$AR$5)*IF($E80="CABA",'Parametros'!B$7,IF($E80="PBA",1-'Parametros'!B$7,1))</f>
        <v/>
      </c>
      <c r="G80" s="21">
        <f>SUMPRODUCT($AK80:$AR80,$AK$6:$AR$6)*IF($E80="CABA",'Parametros'!C$7,IF($E80="PBA",1-'Parametros'!C$7,1))</f>
        <v/>
      </c>
      <c r="H80" s="21">
        <f>SUMPRODUCT($AK80:$AR80,$AK$7:$AR$7)*IF($E80="CABA",'Parametros'!D$7,IF($E80="PBA",1-'Parametros'!D$7,1))</f>
        <v/>
      </c>
      <c r="I80" s="21">
        <f>SUMPRODUCT($AK80:$AR80,$AK$8:$AR$8)*IF($E80="CABA",'Parametros'!E$7,IF($E80="PBA",1-'Parametros'!E$7,1))</f>
        <v/>
      </c>
      <c r="J80" s="21">
        <f>SUMPRODUCT($AK80:$AR80,$AK$9:$AR$9)*IF($E80="CABA",'Parametros'!F$7,IF($E80="PBA",1-'Parametros'!F$7,1))</f>
        <v/>
      </c>
      <c r="K80" s="21">
        <f>SUMPRODUCT($AK80:$AR80,$AK$10:$AR$10)*IF($E80="CABA",'Parametros'!G$7,IF($E80="PBA",1-'Parametros'!G$7,1))</f>
        <v/>
      </c>
      <c r="L80" s="21">
        <f>SUMPRODUCT($AK80:$AR80,$AK$11:$AR$11)*IF($E80="CABA",'Parametros'!H$7,IF($E80="PBA",1-'Parametros'!H$7,1))</f>
        <v/>
      </c>
      <c r="M80" s="21">
        <f>SUMPRODUCT($AK80:$AR80,$AK$12:$AR$12)*IF($E80="CABA",'Parametros'!I$7,IF($E80="PBA",1-'Parametros'!I$7,1))</f>
        <v/>
      </c>
      <c r="N80" s="21">
        <f>SUMPRODUCT($AK80:$AR80,$AK$13:$AR$13)*IF($E80="CABA",'Parametros'!J$7,IF($E80="PBA",1-'Parametros'!J$7,1))</f>
        <v/>
      </c>
      <c r="O80" s="21">
        <f>SUMPRODUCT($AK80:$AR80,$AK$14:$AR$14)*IF($E80="CABA",'Parametros'!K$7,IF($E80="PBA",1-'Parametros'!K$7,1))</f>
        <v/>
      </c>
      <c r="AK80" s="22" t="n">
        <v>0.08</v>
      </c>
      <c r="AL80" s="22" t="n">
        <v>0.08</v>
      </c>
      <c r="AM80" s="22" t="n">
        <v>0.08</v>
      </c>
      <c r="AN80" s="22" t="n">
        <v>0.08</v>
      </c>
    </row>
    <row r="81">
      <c r="A81" s="2" t="inlineStr">
        <is>
          <t>Servicio de pintura en polvo al horno, rojo 03-1-050</t>
        </is>
      </c>
      <c r="B81" s="2" t="inlineStr">
        <is>
          <t>u</t>
        </is>
      </c>
      <c r="C81" s="2" t="inlineStr">
        <is>
          <t>Servicio</t>
        </is>
      </c>
      <c r="D81" s="2" t="inlineStr">
        <is>
          <t>Prymax</t>
        </is>
      </c>
      <c r="E81" s="2" t="inlineStr">
        <is>
          <t>Todos</t>
        </is>
      </c>
      <c r="F81" s="21">
        <f>SUMPRODUCT($AK81:$AR81,$AK$5:$AR$5)*IF($E81="CABA",'Parametros'!B$7,IF($E81="PBA",1-'Parametros'!B$7,1))</f>
        <v/>
      </c>
      <c r="G81" s="21">
        <f>SUMPRODUCT($AK81:$AR81,$AK$6:$AR$6)*IF($E81="CABA",'Parametros'!C$7,IF($E81="PBA",1-'Parametros'!C$7,1))</f>
        <v/>
      </c>
      <c r="H81" s="21">
        <f>SUMPRODUCT($AK81:$AR81,$AK$7:$AR$7)*IF($E81="CABA",'Parametros'!D$7,IF($E81="PBA",1-'Parametros'!D$7,1))</f>
        <v/>
      </c>
      <c r="I81" s="21">
        <f>SUMPRODUCT($AK81:$AR81,$AK$8:$AR$8)*IF($E81="CABA",'Parametros'!E$7,IF($E81="PBA",1-'Parametros'!E$7,1))</f>
        <v/>
      </c>
      <c r="J81" s="21">
        <f>SUMPRODUCT($AK81:$AR81,$AK$9:$AR$9)*IF($E81="CABA",'Parametros'!F$7,IF($E81="PBA",1-'Parametros'!F$7,1))</f>
        <v/>
      </c>
      <c r="K81" s="21">
        <f>SUMPRODUCT($AK81:$AR81,$AK$10:$AR$10)*IF($E81="CABA",'Parametros'!G$7,IF($E81="PBA",1-'Parametros'!G$7,1))</f>
        <v/>
      </c>
      <c r="L81" s="21">
        <f>SUMPRODUCT($AK81:$AR81,$AK$11:$AR$11)*IF($E81="CABA",'Parametros'!H$7,IF($E81="PBA",1-'Parametros'!H$7,1))</f>
        <v/>
      </c>
      <c r="M81" s="21">
        <f>SUMPRODUCT($AK81:$AR81,$AK$12:$AR$12)*IF($E81="CABA",'Parametros'!I$7,IF($E81="PBA",1-'Parametros'!I$7,1))</f>
        <v/>
      </c>
      <c r="N81" s="21">
        <f>SUMPRODUCT($AK81:$AR81,$AK$13:$AR$13)*IF($E81="CABA",'Parametros'!J$7,IF($E81="PBA",1-'Parametros'!J$7,1))</f>
        <v/>
      </c>
      <c r="O81" s="21">
        <f>SUMPRODUCT($AK81:$AR81,$AK$14:$AR$14)*IF($E81="CABA",'Parametros'!K$7,IF($E81="PBA",1-'Parametros'!K$7,1))</f>
        <v/>
      </c>
      <c r="AK81" s="22" t="n">
        <v>1</v>
      </c>
      <c r="AL81" s="22" t="n">
        <v>1</v>
      </c>
      <c r="AM81" s="22" t="n">
        <v>1</v>
      </c>
      <c r="AN81" s="22" t="n">
        <v>1</v>
      </c>
    </row>
    <row r="82">
      <c r="A82" s="2" t="inlineStr">
        <is>
          <t>Servicio de pintura en polvo al horno, rojo 03-1-050 (con preparación por quemado)</t>
        </is>
      </c>
      <c r="B82" s="2" t="inlineStr">
        <is>
          <t>u</t>
        </is>
      </c>
      <c r="C82" s="2" t="inlineStr">
        <is>
          <t>Servicio</t>
        </is>
      </c>
      <c r="D82" s="2" t="inlineStr">
        <is>
          <t>Pintor de carros (cotización por mensaje)</t>
        </is>
      </c>
      <c r="E82" s="2" t="inlineStr">
        <is>
          <t>Todos</t>
        </is>
      </c>
      <c r="F82" s="21">
        <f>SUMPRODUCT($AK82:$AR82,$AK$5:$AR$5)*IF($E82="CABA",'Parametros'!B$7,IF($E82="PBA",1-'Parametros'!B$7,1))</f>
        <v/>
      </c>
      <c r="G82" s="21">
        <f>SUMPRODUCT($AK82:$AR82,$AK$6:$AR$6)*IF($E82="CABA",'Parametros'!C$7,IF($E82="PBA",1-'Parametros'!C$7,1))</f>
        <v/>
      </c>
      <c r="H82" s="21">
        <f>SUMPRODUCT($AK82:$AR82,$AK$7:$AR$7)*IF($E82="CABA",'Parametros'!D$7,IF($E82="PBA",1-'Parametros'!D$7,1))</f>
        <v/>
      </c>
      <c r="I82" s="21">
        <f>SUMPRODUCT($AK82:$AR82,$AK$8:$AR$8)*IF($E82="CABA",'Parametros'!E$7,IF($E82="PBA",1-'Parametros'!E$7,1))</f>
        <v/>
      </c>
      <c r="J82" s="21">
        <f>SUMPRODUCT($AK82:$AR82,$AK$9:$AR$9)*IF($E82="CABA",'Parametros'!F$7,IF($E82="PBA",1-'Parametros'!F$7,1))</f>
        <v/>
      </c>
      <c r="K82" s="21">
        <f>SUMPRODUCT($AK82:$AR82,$AK$10:$AR$10)*IF($E82="CABA",'Parametros'!G$7,IF($E82="PBA",1-'Parametros'!G$7,1))</f>
        <v/>
      </c>
      <c r="L82" s="21">
        <f>SUMPRODUCT($AK82:$AR82,$AK$11:$AR$11)*IF($E82="CABA",'Parametros'!H$7,IF($E82="PBA",1-'Parametros'!H$7,1))</f>
        <v/>
      </c>
      <c r="M82" s="21">
        <f>SUMPRODUCT($AK82:$AR82,$AK$12:$AR$12)*IF($E82="CABA",'Parametros'!I$7,IF($E82="PBA",1-'Parametros'!I$7,1))</f>
        <v/>
      </c>
      <c r="N82" s="21">
        <f>SUMPRODUCT($AK82:$AR82,$AK$13:$AR$13)*IF($E82="CABA",'Parametros'!J$7,IF($E82="PBA",1-'Parametros'!J$7,1))</f>
        <v/>
      </c>
      <c r="O82" s="21">
        <f>SUMPRODUCT($AK82:$AR82,$AK$14:$AR$14)*IF($E82="CABA",'Parametros'!K$7,IF($E82="PBA",1-'Parametros'!K$7,1))</f>
        <v/>
      </c>
      <c r="AO82" s="22" t="n">
        <v>1</v>
      </c>
      <c r="AP82" s="22" t="n">
        <v>1</v>
      </c>
      <c r="AQ82" s="22" t="n">
        <v>1</v>
      </c>
      <c r="AR82" s="22" t="n">
        <v>1</v>
      </c>
    </row>
    <row r="83">
      <c r="A83" s="23" t="inlineStr">
        <is>
          <t>Gas impulsor: N₂</t>
        </is>
      </c>
      <c r="B83" s="23" t="inlineStr">
        <is>
          <t>kg</t>
        </is>
      </c>
      <c r="C83" s="23" t="inlineStr">
        <is>
          <t>Carga (agente y gas)</t>
        </is>
      </c>
      <c r="D83" s="23" t="inlineStr">
        <is>
          <t>Air Liquide Argentina - sucursal Piñeyro</t>
        </is>
      </c>
      <c r="E83" s="23" t="inlineStr">
        <is>
          <t>Todos</t>
        </is>
      </c>
      <c r="F83" s="21">
        <f>SUMPRODUCT($AK83:$AR83,$AK$5:$AR$5)*IF($E83="CABA",'Parametros'!B$7,IF($E83="PBA",1-'Parametros'!B$7,1))</f>
        <v/>
      </c>
      <c r="G83" s="21">
        <f>SUMPRODUCT($AK83:$AR83,$AK$6:$AR$6)*IF($E83="CABA",'Parametros'!C$7,IF($E83="PBA",1-'Parametros'!C$7,1))</f>
        <v/>
      </c>
      <c r="H83" s="21">
        <f>SUMPRODUCT($AK83:$AR83,$AK$7:$AR$7)*IF($E83="CABA",'Parametros'!D$7,IF($E83="PBA",1-'Parametros'!D$7,1))</f>
        <v/>
      </c>
      <c r="I83" s="21">
        <f>SUMPRODUCT($AK83:$AR83,$AK$8:$AR$8)*IF($E83="CABA",'Parametros'!E$7,IF($E83="PBA",1-'Parametros'!E$7,1))</f>
        <v/>
      </c>
      <c r="J83" s="21">
        <f>SUMPRODUCT($AK83:$AR83,$AK$9:$AR$9)*IF($E83="CABA",'Parametros'!F$7,IF($E83="PBA",1-'Parametros'!F$7,1))</f>
        <v/>
      </c>
      <c r="K83" s="21">
        <f>SUMPRODUCT($AK83:$AR83,$AK$10:$AR$10)*IF($E83="CABA",'Parametros'!G$7,IF($E83="PBA",1-'Parametros'!G$7,1))</f>
        <v/>
      </c>
      <c r="L83" s="21">
        <f>SUMPRODUCT($AK83:$AR83,$AK$11:$AR$11)*IF($E83="CABA",'Parametros'!H$7,IF($E83="PBA",1-'Parametros'!H$7,1))</f>
        <v/>
      </c>
      <c r="M83" s="21">
        <f>SUMPRODUCT($AK83:$AR83,$AK$12:$AR$12)*IF($E83="CABA",'Parametros'!I$7,IF($E83="PBA",1-'Parametros'!I$7,1))</f>
        <v/>
      </c>
      <c r="N83" s="21">
        <f>SUMPRODUCT($AK83:$AR83,$AK$13:$AR$13)*IF($E83="CABA",'Parametros'!J$7,IF($E83="PBA",1-'Parametros'!J$7,1))</f>
        <v/>
      </c>
      <c r="O83" s="21">
        <f>SUMPRODUCT($AK83:$AR83,$AK$14:$AR$14)*IF($E83="CABA",'Parametros'!K$7,IF($E83="PBA",1-'Parametros'!K$7,1))</f>
        <v/>
      </c>
      <c r="AK83" s="22" t="n">
        <v>0.0047</v>
      </c>
      <c r="AL83" s="22" t="n">
        <v>0.0212</v>
      </c>
      <c r="AM83" s="22" t="n">
        <v>0.0251</v>
      </c>
      <c r="AN83" s="22" t="n">
        <v>0.0588</v>
      </c>
      <c r="AO83" s="22" t="n">
        <v>0.2013</v>
      </c>
      <c r="AP83" s="22" t="n">
        <v>0.2819</v>
      </c>
      <c r="AQ83" s="22" t="n">
        <v>0.5581</v>
      </c>
      <c r="AR83" s="22" t="n">
        <v>0.5189</v>
      </c>
    </row>
    <row r="84">
      <c r="A84" s="23" t="inlineStr">
        <is>
          <t>Polvo químico seco ABC 60 (Sello IRAM 3569)</t>
        </is>
      </c>
      <c r="B84" s="23" t="inlineStr">
        <is>
          <t>kg</t>
        </is>
      </c>
      <c r="C84" s="23" t="inlineStr">
        <is>
          <t>Carga (agente y gas)</t>
        </is>
      </c>
      <c r="D84" s="23" t="inlineStr">
        <is>
          <t>DEM S.A. (DEMSA)</t>
        </is>
      </c>
      <c r="E84" s="23" t="inlineStr">
        <is>
          <t>Todos</t>
        </is>
      </c>
      <c r="F84" s="21">
        <f>SUMPRODUCT($AK84:$AR84,$AK$5:$AR$5)*IF($E84="CABA",'Parametros'!B$7,IF($E84="PBA",1-'Parametros'!B$7,1))</f>
        <v/>
      </c>
      <c r="G84" s="21">
        <f>SUMPRODUCT($AK84:$AR84,$AK$6:$AR$6)*IF($E84="CABA",'Parametros'!C$7,IF($E84="PBA",1-'Parametros'!C$7,1))</f>
        <v/>
      </c>
      <c r="H84" s="21">
        <f>SUMPRODUCT($AK84:$AR84,$AK$7:$AR$7)*IF($E84="CABA",'Parametros'!D$7,IF($E84="PBA",1-'Parametros'!D$7,1))</f>
        <v/>
      </c>
      <c r="I84" s="21">
        <f>SUMPRODUCT($AK84:$AR84,$AK$8:$AR$8)*IF($E84="CABA",'Parametros'!E$7,IF($E84="PBA",1-'Parametros'!E$7,1))</f>
        <v/>
      </c>
      <c r="J84" s="21">
        <f>SUMPRODUCT($AK84:$AR84,$AK$9:$AR$9)*IF($E84="CABA",'Parametros'!F$7,IF($E84="PBA",1-'Parametros'!F$7,1))</f>
        <v/>
      </c>
      <c r="K84" s="21">
        <f>SUMPRODUCT($AK84:$AR84,$AK$10:$AR$10)*IF($E84="CABA",'Parametros'!G$7,IF($E84="PBA",1-'Parametros'!G$7,1))</f>
        <v/>
      </c>
      <c r="L84" s="21">
        <f>SUMPRODUCT($AK84:$AR84,$AK$11:$AR$11)*IF($E84="CABA",'Parametros'!H$7,IF($E84="PBA",1-'Parametros'!H$7,1))</f>
        <v/>
      </c>
      <c r="M84" s="21">
        <f>SUMPRODUCT($AK84:$AR84,$AK$12:$AR$12)*IF($E84="CABA",'Parametros'!I$7,IF($E84="PBA",1-'Parametros'!I$7,1))</f>
        <v/>
      </c>
      <c r="N84" s="21">
        <f>SUMPRODUCT($AK84:$AR84,$AK$13:$AR$13)*IF($E84="CABA",'Parametros'!J$7,IF($E84="PBA",1-'Parametros'!J$7,1))</f>
        <v/>
      </c>
      <c r="O84" s="21">
        <f>SUMPRODUCT($AK84:$AR84,$AK$14:$AR$14)*IF($E84="CABA",'Parametros'!K$7,IF($E84="PBA",1-'Parametros'!K$7,1))</f>
        <v/>
      </c>
      <c r="AK84" s="22" t="n">
        <v>1.05</v>
      </c>
      <c r="AL84" s="22" t="n">
        <v>2.55</v>
      </c>
      <c r="AM84" s="22" t="n">
        <v>5.15</v>
      </c>
      <c r="AN84" s="22" t="n">
        <v>10.15</v>
      </c>
    </row>
    <row r="85">
      <c r="A85" s="23" t="inlineStr">
        <is>
          <t>Polvo químico seco ABC 90 (Sello IRAM 3569)</t>
        </is>
      </c>
      <c r="B85" s="23" t="inlineStr">
        <is>
          <t>kg</t>
        </is>
      </c>
      <c r="C85" s="23" t="inlineStr">
        <is>
          <t>Carga (agente y gas)</t>
        </is>
      </c>
      <c r="D85" s="23" t="inlineStr">
        <is>
          <t>DEM S.A. (DEMSA)</t>
        </is>
      </c>
      <c r="E85" s="23" t="inlineStr">
        <is>
          <t>Todos</t>
        </is>
      </c>
      <c r="F85" s="21">
        <f>SUMPRODUCT($AK85:$AR85,$AK$5:$AR$5)*IF($E85="CABA",'Parametros'!B$7,IF($E85="PBA",1-'Parametros'!B$7,1))</f>
        <v/>
      </c>
      <c r="G85" s="21">
        <f>SUMPRODUCT($AK85:$AR85,$AK$6:$AR$6)*IF($E85="CABA",'Parametros'!C$7,IF($E85="PBA",1-'Parametros'!C$7,1))</f>
        <v/>
      </c>
      <c r="H85" s="21">
        <f>SUMPRODUCT($AK85:$AR85,$AK$7:$AR$7)*IF($E85="CABA",'Parametros'!D$7,IF($E85="PBA",1-'Parametros'!D$7,1))</f>
        <v/>
      </c>
      <c r="I85" s="21">
        <f>SUMPRODUCT($AK85:$AR85,$AK$8:$AR$8)*IF($E85="CABA",'Parametros'!E$7,IF($E85="PBA",1-'Parametros'!E$7,1))</f>
        <v/>
      </c>
      <c r="J85" s="21">
        <f>SUMPRODUCT($AK85:$AR85,$AK$9:$AR$9)*IF($E85="CABA",'Parametros'!F$7,IF($E85="PBA",1-'Parametros'!F$7,1))</f>
        <v/>
      </c>
      <c r="K85" s="21">
        <f>SUMPRODUCT($AK85:$AR85,$AK$10:$AR$10)*IF($E85="CABA",'Parametros'!G$7,IF($E85="PBA",1-'Parametros'!G$7,1))</f>
        <v/>
      </c>
      <c r="L85" s="21">
        <f>SUMPRODUCT($AK85:$AR85,$AK$11:$AR$11)*IF($E85="CABA",'Parametros'!H$7,IF($E85="PBA",1-'Parametros'!H$7,1))</f>
        <v/>
      </c>
      <c r="M85" s="21">
        <f>SUMPRODUCT($AK85:$AR85,$AK$12:$AR$12)*IF($E85="CABA",'Parametros'!I$7,IF($E85="PBA",1-'Parametros'!I$7,1))</f>
        <v/>
      </c>
      <c r="N85" s="21">
        <f>SUMPRODUCT($AK85:$AR85,$AK$13:$AR$13)*IF($E85="CABA",'Parametros'!J$7,IF($E85="PBA",1-'Parametros'!J$7,1))</f>
        <v/>
      </c>
      <c r="O85" s="21">
        <f>SUMPRODUCT($AK85:$AR85,$AK$14:$AR$14)*IF($E85="CABA",'Parametros'!K$7,IF($E85="PBA",1-'Parametros'!K$7,1))</f>
        <v/>
      </c>
      <c r="AO85" s="22" t="n">
        <v>25</v>
      </c>
      <c r="AP85" s="22" t="n">
        <v>50</v>
      </c>
      <c r="AQ85" s="22" t="n">
        <v>70</v>
      </c>
      <c r="AR85" s="22" t="n">
        <v>100</v>
      </c>
    </row>
    <row r="86">
      <c r="A86" s="2" t="inlineStr">
        <is>
          <t>Estampilla IRAM de conformidad — 60 × 40</t>
        </is>
      </c>
      <c r="B86" s="2" t="inlineStr">
        <is>
          <t>u</t>
        </is>
      </c>
      <c r="C86" s="2" t="inlineStr">
        <is>
          <t>Identificación</t>
        </is>
      </c>
      <c r="D86" s="2" t="inlineStr">
        <is>
          <t>IRAM - Instituto Argentino de Normalización</t>
        </is>
      </c>
      <c r="E86" s="2" t="inlineStr">
        <is>
          <t>Todos</t>
        </is>
      </c>
      <c r="F86" s="21">
        <f>SUMPRODUCT($AK86:$AR86,$AK$5:$AR$5)*IF($E86="CABA",'Parametros'!B$7,IF($E86="PBA",1-'Parametros'!B$7,1))</f>
        <v/>
      </c>
      <c r="G86" s="21">
        <f>SUMPRODUCT($AK86:$AR86,$AK$6:$AR$6)*IF($E86="CABA",'Parametros'!C$7,IF($E86="PBA",1-'Parametros'!C$7,1))</f>
        <v/>
      </c>
      <c r="H86" s="21">
        <f>SUMPRODUCT($AK86:$AR86,$AK$7:$AR$7)*IF($E86="CABA",'Parametros'!D$7,IF($E86="PBA",1-'Parametros'!D$7,1))</f>
        <v/>
      </c>
      <c r="I86" s="21">
        <f>SUMPRODUCT($AK86:$AR86,$AK$8:$AR$8)*IF($E86="CABA",'Parametros'!E$7,IF($E86="PBA",1-'Parametros'!E$7,1))</f>
        <v/>
      </c>
      <c r="J86" s="21">
        <f>SUMPRODUCT($AK86:$AR86,$AK$9:$AR$9)*IF($E86="CABA",'Parametros'!F$7,IF($E86="PBA",1-'Parametros'!F$7,1))</f>
        <v/>
      </c>
      <c r="K86" s="21">
        <f>SUMPRODUCT($AK86:$AR86,$AK$10:$AR$10)*IF($E86="CABA",'Parametros'!G$7,IF($E86="PBA",1-'Parametros'!G$7,1))</f>
        <v/>
      </c>
      <c r="L86" s="21">
        <f>SUMPRODUCT($AK86:$AR86,$AK$11:$AR$11)*IF($E86="CABA",'Parametros'!H$7,IF($E86="PBA",1-'Parametros'!H$7,1))</f>
        <v/>
      </c>
      <c r="M86" s="21">
        <f>SUMPRODUCT($AK86:$AR86,$AK$12:$AR$12)*IF($E86="CABA",'Parametros'!I$7,IF($E86="PBA",1-'Parametros'!I$7,1))</f>
        <v/>
      </c>
      <c r="N86" s="21">
        <f>SUMPRODUCT($AK86:$AR86,$AK$13:$AR$13)*IF($E86="CABA",'Parametros'!J$7,IF($E86="PBA",1-'Parametros'!J$7,1))</f>
        <v/>
      </c>
      <c r="O86" s="21">
        <f>SUMPRODUCT($AK86:$AR86,$AK$14:$AR$14)*IF($E86="CABA",'Parametros'!K$7,IF($E86="PBA",1-'Parametros'!K$7,1))</f>
        <v/>
      </c>
      <c r="AK86" s="22" t="n">
        <v>1</v>
      </c>
      <c r="AL86" s="22" t="n">
        <v>1</v>
      </c>
      <c r="AM86" s="22" t="n">
        <v>1</v>
      </c>
      <c r="AN86" s="22" t="n">
        <v>1</v>
      </c>
      <c r="AO86" s="22" t="n">
        <v>1</v>
      </c>
      <c r="AP86" s="22" t="n">
        <v>1</v>
      </c>
      <c r="AQ86" s="22" t="n">
        <v>1</v>
      </c>
      <c r="AR86" s="22" t="n">
        <v>1</v>
      </c>
    </row>
    <row r="87">
      <c r="A87" s="2" t="inlineStr">
        <is>
          <t>Etiqueta / placa de características — 168 × 136 (desarrollo × alto: panel central 108° + 2 alas laterales), e ≈ 0,3, laminado UV</t>
        </is>
      </c>
      <c r="B87" s="2" t="inlineStr">
        <is>
          <t>u</t>
        </is>
      </c>
      <c r="C87" s="2" t="inlineStr">
        <is>
          <t>Identificación</t>
        </is>
      </c>
      <c r="D87" s="2" t="inlineStr">
        <is>
          <t>Astuprint</t>
        </is>
      </c>
      <c r="E87" s="2" t="inlineStr">
        <is>
          <t>Todos</t>
        </is>
      </c>
      <c r="F87" s="21">
        <f>SUMPRODUCT($AK87:$AR87,$AK$5:$AR$5)*IF($E87="CABA",'Parametros'!B$7,IF($E87="PBA",1-'Parametros'!B$7,1))</f>
        <v/>
      </c>
      <c r="G87" s="21">
        <f>SUMPRODUCT($AK87:$AR87,$AK$6:$AR$6)*IF($E87="CABA",'Parametros'!C$7,IF($E87="PBA",1-'Parametros'!C$7,1))</f>
        <v/>
      </c>
      <c r="H87" s="21">
        <f>SUMPRODUCT($AK87:$AR87,$AK$7:$AR$7)*IF($E87="CABA",'Parametros'!D$7,IF($E87="PBA",1-'Parametros'!D$7,1))</f>
        <v/>
      </c>
      <c r="I87" s="21">
        <f>SUMPRODUCT($AK87:$AR87,$AK$8:$AR$8)*IF($E87="CABA",'Parametros'!E$7,IF($E87="PBA",1-'Parametros'!E$7,1))</f>
        <v/>
      </c>
      <c r="J87" s="21">
        <f>SUMPRODUCT($AK87:$AR87,$AK$9:$AR$9)*IF($E87="CABA",'Parametros'!F$7,IF($E87="PBA",1-'Parametros'!F$7,1))</f>
        <v/>
      </c>
      <c r="K87" s="21">
        <f>SUMPRODUCT($AK87:$AR87,$AK$10:$AR$10)*IF($E87="CABA",'Parametros'!G$7,IF($E87="PBA",1-'Parametros'!G$7,1))</f>
        <v/>
      </c>
      <c r="L87" s="21">
        <f>SUMPRODUCT($AK87:$AR87,$AK$11:$AR$11)*IF($E87="CABA",'Parametros'!H$7,IF($E87="PBA",1-'Parametros'!H$7,1))</f>
        <v/>
      </c>
      <c r="M87" s="21">
        <f>SUMPRODUCT($AK87:$AR87,$AK$12:$AR$12)*IF($E87="CABA",'Parametros'!I$7,IF($E87="PBA",1-'Parametros'!I$7,1))</f>
        <v/>
      </c>
      <c r="N87" s="21">
        <f>SUMPRODUCT($AK87:$AR87,$AK$13:$AR$13)*IF($E87="CABA",'Parametros'!J$7,IF($E87="PBA",1-'Parametros'!J$7,1))</f>
        <v/>
      </c>
      <c r="O87" s="21">
        <f>SUMPRODUCT($AK87:$AR87,$AK$14:$AR$14)*IF($E87="CABA",'Parametros'!K$7,IF($E87="PBA",1-'Parametros'!K$7,1))</f>
        <v/>
      </c>
      <c r="AK87" s="22" t="n">
        <v>1</v>
      </c>
    </row>
    <row r="88">
      <c r="A88" s="2" t="inlineStr">
        <is>
          <t>Etiqueta / placa de características — 234 × 151 (desarrollo × alto: panel central 108° + 2 alas laterales), e ≈ 0,3, laminado UV</t>
        </is>
      </c>
      <c r="B88" s="2" t="inlineStr">
        <is>
          <t>u</t>
        </is>
      </c>
      <c r="C88" s="2" t="inlineStr">
        <is>
          <t>Identificación</t>
        </is>
      </c>
      <c r="D88" s="2" t="inlineStr">
        <is>
          <t>Astuprint</t>
        </is>
      </c>
      <c r="E88" s="2" t="inlineStr">
        <is>
          <t>Todos</t>
        </is>
      </c>
      <c r="F88" s="21">
        <f>SUMPRODUCT($AK88:$AR88,$AK$5:$AR$5)*IF($E88="CABA",'Parametros'!B$7,IF($E88="PBA",1-'Parametros'!B$7,1))</f>
        <v/>
      </c>
      <c r="G88" s="21">
        <f>SUMPRODUCT($AK88:$AR88,$AK$6:$AR$6)*IF($E88="CABA",'Parametros'!C$7,IF($E88="PBA",1-'Parametros'!C$7,1))</f>
        <v/>
      </c>
      <c r="H88" s="21">
        <f>SUMPRODUCT($AK88:$AR88,$AK$7:$AR$7)*IF($E88="CABA",'Parametros'!D$7,IF($E88="PBA",1-'Parametros'!D$7,1))</f>
        <v/>
      </c>
      <c r="I88" s="21">
        <f>SUMPRODUCT($AK88:$AR88,$AK$8:$AR$8)*IF($E88="CABA",'Parametros'!E$7,IF($E88="PBA",1-'Parametros'!E$7,1))</f>
        <v/>
      </c>
      <c r="J88" s="21">
        <f>SUMPRODUCT($AK88:$AR88,$AK$9:$AR$9)*IF($E88="CABA",'Parametros'!F$7,IF($E88="PBA",1-'Parametros'!F$7,1))</f>
        <v/>
      </c>
      <c r="K88" s="21">
        <f>SUMPRODUCT($AK88:$AR88,$AK$10:$AR$10)*IF($E88="CABA",'Parametros'!G$7,IF($E88="PBA",1-'Parametros'!G$7,1))</f>
        <v/>
      </c>
      <c r="L88" s="21">
        <f>SUMPRODUCT($AK88:$AR88,$AK$11:$AR$11)*IF($E88="CABA",'Parametros'!H$7,IF($E88="PBA",1-'Parametros'!H$7,1))</f>
        <v/>
      </c>
      <c r="M88" s="21">
        <f>SUMPRODUCT($AK88:$AR88,$AK$12:$AR$12)*IF($E88="CABA",'Parametros'!I$7,IF($E88="PBA",1-'Parametros'!I$7,1))</f>
        <v/>
      </c>
      <c r="N88" s="21">
        <f>SUMPRODUCT($AK88:$AR88,$AK$13:$AR$13)*IF($E88="CABA",'Parametros'!J$7,IF($E88="PBA",1-'Parametros'!J$7,1))</f>
        <v/>
      </c>
      <c r="O88" s="21">
        <f>SUMPRODUCT($AK88:$AR88,$AK$14:$AR$14)*IF($E88="CABA",'Parametros'!K$7,IF($E88="PBA",1-'Parametros'!K$7,1))</f>
        <v/>
      </c>
      <c r="AL88" s="22" t="n">
        <v>1</v>
      </c>
    </row>
    <row r="89">
      <c r="A89" s="2" t="inlineStr">
        <is>
          <t>Etiqueta / placa de características — 289 × 142 (desarrollo × alto: panel central 108° + 2 alas laterales), e ≈ 0,3, laminado UV</t>
        </is>
      </c>
      <c r="B89" s="2" t="inlineStr">
        <is>
          <t>u</t>
        </is>
      </c>
      <c r="C89" s="2" t="inlineStr">
        <is>
          <t>Identificación</t>
        </is>
      </c>
      <c r="D89" s="2" t="inlineStr">
        <is>
          <t>Astuprint</t>
        </is>
      </c>
      <c r="E89" s="2" t="inlineStr">
        <is>
          <t>Todos</t>
        </is>
      </c>
      <c r="F89" s="21">
        <f>SUMPRODUCT($AK89:$AR89,$AK$5:$AR$5)*IF($E89="CABA",'Parametros'!B$7,IF($E89="PBA",1-'Parametros'!B$7,1))</f>
        <v/>
      </c>
      <c r="G89" s="21">
        <f>SUMPRODUCT($AK89:$AR89,$AK$6:$AR$6)*IF($E89="CABA",'Parametros'!C$7,IF($E89="PBA",1-'Parametros'!C$7,1))</f>
        <v/>
      </c>
      <c r="H89" s="21">
        <f>SUMPRODUCT($AK89:$AR89,$AK$7:$AR$7)*IF($E89="CABA",'Parametros'!D$7,IF($E89="PBA",1-'Parametros'!D$7,1))</f>
        <v/>
      </c>
      <c r="I89" s="21">
        <f>SUMPRODUCT($AK89:$AR89,$AK$8:$AR$8)*IF($E89="CABA",'Parametros'!E$7,IF($E89="PBA",1-'Parametros'!E$7,1))</f>
        <v/>
      </c>
      <c r="J89" s="21">
        <f>SUMPRODUCT($AK89:$AR89,$AK$9:$AR$9)*IF($E89="CABA",'Parametros'!F$7,IF($E89="PBA",1-'Parametros'!F$7,1))</f>
        <v/>
      </c>
      <c r="K89" s="21">
        <f>SUMPRODUCT($AK89:$AR89,$AK$10:$AR$10)*IF($E89="CABA",'Parametros'!G$7,IF($E89="PBA",1-'Parametros'!G$7,1))</f>
        <v/>
      </c>
      <c r="L89" s="21">
        <f>SUMPRODUCT($AK89:$AR89,$AK$11:$AR$11)*IF($E89="CABA",'Parametros'!H$7,IF($E89="PBA",1-'Parametros'!H$7,1))</f>
        <v/>
      </c>
      <c r="M89" s="21">
        <f>SUMPRODUCT($AK89:$AR89,$AK$12:$AR$12)*IF($E89="CABA",'Parametros'!I$7,IF($E89="PBA",1-'Parametros'!I$7,1))</f>
        <v/>
      </c>
      <c r="N89" s="21">
        <f>SUMPRODUCT($AK89:$AR89,$AK$13:$AR$13)*IF($E89="CABA",'Parametros'!J$7,IF($E89="PBA",1-'Parametros'!J$7,1))</f>
        <v/>
      </c>
      <c r="O89" s="21">
        <f>SUMPRODUCT($AK89:$AR89,$AK$14:$AR$14)*IF($E89="CABA",'Parametros'!K$7,IF($E89="PBA",1-'Parametros'!K$7,1))</f>
        <v/>
      </c>
      <c r="AM89" s="22" t="n">
        <v>1</v>
      </c>
    </row>
    <row r="90">
      <c r="A90" s="2" t="inlineStr">
        <is>
          <t>Etiqueta / placa de características — 343 × 221 (desarrollo × alto: panel central 108° + 2 alas laterales), e ≈ 0,3, laminado UV</t>
        </is>
      </c>
      <c r="B90" s="2" t="inlineStr">
        <is>
          <t>u</t>
        </is>
      </c>
      <c r="C90" s="2" t="inlineStr">
        <is>
          <t>Identificación</t>
        </is>
      </c>
      <c r="D90" s="2" t="inlineStr">
        <is>
          <t>Astuprint</t>
        </is>
      </c>
      <c r="E90" s="2" t="inlineStr">
        <is>
          <t>Todos</t>
        </is>
      </c>
      <c r="F90" s="21">
        <f>SUMPRODUCT($AK90:$AR90,$AK$5:$AR$5)*IF($E90="CABA",'Parametros'!B$7,IF($E90="PBA",1-'Parametros'!B$7,1))</f>
        <v/>
      </c>
      <c r="G90" s="21">
        <f>SUMPRODUCT($AK90:$AR90,$AK$6:$AR$6)*IF($E90="CABA",'Parametros'!C$7,IF($E90="PBA",1-'Parametros'!C$7,1))</f>
        <v/>
      </c>
      <c r="H90" s="21">
        <f>SUMPRODUCT($AK90:$AR90,$AK$7:$AR$7)*IF($E90="CABA",'Parametros'!D$7,IF($E90="PBA",1-'Parametros'!D$7,1))</f>
        <v/>
      </c>
      <c r="I90" s="21">
        <f>SUMPRODUCT($AK90:$AR90,$AK$8:$AR$8)*IF($E90="CABA",'Parametros'!E$7,IF($E90="PBA",1-'Parametros'!E$7,1))</f>
        <v/>
      </c>
      <c r="J90" s="21">
        <f>SUMPRODUCT($AK90:$AR90,$AK$9:$AR$9)*IF($E90="CABA",'Parametros'!F$7,IF($E90="PBA",1-'Parametros'!F$7,1))</f>
        <v/>
      </c>
      <c r="K90" s="21">
        <f>SUMPRODUCT($AK90:$AR90,$AK$10:$AR$10)*IF($E90="CABA",'Parametros'!G$7,IF($E90="PBA",1-'Parametros'!G$7,1))</f>
        <v/>
      </c>
      <c r="L90" s="21">
        <f>SUMPRODUCT($AK90:$AR90,$AK$11:$AR$11)*IF($E90="CABA",'Parametros'!H$7,IF($E90="PBA",1-'Parametros'!H$7,1))</f>
        <v/>
      </c>
      <c r="M90" s="21">
        <f>SUMPRODUCT($AK90:$AR90,$AK$12:$AR$12)*IF($E90="CABA",'Parametros'!I$7,IF($E90="PBA",1-'Parametros'!I$7,1))</f>
        <v/>
      </c>
      <c r="N90" s="21">
        <f>SUMPRODUCT($AK90:$AR90,$AK$13:$AR$13)*IF($E90="CABA",'Parametros'!J$7,IF($E90="PBA",1-'Parametros'!J$7,1))</f>
        <v/>
      </c>
      <c r="O90" s="21">
        <f>SUMPRODUCT($AK90:$AR90,$AK$14:$AR$14)*IF($E90="CABA",'Parametros'!K$7,IF($E90="PBA",1-'Parametros'!K$7,1))</f>
        <v/>
      </c>
      <c r="AN90" s="22" t="n">
        <v>1</v>
      </c>
    </row>
    <row r="91">
      <c r="A91" s="2" t="inlineStr">
        <is>
          <t>Etiqueta / placa de características — 522 × 208 (desarrollo × alto: panel central 108° + 2 alas laterales), e ≈ 0,3, laminado UV</t>
        </is>
      </c>
      <c r="B91" s="2" t="inlineStr">
        <is>
          <t>u</t>
        </is>
      </c>
      <c r="C91" s="2" t="inlineStr">
        <is>
          <t>Identificación</t>
        </is>
      </c>
      <c r="D91" s="2" t="inlineStr">
        <is>
          <t>Astuprint</t>
        </is>
      </c>
      <c r="E91" s="2" t="inlineStr">
        <is>
          <t>Todos</t>
        </is>
      </c>
      <c r="F91" s="21">
        <f>SUMPRODUCT($AK91:$AR91,$AK$5:$AR$5)*IF($E91="CABA",'Parametros'!B$7,IF($E91="PBA",1-'Parametros'!B$7,1))</f>
        <v/>
      </c>
      <c r="G91" s="21">
        <f>SUMPRODUCT($AK91:$AR91,$AK$6:$AR$6)*IF($E91="CABA",'Parametros'!C$7,IF($E91="PBA",1-'Parametros'!C$7,1))</f>
        <v/>
      </c>
      <c r="H91" s="21">
        <f>SUMPRODUCT($AK91:$AR91,$AK$7:$AR$7)*IF($E91="CABA",'Parametros'!D$7,IF($E91="PBA",1-'Parametros'!D$7,1))</f>
        <v/>
      </c>
      <c r="I91" s="21">
        <f>SUMPRODUCT($AK91:$AR91,$AK$8:$AR$8)*IF($E91="CABA",'Parametros'!E$7,IF($E91="PBA",1-'Parametros'!E$7,1))</f>
        <v/>
      </c>
      <c r="J91" s="21">
        <f>SUMPRODUCT($AK91:$AR91,$AK$9:$AR$9)*IF($E91="CABA",'Parametros'!F$7,IF($E91="PBA",1-'Parametros'!F$7,1))</f>
        <v/>
      </c>
      <c r="K91" s="21">
        <f>SUMPRODUCT($AK91:$AR91,$AK$10:$AR$10)*IF($E91="CABA",'Parametros'!G$7,IF($E91="PBA",1-'Parametros'!G$7,1))</f>
        <v/>
      </c>
      <c r="L91" s="21">
        <f>SUMPRODUCT($AK91:$AR91,$AK$11:$AR$11)*IF($E91="CABA",'Parametros'!H$7,IF($E91="PBA",1-'Parametros'!H$7,1))</f>
        <v/>
      </c>
      <c r="M91" s="21">
        <f>SUMPRODUCT($AK91:$AR91,$AK$12:$AR$12)*IF($E91="CABA",'Parametros'!I$7,IF($E91="PBA",1-'Parametros'!I$7,1))</f>
        <v/>
      </c>
      <c r="N91" s="21">
        <f>SUMPRODUCT($AK91:$AR91,$AK$13:$AR$13)*IF($E91="CABA",'Parametros'!J$7,IF($E91="PBA",1-'Parametros'!J$7,1))</f>
        <v/>
      </c>
      <c r="O91" s="21">
        <f>SUMPRODUCT($AK91:$AR91,$AK$14:$AR$14)*IF($E91="CABA",'Parametros'!K$7,IF($E91="PBA",1-'Parametros'!K$7,1))</f>
        <v/>
      </c>
      <c r="AO91" s="22" t="n">
        <v>1</v>
      </c>
    </row>
    <row r="92">
      <c r="A92" s="2" t="inlineStr">
        <is>
          <t>Etiqueta / placa de características — 604 × 204 (desarrollo × alto: panel central 108° + 2 alas laterales), e ≈ 0,3, laminado UV</t>
        </is>
      </c>
      <c r="B92" s="2" t="inlineStr">
        <is>
          <t>u</t>
        </is>
      </c>
      <c r="C92" s="2" t="inlineStr">
        <is>
          <t>Identificación</t>
        </is>
      </c>
      <c r="D92" s="2" t="inlineStr">
        <is>
          <t>Astuprint</t>
        </is>
      </c>
      <c r="E92" s="2" t="inlineStr">
        <is>
          <t>Todos</t>
        </is>
      </c>
      <c r="F92" s="21">
        <f>SUMPRODUCT($AK92:$AR92,$AK$5:$AR$5)*IF($E92="CABA",'Parametros'!B$7,IF($E92="PBA",1-'Parametros'!B$7,1))</f>
        <v/>
      </c>
      <c r="G92" s="21">
        <f>SUMPRODUCT($AK92:$AR92,$AK$6:$AR$6)*IF($E92="CABA",'Parametros'!C$7,IF($E92="PBA",1-'Parametros'!C$7,1))</f>
        <v/>
      </c>
      <c r="H92" s="21">
        <f>SUMPRODUCT($AK92:$AR92,$AK$7:$AR$7)*IF($E92="CABA",'Parametros'!D$7,IF($E92="PBA",1-'Parametros'!D$7,1))</f>
        <v/>
      </c>
      <c r="I92" s="21">
        <f>SUMPRODUCT($AK92:$AR92,$AK$8:$AR$8)*IF($E92="CABA",'Parametros'!E$7,IF($E92="PBA",1-'Parametros'!E$7,1))</f>
        <v/>
      </c>
      <c r="J92" s="21">
        <f>SUMPRODUCT($AK92:$AR92,$AK$9:$AR$9)*IF($E92="CABA",'Parametros'!F$7,IF($E92="PBA",1-'Parametros'!F$7,1))</f>
        <v/>
      </c>
      <c r="K92" s="21">
        <f>SUMPRODUCT($AK92:$AR92,$AK$10:$AR$10)*IF($E92="CABA",'Parametros'!G$7,IF($E92="PBA",1-'Parametros'!G$7,1))</f>
        <v/>
      </c>
      <c r="L92" s="21">
        <f>SUMPRODUCT($AK92:$AR92,$AK$11:$AR$11)*IF($E92="CABA",'Parametros'!H$7,IF($E92="PBA",1-'Parametros'!H$7,1))</f>
        <v/>
      </c>
      <c r="M92" s="21">
        <f>SUMPRODUCT($AK92:$AR92,$AK$12:$AR$12)*IF($E92="CABA",'Parametros'!I$7,IF($E92="PBA",1-'Parametros'!I$7,1))</f>
        <v/>
      </c>
      <c r="N92" s="21">
        <f>SUMPRODUCT($AK92:$AR92,$AK$13:$AR$13)*IF($E92="CABA",'Parametros'!J$7,IF($E92="PBA",1-'Parametros'!J$7,1))</f>
        <v/>
      </c>
      <c r="O92" s="21">
        <f>SUMPRODUCT($AK92:$AR92,$AK$14:$AR$14)*IF($E92="CABA",'Parametros'!K$7,IF($E92="PBA",1-'Parametros'!K$7,1))</f>
        <v/>
      </c>
      <c r="AP92" s="22" t="n">
        <v>1</v>
      </c>
    </row>
    <row r="93">
      <c r="A93" s="2" t="inlineStr">
        <is>
          <t>Etiqueta / placa de características — 736 × 211 (desarrollo × alto: panel central 108° + 2 alas laterales), e ≈ 0,3, laminado UV</t>
        </is>
      </c>
      <c r="B93" s="2" t="inlineStr">
        <is>
          <t>u</t>
        </is>
      </c>
      <c r="C93" s="2" t="inlineStr">
        <is>
          <t>Identificación</t>
        </is>
      </c>
      <c r="D93" s="2" t="inlineStr">
        <is>
          <t>Astuprint</t>
        </is>
      </c>
      <c r="E93" s="2" t="inlineStr">
        <is>
          <t>Todos</t>
        </is>
      </c>
      <c r="F93" s="21">
        <f>SUMPRODUCT($AK93:$AR93,$AK$5:$AR$5)*IF($E93="CABA",'Parametros'!B$7,IF($E93="PBA",1-'Parametros'!B$7,1))</f>
        <v/>
      </c>
      <c r="G93" s="21">
        <f>SUMPRODUCT($AK93:$AR93,$AK$6:$AR$6)*IF($E93="CABA",'Parametros'!C$7,IF($E93="PBA",1-'Parametros'!C$7,1))</f>
        <v/>
      </c>
      <c r="H93" s="21">
        <f>SUMPRODUCT($AK93:$AR93,$AK$7:$AR$7)*IF($E93="CABA",'Parametros'!D$7,IF($E93="PBA",1-'Parametros'!D$7,1))</f>
        <v/>
      </c>
      <c r="I93" s="21">
        <f>SUMPRODUCT($AK93:$AR93,$AK$8:$AR$8)*IF($E93="CABA",'Parametros'!E$7,IF($E93="PBA",1-'Parametros'!E$7,1))</f>
        <v/>
      </c>
      <c r="J93" s="21">
        <f>SUMPRODUCT($AK93:$AR93,$AK$9:$AR$9)*IF($E93="CABA",'Parametros'!F$7,IF($E93="PBA",1-'Parametros'!F$7,1))</f>
        <v/>
      </c>
      <c r="K93" s="21">
        <f>SUMPRODUCT($AK93:$AR93,$AK$10:$AR$10)*IF($E93="CABA",'Parametros'!G$7,IF($E93="PBA",1-'Parametros'!G$7,1))</f>
        <v/>
      </c>
      <c r="L93" s="21">
        <f>SUMPRODUCT($AK93:$AR93,$AK$11:$AR$11)*IF($E93="CABA",'Parametros'!H$7,IF($E93="PBA",1-'Parametros'!H$7,1))</f>
        <v/>
      </c>
      <c r="M93" s="21">
        <f>SUMPRODUCT($AK93:$AR93,$AK$12:$AR$12)*IF($E93="CABA",'Parametros'!I$7,IF($E93="PBA",1-'Parametros'!I$7,1))</f>
        <v/>
      </c>
      <c r="N93" s="21">
        <f>SUMPRODUCT($AK93:$AR93,$AK$13:$AR$13)*IF($E93="CABA",'Parametros'!J$7,IF($E93="PBA",1-'Parametros'!J$7,1))</f>
        <v/>
      </c>
      <c r="O93" s="21">
        <f>SUMPRODUCT($AK93:$AR93,$AK$14:$AR$14)*IF($E93="CABA",'Parametros'!K$7,IF($E93="PBA",1-'Parametros'!K$7,1))</f>
        <v/>
      </c>
      <c r="AQ93" s="22" t="n">
        <v>1</v>
      </c>
      <c r="AR93" s="22" t="n">
        <v>1</v>
      </c>
    </row>
    <row r="94">
      <c r="A94" s="2" t="inlineStr">
        <is>
          <t>Etiqueta de n° de serie GS1 — 45 × 25</t>
        </is>
      </c>
      <c r="B94" s="2" t="inlineStr">
        <is>
          <t>u</t>
        </is>
      </c>
      <c r="C94" s="2" t="inlineStr">
        <is>
          <t>Identificación</t>
        </is>
      </c>
      <c r="D94" s="2" t="inlineStr">
        <is>
          <t>Astuprint</t>
        </is>
      </c>
      <c r="E94" s="2" t="inlineStr">
        <is>
          <t>Todos</t>
        </is>
      </c>
      <c r="F94" s="21">
        <f>SUMPRODUCT($AK94:$AR94,$AK$5:$AR$5)*IF($E94="CABA",'Parametros'!B$7,IF($E94="PBA",1-'Parametros'!B$7,1))</f>
        <v/>
      </c>
      <c r="G94" s="21">
        <f>SUMPRODUCT($AK94:$AR94,$AK$6:$AR$6)*IF($E94="CABA",'Parametros'!C$7,IF($E94="PBA",1-'Parametros'!C$7,1))</f>
        <v/>
      </c>
      <c r="H94" s="21">
        <f>SUMPRODUCT($AK94:$AR94,$AK$7:$AR$7)*IF($E94="CABA",'Parametros'!D$7,IF($E94="PBA",1-'Parametros'!D$7,1))</f>
        <v/>
      </c>
      <c r="I94" s="21">
        <f>SUMPRODUCT($AK94:$AR94,$AK$8:$AR$8)*IF($E94="CABA",'Parametros'!E$7,IF($E94="PBA",1-'Parametros'!E$7,1))</f>
        <v/>
      </c>
      <c r="J94" s="21">
        <f>SUMPRODUCT($AK94:$AR94,$AK$9:$AR$9)*IF($E94="CABA",'Parametros'!F$7,IF($E94="PBA",1-'Parametros'!F$7,1))</f>
        <v/>
      </c>
      <c r="K94" s="21">
        <f>SUMPRODUCT($AK94:$AR94,$AK$10:$AR$10)*IF($E94="CABA",'Parametros'!G$7,IF($E94="PBA",1-'Parametros'!G$7,1))</f>
        <v/>
      </c>
      <c r="L94" s="21">
        <f>SUMPRODUCT($AK94:$AR94,$AK$11:$AR$11)*IF($E94="CABA",'Parametros'!H$7,IF($E94="PBA",1-'Parametros'!H$7,1))</f>
        <v/>
      </c>
      <c r="M94" s="21">
        <f>SUMPRODUCT($AK94:$AR94,$AK$12:$AR$12)*IF($E94="CABA",'Parametros'!I$7,IF($E94="PBA",1-'Parametros'!I$7,1))</f>
        <v/>
      </c>
      <c r="N94" s="21">
        <f>SUMPRODUCT($AK94:$AR94,$AK$13:$AR$13)*IF($E94="CABA",'Parametros'!J$7,IF($E94="PBA",1-'Parametros'!J$7,1))</f>
        <v/>
      </c>
      <c r="O94" s="21">
        <f>SUMPRODUCT($AK94:$AR94,$AK$14:$AR$14)*IF($E94="CABA",'Parametros'!K$7,IF($E94="PBA",1-'Parametros'!K$7,1))</f>
        <v/>
      </c>
      <c r="AK94" s="22" t="n">
        <v>1</v>
      </c>
      <c r="AL94" s="22" t="n">
        <v>1</v>
      </c>
      <c r="AM94" s="22" t="n">
        <v>1</v>
      </c>
      <c r="AN94" s="22" t="n">
        <v>1</v>
      </c>
      <c r="AO94" s="22" t="n">
        <v>1</v>
      </c>
      <c r="AP94" s="22" t="n">
        <v>1</v>
      </c>
      <c r="AQ94" s="22" t="n">
        <v>1</v>
      </c>
      <c r="AR94" s="22" t="n">
        <v>1</v>
      </c>
    </row>
    <row r="95">
      <c r="A95" s="2" t="inlineStr">
        <is>
          <t>Faja de garantía válvula-cuello — 30 × 40</t>
        </is>
      </c>
      <c r="B95" s="2" t="inlineStr">
        <is>
          <t>u</t>
        </is>
      </c>
      <c r="C95" s="2" t="inlineStr">
        <is>
          <t>Identificación</t>
        </is>
      </c>
      <c r="D95" s="2" t="inlineStr">
        <is>
          <t>Astuprint</t>
        </is>
      </c>
      <c r="E95" s="2" t="inlineStr">
        <is>
          <t>Todos</t>
        </is>
      </c>
      <c r="F95" s="21">
        <f>SUMPRODUCT($AK95:$AR95,$AK$5:$AR$5)*IF($E95="CABA",'Parametros'!B$7,IF($E95="PBA",1-'Parametros'!B$7,1))</f>
        <v/>
      </c>
      <c r="G95" s="21">
        <f>SUMPRODUCT($AK95:$AR95,$AK$6:$AR$6)*IF($E95="CABA",'Parametros'!C$7,IF($E95="PBA",1-'Parametros'!C$7,1))</f>
        <v/>
      </c>
      <c r="H95" s="21">
        <f>SUMPRODUCT($AK95:$AR95,$AK$7:$AR$7)*IF($E95="CABA",'Parametros'!D$7,IF($E95="PBA",1-'Parametros'!D$7,1))</f>
        <v/>
      </c>
      <c r="I95" s="21">
        <f>SUMPRODUCT($AK95:$AR95,$AK$8:$AR$8)*IF($E95="CABA",'Parametros'!E$7,IF($E95="PBA",1-'Parametros'!E$7,1))</f>
        <v/>
      </c>
      <c r="J95" s="21">
        <f>SUMPRODUCT($AK95:$AR95,$AK$9:$AR$9)*IF($E95="CABA",'Parametros'!F$7,IF($E95="PBA",1-'Parametros'!F$7,1))</f>
        <v/>
      </c>
      <c r="K95" s="21">
        <f>SUMPRODUCT($AK95:$AR95,$AK$10:$AR$10)*IF($E95="CABA",'Parametros'!G$7,IF($E95="PBA",1-'Parametros'!G$7,1))</f>
        <v/>
      </c>
      <c r="L95" s="21">
        <f>SUMPRODUCT($AK95:$AR95,$AK$11:$AR$11)*IF($E95="CABA",'Parametros'!H$7,IF($E95="PBA",1-'Parametros'!H$7,1))</f>
        <v/>
      </c>
      <c r="M95" s="21">
        <f>SUMPRODUCT($AK95:$AR95,$AK$12:$AR$12)*IF($E95="CABA",'Parametros'!I$7,IF($E95="PBA",1-'Parametros'!I$7,1))</f>
        <v/>
      </c>
      <c r="N95" s="21">
        <f>SUMPRODUCT($AK95:$AR95,$AK$13:$AR$13)*IF($E95="CABA",'Parametros'!J$7,IF($E95="PBA",1-'Parametros'!J$7,1))</f>
        <v/>
      </c>
      <c r="O95" s="21">
        <f>SUMPRODUCT($AK95:$AR95,$AK$14:$AR$14)*IF($E95="CABA",'Parametros'!K$7,IF($E95="PBA",1-'Parametros'!K$7,1))</f>
        <v/>
      </c>
      <c r="AK95" s="22" t="n">
        <v>1</v>
      </c>
      <c r="AL95" s="22" t="n">
        <v>1</v>
      </c>
      <c r="AM95" s="22" t="n">
        <v>1</v>
      </c>
      <c r="AN95" s="22" t="n">
        <v>1</v>
      </c>
      <c r="AO95" s="22" t="n">
        <v>1</v>
      </c>
      <c r="AP95" s="22" t="n">
        <v>1</v>
      </c>
      <c r="AQ95" s="22" t="n">
        <v>1</v>
      </c>
      <c r="AR95" s="22" t="n">
        <v>1</v>
      </c>
    </row>
    <row r="96">
      <c r="A96" s="2" t="inlineStr">
        <is>
          <t>Oblea de fabricación (PBA) — Ø46 (Res. OPDS 522/07), numerada, autodestructible</t>
        </is>
      </c>
      <c r="B96" s="2" t="inlineStr">
        <is>
          <t>u</t>
        </is>
      </c>
      <c r="C96" s="2" t="inlineStr">
        <is>
          <t>Identificación</t>
        </is>
      </c>
      <c r="D96" s="2" t="inlineStr">
        <is>
          <t>Ministerio de Ambiente PBA (ex OPDS)</t>
        </is>
      </c>
      <c r="E96" s="2" t="inlineStr">
        <is>
          <t>PBA</t>
        </is>
      </c>
      <c r="F96" s="21">
        <f>SUMPRODUCT($AK96:$AR96,$AK$5:$AR$5)*IF($E96="CABA",'Parametros'!B$7,IF($E96="PBA",1-'Parametros'!B$7,1))</f>
        <v/>
      </c>
      <c r="G96" s="21">
        <f>SUMPRODUCT($AK96:$AR96,$AK$6:$AR$6)*IF($E96="CABA",'Parametros'!C$7,IF($E96="PBA",1-'Parametros'!C$7,1))</f>
        <v/>
      </c>
      <c r="H96" s="21">
        <f>SUMPRODUCT($AK96:$AR96,$AK$7:$AR$7)*IF($E96="CABA",'Parametros'!D$7,IF($E96="PBA",1-'Parametros'!D$7,1))</f>
        <v/>
      </c>
      <c r="I96" s="21">
        <f>SUMPRODUCT($AK96:$AR96,$AK$8:$AR$8)*IF($E96="CABA",'Parametros'!E$7,IF($E96="PBA",1-'Parametros'!E$7,1))</f>
        <v/>
      </c>
      <c r="J96" s="21">
        <f>SUMPRODUCT($AK96:$AR96,$AK$9:$AR$9)*IF($E96="CABA",'Parametros'!F$7,IF($E96="PBA",1-'Parametros'!F$7,1))</f>
        <v/>
      </c>
      <c r="K96" s="21">
        <f>SUMPRODUCT($AK96:$AR96,$AK$10:$AR$10)*IF($E96="CABA",'Parametros'!G$7,IF($E96="PBA",1-'Parametros'!G$7,1))</f>
        <v/>
      </c>
      <c r="L96" s="21">
        <f>SUMPRODUCT($AK96:$AR96,$AK$11:$AR$11)*IF($E96="CABA",'Parametros'!H$7,IF($E96="PBA",1-'Parametros'!H$7,1))</f>
        <v/>
      </c>
      <c r="M96" s="21">
        <f>SUMPRODUCT($AK96:$AR96,$AK$12:$AR$12)*IF($E96="CABA",'Parametros'!I$7,IF($E96="PBA",1-'Parametros'!I$7,1))</f>
        <v/>
      </c>
      <c r="N96" s="21">
        <f>SUMPRODUCT($AK96:$AR96,$AK$13:$AR$13)*IF($E96="CABA",'Parametros'!J$7,IF($E96="PBA",1-'Parametros'!J$7,1))</f>
        <v/>
      </c>
      <c r="O96" s="21">
        <f>SUMPRODUCT($AK96:$AR96,$AK$14:$AR$14)*IF($E96="CABA",'Parametros'!K$7,IF($E96="PBA",1-'Parametros'!K$7,1))</f>
        <v/>
      </c>
      <c r="AK96" s="22" t="n">
        <v>1</v>
      </c>
      <c r="AL96" s="22" t="n">
        <v>1</v>
      </c>
      <c r="AM96" s="22" t="n">
        <v>1</v>
      </c>
      <c r="AN96" s="22" t="n">
        <v>1</v>
      </c>
      <c r="AO96" s="22" t="n">
        <v>1</v>
      </c>
      <c r="AP96" s="22" t="n">
        <v>1</v>
      </c>
      <c r="AQ96" s="22" t="n">
        <v>1</v>
      </c>
      <c r="AR96" s="22" t="n">
        <v>1</v>
      </c>
    </row>
    <row r="97">
      <c r="A97" s="2" t="inlineStr">
        <is>
          <t>Precinto de fábrica — Ø5 × 10, numerado, rotura 30-50 N</t>
        </is>
      </c>
      <c r="B97" s="2" t="inlineStr">
        <is>
          <t>u</t>
        </is>
      </c>
      <c r="C97" s="2" t="inlineStr">
        <is>
          <t>Identificación</t>
        </is>
      </c>
      <c r="D97" s="2" t="inlineStr">
        <is>
          <t>SonFuertes (vía Papelera Damián)</t>
        </is>
      </c>
      <c r="E97" s="2" t="inlineStr">
        <is>
          <t>Todos</t>
        </is>
      </c>
      <c r="F97" s="21">
        <f>SUMPRODUCT($AK97:$AR97,$AK$5:$AR$5)*IF($E97="CABA",'Parametros'!B$7,IF($E97="PBA",1-'Parametros'!B$7,1))</f>
        <v/>
      </c>
      <c r="G97" s="21">
        <f>SUMPRODUCT($AK97:$AR97,$AK$6:$AR$6)*IF($E97="CABA",'Parametros'!C$7,IF($E97="PBA",1-'Parametros'!C$7,1))</f>
        <v/>
      </c>
      <c r="H97" s="21">
        <f>SUMPRODUCT($AK97:$AR97,$AK$7:$AR$7)*IF($E97="CABA",'Parametros'!D$7,IF($E97="PBA",1-'Parametros'!D$7,1))</f>
        <v/>
      </c>
      <c r="I97" s="21">
        <f>SUMPRODUCT($AK97:$AR97,$AK$8:$AR$8)*IF($E97="CABA",'Parametros'!E$7,IF($E97="PBA",1-'Parametros'!E$7,1))</f>
        <v/>
      </c>
      <c r="J97" s="21">
        <f>SUMPRODUCT($AK97:$AR97,$AK$9:$AR$9)*IF($E97="CABA",'Parametros'!F$7,IF($E97="PBA",1-'Parametros'!F$7,1))</f>
        <v/>
      </c>
      <c r="K97" s="21">
        <f>SUMPRODUCT($AK97:$AR97,$AK$10:$AR$10)*IF($E97="CABA",'Parametros'!G$7,IF($E97="PBA",1-'Parametros'!G$7,1))</f>
        <v/>
      </c>
      <c r="L97" s="21">
        <f>SUMPRODUCT($AK97:$AR97,$AK$11:$AR$11)*IF($E97="CABA",'Parametros'!H$7,IF($E97="PBA",1-'Parametros'!H$7,1))</f>
        <v/>
      </c>
      <c r="M97" s="21">
        <f>SUMPRODUCT($AK97:$AR97,$AK$12:$AR$12)*IF($E97="CABA",'Parametros'!I$7,IF($E97="PBA",1-'Parametros'!I$7,1))</f>
        <v/>
      </c>
      <c r="N97" s="21">
        <f>SUMPRODUCT($AK97:$AR97,$AK$13:$AR$13)*IF($E97="CABA",'Parametros'!J$7,IF($E97="PBA",1-'Parametros'!J$7,1))</f>
        <v/>
      </c>
      <c r="O97" s="21">
        <f>SUMPRODUCT($AK97:$AR97,$AK$14:$AR$14)*IF($E97="CABA",'Parametros'!K$7,IF($E97="PBA",1-'Parametros'!K$7,1))</f>
        <v/>
      </c>
      <c r="AK97" s="22" t="n">
        <v>1</v>
      </c>
      <c r="AL97" s="22" t="n">
        <v>1</v>
      </c>
      <c r="AM97" s="22" t="n">
        <v>1</v>
      </c>
      <c r="AN97" s="22" t="n">
        <v>1</v>
      </c>
      <c r="AO97" s="22" t="n">
        <v>1</v>
      </c>
      <c r="AP97" s="22" t="n">
        <v>1</v>
      </c>
      <c r="AQ97" s="22" t="n">
        <v>1</v>
      </c>
      <c r="AR97" s="22" t="n">
        <v>1</v>
      </c>
    </row>
    <row r="98">
      <c r="A98" s="2" t="inlineStr">
        <is>
          <t>Tarjeta de identificación AGC (CABA) — 140 × 55</t>
        </is>
      </c>
      <c r="B98" s="2" t="inlineStr">
        <is>
          <t>u</t>
        </is>
      </c>
      <c r="C98" s="2" t="inlineStr">
        <is>
          <t>Identificación</t>
        </is>
      </c>
      <c r="D98" s="2" t="inlineStr">
        <is>
          <t>Agencia Gubernamental de Control (CABA)</t>
        </is>
      </c>
      <c r="E98" s="2" t="inlineStr">
        <is>
          <t>CABA</t>
        </is>
      </c>
      <c r="F98" s="21">
        <f>SUMPRODUCT($AK98:$AR98,$AK$5:$AR$5)*IF($E98="CABA",'Parametros'!B$7,IF($E98="PBA",1-'Parametros'!B$7,1))</f>
        <v/>
      </c>
      <c r="G98" s="21">
        <f>SUMPRODUCT($AK98:$AR98,$AK$6:$AR$6)*IF($E98="CABA",'Parametros'!C$7,IF($E98="PBA",1-'Parametros'!C$7,1))</f>
        <v/>
      </c>
      <c r="H98" s="21">
        <f>SUMPRODUCT($AK98:$AR98,$AK$7:$AR$7)*IF($E98="CABA",'Parametros'!D$7,IF($E98="PBA",1-'Parametros'!D$7,1))</f>
        <v/>
      </c>
      <c r="I98" s="21">
        <f>SUMPRODUCT($AK98:$AR98,$AK$8:$AR$8)*IF($E98="CABA",'Parametros'!E$7,IF($E98="PBA",1-'Parametros'!E$7,1))</f>
        <v/>
      </c>
      <c r="J98" s="21">
        <f>SUMPRODUCT($AK98:$AR98,$AK$9:$AR$9)*IF($E98="CABA",'Parametros'!F$7,IF($E98="PBA",1-'Parametros'!F$7,1))</f>
        <v/>
      </c>
      <c r="K98" s="21">
        <f>SUMPRODUCT($AK98:$AR98,$AK$10:$AR$10)*IF($E98="CABA",'Parametros'!G$7,IF($E98="PBA",1-'Parametros'!G$7,1))</f>
        <v/>
      </c>
      <c r="L98" s="21">
        <f>SUMPRODUCT($AK98:$AR98,$AK$11:$AR$11)*IF($E98="CABA",'Parametros'!H$7,IF($E98="PBA",1-'Parametros'!H$7,1))</f>
        <v/>
      </c>
      <c r="M98" s="21">
        <f>SUMPRODUCT($AK98:$AR98,$AK$12:$AR$12)*IF($E98="CABA",'Parametros'!I$7,IF($E98="PBA",1-'Parametros'!I$7,1))</f>
        <v/>
      </c>
      <c r="N98" s="21">
        <f>SUMPRODUCT($AK98:$AR98,$AK$13:$AR$13)*IF($E98="CABA",'Parametros'!J$7,IF($E98="PBA",1-'Parametros'!J$7,1))</f>
        <v/>
      </c>
      <c r="O98" s="21">
        <f>SUMPRODUCT($AK98:$AR98,$AK$14:$AR$14)*IF($E98="CABA",'Parametros'!K$7,IF($E98="PBA",1-'Parametros'!K$7,1))</f>
        <v/>
      </c>
      <c r="AL98" s="22" t="n">
        <v>1</v>
      </c>
      <c r="AM98" s="22" t="n">
        <v>1</v>
      </c>
      <c r="AN98" s="22" t="n">
        <v>1</v>
      </c>
      <c r="AO98" s="22" t="n">
        <v>1</v>
      </c>
      <c r="AP98" s="22" t="n">
        <v>1</v>
      </c>
      <c r="AQ98" s="22" t="n">
        <v>1</v>
      </c>
      <c r="AR98" s="22" t="n">
        <v>1</v>
      </c>
    </row>
    <row r="99">
      <c r="A99" s="2" t="inlineStr">
        <is>
          <t>Soporte de pared (FL_ACC_01)</t>
        </is>
      </c>
      <c r="B99" s="2" t="inlineStr">
        <is>
          <t>u</t>
        </is>
      </c>
      <c r="C99" s="2" t="inlineStr">
        <is>
          <t>Soporte</t>
        </is>
      </c>
      <c r="D99" s="2" t="inlineStr">
        <is>
          <t>Maxiseguridad</t>
        </is>
      </c>
      <c r="E99" s="2" t="inlineStr">
        <is>
          <t>Todos</t>
        </is>
      </c>
      <c r="F99" s="21">
        <f>SUMPRODUCT($AK99:$AR99,$AK$5:$AR$5)*IF($E99="CABA",'Parametros'!B$7,IF($E99="PBA",1-'Parametros'!B$7,1))</f>
        <v/>
      </c>
      <c r="G99" s="21">
        <f>SUMPRODUCT($AK99:$AR99,$AK$6:$AR$6)*IF($E99="CABA",'Parametros'!C$7,IF($E99="PBA",1-'Parametros'!C$7,1))</f>
        <v/>
      </c>
      <c r="H99" s="21">
        <f>SUMPRODUCT($AK99:$AR99,$AK$7:$AR$7)*IF($E99="CABA",'Parametros'!D$7,IF($E99="PBA",1-'Parametros'!D$7,1))</f>
        <v/>
      </c>
      <c r="I99" s="21">
        <f>SUMPRODUCT($AK99:$AR99,$AK$8:$AR$8)*IF($E99="CABA",'Parametros'!E$7,IF($E99="PBA",1-'Parametros'!E$7,1))</f>
        <v/>
      </c>
      <c r="J99" s="21">
        <f>SUMPRODUCT($AK99:$AR99,$AK$9:$AR$9)*IF($E99="CABA",'Parametros'!F$7,IF($E99="PBA",1-'Parametros'!F$7,1))</f>
        <v/>
      </c>
      <c r="K99" s="21">
        <f>SUMPRODUCT($AK99:$AR99,$AK$10:$AR$10)*IF($E99="CABA",'Parametros'!G$7,IF($E99="PBA",1-'Parametros'!G$7,1))</f>
        <v/>
      </c>
      <c r="L99" s="21">
        <f>SUMPRODUCT($AK99:$AR99,$AK$11:$AR$11)*IF($E99="CABA",'Parametros'!H$7,IF($E99="PBA",1-'Parametros'!H$7,1))</f>
        <v/>
      </c>
      <c r="M99" s="21">
        <f>SUMPRODUCT($AK99:$AR99,$AK$12:$AR$12)*IF($E99="CABA",'Parametros'!I$7,IF($E99="PBA",1-'Parametros'!I$7,1))</f>
        <v/>
      </c>
      <c r="N99" s="21">
        <f>SUMPRODUCT($AK99:$AR99,$AK$13:$AR$13)*IF($E99="CABA",'Parametros'!J$7,IF($E99="PBA",1-'Parametros'!J$7,1))</f>
        <v/>
      </c>
      <c r="O99" s="21">
        <f>SUMPRODUCT($AK99:$AR99,$AK$14:$AR$14)*IF($E99="CABA",'Parametros'!K$7,IF($E99="PBA",1-'Parametros'!K$7,1))</f>
        <v/>
      </c>
      <c r="AL99" s="22" t="n">
        <v>1</v>
      </c>
      <c r="AM99" s="22" t="n">
        <v>1</v>
      </c>
      <c r="AN99" s="22" t="n">
        <v>1</v>
      </c>
    </row>
    <row r="100">
      <c r="A100" s="2" t="inlineStr">
        <is>
          <t>Soporte vehicular con cierre rápido (FL_ACC_02)</t>
        </is>
      </c>
      <c r="B100" s="2" t="inlineStr">
        <is>
          <t>u</t>
        </is>
      </c>
      <c r="C100" s="2" t="inlineStr">
        <is>
          <t>Soporte</t>
        </is>
      </c>
      <c r="D100" s="2" t="inlineStr">
        <is>
          <t>Maxiseguridad</t>
        </is>
      </c>
      <c r="E100" s="2" t="inlineStr">
        <is>
          <t>Todos</t>
        </is>
      </c>
      <c r="F100" s="21">
        <f>SUMPRODUCT($AK100:$AR100,$AK$5:$AR$5)*IF($E100="CABA",'Parametros'!B$7,IF($E100="PBA",1-'Parametros'!B$7,1))</f>
        <v/>
      </c>
      <c r="G100" s="21">
        <f>SUMPRODUCT($AK100:$AR100,$AK$6:$AR$6)*IF($E100="CABA",'Parametros'!C$7,IF($E100="PBA",1-'Parametros'!C$7,1))</f>
        <v/>
      </c>
      <c r="H100" s="21">
        <f>SUMPRODUCT($AK100:$AR100,$AK$7:$AR$7)*IF($E100="CABA",'Parametros'!D$7,IF($E100="PBA",1-'Parametros'!D$7,1))</f>
        <v/>
      </c>
      <c r="I100" s="21">
        <f>SUMPRODUCT($AK100:$AR100,$AK$8:$AR$8)*IF($E100="CABA",'Parametros'!E$7,IF($E100="PBA",1-'Parametros'!E$7,1))</f>
        <v/>
      </c>
      <c r="J100" s="21">
        <f>SUMPRODUCT($AK100:$AR100,$AK$9:$AR$9)*IF($E100="CABA",'Parametros'!F$7,IF($E100="PBA",1-'Parametros'!F$7,1))</f>
        <v/>
      </c>
      <c r="K100" s="21">
        <f>SUMPRODUCT($AK100:$AR100,$AK$10:$AR$10)*IF($E100="CABA",'Parametros'!G$7,IF($E100="PBA",1-'Parametros'!G$7,1))</f>
        <v/>
      </c>
      <c r="L100" s="21">
        <f>SUMPRODUCT($AK100:$AR100,$AK$11:$AR$11)*IF($E100="CABA",'Parametros'!H$7,IF($E100="PBA",1-'Parametros'!H$7,1))</f>
        <v/>
      </c>
      <c r="M100" s="21">
        <f>SUMPRODUCT($AK100:$AR100,$AK$12:$AR$12)*IF($E100="CABA",'Parametros'!I$7,IF($E100="PBA",1-'Parametros'!I$7,1))</f>
        <v/>
      </c>
      <c r="N100" s="21">
        <f>SUMPRODUCT($AK100:$AR100,$AK$13:$AR$13)*IF($E100="CABA",'Parametros'!J$7,IF($E100="PBA",1-'Parametros'!J$7,1))</f>
        <v/>
      </c>
      <c r="O100" s="21">
        <f>SUMPRODUCT($AK100:$AR100,$AK$14:$AR$14)*IF($E100="CABA",'Parametros'!K$7,IF($E100="PBA",1-'Parametros'!K$7,1))</f>
        <v/>
      </c>
      <c r="AK100" s="22" t="n">
        <v>1</v>
      </c>
    </row>
    <row r="101">
      <c r="A101" s="2" t="inlineStr">
        <is>
          <t>Tornillo y tarugo de fijación</t>
        </is>
      </c>
      <c r="B101" s="2" t="inlineStr">
        <is>
          <t>u</t>
        </is>
      </c>
      <c r="C101" s="2" t="inlineStr">
        <is>
          <t>Soporte</t>
        </is>
      </c>
      <c r="D101" s="2" t="inlineStr">
        <is>
          <t>Würth Argentina</t>
        </is>
      </c>
      <c r="E101" s="2" t="inlineStr">
        <is>
          <t>Todos</t>
        </is>
      </c>
      <c r="F101" s="21">
        <f>SUMPRODUCT($AK101:$AR101,$AK$5:$AR$5)*IF($E101="CABA",'Parametros'!B$7,IF($E101="PBA",1-'Parametros'!B$7,1))</f>
        <v/>
      </c>
      <c r="G101" s="21">
        <f>SUMPRODUCT($AK101:$AR101,$AK$6:$AR$6)*IF($E101="CABA",'Parametros'!C$7,IF($E101="PBA",1-'Parametros'!C$7,1))</f>
        <v/>
      </c>
      <c r="H101" s="21">
        <f>SUMPRODUCT($AK101:$AR101,$AK$7:$AR$7)*IF($E101="CABA",'Parametros'!D$7,IF($E101="PBA",1-'Parametros'!D$7,1))</f>
        <v/>
      </c>
      <c r="I101" s="21">
        <f>SUMPRODUCT($AK101:$AR101,$AK$8:$AR$8)*IF($E101="CABA",'Parametros'!E$7,IF($E101="PBA",1-'Parametros'!E$7,1))</f>
        <v/>
      </c>
      <c r="J101" s="21">
        <f>SUMPRODUCT($AK101:$AR101,$AK$9:$AR$9)*IF($E101="CABA",'Parametros'!F$7,IF($E101="PBA",1-'Parametros'!F$7,1))</f>
        <v/>
      </c>
      <c r="K101" s="21">
        <f>SUMPRODUCT($AK101:$AR101,$AK$10:$AR$10)*IF($E101="CABA",'Parametros'!G$7,IF($E101="PBA",1-'Parametros'!G$7,1))</f>
        <v/>
      </c>
      <c r="L101" s="21">
        <f>SUMPRODUCT($AK101:$AR101,$AK$11:$AR$11)*IF($E101="CABA",'Parametros'!H$7,IF($E101="PBA",1-'Parametros'!H$7,1))</f>
        <v/>
      </c>
      <c r="M101" s="21">
        <f>SUMPRODUCT($AK101:$AR101,$AK$12:$AR$12)*IF($E101="CABA",'Parametros'!I$7,IF($E101="PBA",1-'Parametros'!I$7,1))</f>
        <v/>
      </c>
      <c r="N101" s="21">
        <f>SUMPRODUCT($AK101:$AR101,$AK$13:$AR$13)*IF($E101="CABA",'Parametros'!J$7,IF($E101="PBA",1-'Parametros'!J$7,1))</f>
        <v/>
      </c>
      <c r="O101" s="21">
        <f>SUMPRODUCT($AK101:$AR101,$AK$14:$AR$14)*IF($E101="CABA",'Parametros'!K$7,IF($E101="PBA",1-'Parametros'!K$7,1))</f>
        <v/>
      </c>
      <c r="AL101" s="22" t="n">
        <v>2</v>
      </c>
      <c r="AM101" s="22" t="n">
        <v>2</v>
      </c>
      <c r="AN101" s="22" t="n">
        <v>2</v>
      </c>
    </row>
    <row r="102">
      <c r="A102" s="2" t="inlineStr">
        <is>
          <t>Caja de cartón corrugado doble — 261 × 214 × 628 interior (envolvente del plano + 15 por lado)</t>
        </is>
      </c>
      <c r="B102" s="2" t="inlineStr">
        <is>
          <t>u</t>
        </is>
      </c>
      <c r="C102" s="2" t="inlineStr">
        <is>
          <t>Embalaje</t>
        </is>
      </c>
      <c r="D102" s="2" t="inlineStr">
        <is>
          <t>Maxipack</t>
        </is>
      </c>
      <c r="E102" s="2" t="inlineStr">
        <is>
          <t>Todos</t>
        </is>
      </c>
      <c r="F102" s="21">
        <f>SUMPRODUCT($AK102:$AR102,$AK$5:$AR$5)*IF($E102="CABA",'Parametros'!B$7,IF($E102="PBA",1-'Parametros'!B$7,1))</f>
        <v/>
      </c>
      <c r="G102" s="21">
        <f>SUMPRODUCT($AK102:$AR102,$AK$6:$AR$6)*IF($E102="CABA",'Parametros'!C$7,IF($E102="PBA",1-'Parametros'!C$7,1))</f>
        <v/>
      </c>
      <c r="H102" s="21">
        <f>SUMPRODUCT($AK102:$AR102,$AK$7:$AR$7)*IF($E102="CABA",'Parametros'!D$7,IF($E102="PBA",1-'Parametros'!D$7,1))</f>
        <v/>
      </c>
      <c r="I102" s="21">
        <f>SUMPRODUCT($AK102:$AR102,$AK$8:$AR$8)*IF($E102="CABA",'Parametros'!E$7,IF($E102="PBA",1-'Parametros'!E$7,1))</f>
        <v/>
      </c>
      <c r="J102" s="21">
        <f>SUMPRODUCT($AK102:$AR102,$AK$9:$AR$9)*IF($E102="CABA",'Parametros'!F$7,IF($E102="PBA",1-'Parametros'!F$7,1))</f>
        <v/>
      </c>
      <c r="K102" s="21">
        <f>SUMPRODUCT($AK102:$AR102,$AK$10:$AR$10)*IF($E102="CABA",'Parametros'!G$7,IF($E102="PBA",1-'Parametros'!G$7,1))</f>
        <v/>
      </c>
      <c r="L102" s="21">
        <f>SUMPRODUCT($AK102:$AR102,$AK$11:$AR$11)*IF($E102="CABA",'Parametros'!H$7,IF($E102="PBA",1-'Parametros'!H$7,1))</f>
        <v/>
      </c>
      <c r="M102" s="21">
        <f>SUMPRODUCT($AK102:$AR102,$AK$12:$AR$12)*IF($E102="CABA",'Parametros'!I$7,IF($E102="PBA",1-'Parametros'!I$7,1))</f>
        <v/>
      </c>
      <c r="N102" s="21">
        <f>SUMPRODUCT($AK102:$AR102,$AK$13:$AR$13)*IF($E102="CABA",'Parametros'!J$7,IF($E102="PBA",1-'Parametros'!J$7,1))</f>
        <v/>
      </c>
      <c r="O102" s="21">
        <f>SUMPRODUCT($AK102:$AR102,$AK$14:$AR$14)*IF($E102="CABA",'Parametros'!K$7,IF($E102="PBA",1-'Parametros'!K$7,1))</f>
        <v/>
      </c>
      <c r="AN102" s="22" t="n">
        <v>1</v>
      </c>
    </row>
    <row r="103">
      <c r="A103" s="2" t="inlineStr">
        <is>
          <t>Caja de cartón corrugado simple — 163 × 107 × 348 interior (envolvente del plano + 15 por lado)</t>
        </is>
      </c>
      <c r="B103" s="2" t="inlineStr">
        <is>
          <t>u</t>
        </is>
      </c>
      <c r="C103" s="2" t="inlineStr">
        <is>
          <t>Embalaje</t>
        </is>
      </c>
      <c r="D103" s="2" t="inlineStr">
        <is>
          <t>Maxipack</t>
        </is>
      </c>
      <c r="E103" s="2" t="inlineStr">
        <is>
          <t>Todos</t>
        </is>
      </c>
      <c r="F103" s="21">
        <f>SUMPRODUCT($AK103:$AR103,$AK$5:$AR$5)*IF($E103="CABA",'Parametros'!B$7,IF($E103="PBA",1-'Parametros'!B$7,1))</f>
        <v/>
      </c>
      <c r="G103" s="21">
        <f>SUMPRODUCT($AK103:$AR103,$AK$6:$AR$6)*IF($E103="CABA",'Parametros'!C$7,IF($E103="PBA",1-'Parametros'!C$7,1))</f>
        <v/>
      </c>
      <c r="H103" s="21">
        <f>SUMPRODUCT($AK103:$AR103,$AK$7:$AR$7)*IF($E103="CABA",'Parametros'!D$7,IF($E103="PBA",1-'Parametros'!D$7,1))</f>
        <v/>
      </c>
      <c r="I103" s="21">
        <f>SUMPRODUCT($AK103:$AR103,$AK$8:$AR$8)*IF($E103="CABA",'Parametros'!E$7,IF($E103="PBA",1-'Parametros'!E$7,1))</f>
        <v/>
      </c>
      <c r="J103" s="21">
        <f>SUMPRODUCT($AK103:$AR103,$AK$9:$AR$9)*IF($E103="CABA",'Parametros'!F$7,IF($E103="PBA",1-'Parametros'!F$7,1))</f>
        <v/>
      </c>
      <c r="K103" s="21">
        <f>SUMPRODUCT($AK103:$AR103,$AK$10:$AR$10)*IF($E103="CABA",'Parametros'!G$7,IF($E103="PBA",1-'Parametros'!G$7,1))</f>
        <v/>
      </c>
      <c r="L103" s="21">
        <f>SUMPRODUCT($AK103:$AR103,$AK$11:$AR$11)*IF($E103="CABA",'Parametros'!H$7,IF($E103="PBA",1-'Parametros'!H$7,1))</f>
        <v/>
      </c>
      <c r="M103" s="21">
        <f>SUMPRODUCT($AK103:$AR103,$AK$12:$AR$12)*IF($E103="CABA",'Parametros'!I$7,IF($E103="PBA",1-'Parametros'!I$7,1))</f>
        <v/>
      </c>
      <c r="N103" s="21">
        <f>SUMPRODUCT($AK103:$AR103,$AK$13:$AR$13)*IF($E103="CABA",'Parametros'!J$7,IF($E103="PBA",1-'Parametros'!J$7,1))</f>
        <v/>
      </c>
      <c r="O103" s="21">
        <f>SUMPRODUCT($AK103:$AR103,$AK$14:$AR$14)*IF($E103="CABA",'Parametros'!K$7,IF($E103="PBA",1-'Parametros'!K$7,1))</f>
        <v/>
      </c>
      <c r="AK103" s="22" t="n">
        <v>1</v>
      </c>
    </row>
    <row r="104">
      <c r="A104" s="2" t="inlineStr">
        <is>
          <t>Caja de cartón corrugado simple — 232 × 157 × 379 interior (envolvente del plano + 15 por lado)</t>
        </is>
      </c>
      <c r="B104" s="2" t="inlineStr">
        <is>
          <t>u</t>
        </is>
      </c>
      <c r="C104" s="2" t="inlineStr">
        <is>
          <t>Embalaje</t>
        </is>
      </c>
      <c r="D104" s="2" t="inlineStr">
        <is>
          <t>Maxipack</t>
        </is>
      </c>
      <c r="E104" s="2" t="inlineStr">
        <is>
          <t>Todos</t>
        </is>
      </c>
      <c r="F104" s="21">
        <f>SUMPRODUCT($AK104:$AR104,$AK$5:$AR$5)*IF($E104="CABA",'Parametros'!B$7,IF($E104="PBA",1-'Parametros'!B$7,1))</f>
        <v/>
      </c>
      <c r="G104" s="21">
        <f>SUMPRODUCT($AK104:$AR104,$AK$6:$AR$6)*IF($E104="CABA",'Parametros'!C$7,IF($E104="PBA",1-'Parametros'!C$7,1))</f>
        <v/>
      </c>
      <c r="H104" s="21">
        <f>SUMPRODUCT($AK104:$AR104,$AK$7:$AR$7)*IF($E104="CABA",'Parametros'!D$7,IF($E104="PBA",1-'Parametros'!D$7,1))</f>
        <v/>
      </c>
      <c r="I104" s="21">
        <f>SUMPRODUCT($AK104:$AR104,$AK$8:$AR$8)*IF($E104="CABA",'Parametros'!E$7,IF($E104="PBA",1-'Parametros'!E$7,1))</f>
        <v/>
      </c>
      <c r="J104" s="21">
        <f>SUMPRODUCT($AK104:$AR104,$AK$9:$AR$9)*IF($E104="CABA",'Parametros'!F$7,IF($E104="PBA",1-'Parametros'!F$7,1))</f>
        <v/>
      </c>
      <c r="K104" s="21">
        <f>SUMPRODUCT($AK104:$AR104,$AK$10:$AR$10)*IF($E104="CABA",'Parametros'!G$7,IF($E104="PBA",1-'Parametros'!G$7,1))</f>
        <v/>
      </c>
      <c r="L104" s="21">
        <f>SUMPRODUCT($AK104:$AR104,$AK$11:$AR$11)*IF($E104="CABA",'Parametros'!H$7,IF($E104="PBA",1-'Parametros'!H$7,1))</f>
        <v/>
      </c>
      <c r="M104" s="21">
        <f>SUMPRODUCT($AK104:$AR104,$AK$12:$AR$12)*IF($E104="CABA",'Parametros'!I$7,IF($E104="PBA",1-'Parametros'!I$7,1))</f>
        <v/>
      </c>
      <c r="N104" s="21">
        <f>SUMPRODUCT($AK104:$AR104,$AK$13:$AR$13)*IF($E104="CABA",'Parametros'!J$7,IF($E104="PBA",1-'Parametros'!J$7,1))</f>
        <v/>
      </c>
      <c r="O104" s="21">
        <f>SUMPRODUCT($AK104:$AR104,$AK$14:$AR$14)*IF($E104="CABA",'Parametros'!K$7,IF($E104="PBA",1-'Parametros'!K$7,1))</f>
        <v/>
      </c>
      <c r="AL104" s="22" t="n">
        <v>1</v>
      </c>
    </row>
    <row r="105">
      <c r="A105" s="2" t="inlineStr">
        <is>
          <t>Caja de cartón corrugado simple — 247 × 186 × 455 interior (envolvente del plano + 15 por lado)</t>
        </is>
      </c>
      <c r="B105" s="2" t="inlineStr">
        <is>
          <t>u</t>
        </is>
      </c>
      <c r="C105" s="2" t="inlineStr">
        <is>
          <t>Embalaje</t>
        </is>
      </c>
      <c r="D105" s="2" t="inlineStr">
        <is>
          <t>Maxipack</t>
        </is>
      </c>
      <c r="E105" s="2" t="inlineStr">
        <is>
          <t>Todos</t>
        </is>
      </c>
      <c r="F105" s="21">
        <f>SUMPRODUCT($AK105:$AR105,$AK$5:$AR$5)*IF($E105="CABA",'Parametros'!B$7,IF($E105="PBA",1-'Parametros'!B$7,1))</f>
        <v/>
      </c>
      <c r="G105" s="21">
        <f>SUMPRODUCT($AK105:$AR105,$AK$6:$AR$6)*IF($E105="CABA",'Parametros'!C$7,IF($E105="PBA",1-'Parametros'!C$7,1))</f>
        <v/>
      </c>
      <c r="H105" s="21">
        <f>SUMPRODUCT($AK105:$AR105,$AK$7:$AR$7)*IF($E105="CABA",'Parametros'!D$7,IF($E105="PBA",1-'Parametros'!D$7,1))</f>
        <v/>
      </c>
      <c r="I105" s="21">
        <f>SUMPRODUCT($AK105:$AR105,$AK$8:$AR$8)*IF($E105="CABA",'Parametros'!E$7,IF($E105="PBA",1-'Parametros'!E$7,1))</f>
        <v/>
      </c>
      <c r="J105" s="21">
        <f>SUMPRODUCT($AK105:$AR105,$AK$9:$AR$9)*IF($E105="CABA",'Parametros'!F$7,IF($E105="PBA",1-'Parametros'!F$7,1))</f>
        <v/>
      </c>
      <c r="K105" s="21">
        <f>SUMPRODUCT($AK105:$AR105,$AK$10:$AR$10)*IF($E105="CABA",'Parametros'!G$7,IF($E105="PBA",1-'Parametros'!G$7,1))</f>
        <v/>
      </c>
      <c r="L105" s="21">
        <f>SUMPRODUCT($AK105:$AR105,$AK$11:$AR$11)*IF($E105="CABA",'Parametros'!H$7,IF($E105="PBA",1-'Parametros'!H$7,1))</f>
        <v/>
      </c>
      <c r="M105" s="21">
        <f>SUMPRODUCT($AK105:$AR105,$AK$12:$AR$12)*IF($E105="CABA",'Parametros'!I$7,IF($E105="PBA",1-'Parametros'!I$7,1))</f>
        <v/>
      </c>
      <c r="N105" s="21">
        <f>SUMPRODUCT($AK105:$AR105,$AK$13:$AR$13)*IF($E105="CABA",'Parametros'!J$7,IF($E105="PBA",1-'Parametros'!J$7,1))</f>
        <v/>
      </c>
      <c r="O105" s="21">
        <f>SUMPRODUCT($AK105:$AR105,$AK$14:$AR$14)*IF($E105="CABA",'Parametros'!K$7,IF($E105="PBA",1-'Parametros'!K$7,1))</f>
        <v/>
      </c>
      <c r="AM105" s="22" t="n">
        <v>1</v>
      </c>
    </row>
    <row r="106">
      <c r="A106" s="23" t="inlineStr">
        <is>
          <t>Cinta de embalaje PP 48 mm (cierre de la caja)</t>
        </is>
      </c>
      <c r="B106" s="23" t="inlineStr">
        <is>
          <t>m</t>
        </is>
      </c>
      <c r="C106" s="23" t="inlineStr">
        <is>
          <t>Embalaje</t>
        </is>
      </c>
      <c r="D106" s="23" t="inlineStr">
        <is>
          <t>MV Embalajes</t>
        </is>
      </c>
      <c r="E106" s="23" t="inlineStr">
        <is>
          <t>Todos</t>
        </is>
      </c>
      <c r="F106" s="21">
        <f>SUMPRODUCT($AK106:$AR106,$AK$5:$AR$5)*IF($E106="CABA",'Parametros'!B$7,IF($E106="PBA",1-'Parametros'!B$7,1))</f>
        <v/>
      </c>
      <c r="G106" s="21">
        <f>SUMPRODUCT($AK106:$AR106,$AK$6:$AR$6)*IF($E106="CABA",'Parametros'!C$7,IF($E106="PBA",1-'Parametros'!C$7,1))</f>
        <v/>
      </c>
      <c r="H106" s="21">
        <f>SUMPRODUCT($AK106:$AR106,$AK$7:$AR$7)*IF($E106="CABA",'Parametros'!D$7,IF($E106="PBA",1-'Parametros'!D$7,1))</f>
        <v/>
      </c>
      <c r="I106" s="21">
        <f>SUMPRODUCT($AK106:$AR106,$AK$8:$AR$8)*IF($E106="CABA",'Parametros'!E$7,IF($E106="PBA",1-'Parametros'!E$7,1))</f>
        <v/>
      </c>
      <c r="J106" s="21">
        <f>SUMPRODUCT($AK106:$AR106,$AK$9:$AR$9)*IF($E106="CABA",'Parametros'!F$7,IF($E106="PBA",1-'Parametros'!F$7,1))</f>
        <v/>
      </c>
      <c r="K106" s="21">
        <f>SUMPRODUCT($AK106:$AR106,$AK$10:$AR$10)*IF($E106="CABA",'Parametros'!G$7,IF($E106="PBA",1-'Parametros'!G$7,1))</f>
        <v/>
      </c>
      <c r="L106" s="21">
        <f>SUMPRODUCT($AK106:$AR106,$AK$11:$AR$11)*IF($E106="CABA",'Parametros'!H$7,IF($E106="PBA",1-'Parametros'!H$7,1))</f>
        <v/>
      </c>
      <c r="M106" s="21">
        <f>SUMPRODUCT($AK106:$AR106,$AK$12:$AR$12)*IF($E106="CABA",'Parametros'!I$7,IF($E106="PBA",1-'Parametros'!I$7,1))</f>
        <v/>
      </c>
      <c r="N106" s="21">
        <f>SUMPRODUCT($AK106:$AR106,$AK$13:$AR$13)*IF($E106="CABA",'Parametros'!J$7,IF($E106="PBA",1-'Parametros'!J$7,1))</f>
        <v/>
      </c>
      <c r="O106" s="21">
        <f>SUMPRODUCT($AK106:$AR106,$AK$14:$AR$14)*IF($E106="CABA",'Parametros'!K$7,IF($E106="PBA",1-'Parametros'!K$7,1))</f>
        <v/>
      </c>
      <c r="AK106" s="22" t="n">
        <v>0.607</v>
      </c>
      <c r="AL106" s="22" t="n">
        <v>0.744</v>
      </c>
      <c r="AM106" s="22" t="n">
        <v>0.773</v>
      </c>
      <c r="AN106" s="22" t="n">
        <v>0.802</v>
      </c>
    </row>
    <row r="107">
      <c r="A107" s="2" t="inlineStr">
        <is>
          <t>Esquineros de cartón 50 × 50 × 1200 (fracción del pallet)</t>
        </is>
      </c>
      <c r="B107" s="2" t="inlineStr">
        <is>
          <t>u</t>
        </is>
      </c>
      <c r="C107" s="2" t="inlineStr">
        <is>
          <t>Embalaje</t>
        </is>
      </c>
      <c r="D107" s="2" t="inlineStr">
        <is>
          <t>Maxipack</t>
        </is>
      </c>
      <c r="E107" s="2" t="inlineStr">
        <is>
          <t>Todos</t>
        </is>
      </c>
      <c r="F107" s="21">
        <f>SUMPRODUCT($AK107:$AR107,$AK$5:$AR$5)*IF($E107="CABA",'Parametros'!B$7,IF($E107="PBA",1-'Parametros'!B$7,1))</f>
        <v/>
      </c>
      <c r="G107" s="21">
        <f>SUMPRODUCT($AK107:$AR107,$AK$6:$AR$6)*IF($E107="CABA",'Parametros'!C$7,IF($E107="PBA",1-'Parametros'!C$7,1))</f>
        <v/>
      </c>
      <c r="H107" s="21">
        <f>SUMPRODUCT($AK107:$AR107,$AK$7:$AR$7)*IF($E107="CABA",'Parametros'!D$7,IF($E107="PBA",1-'Parametros'!D$7,1))</f>
        <v/>
      </c>
      <c r="I107" s="21">
        <f>SUMPRODUCT($AK107:$AR107,$AK$8:$AR$8)*IF($E107="CABA",'Parametros'!E$7,IF($E107="PBA",1-'Parametros'!E$7,1))</f>
        <v/>
      </c>
      <c r="J107" s="21">
        <f>SUMPRODUCT($AK107:$AR107,$AK$9:$AR$9)*IF($E107="CABA",'Parametros'!F$7,IF($E107="PBA",1-'Parametros'!F$7,1))</f>
        <v/>
      </c>
      <c r="K107" s="21">
        <f>SUMPRODUCT($AK107:$AR107,$AK$10:$AR$10)*IF($E107="CABA",'Parametros'!G$7,IF($E107="PBA",1-'Parametros'!G$7,1))</f>
        <v/>
      </c>
      <c r="L107" s="21">
        <f>SUMPRODUCT($AK107:$AR107,$AK$11:$AR$11)*IF($E107="CABA",'Parametros'!H$7,IF($E107="PBA",1-'Parametros'!H$7,1))</f>
        <v/>
      </c>
      <c r="M107" s="21">
        <f>SUMPRODUCT($AK107:$AR107,$AK$12:$AR$12)*IF($E107="CABA",'Parametros'!I$7,IF($E107="PBA",1-'Parametros'!I$7,1))</f>
        <v/>
      </c>
      <c r="N107" s="21">
        <f>SUMPRODUCT($AK107:$AR107,$AK$13:$AR$13)*IF($E107="CABA",'Parametros'!J$7,IF($E107="PBA",1-'Parametros'!J$7,1))</f>
        <v/>
      </c>
      <c r="O107" s="21">
        <f>SUMPRODUCT($AK107:$AR107,$AK$14:$AR$14)*IF($E107="CABA",'Parametros'!K$7,IF($E107="PBA",1-'Parametros'!K$7,1))</f>
        <v/>
      </c>
      <c r="AK107" s="22" t="n">
        <v>0.0152</v>
      </c>
      <c r="AL107" s="22" t="n">
        <v>0.0444</v>
      </c>
      <c r="AM107" s="22" t="n">
        <v>0.0556</v>
      </c>
      <c r="AN107" s="22" t="n">
        <v>0.125</v>
      </c>
    </row>
    <row r="108">
      <c r="A108" s="2" t="inlineStr">
        <is>
          <t>Esquineros y funda de polietileno — a medida de la envolvente del plano</t>
        </is>
      </c>
      <c r="B108" s="2" t="inlineStr">
        <is>
          <t>jgo</t>
        </is>
      </c>
      <c r="C108" s="2" t="inlineStr">
        <is>
          <t>Embalaje</t>
        </is>
      </c>
      <c r="D108" s="2" t="inlineStr">
        <is>
          <t>MV Embalajes</t>
        </is>
      </c>
      <c r="E108" s="2" t="inlineStr">
        <is>
          <t>Todos</t>
        </is>
      </c>
      <c r="F108" s="21">
        <f>SUMPRODUCT($AK108:$AR108,$AK$5:$AR$5)*IF($E108="CABA",'Parametros'!B$7,IF($E108="PBA",1-'Parametros'!B$7,1))</f>
        <v/>
      </c>
      <c r="G108" s="21">
        <f>SUMPRODUCT($AK108:$AR108,$AK$6:$AR$6)*IF($E108="CABA",'Parametros'!C$7,IF($E108="PBA",1-'Parametros'!C$7,1))</f>
        <v/>
      </c>
      <c r="H108" s="21">
        <f>SUMPRODUCT($AK108:$AR108,$AK$7:$AR$7)*IF($E108="CABA",'Parametros'!D$7,IF($E108="PBA",1-'Parametros'!D$7,1))</f>
        <v/>
      </c>
      <c r="I108" s="21">
        <f>SUMPRODUCT($AK108:$AR108,$AK$8:$AR$8)*IF($E108="CABA",'Parametros'!E$7,IF($E108="PBA",1-'Parametros'!E$7,1))</f>
        <v/>
      </c>
      <c r="J108" s="21">
        <f>SUMPRODUCT($AK108:$AR108,$AK$9:$AR$9)*IF($E108="CABA",'Parametros'!F$7,IF($E108="PBA",1-'Parametros'!F$7,1))</f>
        <v/>
      </c>
      <c r="K108" s="21">
        <f>SUMPRODUCT($AK108:$AR108,$AK$10:$AR$10)*IF($E108="CABA",'Parametros'!G$7,IF($E108="PBA",1-'Parametros'!G$7,1))</f>
        <v/>
      </c>
      <c r="L108" s="21">
        <f>SUMPRODUCT($AK108:$AR108,$AK$11:$AR$11)*IF($E108="CABA",'Parametros'!H$7,IF($E108="PBA",1-'Parametros'!H$7,1))</f>
        <v/>
      </c>
      <c r="M108" s="21">
        <f>SUMPRODUCT($AK108:$AR108,$AK$12:$AR$12)*IF($E108="CABA",'Parametros'!I$7,IF($E108="PBA",1-'Parametros'!I$7,1))</f>
        <v/>
      </c>
      <c r="N108" s="21">
        <f>SUMPRODUCT($AK108:$AR108,$AK$13:$AR$13)*IF($E108="CABA",'Parametros'!J$7,IF($E108="PBA",1-'Parametros'!J$7,1))</f>
        <v/>
      </c>
      <c r="O108" s="21">
        <f>SUMPRODUCT($AK108:$AR108,$AK$14:$AR$14)*IF($E108="CABA",'Parametros'!K$7,IF($E108="PBA",1-'Parametros'!K$7,1))</f>
        <v/>
      </c>
      <c r="AO108" s="22" t="n">
        <v>1</v>
      </c>
      <c r="AP108" s="22" t="n">
        <v>1</v>
      </c>
      <c r="AQ108" s="22" t="n">
        <v>1</v>
      </c>
      <c r="AR108" s="22" t="n">
        <v>1</v>
      </c>
    </row>
    <row r="109">
      <c r="A109" s="2" t="inlineStr">
        <is>
          <t>Etiqueta de pallet (lote y destino, fracción)</t>
        </is>
      </c>
      <c r="B109" s="2" t="inlineStr">
        <is>
          <t>u</t>
        </is>
      </c>
      <c r="C109" s="2" t="inlineStr">
        <is>
          <t>Embalaje</t>
        </is>
      </c>
      <c r="D109" s="2" t="inlineStr">
        <is>
          <t>Astuprint</t>
        </is>
      </c>
      <c r="E109" s="2" t="inlineStr">
        <is>
          <t>Todos</t>
        </is>
      </c>
      <c r="F109" s="21">
        <f>SUMPRODUCT($AK109:$AR109,$AK$5:$AR$5)*IF($E109="CABA",'Parametros'!B$7,IF($E109="PBA",1-'Parametros'!B$7,1))</f>
        <v/>
      </c>
      <c r="G109" s="21">
        <f>SUMPRODUCT($AK109:$AR109,$AK$6:$AR$6)*IF($E109="CABA",'Parametros'!C$7,IF($E109="PBA",1-'Parametros'!C$7,1))</f>
        <v/>
      </c>
      <c r="H109" s="21">
        <f>SUMPRODUCT($AK109:$AR109,$AK$7:$AR$7)*IF($E109="CABA",'Parametros'!D$7,IF($E109="PBA",1-'Parametros'!D$7,1))</f>
        <v/>
      </c>
      <c r="I109" s="21">
        <f>SUMPRODUCT($AK109:$AR109,$AK$8:$AR$8)*IF($E109="CABA",'Parametros'!E$7,IF($E109="PBA",1-'Parametros'!E$7,1))</f>
        <v/>
      </c>
      <c r="J109" s="21">
        <f>SUMPRODUCT($AK109:$AR109,$AK$9:$AR$9)*IF($E109="CABA",'Parametros'!F$7,IF($E109="PBA",1-'Parametros'!F$7,1))</f>
        <v/>
      </c>
      <c r="K109" s="21">
        <f>SUMPRODUCT($AK109:$AR109,$AK$10:$AR$10)*IF($E109="CABA",'Parametros'!G$7,IF($E109="PBA",1-'Parametros'!G$7,1))</f>
        <v/>
      </c>
      <c r="L109" s="21">
        <f>SUMPRODUCT($AK109:$AR109,$AK$11:$AR$11)*IF($E109="CABA",'Parametros'!H$7,IF($E109="PBA",1-'Parametros'!H$7,1))</f>
        <v/>
      </c>
      <c r="M109" s="21">
        <f>SUMPRODUCT($AK109:$AR109,$AK$12:$AR$12)*IF($E109="CABA",'Parametros'!I$7,IF($E109="PBA",1-'Parametros'!I$7,1))</f>
        <v/>
      </c>
      <c r="N109" s="21">
        <f>SUMPRODUCT($AK109:$AR109,$AK$13:$AR$13)*IF($E109="CABA",'Parametros'!J$7,IF($E109="PBA",1-'Parametros'!J$7,1))</f>
        <v/>
      </c>
      <c r="O109" s="21">
        <f>SUMPRODUCT($AK109:$AR109,$AK$14:$AR$14)*IF($E109="CABA",'Parametros'!K$7,IF($E109="PBA",1-'Parametros'!K$7,1))</f>
        <v/>
      </c>
      <c r="AK109" s="22" t="n">
        <v>0.0038</v>
      </c>
      <c r="AL109" s="22" t="n">
        <v>0.0111</v>
      </c>
      <c r="AM109" s="22" t="n">
        <v>0.0139</v>
      </c>
      <c r="AN109" s="22" t="n">
        <v>0.0312</v>
      </c>
      <c r="AO109" s="22" t="n">
        <v>0.5</v>
      </c>
      <c r="AP109" s="22" t="n">
        <v>0.5</v>
      </c>
      <c r="AQ109" s="22" t="n">
        <v>0.5</v>
      </c>
      <c r="AR109" s="22" t="n">
        <v>1</v>
      </c>
    </row>
    <row r="110">
      <c r="A110" s="23" t="inlineStr">
        <is>
          <t>Film stretch (fracción del pallet)</t>
        </is>
      </c>
      <c r="B110" s="23" t="inlineStr">
        <is>
          <t>kg</t>
        </is>
      </c>
      <c r="C110" s="23" t="inlineStr">
        <is>
          <t>Embalaje</t>
        </is>
      </c>
      <c r="D110" s="23" t="inlineStr">
        <is>
          <t>MV Embalajes</t>
        </is>
      </c>
      <c r="E110" s="23" t="inlineStr">
        <is>
          <t>Todos</t>
        </is>
      </c>
      <c r="F110" s="21">
        <f>SUMPRODUCT($AK110:$AR110,$AK$5:$AR$5)*IF($E110="CABA",'Parametros'!B$7,IF($E110="PBA",1-'Parametros'!B$7,1))</f>
        <v/>
      </c>
      <c r="G110" s="21">
        <f>SUMPRODUCT($AK110:$AR110,$AK$6:$AR$6)*IF($E110="CABA",'Parametros'!C$7,IF($E110="PBA",1-'Parametros'!C$7,1))</f>
        <v/>
      </c>
      <c r="H110" s="21">
        <f>SUMPRODUCT($AK110:$AR110,$AK$7:$AR$7)*IF($E110="CABA",'Parametros'!D$7,IF($E110="PBA",1-'Parametros'!D$7,1))</f>
        <v/>
      </c>
      <c r="I110" s="21">
        <f>SUMPRODUCT($AK110:$AR110,$AK$8:$AR$8)*IF($E110="CABA",'Parametros'!E$7,IF($E110="PBA",1-'Parametros'!E$7,1))</f>
        <v/>
      </c>
      <c r="J110" s="21">
        <f>SUMPRODUCT($AK110:$AR110,$AK$9:$AR$9)*IF($E110="CABA",'Parametros'!F$7,IF($E110="PBA",1-'Parametros'!F$7,1))</f>
        <v/>
      </c>
      <c r="K110" s="21">
        <f>SUMPRODUCT($AK110:$AR110,$AK$10:$AR$10)*IF($E110="CABA",'Parametros'!G$7,IF($E110="PBA",1-'Parametros'!G$7,1))</f>
        <v/>
      </c>
      <c r="L110" s="21">
        <f>SUMPRODUCT($AK110:$AR110,$AK$11:$AR$11)*IF($E110="CABA",'Parametros'!H$7,IF($E110="PBA",1-'Parametros'!H$7,1))</f>
        <v/>
      </c>
      <c r="M110" s="21">
        <f>SUMPRODUCT($AK110:$AR110,$AK$12:$AR$12)*IF($E110="CABA",'Parametros'!I$7,IF($E110="PBA",1-'Parametros'!I$7,1))</f>
        <v/>
      </c>
      <c r="N110" s="21">
        <f>SUMPRODUCT($AK110:$AR110,$AK$13:$AR$13)*IF($E110="CABA",'Parametros'!J$7,IF($E110="PBA",1-'Parametros'!J$7,1))</f>
        <v/>
      </c>
      <c r="O110" s="21">
        <f>SUMPRODUCT($AK110:$AR110,$AK$14:$AR$14)*IF($E110="CABA",'Parametros'!K$7,IF($E110="PBA",1-'Parametros'!K$7,1))</f>
        <v/>
      </c>
      <c r="AK110" s="22" t="n">
        <v>0.0005</v>
      </c>
      <c r="AL110" s="22" t="n">
        <v>0.0013</v>
      </c>
      <c r="AM110" s="22" t="n">
        <v>0.0017</v>
      </c>
      <c r="AN110" s="22" t="n">
        <v>0.0037</v>
      </c>
      <c r="AO110" s="22" t="n">
        <v>0.06</v>
      </c>
      <c r="AP110" s="22" t="n">
        <v>0.06</v>
      </c>
      <c r="AQ110" s="22" t="n">
        <v>0.06</v>
      </c>
      <c r="AR110" s="22" t="n">
        <v>0.12</v>
      </c>
    </row>
    <row r="111">
      <c r="A111" s="2" t="inlineStr">
        <is>
          <t>Instructivo de uso y mantenimiento</t>
        </is>
      </c>
      <c r="B111" s="2" t="inlineStr">
        <is>
          <t>u</t>
        </is>
      </c>
      <c r="C111" s="2" t="inlineStr">
        <is>
          <t>Embalaje</t>
        </is>
      </c>
      <c r="D111" s="2" t="inlineStr">
        <is>
          <t>Astuprint</t>
        </is>
      </c>
      <c r="E111" s="2" t="inlineStr">
        <is>
          <t>Todos</t>
        </is>
      </c>
      <c r="F111" s="21">
        <f>SUMPRODUCT($AK111:$AR111,$AK$5:$AR$5)*IF($E111="CABA",'Parametros'!B$7,IF($E111="PBA",1-'Parametros'!B$7,1))</f>
        <v/>
      </c>
      <c r="G111" s="21">
        <f>SUMPRODUCT($AK111:$AR111,$AK$6:$AR$6)*IF($E111="CABA",'Parametros'!C$7,IF($E111="PBA",1-'Parametros'!C$7,1))</f>
        <v/>
      </c>
      <c r="H111" s="21">
        <f>SUMPRODUCT($AK111:$AR111,$AK$7:$AR$7)*IF($E111="CABA",'Parametros'!D$7,IF($E111="PBA",1-'Parametros'!D$7,1))</f>
        <v/>
      </c>
      <c r="I111" s="21">
        <f>SUMPRODUCT($AK111:$AR111,$AK$8:$AR$8)*IF($E111="CABA",'Parametros'!E$7,IF($E111="PBA",1-'Parametros'!E$7,1))</f>
        <v/>
      </c>
      <c r="J111" s="21">
        <f>SUMPRODUCT($AK111:$AR111,$AK$9:$AR$9)*IF($E111="CABA",'Parametros'!F$7,IF($E111="PBA",1-'Parametros'!F$7,1))</f>
        <v/>
      </c>
      <c r="K111" s="21">
        <f>SUMPRODUCT($AK111:$AR111,$AK$10:$AR$10)*IF($E111="CABA",'Parametros'!G$7,IF($E111="PBA",1-'Parametros'!G$7,1))</f>
        <v/>
      </c>
      <c r="L111" s="21">
        <f>SUMPRODUCT($AK111:$AR111,$AK$11:$AR$11)*IF($E111="CABA",'Parametros'!H$7,IF($E111="PBA",1-'Parametros'!H$7,1))</f>
        <v/>
      </c>
      <c r="M111" s="21">
        <f>SUMPRODUCT($AK111:$AR111,$AK$12:$AR$12)*IF($E111="CABA",'Parametros'!I$7,IF($E111="PBA",1-'Parametros'!I$7,1))</f>
        <v/>
      </c>
      <c r="N111" s="21">
        <f>SUMPRODUCT($AK111:$AR111,$AK$13:$AR$13)*IF($E111="CABA",'Parametros'!J$7,IF($E111="PBA",1-'Parametros'!J$7,1))</f>
        <v/>
      </c>
      <c r="O111" s="21">
        <f>SUMPRODUCT($AK111:$AR111,$AK$14:$AR$14)*IF($E111="CABA",'Parametros'!K$7,IF($E111="PBA",1-'Parametros'!K$7,1))</f>
        <v/>
      </c>
      <c r="AK111" s="22" t="n">
        <v>1</v>
      </c>
      <c r="AL111" s="22" t="n">
        <v>1</v>
      </c>
      <c r="AM111" s="22" t="n">
        <v>1</v>
      </c>
      <c r="AN111" s="22" t="n">
        <v>1</v>
      </c>
    </row>
    <row r="112">
      <c r="A112" s="2" t="inlineStr">
        <is>
          <t>Pallet 1200 × 1000 (fracción)</t>
        </is>
      </c>
      <c r="B112" s="2" t="inlineStr">
        <is>
          <t>u</t>
        </is>
      </c>
      <c r="C112" s="2" t="inlineStr">
        <is>
          <t>Embalaje</t>
        </is>
      </c>
      <c r="D112" s="2" t="inlineStr">
        <is>
          <t>IndusPallets</t>
        </is>
      </c>
      <c r="E112" s="2" t="inlineStr">
        <is>
          <t>Todos</t>
        </is>
      </c>
      <c r="F112" s="21">
        <f>SUMPRODUCT($AK112:$AR112,$AK$5:$AR$5)*IF($E112="CABA",'Parametros'!B$7,IF($E112="PBA",1-'Parametros'!B$7,1))</f>
        <v/>
      </c>
      <c r="G112" s="21">
        <f>SUMPRODUCT($AK112:$AR112,$AK$6:$AR$6)*IF($E112="CABA",'Parametros'!C$7,IF($E112="PBA",1-'Parametros'!C$7,1))</f>
        <v/>
      </c>
      <c r="H112" s="21">
        <f>SUMPRODUCT($AK112:$AR112,$AK$7:$AR$7)*IF($E112="CABA",'Parametros'!D$7,IF($E112="PBA",1-'Parametros'!D$7,1))</f>
        <v/>
      </c>
      <c r="I112" s="21">
        <f>SUMPRODUCT($AK112:$AR112,$AK$8:$AR$8)*IF($E112="CABA",'Parametros'!E$7,IF($E112="PBA",1-'Parametros'!E$7,1))</f>
        <v/>
      </c>
      <c r="J112" s="21">
        <f>SUMPRODUCT($AK112:$AR112,$AK$9:$AR$9)*IF($E112="CABA",'Parametros'!F$7,IF($E112="PBA",1-'Parametros'!F$7,1))</f>
        <v/>
      </c>
      <c r="K112" s="21">
        <f>SUMPRODUCT($AK112:$AR112,$AK$10:$AR$10)*IF($E112="CABA",'Parametros'!G$7,IF($E112="PBA",1-'Parametros'!G$7,1))</f>
        <v/>
      </c>
      <c r="L112" s="21">
        <f>SUMPRODUCT($AK112:$AR112,$AK$11:$AR$11)*IF($E112="CABA",'Parametros'!H$7,IF($E112="PBA",1-'Parametros'!H$7,1))</f>
        <v/>
      </c>
      <c r="M112" s="21">
        <f>SUMPRODUCT($AK112:$AR112,$AK$12:$AR$12)*IF($E112="CABA",'Parametros'!I$7,IF($E112="PBA",1-'Parametros'!I$7,1))</f>
        <v/>
      </c>
      <c r="N112" s="21">
        <f>SUMPRODUCT($AK112:$AR112,$AK$13:$AR$13)*IF($E112="CABA",'Parametros'!J$7,IF($E112="PBA",1-'Parametros'!J$7,1))</f>
        <v/>
      </c>
      <c r="O112" s="21">
        <f>SUMPRODUCT($AK112:$AR112,$AK$14:$AR$14)*IF($E112="CABA",'Parametros'!K$7,IF($E112="PBA",1-'Parametros'!K$7,1))</f>
        <v/>
      </c>
      <c r="AK112" s="22" t="n">
        <v>0.0038</v>
      </c>
      <c r="AL112" s="22" t="n">
        <v>0.0111</v>
      </c>
      <c r="AM112" s="22" t="n">
        <v>0.0139</v>
      </c>
      <c r="AN112" s="22" t="n">
        <v>0.0312</v>
      </c>
      <c r="AO112" s="22" t="n">
        <v>0.5</v>
      </c>
      <c r="AP112" s="22" t="n">
        <v>0.5</v>
      </c>
      <c r="AQ112" s="22" t="n">
        <v>0.5</v>
      </c>
      <c r="AR112" s="22" t="n">
        <v>1</v>
      </c>
    </row>
  </sheetData>
  <autoFilter ref="A16:E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26"/>
  <sheetViews>
    <sheetView workbookViewId="0">
      <pane xSplit="5" ySplit="16" topLeftCell="F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22" customWidth="1" min="3" max="3"/>
    <col width="30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2" t="inlineStr">
        <is>
          <t>Requerimiento — matafuegos revendidos (compra del equipo terminado)</t>
        </is>
      </c>
    </row>
    <row r="2">
      <c r="A2" s="14" t="inlineStr">
        <is>
          <t>Sólo se compra el equipo terminado y, si va a CABA, la tarjeta AGC.</t>
        </is>
      </c>
    </row>
    <row r="4" ht="90" customHeight="1">
      <c r="AJ4" s="1" t="inlineStr">
        <is>
          <t>Demanda (u) →</t>
        </is>
      </c>
      <c r="AK4" s="17" t="inlineStr">
        <is>
          <t>AGUA_10l</t>
        </is>
      </c>
      <c r="AL4" s="17" t="inlineStr">
        <is>
          <t>AFFF_10l</t>
        </is>
      </c>
      <c r="AM4" s="17" t="inlineStr">
        <is>
          <t>AFFF_50l</t>
        </is>
      </c>
      <c r="AN4" s="17" t="inlineStr">
        <is>
          <t>BC_5kg</t>
        </is>
      </c>
      <c r="AO4" s="17" t="inlineStr">
        <is>
          <t>SALESK_6l</t>
        </is>
      </c>
      <c r="AP4" s="17" t="inlineStr">
        <is>
          <t>CO2_2kg</t>
        </is>
      </c>
      <c r="AQ4" s="17" t="inlineStr">
        <is>
          <t>CO2_5kg</t>
        </is>
      </c>
      <c r="AR4" s="17" t="inlineStr">
        <is>
          <t>HCFC-HFC_5kg</t>
        </is>
      </c>
      <c r="AS4" s="17" t="inlineStr">
        <is>
          <t>CLASED_9l</t>
        </is>
      </c>
    </row>
    <row r="5">
      <c r="AJ5" s="1">
        <f>'Demanda'!B3</f>
        <v/>
      </c>
      <c r="AK5" s="16">
        <f>'Demanda'!B16</f>
        <v/>
      </c>
      <c r="AL5" s="16">
        <f>'Demanda'!B17</f>
        <v/>
      </c>
      <c r="AM5" s="16">
        <f>'Demanda'!B18</f>
        <v/>
      </c>
      <c r="AN5" s="16">
        <f>'Demanda'!B19</f>
        <v/>
      </c>
      <c r="AO5" s="16">
        <f>'Demanda'!B20</f>
        <v/>
      </c>
      <c r="AP5" s="16">
        <f>'Demanda'!B21</f>
        <v/>
      </c>
      <c r="AQ5" s="16">
        <f>'Demanda'!B22</f>
        <v/>
      </c>
      <c r="AR5" s="16">
        <f>'Demanda'!B23</f>
        <v/>
      </c>
      <c r="AS5" s="16">
        <f>'Demanda'!B24</f>
        <v/>
      </c>
    </row>
    <row r="6">
      <c r="AJ6" s="1">
        <f>'Demanda'!C3</f>
        <v/>
      </c>
      <c r="AK6" s="16">
        <f>'Demanda'!C16</f>
        <v/>
      </c>
      <c r="AL6" s="16">
        <f>'Demanda'!C17</f>
        <v/>
      </c>
      <c r="AM6" s="16">
        <f>'Demanda'!C18</f>
        <v/>
      </c>
      <c r="AN6" s="16">
        <f>'Demanda'!C19</f>
        <v/>
      </c>
      <c r="AO6" s="16">
        <f>'Demanda'!C20</f>
        <v/>
      </c>
      <c r="AP6" s="16">
        <f>'Demanda'!C21</f>
        <v/>
      </c>
      <c r="AQ6" s="16">
        <f>'Demanda'!C22</f>
        <v/>
      </c>
      <c r="AR6" s="16">
        <f>'Demanda'!C23</f>
        <v/>
      </c>
      <c r="AS6" s="16">
        <f>'Demanda'!C24</f>
        <v/>
      </c>
    </row>
    <row r="7">
      <c r="AJ7" s="1">
        <f>'Demanda'!D3</f>
        <v/>
      </c>
      <c r="AK7" s="16">
        <f>'Demanda'!D16</f>
        <v/>
      </c>
      <c r="AL7" s="16">
        <f>'Demanda'!D17</f>
        <v/>
      </c>
      <c r="AM7" s="16">
        <f>'Demanda'!D18</f>
        <v/>
      </c>
      <c r="AN7" s="16">
        <f>'Demanda'!D19</f>
        <v/>
      </c>
      <c r="AO7" s="16">
        <f>'Demanda'!D20</f>
        <v/>
      </c>
      <c r="AP7" s="16">
        <f>'Demanda'!D21</f>
        <v/>
      </c>
      <c r="AQ7" s="16">
        <f>'Demanda'!D22</f>
        <v/>
      </c>
      <c r="AR7" s="16">
        <f>'Demanda'!D23</f>
        <v/>
      </c>
      <c r="AS7" s="16">
        <f>'Demanda'!D24</f>
        <v/>
      </c>
    </row>
    <row r="8">
      <c r="AJ8" s="1">
        <f>'Demanda'!E3</f>
        <v/>
      </c>
      <c r="AK8" s="16">
        <f>'Demanda'!E16</f>
        <v/>
      </c>
      <c r="AL8" s="16">
        <f>'Demanda'!E17</f>
        <v/>
      </c>
      <c r="AM8" s="16">
        <f>'Demanda'!E18</f>
        <v/>
      </c>
      <c r="AN8" s="16">
        <f>'Demanda'!E19</f>
        <v/>
      </c>
      <c r="AO8" s="16">
        <f>'Demanda'!E20</f>
        <v/>
      </c>
      <c r="AP8" s="16">
        <f>'Demanda'!E21</f>
        <v/>
      </c>
      <c r="AQ8" s="16">
        <f>'Demanda'!E22</f>
        <v/>
      </c>
      <c r="AR8" s="16">
        <f>'Demanda'!E23</f>
        <v/>
      </c>
      <c r="AS8" s="16">
        <f>'Demanda'!E24</f>
        <v/>
      </c>
    </row>
    <row r="9">
      <c r="AJ9" s="1">
        <f>'Demanda'!F3</f>
        <v/>
      </c>
      <c r="AK9" s="16">
        <f>'Demanda'!F16</f>
        <v/>
      </c>
      <c r="AL9" s="16">
        <f>'Demanda'!F17</f>
        <v/>
      </c>
      <c r="AM9" s="16">
        <f>'Demanda'!F18</f>
        <v/>
      </c>
      <c r="AN9" s="16">
        <f>'Demanda'!F19</f>
        <v/>
      </c>
      <c r="AO9" s="16">
        <f>'Demanda'!F20</f>
        <v/>
      </c>
      <c r="AP9" s="16">
        <f>'Demanda'!F21</f>
        <v/>
      </c>
      <c r="AQ9" s="16">
        <f>'Demanda'!F22</f>
        <v/>
      </c>
      <c r="AR9" s="16">
        <f>'Demanda'!F23</f>
        <v/>
      </c>
      <c r="AS9" s="16">
        <f>'Demanda'!F24</f>
        <v/>
      </c>
    </row>
    <row r="10">
      <c r="AJ10" s="1">
        <f>'Demanda'!G3</f>
        <v/>
      </c>
      <c r="AK10" s="16">
        <f>'Demanda'!G16</f>
        <v/>
      </c>
      <c r="AL10" s="16">
        <f>'Demanda'!G17</f>
        <v/>
      </c>
      <c r="AM10" s="16">
        <f>'Demanda'!G18</f>
        <v/>
      </c>
      <c r="AN10" s="16">
        <f>'Demanda'!G19</f>
        <v/>
      </c>
      <c r="AO10" s="16">
        <f>'Demanda'!G20</f>
        <v/>
      </c>
      <c r="AP10" s="16">
        <f>'Demanda'!G21</f>
        <v/>
      </c>
      <c r="AQ10" s="16">
        <f>'Demanda'!G22</f>
        <v/>
      </c>
      <c r="AR10" s="16">
        <f>'Demanda'!G23</f>
        <v/>
      </c>
      <c r="AS10" s="16">
        <f>'Demanda'!G24</f>
        <v/>
      </c>
    </row>
    <row r="11">
      <c r="AJ11" s="1">
        <f>'Demanda'!H3</f>
        <v/>
      </c>
      <c r="AK11" s="16">
        <f>'Demanda'!H16</f>
        <v/>
      </c>
      <c r="AL11" s="16">
        <f>'Demanda'!H17</f>
        <v/>
      </c>
      <c r="AM11" s="16">
        <f>'Demanda'!H18</f>
        <v/>
      </c>
      <c r="AN11" s="16">
        <f>'Demanda'!H19</f>
        <v/>
      </c>
      <c r="AO11" s="16">
        <f>'Demanda'!H20</f>
        <v/>
      </c>
      <c r="AP11" s="16">
        <f>'Demanda'!H21</f>
        <v/>
      </c>
      <c r="AQ11" s="16">
        <f>'Demanda'!H22</f>
        <v/>
      </c>
      <c r="AR11" s="16">
        <f>'Demanda'!H23</f>
        <v/>
      </c>
      <c r="AS11" s="16">
        <f>'Demanda'!H24</f>
        <v/>
      </c>
    </row>
    <row r="12">
      <c r="AJ12" s="1">
        <f>'Demanda'!I3</f>
        <v/>
      </c>
      <c r="AK12" s="16">
        <f>'Demanda'!I16</f>
        <v/>
      </c>
      <c r="AL12" s="16">
        <f>'Demanda'!I17</f>
        <v/>
      </c>
      <c r="AM12" s="16">
        <f>'Demanda'!I18</f>
        <v/>
      </c>
      <c r="AN12" s="16">
        <f>'Demanda'!I19</f>
        <v/>
      </c>
      <c r="AO12" s="16">
        <f>'Demanda'!I20</f>
        <v/>
      </c>
      <c r="AP12" s="16">
        <f>'Demanda'!I21</f>
        <v/>
      </c>
      <c r="AQ12" s="16">
        <f>'Demanda'!I22</f>
        <v/>
      </c>
      <c r="AR12" s="16">
        <f>'Demanda'!I23</f>
        <v/>
      </c>
      <c r="AS12" s="16">
        <f>'Demanda'!I24</f>
        <v/>
      </c>
    </row>
    <row r="13">
      <c r="AJ13" s="1">
        <f>'Demanda'!J3</f>
        <v/>
      </c>
      <c r="AK13" s="16">
        <f>'Demanda'!J16</f>
        <v/>
      </c>
      <c r="AL13" s="16">
        <f>'Demanda'!J17</f>
        <v/>
      </c>
      <c r="AM13" s="16">
        <f>'Demanda'!J18</f>
        <v/>
      </c>
      <c r="AN13" s="16">
        <f>'Demanda'!J19</f>
        <v/>
      </c>
      <c r="AO13" s="16">
        <f>'Demanda'!J20</f>
        <v/>
      </c>
      <c r="AP13" s="16">
        <f>'Demanda'!J21</f>
        <v/>
      </c>
      <c r="AQ13" s="16">
        <f>'Demanda'!J22</f>
        <v/>
      </c>
      <c r="AR13" s="16">
        <f>'Demanda'!J23</f>
        <v/>
      </c>
      <c r="AS13" s="16">
        <f>'Demanda'!J24</f>
        <v/>
      </c>
    </row>
    <row r="14">
      <c r="AJ14" s="1">
        <f>'Demanda'!K3</f>
        <v/>
      </c>
      <c r="AK14" s="16">
        <f>'Demanda'!K16</f>
        <v/>
      </c>
      <c r="AL14" s="16">
        <f>'Demanda'!K17</f>
        <v/>
      </c>
      <c r="AM14" s="16">
        <f>'Demanda'!K18</f>
        <v/>
      </c>
      <c r="AN14" s="16">
        <f>'Demanda'!K19</f>
        <v/>
      </c>
      <c r="AO14" s="16">
        <f>'Demanda'!K20</f>
        <v/>
      </c>
      <c r="AP14" s="16">
        <f>'Demanda'!K21</f>
        <v/>
      </c>
      <c r="AQ14" s="16">
        <f>'Demanda'!K22</f>
        <v/>
      </c>
      <c r="AR14" s="16">
        <f>'Demanda'!K23</f>
        <v/>
      </c>
      <c r="AS14" s="16">
        <f>'Demanda'!K24</f>
        <v/>
      </c>
    </row>
    <row r="16" ht="90" customHeight="1">
      <c r="A16" s="18" t="inlineStr">
        <is>
          <t>Ítem</t>
        </is>
      </c>
      <c r="B16" s="18" t="inlineStr">
        <is>
          <t>UM</t>
        </is>
      </c>
      <c r="C16" s="18" t="inlineStr">
        <is>
          <t>Rubro</t>
        </is>
      </c>
      <c r="D16" s="18" t="inlineStr">
        <is>
          <t>Proveedor principal</t>
        </is>
      </c>
      <c r="E16" s="18" t="inlineStr">
        <is>
          <t>Destino</t>
        </is>
      </c>
      <c r="F16" s="19">
        <f>'Demanda'!B3</f>
        <v/>
      </c>
      <c r="G16" s="19">
        <f>'Demanda'!C3</f>
        <v/>
      </c>
      <c r="H16" s="19">
        <f>'Demanda'!D3</f>
        <v/>
      </c>
      <c r="I16" s="19">
        <f>'Demanda'!E3</f>
        <v/>
      </c>
      <c r="J16" s="19">
        <f>'Demanda'!F3</f>
        <v/>
      </c>
      <c r="K16" s="19">
        <f>'Demanda'!G3</f>
        <v/>
      </c>
      <c r="L16" s="19">
        <f>'Demanda'!H3</f>
        <v/>
      </c>
      <c r="M16" s="19">
        <f>'Demanda'!I3</f>
        <v/>
      </c>
      <c r="N16" s="19">
        <f>'Demanda'!J3</f>
        <v/>
      </c>
      <c r="O16" s="19">
        <f>'Demanda'!K3</f>
        <v/>
      </c>
      <c r="AK16" s="20" t="inlineStr">
        <is>
          <t>coef. AGUA_10l</t>
        </is>
      </c>
      <c r="AL16" s="20" t="inlineStr">
        <is>
          <t>coef. AFFF_10l</t>
        </is>
      </c>
      <c r="AM16" s="20" t="inlineStr">
        <is>
          <t>coef. AFFF_50l</t>
        </is>
      </c>
      <c r="AN16" s="20" t="inlineStr">
        <is>
          <t>coef. BC_5kg</t>
        </is>
      </c>
      <c r="AO16" s="20" t="inlineStr">
        <is>
          <t>coef. SALESK_6l</t>
        </is>
      </c>
      <c r="AP16" s="20" t="inlineStr">
        <is>
          <t>coef. CO2_2kg</t>
        </is>
      </c>
      <c r="AQ16" s="20" t="inlineStr">
        <is>
          <t>coef. CO2_5kg</t>
        </is>
      </c>
      <c r="AR16" s="20" t="inlineStr">
        <is>
          <t>coef. HCFC-HFC_5kg</t>
        </is>
      </c>
      <c r="AS16" s="20" t="inlineStr">
        <is>
          <t>coef. CLASED_9l</t>
        </is>
      </c>
    </row>
    <row r="17">
      <c r="A17" s="2" t="inlineStr">
        <is>
          <t>Tarjeta de identificación AGC (CABA) — 140 × 55</t>
        </is>
      </c>
      <c r="B17" s="2" t="inlineStr">
        <is>
          <t>u</t>
        </is>
      </c>
      <c r="C17" s="2" t="inlineStr">
        <is>
          <t>Identificación</t>
        </is>
      </c>
      <c r="D17" s="2" t="inlineStr">
        <is>
          <t>Agencia Gubernamental de Control (CABA)</t>
        </is>
      </c>
      <c r="E17" s="2" t="inlineStr">
        <is>
          <t>CABA</t>
        </is>
      </c>
      <c r="F17" s="21">
        <f>SUMPRODUCT($AK17:$AS17,$AK$5:$AS$5)*IF($E17="CABA",'Parametros'!B$7,IF($E17="PBA",1-'Parametros'!B$7,1))</f>
        <v/>
      </c>
      <c r="G17" s="21">
        <f>SUMPRODUCT($AK17:$AS17,$AK$6:$AS$6)*IF($E17="CABA",'Parametros'!C$7,IF($E17="PBA",1-'Parametros'!C$7,1))</f>
        <v/>
      </c>
      <c r="H17" s="21">
        <f>SUMPRODUCT($AK17:$AS17,$AK$7:$AS$7)*IF($E17="CABA",'Parametros'!D$7,IF($E17="PBA",1-'Parametros'!D$7,1))</f>
        <v/>
      </c>
      <c r="I17" s="21">
        <f>SUMPRODUCT($AK17:$AS17,$AK$8:$AS$8)*IF($E17="CABA",'Parametros'!E$7,IF($E17="PBA",1-'Parametros'!E$7,1))</f>
        <v/>
      </c>
      <c r="J17" s="21">
        <f>SUMPRODUCT($AK17:$AS17,$AK$9:$AS$9)*IF($E17="CABA",'Parametros'!F$7,IF($E17="PBA",1-'Parametros'!F$7,1))</f>
        <v/>
      </c>
      <c r="K17" s="21">
        <f>SUMPRODUCT($AK17:$AS17,$AK$10:$AS$10)*IF($E17="CABA",'Parametros'!G$7,IF($E17="PBA",1-'Parametros'!G$7,1))</f>
        <v/>
      </c>
      <c r="L17" s="21">
        <f>SUMPRODUCT($AK17:$AS17,$AK$11:$AS$11)*IF($E17="CABA",'Parametros'!H$7,IF($E17="PBA",1-'Parametros'!H$7,1))</f>
        <v/>
      </c>
      <c r="M17" s="21">
        <f>SUMPRODUCT($AK17:$AS17,$AK$12:$AS$12)*IF($E17="CABA",'Parametros'!I$7,IF($E17="PBA",1-'Parametros'!I$7,1))</f>
        <v/>
      </c>
      <c r="N17" s="21">
        <f>SUMPRODUCT($AK17:$AS17,$AK$13:$AS$13)*IF($E17="CABA",'Parametros'!J$7,IF($E17="PBA",1-'Parametros'!J$7,1))</f>
        <v/>
      </c>
      <c r="O17" s="21">
        <f>SUMPRODUCT($AK17:$AS17,$AK$14:$AS$14)*IF($E17="CABA",'Parametros'!K$7,IF($E17="PBA",1-'Parametros'!K$7,1))</f>
        <v/>
      </c>
      <c r="AK17" s="22" t="n">
        <v>1</v>
      </c>
      <c r="AL17" s="22" t="n">
        <v>1</v>
      </c>
      <c r="AM17" s="22" t="n">
        <v>1</v>
      </c>
      <c r="AN17" s="22" t="n">
        <v>1</v>
      </c>
      <c r="AO17" s="22" t="n">
        <v>1</v>
      </c>
      <c r="AP17" s="22" t="n">
        <v>1</v>
      </c>
      <c r="AQ17" s="22" t="n">
        <v>1</v>
      </c>
      <c r="AR17" s="22" t="n">
        <v>1</v>
      </c>
      <c r="AS17" s="22" t="n">
        <v>1</v>
      </c>
    </row>
    <row r="18">
      <c r="A18" s="2" t="inlineStr">
        <is>
          <t>Equipo terminado comprado (fabricante con Sello IRAM): FL_MAT_AFFF_10l</t>
        </is>
      </c>
      <c r="B18" s="2" t="inlineStr">
        <is>
          <t>u</t>
        </is>
      </c>
      <c r="C18" s="2" t="inlineStr">
        <is>
          <t>Equipo terminado comprado</t>
        </is>
      </c>
      <c r="D18" s="2" t="inlineStr">
        <is>
          <t>Matafuegos Georgia - venta mayorista</t>
        </is>
      </c>
      <c r="E18" s="2" t="inlineStr">
        <is>
          <t>Todos</t>
        </is>
      </c>
      <c r="F18" s="21">
        <f>SUMPRODUCT($AK18:$AS18,$AK$5:$AS$5)*IF($E18="CABA",'Parametros'!B$7,IF($E18="PBA",1-'Parametros'!B$7,1))</f>
        <v/>
      </c>
      <c r="G18" s="21">
        <f>SUMPRODUCT($AK18:$AS18,$AK$6:$AS$6)*IF($E18="CABA",'Parametros'!C$7,IF($E18="PBA",1-'Parametros'!C$7,1))</f>
        <v/>
      </c>
      <c r="H18" s="21">
        <f>SUMPRODUCT($AK18:$AS18,$AK$7:$AS$7)*IF($E18="CABA",'Parametros'!D$7,IF($E18="PBA",1-'Parametros'!D$7,1))</f>
        <v/>
      </c>
      <c r="I18" s="21">
        <f>SUMPRODUCT($AK18:$AS18,$AK$8:$AS$8)*IF($E18="CABA",'Parametros'!E$7,IF($E18="PBA",1-'Parametros'!E$7,1))</f>
        <v/>
      </c>
      <c r="J18" s="21">
        <f>SUMPRODUCT($AK18:$AS18,$AK$9:$AS$9)*IF($E18="CABA",'Parametros'!F$7,IF($E18="PBA",1-'Parametros'!F$7,1))</f>
        <v/>
      </c>
      <c r="K18" s="21">
        <f>SUMPRODUCT($AK18:$AS18,$AK$10:$AS$10)*IF($E18="CABA",'Parametros'!G$7,IF($E18="PBA",1-'Parametros'!G$7,1))</f>
        <v/>
      </c>
      <c r="L18" s="21">
        <f>SUMPRODUCT($AK18:$AS18,$AK$11:$AS$11)*IF($E18="CABA",'Parametros'!H$7,IF($E18="PBA",1-'Parametros'!H$7,1))</f>
        <v/>
      </c>
      <c r="M18" s="21">
        <f>SUMPRODUCT($AK18:$AS18,$AK$12:$AS$12)*IF($E18="CABA",'Parametros'!I$7,IF($E18="PBA",1-'Parametros'!I$7,1))</f>
        <v/>
      </c>
      <c r="N18" s="21">
        <f>SUMPRODUCT($AK18:$AS18,$AK$13:$AS$13)*IF($E18="CABA",'Parametros'!J$7,IF($E18="PBA",1-'Parametros'!J$7,1))</f>
        <v/>
      </c>
      <c r="O18" s="21">
        <f>SUMPRODUCT($AK18:$AS18,$AK$14:$AS$14)*IF($E18="CABA",'Parametros'!K$7,IF($E18="PBA",1-'Parametros'!K$7,1))</f>
        <v/>
      </c>
      <c r="AL18" s="22" t="n">
        <v>1</v>
      </c>
    </row>
    <row r="19">
      <c r="A19" s="2" t="inlineStr">
        <is>
          <t>Equipo terminado comprado (fabricante con Sello IRAM): FL_MAT_AFFF_50l</t>
        </is>
      </c>
      <c r="B19" s="2" t="inlineStr">
        <is>
          <t>u</t>
        </is>
      </c>
      <c r="C19" s="2" t="inlineStr">
        <is>
          <t>Equipo terminado comprado</t>
        </is>
      </c>
      <c r="D19" s="2" t="inlineStr">
        <is>
          <t>Matafuegos Georgia - venta mayorista</t>
        </is>
      </c>
      <c r="E19" s="2" t="inlineStr">
        <is>
          <t>Todos</t>
        </is>
      </c>
      <c r="F19" s="21">
        <f>SUMPRODUCT($AK19:$AS19,$AK$5:$AS$5)*IF($E19="CABA",'Parametros'!B$7,IF($E19="PBA",1-'Parametros'!B$7,1))</f>
        <v/>
      </c>
      <c r="G19" s="21">
        <f>SUMPRODUCT($AK19:$AS19,$AK$6:$AS$6)*IF($E19="CABA",'Parametros'!C$7,IF($E19="PBA",1-'Parametros'!C$7,1))</f>
        <v/>
      </c>
      <c r="H19" s="21">
        <f>SUMPRODUCT($AK19:$AS19,$AK$7:$AS$7)*IF($E19="CABA",'Parametros'!D$7,IF($E19="PBA",1-'Parametros'!D$7,1))</f>
        <v/>
      </c>
      <c r="I19" s="21">
        <f>SUMPRODUCT($AK19:$AS19,$AK$8:$AS$8)*IF($E19="CABA",'Parametros'!E$7,IF($E19="PBA",1-'Parametros'!E$7,1))</f>
        <v/>
      </c>
      <c r="J19" s="21">
        <f>SUMPRODUCT($AK19:$AS19,$AK$9:$AS$9)*IF($E19="CABA",'Parametros'!F$7,IF($E19="PBA",1-'Parametros'!F$7,1))</f>
        <v/>
      </c>
      <c r="K19" s="21">
        <f>SUMPRODUCT($AK19:$AS19,$AK$10:$AS$10)*IF($E19="CABA",'Parametros'!G$7,IF($E19="PBA",1-'Parametros'!G$7,1))</f>
        <v/>
      </c>
      <c r="L19" s="21">
        <f>SUMPRODUCT($AK19:$AS19,$AK$11:$AS$11)*IF($E19="CABA",'Parametros'!H$7,IF($E19="PBA",1-'Parametros'!H$7,1))</f>
        <v/>
      </c>
      <c r="M19" s="21">
        <f>SUMPRODUCT($AK19:$AS19,$AK$12:$AS$12)*IF($E19="CABA",'Parametros'!I$7,IF($E19="PBA",1-'Parametros'!I$7,1))</f>
        <v/>
      </c>
      <c r="N19" s="21">
        <f>SUMPRODUCT($AK19:$AS19,$AK$13:$AS$13)*IF($E19="CABA",'Parametros'!J$7,IF($E19="PBA",1-'Parametros'!J$7,1))</f>
        <v/>
      </c>
      <c r="O19" s="21">
        <f>SUMPRODUCT($AK19:$AS19,$AK$14:$AS$14)*IF($E19="CABA",'Parametros'!K$7,IF($E19="PBA",1-'Parametros'!K$7,1))</f>
        <v/>
      </c>
      <c r="AM19" s="22" t="n">
        <v>1</v>
      </c>
    </row>
    <row r="20">
      <c r="A20" s="2" t="inlineStr">
        <is>
          <t>Equipo terminado comprado (fabricante con Sello IRAM): FL_MAT_AGUA_10l</t>
        </is>
      </c>
      <c r="B20" s="2" t="inlineStr">
        <is>
          <t>u</t>
        </is>
      </c>
      <c r="C20" s="2" t="inlineStr">
        <is>
          <t>Equipo terminado comprado</t>
        </is>
      </c>
      <c r="D20" s="2" t="inlineStr">
        <is>
          <t>Matafuegos Georgia - venta mayorista</t>
        </is>
      </c>
      <c r="E20" s="2" t="inlineStr">
        <is>
          <t>Todos</t>
        </is>
      </c>
      <c r="F20" s="21">
        <f>SUMPRODUCT($AK20:$AS20,$AK$5:$AS$5)*IF($E20="CABA",'Parametros'!B$7,IF($E20="PBA",1-'Parametros'!B$7,1))</f>
        <v/>
      </c>
      <c r="G20" s="21">
        <f>SUMPRODUCT($AK20:$AS20,$AK$6:$AS$6)*IF($E20="CABA",'Parametros'!C$7,IF($E20="PBA",1-'Parametros'!C$7,1))</f>
        <v/>
      </c>
      <c r="H20" s="21">
        <f>SUMPRODUCT($AK20:$AS20,$AK$7:$AS$7)*IF($E20="CABA",'Parametros'!D$7,IF($E20="PBA",1-'Parametros'!D$7,1))</f>
        <v/>
      </c>
      <c r="I20" s="21">
        <f>SUMPRODUCT($AK20:$AS20,$AK$8:$AS$8)*IF($E20="CABA",'Parametros'!E$7,IF($E20="PBA",1-'Parametros'!E$7,1))</f>
        <v/>
      </c>
      <c r="J20" s="21">
        <f>SUMPRODUCT($AK20:$AS20,$AK$9:$AS$9)*IF($E20="CABA",'Parametros'!F$7,IF($E20="PBA",1-'Parametros'!F$7,1))</f>
        <v/>
      </c>
      <c r="K20" s="21">
        <f>SUMPRODUCT($AK20:$AS20,$AK$10:$AS$10)*IF($E20="CABA",'Parametros'!G$7,IF($E20="PBA",1-'Parametros'!G$7,1))</f>
        <v/>
      </c>
      <c r="L20" s="21">
        <f>SUMPRODUCT($AK20:$AS20,$AK$11:$AS$11)*IF($E20="CABA",'Parametros'!H$7,IF($E20="PBA",1-'Parametros'!H$7,1))</f>
        <v/>
      </c>
      <c r="M20" s="21">
        <f>SUMPRODUCT($AK20:$AS20,$AK$12:$AS$12)*IF($E20="CABA",'Parametros'!I$7,IF($E20="PBA",1-'Parametros'!I$7,1))</f>
        <v/>
      </c>
      <c r="N20" s="21">
        <f>SUMPRODUCT($AK20:$AS20,$AK$13:$AS$13)*IF($E20="CABA",'Parametros'!J$7,IF($E20="PBA",1-'Parametros'!J$7,1))</f>
        <v/>
      </c>
      <c r="O20" s="21">
        <f>SUMPRODUCT($AK20:$AS20,$AK$14:$AS$14)*IF($E20="CABA",'Parametros'!K$7,IF($E20="PBA",1-'Parametros'!K$7,1))</f>
        <v/>
      </c>
      <c r="AK20" s="22" t="n">
        <v>1</v>
      </c>
    </row>
    <row r="21">
      <c r="A21" s="2" t="inlineStr">
        <is>
          <t>Equipo terminado comprado (fabricante con Sello IRAM): FL_MAT_BC_5kg</t>
        </is>
      </c>
      <c r="B21" s="2" t="inlineStr">
        <is>
          <t>u</t>
        </is>
      </c>
      <c r="C21" s="2" t="inlineStr">
        <is>
          <t>Equipo terminado comprado</t>
        </is>
      </c>
      <c r="D21" s="2" t="inlineStr">
        <is>
          <t>Matafuegos Georgia - venta mayorista</t>
        </is>
      </c>
      <c r="E21" s="2" t="inlineStr">
        <is>
          <t>Todos</t>
        </is>
      </c>
      <c r="F21" s="21">
        <f>SUMPRODUCT($AK21:$AS21,$AK$5:$AS$5)*IF($E21="CABA",'Parametros'!B$7,IF($E21="PBA",1-'Parametros'!B$7,1))</f>
        <v/>
      </c>
      <c r="G21" s="21">
        <f>SUMPRODUCT($AK21:$AS21,$AK$6:$AS$6)*IF($E21="CABA",'Parametros'!C$7,IF($E21="PBA",1-'Parametros'!C$7,1))</f>
        <v/>
      </c>
      <c r="H21" s="21">
        <f>SUMPRODUCT($AK21:$AS21,$AK$7:$AS$7)*IF($E21="CABA",'Parametros'!D$7,IF($E21="PBA",1-'Parametros'!D$7,1))</f>
        <v/>
      </c>
      <c r="I21" s="21">
        <f>SUMPRODUCT($AK21:$AS21,$AK$8:$AS$8)*IF($E21="CABA",'Parametros'!E$7,IF($E21="PBA",1-'Parametros'!E$7,1))</f>
        <v/>
      </c>
      <c r="J21" s="21">
        <f>SUMPRODUCT($AK21:$AS21,$AK$9:$AS$9)*IF($E21="CABA",'Parametros'!F$7,IF($E21="PBA",1-'Parametros'!F$7,1))</f>
        <v/>
      </c>
      <c r="K21" s="21">
        <f>SUMPRODUCT($AK21:$AS21,$AK$10:$AS$10)*IF($E21="CABA",'Parametros'!G$7,IF($E21="PBA",1-'Parametros'!G$7,1))</f>
        <v/>
      </c>
      <c r="L21" s="21">
        <f>SUMPRODUCT($AK21:$AS21,$AK$11:$AS$11)*IF($E21="CABA",'Parametros'!H$7,IF($E21="PBA",1-'Parametros'!H$7,1))</f>
        <v/>
      </c>
      <c r="M21" s="21">
        <f>SUMPRODUCT($AK21:$AS21,$AK$12:$AS$12)*IF($E21="CABA",'Parametros'!I$7,IF($E21="PBA",1-'Parametros'!I$7,1))</f>
        <v/>
      </c>
      <c r="N21" s="21">
        <f>SUMPRODUCT($AK21:$AS21,$AK$13:$AS$13)*IF($E21="CABA",'Parametros'!J$7,IF($E21="PBA",1-'Parametros'!J$7,1))</f>
        <v/>
      </c>
      <c r="O21" s="21">
        <f>SUMPRODUCT($AK21:$AS21,$AK$14:$AS$14)*IF($E21="CABA",'Parametros'!K$7,IF($E21="PBA",1-'Parametros'!K$7,1))</f>
        <v/>
      </c>
      <c r="AN21" s="22" t="n">
        <v>1</v>
      </c>
    </row>
    <row r="22">
      <c r="A22" s="24" t="inlineStr">
        <is>
          <t>Equipo terminado comprado (fabricante con Sello IRAM): FL_MAT_CLASED_9l</t>
        </is>
      </c>
      <c r="B22" s="24" t="inlineStr">
        <is>
          <t>u</t>
        </is>
      </c>
      <c r="C22" s="24" t="inlineStr">
        <is>
          <t>Equipo terminado comprado</t>
        </is>
      </c>
      <c r="D22" s="24" t="inlineStr">
        <is>
          <t>Matafuegos Georgia - venta mayorista</t>
        </is>
      </c>
      <c r="E22" s="24" t="inlineStr">
        <is>
          <t>Todos</t>
        </is>
      </c>
      <c r="F22" s="21">
        <f>SUMPRODUCT($AK22:$AS22,$AK$5:$AS$5)*IF($E22="CABA",'Parametros'!B$7,IF($E22="PBA",1-'Parametros'!B$7,1))</f>
        <v/>
      </c>
      <c r="G22" s="21">
        <f>SUMPRODUCT($AK22:$AS22,$AK$6:$AS$6)*IF($E22="CABA",'Parametros'!C$7,IF($E22="PBA",1-'Parametros'!C$7,1))</f>
        <v/>
      </c>
      <c r="H22" s="21">
        <f>SUMPRODUCT($AK22:$AS22,$AK$7:$AS$7)*IF($E22="CABA",'Parametros'!D$7,IF($E22="PBA",1-'Parametros'!D$7,1))</f>
        <v/>
      </c>
      <c r="I22" s="21">
        <f>SUMPRODUCT($AK22:$AS22,$AK$8:$AS$8)*IF($E22="CABA",'Parametros'!E$7,IF($E22="PBA",1-'Parametros'!E$7,1))</f>
        <v/>
      </c>
      <c r="J22" s="21">
        <f>SUMPRODUCT($AK22:$AS22,$AK$9:$AS$9)*IF($E22="CABA",'Parametros'!F$7,IF($E22="PBA",1-'Parametros'!F$7,1))</f>
        <v/>
      </c>
      <c r="K22" s="21">
        <f>SUMPRODUCT($AK22:$AS22,$AK$10:$AS$10)*IF($E22="CABA",'Parametros'!G$7,IF($E22="PBA",1-'Parametros'!G$7,1))</f>
        <v/>
      </c>
      <c r="L22" s="21">
        <f>SUMPRODUCT($AK22:$AS22,$AK$11:$AS$11)*IF($E22="CABA",'Parametros'!H$7,IF($E22="PBA",1-'Parametros'!H$7,1))</f>
        <v/>
      </c>
      <c r="M22" s="21">
        <f>SUMPRODUCT($AK22:$AS22,$AK$12:$AS$12)*IF($E22="CABA",'Parametros'!I$7,IF($E22="PBA",1-'Parametros'!I$7,1))</f>
        <v/>
      </c>
      <c r="N22" s="21">
        <f>SUMPRODUCT($AK22:$AS22,$AK$13:$AS$13)*IF($E22="CABA",'Parametros'!J$7,IF($E22="PBA",1-'Parametros'!J$7,1))</f>
        <v/>
      </c>
      <c r="O22" s="21">
        <f>SUMPRODUCT($AK22:$AS22,$AK$14:$AS$14)*IF($E22="CABA",'Parametros'!K$7,IF($E22="PBA",1-'Parametros'!K$7,1))</f>
        <v/>
      </c>
      <c r="AS22" s="22" t="n">
        <v>1</v>
      </c>
    </row>
    <row r="23">
      <c r="A23" s="2" t="inlineStr">
        <is>
          <t>Equipo terminado comprado (fabricante con Sello IRAM): FL_MAT_CO2_2kg</t>
        </is>
      </c>
      <c r="B23" s="2" t="inlineStr">
        <is>
          <t>u</t>
        </is>
      </c>
      <c r="C23" s="2" t="inlineStr">
        <is>
          <t>Equipo terminado comprado</t>
        </is>
      </c>
      <c r="D23" s="2" t="inlineStr">
        <is>
          <t>Mozart S.R.L.</t>
        </is>
      </c>
      <c r="E23" s="2" t="inlineStr">
        <is>
          <t>Todos</t>
        </is>
      </c>
      <c r="F23" s="21">
        <f>SUMPRODUCT($AK23:$AS23,$AK$5:$AS$5)*IF($E23="CABA",'Parametros'!B$7,IF($E23="PBA",1-'Parametros'!B$7,1))</f>
        <v/>
      </c>
      <c r="G23" s="21">
        <f>SUMPRODUCT($AK23:$AS23,$AK$6:$AS$6)*IF($E23="CABA",'Parametros'!C$7,IF($E23="PBA",1-'Parametros'!C$7,1))</f>
        <v/>
      </c>
      <c r="H23" s="21">
        <f>SUMPRODUCT($AK23:$AS23,$AK$7:$AS$7)*IF($E23="CABA",'Parametros'!D$7,IF($E23="PBA",1-'Parametros'!D$7,1))</f>
        <v/>
      </c>
      <c r="I23" s="21">
        <f>SUMPRODUCT($AK23:$AS23,$AK$8:$AS$8)*IF($E23="CABA",'Parametros'!E$7,IF($E23="PBA",1-'Parametros'!E$7,1))</f>
        <v/>
      </c>
      <c r="J23" s="21">
        <f>SUMPRODUCT($AK23:$AS23,$AK$9:$AS$9)*IF($E23="CABA",'Parametros'!F$7,IF($E23="PBA",1-'Parametros'!F$7,1))</f>
        <v/>
      </c>
      <c r="K23" s="21">
        <f>SUMPRODUCT($AK23:$AS23,$AK$10:$AS$10)*IF($E23="CABA",'Parametros'!G$7,IF($E23="PBA",1-'Parametros'!G$7,1))</f>
        <v/>
      </c>
      <c r="L23" s="21">
        <f>SUMPRODUCT($AK23:$AS23,$AK$11:$AS$11)*IF($E23="CABA",'Parametros'!H$7,IF($E23="PBA",1-'Parametros'!H$7,1))</f>
        <v/>
      </c>
      <c r="M23" s="21">
        <f>SUMPRODUCT($AK23:$AS23,$AK$12:$AS$12)*IF($E23="CABA",'Parametros'!I$7,IF($E23="PBA",1-'Parametros'!I$7,1))</f>
        <v/>
      </c>
      <c r="N23" s="21">
        <f>SUMPRODUCT($AK23:$AS23,$AK$13:$AS$13)*IF($E23="CABA",'Parametros'!J$7,IF($E23="PBA",1-'Parametros'!J$7,1))</f>
        <v/>
      </c>
      <c r="O23" s="21">
        <f>SUMPRODUCT($AK23:$AS23,$AK$14:$AS$14)*IF($E23="CABA",'Parametros'!K$7,IF($E23="PBA",1-'Parametros'!K$7,1))</f>
        <v/>
      </c>
      <c r="AP23" s="22" t="n">
        <v>1</v>
      </c>
    </row>
    <row r="24">
      <c r="A24" s="2" t="inlineStr">
        <is>
          <t>Equipo terminado comprado (fabricante con Sello IRAM): FL_MAT_CO2_5kg</t>
        </is>
      </c>
      <c r="B24" s="2" t="inlineStr">
        <is>
          <t>u</t>
        </is>
      </c>
      <c r="C24" s="2" t="inlineStr">
        <is>
          <t>Equipo terminado comprado</t>
        </is>
      </c>
      <c r="D24" s="2" t="inlineStr">
        <is>
          <t>Mozart S.R.L.</t>
        </is>
      </c>
      <c r="E24" s="2" t="inlineStr">
        <is>
          <t>Todos</t>
        </is>
      </c>
      <c r="F24" s="21">
        <f>SUMPRODUCT($AK24:$AS24,$AK$5:$AS$5)*IF($E24="CABA",'Parametros'!B$7,IF($E24="PBA",1-'Parametros'!B$7,1))</f>
        <v/>
      </c>
      <c r="G24" s="21">
        <f>SUMPRODUCT($AK24:$AS24,$AK$6:$AS$6)*IF($E24="CABA",'Parametros'!C$7,IF($E24="PBA",1-'Parametros'!C$7,1))</f>
        <v/>
      </c>
      <c r="H24" s="21">
        <f>SUMPRODUCT($AK24:$AS24,$AK$7:$AS$7)*IF($E24="CABA",'Parametros'!D$7,IF($E24="PBA",1-'Parametros'!D$7,1))</f>
        <v/>
      </c>
      <c r="I24" s="21">
        <f>SUMPRODUCT($AK24:$AS24,$AK$8:$AS$8)*IF($E24="CABA",'Parametros'!E$7,IF($E24="PBA",1-'Parametros'!E$7,1))</f>
        <v/>
      </c>
      <c r="J24" s="21">
        <f>SUMPRODUCT($AK24:$AS24,$AK$9:$AS$9)*IF($E24="CABA",'Parametros'!F$7,IF($E24="PBA",1-'Parametros'!F$7,1))</f>
        <v/>
      </c>
      <c r="K24" s="21">
        <f>SUMPRODUCT($AK24:$AS24,$AK$10:$AS$10)*IF($E24="CABA",'Parametros'!G$7,IF($E24="PBA",1-'Parametros'!G$7,1))</f>
        <v/>
      </c>
      <c r="L24" s="21">
        <f>SUMPRODUCT($AK24:$AS24,$AK$11:$AS$11)*IF($E24="CABA",'Parametros'!H$7,IF($E24="PBA",1-'Parametros'!H$7,1))</f>
        <v/>
      </c>
      <c r="M24" s="21">
        <f>SUMPRODUCT($AK24:$AS24,$AK$12:$AS$12)*IF($E24="CABA",'Parametros'!I$7,IF($E24="PBA",1-'Parametros'!I$7,1))</f>
        <v/>
      </c>
      <c r="N24" s="21">
        <f>SUMPRODUCT($AK24:$AS24,$AK$13:$AS$13)*IF($E24="CABA",'Parametros'!J$7,IF($E24="PBA",1-'Parametros'!J$7,1))</f>
        <v/>
      </c>
      <c r="O24" s="21">
        <f>SUMPRODUCT($AK24:$AS24,$AK$14:$AS$14)*IF($E24="CABA",'Parametros'!K$7,IF($E24="PBA",1-'Parametros'!K$7,1))</f>
        <v/>
      </c>
      <c r="AQ24" s="22" t="n">
        <v>1</v>
      </c>
    </row>
    <row r="25">
      <c r="A25" s="2" t="inlineStr">
        <is>
          <t>Equipo terminado comprado (fabricante con Sello IRAM): FL_MAT_HCFC-HFC_5kg</t>
        </is>
      </c>
      <c r="B25" s="2" t="inlineStr">
        <is>
          <t>u</t>
        </is>
      </c>
      <c r="C25" s="2" t="inlineStr">
        <is>
          <t>Equipo terminado comprado</t>
        </is>
      </c>
      <c r="D25" s="2" t="inlineStr">
        <is>
          <t>Matafuegos Georgia - venta mayorista</t>
        </is>
      </c>
      <c r="E25" s="2" t="inlineStr">
        <is>
          <t>Todos</t>
        </is>
      </c>
      <c r="F25" s="21">
        <f>SUMPRODUCT($AK25:$AS25,$AK$5:$AS$5)*IF($E25="CABA",'Parametros'!B$7,IF($E25="PBA",1-'Parametros'!B$7,1))</f>
        <v/>
      </c>
      <c r="G25" s="21">
        <f>SUMPRODUCT($AK25:$AS25,$AK$6:$AS$6)*IF($E25="CABA",'Parametros'!C$7,IF($E25="PBA",1-'Parametros'!C$7,1))</f>
        <v/>
      </c>
      <c r="H25" s="21">
        <f>SUMPRODUCT($AK25:$AS25,$AK$7:$AS$7)*IF($E25="CABA",'Parametros'!D$7,IF($E25="PBA",1-'Parametros'!D$7,1))</f>
        <v/>
      </c>
      <c r="I25" s="21">
        <f>SUMPRODUCT($AK25:$AS25,$AK$8:$AS$8)*IF($E25="CABA",'Parametros'!E$7,IF($E25="PBA",1-'Parametros'!E$7,1))</f>
        <v/>
      </c>
      <c r="J25" s="21">
        <f>SUMPRODUCT($AK25:$AS25,$AK$9:$AS$9)*IF($E25="CABA",'Parametros'!F$7,IF($E25="PBA",1-'Parametros'!F$7,1))</f>
        <v/>
      </c>
      <c r="K25" s="21">
        <f>SUMPRODUCT($AK25:$AS25,$AK$10:$AS$10)*IF($E25="CABA",'Parametros'!G$7,IF($E25="PBA",1-'Parametros'!G$7,1))</f>
        <v/>
      </c>
      <c r="L25" s="21">
        <f>SUMPRODUCT($AK25:$AS25,$AK$11:$AS$11)*IF($E25="CABA",'Parametros'!H$7,IF($E25="PBA",1-'Parametros'!H$7,1))</f>
        <v/>
      </c>
      <c r="M25" s="21">
        <f>SUMPRODUCT($AK25:$AS25,$AK$12:$AS$12)*IF($E25="CABA",'Parametros'!I$7,IF($E25="PBA",1-'Parametros'!I$7,1))</f>
        <v/>
      </c>
      <c r="N25" s="21">
        <f>SUMPRODUCT($AK25:$AS25,$AK$13:$AS$13)*IF($E25="CABA",'Parametros'!J$7,IF($E25="PBA",1-'Parametros'!J$7,1))</f>
        <v/>
      </c>
      <c r="O25" s="21">
        <f>SUMPRODUCT($AK25:$AS25,$AK$14:$AS$14)*IF($E25="CABA",'Parametros'!K$7,IF($E25="PBA",1-'Parametros'!K$7,1))</f>
        <v/>
      </c>
      <c r="AR25" s="22" t="n">
        <v>1</v>
      </c>
    </row>
    <row r="26">
      <c r="A26" s="2" t="inlineStr">
        <is>
          <t>Equipo terminado comprado (fabricante con Sello IRAM): FL_MAT_SALESK_6l</t>
        </is>
      </c>
      <c r="B26" s="2" t="inlineStr">
        <is>
          <t>u</t>
        </is>
      </c>
      <c r="C26" s="2" t="inlineStr">
        <is>
          <t>Equipo terminado comprado</t>
        </is>
      </c>
      <c r="D26" s="2" t="inlineStr">
        <is>
          <t>Matafuegos Georgia - venta mayorista</t>
        </is>
      </c>
      <c r="E26" s="2" t="inlineStr">
        <is>
          <t>Todos</t>
        </is>
      </c>
      <c r="F26" s="21">
        <f>SUMPRODUCT($AK26:$AS26,$AK$5:$AS$5)*IF($E26="CABA",'Parametros'!B$7,IF($E26="PBA",1-'Parametros'!B$7,1))</f>
        <v/>
      </c>
      <c r="G26" s="21">
        <f>SUMPRODUCT($AK26:$AS26,$AK$6:$AS$6)*IF($E26="CABA",'Parametros'!C$7,IF($E26="PBA",1-'Parametros'!C$7,1))</f>
        <v/>
      </c>
      <c r="H26" s="21">
        <f>SUMPRODUCT($AK26:$AS26,$AK$7:$AS$7)*IF($E26="CABA",'Parametros'!D$7,IF($E26="PBA",1-'Parametros'!D$7,1))</f>
        <v/>
      </c>
      <c r="I26" s="21">
        <f>SUMPRODUCT($AK26:$AS26,$AK$8:$AS$8)*IF($E26="CABA",'Parametros'!E$7,IF($E26="PBA",1-'Parametros'!E$7,1))</f>
        <v/>
      </c>
      <c r="J26" s="21">
        <f>SUMPRODUCT($AK26:$AS26,$AK$9:$AS$9)*IF($E26="CABA",'Parametros'!F$7,IF($E26="PBA",1-'Parametros'!F$7,1))</f>
        <v/>
      </c>
      <c r="K26" s="21">
        <f>SUMPRODUCT($AK26:$AS26,$AK$10:$AS$10)*IF($E26="CABA",'Parametros'!G$7,IF($E26="PBA",1-'Parametros'!G$7,1))</f>
        <v/>
      </c>
      <c r="L26" s="21">
        <f>SUMPRODUCT($AK26:$AS26,$AK$11:$AS$11)*IF($E26="CABA",'Parametros'!H$7,IF($E26="PBA",1-'Parametros'!H$7,1))</f>
        <v/>
      </c>
      <c r="M26" s="21">
        <f>SUMPRODUCT($AK26:$AS26,$AK$12:$AS$12)*IF($E26="CABA",'Parametros'!I$7,IF($E26="PBA",1-'Parametros'!I$7,1))</f>
        <v/>
      </c>
      <c r="N26" s="21">
        <f>SUMPRODUCT($AK26:$AS26,$AK$13:$AS$13)*IF($E26="CABA",'Parametros'!J$7,IF($E26="PBA",1-'Parametros'!J$7,1))</f>
        <v/>
      </c>
      <c r="O26" s="21">
        <f>SUMPRODUCT($AK26:$AS26,$AK$14:$AS$14)*IF($E26="CABA",'Parametros'!K$7,IF($E26="PBA",1-'Parametros'!K$7,1))</f>
        <v/>
      </c>
      <c r="AO26" s="22" t="n">
        <v>1</v>
      </c>
    </row>
  </sheetData>
  <autoFilter ref="A16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60"/>
  <sheetViews>
    <sheetView workbookViewId="0">
      <pane xSplit="5" ySplit="16" topLeftCell="F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22" customWidth="1" min="3" max="3"/>
    <col width="30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2" t="inlineStr">
        <is>
          <t>Requerimiento de MP — cilindros sueltos FL_REC (venta)</t>
        </is>
      </c>
    </row>
    <row r="2">
      <c r="A2" s="14" t="inlineStr">
        <is>
          <t>Recipiente, tapón, etiqueta, protocolo y embalaje.</t>
        </is>
      </c>
    </row>
    <row r="4" ht="90" customHeight="1">
      <c r="AJ4" s="1" t="inlineStr">
        <is>
          <t>Demanda (u) →</t>
        </is>
      </c>
      <c r="AK4" s="17" t="inlineStr">
        <is>
          <t>REC ABC_1kg</t>
        </is>
      </c>
      <c r="AL4" s="17" t="inlineStr">
        <is>
          <t>REC ABC_2.5kg</t>
        </is>
      </c>
      <c r="AM4" s="17" t="inlineStr">
        <is>
          <t>REC ABC_5kg</t>
        </is>
      </c>
      <c r="AN4" s="17" t="inlineStr">
        <is>
          <t>REC ABC_10kg</t>
        </is>
      </c>
      <c r="AO4" s="17" t="inlineStr">
        <is>
          <t>REC ABC_25kg</t>
        </is>
      </c>
      <c r="AP4" s="17" t="inlineStr">
        <is>
          <t>REC ABC_50kg</t>
        </is>
      </c>
      <c r="AQ4" s="17" t="inlineStr">
        <is>
          <t>REC ABC_70kg</t>
        </is>
      </c>
      <c r="AR4" s="17" t="inlineStr">
        <is>
          <t>REC ABC_100kg</t>
        </is>
      </c>
    </row>
    <row r="5">
      <c r="AJ5" s="1">
        <f>'Demanda'!B3</f>
        <v/>
      </c>
      <c r="AK5" s="16">
        <f>'Demanda'!B27</f>
        <v/>
      </c>
      <c r="AL5" s="16">
        <f>'Demanda'!B28</f>
        <v/>
      </c>
      <c r="AM5" s="16">
        <f>'Demanda'!B29</f>
        <v/>
      </c>
      <c r="AN5" s="16">
        <f>'Demanda'!B30</f>
        <v/>
      </c>
      <c r="AO5" s="16">
        <f>'Demanda'!B31</f>
        <v/>
      </c>
      <c r="AP5" s="16">
        <f>'Demanda'!B32</f>
        <v/>
      </c>
      <c r="AQ5" s="16">
        <f>'Demanda'!B33</f>
        <v/>
      </c>
      <c r="AR5" s="16">
        <f>'Demanda'!B34</f>
        <v/>
      </c>
    </row>
    <row r="6">
      <c r="AJ6" s="1">
        <f>'Demanda'!C3</f>
        <v/>
      </c>
      <c r="AK6" s="16">
        <f>'Demanda'!C27</f>
        <v/>
      </c>
      <c r="AL6" s="16">
        <f>'Demanda'!C28</f>
        <v/>
      </c>
      <c r="AM6" s="16">
        <f>'Demanda'!C29</f>
        <v/>
      </c>
      <c r="AN6" s="16">
        <f>'Demanda'!C30</f>
        <v/>
      </c>
      <c r="AO6" s="16">
        <f>'Demanda'!C31</f>
        <v/>
      </c>
      <c r="AP6" s="16">
        <f>'Demanda'!C32</f>
        <v/>
      </c>
      <c r="AQ6" s="16">
        <f>'Demanda'!C33</f>
        <v/>
      </c>
      <c r="AR6" s="16">
        <f>'Demanda'!C34</f>
        <v/>
      </c>
    </row>
    <row r="7">
      <c r="AJ7" s="1">
        <f>'Demanda'!D3</f>
        <v/>
      </c>
      <c r="AK7" s="16">
        <f>'Demanda'!D27</f>
        <v/>
      </c>
      <c r="AL7" s="16">
        <f>'Demanda'!D28</f>
        <v/>
      </c>
      <c r="AM7" s="16">
        <f>'Demanda'!D29</f>
        <v/>
      </c>
      <c r="AN7" s="16">
        <f>'Demanda'!D30</f>
        <v/>
      </c>
      <c r="AO7" s="16">
        <f>'Demanda'!D31</f>
        <v/>
      </c>
      <c r="AP7" s="16">
        <f>'Demanda'!D32</f>
        <v/>
      </c>
      <c r="AQ7" s="16">
        <f>'Demanda'!D33</f>
        <v/>
      </c>
      <c r="AR7" s="16">
        <f>'Demanda'!D34</f>
        <v/>
      </c>
    </row>
    <row r="8">
      <c r="AJ8" s="1">
        <f>'Demanda'!E3</f>
        <v/>
      </c>
      <c r="AK8" s="16">
        <f>'Demanda'!E27</f>
        <v/>
      </c>
      <c r="AL8" s="16">
        <f>'Demanda'!E28</f>
        <v/>
      </c>
      <c r="AM8" s="16">
        <f>'Demanda'!E29</f>
        <v/>
      </c>
      <c r="AN8" s="16">
        <f>'Demanda'!E30</f>
        <v/>
      </c>
      <c r="AO8" s="16">
        <f>'Demanda'!E31</f>
        <v/>
      </c>
      <c r="AP8" s="16">
        <f>'Demanda'!E32</f>
        <v/>
      </c>
      <c r="AQ8" s="16">
        <f>'Demanda'!E33</f>
        <v/>
      </c>
      <c r="AR8" s="16">
        <f>'Demanda'!E34</f>
        <v/>
      </c>
    </row>
    <row r="9">
      <c r="AJ9" s="1">
        <f>'Demanda'!F3</f>
        <v/>
      </c>
      <c r="AK9" s="16">
        <f>'Demanda'!F27</f>
        <v/>
      </c>
      <c r="AL9" s="16">
        <f>'Demanda'!F28</f>
        <v/>
      </c>
      <c r="AM9" s="16">
        <f>'Demanda'!F29</f>
        <v/>
      </c>
      <c r="AN9" s="16">
        <f>'Demanda'!F30</f>
        <v/>
      </c>
      <c r="AO9" s="16">
        <f>'Demanda'!F31</f>
        <v/>
      </c>
      <c r="AP9" s="16">
        <f>'Demanda'!F32</f>
        <v/>
      </c>
      <c r="AQ9" s="16">
        <f>'Demanda'!F33</f>
        <v/>
      </c>
      <c r="AR9" s="16">
        <f>'Demanda'!F34</f>
        <v/>
      </c>
    </row>
    <row r="10">
      <c r="AJ10" s="1">
        <f>'Demanda'!G3</f>
        <v/>
      </c>
      <c r="AK10" s="16">
        <f>'Demanda'!G27</f>
        <v/>
      </c>
      <c r="AL10" s="16">
        <f>'Demanda'!G28</f>
        <v/>
      </c>
      <c r="AM10" s="16">
        <f>'Demanda'!G29</f>
        <v/>
      </c>
      <c r="AN10" s="16">
        <f>'Demanda'!G30</f>
        <v/>
      </c>
      <c r="AO10" s="16">
        <f>'Demanda'!G31</f>
        <v/>
      </c>
      <c r="AP10" s="16">
        <f>'Demanda'!G32</f>
        <v/>
      </c>
      <c r="AQ10" s="16">
        <f>'Demanda'!G33</f>
        <v/>
      </c>
      <c r="AR10" s="16">
        <f>'Demanda'!G34</f>
        <v/>
      </c>
    </row>
    <row r="11">
      <c r="AJ11" s="1">
        <f>'Demanda'!H3</f>
        <v/>
      </c>
      <c r="AK11" s="16">
        <f>'Demanda'!H27</f>
        <v/>
      </c>
      <c r="AL11" s="16">
        <f>'Demanda'!H28</f>
        <v/>
      </c>
      <c r="AM11" s="16">
        <f>'Demanda'!H29</f>
        <v/>
      </c>
      <c r="AN11" s="16">
        <f>'Demanda'!H30</f>
        <v/>
      </c>
      <c r="AO11" s="16">
        <f>'Demanda'!H31</f>
        <v/>
      </c>
      <c r="AP11" s="16">
        <f>'Demanda'!H32</f>
        <v/>
      </c>
      <c r="AQ11" s="16">
        <f>'Demanda'!H33</f>
        <v/>
      </c>
      <c r="AR11" s="16">
        <f>'Demanda'!H34</f>
        <v/>
      </c>
    </row>
    <row r="12">
      <c r="AJ12" s="1">
        <f>'Demanda'!I3</f>
        <v/>
      </c>
      <c r="AK12" s="16">
        <f>'Demanda'!I27</f>
        <v/>
      </c>
      <c r="AL12" s="16">
        <f>'Demanda'!I28</f>
        <v/>
      </c>
      <c r="AM12" s="16">
        <f>'Demanda'!I29</f>
        <v/>
      </c>
      <c r="AN12" s="16">
        <f>'Demanda'!I30</f>
        <v/>
      </c>
      <c r="AO12" s="16">
        <f>'Demanda'!I31</f>
        <v/>
      </c>
      <c r="AP12" s="16">
        <f>'Demanda'!I32</f>
        <v/>
      </c>
      <c r="AQ12" s="16">
        <f>'Demanda'!I33</f>
        <v/>
      </c>
      <c r="AR12" s="16">
        <f>'Demanda'!I34</f>
        <v/>
      </c>
    </row>
    <row r="13">
      <c r="AJ13" s="1">
        <f>'Demanda'!J3</f>
        <v/>
      </c>
      <c r="AK13" s="16">
        <f>'Demanda'!J27</f>
        <v/>
      </c>
      <c r="AL13" s="16">
        <f>'Demanda'!J28</f>
        <v/>
      </c>
      <c r="AM13" s="16">
        <f>'Demanda'!J29</f>
        <v/>
      </c>
      <c r="AN13" s="16">
        <f>'Demanda'!J30</f>
        <v/>
      </c>
      <c r="AO13" s="16">
        <f>'Demanda'!J31</f>
        <v/>
      </c>
      <c r="AP13" s="16">
        <f>'Demanda'!J32</f>
        <v/>
      </c>
      <c r="AQ13" s="16">
        <f>'Demanda'!J33</f>
        <v/>
      </c>
      <c r="AR13" s="16">
        <f>'Demanda'!J34</f>
        <v/>
      </c>
    </row>
    <row r="14">
      <c r="AJ14" s="1">
        <f>'Demanda'!K3</f>
        <v/>
      </c>
      <c r="AK14" s="16">
        <f>'Demanda'!K27</f>
        <v/>
      </c>
      <c r="AL14" s="16">
        <f>'Demanda'!K28</f>
        <v/>
      </c>
      <c r="AM14" s="16">
        <f>'Demanda'!K29</f>
        <v/>
      </c>
      <c r="AN14" s="16">
        <f>'Demanda'!K30</f>
        <v/>
      </c>
      <c r="AO14" s="16">
        <f>'Demanda'!K31</f>
        <v/>
      </c>
      <c r="AP14" s="16">
        <f>'Demanda'!K32</f>
        <v/>
      </c>
      <c r="AQ14" s="16">
        <f>'Demanda'!K33</f>
        <v/>
      </c>
      <c r="AR14" s="16">
        <f>'Demanda'!K34</f>
        <v/>
      </c>
    </row>
    <row r="16" ht="90" customHeight="1">
      <c r="A16" s="18" t="inlineStr">
        <is>
          <t>Ítem</t>
        </is>
      </c>
      <c r="B16" s="18" t="inlineStr">
        <is>
          <t>UM</t>
        </is>
      </c>
      <c r="C16" s="18" t="inlineStr">
        <is>
          <t>Rubro</t>
        </is>
      </c>
      <c r="D16" s="18" t="inlineStr">
        <is>
          <t>Proveedor principal</t>
        </is>
      </c>
      <c r="E16" s="18" t="inlineStr">
        <is>
          <t>Destino</t>
        </is>
      </c>
      <c r="F16" s="19">
        <f>'Demanda'!B3</f>
        <v/>
      </c>
      <c r="G16" s="19">
        <f>'Demanda'!C3</f>
        <v/>
      </c>
      <c r="H16" s="19">
        <f>'Demanda'!D3</f>
        <v/>
      </c>
      <c r="I16" s="19">
        <f>'Demanda'!E3</f>
        <v/>
      </c>
      <c r="J16" s="19">
        <f>'Demanda'!F3</f>
        <v/>
      </c>
      <c r="K16" s="19">
        <f>'Demanda'!G3</f>
        <v/>
      </c>
      <c r="L16" s="19">
        <f>'Demanda'!H3</f>
        <v/>
      </c>
      <c r="M16" s="19">
        <f>'Demanda'!I3</f>
        <v/>
      </c>
      <c r="N16" s="19">
        <f>'Demanda'!J3</f>
        <v/>
      </c>
      <c r="O16" s="19">
        <f>'Demanda'!K3</f>
        <v/>
      </c>
      <c r="AK16" s="20" t="inlineStr">
        <is>
          <t>coef. REC ABC_1kg</t>
        </is>
      </c>
      <c r="AL16" s="20" t="inlineStr">
        <is>
          <t>coef. REC ABC_2.5kg</t>
        </is>
      </c>
      <c r="AM16" s="20" t="inlineStr">
        <is>
          <t>coef. REC ABC_5kg</t>
        </is>
      </c>
      <c r="AN16" s="20" t="inlineStr">
        <is>
          <t>coef. REC ABC_10kg</t>
        </is>
      </c>
      <c r="AO16" s="20" t="inlineStr">
        <is>
          <t>coef. REC ABC_25kg</t>
        </is>
      </c>
      <c r="AP16" s="20" t="inlineStr">
        <is>
          <t>coef. REC ABC_50kg</t>
        </is>
      </c>
      <c r="AQ16" s="20" t="inlineStr">
        <is>
          <t>coef. REC ABC_70kg</t>
        </is>
      </c>
      <c r="AR16" s="20" t="inlineStr">
        <is>
          <t>coef. REC ABC_100kg</t>
        </is>
      </c>
    </row>
    <row r="17">
      <c r="A17" s="2" t="inlineStr">
        <is>
          <t>Caño Ø76,2 × 1,25</t>
        </is>
      </c>
      <c r="B17" s="2" t="inlineStr">
        <is>
          <t>barra 6 m</t>
        </is>
      </c>
      <c r="C17" s="2" t="inlineStr">
        <is>
          <t>Materia prima</t>
        </is>
      </c>
      <c r="D17" s="2" t="inlineStr">
        <is>
          <t>Metalpri / Prilux</t>
        </is>
      </c>
      <c r="E17" s="2" t="inlineStr">
        <is>
          <t>Todos</t>
        </is>
      </c>
      <c r="F17" s="21">
        <f>SUMPRODUCT($AK17:$AR17,$AK$5:$AR$5)*IF($E17="CABA",'Parametros'!B$7,IF($E17="PBA",1-'Parametros'!B$7,1))</f>
        <v/>
      </c>
      <c r="G17" s="21">
        <f>SUMPRODUCT($AK17:$AR17,$AK$6:$AR$6)*IF($E17="CABA",'Parametros'!C$7,IF($E17="PBA",1-'Parametros'!C$7,1))</f>
        <v/>
      </c>
      <c r="H17" s="21">
        <f>SUMPRODUCT($AK17:$AR17,$AK$7:$AR$7)*IF($E17="CABA",'Parametros'!D$7,IF($E17="PBA",1-'Parametros'!D$7,1))</f>
        <v/>
      </c>
      <c r="I17" s="21">
        <f>SUMPRODUCT($AK17:$AR17,$AK$8:$AR$8)*IF($E17="CABA",'Parametros'!E$7,IF($E17="PBA",1-'Parametros'!E$7,1))</f>
        <v/>
      </c>
      <c r="J17" s="21">
        <f>SUMPRODUCT($AK17:$AR17,$AK$9:$AR$9)*IF($E17="CABA",'Parametros'!F$7,IF($E17="PBA",1-'Parametros'!F$7,1))</f>
        <v/>
      </c>
      <c r="K17" s="21">
        <f>SUMPRODUCT($AK17:$AR17,$AK$10:$AR$10)*IF($E17="CABA",'Parametros'!G$7,IF($E17="PBA",1-'Parametros'!G$7,1))</f>
        <v/>
      </c>
      <c r="L17" s="21">
        <f>SUMPRODUCT($AK17:$AR17,$AK$11:$AR$11)*IF($E17="CABA",'Parametros'!H$7,IF($E17="PBA",1-'Parametros'!H$7,1))</f>
        <v/>
      </c>
      <c r="M17" s="21">
        <f>SUMPRODUCT($AK17:$AR17,$AK$12:$AR$12)*IF($E17="CABA",'Parametros'!I$7,IF($E17="PBA",1-'Parametros'!I$7,1))</f>
        <v/>
      </c>
      <c r="N17" s="21">
        <f>SUMPRODUCT($AK17:$AR17,$AK$13:$AR$13)*IF($E17="CABA",'Parametros'!J$7,IF($E17="PBA",1-'Parametros'!J$7,1))</f>
        <v/>
      </c>
      <c r="O17" s="21">
        <f>SUMPRODUCT($AK17:$AR17,$AK$14:$AR$14)*IF($E17="CABA",'Parametros'!K$7,IF($E17="PBA",1-'Parametros'!K$7,1))</f>
        <v/>
      </c>
      <c r="AK17" s="22" t="n">
        <v>0.0435</v>
      </c>
    </row>
    <row r="18">
      <c r="A18" s="2" t="inlineStr">
        <is>
          <t>Chapa LAC 1500 × 3000 e=3,2</t>
        </is>
      </c>
      <c r="B18" s="2" t="inlineStr">
        <is>
          <t>kg</t>
        </is>
      </c>
      <c r="C18" s="2" t="inlineStr">
        <is>
          <t>Materia prima</t>
        </is>
      </c>
      <c r="D18" s="2" t="inlineStr">
        <is>
          <t>Pradecon S.A.</t>
        </is>
      </c>
      <c r="E18" s="2" t="inlineStr">
        <is>
          <t>Todos</t>
        </is>
      </c>
      <c r="F18" s="21">
        <f>SUMPRODUCT($AK18:$AR18,$AK$5:$AR$5)*IF($E18="CABA",'Parametros'!B$7,IF($E18="PBA",1-'Parametros'!B$7,1))</f>
        <v/>
      </c>
      <c r="G18" s="21">
        <f>SUMPRODUCT($AK18:$AR18,$AK$6:$AR$6)*IF($E18="CABA",'Parametros'!C$7,IF($E18="PBA",1-'Parametros'!C$7,1))</f>
        <v/>
      </c>
      <c r="H18" s="21">
        <f>SUMPRODUCT($AK18:$AR18,$AK$7:$AR$7)*IF($E18="CABA",'Parametros'!D$7,IF($E18="PBA",1-'Parametros'!D$7,1))</f>
        <v/>
      </c>
      <c r="I18" s="21">
        <f>SUMPRODUCT($AK18:$AR18,$AK$8:$AR$8)*IF($E18="CABA",'Parametros'!E$7,IF($E18="PBA",1-'Parametros'!E$7,1))</f>
        <v/>
      </c>
      <c r="J18" s="21">
        <f>SUMPRODUCT($AK18:$AR18,$AK$9:$AR$9)*IF($E18="CABA",'Parametros'!F$7,IF($E18="PBA",1-'Parametros'!F$7,1))</f>
        <v/>
      </c>
      <c r="K18" s="21">
        <f>SUMPRODUCT($AK18:$AR18,$AK$10:$AR$10)*IF($E18="CABA",'Parametros'!G$7,IF($E18="PBA",1-'Parametros'!G$7,1))</f>
        <v/>
      </c>
      <c r="L18" s="21">
        <f>SUMPRODUCT($AK18:$AR18,$AK$11:$AR$11)*IF($E18="CABA",'Parametros'!H$7,IF($E18="PBA",1-'Parametros'!H$7,1))</f>
        <v/>
      </c>
      <c r="M18" s="21">
        <f>SUMPRODUCT($AK18:$AR18,$AK$12:$AR$12)*IF($E18="CABA",'Parametros'!I$7,IF($E18="PBA",1-'Parametros'!I$7,1))</f>
        <v/>
      </c>
      <c r="N18" s="21">
        <f>SUMPRODUCT($AK18:$AR18,$AK$13:$AR$13)*IF($E18="CABA",'Parametros'!J$7,IF($E18="PBA",1-'Parametros'!J$7,1))</f>
        <v/>
      </c>
      <c r="O18" s="21">
        <f>SUMPRODUCT($AK18:$AR18,$AK$14:$AR$14)*IF($E18="CABA",'Parametros'!K$7,IF($E18="PBA",1-'Parametros'!K$7,1))</f>
        <v/>
      </c>
      <c r="AO18" s="22" t="n">
        <v>12.558</v>
      </c>
      <c r="AP18" s="22" t="n">
        <v>18.845</v>
      </c>
    </row>
    <row r="19">
      <c r="A19" s="2" t="inlineStr">
        <is>
          <t>Chapa LAC 1500 × 3000 e=4,75</t>
        </is>
      </c>
      <c r="B19" s="2" t="inlineStr">
        <is>
          <t>kg</t>
        </is>
      </c>
      <c r="C19" s="2" t="inlineStr">
        <is>
          <t>Materia prima</t>
        </is>
      </c>
      <c r="D19" s="2" t="inlineStr">
        <is>
          <t>Pradecon S.A.</t>
        </is>
      </c>
      <c r="E19" s="2" t="inlineStr">
        <is>
          <t>Todos</t>
        </is>
      </c>
      <c r="F19" s="21">
        <f>SUMPRODUCT($AK19:$AR19,$AK$5:$AR$5)*IF($E19="CABA",'Parametros'!B$7,IF($E19="PBA",1-'Parametros'!B$7,1))</f>
        <v/>
      </c>
      <c r="G19" s="21">
        <f>SUMPRODUCT($AK19:$AR19,$AK$6:$AR$6)*IF($E19="CABA",'Parametros'!C$7,IF($E19="PBA",1-'Parametros'!C$7,1))</f>
        <v/>
      </c>
      <c r="H19" s="21">
        <f>SUMPRODUCT($AK19:$AR19,$AK$7:$AR$7)*IF($E19="CABA",'Parametros'!D$7,IF($E19="PBA",1-'Parametros'!D$7,1))</f>
        <v/>
      </c>
      <c r="I19" s="21">
        <f>SUMPRODUCT($AK19:$AR19,$AK$8:$AR$8)*IF($E19="CABA",'Parametros'!E$7,IF($E19="PBA",1-'Parametros'!E$7,1))</f>
        <v/>
      </c>
      <c r="J19" s="21">
        <f>SUMPRODUCT($AK19:$AR19,$AK$9:$AR$9)*IF($E19="CABA",'Parametros'!F$7,IF($E19="PBA",1-'Parametros'!F$7,1))</f>
        <v/>
      </c>
      <c r="K19" s="21">
        <f>SUMPRODUCT($AK19:$AR19,$AK$10:$AR$10)*IF($E19="CABA",'Parametros'!G$7,IF($E19="PBA",1-'Parametros'!G$7,1))</f>
        <v/>
      </c>
      <c r="L19" s="21">
        <f>SUMPRODUCT($AK19:$AR19,$AK$11:$AR$11)*IF($E19="CABA",'Parametros'!H$7,IF($E19="PBA",1-'Parametros'!H$7,1))</f>
        <v/>
      </c>
      <c r="M19" s="21">
        <f>SUMPRODUCT($AK19:$AR19,$AK$12:$AR$12)*IF($E19="CABA",'Parametros'!I$7,IF($E19="PBA",1-'Parametros'!I$7,1))</f>
        <v/>
      </c>
      <c r="N19" s="21">
        <f>SUMPRODUCT($AK19:$AR19,$AK$13:$AR$13)*IF($E19="CABA",'Parametros'!J$7,IF($E19="PBA",1-'Parametros'!J$7,1))</f>
        <v/>
      </c>
      <c r="O19" s="21">
        <f>SUMPRODUCT($AK19:$AR19,$AK$14:$AR$14)*IF($E19="CABA",'Parametros'!K$7,IF($E19="PBA",1-'Parametros'!K$7,1))</f>
        <v/>
      </c>
      <c r="AQ19" s="22" t="n">
        <v>38.802</v>
      </c>
      <c r="AR19" s="22" t="n">
        <v>51.355</v>
      </c>
    </row>
    <row r="20">
      <c r="A20" s="2" t="inlineStr">
        <is>
          <t>Chapa LAF 1000 × 2000 e=1,6</t>
        </is>
      </c>
      <c r="B20" s="2" t="inlineStr">
        <is>
          <t>kg</t>
        </is>
      </c>
      <c r="C20" s="2" t="inlineStr">
        <is>
          <t>Materia prima</t>
        </is>
      </c>
      <c r="D20" s="2" t="inlineStr">
        <is>
          <t>Pradecon S.A.</t>
        </is>
      </c>
      <c r="E20" s="2" t="inlineStr">
        <is>
          <t>Todos</t>
        </is>
      </c>
      <c r="F20" s="21">
        <f>SUMPRODUCT($AK20:$AR20,$AK$5:$AR$5)*IF($E20="CABA",'Parametros'!B$7,IF($E20="PBA",1-'Parametros'!B$7,1))</f>
        <v/>
      </c>
      <c r="G20" s="21">
        <f>SUMPRODUCT($AK20:$AR20,$AK$6:$AR$6)*IF($E20="CABA",'Parametros'!C$7,IF($E20="PBA",1-'Parametros'!C$7,1))</f>
        <v/>
      </c>
      <c r="H20" s="21">
        <f>SUMPRODUCT($AK20:$AR20,$AK$7:$AR$7)*IF($E20="CABA",'Parametros'!D$7,IF($E20="PBA",1-'Parametros'!D$7,1))</f>
        <v/>
      </c>
      <c r="I20" s="21">
        <f>SUMPRODUCT($AK20:$AR20,$AK$8:$AR$8)*IF($E20="CABA",'Parametros'!E$7,IF($E20="PBA",1-'Parametros'!E$7,1))</f>
        <v/>
      </c>
      <c r="J20" s="21">
        <f>SUMPRODUCT($AK20:$AR20,$AK$9:$AR$9)*IF($E20="CABA",'Parametros'!F$7,IF($E20="PBA",1-'Parametros'!F$7,1))</f>
        <v/>
      </c>
      <c r="K20" s="21">
        <f>SUMPRODUCT($AK20:$AR20,$AK$10:$AR$10)*IF($E20="CABA",'Parametros'!G$7,IF($E20="PBA",1-'Parametros'!G$7,1))</f>
        <v/>
      </c>
      <c r="L20" s="21">
        <f>SUMPRODUCT($AK20:$AR20,$AK$11:$AR$11)*IF($E20="CABA",'Parametros'!H$7,IF($E20="PBA",1-'Parametros'!H$7,1))</f>
        <v/>
      </c>
      <c r="M20" s="21">
        <f>SUMPRODUCT($AK20:$AR20,$AK$12:$AR$12)*IF($E20="CABA",'Parametros'!I$7,IF($E20="PBA",1-'Parametros'!I$7,1))</f>
        <v/>
      </c>
      <c r="N20" s="21">
        <f>SUMPRODUCT($AK20:$AR20,$AK$13:$AR$13)*IF($E20="CABA",'Parametros'!J$7,IF($E20="PBA",1-'Parametros'!J$7,1))</f>
        <v/>
      </c>
      <c r="O20" s="21">
        <f>SUMPRODUCT($AK20:$AR20,$AK$14:$AR$14)*IF($E20="CABA",'Parametros'!K$7,IF($E20="PBA",1-'Parametros'!K$7,1))</f>
        <v/>
      </c>
      <c r="AM20" s="22" t="n">
        <v>2.092</v>
      </c>
    </row>
    <row r="21">
      <c r="A21" s="2" t="inlineStr">
        <is>
          <t>Chapa LAF 1220 × 2440 e=1,25</t>
        </is>
      </c>
      <c r="B21" s="2" t="inlineStr">
        <is>
          <t>kg</t>
        </is>
      </c>
      <c r="C21" s="2" t="inlineStr">
        <is>
          <t>Materia prima</t>
        </is>
      </c>
      <c r="D21" s="2" t="inlineStr">
        <is>
          <t>Pradecon S.A.</t>
        </is>
      </c>
      <c r="E21" s="2" t="inlineStr">
        <is>
          <t>Todos</t>
        </is>
      </c>
      <c r="F21" s="21">
        <f>SUMPRODUCT($AK21:$AR21,$AK$5:$AR$5)*IF($E21="CABA",'Parametros'!B$7,IF($E21="PBA",1-'Parametros'!B$7,1))</f>
        <v/>
      </c>
      <c r="G21" s="21">
        <f>SUMPRODUCT($AK21:$AR21,$AK$6:$AR$6)*IF($E21="CABA",'Parametros'!C$7,IF($E21="PBA",1-'Parametros'!C$7,1))</f>
        <v/>
      </c>
      <c r="H21" s="21">
        <f>SUMPRODUCT($AK21:$AR21,$AK$7:$AR$7)*IF($E21="CABA",'Parametros'!D$7,IF($E21="PBA",1-'Parametros'!D$7,1))</f>
        <v/>
      </c>
      <c r="I21" s="21">
        <f>SUMPRODUCT($AK21:$AR21,$AK$8:$AR$8)*IF($E21="CABA",'Parametros'!E$7,IF($E21="PBA",1-'Parametros'!E$7,1))</f>
        <v/>
      </c>
      <c r="J21" s="21">
        <f>SUMPRODUCT($AK21:$AR21,$AK$9:$AR$9)*IF($E21="CABA",'Parametros'!F$7,IF($E21="PBA",1-'Parametros'!F$7,1))</f>
        <v/>
      </c>
      <c r="K21" s="21">
        <f>SUMPRODUCT($AK21:$AR21,$AK$10:$AR$10)*IF($E21="CABA",'Parametros'!G$7,IF($E21="PBA",1-'Parametros'!G$7,1))</f>
        <v/>
      </c>
      <c r="L21" s="21">
        <f>SUMPRODUCT($AK21:$AR21,$AK$11:$AR$11)*IF($E21="CABA",'Parametros'!H$7,IF($E21="PBA",1-'Parametros'!H$7,1))</f>
        <v/>
      </c>
      <c r="M21" s="21">
        <f>SUMPRODUCT($AK21:$AR21,$AK$12:$AR$12)*IF($E21="CABA",'Parametros'!I$7,IF($E21="PBA",1-'Parametros'!I$7,1))</f>
        <v/>
      </c>
      <c r="N21" s="21">
        <f>SUMPRODUCT($AK21:$AR21,$AK$13:$AR$13)*IF($E21="CABA",'Parametros'!J$7,IF($E21="PBA",1-'Parametros'!J$7,1))</f>
        <v/>
      </c>
      <c r="O21" s="21">
        <f>SUMPRODUCT($AK21:$AR21,$AK$14:$AR$14)*IF($E21="CABA",'Parametros'!K$7,IF($E21="PBA",1-'Parametros'!K$7,1))</f>
        <v/>
      </c>
      <c r="AL21" s="22" t="n">
        <v>1.082</v>
      </c>
    </row>
    <row r="22">
      <c r="A22" s="2" t="inlineStr">
        <is>
          <t>Chapa LAF 1500 × 3000 e=2</t>
        </is>
      </c>
      <c r="B22" s="2" t="inlineStr">
        <is>
          <t>kg</t>
        </is>
      </c>
      <c r="C22" s="2" t="inlineStr">
        <is>
          <t>Materia prima</t>
        </is>
      </c>
      <c r="D22" s="2" t="inlineStr">
        <is>
          <t>Pradecon S.A.</t>
        </is>
      </c>
      <c r="E22" s="2" t="inlineStr">
        <is>
          <t>Todos</t>
        </is>
      </c>
      <c r="F22" s="21">
        <f>SUMPRODUCT($AK22:$AR22,$AK$5:$AR$5)*IF($E22="CABA",'Parametros'!B$7,IF($E22="PBA",1-'Parametros'!B$7,1))</f>
        <v/>
      </c>
      <c r="G22" s="21">
        <f>SUMPRODUCT($AK22:$AR22,$AK$6:$AR$6)*IF($E22="CABA",'Parametros'!C$7,IF($E22="PBA",1-'Parametros'!C$7,1))</f>
        <v/>
      </c>
      <c r="H22" s="21">
        <f>SUMPRODUCT($AK22:$AR22,$AK$7:$AR$7)*IF($E22="CABA",'Parametros'!D$7,IF($E22="PBA",1-'Parametros'!D$7,1))</f>
        <v/>
      </c>
      <c r="I22" s="21">
        <f>SUMPRODUCT($AK22:$AR22,$AK$8:$AR$8)*IF($E22="CABA",'Parametros'!E$7,IF($E22="PBA",1-'Parametros'!E$7,1))</f>
        <v/>
      </c>
      <c r="J22" s="21">
        <f>SUMPRODUCT($AK22:$AR22,$AK$9:$AR$9)*IF($E22="CABA",'Parametros'!F$7,IF($E22="PBA",1-'Parametros'!F$7,1))</f>
        <v/>
      </c>
      <c r="K22" s="21">
        <f>SUMPRODUCT($AK22:$AR22,$AK$10:$AR$10)*IF($E22="CABA",'Parametros'!G$7,IF($E22="PBA",1-'Parametros'!G$7,1))</f>
        <v/>
      </c>
      <c r="L22" s="21">
        <f>SUMPRODUCT($AK22:$AR22,$AK$11:$AR$11)*IF($E22="CABA",'Parametros'!H$7,IF($E22="PBA",1-'Parametros'!H$7,1))</f>
        <v/>
      </c>
      <c r="M22" s="21">
        <f>SUMPRODUCT($AK22:$AR22,$AK$12:$AR$12)*IF($E22="CABA",'Parametros'!I$7,IF($E22="PBA",1-'Parametros'!I$7,1))</f>
        <v/>
      </c>
      <c r="N22" s="21">
        <f>SUMPRODUCT($AK22:$AR22,$AK$13:$AR$13)*IF($E22="CABA",'Parametros'!J$7,IF($E22="PBA",1-'Parametros'!J$7,1))</f>
        <v/>
      </c>
      <c r="O22" s="21">
        <f>SUMPRODUCT($AK22:$AR22,$AK$14:$AR$14)*IF($E22="CABA",'Parametros'!K$7,IF($E22="PBA",1-'Parametros'!K$7,1))</f>
        <v/>
      </c>
      <c r="AN22" s="22" t="n">
        <v>4.71</v>
      </c>
    </row>
    <row r="23">
      <c r="A23" s="2" t="inlineStr">
        <is>
          <t>Fleje e=0,9 × 114</t>
        </is>
      </c>
      <c r="B23" s="2" t="inlineStr">
        <is>
          <t>m</t>
        </is>
      </c>
      <c r="C23" s="2" t="inlineStr">
        <is>
          <t>Materia prima</t>
        </is>
      </c>
      <c r="D23" s="2" t="inlineStr">
        <is>
          <t>Pacheco Chapas</t>
        </is>
      </c>
      <c r="E23" s="2" t="inlineStr">
        <is>
          <t>Todos</t>
        </is>
      </c>
      <c r="F23" s="21">
        <f>SUMPRODUCT($AK23:$AR23,$AK$5:$AR$5)*IF($E23="CABA",'Parametros'!B$7,IF($E23="PBA",1-'Parametros'!B$7,1))</f>
        <v/>
      </c>
      <c r="G23" s="21">
        <f>SUMPRODUCT($AK23:$AR23,$AK$6:$AR$6)*IF($E23="CABA",'Parametros'!C$7,IF($E23="PBA",1-'Parametros'!C$7,1))</f>
        <v/>
      </c>
      <c r="H23" s="21">
        <f>SUMPRODUCT($AK23:$AR23,$AK$7:$AR$7)*IF($E23="CABA",'Parametros'!D$7,IF($E23="PBA",1-'Parametros'!D$7,1))</f>
        <v/>
      </c>
      <c r="I23" s="21">
        <f>SUMPRODUCT($AK23:$AR23,$AK$8:$AR$8)*IF($E23="CABA",'Parametros'!E$7,IF($E23="PBA",1-'Parametros'!E$7,1))</f>
        <v/>
      </c>
      <c r="J23" s="21">
        <f>SUMPRODUCT($AK23:$AR23,$AK$9:$AR$9)*IF($E23="CABA",'Parametros'!F$7,IF($E23="PBA",1-'Parametros'!F$7,1))</f>
        <v/>
      </c>
      <c r="K23" s="21">
        <f>SUMPRODUCT($AK23:$AR23,$AK$10:$AR$10)*IF($E23="CABA",'Parametros'!G$7,IF($E23="PBA",1-'Parametros'!G$7,1))</f>
        <v/>
      </c>
      <c r="L23" s="21">
        <f>SUMPRODUCT($AK23:$AR23,$AK$11:$AR$11)*IF($E23="CABA",'Parametros'!H$7,IF($E23="PBA",1-'Parametros'!H$7,1))</f>
        <v/>
      </c>
      <c r="M23" s="21">
        <f>SUMPRODUCT($AK23:$AR23,$AK$12:$AR$12)*IF($E23="CABA",'Parametros'!I$7,IF($E23="PBA",1-'Parametros'!I$7,1))</f>
        <v/>
      </c>
      <c r="N23" s="21">
        <f>SUMPRODUCT($AK23:$AR23,$AK$13:$AR$13)*IF($E23="CABA",'Parametros'!J$7,IF($E23="PBA",1-'Parametros'!J$7,1))</f>
        <v/>
      </c>
      <c r="O23" s="21">
        <f>SUMPRODUCT($AK23:$AR23,$AK$14:$AR$14)*IF($E23="CABA",'Parametros'!K$7,IF($E23="PBA",1-'Parametros'!K$7,1))</f>
        <v/>
      </c>
      <c r="AK23" s="22" t="n">
        <v>0.111</v>
      </c>
    </row>
    <row r="24">
      <c r="A24" s="2" t="inlineStr">
        <is>
          <t>Fleje e=1,25 × 106</t>
        </is>
      </c>
      <c r="B24" s="2" t="inlineStr">
        <is>
          <t>m</t>
        </is>
      </c>
      <c r="C24" s="2" t="inlineStr">
        <is>
          <t>Materia prima</t>
        </is>
      </c>
      <c r="D24" s="2" t="inlineStr">
        <is>
          <t>Pacheco Chapas</t>
        </is>
      </c>
      <c r="E24" s="2" t="inlineStr">
        <is>
          <t>Todos</t>
        </is>
      </c>
      <c r="F24" s="21">
        <f>SUMPRODUCT($AK24:$AR24,$AK$5:$AR$5)*IF($E24="CABA",'Parametros'!B$7,IF($E24="PBA",1-'Parametros'!B$7,1))</f>
        <v/>
      </c>
      <c r="G24" s="21">
        <f>SUMPRODUCT($AK24:$AR24,$AK$6:$AR$6)*IF($E24="CABA",'Parametros'!C$7,IF($E24="PBA",1-'Parametros'!C$7,1))</f>
        <v/>
      </c>
      <c r="H24" s="21">
        <f>SUMPRODUCT($AK24:$AR24,$AK$7:$AR$7)*IF($E24="CABA",'Parametros'!D$7,IF($E24="PBA",1-'Parametros'!D$7,1))</f>
        <v/>
      </c>
      <c r="I24" s="21">
        <f>SUMPRODUCT($AK24:$AR24,$AK$8:$AR$8)*IF($E24="CABA",'Parametros'!E$7,IF($E24="PBA",1-'Parametros'!E$7,1))</f>
        <v/>
      </c>
      <c r="J24" s="21">
        <f>SUMPRODUCT($AK24:$AR24,$AK$9:$AR$9)*IF($E24="CABA",'Parametros'!F$7,IF($E24="PBA",1-'Parametros'!F$7,1))</f>
        <v/>
      </c>
      <c r="K24" s="21">
        <f>SUMPRODUCT($AK24:$AR24,$AK$10:$AR$10)*IF($E24="CABA",'Parametros'!G$7,IF($E24="PBA",1-'Parametros'!G$7,1))</f>
        <v/>
      </c>
      <c r="L24" s="21">
        <f>SUMPRODUCT($AK24:$AR24,$AK$11:$AR$11)*IF($E24="CABA",'Parametros'!H$7,IF($E24="PBA",1-'Parametros'!H$7,1))</f>
        <v/>
      </c>
      <c r="M24" s="21">
        <f>SUMPRODUCT($AK24:$AR24,$AK$12:$AR$12)*IF($E24="CABA",'Parametros'!I$7,IF($E24="PBA",1-'Parametros'!I$7,1))</f>
        <v/>
      </c>
      <c r="N24" s="21">
        <f>SUMPRODUCT($AK24:$AR24,$AK$13:$AR$13)*IF($E24="CABA",'Parametros'!J$7,IF($E24="PBA",1-'Parametros'!J$7,1))</f>
        <v/>
      </c>
      <c r="O24" s="21">
        <f>SUMPRODUCT($AK24:$AR24,$AK$14:$AR$14)*IF($E24="CABA",'Parametros'!K$7,IF($E24="PBA",1-'Parametros'!K$7,1))</f>
        <v/>
      </c>
      <c r="AK24" s="22" t="n">
        <v>0.103</v>
      </c>
    </row>
    <row r="25">
      <c r="A25" s="2" t="inlineStr">
        <is>
          <t>Fleje e=1,25 × 200</t>
        </is>
      </c>
      <c r="B25" s="2" t="inlineStr">
        <is>
          <t>m</t>
        </is>
      </c>
      <c r="C25" s="2" t="inlineStr">
        <is>
          <t>Materia prima</t>
        </is>
      </c>
      <c r="D25" s="2" t="inlineStr">
        <is>
          <t>Pacheco Chapas</t>
        </is>
      </c>
      <c r="E25" s="2" t="inlineStr">
        <is>
          <t>Todos</t>
        </is>
      </c>
      <c r="F25" s="21">
        <f>SUMPRODUCT($AK25:$AR25,$AK$5:$AR$5)*IF($E25="CABA",'Parametros'!B$7,IF($E25="PBA",1-'Parametros'!B$7,1))</f>
        <v/>
      </c>
      <c r="G25" s="21">
        <f>SUMPRODUCT($AK25:$AR25,$AK$6:$AR$6)*IF($E25="CABA",'Parametros'!C$7,IF($E25="PBA",1-'Parametros'!C$7,1))</f>
        <v/>
      </c>
      <c r="H25" s="21">
        <f>SUMPRODUCT($AK25:$AR25,$AK$7:$AR$7)*IF($E25="CABA",'Parametros'!D$7,IF($E25="PBA",1-'Parametros'!D$7,1))</f>
        <v/>
      </c>
      <c r="I25" s="21">
        <f>SUMPRODUCT($AK25:$AR25,$AK$8:$AR$8)*IF($E25="CABA",'Parametros'!E$7,IF($E25="PBA",1-'Parametros'!E$7,1))</f>
        <v/>
      </c>
      <c r="J25" s="21">
        <f>SUMPRODUCT($AK25:$AR25,$AK$9:$AR$9)*IF($E25="CABA",'Parametros'!F$7,IF($E25="PBA",1-'Parametros'!F$7,1))</f>
        <v/>
      </c>
      <c r="K25" s="21">
        <f>SUMPRODUCT($AK25:$AR25,$AK$10:$AR$10)*IF($E25="CABA",'Parametros'!G$7,IF($E25="PBA",1-'Parametros'!G$7,1))</f>
        <v/>
      </c>
      <c r="L25" s="21">
        <f>SUMPRODUCT($AK25:$AR25,$AK$11:$AR$11)*IF($E25="CABA",'Parametros'!H$7,IF($E25="PBA",1-'Parametros'!H$7,1))</f>
        <v/>
      </c>
      <c r="M25" s="21">
        <f>SUMPRODUCT($AK25:$AR25,$AK$12:$AR$12)*IF($E25="CABA",'Parametros'!I$7,IF($E25="PBA",1-'Parametros'!I$7,1))</f>
        <v/>
      </c>
      <c r="N25" s="21">
        <f>SUMPRODUCT($AK25:$AR25,$AK$13:$AR$13)*IF($E25="CABA",'Parametros'!J$7,IF($E25="PBA",1-'Parametros'!J$7,1))</f>
        <v/>
      </c>
      <c r="O25" s="21">
        <f>SUMPRODUCT($AK25:$AR25,$AK$14:$AR$14)*IF($E25="CABA",'Parametros'!K$7,IF($E25="PBA",1-'Parametros'!K$7,1))</f>
        <v/>
      </c>
      <c r="AL25" s="22" t="n">
        <v>0.333</v>
      </c>
    </row>
    <row r="26">
      <c r="A26" s="2" t="inlineStr">
        <is>
          <t>Fleje e=1,6 × 200</t>
        </is>
      </c>
      <c r="B26" s="2" t="inlineStr">
        <is>
          <t>m</t>
        </is>
      </c>
      <c r="C26" s="2" t="inlineStr">
        <is>
          <t>Materia prima</t>
        </is>
      </c>
      <c r="D26" s="2" t="inlineStr">
        <is>
          <t>Pacheco Chapas</t>
        </is>
      </c>
      <c r="E26" s="2" t="inlineStr">
        <is>
          <t>Todos</t>
        </is>
      </c>
      <c r="F26" s="21">
        <f>SUMPRODUCT($AK26:$AR26,$AK$5:$AR$5)*IF($E26="CABA",'Parametros'!B$7,IF($E26="PBA",1-'Parametros'!B$7,1))</f>
        <v/>
      </c>
      <c r="G26" s="21">
        <f>SUMPRODUCT($AK26:$AR26,$AK$6:$AR$6)*IF($E26="CABA",'Parametros'!C$7,IF($E26="PBA",1-'Parametros'!C$7,1))</f>
        <v/>
      </c>
      <c r="H26" s="21">
        <f>SUMPRODUCT($AK26:$AR26,$AK$7:$AR$7)*IF($E26="CABA",'Parametros'!D$7,IF($E26="PBA",1-'Parametros'!D$7,1))</f>
        <v/>
      </c>
      <c r="I26" s="21">
        <f>SUMPRODUCT($AK26:$AR26,$AK$8:$AR$8)*IF($E26="CABA",'Parametros'!E$7,IF($E26="PBA",1-'Parametros'!E$7,1))</f>
        <v/>
      </c>
      <c r="J26" s="21">
        <f>SUMPRODUCT($AK26:$AR26,$AK$9:$AR$9)*IF($E26="CABA",'Parametros'!F$7,IF($E26="PBA",1-'Parametros'!F$7,1))</f>
        <v/>
      </c>
      <c r="K26" s="21">
        <f>SUMPRODUCT($AK26:$AR26,$AK$10:$AR$10)*IF($E26="CABA",'Parametros'!G$7,IF($E26="PBA",1-'Parametros'!G$7,1))</f>
        <v/>
      </c>
      <c r="L26" s="21">
        <f>SUMPRODUCT($AK26:$AR26,$AK$11:$AR$11)*IF($E26="CABA",'Parametros'!H$7,IF($E26="PBA",1-'Parametros'!H$7,1))</f>
        <v/>
      </c>
      <c r="M26" s="21">
        <f>SUMPRODUCT($AK26:$AR26,$AK$12:$AR$12)*IF($E26="CABA",'Parametros'!I$7,IF($E26="PBA",1-'Parametros'!I$7,1))</f>
        <v/>
      </c>
      <c r="N26" s="21">
        <f>SUMPRODUCT($AK26:$AR26,$AK$13:$AR$13)*IF($E26="CABA",'Parametros'!J$7,IF($E26="PBA",1-'Parametros'!J$7,1))</f>
        <v/>
      </c>
      <c r="O26" s="21">
        <f>SUMPRODUCT($AK26:$AR26,$AK$14:$AR$14)*IF($E26="CABA",'Parametros'!K$7,IF($E26="PBA",1-'Parametros'!K$7,1))</f>
        <v/>
      </c>
      <c r="AM26" s="22" t="n">
        <v>0.18</v>
      </c>
    </row>
    <row r="27">
      <c r="A27" s="2" t="inlineStr">
        <is>
          <t>Fleje e=1,6 × 250</t>
        </is>
      </c>
      <c r="B27" s="2" t="inlineStr">
        <is>
          <t>m</t>
        </is>
      </c>
      <c r="C27" s="2" t="inlineStr">
        <is>
          <t>Materia prima</t>
        </is>
      </c>
      <c r="D27" s="2" t="inlineStr">
        <is>
          <t>Pacheco Chapas</t>
        </is>
      </c>
      <c r="E27" s="2" t="inlineStr">
        <is>
          <t>Todos</t>
        </is>
      </c>
      <c r="F27" s="21">
        <f>SUMPRODUCT($AK27:$AR27,$AK$5:$AR$5)*IF($E27="CABA",'Parametros'!B$7,IF($E27="PBA",1-'Parametros'!B$7,1))</f>
        <v/>
      </c>
      <c r="G27" s="21">
        <f>SUMPRODUCT($AK27:$AR27,$AK$6:$AR$6)*IF($E27="CABA",'Parametros'!C$7,IF($E27="PBA",1-'Parametros'!C$7,1))</f>
        <v/>
      </c>
      <c r="H27" s="21">
        <f>SUMPRODUCT($AK27:$AR27,$AK$7:$AR$7)*IF($E27="CABA",'Parametros'!D$7,IF($E27="PBA",1-'Parametros'!D$7,1))</f>
        <v/>
      </c>
      <c r="I27" s="21">
        <f>SUMPRODUCT($AK27:$AR27,$AK$8:$AR$8)*IF($E27="CABA",'Parametros'!E$7,IF($E27="PBA",1-'Parametros'!E$7,1))</f>
        <v/>
      </c>
      <c r="J27" s="21">
        <f>SUMPRODUCT($AK27:$AR27,$AK$9:$AR$9)*IF($E27="CABA",'Parametros'!F$7,IF($E27="PBA",1-'Parametros'!F$7,1))</f>
        <v/>
      </c>
      <c r="K27" s="21">
        <f>SUMPRODUCT($AK27:$AR27,$AK$10:$AR$10)*IF($E27="CABA",'Parametros'!G$7,IF($E27="PBA",1-'Parametros'!G$7,1))</f>
        <v/>
      </c>
      <c r="L27" s="21">
        <f>SUMPRODUCT($AK27:$AR27,$AK$11:$AR$11)*IF($E27="CABA",'Parametros'!H$7,IF($E27="PBA",1-'Parametros'!H$7,1))</f>
        <v/>
      </c>
      <c r="M27" s="21">
        <f>SUMPRODUCT($AK27:$AR27,$AK$12:$AR$12)*IF($E27="CABA",'Parametros'!I$7,IF($E27="PBA",1-'Parametros'!I$7,1))</f>
        <v/>
      </c>
      <c r="N27" s="21">
        <f>SUMPRODUCT($AK27:$AR27,$AK$13:$AR$13)*IF($E27="CABA",'Parametros'!J$7,IF($E27="PBA",1-'Parametros'!J$7,1))</f>
        <v/>
      </c>
      <c r="O27" s="21">
        <f>SUMPRODUCT($AK27:$AR27,$AK$14:$AR$14)*IF($E27="CABA",'Parametros'!K$7,IF($E27="PBA",1-'Parametros'!K$7,1))</f>
        <v/>
      </c>
      <c r="AM27" s="22" t="n">
        <v>0.224</v>
      </c>
    </row>
    <row r="28">
      <c r="A28" s="2" t="inlineStr">
        <is>
          <t>Fleje e=1,6 × 300</t>
        </is>
      </c>
      <c r="B28" s="2" t="inlineStr">
        <is>
          <t>m</t>
        </is>
      </c>
      <c r="C28" s="2" t="inlineStr">
        <is>
          <t>Materia prima</t>
        </is>
      </c>
      <c r="D28" s="2" t="inlineStr">
        <is>
          <t>Pacheco Chapas</t>
        </is>
      </c>
      <c r="E28" s="2" t="inlineStr">
        <is>
          <t>Todos</t>
        </is>
      </c>
      <c r="F28" s="21">
        <f>SUMPRODUCT($AK28:$AR28,$AK$5:$AR$5)*IF($E28="CABA",'Parametros'!B$7,IF($E28="PBA",1-'Parametros'!B$7,1))</f>
        <v/>
      </c>
      <c r="G28" s="21">
        <f>SUMPRODUCT($AK28:$AR28,$AK$6:$AR$6)*IF($E28="CABA",'Parametros'!C$7,IF($E28="PBA",1-'Parametros'!C$7,1))</f>
        <v/>
      </c>
      <c r="H28" s="21">
        <f>SUMPRODUCT($AK28:$AR28,$AK$7:$AR$7)*IF($E28="CABA",'Parametros'!D$7,IF($E28="PBA",1-'Parametros'!D$7,1))</f>
        <v/>
      </c>
      <c r="I28" s="21">
        <f>SUMPRODUCT($AK28:$AR28,$AK$8:$AR$8)*IF($E28="CABA",'Parametros'!E$7,IF($E28="PBA",1-'Parametros'!E$7,1))</f>
        <v/>
      </c>
      <c r="J28" s="21">
        <f>SUMPRODUCT($AK28:$AR28,$AK$9:$AR$9)*IF($E28="CABA",'Parametros'!F$7,IF($E28="PBA",1-'Parametros'!F$7,1))</f>
        <v/>
      </c>
      <c r="K28" s="21">
        <f>SUMPRODUCT($AK28:$AR28,$AK$10:$AR$10)*IF($E28="CABA",'Parametros'!G$7,IF($E28="PBA",1-'Parametros'!G$7,1))</f>
        <v/>
      </c>
      <c r="L28" s="21">
        <f>SUMPRODUCT($AK28:$AR28,$AK$11:$AR$11)*IF($E28="CABA",'Parametros'!H$7,IF($E28="PBA",1-'Parametros'!H$7,1))</f>
        <v/>
      </c>
      <c r="M28" s="21">
        <f>SUMPRODUCT($AK28:$AR28,$AK$12:$AR$12)*IF($E28="CABA",'Parametros'!I$7,IF($E28="PBA",1-'Parametros'!I$7,1))</f>
        <v/>
      </c>
      <c r="N28" s="21">
        <f>SUMPRODUCT($AK28:$AR28,$AK$13:$AR$13)*IF($E28="CABA",'Parametros'!J$7,IF($E28="PBA",1-'Parametros'!J$7,1))</f>
        <v/>
      </c>
      <c r="O28" s="21">
        <f>SUMPRODUCT($AK28:$AR28,$AK$14:$AR$14)*IF($E28="CABA",'Parametros'!K$7,IF($E28="PBA",1-'Parametros'!K$7,1))</f>
        <v/>
      </c>
      <c r="AN28" s="22" t="n">
        <v>0.261</v>
      </c>
    </row>
    <row r="29">
      <c r="A29" s="2" t="inlineStr">
        <is>
          <t>Fleje e=2 × 249</t>
        </is>
      </c>
      <c r="B29" s="2" t="inlineStr">
        <is>
          <t>m</t>
        </is>
      </c>
      <c r="C29" s="2" t="inlineStr">
        <is>
          <t>Materia prima</t>
        </is>
      </c>
      <c r="D29" s="2" t="inlineStr">
        <is>
          <t>Pacheco Chapas</t>
        </is>
      </c>
      <c r="E29" s="2" t="inlineStr">
        <is>
          <t>Todos</t>
        </is>
      </c>
      <c r="F29" s="21">
        <f>SUMPRODUCT($AK29:$AR29,$AK$5:$AR$5)*IF($E29="CABA",'Parametros'!B$7,IF($E29="PBA",1-'Parametros'!B$7,1))</f>
        <v/>
      </c>
      <c r="G29" s="21">
        <f>SUMPRODUCT($AK29:$AR29,$AK$6:$AR$6)*IF($E29="CABA",'Parametros'!C$7,IF($E29="PBA",1-'Parametros'!C$7,1))</f>
        <v/>
      </c>
      <c r="H29" s="21">
        <f>SUMPRODUCT($AK29:$AR29,$AK$7:$AR$7)*IF($E29="CABA",'Parametros'!D$7,IF($E29="PBA",1-'Parametros'!D$7,1))</f>
        <v/>
      </c>
      <c r="I29" s="21">
        <f>SUMPRODUCT($AK29:$AR29,$AK$8:$AR$8)*IF($E29="CABA",'Parametros'!E$7,IF($E29="PBA",1-'Parametros'!E$7,1))</f>
        <v/>
      </c>
      <c r="J29" s="21">
        <f>SUMPRODUCT($AK29:$AR29,$AK$9:$AR$9)*IF($E29="CABA",'Parametros'!F$7,IF($E29="PBA",1-'Parametros'!F$7,1))</f>
        <v/>
      </c>
      <c r="K29" s="21">
        <f>SUMPRODUCT($AK29:$AR29,$AK$10:$AR$10)*IF($E29="CABA",'Parametros'!G$7,IF($E29="PBA",1-'Parametros'!G$7,1))</f>
        <v/>
      </c>
      <c r="L29" s="21">
        <f>SUMPRODUCT($AK29:$AR29,$AK$11:$AR$11)*IF($E29="CABA",'Parametros'!H$7,IF($E29="PBA",1-'Parametros'!H$7,1))</f>
        <v/>
      </c>
      <c r="M29" s="21">
        <f>SUMPRODUCT($AK29:$AR29,$AK$12:$AR$12)*IF($E29="CABA",'Parametros'!I$7,IF($E29="PBA",1-'Parametros'!I$7,1))</f>
        <v/>
      </c>
      <c r="N29" s="21">
        <f>SUMPRODUCT($AK29:$AR29,$AK$13:$AR$13)*IF($E29="CABA",'Parametros'!J$7,IF($E29="PBA",1-'Parametros'!J$7,1))</f>
        <v/>
      </c>
      <c r="O29" s="21">
        <f>SUMPRODUCT($AK29:$AR29,$AK$14:$AR$14)*IF($E29="CABA",'Parametros'!K$7,IF($E29="PBA",1-'Parametros'!K$7,1))</f>
        <v/>
      </c>
      <c r="AN29" s="22" t="n">
        <v>0.208</v>
      </c>
    </row>
    <row r="30">
      <c r="A30" s="2" t="inlineStr">
        <is>
          <t>Cuello roscado — Ø29 × 12,5 de alto, rosca M22x1,5, asiento Ø26</t>
        </is>
      </c>
      <c r="B30" s="2" t="inlineStr">
        <is>
          <t>u</t>
        </is>
      </c>
      <c r="C30" s="2" t="inlineStr">
        <is>
          <t>Semielaborado comprado</t>
        </is>
      </c>
      <c r="D30" s="2" t="inlineStr">
        <is>
          <t>Eli-Met</t>
        </is>
      </c>
      <c r="E30" s="2" t="inlineStr">
        <is>
          <t>Todos</t>
        </is>
      </c>
      <c r="F30" s="21">
        <f>SUMPRODUCT($AK30:$AR30,$AK$5:$AR$5)*IF($E30="CABA",'Parametros'!B$7,IF($E30="PBA",1-'Parametros'!B$7,1))</f>
        <v/>
      </c>
      <c r="G30" s="21">
        <f>SUMPRODUCT($AK30:$AR30,$AK$6:$AR$6)*IF($E30="CABA",'Parametros'!C$7,IF($E30="PBA",1-'Parametros'!C$7,1))</f>
        <v/>
      </c>
      <c r="H30" s="21">
        <f>SUMPRODUCT($AK30:$AR30,$AK$7:$AR$7)*IF($E30="CABA",'Parametros'!D$7,IF($E30="PBA",1-'Parametros'!D$7,1))</f>
        <v/>
      </c>
      <c r="I30" s="21">
        <f>SUMPRODUCT($AK30:$AR30,$AK$8:$AR$8)*IF($E30="CABA",'Parametros'!E$7,IF($E30="PBA",1-'Parametros'!E$7,1))</f>
        <v/>
      </c>
      <c r="J30" s="21">
        <f>SUMPRODUCT($AK30:$AR30,$AK$9:$AR$9)*IF($E30="CABA",'Parametros'!F$7,IF($E30="PBA",1-'Parametros'!F$7,1))</f>
        <v/>
      </c>
      <c r="K30" s="21">
        <f>SUMPRODUCT($AK30:$AR30,$AK$10:$AR$10)*IF($E30="CABA",'Parametros'!G$7,IF($E30="PBA",1-'Parametros'!G$7,1))</f>
        <v/>
      </c>
      <c r="L30" s="21">
        <f>SUMPRODUCT($AK30:$AR30,$AK$11:$AR$11)*IF($E30="CABA",'Parametros'!H$7,IF($E30="PBA",1-'Parametros'!H$7,1))</f>
        <v/>
      </c>
      <c r="M30" s="21">
        <f>SUMPRODUCT($AK30:$AR30,$AK$12:$AR$12)*IF($E30="CABA",'Parametros'!I$7,IF($E30="PBA",1-'Parametros'!I$7,1))</f>
        <v/>
      </c>
      <c r="N30" s="21">
        <f>SUMPRODUCT($AK30:$AR30,$AK$13:$AR$13)*IF($E30="CABA",'Parametros'!J$7,IF($E30="PBA",1-'Parametros'!J$7,1))</f>
        <v/>
      </c>
      <c r="O30" s="21">
        <f>SUMPRODUCT($AK30:$AR30,$AK$14:$AR$14)*IF($E30="CABA",'Parametros'!K$7,IF($E30="PBA",1-'Parametros'!K$7,1))</f>
        <v/>
      </c>
      <c r="AK30" s="22" t="n">
        <v>1</v>
      </c>
    </row>
    <row r="31">
      <c r="A31" s="2" t="inlineStr">
        <is>
          <t>Cuello roscado — Ø36,8 × 14 de alto, rosca M30x1,5, asiento Ø35</t>
        </is>
      </c>
      <c r="B31" s="2" t="inlineStr">
        <is>
          <t>u</t>
        </is>
      </c>
      <c r="C31" s="2" t="inlineStr">
        <is>
          <t>Semielaborado comprado</t>
        </is>
      </c>
      <c r="D31" s="2" t="inlineStr">
        <is>
          <t>Eli-Met</t>
        </is>
      </c>
      <c r="E31" s="2" t="inlineStr">
        <is>
          <t>Todos</t>
        </is>
      </c>
      <c r="F31" s="21">
        <f>SUMPRODUCT($AK31:$AR31,$AK$5:$AR$5)*IF($E31="CABA",'Parametros'!B$7,IF($E31="PBA",1-'Parametros'!B$7,1))</f>
        <v/>
      </c>
      <c r="G31" s="21">
        <f>SUMPRODUCT($AK31:$AR31,$AK$6:$AR$6)*IF($E31="CABA",'Parametros'!C$7,IF($E31="PBA",1-'Parametros'!C$7,1))</f>
        <v/>
      </c>
      <c r="H31" s="21">
        <f>SUMPRODUCT($AK31:$AR31,$AK$7:$AR$7)*IF($E31="CABA",'Parametros'!D$7,IF($E31="PBA",1-'Parametros'!D$7,1))</f>
        <v/>
      </c>
      <c r="I31" s="21">
        <f>SUMPRODUCT($AK31:$AR31,$AK$8:$AR$8)*IF($E31="CABA",'Parametros'!E$7,IF($E31="PBA",1-'Parametros'!E$7,1))</f>
        <v/>
      </c>
      <c r="J31" s="21">
        <f>SUMPRODUCT($AK31:$AR31,$AK$9:$AR$9)*IF($E31="CABA",'Parametros'!F$7,IF($E31="PBA",1-'Parametros'!F$7,1))</f>
        <v/>
      </c>
      <c r="K31" s="21">
        <f>SUMPRODUCT($AK31:$AR31,$AK$10:$AR$10)*IF($E31="CABA",'Parametros'!G$7,IF($E31="PBA",1-'Parametros'!G$7,1))</f>
        <v/>
      </c>
      <c r="L31" s="21">
        <f>SUMPRODUCT($AK31:$AR31,$AK$11:$AR$11)*IF($E31="CABA",'Parametros'!H$7,IF($E31="PBA",1-'Parametros'!H$7,1))</f>
        <v/>
      </c>
      <c r="M31" s="21">
        <f>SUMPRODUCT($AK31:$AR31,$AK$12:$AR$12)*IF($E31="CABA",'Parametros'!I$7,IF($E31="PBA",1-'Parametros'!I$7,1))</f>
        <v/>
      </c>
      <c r="N31" s="21">
        <f>SUMPRODUCT($AK31:$AR31,$AK$13:$AR$13)*IF($E31="CABA",'Parametros'!J$7,IF($E31="PBA",1-'Parametros'!J$7,1))</f>
        <v/>
      </c>
      <c r="O31" s="21">
        <f>SUMPRODUCT($AK31:$AR31,$AK$14:$AR$14)*IF($E31="CABA",'Parametros'!K$7,IF($E31="PBA",1-'Parametros'!K$7,1))</f>
        <v/>
      </c>
      <c r="AN31" s="22" t="n">
        <v>1</v>
      </c>
    </row>
    <row r="32">
      <c r="A32" s="2" t="inlineStr">
        <is>
          <t>Cuello roscado — Ø37 × 14 de alto, rosca M30x1,5, asiento Ø35</t>
        </is>
      </c>
      <c r="B32" s="2" t="inlineStr">
        <is>
          <t>u</t>
        </is>
      </c>
      <c r="C32" s="2" t="inlineStr">
        <is>
          <t>Semielaborado comprado</t>
        </is>
      </c>
      <c r="D32" s="2" t="inlineStr">
        <is>
          <t>Eli-Met</t>
        </is>
      </c>
      <c r="E32" s="2" t="inlineStr">
        <is>
          <t>Todos</t>
        </is>
      </c>
      <c r="F32" s="21">
        <f>SUMPRODUCT($AK32:$AR32,$AK$5:$AR$5)*IF($E32="CABA",'Parametros'!B$7,IF($E32="PBA",1-'Parametros'!B$7,1))</f>
        <v/>
      </c>
      <c r="G32" s="21">
        <f>SUMPRODUCT($AK32:$AR32,$AK$6:$AR$6)*IF($E32="CABA",'Parametros'!C$7,IF($E32="PBA",1-'Parametros'!C$7,1))</f>
        <v/>
      </c>
      <c r="H32" s="21">
        <f>SUMPRODUCT($AK32:$AR32,$AK$7:$AR$7)*IF($E32="CABA",'Parametros'!D$7,IF($E32="PBA",1-'Parametros'!D$7,1))</f>
        <v/>
      </c>
      <c r="I32" s="21">
        <f>SUMPRODUCT($AK32:$AR32,$AK$8:$AR$8)*IF($E32="CABA",'Parametros'!E$7,IF($E32="PBA",1-'Parametros'!E$7,1))</f>
        <v/>
      </c>
      <c r="J32" s="21">
        <f>SUMPRODUCT($AK32:$AR32,$AK$9:$AR$9)*IF($E32="CABA",'Parametros'!F$7,IF($E32="PBA",1-'Parametros'!F$7,1))</f>
        <v/>
      </c>
      <c r="K32" s="21">
        <f>SUMPRODUCT($AK32:$AR32,$AK$10:$AR$10)*IF($E32="CABA",'Parametros'!G$7,IF($E32="PBA",1-'Parametros'!G$7,1))</f>
        <v/>
      </c>
      <c r="L32" s="21">
        <f>SUMPRODUCT($AK32:$AR32,$AK$11:$AR$11)*IF($E32="CABA",'Parametros'!H$7,IF($E32="PBA",1-'Parametros'!H$7,1))</f>
        <v/>
      </c>
      <c r="M32" s="21">
        <f>SUMPRODUCT($AK32:$AR32,$AK$12:$AR$12)*IF($E32="CABA",'Parametros'!I$7,IF($E32="PBA",1-'Parametros'!I$7,1))</f>
        <v/>
      </c>
      <c r="N32" s="21">
        <f>SUMPRODUCT($AK32:$AR32,$AK$13:$AR$13)*IF($E32="CABA",'Parametros'!J$7,IF($E32="PBA",1-'Parametros'!J$7,1))</f>
        <v/>
      </c>
      <c r="O32" s="21">
        <f>SUMPRODUCT($AK32:$AR32,$AK$14:$AR$14)*IF($E32="CABA",'Parametros'!K$7,IF($E32="PBA",1-'Parametros'!K$7,1))</f>
        <v/>
      </c>
      <c r="AL32" s="22" t="n">
        <v>1</v>
      </c>
    </row>
    <row r="33">
      <c r="A33" s="2" t="inlineStr">
        <is>
          <t>Cuello roscado — Ø37 × 15 de alto, rosca M30x1,5, asiento Ø35</t>
        </is>
      </c>
      <c r="B33" s="2" t="inlineStr">
        <is>
          <t>u</t>
        </is>
      </c>
      <c r="C33" s="2" t="inlineStr">
        <is>
          <t>Semielaborado comprado</t>
        </is>
      </c>
      <c r="D33" s="2" t="inlineStr">
        <is>
          <t>Eli-Met</t>
        </is>
      </c>
      <c r="E33" s="2" t="inlineStr">
        <is>
          <t>Todos</t>
        </is>
      </c>
      <c r="F33" s="21">
        <f>SUMPRODUCT($AK33:$AR33,$AK$5:$AR$5)*IF($E33="CABA",'Parametros'!B$7,IF($E33="PBA",1-'Parametros'!B$7,1))</f>
        <v/>
      </c>
      <c r="G33" s="21">
        <f>SUMPRODUCT($AK33:$AR33,$AK$6:$AR$6)*IF($E33="CABA",'Parametros'!C$7,IF($E33="PBA",1-'Parametros'!C$7,1))</f>
        <v/>
      </c>
      <c r="H33" s="21">
        <f>SUMPRODUCT($AK33:$AR33,$AK$7:$AR$7)*IF($E33="CABA",'Parametros'!D$7,IF($E33="PBA",1-'Parametros'!D$7,1))</f>
        <v/>
      </c>
      <c r="I33" s="21">
        <f>SUMPRODUCT($AK33:$AR33,$AK$8:$AR$8)*IF($E33="CABA",'Parametros'!E$7,IF($E33="PBA",1-'Parametros'!E$7,1))</f>
        <v/>
      </c>
      <c r="J33" s="21">
        <f>SUMPRODUCT($AK33:$AR33,$AK$9:$AR$9)*IF($E33="CABA",'Parametros'!F$7,IF($E33="PBA",1-'Parametros'!F$7,1))</f>
        <v/>
      </c>
      <c r="K33" s="21">
        <f>SUMPRODUCT($AK33:$AR33,$AK$10:$AR$10)*IF($E33="CABA",'Parametros'!G$7,IF($E33="PBA",1-'Parametros'!G$7,1))</f>
        <v/>
      </c>
      <c r="L33" s="21">
        <f>SUMPRODUCT($AK33:$AR33,$AK$11:$AR$11)*IF($E33="CABA",'Parametros'!H$7,IF($E33="PBA",1-'Parametros'!H$7,1))</f>
        <v/>
      </c>
      <c r="M33" s="21">
        <f>SUMPRODUCT($AK33:$AR33,$AK$12:$AR$12)*IF($E33="CABA",'Parametros'!I$7,IF($E33="PBA",1-'Parametros'!I$7,1))</f>
        <v/>
      </c>
      <c r="N33" s="21">
        <f>SUMPRODUCT($AK33:$AR33,$AK$13:$AR$13)*IF($E33="CABA",'Parametros'!J$7,IF($E33="PBA",1-'Parametros'!J$7,1))</f>
        <v/>
      </c>
      <c r="O33" s="21">
        <f>SUMPRODUCT($AK33:$AR33,$AK$14:$AR$14)*IF($E33="CABA",'Parametros'!K$7,IF($E33="PBA",1-'Parametros'!K$7,1))</f>
        <v/>
      </c>
      <c r="AM33" s="22" t="n">
        <v>1</v>
      </c>
    </row>
    <row r="34">
      <c r="A34" s="2" t="inlineStr">
        <is>
          <t>Cuello roscado — Ø37 × 35 de alto, rosca M30x1,5, asiento Ø35</t>
        </is>
      </c>
      <c r="B34" s="2" t="inlineStr">
        <is>
          <t>u</t>
        </is>
      </c>
      <c r="C34" s="2" t="inlineStr">
        <is>
          <t>Semielaborado comprado</t>
        </is>
      </c>
      <c r="D34" s="2" t="inlineStr">
        <is>
          <t>Eli-Met</t>
        </is>
      </c>
      <c r="E34" s="2" t="inlineStr">
        <is>
          <t>Todos</t>
        </is>
      </c>
      <c r="F34" s="21">
        <f>SUMPRODUCT($AK34:$AR34,$AK$5:$AR$5)*IF($E34="CABA",'Parametros'!B$7,IF($E34="PBA",1-'Parametros'!B$7,1))</f>
        <v/>
      </c>
      <c r="G34" s="21">
        <f>SUMPRODUCT($AK34:$AR34,$AK$6:$AR$6)*IF($E34="CABA",'Parametros'!C$7,IF($E34="PBA",1-'Parametros'!C$7,1))</f>
        <v/>
      </c>
      <c r="H34" s="21">
        <f>SUMPRODUCT($AK34:$AR34,$AK$7:$AR$7)*IF($E34="CABA",'Parametros'!D$7,IF($E34="PBA",1-'Parametros'!D$7,1))</f>
        <v/>
      </c>
      <c r="I34" s="21">
        <f>SUMPRODUCT($AK34:$AR34,$AK$8:$AR$8)*IF($E34="CABA",'Parametros'!E$7,IF($E34="PBA",1-'Parametros'!E$7,1))</f>
        <v/>
      </c>
      <c r="J34" s="21">
        <f>SUMPRODUCT($AK34:$AR34,$AK$9:$AR$9)*IF($E34="CABA",'Parametros'!F$7,IF($E34="PBA",1-'Parametros'!F$7,1))</f>
        <v/>
      </c>
      <c r="K34" s="21">
        <f>SUMPRODUCT($AK34:$AR34,$AK$10:$AR$10)*IF($E34="CABA",'Parametros'!G$7,IF($E34="PBA",1-'Parametros'!G$7,1))</f>
        <v/>
      </c>
      <c r="L34" s="21">
        <f>SUMPRODUCT($AK34:$AR34,$AK$11:$AR$11)*IF($E34="CABA",'Parametros'!H$7,IF($E34="PBA",1-'Parametros'!H$7,1))</f>
        <v/>
      </c>
      <c r="M34" s="21">
        <f>SUMPRODUCT($AK34:$AR34,$AK$12:$AR$12)*IF($E34="CABA",'Parametros'!I$7,IF($E34="PBA",1-'Parametros'!I$7,1))</f>
        <v/>
      </c>
      <c r="N34" s="21">
        <f>SUMPRODUCT($AK34:$AR34,$AK$13:$AR$13)*IF($E34="CABA",'Parametros'!J$7,IF($E34="PBA",1-'Parametros'!J$7,1))</f>
        <v/>
      </c>
      <c r="O34" s="21">
        <f>SUMPRODUCT($AK34:$AR34,$AK$14:$AR$14)*IF($E34="CABA",'Parametros'!K$7,IF($E34="PBA",1-'Parametros'!K$7,1))</f>
        <v/>
      </c>
      <c r="AO34" s="22" t="n">
        <v>1</v>
      </c>
    </row>
    <row r="35">
      <c r="A35" s="2" t="inlineStr">
        <is>
          <t>Cuello roscado — Ø88 × 37 de alto, rosca RBSP 2 1/2"-11 h, asiento Ø80</t>
        </is>
      </c>
      <c r="B35" s="2" t="inlineStr">
        <is>
          <t>u</t>
        </is>
      </c>
      <c r="C35" s="2" t="inlineStr">
        <is>
          <t>Semielaborado comprado</t>
        </is>
      </c>
      <c r="D35" s="2" t="inlineStr">
        <is>
          <t>Eli-Met</t>
        </is>
      </c>
      <c r="E35" s="2" t="inlineStr">
        <is>
          <t>Todos</t>
        </is>
      </c>
      <c r="F35" s="21">
        <f>SUMPRODUCT($AK35:$AR35,$AK$5:$AR$5)*IF($E35="CABA",'Parametros'!B$7,IF($E35="PBA",1-'Parametros'!B$7,1))</f>
        <v/>
      </c>
      <c r="G35" s="21">
        <f>SUMPRODUCT($AK35:$AR35,$AK$6:$AR$6)*IF($E35="CABA",'Parametros'!C$7,IF($E35="PBA",1-'Parametros'!C$7,1))</f>
        <v/>
      </c>
      <c r="H35" s="21">
        <f>SUMPRODUCT($AK35:$AR35,$AK$7:$AR$7)*IF($E35="CABA",'Parametros'!D$7,IF($E35="PBA",1-'Parametros'!D$7,1))</f>
        <v/>
      </c>
      <c r="I35" s="21">
        <f>SUMPRODUCT($AK35:$AR35,$AK$8:$AR$8)*IF($E35="CABA",'Parametros'!E$7,IF($E35="PBA",1-'Parametros'!E$7,1))</f>
        <v/>
      </c>
      <c r="J35" s="21">
        <f>SUMPRODUCT($AK35:$AR35,$AK$9:$AR$9)*IF($E35="CABA",'Parametros'!F$7,IF($E35="PBA",1-'Parametros'!F$7,1))</f>
        <v/>
      </c>
      <c r="K35" s="21">
        <f>SUMPRODUCT($AK35:$AR35,$AK$10:$AR$10)*IF($E35="CABA",'Parametros'!G$7,IF($E35="PBA",1-'Parametros'!G$7,1))</f>
        <v/>
      </c>
      <c r="L35" s="21">
        <f>SUMPRODUCT($AK35:$AR35,$AK$11:$AR$11)*IF($E35="CABA",'Parametros'!H$7,IF($E35="PBA",1-'Parametros'!H$7,1))</f>
        <v/>
      </c>
      <c r="M35" s="21">
        <f>SUMPRODUCT($AK35:$AR35,$AK$12:$AR$12)*IF($E35="CABA",'Parametros'!I$7,IF($E35="PBA",1-'Parametros'!I$7,1))</f>
        <v/>
      </c>
      <c r="N35" s="21">
        <f>SUMPRODUCT($AK35:$AR35,$AK$13:$AR$13)*IF($E35="CABA",'Parametros'!J$7,IF($E35="PBA",1-'Parametros'!J$7,1))</f>
        <v/>
      </c>
      <c r="O35" s="21">
        <f>SUMPRODUCT($AK35:$AR35,$AK$14:$AR$14)*IF($E35="CABA",'Parametros'!K$7,IF($E35="PBA",1-'Parametros'!K$7,1))</f>
        <v/>
      </c>
      <c r="AP35" s="22" t="n">
        <v>1</v>
      </c>
      <c r="AQ35" s="22" t="n">
        <v>1</v>
      </c>
      <c r="AR35" s="22" t="n">
        <v>1</v>
      </c>
    </row>
    <row r="36">
      <c r="A36" s="2" t="inlineStr">
        <is>
          <t>Cúpula — Ø276,5 × e3,2 × 94,4 de alto; disco Ø358,3</t>
        </is>
      </c>
      <c r="B36" s="2" t="inlineStr">
        <is>
          <t>u</t>
        </is>
      </c>
      <c r="C36" s="2" t="inlineStr">
        <is>
          <t>Semielaborado comprado</t>
        </is>
      </c>
      <c r="D36" s="2" t="inlineStr">
        <is>
          <t>Gockel Ingeniería S.R.L.</t>
        </is>
      </c>
      <c r="E36" s="2" t="inlineStr">
        <is>
          <t>Todos</t>
        </is>
      </c>
      <c r="F36" s="21">
        <f>SUMPRODUCT($AK36:$AR36,$AK$5:$AR$5)*IF($E36="CABA",'Parametros'!B$7,IF($E36="PBA",1-'Parametros'!B$7,1))</f>
        <v/>
      </c>
      <c r="G36" s="21">
        <f>SUMPRODUCT($AK36:$AR36,$AK$6:$AR$6)*IF($E36="CABA",'Parametros'!C$7,IF($E36="PBA",1-'Parametros'!C$7,1))</f>
        <v/>
      </c>
      <c r="H36" s="21">
        <f>SUMPRODUCT($AK36:$AR36,$AK$7:$AR$7)*IF($E36="CABA",'Parametros'!D$7,IF($E36="PBA",1-'Parametros'!D$7,1))</f>
        <v/>
      </c>
      <c r="I36" s="21">
        <f>SUMPRODUCT($AK36:$AR36,$AK$8:$AR$8)*IF($E36="CABA",'Parametros'!E$7,IF($E36="PBA",1-'Parametros'!E$7,1))</f>
        <v/>
      </c>
      <c r="J36" s="21">
        <f>SUMPRODUCT($AK36:$AR36,$AK$9:$AR$9)*IF($E36="CABA",'Parametros'!F$7,IF($E36="PBA",1-'Parametros'!F$7,1))</f>
        <v/>
      </c>
      <c r="K36" s="21">
        <f>SUMPRODUCT($AK36:$AR36,$AK$10:$AR$10)*IF($E36="CABA",'Parametros'!G$7,IF($E36="PBA",1-'Parametros'!G$7,1))</f>
        <v/>
      </c>
      <c r="L36" s="21">
        <f>SUMPRODUCT($AK36:$AR36,$AK$11:$AR$11)*IF($E36="CABA",'Parametros'!H$7,IF($E36="PBA",1-'Parametros'!H$7,1))</f>
        <v/>
      </c>
      <c r="M36" s="21">
        <f>SUMPRODUCT($AK36:$AR36,$AK$12:$AR$12)*IF($E36="CABA",'Parametros'!I$7,IF($E36="PBA",1-'Parametros'!I$7,1))</f>
        <v/>
      </c>
      <c r="N36" s="21">
        <f>SUMPRODUCT($AK36:$AR36,$AK$13:$AR$13)*IF($E36="CABA",'Parametros'!J$7,IF($E36="PBA",1-'Parametros'!J$7,1))</f>
        <v/>
      </c>
      <c r="O36" s="21">
        <f>SUMPRODUCT($AK36:$AR36,$AK$14:$AR$14)*IF($E36="CABA",'Parametros'!K$7,IF($E36="PBA",1-'Parametros'!K$7,1))</f>
        <v/>
      </c>
      <c r="AO36" s="22" t="n">
        <v>1</v>
      </c>
    </row>
    <row r="37">
      <c r="A37" s="2" t="inlineStr">
        <is>
          <t>Cúpula — Ø320 × e3,2 × 109,9 de alto; disco Ø410,8</t>
        </is>
      </c>
      <c r="B37" s="2" t="inlineStr">
        <is>
          <t>u</t>
        </is>
      </c>
      <c r="C37" s="2" t="inlineStr">
        <is>
          <t>Semielaborado comprado</t>
        </is>
      </c>
      <c r="D37" s="2" t="inlineStr">
        <is>
          <t>Gockel Ingeniería S.R.L.</t>
        </is>
      </c>
      <c r="E37" s="2" t="inlineStr">
        <is>
          <t>Todos</t>
        </is>
      </c>
      <c r="F37" s="21">
        <f>SUMPRODUCT($AK37:$AR37,$AK$5:$AR$5)*IF($E37="CABA",'Parametros'!B$7,IF($E37="PBA",1-'Parametros'!B$7,1))</f>
        <v/>
      </c>
      <c r="G37" s="21">
        <f>SUMPRODUCT($AK37:$AR37,$AK$6:$AR$6)*IF($E37="CABA",'Parametros'!C$7,IF($E37="PBA",1-'Parametros'!C$7,1))</f>
        <v/>
      </c>
      <c r="H37" s="21">
        <f>SUMPRODUCT($AK37:$AR37,$AK$7:$AR$7)*IF($E37="CABA",'Parametros'!D$7,IF($E37="PBA",1-'Parametros'!D$7,1))</f>
        <v/>
      </c>
      <c r="I37" s="21">
        <f>SUMPRODUCT($AK37:$AR37,$AK$8:$AR$8)*IF($E37="CABA",'Parametros'!E$7,IF($E37="PBA",1-'Parametros'!E$7,1))</f>
        <v/>
      </c>
      <c r="J37" s="21">
        <f>SUMPRODUCT($AK37:$AR37,$AK$9:$AR$9)*IF($E37="CABA",'Parametros'!F$7,IF($E37="PBA",1-'Parametros'!F$7,1))</f>
        <v/>
      </c>
      <c r="K37" s="21">
        <f>SUMPRODUCT($AK37:$AR37,$AK$10:$AR$10)*IF($E37="CABA",'Parametros'!G$7,IF($E37="PBA",1-'Parametros'!G$7,1))</f>
        <v/>
      </c>
      <c r="L37" s="21">
        <f>SUMPRODUCT($AK37:$AR37,$AK$11:$AR$11)*IF($E37="CABA",'Parametros'!H$7,IF($E37="PBA",1-'Parametros'!H$7,1))</f>
        <v/>
      </c>
      <c r="M37" s="21">
        <f>SUMPRODUCT($AK37:$AR37,$AK$12:$AR$12)*IF($E37="CABA",'Parametros'!I$7,IF($E37="PBA",1-'Parametros'!I$7,1))</f>
        <v/>
      </c>
      <c r="N37" s="21">
        <f>SUMPRODUCT($AK37:$AR37,$AK$13:$AR$13)*IF($E37="CABA",'Parametros'!J$7,IF($E37="PBA",1-'Parametros'!J$7,1))</f>
        <v/>
      </c>
      <c r="O37" s="21">
        <f>SUMPRODUCT($AK37:$AR37,$AK$14:$AR$14)*IF($E37="CABA",'Parametros'!K$7,IF($E37="PBA",1-'Parametros'!K$7,1))</f>
        <v/>
      </c>
      <c r="AP37" s="22" t="n">
        <v>1</v>
      </c>
    </row>
    <row r="38">
      <c r="A38" s="2" t="inlineStr">
        <is>
          <t>Cúpula — Ø390 × e4,75 × 137,3 de alto; disco Ø507,3</t>
        </is>
      </c>
      <c r="B38" s="2" t="inlineStr">
        <is>
          <t>u</t>
        </is>
      </c>
      <c r="C38" s="2" t="inlineStr">
        <is>
          <t>Semielaborado comprado</t>
        </is>
      </c>
      <c r="D38" s="2" t="inlineStr">
        <is>
          <t>Gockel Ingeniería S.R.L.</t>
        </is>
      </c>
      <c r="E38" s="2" t="inlineStr">
        <is>
          <t>Todos</t>
        </is>
      </c>
      <c r="F38" s="21">
        <f>SUMPRODUCT($AK38:$AR38,$AK$5:$AR$5)*IF($E38="CABA",'Parametros'!B$7,IF($E38="PBA",1-'Parametros'!B$7,1))</f>
        <v/>
      </c>
      <c r="G38" s="21">
        <f>SUMPRODUCT($AK38:$AR38,$AK$6:$AR$6)*IF($E38="CABA",'Parametros'!C$7,IF($E38="PBA",1-'Parametros'!C$7,1))</f>
        <v/>
      </c>
      <c r="H38" s="21">
        <f>SUMPRODUCT($AK38:$AR38,$AK$7:$AR$7)*IF($E38="CABA",'Parametros'!D$7,IF($E38="PBA",1-'Parametros'!D$7,1))</f>
        <v/>
      </c>
      <c r="I38" s="21">
        <f>SUMPRODUCT($AK38:$AR38,$AK$8:$AR$8)*IF($E38="CABA",'Parametros'!E$7,IF($E38="PBA",1-'Parametros'!E$7,1))</f>
        <v/>
      </c>
      <c r="J38" s="21">
        <f>SUMPRODUCT($AK38:$AR38,$AK$9:$AR$9)*IF($E38="CABA",'Parametros'!F$7,IF($E38="PBA",1-'Parametros'!F$7,1))</f>
        <v/>
      </c>
      <c r="K38" s="21">
        <f>SUMPRODUCT($AK38:$AR38,$AK$10:$AR$10)*IF($E38="CABA",'Parametros'!G$7,IF($E38="PBA",1-'Parametros'!G$7,1))</f>
        <v/>
      </c>
      <c r="L38" s="21">
        <f>SUMPRODUCT($AK38:$AR38,$AK$11:$AR$11)*IF($E38="CABA",'Parametros'!H$7,IF($E38="PBA",1-'Parametros'!H$7,1))</f>
        <v/>
      </c>
      <c r="M38" s="21">
        <f>SUMPRODUCT($AK38:$AR38,$AK$12:$AR$12)*IF($E38="CABA",'Parametros'!I$7,IF($E38="PBA",1-'Parametros'!I$7,1))</f>
        <v/>
      </c>
      <c r="N38" s="21">
        <f>SUMPRODUCT($AK38:$AR38,$AK$13:$AR$13)*IF($E38="CABA",'Parametros'!J$7,IF($E38="PBA",1-'Parametros'!J$7,1))</f>
        <v/>
      </c>
      <c r="O38" s="21">
        <f>SUMPRODUCT($AK38:$AR38,$AK$14:$AR$14)*IF($E38="CABA",'Parametros'!K$7,IF($E38="PBA",1-'Parametros'!K$7,1))</f>
        <v/>
      </c>
      <c r="AQ38" s="22" t="n">
        <v>1</v>
      </c>
      <c r="AR38" s="22" t="n">
        <v>1</v>
      </c>
    </row>
    <row r="39">
      <c r="A39" s="2" t="inlineStr">
        <is>
          <t>Fondo — Ø276,5 × e3,2 × 95 de alto; disco Ø362,5</t>
        </is>
      </c>
      <c r="B39" s="2" t="inlineStr">
        <is>
          <t>u</t>
        </is>
      </c>
      <c r="C39" s="2" t="inlineStr">
        <is>
          <t>Semielaborado comprado</t>
        </is>
      </c>
      <c r="D39" s="2" t="inlineStr">
        <is>
          <t>Gockel Ingeniería S.R.L.</t>
        </is>
      </c>
      <c r="E39" s="2" t="inlineStr">
        <is>
          <t>Todos</t>
        </is>
      </c>
      <c r="F39" s="21">
        <f>SUMPRODUCT($AK39:$AR39,$AK$5:$AR$5)*IF($E39="CABA",'Parametros'!B$7,IF($E39="PBA",1-'Parametros'!B$7,1))</f>
        <v/>
      </c>
      <c r="G39" s="21">
        <f>SUMPRODUCT($AK39:$AR39,$AK$6:$AR$6)*IF($E39="CABA",'Parametros'!C$7,IF($E39="PBA",1-'Parametros'!C$7,1))</f>
        <v/>
      </c>
      <c r="H39" s="21">
        <f>SUMPRODUCT($AK39:$AR39,$AK$7:$AR$7)*IF($E39="CABA",'Parametros'!D$7,IF($E39="PBA",1-'Parametros'!D$7,1))</f>
        <v/>
      </c>
      <c r="I39" s="21">
        <f>SUMPRODUCT($AK39:$AR39,$AK$8:$AR$8)*IF($E39="CABA",'Parametros'!E$7,IF($E39="PBA",1-'Parametros'!E$7,1))</f>
        <v/>
      </c>
      <c r="J39" s="21">
        <f>SUMPRODUCT($AK39:$AR39,$AK$9:$AR$9)*IF($E39="CABA",'Parametros'!F$7,IF($E39="PBA",1-'Parametros'!F$7,1))</f>
        <v/>
      </c>
      <c r="K39" s="21">
        <f>SUMPRODUCT($AK39:$AR39,$AK$10:$AR$10)*IF($E39="CABA",'Parametros'!G$7,IF($E39="PBA",1-'Parametros'!G$7,1))</f>
        <v/>
      </c>
      <c r="L39" s="21">
        <f>SUMPRODUCT($AK39:$AR39,$AK$11:$AR$11)*IF($E39="CABA",'Parametros'!H$7,IF($E39="PBA",1-'Parametros'!H$7,1))</f>
        <v/>
      </c>
      <c r="M39" s="21">
        <f>SUMPRODUCT($AK39:$AR39,$AK$12:$AR$12)*IF($E39="CABA",'Parametros'!I$7,IF($E39="PBA",1-'Parametros'!I$7,1))</f>
        <v/>
      </c>
      <c r="N39" s="21">
        <f>SUMPRODUCT($AK39:$AR39,$AK$13:$AR$13)*IF($E39="CABA",'Parametros'!J$7,IF($E39="PBA",1-'Parametros'!J$7,1))</f>
        <v/>
      </c>
      <c r="O39" s="21">
        <f>SUMPRODUCT($AK39:$AR39,$AK$14:$AR$14)*IF($E39="CABA",'Parametros'!K$7,IF($E39="PBA",1-'Parametros'!K$7,1))</f>
        <v/>
      </c>
      <c r="AO39" s="22" t="n">
        <v>1</v>
      </c>
    </row>
    <row r="40">
      <c r="A40" s="2" t="inlineStr">
        <is>
          <t>Fondo — Ø320 × e3,2 × 113 de alto; disco Ø423,5</t>
        </is>
      </c>
      <c r="B40" s="2" t="inlineStr">
        <is>
          <t>u</t>
        </is>
      </c>
      <c r="C40" s="2" t="inlineStr">
        <is>
          <t>Semielaborado comprado</t>
        </is>
      </c>
      <c r="D40" s="2" t="inlineStr">
        <is>
          <t>Gockel Ingeniería S.R.L.</t>
        </is>
      </c>
      <c r="E40" s="2" t="inlineStr">
        <is>
          <t>Todos</t>
        </is>
      </c>
      <c r="F40" s="21">
        <f>SUMPRODUCT($AK40:$AR40,$AK$5:$AR$5)*IF($E40="CABA",'Parametros'!B$7,IF($E40="PBA",1-'Parametros'!B$7,1))</f>
        <v/>
      </c>
      <c r="G40" s="21">
        <f>SUMPRODUCT($AK40:$AR40,$AK$6:$AR$6)*IF($E40="CABA",'Parametros'!C$7,IF($E40="PBA",1-'Parametros'!C$7,1))</f>
        <v/>
      </c>
      <c r="H40" s="21">
        <f>SUMPRODUCT($AK40:$AR40,$AK$7:$AR$7)*IF($E40="CABA",'Parametros'!D$7,IF($E40="PBA",1-'Parametros'!D$7,1))</f>
        <v/>
      </c>
      <c r="I40" s="21">
        <f>SUMPRODUCT($AK40:$AR40,$AK$8:$AR$8)*IF($E40="CABA",'Parametros'!E$7,IF($E40="PBA",1-'Parametros'!E$7,1))</f>
        <v/>
      </c>
      <c r="J40" s="21">
        <f>SUMPRODUCT($AK40:$AR40,$AK$9:$AR$9)*IF($E40="CABA",'Parametros'!F$7,IF($E40="PBA",1-'Parametros'!F$7,1))</f>
        <v/>
      </c>
      <c r="K40" s="21">
        <f>SUMPRODUCT($AK40:$AR40,$AK$10:$AR$10)*IF($E40="CABA",'Parametros'!G$7,IF($E40="PBA",1-'Parametros'!G$7,1))</f>
        <v/>
      </c>
      <c r="L40" s="21">
        <f>SUMPRODUCT($AK40:$AR40,$AK$11:$AR$11)*IF($E40="CABA",'Parametros'!H$7,IF($E40="PBA",1-'Parametros'!H$7,1))</f>
        <v/>
      </c>
      <c r="M40" s="21">
        <f>SUMPRODUCT($AK40:$AR40,$AK$12:$AR$12)*IF($E40="CABA",'Parametros'!I$7,IF($E40="PBA",1-'Parametros'!I$7,1))</f>
        <v/>
      </c>
      <c r="N40" s="21">
        <f>SUMPRODUCT($AK40:$AR40,$AK$13:$AR$13)*IF($E40="CABA",'Parametros'!J$7,IF($E40="PBA",1-'Parametros'!J$7,1))</f>
        <v/>
      </c>
      <c r="O40" s="21">
        <f>SUMPRODUCT($AK40:$AR40,$AK$14:$AR$14)*IF($E40="CABA",'Parametros'!K$7,IF($E40="PBA",1-'Parametros'!K$7,1))</f>
        <v/>
      </c>
      <c r="AP40" s="22" t="n">
        <v>1</v>
      </c>
    </row>
    <row r="41">
      <c r="A41" s="2" t="inlineStr">
        <is>
          <t>Fondo — Ø390 × e4,75 × 139,8 de alto; disco Ø518,1</t>
        </is>
      </c>
      <c r="B41" s="2" t="inlineStr">
        <is>
          <t>u</t>
        </is>
      </c>
      <c r="C41" s="2" t="inlineStr">
        <is>
          <t>Semielaborado comprado</t>
        </is>
      </c>
      <c r="D41" s="2" t="inlineStr">
        <is>
          <t>Gockel Ingeniería S.R.L.</t>
        </is>
      </c>
      <c r="E41" s="2" t="inlineStr">
        <is>
          <t>Todos</t>
        </is>
      </c>
      <c r="F41" s="21">
        <f>SUMPRODUCT($AK41:$AR41,$AK$5:$AR$5)*IF($E41="CABA",'Parametros'!B$7,IF($E41="PBA",1-'Parametros'!B$7,1))</f>
        <v/>
      </c>
      <c r="G41" s="21">
        <f>SUMPRODUCT($AK41:$AR41,$AK$6:$AR$6)*IF($E41="CABA",'Parametros'!C$7,IF($E41="PBA",1-'Parametros'!C$7,1))</f>
        <v/>
      </c>
      <c r="H41" s="21">
        <f>SUMPRODUCT($AK41:$AR41,$AK$7:$AR$7)*IF($E41="CABA",'Parametros'!D$7,IF($E41="PBA",1-'Parametros'!D$7,1))</f>
        <v/>
      </c>
      <c r="I41" s="21">
        <f>SUMPRODUCT($AK41:$AR41,$AK$8:$AR$8)*IF($E41="CABA",'Parametros'!E$7,IF($E41="PBA",1-'Parametros'!E$7,1))</f>
        <v/>
      </c>
      <c r="J41" s="21">
        <f>SUMPRODUCT($AK41:$AR41,$AK$9:$AR$9)*IF($E41="CABA",'Parametros'!F$7,IF($E41="PBA",1-'Parametros'!F$7,1))</f>
        <v/>
      </c>
      <c r="K41" s="21">
        <f>SUMPRODUCT($AK41:$AR41,$AK$10:$AR$10)*IF($E41="CABA",'Parametros'!G$7,IF($E41="PBA",1-'Parametros'!G$7,1))</f>
        <v/>
      </c>
      <c r="L41" s="21">
        <f>SUMPRODUCT($AK41:$AR41,$AK$11:$AR$11)*IF($E41="CABA",'Parametros'!H$7,IF($E41="PBA",1-'Parametros'!H$7,1))</f>
        <v/>
      </c>
      <c r="M41" s="21">
        <f>SUMPRODUCT($AK41:$AR41,$AK$12:$AR$12)*IF($E41="CABA",'Parametros'!I$7,IF($E41="PBA",1-'Parametros'!I$7,1))</f>
        <v/>
      </c>
      <c r="N41" s="21">
        <f>SUMPRODUCT($AK41:$AR41,$AK$13:$AR$13)*IF($E41="CABA",'Parametros'!J$7,IF($E41="PBA",1-'Parametros'!J$7,1))</f>
        <v/>
      </c>
      <c r="O41" s="21">
        <f>SUMPRODUCT($AK41:$AR41,$AK$14:$AR$14)*IF($E41="CABA",'Parametros'!K$7,IF($E41="PBA",1-'Parametros'!K$7,1))</f>
        <v/>
      </c>
      <c r="AQ41" s="22" t="n">
        <v>1</v>
      </c>
      <c r="AR41" s="22" t="n">
        <v>1</v>
      </c>
    </row>
    <row r="42">
      <c r="A42" s="23" t="inlineStr">
        <is>
          <t>Alambre MAG ER70S-6 Ø0,9 (AWS A5.18)</t>
        </is>
      </c>
      <c r="B42" s="23" t="inlineStr">
        <is>
          <t>kg</t>
        </is>
      </c>
      <c r="C42" s="23" t="inlineStr">
        <is>
          <t>Consumible de proceso</t>
        </is>
      </c>
      <c r="D42" s="23" t="inlineStr">
        <is>
          <t>Conarco (ESAB Argentina)</t>
        </is>
      </c>
      <c r="E42" s="23" t="inlineStr">
        <is>
          <t>Todos</t>
        </is>
      </c>
      <c r="F42" s="21">
        <f>SUMPRODUCT($AK42:$AR42,$AK$5:$AR$5)*IF($E42="CABA",'Parametros'!B$7,IF($E42="PBA",1-'Parametros'!B$7,1))</f>
        <v/>
      </c>
      <c r="G42" s="21">
        <f>SUMPRODUCT($AK42:$AR42,$AK$6:$AR$6)*IF($E42="CABA",'Parametros'!C$7,IF($E42="PBA",1-'Parametros'!C$7,1))</f>
        <v/>
      </c>
      <c r="H42" s="21">
        <f>SUMPRODUCT($AK42:$AR42,$AK$7:$AR$7)*IF($E42="CABA",'Parametros'!D$7,IF($E42="PBA",1-'Parametros'!D$7,1))</f>
        <v/>
      </c>
      <c r="I42" s="21">
        <f>SUMPRODUCT($AK42:$AR42,$AK$8:$AR$8)*IF($E42="CABA",'Parametros'!E$7,IF($E42="PBA",1-'Parametros'!E$7,1))</f>
        <v/>
      </c>
      <c r="J42" s="21">
        <f>SUMPRODUCT($AK42:$AR42,$AK$9:$AR$9)*IF($E42="CABA",'Parametros'!F$7,IF($E42="PBA",1-'Parametros'!F$7,1))</f>
        <v/>
      </c>
      <c r="K42" s="21">
        <f>SUMPRODUCT($AK42:$AR42,$AK$10:$AR$10)*IF($E42="CABA",'Parametros'!G$7,IF($E42="PBA",1-'Parametros'!G$7,1))</f>
        <v/>
      </c>
      <c r="L42" s="21">
        <f>SUMPRODUCT($AK42:$AR42,$AK$11:$AR$11)*IF($E42="CABA",'Parametros'!H$7,IF($E42="PBA",1-'Parametros'!H$7,1))</f>
        <v/>
      </c>
      <c r="M42" s="21">
        <f>SUMPRODUCT($AK42:$AR42,$AK$12:$AR$12)*IF($E42="CABA",'Parametros'!I$7,IF($E42="PBA",1-'Parametros'!I$7,1))</f>
        <v/>
      </c>
      <c r="N42" s="21">
        <f>SUMPRODUCT($AK42:$AR42,$AK$13:$AR$13)*IF($E42="CABA",'Parametros'!J$7,IF($E42="PBA",1-'Parametros'!J$7,1))</f>
        <v/>
      </c>
      <c r="O42" s="21">
        <f>SUMPRODUCT($AK42:$AR42,$AK$14:$AR$14)*IF($E42="CABA",'Parametros'!K$7,IF($E42="PBA",1-'Parametros'!K$7,1))</f>
        <v/>
      </c>
      <c r="AK42" s="22" t="n">
        <v>0.0146</v>
      </c>
      <c r="AL42" s="22" t="n">
        <v>0.0292</v>
      </c>
      <c r="AM42" s="22" t="n">
        <v>0.0551</v>
      </c>
      <c r="AN42" s="22" t="n">
        <v>0.0985</v>
      </c>
    </row>
    <row r="43">
      <c r="A43" s="23" t="inlineStr">
        <is>
          <t>Alambre MAG ER70S-6 Ø1,2 (AWS A5.18)</t>
        </is>
      </c>
      <c r="B43" s="23" t="inlineStr">
        <is>
          <t>kg</t>
        </is>
      </c>
      <c r="C43" s="23" t="inlineStr">
        <is>
          <t>Consumible de proceso</t>
        </is>
      </c>
      <c r="D43" s="23" t="inlineStr">
        <is>
          <t>Conarco (ESAB Argentina)</t>
        </is>
      </c>
      <c r="E43" s="23" t="inlineStr">
        <is>
          <t>Todos</t>
        </is>
      </c>
      <c r="F43" s="21">
        <f>SUMPRODUCT($AK43:$AR43,$AK$5:$AR$5)*IF($E43="CABA",'Parametros'!B$7,IF($E43="PBA",1-'Parametros'!B$7,1))</f>
        <v/>
      </c>
      <c r="G43" s="21">
        <f>SUMPRODUCT($AK43:$AR43,$AK$6:$AR$6)*IF($E43="CABA",'Parametros'!C$7,IF($E43="PBA",1-'Parametros'!C$7,1))</f>
        <v/>
      </c>
      <c r="H43" s="21">
        <f>SUMPRODUCT($AK43:$AR43,$AK$7:$AR$7)*IF($E43="CABA",'Parametros'!D$7,IF($E43="PBA",1-'Parametros'!D$7,1))</f>
        <v/>
      </c>
      <c r="I43" s="21">
        <f>SUMPRODUCT($AK43:$AR43,$AK$8:$AR$8)*IF($E43="CABA",'Parametros'!E$7,IF($E43="PBA",1-'Parametros'!E$7,1))</f>
        <v/>
      </c>
      <c r="J43" s="21">
        <f>SUMPRODUCT($AK43:$AR43,$AK$9:$AR$9)*IF($E43="CABA",'Parametros'!F$7,IF($E43="PBA",1-'Parametros'!F$7,1))</f>
        <v/>
      </c>
      <c r="K43" s="21">
        <f>SUMPRODUCT($AK43:$AR43,$AK$10:$AR$10)*IF($E43="CABA",'Parametros'!G$7,IF($E43="PBA",1-'Parametros'!G$7,1))</f>
        <v/>
      </c>
      <c r="L43" s="21">
        <f>SUMPRODUCT($AK43:$AR43,$AK$11:$AR$11)*IF($E43="CABA",'Parametros'!H$7,IF($E43="PBA",1-'Parametros'!H$7,1))</f>
        <v/>
      </c>
      <c r="M43" s="21">
        <f>SUMPRODUCT($AK43:$AR43,$AK$12:$AR$12)*IF($E43="CABA",'Parametros'!I$7,IF($E43="PBA",1-'Parametros'!I$7,1))</f>
        <v/>
      </c>
      <c r="N43" s="21">
        <f>SUMPRODUCT($AK43:$AR43,$AK$13:$AR$13)*IF($E43="CABA",'Parametros'!J$7,IF($E43="PBA",1-'Parametros'!J$7,1))</f>
        <v/>
      </c>
      <c r="O43" s="21">
        <f>SUMPRODUCT($AK43:$AR43,$AK$14:$AR$14)*IF($E43="CABA",'Parametros'!K$7,IF($E43="PBA",1-'Parametros'!K$7,1))</f>
        <v/>
      </c>
      <c r="AO43" s="22" t="n">
        <v>0.3431</v>
      </c>
      <c r="AP43" s="22" t="n">
        <v>0.4262</v>
      </c>
      <c r="AQ43" s="22" t="n">
        <v>1.0749</v>
      </c>
      <c r="AR43" s="22" t="n">
        <v>1.0956</v>
      </c>
    </row>
    <row r="44">
      <c r="A44" s="23" t="inlineStr">
        <is>
          <t>Gas de protección MAG Arcal 21 / ARCAL Speed (Ar + 8 % CO₂, M20)</t>
        </is>
      </c>
      <c r="B44" s="23" t="inlineStr">
        <is>
          <t>L</t>
        </is>
      </c>
      <c r="C44" s="23" t="inlineStr">
        <is>
          <t>Consumible de proceso</t>
        </is>
      </c>
      <c r="D44" s="23" t="inlineStr">
        <is>
          <t>Air Liquide Argentina - sucursal Piñeyro</t>
        </is>
      </c>
      <c r="E44" s="23" t="inlineStr">
        <is>
          <t>Todos</t>
        </is>
      </c>
      <c r="F44" s="21">
        <f>SUMPRODUCT($AK44:$AR44,$AK$5:$AR$5)*IF($E44="CABA",'Parametros'!B$7,IF($E44="PBA",1-'Parametros'!B$7,1))</f>
        <v/>
      </c>
      <c r="G44" s="21">
        <f>SUMPRODUCT($AK44:$AR44,$AK$6:$AR$6)*IF($E44="CABA",'Parametros'!C$7,IF($E44="PBA",1-'Parametros'!C$7,1))</f>
        <v/>
      </c>
      <c r="H44" s="21">
        <f>SUMPRODUCT($AK44:$AR44,$AK$7:$AR$7)*IF($E44="CABA",'Parametros'!D$7,IF($E44="PBA",1-'Parametros'!D$7,1))</f>
        <v/>
      </c>
      <c r="I44" s="21">
        <f>SUMPRODUCT($AK44:$AR44,$AK$8:$AR$8)*IF($E44="CABA",'Parametros'!E$7,IF($E44="PBA",1-'Parametros'!E$7,1))</f>
        <v/>
      </c>
      <c r="J44" s="21">
        <f>SUMPRODUCT($AK44:$AR44,$AK$9:$AR$9)*IF($E44="CABA",'Parametros'!F$7,IF($E44="PBA",1-'Parametros'!F$7,1))</f>
        <v/>
      </c>
      <c r="K44" s="21">
        <f>SUMPRODUCT($AK44:$AR44,$AK$10:$AR$10)*IF($E44="CABA",'Parametros'!G$7,IF($E44="PBA",1-'Parametros'!G$7,1))</f>
        <v/>
      </c>
      <c r="L44" s="21">
        <f>SUMPRODUCT($AK44:$AR44,$AK$11:$AR$11)*IF($E44="CABA",'Parametros'!H$7,IF($E44="PBA",1-'Parametros'!H$7,1))</f>
        <v/>
      </c>
      <c r="M44" s="21">
        <f>SUMPRODUCT($AK44:$AR44,$AK$12:$AR$12)*IF($E44="CABA",'Parametros'!I$7,IF($E44="PBA",1-'Parametros'!I$7,1))</f>
        <v/>
      </c>
      <c r="N44" s="21">
        <f>SUMPRODUCT($AK44:$AR44,$AK$13:$AR$13)*IF($E44="CABA",'Parametros'!J$7,IF($E44="PBA",1-'Parametros'!J$7,1))</f>
        <v/>
      </c>
      <c r="O44" s="21">
        <f>SUMPRODUCT($AK44:$AR44,$AK$14:$AR$14)*IF($E44="CABA",'Parametros'!K$7,IF($E44="PBA",1-'Parametros'!K$7,1))</f>
        <v/>
      </c>
      <c r="AK44" s="22" t="n">
        <v>13.3</v>
      </c>
      <c r="AL44" s="22" t="n">
        <v>27.1</v>
      </c>
      <c r="AM44" s="22" t="n">
        <v>32.8</v>
      </c>
      <c r="AN44" s="22" t="n">
        <v>40.8</v>
      </c>
      <c r="AO44" s="22" t="n">
        <v>54.8</v>
      </c>
      <c r="AP44" s="22" t="n">
        <v>68.3</v>
      </c>
      <c r="AQ44" s="22" t="n">
        <v>79.5</v>
      </c>
      <c r="AR44" s="22" t="n">
        <v>84.59999999999999</v>
      </c>
    </row>
    <row r="45">
      <c r="A45" s="25" t="inlineStr">
        <is>
          <t>Granalla de acero S330 / S390 (ISO 11124-3, SAE J444)</t>
        </is>
      </c>
      <c r="B45" s="25" t="inlineStr">
        <is>
          <t>kg</t>
        </is>
      </c>
      <c r="C45" s="25" t="inlineStr">
        <is>
          <t>Consumible de proceso</t>
        </is>
      </c>
      <c r="D45" s="25" t="inlineStr">
        <is>
          <t>CyM Materiales</t>
        </is>
      </c>
      <c r="E45" s="25" t="inlineStr">
        <is>
          <t>Todos</t>
        </is>
      </c>
      <c r="F45" s="21">
        <f>SUMPRODUCT($AK45:$AR45,$AK$5:$AR$5)*IF($E45="CABA",'Parametros'!B$7,IF($E45="PBA",1-'Parametros'!B$7,1))</f>
        <v/>
      </c>
      <c r="G45" s="21">
        <f>SUMPRODUCT($AK45:$AR45,$AK$6:$AR$6)*IF($E45="CABA",'Parametros'!C$7,IF($E45="PBA",1-'Parametros'!C$7,1))</f>
        <v/>
      </c>
      <c r="H45" s="21">
        <f>SUMPRODUCT($AK45:$AR45,$AK$7:$AR$7)*IF($E45="CABA",'Parametros'!D$7,IF($E45="PBA",1-'Parametros'!D$7,1))</f>
        <v/>
      </c>
      <c r="I45" s="21">
        <f>SUMPRODUCT($AK45:$AR45,$AK$8:$AR$8)*IF($E45="CABA",'Parametros'!E$7,IF($E45="PBA",1-'Parametros'!E$7,1))</f>
        <v/>
      </c>
      <c r="J45" s="21">
        <f>SUMPRODUCT($AK45:$AR45,$AK$9:$AR$9)*IF($E45="CABA",'Parametros'!F$7,IF($E45="PBA",1-'Parametros'!F$7,1))</f>
        <v/>
      </c>
      <c r="K45" s="21">
        <f>SUMPRODUCT($AK45:$AR45,$AK$10:$AR$10)*IF($E45="CABA",'Parametros'!G$7,IF($E45="PBA",1-'Parametros'!G$7,1))</f>
        <v/>
      </c>
      <c r="L45" s="21">
        <f>SUMPRODUCT($AK45:$AR45,$AK$11:$AR$11)*IF($E45="CABA",'Parametros'!H$7,IF($E45="PBA",1-'Parametros'!H$7,1))</f>
        <v/>
      </c>
      <c r="M45" s="21">
        <f>SUMPRODUCT($AK45:$AR45,$AK$12:$AR$12)*IF($E45="CABA",'Parametros'!I$7,IF($E45="PBA",1-'Parametros'!I$7,1))</f>
        <v/>
      </c>
      <c r="N45" s="21">
        <f>SUMPRODUCT($AK45:$AR45,$AK$13:$AR$13)*IF($E45="CABA",'Parametros'!J$7,IF($E45="PBA",1-'Parametros'!J$7,1))</f>
        <v/>
      </c>
      <c r="O45" s="21">
        <f>SUMPRODUCT($AK45:$AR45,$AK$14:$AR$14)*IF($E45="CABA",'Parametros'!K$7,IF($E45="PBA",1-'Parametros'!K$7,1))</f>
        <v/>
      </c>
      <c r="AK45" s="22" t="n">
        <v>0.08</v>
      </c>
      <c r="AL45" s="22" t="n">
        <v>0.08</v>
      </c>
      <c r="AM45" s="22" t="n">
        <v>0.08</v>
      </c>
      <c r="AN45" s="22" t="n">
        <v>0.08</v>
      </c>
    </row>
    <row r="46">
      <c r="A46" s="2" t="inlineStr">
        <is>
          <t>Servicio de pintura en polvo al horno, rojo 03-1-050</t>
        </is>
      </c>
      <c r="B46" s="2" t="inlineStr">
        <is>
          <t>u</t>
        </is>
      </c>
      <c r="C46" s="2" t="inlineStr">
        <is>
          <t>Servicio</t>
        </is>
      </c>
      <c r="D46" s="2" t="inlineStr">
        <is>
          <t>Prymax</t>
        </is>
      </c>
      <c r="E46" s="2" t="inlineStr">
        <is>
          <t>Todos</t>
        </is>
      </c>
      <c r="F46" s="21">
        <f>SUMPRODUCT($AK46:$AR46,$AK$5:$AR$5)*IF($E46="CABA",'Parametros'!B$7,IF($E46="PBA",1-'Parametros'!B$7,1))</f>
        <v/>
      </c>
      <c r="G46" s="21">
        <f>SUMPRODUCT($AK46:$AR46,$AK$6:$AR$6)*IF($E46="CABA",'Parametros'!C$7,IF($E46="PBA",1-'Parametros'!C$7,1))</f>
        <v/>
      </c>
      <c r="H46" s="21">
        <f>SUMPRODUCT($AK46:$AR46,$AK$7:$AR$7)*IF($E46="CABA",'Parametros'!D$7,IF($E46="PBA",1-'Parametros'!D$7,1))</f>
        <v/>
      </c>
      <c r="I46" s="21">
        <f>SUMPRODUCT($AK46:$AR46,$AK$8:$AR$8)*IF($E46="CABA",'Parametros'!E$7,IF($E46="PBA",1-'Parametros'!E$7,1))</f>
        <v/>
      </c>
      <c r="J46" s="21">
        <f>SUMPRODUCT($AK46:$AR46,$AK$9:$AR$9)*IF($E46="CABA",'Parametros'!F$7,IF($E46="PBA",1-'Parametros'!F$7,1))</f>
        <v/>
      </c>
      <c r="K46" s="21">
        <f>SUMPRODUCT($AK46:$AR46,$AK$10:$AR$10)*IF($E46="CABA",'Parametros'!G$7,IF($E46="PBA",1-'Parametros'!G$7,1))</f>
        <v/>
      </c>
      <c r="L46" s="21">
        <f>SUMPRODUCT($AK46:$AR46,$AK$11:$AR$11)*IF($E46="CABA",'Parametros'!H$7,IF($E46="PBA",1-'Parametros'!H$7,1))</f>
        <v/>
      </c>
      <c r="M46" s="21">
        <f>SUMPRODUCT($AK46:$AR46,$AK$12:$AR$12)*IF($E46="CABA",'Parametros'!I$7,IF($E46="PBA",1-'Parametros'!I$7,1))</f>
        <v/>
      </c>
      <c r="N46" s="21">
        <f>SUMPRODUCT($AK46:$AR46,$AK$13:$AR$13)*IF($E46="CABA",'Parametros'!J$7,IF($E46="PBA",1-'Parametros'!J$7,1))</f>
        <v/>
      </c>
      <c r="O46" s="21">
        <f>SUMPRODUCT($AK46:$AR46,$AK$14:$AR$14)*IF($E46="CABA",'Parametros'!K$7,IF($E46="PBA",1-'Parametros'!K$7,1))</f>
        <v/>
      </c>
      <c r="AK46" s="22" t="n">
        <v>1</v>
      </c>
      <c r="AL46" s="22" t="n">
        <v>1</v>
      </c>
      <c r="AM46" s="22" t="n">
        <v>1</v>
      </c>
      <c r="AN46" s="22" t="n">
        <v>1</v>
      </c>
    </row>
    <row r="47">
      <c r="A47" s="2" t="inlineStr">
        <is>
          <t>Servicio de pintura en polvo al horno, rojo 03-1-050 (con preparación por quemado)</t>
        </is>
      </c>
      <c r="B47" s="2" t="inlineStr">
        <is>
          <t>u</t>
        </is>
      </c>
      <c r="C47" s="2" t="inlineStr">
        <is>
          <t>Servicio</t>
        </is>
      </c>
      <c r="D47" s="2" t="inlineStr">
        <is>
          <t>Pintor de carros (cotización por mensaje)</t>
        </is>
      </c>
      <c r="E47" s="2" t="inlineStr">
        <is>
          <t>Todos</t>
        </is>
      </c>
      <c r="F47" s="21">
        <f>SUMPRODUCT($AK47:$AR47,$AK$5:$AR$5)*IF($E47="CABA",'Parametros'!B$7,IF($E47="PBA",1-'Parametros'!B$7,1))</f>
        <v/>
      </c>
      <c r="G47" s="21">
        <f>SUMPRODUCT($AK47:$AR47,$AK$6:$AR$6)*IF($E47="CABA",'Parametros'!C$7,IF($E47="PBA",1-'Parametros'!C$7,1))</f>
        <v/>
      </c>
      <c r="H47" s="21">
        <f>SUMPRODUCT($AK47:$AR47,$AK$7:$AR$7)*IF($E47="CABA",'Parametros'!D$7,IF($E47="PBA",1-'Parametros'!D$7,1))</f>
        <v/>
      </c>
      <c r="I47" s="21">
        <f>SUMPRODUCT($AK47:$AR47,$AK$8:$AR$8)*IF($E47="CABA",'Parametros'!E$7,IF($E47="PBA",1-'Parametros'!E$7,1))</f>
        <v/>
      </c>
      <c r="J47" s="21">
        <f>SUMPRODUCT($AK47:$AR47,$AK$9:$AR$9)*IF($E47="CABA",'Parametros'!F$7,IF($E47="PBA",1-'Parametros'!F$7,1))</f>
        <v/>
      </c>
      <c r="K47" s="21">
        <f>SUMPRODUCT($AK47:$AR47,$AK$10:$AR$10)*IF($E47="CABA",'Parametros'!G$7,IF($E47="PBA",1-'Parametros'!G$7,1))</f>
        <v/>
      </c>
      <c r="L47" s="21">
        <f>SUMPRODUCT($AK47:$AR47,$AK$11:$AR$11)*IF($E47="CABA",'Parametros'!H$7,IF($E47="PBA",1-'Parametros'!H$7,1))</f>
        <v/>
      </c>
      <c r="M47" s="21">
        <f>SUMPRODUCT($AK47:$AR47,$AK$12:$AR$12)*IF($E47="CABA",'Parametros'!I$7,IF($E47="PBA",1-'Parametros'!I$7,1))</f>
        <v/>
      </c>
      <c r="N47" s="21">
        <f>SUMPRODUCT($AK47:$AR47,$AK$13:$AR$13)*IF($E47="CABA",'Parametros'!J$7,IF($E47="PBA",1-'Parametros'!J$7,1))</f>
        <v/>
      </c>
      <c r="O47" s="21">
        <f>SUMPRODUCT($AK47:$AR47,$AK$14:$AR$14)*IF($E47="CABA",'Parametros'!K$7,IF($E47="PBA",1-'Parametros'!K$7,1))</f>
        <v/>
      </c>
      <c r="AO47" s="22" t="n">
        <v>1</v>
      </c>
      <c r="AP47" s="22" t="n">
        <v>1</v>
      </c>
      <c r="AQ47" s="22" t="n">
        <v>1</v>
      </c>
      <c r="AR47" s="22" t="n">
        <v>1</v>
      </c>
    </row>
    <row r="48">
      <c r="A48" s="2" t="inlineStr">
        <is>
          <t>Etiqueta de identificación del cilindro suelto</t>
        </is>
      </c>
      <c r="B48" s="2" t="inlineStr">
        <is>
          <t>u</t>
        </is>
      </c>
      <c r="C48" s="2" t="inlineStr">
        <is>
          <t>Identificación</t>
        </is>
      </c>
      <c r="D48" s="2" t="inlineStr">
        <is>
          <t>Astuprint</t>
        </is>
      </c>
      <c r="E48" s="2" t="inlineStr">
        <is>
          <t>Todos</t>
        </is>
      </c>
      <c r="F48" s="21">
        <f>SUMPRODUCT($AK48:$AR48,$AK$5:$AR$5)*IF($E48="CABA",'Parametros'!B$7,IF($E48="PBA",1-'Parametros'!B$7,1))</f>
        <v/>
      </c>
      <c r="G48" s="21">
        <f>SUMPRODUCT($AK48:$AR48,$AK$6:$AR$6)*IF($E48="CABA",'Parametros'!C$7,IF($E48="PBA",1-'Parametros'!C$7,1))</f>
        <v/>
      </c>
      <c r="H48" s="21">
        <f>SUMPRODUCT($AK48:$AR48,$AK$7:$AR$7)*IF($E48="CABA",'Parametros'!D$7,IF($E48="PBA",1-'Parametros'!D$7,1))</f>
        <v/>
      </c>
      <c r="I48" s="21">
        <f>SUMPRODUCT($AK48:$AR48,$AK$8:$AR$8)*IF($E48="CABA",'Parametros'!E$7,IF($E48="PBA",1-'Parametros'!E$7,1))</f>
        <v/>
      </c>
      <c r="J48" s="21">
        <f>SUMPRODUCT($AK48:$AR48,$AK$9:$AR$9)*IF($E48="CABA",'Parametros'!F$7,IF($E48="PBA",1-'Parametros'!F$7,1))</f>
        <v/>
      </c>
      <c r="K48" s="21">
        <f>SUMPRODUCT($AK48:$AR48,$AK$10:$AR$10)*IF($E48="CABA",'Parametros'!G$7,IF($E48="PBA",1-'Parametros'!G$7,1))</f>
        <v/>
      </c>
      <c r="L48" s="21">
        <f>SUMPRODUCT($AK48:$AR48,$AK$11:$AR$11)*IF($E48="CABA",'Parametros'!H$7,IF($E48="PBA",1-'Parametros'!H$7,1))</f>
        <v/>
      </c>
      <c r="M48" s="21">
        <f>SUMPRODUCT($AK48:$AR48,$AK$12:$AR$12)*IF($E48="CABA",'Parametros'!I$7,IF($E48="PBA",1-'Parametros'!I$7,1))</f>
        <v/>
      </c>
      <c r="N48" s="21">
        <f>SUMPRODUCT($AK48:$AR48,$AK$13:$AR$13)*IF($E48="CABA",'Parametros'!J$7,IF($E48="PBA",1-'Parametros'!J$7,1))</f>
        <v/>
      </c>
      <c r="O48" s="21">
        <f>SUMPRODUCT($AK48:$AR48,$AK$14:$AR$14)*IF($E48="CABA",'Parametros'!K$7,IF($E48="PBA",1-'Parametros'!K$7,1))</f>
        <v/>
      </c>
      <c r="AK48" s="22" t="n">
        <v>1</v>
      </c>
      <c r="AL48" s="22" t="n">
        <v>1</v>
      </c>
      <c r="AM48" s="22" t="n">
        <v>1</v>
      </c>
      <c r="AN48" s="22" t="n">
        <v>1</v>
      </c>
      <c r="AO48" s="22" t="n">
        <v>1</v>
      </c>
      <c r="AP48" s="22" t="n">
        <v>1</v>
      </c>
      <c r="AQ48" s="22" t="n">
        <v>1</v>
      </c>
      <c r="AR48" s="22" t="n">
        <v>1</v>
      </c>
    </row>
    <row r="49">
      <c r="A49" s="2" t="inlineStr">
        <is>
          <t>Caja de cartón corrugado doble — 212 × 212 × 582 interior (envolvente del plano + 15 por lado)</t>
        </is>
      </c>
      <c r="B49" s="2" t="inlineStr">
        <is>
          <t>u</t>
        </is>
      </c>
      <c r="C49" s="2" t="inlineStr">
        <is>
          <t>Embalaje</t>
        </is>
      </c>
      <c r="D49" s="2" t="inlineStr">
        <is>
          <t>Maxipack</t>
        </is>
      </c>
      <c r="E49" s="2" t="inlineStr">
        <is>
          <t>Todos</t>
        </is>
      </c>
      <c r="F49" s="21">
        <f>SUMPRODUCT($AK49:$AR49,$AK$5:$AR$5)*IF($E49="CABA",'Parametros'!B$7,IF($E49="PBA",1-'Parametros'!B$7,1))</f>
        <v/>
      </c>
      <c r="G49" s="21">
        <f>SUMPRODUCT($AK49:$AR49,$AK$6:$AR$6)*IF($E49="CABA",'Parametros'!C$7,IF($E49="PBA",1-'Parametros'!C$7,1))</f>
        <v/>
      </c>
      <c r="H49" s="21">
        <f>SUMPRODUCT($AK49:$AR49,$AK$7:$AR$7)*IF($E49="CABA",'Parametros'!D$7,IF($E49="PBA",1-'Parametros'!D$7,1))</f>
        <v/>
      </c>
      <c r="I49" s="21">
        <f>SUMPRODUCT($AK49:$AR49,$AK$8:$AR$8)*IF($E49="CABA",'Parametros'!E$7,IF($E49="PBA",1-'Parametros'!E$7,1))</f>
        <v/>
      </c>
      <c r="J49" s="21">
        <f>SUMPRODUCT($AK49:$AR49,$AK$9:$AR$9)*IF($E49="CABA",'Parametros'!F$7,IF($E49="PBA",1-'Parametros'!F$7,1))</f>
        <v/>
      </c>
      <c r="K49" s="21">
        <f>SUMPRODUCT($AK49:$AR49,$AK$10:$AR$10)*IF($E49="CABA",'Parametros'!G$7,IF($E49="PBA",1-'Parametros'!G$7,1))</f>
        <v/>
      </c>
      <c r="L49" s="21">
        <f>SUMPRODUCT($AK49:$AR49,$AK$11:$AR$11)*IF($E49="CABA",'Parametros'!H$7,IF($E49="PBA",1-'Parametros'!H$7,1))</f>
        <v/>
      </c>
      <c r="M49" s="21">
        <f>SUMPRODUCT($AK49:$AR49,$AK$12:$AR$12)*IF($E49="CABA",'Parametros'!I$7,IF($E49="PBA",1-'Parametros'!I$7,1))</f>
        <v/>
      </c>
      <c r="N49" s="21">
        <f>SUMPRODUCT($AK49:$AR49,$AK$13:$AR$13)*IF($E49="CABA",'Parametros'!J$7,IF($E49="PBA",1-'Parametros'!J$7,1))</f>
        <v/>
      </c>
      <c r="O49" s="21">
        <f>SUMPRODUCT($AK49:$AR49,$AK$14:$AR$14)*IF($E49="CABA",'Parametros'!K$7,IF($E49="PBA",1-'Parametros'!K$7,1))</f>
        <v/>
      </c>
      <c r="AN49" s="22" t="n">
        <v>1</v>
      </c>
    </row>
    <row r="50">
      <c r="A50" s="2" t="inlineStr">
        <is>
          <t>Caja de cartón corrugado simple — 106 × 106 × 318 interior (envolvente del plano + 15 por lado)</t>
        </is>
      </c>
      <c r="B50" s="2" t="inlineStr">
        <is>
          <t>u</t>
        </is>
      </c>
      <c r="C50" s="2" t="inlineStr">
        <is>
          <t>Embalaje</t>
        </is>
      </c>
      <c r="D50" s="2" t="inlineStr">
        <is>
          <t>Maxipack</t>
        </is>
      </c>
      <c r="E50" s="2" t="inlineStr">
        <is>
          <t>Todos</t>
        </is>
      </c>
      <c r="F50" s="21">
        <f>SUMPRODUCT($AK50:$AR50,$AK$5:$AR$5)*IF($E50="CABA",'Parametros'!B$7,IF($E50="PBA",1-'Parametros'!B$7,1))</f>
        <v/>
      </c>
      <c r="G50" s="21">
        <f>SUMPRODUCT($AK50:$AR50,$AK$6:$AR$6)*IF($E50="CABA",'Parametros'!C$7,IF($E50="PBA",1-'Parametros'!C$7,1))</f>
        <v/>
      </c>
      <c r="H50" s="21">
        <f>SUMPRODUCT($AK50:$AR50,$AK$7:$AR$7)*IF($E50="CABA",'Parametros'!D$7,IF($E50="PBA",1-'Parametros'!D$7,1))</f>
        <v/>
      </c>
      <c r="I50" s="21">
        <f>SUMPRODUCT($AK50:$AR50,$AK$8:$AR$8)*IF($E50="CABA",'Parametros'!E$7,IF($E50="PBA",1-'Parametros'!E$7,1))</f>
        <v/>
      </c>
      <c r="J50" s="21">
        <f>SUMPRODUCT($AK50:$AR50,$AK$9:$AR$9)*IF($E50="CABA",'Parametros'!F$7,IF($E50="PBA",1-'Parametros'!F$7,1))</f>
        <v/>
      </c>
      <c r="K50" s="21">
        <f>SUMPRODUCT($AK50:$AR50,$AK$10:$AR$10)*IF($E50="CABA",'Parametros'!G$7,IF($E50="PBA",1-'Parametros'!G$7,1))</f>
        <v/>
      </c>
      <c r="L50" s="21">
        <f>SUMPRODUCT($AK50:$AR50,$AK$11:$AR$11)*IF($E50="CABA",'Parametros'!H$7,IF($E50="PBA",1-'Parametros'!H$7,1))</f>
        <v/>
      </c>
      <c r="M50" s="21">
        <f>SUMPRODUCT($AK50:$AR50,$AK$12:$AR$12)*IF($E50="CABA",'Parametros'!I$7,IF($E50="PBA",1-'Parametros'!I$7,1))</f>
        <v/>
      </c>
      <c r="N50" s="21">
        <f>SUMPRODUCT($AK50:$AR50,$AK$13:$AR$13)*IF($E50="CABA",'Parametros'!J$7,IF($E50="PBA",1-'Parametros'!J$7,1))</f>
        <v/>
      </c>
      <c r="O50" s="21">
        <f>SUMPRODUCT($AK50:$AR50,$AK$14:$AR$14)*IF($E50="CABA",'Parametros'!K$7,IF($E50="PBA",1-'Parametros'!K$7,1))</f>
        <v/>
      </c>
      <c r="AK50" s="22" t="n">
        <v>1</v>
      </c>
    </row>
    <row r="51">
      <c r="A51" s="2" t="inlineStr">
        <is>
          <t>Caja de cartón corrugado simple — 154 × 154 × 334 interior (envolvente del plano + 15 por lado)</t>
        </is>
      </c>
      <c r="B51" s="2" t="inlineStr">
        <is>
          <t>u</t>
        </is>
      </c>
      <c r="C51" s="2" t="inlineStr">
        <is>
          <t>Embalaje</t>
        </is>
      </c>
      <c r="D51" s="2" t="inlineStr">
        <is>
          <t>Maxipack</t>
        </is>
      </c>
      <c r="E51" s="2" t="inlineStr">
        <is>
          <t>Todos</t>
        </is>
      </c>
      <c r="F51" s="21">
        <f>SUMPRODUCT($AK51:$AR51,$AK$5:$AR$5)*IF($E51="CABA",'Parametros'!B$7,IF($E51="PBA",1-'Parametros'!B$7,1))</f>
        <v/>
      </c>
      <c r="G51" s="21">
        <f>SUMPRODUCT($AK51:$AR51,$AK$6:$AR$6)*IF($E51="CABA",'Parametros'!C$7,IF($E51="PBA",1-'Parametros'!C$7,1))</f>
        <v/>
      </c>
      <c r="H51" s="21">
        <f>SUMPRODUCT($AK51:$AR51,$AK$7:$AR$7)*IF($E51="CABA",'Parametros'!D$7,IF($E51="PBA",1-'Parametros'!D$7,1))</f>
        <v/>
      </c>
      <c r="I51" s="21">
        <f>SUMPRODUCT($AK51:$AR51,$AK$8:$AR$8)*IF($E51="CABA",'Parametros'!E$7,IF($E51="PBA",1-'Parametros'!E$7,1))</f>
        <v/>
      </c>
      <c r="J51" s="21">
        <f>SUMPRODUCT($AK51:$AR51,$AK$9:$AR$9)*IF($E51="CABA",'Parametros'!F$7,IF($E51="PBA",1-'Parametros'!F$7,1))</f>
        <v/>
      </c>
      <c r="K51" s="21">
        <f>SUMPRODUCT($AK51:$AR51,$AK$10:$AR$10)*IF($E51="CABA",'Parametros'!G$7,IF($E51="PBA",1-'Parametros'!G$7,1))</f>
        <v/>
      </c>
      <c r="L51" s="21">
        <f>SUMPRODUCT($AK51:$AR51,$AK$11:$AR$11)*IF($E51="CABA",'Parametros'!H$7,IF($E51="PBA",1-'Parametros'!H$7,1))</f>
        <v/>
      </c>
      <c r="M51" s="21">
        <f>SUMPRODUCT($AK51:$AR51,$AK$12:$AR$12)*IF($E51="CABA",'Parametros'!I$7,IF($E51="PBA",1-'Parametros'!I$7,1))</f>
        <v/>
      </c>
      <c r="N51" s="21">
        <f>SUMPRODUCT($AK51:$AR51,$AK$13:$AR$13)*IF($E51="CABA",'Parametros'!J$7,IF($E51="PBA",1-'Parametros'!J$7,1))</f>
        <v/>
      </c>
      <c r="O51" s="21">
        <f>SUMPRODUCT($AK51:$AR51,$AK$14:$AR$14)*IF($E51="CABA",'Parametros'!K$7,IF($E51="PBA",1-'Parametros'!K$7,1))</f>
        <v/>
      </c>
      <c r="AL51" s="22" t="n">
        <v>1</v>
      </c>
    </row>
    <row r="52">
      <c r="A52" s="2" t="inlineStr">
        <is>
          <t>Caja de cartón corrugado simple — 183 × 183 × 410 interior (envolvente del plano + 15 por lado)</t>
        </is>
      </c>
      <c r="B52" s="2" t="inlineStr">
        <is>
          <t>u</t>
        </is>
      </c>
      <c r="C52" s="2" t="inlineStr">
        <is>
          <t>Embalaje</t>
        </is>
      </c>
      <c r="D52" s="2" t="inlineStr">
        <is>
          <t>Maxipack</t>
        </is>
      </c>
      <c r="E52" s="2" t="inlineStr">
        <is>
          <t>Todos</t>
        </is>
      </c>
      <c r="F52" s="21">
        <f>SUMPRODUCT($AK52:$AR52,$AK$5:$AR$5)*IF($E52="CABA",'Parametros'!B$7,IF($E52="PBA",1-'Parametros'!B$7,1))</f>
        <v/>
      </c>
      <c r="G52" s="21">
        <f>SUMPRODUCT($AK52:$AR52,$AK$6:$AR$6)*IF($E52="CABA",'Parametros'!C$7,IF($E52="PBA",1-'Parametros'!C$7,1))</f>
        <v/>
      </c>
      <c r="H52" s="21">
        <f>SUMPRODUCT($AK52:$AR52,$AK$7:$AR$7)*IF($E52="CABA",'Parametros'!D$7,IF($E52="PBA",1-'Parametros'!D$7,1))</f>
        <v/>
      </c>
      <c r="I52" s="21">
        <f>SUMPRODUCT($AK52:$AR52,$AK$8:$AR$8)*IF($E52="CABA",'Parametros'!E$7,IF($E52="PBA",1-'Parametros'!E$7,1))</f>
        <v/>
      </c>
      <c r="J52" s="21">
        <f>SUMPRODUCT($AK52:$AR52,$AK$9:$AR$9)*IF($E52="CABA",'Parametros'!F$7,IF($E52="PBA",1-'Parametros'!F$7,1))</f>
        <v/>
      </c>
      <c r="K52" s="21">
        <f>SUMPRODUCT($AK52:$AR52,$AK$10:$AR$10)*IF($E52="CABA",'Parametros'!G$7,IF($E52="PBA",1-'Parametros'!G$7,1))</f>
        <v/>
      </c>
      <c r="L52" s="21">
        <f>SUMPRODUCT($AK52:$AR52,$AK$11:$AR$11)*IF($E52="CABA",'Parametros'!H$7,IF($E52="PBA",1-'Parametros'!H$7,1))</f>
        <v/>
      </c>
      <c r="M52" s="21">
        <f>SUMPRODUCT($AK52:$AR52,$AK$12:$AR$12)*IF($E52="CABA",'Parametros'!I$7,IF($E52="PBA",1-'Parametros'!I$7,1))</f>
        <v/>
      </c>
      <c r="N52" s="21">
        <f>SUMPRODUCT($AK52:$AR52,$AK$13:$AR$13)*IF($E52="CABA",'Parametros'!J$7,IF($E52="PBA",1-'Parametros'!J$7,1))</f>
        <v/>
      </c>
      <c r="O52" s="21">
        <f>SUMPRODUCT($AK52:$AR52,$AK$14:$AR$14)*IF($E52="CABA",'Parametros'!K$7,IF($E52="PBA",1-'Parametros'!K$7,1))</f>
        <v/>
      </c>
      <c r="AM52" s="22" t="n">
        <v>1</v>
      </c>
    </row>
    <row r="53">
      <c r="A53" s="23" t="inlineStr">
        <is>
          <t>Cinta de embalaje PP 48 mm (cierre de la caja)</t>
        </is>
      </c>
      <c r="B53" s="23" t="inlineStr">
        <is>
          <t>m</t>
        </is>
      </c>
      <c r="C53" s="23" t="inlineStr">
        <is>
          <t>Embalaje</t>
        </is>
      </c>
      <c r="D53" s="23" t="inlineStr">
        <is>
          <t>MV Embalajes</t>
        </is>
      </c>
      <c r="E53" s="23" t="inlineStr">
        <is>
          <t>Todos</t>
        </is>
      </c>
      <c r="F53" s="21">
        <f>SUMPRODUCT($AK53:$AR53,$AK$5:$AR$5)*IF($E53="CABA",'Parametros'!B$7,IF($E53="PBA",1-'Parametros'!B$7,1))</f>
        <v/>
      </c>
      <c r="G53" s="21">
        <f>SUMPRODUCT($AK53:$AR53,$AK$6:$AR$6)*IF($E53="CABA",'Parametros'!C$7,IF($E53="PBA",1-'Parametros'!C$7,1))</f>
        <v/>
      </c>
      <c r="H53" s="21">
        <f>SUMPRODUCT($AK53:$AR53,$AK$7:$AR$7)*IF($E53="CABA",'Parametros'!D$7,IF($E53="PBA",1-'Parametros'!D$7,1))</f>
        <v/>
      </c>
      <c r="I53" s="21">
        <f>SUMPRODUCT($AK53:$AR53,$AK$8:$AR$8)*IF($E53="CABA",'Parametros'!E$7,IF($E53="PBA",1-'Parametros'!E$7,1))</f>
        <v/>
      </c>
      <c r="J53" s="21">
        <f>SUMPRODUCT($AK53:$AR53,$AK$9:$AR$9)*IF($E53="CABA",'Parametros'!F$7,IF($E53="PBA",1-'Parametros'!F$7,1))</f>
        <v/>
      </c>
      <c r="K53" s="21">
        <f>SUMPRODUCT($AK53:$AR53,$AK$10:$AR$10)*IF($E53="CABA",'Parametros'!G$7,IF($E53="PBA",1-'Parametros'!G$7,1))</f>
        <v/>
      </c>
      <c r="L53" s="21">
        <f>SUMPRODUCT($AK53:$AR53,$AK$11:$AR$11)*IF($E53="CABA",'Parametros'!H$7,IF($E53="PBA",1-'Parametros'!H$7,1))</f>
        <v/>
      </c>
      <c r="M53" s="21">
        <f>SUMPRODUCT($AK53:$AR53,$AK$12:$AR$12)*IF($E53="CABA",'Parametros'!I$7,IF($E53="PBA",1-'Parametros'!I$7,1))</f>
        <v/>
      </c>
      <c r="N53" s="21">
        <f>SUMPRODUCT($AK53:$AR53,$AK$13:$AR$13)*IF($E53="CABA",'Parametros'!J$7,IF($E53="PBA",1-'Parametros'!J$7,1))</f>
        <v/>
      </c>
      <c r="O53" s="21">
        <f>SUMPRODUCT($AK53:$AR53,$AK$14:$AR$14)*IF($E53="CABA",'Parametros'!K$7,IF($E53="PBA",1-'Parametros'!K$7,1))</f>
        <v/>
      </c>
      <c r="AK53" s="22" t="n">
        <v>0.492</v>
      </c>
      <c r="AL53" s="22" t="n">
        <v>0.588</v>
      </c>
      <c r="AM53" s="22" t="n">
        <v>0.646</v>
      </c>
      <c r="AN53" s="22" t="n">
        <v>0.703</v>
      </c>
    </row>
    <row r="54">
      <c r="A54" s="2" t="inlineStr">
        <is>
          <t>Esquineros de cartón 50 × 50 × 1200 (fracción del pallet)</t>
        </is>
      </c>
      <c r="B54" s="2" t="inlineStr">
        <is>
          <t>u</t>
        </is>
      </c>
      <c r="C54" s="2" t="inlineStr">
        <is>
          <t>Embalaje</t>
        </is>
      </c>
      <c r="D54" s="2" t="inlineStr">
        <is>
          <t>Maxipack</t>
        </is>
      </c>
      <c r="E54" s="2" t="inlineStr">
        <is>
          <t>Todos</t>
        </is>
      </c>
      <c r="F54" s="21">
        <f>SUMPRODUCT($AK54:$AR54,$AK$5:$AR$5)*IF($E54="CABA",'Parametros'!B$7,IF($E54="PBA",1-'Parametros'!B$7,1))</f>
        <v/>
      </c>
      <c r="G54" s="21">
        <f>SUMPRODUCT($AK54:$AR54,$AK$6:$AR$6)*IF($E54="CABA",'Parametros'!C$7,IF($E54="PBA",1-'Parametros'!C$7,1))</f>
        <v/>
      </c>
      <c r="H54" s="21">
        <f>SUMPRODUCT($AK54:$AR54,$AK$7:$AR$7)*IF($E54="CABA",'Parametros'!D$7,IF($E54="PBA",1-'Parametros'!D$7,1))</f>
        <v/>
      </c>
      <c r="I54" s="21">
        <f>SUMPRODUCT($AK54:$AR54,$AK$8:$AR$8)*IF($E54="CABA",'Parametros'!E$7,IF($E54="PBA",1-'Parametros'!E$7,1))</f>
        <v/>
      </c>
      <c r="J54" s="21">
        <f>SUMPRODUCT($AK54:$AR54,$AK$9:$AR$9)*IF($E54="CABA",'Parametros'!F$7,IF($E54="PBA",1-'Parametros'!F$7,1))</f>
        <v/>
      </c>
      <c r="K54" s="21">
        <f>SUMPRODUCT($AK54:$AR54,$AK$10:$AR$10)*IF($E54="CABA",'Parametros'!G$7,IF($E54="PBA",1-'Parametros'!G$7,1))</f>
        <v/>
      </c>
      <c r="L54" s="21">
        <f>SUMPRODUCT($AK54:$AR54,$AK$11:$AR$11)*IF($E54="CABA",'Parametros'!H$7,IF($E54="PBA",1-'Parametros'!H$7,1))</f>
        <v/>
      </c>
      <c r="M54" s="21">
        <f>SUMPRODUCT($AK54:$AR54,$AK$12:$AR$12)*IF($E54="CABA",'Parametros'!I$7,IF($E54="PBA",1-'Parametros'!I$7,1))</f>
        <v/>
      </c>
      <c r="N54" s="21">
        <f>SUMPRODUCT($AK54:$AR54,$AK$13:$AR$13)*IF($E54="CABA",'Parametros'!J$7,IF($E54="PBA",1-'Parametros'!J$7,1))</f>
        <v/>
      </c>
      <c r="O54" s="21">
        <f>SUMPRODUCT($AK54:$AR54,$AK$14:$AR$14)*IF($E54="CABA",'Parametros'!K$7,IF($E54="PBA",1-'Parametros'!K$7,1))</f>
        <v/>
      </c>
      <c r="AK54" s="22" t="n">
        <v>0.0101</v>
      </c>
      <c r="AL54" s="22" t="n">
        <v>0.0238</v>
      </c>
      <c r="AM54" s="22" t="n">
        <v>0.0444</v>
      </c>
      <c r="AN54" s="22" t="n">
        <v>0.1</v>
      </c>
    </row>
    <row r="55">
      <c r="A55" s="2" t="inlineStr">
        <is>
          <t>Esquineros y funda de polietileno — a medida de la envolvente del plano</t>
        </is>
      </c>
      <c r="B55" s="2" t="inlineStr">
        <is>
          <t>jgo</t>
        </is>
      </c>
      <c r="C55" s="2" t="inlineStr">
        <is>
          <t>Embalaje</t>
        </is>
      </c>
      <c r="D55" s="2" t="inlineStr">
        <is>
          <t>MV Embalajes</t>
        </is>
      </c>
      <c r="E55" s="2" t="inlineStr">
        <is>
          <t>Todos</t>
        </is>
      </c>
      <c r="F55" s="21">
        <f>SUMPRODUCT($AK55:$AR55,$AK$5:$AR$5)*IF($E55="CABA",'Parametros'!B$7,IF($E55="PBA",1-'Parametros'!B$7,1))</f>
        <v/>
      </c>
      <c r="G55" s="21">
        <f>SUMPRODUCT($AK55:$AR55,$AK$6:$AR$6)*IF($E55="CABA",'Parametros'!C$7,IF($E55="PBA",1-'Parametros'!C$7,1))</f>
        <v/>
      </c>
      <c r="H55" s="21">
        <f>SUMPRODUCT($AK55:$AR55,$AK$7:$AR$7)*IF($E55="CABA",'Parametros'!D$7,IF($E55="PBA",1-'Parametros'!D$7,1))</f>
        <v/>
      </c>
      <c r="I55" s="21">
        <f>SUMPRODUCT($AK55:$AR55,$AK$8:$AR$8)*IF($E55="CABA",'Parametros'!E$7,IF($E55="PBA",1-'Parametros'!E$7,1))</f>
        <v/>
      </c>
      <c r="J55" s="21">
        <f>SUMPRODUCT($AK55:$AR55,$AK$9:$AR$9)*IF($E55="CABA",'Parametros'!F$7,IF($E55="PBA",1-'Parametros'!F$7,1))</f>
        <v/>
      </c>
      <c r="K55" s="21">
        <f>SUMPRODUCT($AK55:$AR55,$AK$10:$AR$10)*IF($E55="CABA",'Parametros'!G$7,IF($E55="PBA",1-'Parametros'!G$7,1))</f>
        <v/>
      </c>
      <c r="L55" s="21">
        <f>SUMPRODUCT($AK55:$AR55,$AK$11:$AR$11)*IF($E55="CABA",'Parametros'!H$7,IF($E55="PBA",1-'Parametros'!H$7,1))</f>
        <v/>
      </c>
      <c r="M55" s="21">
        <f>SUMPRODUCT($AK55:$AR55,$AK$12:$AR$12)*IF($E55="CABA",'Parametros'!I$7,IF($E55="PBA",1-'Parametros'!I$7,1))</f>
        <v/>
      </c>
      <c r="N55" s="21">
        <f>SUMPRODUCT($AK55:$AR55,$AK$13:$AR$13)*IF($E55="CABA",'Parametros'!J$7,IF($E55="PBA",1-'Parametros'!J$7,1))</f>
        <v/>
      </c>
      <c r="O55" s="21">
        <f>SUMPRODUCT($AK55:$AR55,$AK$14:$AR$14)*IF($E55="CABA",'Parametros'!K$7,IF($E55="PBA",1-'Parametros'!K$7,1))</f>
        <v/>
      </c>
      <c r="AO55" s="22" t="n">
        <v>1</v>
      </c>
      <c r="AP55" s="22" t="n">
        <v>1</v>
      </c>
      <c r="AQ55" s="22" t="n">
        <v>1</v>
      </c>
      <c r="AR55" s="22" t="n">
        <v>1</v>
      </c>
    </row>
    <row r="56">
      <c r="A56" s="2" t="inlineStr">
        <is>
          <t>Etiqueta de pallet (lote y destino, fracción)</t>
        </is>
      </c>
      <c r="B56" s="2" t="inlineStr">
        <is>
          <t>u</t>
        </is>
      </c>
      <c r="C56" s="2" t="inlineStr">
        <is>
          <t>Embalaje</t>
        </is>
      </c>
      <c r="D56" s="2" t="inlineStr">
        <is>
          <t>Astuprint</t>
        </is>
      </c>
      <c r="E56" s="2" t="inlineStr">
        <is>
          <t>Todos</t>
        </is>
      </c>
      <c r="F56" s="21">
        <f>SUMPRODUCT($AK56:$AR56,$AK$5:$AR$5)*IF($E56="CABA",'Parametros'!B$7,IF($E56="PBA",1-'Parametros'!B$7,1))</f>
        <v/>
      </c>
      <c r="G56" s="21">
        <f>SUMPRODUCT($AK56:$AR56,$AK$6:$AR$6)*IF($E56="CABA",'Parametros'!C$7,IF($E56="PBA",1-'Parametros'!C$7,1))</f>
        <v/>
      </c>
      <c r="H56" s="21">
        <f>SUMPRODUCT($AK56:$AR56,$AK$7:$AR$7)*IF($E56="CABA",'Parametros'!D$7,IF($E56="PBA",1-'Parametros'!D$7,1))</f>
        <v/>
      </c>
      <c r="I56" s="21">
        <f>SUMPRODUCT($AK56:$AR56,$AK$8:$AR$8)*IF($E56="CABA",'Parametros'!E$7,IF($E56="PBA",1-'Parametros'!E$7,1))</f>
        <v/>
      </c>
      <c r="J56" s="21">
        <f>SUMPRODUCT($AK56:$AR56,$AK$9:$AR$9)*IF($E56="CABA",'Parametros'!F$7,IF($E56="PBA",1-'Parametros'!F$7,1))</f>
        <v/>
      </c>
      <c r="K56" s="21">
        <f>SUMPRODUCT($AK56:$AR56,$AK$10:$AR$10)*IF($E56="CABA",'Parametros'!G$7,IF($E56="PBA",1-'Parametros'!G$7,1))</f>
        <v/>
      </c>
      <c r="L56" s="21">
        <f>SUMPRODUCT($AK56:$AR56,$AK$11:$AR$11)*IF($E56="CABA",'Parametros'!H$7,IF($E56="PBA",1-'Parametros'!H$7,1))</f>
        <v/>
      </c>
      <c r="M56" s="21">
        <f>SUMPRODUCT($AK56:$AR56,$AK$12:$AR$12)*IF($E56="CABA",'Parametros'!I$7,IF($E56="PBA",1-'Parametros'!I$7,1))</f>
        <v/>
      </c>
      <c r="N56" s="21">
        <f>SUMPRODUCT($AK56:$AR56,$AK$13:$AR$13)*IF($E56="CABA",'Parametros'!J$7,IF($E56="PBA",1-'Parametros'!J$7,1))</f>
        <v/>
      </c>
      <c r="O56" s="21">
        <f>SUMPRODUCT($AK56:$AR56,$AK$14:$AR$14)*IF($E56="CABA",'Parametros'!K$7,IF($E56="PBA",1-'Parametros'!K$7,1))</f>
        <v/>
      </c>
      <c r="AK56" s="22" t="n">
        <v>0.0025</v>
      </c>
      <c r="AL56" s="22" t="n">
        <v>0.006</v>
      </c>
      <c r="AM56" s="22" t="n">
        <v>0.0111</v>
      </c>
      <c r="AN56" s="22" t="n">
        <v>0.025</v>
      </c>
      <c r="AO56" s="22" t="n">
        <v>0.0833</v>
      </c>
      <c r="AP56" s="22" t="n">
        <v>0.1111</v>
      </c>
      <c r="AQ56" s="22" t="n">
        <v>0.1667</v>
      </c>
      <c r="AR56" s="22" t="n">
        <v>0.1667</v>
      </c>
    </row>
    <row r="57">
      <c r="A57" s="23" t="inlineStr">
        <is>
          <t>Film stretch (fracción del pallet)</t>
        </is>
      </c>
      <c r="B57" s="23" t="inlineStr">
        <is>
          <t>kg</t>
        </is>
      </c>
      <c r="C57" s="23" t="inlineStr">
        <is>
          <t>Embalaje</t>
        </is>
      </c>
      <c r="D57" s="23" t="inlineStr">
        <is>
          <t>MV Embalajes</t>
        </is>
      </c>
      <c r="E57" s="23" t="inlineStr">
        <is>
          <t>Todos</t>
        </is>
      </c>
      <c r="F57" s="21">
        <f>SUMPRODUCT($AK57:$AR57,$AK$5:$AR$5)*IF($E57="CABA",'Parametros'!B$7,IF($E57="PBA",1-'Parametros'!B$7,1))</f>
        <v/>
      </c>
      <c r="G57" s="21">
        <f>SUMPRODUCT($AK57:$AR57,$AK$6:$AR$6)*IF($E57="CABA",'Parametros'!C$7,IF($E57="PBA",1-'Parametros'!C$7,1))</f>
        <v/>
      </c>
      <c r="H57" s="21">
        <f>SUMPRODUCT($AK57:$AR57,$AK$7:$AR$7)*IF($E57="CABA",'Parametros'!D$7,IF($E57="PBA",1-'Parametros'!D$7,1))</f>
        <v/>
      </c>
      <c r="I57" s="21">
        <f>SUMPRODUCT($AK57:$AR57,$AK$8:$AR$8)*IF($E57="CABA",'Parametros'!E$7,IF($E57="PBA",1-'Parametros'!E$7,1))</f>
        <v/>
      </c>
      <c r="J57" s="21">
        <f>SUMPRODUCT($AK57:$AR57,$AK$9:$AR$9)*IF($E57="CABA",'Parametros'!F$7,IF($E57="PBA",1-'Parametros'!F$7,1))</f>
        <v/>
      </c>
      <c r="K57" s="21">
        <f>SUMPRODUCT($AK57:$AR57,$AK$10:$AR$10)*IF($E57="CABA",'Parametros'!G$7,IF($E57="PBA",1-'Parametros'!G$7,1))</f>
        <v/>
      </c>
      <c r="L57" s="21">
        <f>SUMPRODUCT($AK57:$AR57,$AK$11:$AR$11)*IF($E57="CABA",'Parametros'!H$7,IF($E57="PBA",1-'Parametros'!H$7,1))</f>
        <v/>
      </c>
      <c r="M57" s="21">
        <f>SUMPRODUCT($AK57:$AR57,$AK$12:$AR$12)*IF($E57="CABA",'Parametros'!I$7,IF($E57="PBA",1-'Parametros'!I$7,1))</f>
        <v/>
      </c>
      <c r="N57" s="21">
        <f>SUMPRODUCT($AK57:$AR57,$AK$13:$AR$13)*IF($E57="CABA",'Parametros'!J$7,IF($E57="PBA",1-'Parametros'!J$7,1))</f>
        <v/>
      </c>
      <c r="O57" s="21">
        <f>SUMPRODUCT($AK57:$AR57,$AK$14:$AR$14)*IF($E57="CABA",'Parametros'!K$7,IF($E57="PBA",1-'Parametros'!K$7,1))</f>
        <v/>
      </c>
      <c r="AK57" s="22" t="n">
        <v>0.0003</v>
      </c>
      <c r="AL57" s="22" t="n">
        <v>0.0007</v>
      </c>
      <c r="AM57" s="22" t="n">
        <v>0.0013</v>
      </c>
      <c r="AN57" s="22" t="n">
        <v>0.003</v>
      </c>
      <c r="AO57" s="22" t="n">
        <v>0.01</v>
      </c>
      <c r="AP57" s="22" t="n">
        <v>0.0133</v>
      </c>
      <c r="AQ57" s="22" t="n">
        <v>0.02</v>
      </c>
      <c r="AR57" s="22" t="n">
        <v>0.02</v>
      </c>
    </row>
    <row r="58">
      <c r="A58" s="2" t="inlineStr">
        <is>
          <t>Pallet 1200 × 1000 (fracción)</t>
        </is>
      </c>
      <c r="B58" s="2" t="inlineStr">
        <is>
          <t>u</t>
        </is>
      </c>
      <c r="C58" s="2" t="inlineStr">
        <is>
          <t>Embalaje</t>
        </is>
      </c>
      <c r="D58" s="2" t="inlineStr">
        <is>
          <t>IndusPallets</t>
        </is>
      </c>
      <c r="E58" s="2" t="inlineStr">
        <is>
          <t>Todos</t>
        </is>
      </c>
      <c r="F58" s="21">
        <f>SUMPRODUCT($AK58:$AR58,$AK$5:$AR$5)*IF($E58="CABA",'Parametros'!B$7,IF($E58="PBA",1-'Parametros'!B$7,1))</f>
        <v/>
      </c>
      <c r="G58" s="21">
        <f>SUMPRODUCT($AK58:$AR58,$AK$6:$AR$6)*IF($E58="CABA",'Parametros'!C$7,IF($E58="PBA",1-'Parametros'!C$7,1))</f>
        <v/>
      </c>
      <c r="H58" s="21">
        <f>SUMPRODUCT($AK58:$AR58,$AK$7:$AR$7)*IF($E58="CABA",'Parametros'!D$7,IF($E58="PBA",1-'Parametros'!D$7,1))</f>
        <v/>
      </c>
      <c r="I58" s="21">
        <f>SUMPRODUCT($AK58:$AR58,$AK$8:$AR$8)*IF($E58="CABA",'Parametros'!E$7,IF($E58="PBA",1-'Parametros'!E$7,1))</f>
        <v/>
      </c>
      <c r="J58" s="21">
        <f>SUMPRODUCT($AK58:$AR58,$AK$9:$AR$9)*IF($E58="CABA",'Parametros'!F$7,IF($E58="PBA",1-'Parametros'!F$7,1))</f>
        <v/>
      </c>
      <c r="K58" s="21">
        <f>SUMPRODUCT($AK58:$AR58,$AK$10:$AR$10)*IF($E58="CABA",'Parametros'!G$7,IF($E58="PBA",1-'Parametros'!G$7,1))</f>
        <v/>
      </c>
      <c r="L58" s="21">
        <f>SUMPRODUCT($AK58:$AR58,$AK$11:$AR$11)*IF($E58="CABA",'Parametros'!H$7,IF($E58="PBA",1-'Parametros'!H$7,1))</f>
        <v/>
      </c>
      <c r="M58" s="21">
        <f>SUMPRODUCT($AK58:$AR58,$AK$12:$AR$12)*IF($E58="CABA",'Parametros'!I$7,IF($E58="PBA",1-'Parametros'!I$7,1))</f>
        <v/>
      </c>
      <c r="N58" s="21">
        <f>SUMPRODUCT($AK58:$AR58,$AK$13:$AR$13)*IF($E58="CABA",'Parametros'!J$7,IF($E58="PBA",1-'Parametros'!J$7,1))</f>
        <v/>
      </c>
      <c r="O58" s="21">
        <f>SUMPRODUCT($AK58:$AR58,$AK$14:$AR$14)*IF($E58="CABA",'Parametros'!K$7,IF($E58="PBA",1-'Parametros'!K$7,1))</f>
        <v/>
      </c>
      <c r="AK58" s="22" t="n">
        <v>0.0025</v>
      </c>
      <c r="AL58" s="22" t="n">
        <v>0.006</v>
      </c>
      <c r="AM58" s="22" t="n">
        <v>0.0111</v>
      </c>
      <c r="AN58" s="22" t="n">
        <v>0.025</v>
      </c>
      <c r="AO58" s="22" t="n">
        <v>0.0833</v>
      </c>
      <c r="AP58" s="22" t="n">
        <v>0.1111</v>
      </c>
      <c r="AQ58" s="22" t="n">
        <v>0.1667</v>
      </c>
      <c r="AR58" s="22" t="n">
        <v>0.1667</v>
      </c>
    </row>
    <row r="59">
      <c r="A59" s="2" t="inlineStr">
        <is>
          <t>Separador de capa de cartón 1200 × 1000 (fracción del pallet)</t>
        </is>
      </c>
      <c r="B59" s="2" t="inlineStr">
        <is>
          <t>u</t>
        </is>
      </c>
      <c r="C59" s="2" t="inlineStr">
        <is>
          <t>Embalaje</t>
        </is>
      </c>
      <c r="D59" s="2" t="inlineStr">
        <is>
          <t>Maxipack</t>
        </is>
      </c>
      <c r="E59" s="2" t="inlineStr">
        <is>
          <t>Todos</t>
        </is>
      </c>
      <c r="F59" s="21">
        <f>SUMPRODUCT($AK59:$AR59,$AK$5:$AR$5)*IF($E59="CABA",'Parametros'!B$7,IF($E59="PBA",1-'Parametros'!B$7,1))</f>
        <v/>
      </c>
      <c r="G59" s="21">
        <f>SUMPRODUCT($AK59:$AR59,$AK$6:$AR$6)*IF($E59="CABA",'Parametros'!C$7,IF($E59="PBA",1-'Parametros'!C$7,1))</f>
        <v/>
      </c>
      <c r="H59" s="21">
        <f>SUMPRODUCT($AK59:$AR59,$AK$7:$AR$7)*IF($E59="CABA",'Parametros'!D$7,IF($E59="PBA",1-'Parametros'!D$7,1))</f>
        <v/>
      </c>
      <c r="I59" s="21">
        <f>SUMPRODUCT($AK59:$AR59,$AK$8:$AR$8)*IF($E59="CABA",'Parametros'!E$7,IF($E59="PBA",1-'Parametros'!E$7,1))</f>
        <v/>
      </c>
      <c r="J59" s="21">
        <f>SUMPRODUCT($AK59:$AR59,$AK$9:$AR$9)*IF($E59="CABA",'Parametros'!F$7,IF($E59="PBA",1-'Parametros'!F$7,1))</f>
        <v/>
      </c>
      <c r="K59" s="21">
        <f>SUMPRODUCT($AK59:$AR59,$AK$10:$AR$10)*IF($E59="CABA",'Parametros'!G$7,IF($E59="PBA",1-'Parametros'!G$7,1))</f>
        <v/>
      </c>
      <c r="L59" s="21">
        <f>SUMPRODUCT($AK59:$AR59,$AK$11:$AR$11)*IF($E59="CABA",'Parametros'!H$7,IF($E59="PBA",1-'Parametros'!H$7,1))</f>
        <v/>
      </c>
      <c r="M59" s="21">
        <f>SUMPRODUCT($AK59:$AR59,$AK$12:$AR$12)*IF($E59="CABA",'Parametros'!I$7,IF($E59="PBA",1-'Parametros'!I$7,1))</f>
        <v/>
      </c>
      <c r="N59" s="21">
        <f>SUMPRODUCT($AK59:$AR59,$AK$13:$AR$13)*IF($E59="CABA",'Parametros'!J$7,IF($E59="PBA",1-'Parametros'!J$7,1))</f>
        <v/>
      </c>
      <c r="O59" s="21">
        <f>SUMPRODUCT($AK59:$AR59,$AK$14:$AR$14)*IF($E59="CABA",'Parametros'!K$7,IF($E59="PBA",1-'Parametros'!K$7,1))</f>
        <v/>
      </c>
      <c r="AK59" s="22" t="n">
        <v>0.0076</v>
      </c>
      <c r="AL59" s="22" t="n">
        <v>0.0179</v>
      </c>
      <c r="AM59" s="22" t="n">
        <v>0.0222</v>
      </c>
      <c r="AN59" s="22" t="n">
        <v>0.025</v>
      </c>
    </row>
    <row r="60">
      <c r="A60" s="25" t="inlineStr">
        <is>
          <t>Tapón protector de rosca del cuello</t>
        </is>
      </c>
      <c r="B60" s="25" t="inlineStr">
        <is>
          <t>u</t>
        </is>
      </c>
      <c r="C60" s="25" t="inlineStr">
        <is>
          <t>Embalaje</t>
        </is>
      </c>
      <c r="D60" s="25" t="inlineStr">
        <is>
          <t>-</t>
        </is>
      </c>
      <c r="E60" s="25" t="inlineStr">
        <is>
          <t>Todos</t>
        </is>
      </c>
      <c r="F60" s="21">
        <f>SUMPRODUCT($AK60:$AR60,$AK$5:$AR$5)*IF($E60="CABA",'Parametros'!B$7,IF($E60="PBA",1-'Parametros'!B$7,1))</f>
        <v/>
      </c>
      <c r="G60" s="21">
        <f>SUMPRODUCT($AK60:$AR60,$AK$6:$AR$6)*IF($E60="CABA",'Parametros'!C$7,IF($E60="PBA",1-'Parametros'!C$7,1))</f>
        <v/>
      </c>
      <c r="H60" s="21">
        <f>SUMPRODUCT($AK60:$AR60,$AK$7:$AR$7)*IF($E60="CABA",'Parametros'!D$7,IF($E60="PBA",1-'Parametros'!D$7,1))</f>
        <v/>
      </c>
      <c r="I60" s="21">
        <f>SUMPRODUCT($AK60:$AR60,$AK$8:$AR$8)*IF($E60="CABA",'Parametros'!E$7,IF($E60="PBA",1-'Parametros'!E$7,1))</f>
        <v/>
      </c>
      <c r="J60" s="21">
        <f>SUMPRODUCT($AK60:$AR60,$AK$9:$AR$9)*IF($E60="CABA",'Parametros'!F$7,IF($E60="PBA",1-'Parametros'!F$7,1))</f>
        <v/>
      </c>
      <c r="K60" s="21">
        <f>SUMPRODUCT($AK60:$AR60,$AK$10:$AR$10)*IF($E60="CABA",'Parametros'!G$7,IF($E60="PBA",1-'Parametros'!G$7,1))</f>
        <v/>
      </c>
      <c r="L60" s="21">
        <f>SUMPRODUCT($AK60:$AR60,$AK$11:$AR$11)*IF($E60="CABA",'Parametros'!H$7,IF($E60="PBA",1-'Parametros'!H$7,1))</f>
        <v/>
      </c>
      <c r="M60" s="21">
        <f>SUMPRODUCT($AK60:$AR60,$AK$12:$AR$12)*IF($E60="CABA",'Parametros'!I$7,IF($E60="PBA",1-'Parametros'!I$7,1))</f>
        <v/>
      </c>
      <c r="N60" s="21">
        <f>SUMPRODUCT($AK60:$AR60,$AK$13:$AR$13)*IF($E60="CABA",'Parametros'!J$7,IF($E60="PBA",1-'Parametros'!J$7,1))</f>
        <v/>
      </c>
      <c r="O60" s="21">
        <f>SUMPRODUCT($AK60:$AR60,$AK$14:$AR$14)*IF($E60="CABA",'Parametros'!K$7,IF($E60="PBA",1-'Parametros'!K$7,1))</f>
        <v/>
      </c>
      <c r="AK60" s="22" t="n">
        <v>1</v>
      </c>
      <c r="AL60" s="22" t="n">
        <v>1</v>
      </c>
      <c r="AM60" s="22" t="n">
        <v>1</v>
      </c>
      <c r="AN60" s="22" t="n">
        <v>1</v>
      </c>
      <c r="AO60" s="22" t="n">
        <v>1</v>
      </c>
      <c r="AP60" s="22" t="n">
        <v>1</v>
      </c>
      <c r="AQ60" s="22" t="n">
        <v>1</v>
      </c>
      <c r="AR60" s="22" t="n">
        <v>1</v>
      </c>
    </row>
  </sheetData>
  <autoFilter ref="A16:E6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xSplit="5" ySplit="16" topLeftCell="F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22" customWidth="1" min="3" max="3"/>
    <col width="30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2" t="inlineStr">
        <is>
          <t>Requerimiento — kits de extintor sustituto (IRAM 3517-2:2020 9.4.5)</t>
        </is>
      </c>
    </row>
    <row r="2">
      <c r="A2" s="14" t="inlineStr">
        <is>
          <t>Faja amarilla, tarjetas DPS / AGC y remito. El extintor base se suma a la demanda de fabricados o revendidos.</t>
        </is>
      </c>
    </row>
    <row r="4" ht="90" customHeight="1">
      <c r="AJ4" s="1" t="inlineStr">
        <is>
          <t>Demanda (u) →</t>
        </is>
      </c>
      <c r="AK4" s="17" t="inlineStr">
        <is>
          <t>SUS ABC_5kg</t>
        </is>
      </c>
      <c r="AL4" s="17" t="inlineStr">
        <is>
          <t>SUS ABC_10kg</t>
        </is>
      </c>
      <c r="AM4" s="17" t="inlineStr">
        <is>
          <t>SUS AGUA_10l</t>
        </is>
      </c>
      <c r="AN4" s="17" t="inlineStr">
        <is>
          <t>SUS AFFF_10l</t>
        </is>
      </c>
      <c r="AO4" s="17" t="inlineStr">
        <is>
          <t>SUS AFFF_50l</t>
        </is>
      </c>
      <c r="AP4" s="17" t="inlineStr">
        <is>
          <t>SUS BC_5kg</t>
        </is>
      </c>
      <c r="AQ4" s="17" t="inlineStr">
        <is>
          <t>SUS SALESK_6l</t>
        </is>
      </c>
      <c r="AR4" s="17" t="inlineStr">
        <is>
          <t>SUS CO2_5kg</t>
        </is>
      </c>
      <c r="AS4" s="17" t="inlineStr">
        <is>
          <t>SUS HCFC-HFC_5kg</t>
        </is>
      </c>
      <c r="AT4" s="17" t="inlineStr">
        <is>
          <t>SUS CLASED_9l</t>
        </is>
      </c>
      <c r="AU4" s="17" t="inlineStr">
        <is>
          <t>SUS ABC_50kg</t>
        </is>
      </c>
      <c r="AV4" s="17" t="inlineStr">
        <is>
          <t>SUS ABC_100kg</t>
        </is>
      </c>
    </row>
    <row r="5">
      <c r="AJ5" s="1">
        <f>'Demanda'!B3</f>
        <v/>
      </c>
      <c r="AK5" s="16">
        <f>'Demanda'!B37</f>
        <v/>
      </c>
      <c r="AL5" s="16">
        <f>'Demanda'!B38</f>
        <v/>
      </c>
      <c r="AM5" s="16">
        <f>'Demanda'!B39</f>
        <v/>
      </c>
      <c r="AN5" s="16">
        <f>'Demanda'!B40</f>
        <v/>
      </c>
      <c r="AO5" s="16">
        <f>'Demanda'!B41</f>
        <v/>
      </c>
      <c r="AP5" s="16">
        <f>'Demanda'!B42</f>
        <v/>
      </c>
      <c r="AQ5" s="16">
        <f>'Demanda'!B43</f>
        <v/>
      </c>
      <c r="AR5" s="16">
        <f>'Demanda'!B44</f>
        <v/>
      </c>
      <c r="AS5" s="16">
        <f>'Demanda'!B45</f>
        <v/>
      </c>
      <c r="AT5" s="16">
        <f>'Demanda'!B46</f>
        <v/>
      </c>
      <c r="AU5" s="16">
        <f>'Demanda'!B47</f>
        <v/>
      </c>
      <c r="AV5" s="16">
        <f>'Demanda'!B48</f>
        <v/>
      </c>
    </row>
    <row r="6">
      <c r="AJ6" s="1">
        <f>'Demanda'!C3</f>
        <v/>
      </c>
      <c r="AK6" s="16">
        <f>'Demanda'!C37</f>
        <v/>
      </c>
      <c r="AL6" s="16">
        <f>'Demanda'!C38</f>
        <v/>
      </c>
      <c r="AM6" s="16">
        <f>'Demanda'!C39</f>
        <v/>
      </c>
      <c r="AN6" s="16">
        <f>'Demanda'!C40</f>
        <v/>
      </c>
      <c r="AO6" s="16">
        <f>'Demanda'!C41</f>
        <v/>
      </c>
      <c r="AP6" s="16">
        <f>'Demanda'!C42</f>
        <v/>
      </c>
      <c r="AQ6" s="16">
        <f>'Demanda'!C43</f>
        <v/>
      </c>
      <c r="AR6" s="16">
        <f>'Demanda'!C44</f>
        <v/>
      </c>
      <c r="AS6" s="16">
        <f>'Demanda'!C45</f>
        <v/>
      </c>
      <c r="AT6" s="16">
        <f>'Demanda'!C46</f>
        <v/>
      </c>
      <c r="AU6" s="16">
        <f>'Demanda'!C47</f>
        <v/>
      </c>
      <c r="AV6" s="16">
        <f>'Demanda'!C48</f>
        <v/>
      </c>
    </row>
    <row r="7">
      <c r="AJ7" s="1">
        <f>'Demanda'!D3</f>
        <v/>
      </c>
      <c r="AK7" s="16">
        <f>'Demanda'!D37</f>
        <v/>
      </c>
      <c r="AL7" s="16">
        <f>'Demanda'!D38</f>
        <v/>
      </c>
      <c r="AM7" s="16">
        <f>'Demanda'!D39</f>
        <v/>
      </c>
      <c r="AN7" s="16">
        <f>'Demanda'!D40</f>
        <v/>
      </c>
      <c r="AO7" s="16">
        <f>'Demanda'!D41</f>
        <v/>
      </c>
      <c r="AP7" s="16">
        <f>'Demanda'!D42</f>
        <v/>
      </c>
      <c r="AQ7" s="16">
        <f>'Demanda'!D43</f>
        <v/>
      </c>
      <c r="AR7" s="16">
        <f>'Demanda'!D44</f>
        <v/>
      </c>
      <c r="AS7" s="16">
        <f>'Demanda'!D45</f>
        <v/>
      </c>
      <c r="AT7" s="16">
        <f>'Demanda'!D46</f>
        <v/>
      </c>
      <c r="AU7" s="16">
        <f>'Demanda'!D47</f>
        <v/>
      </c>
      <c r="AV7" s="16">
        <f>'Demanda'!D48</f>
        <v/>
      </c>
    </row>
    <row r="8">
      <c r="AJ8" s="1">
        <f>'Demanda'!E3</f>
        <v/>
      </c>
      <c r="AK8" s="16">
        <f>'Demanda'!E37</f>
        <v/>
      </c>
      <c r="AL8" s="16">
        <f>'Demanda'!E38</f>
        <v/>
      </c>
      <c r="AM8" s="16">
        <f>'Demanda'!E39</f>
        <v/>
      </c>
      <c r="AN8" s="16">
        <f>'Demanda'!E40</f>
        <v/>
      </c>
      <c r="AO8" s="16">
        <f>'Demanda'!E41</f>
        <v/>
      </c>
      <c r="AP8" s="16">
        <f>'Demanda'!E42</f>
        <v/>
      </c>
      <c r="AQ8" s="16">
        <f>'Demanda'!E43</f>
        <v/>
      </c>
      <c r="AR8" s="16">
        <f>'Demanda'!E44</f>
        <v/>
      </c>
      <c r="AS8" s="16">
        <f>'Demanda'!E45</f>
        <v/>
      </c>
      <c r="AT8" s="16">
        <f>'Demanda'!E46</f>
        <v/>
      </c>
      <c r="AU8" s="16">
        <f>'Demanda'!E47</f>
        <v/>
      </c>
      <c r="AV8" s="16">
        <f>'Demanda'!E48</f>
        <v/>
      </c>
    </row>
    <row r="9">
      <c r="AJ9" s="1">
        <f>'Demanda'!F3</f>
        <v/>
      </c>
      <c r="AK9" s="16">
        <f>'Demanda'!F37</f>
        <v/>
      </c>
      <c r="AL9" s="16">
        <f>'Demanda'!F38</f>
        <v/>
      </c>
      <c r="AM9" s="16">
        <f>'Demanda'!F39</f>
        <v/>
      </c>
      <c r="AN9" s="16">
        <f>'Demanda'!F40</f>
        <v/>
      </c>
      <c r="AO9" s="16">
        <f>'Demanda'!F41</f>
        <v/>
      </c>
      <c r="AP9" s="16">
        <f>'Demanda'!F42</f>
        <v/>
      </c>
      <c r="AQ9" s="16">
        <f>'Demanda'!F43</f>
        <v/>
      </c>
      <c r="AR9" s="16">
        <f>'Demanda'!F44</f>
        <v/>
      </c>
      <c r="AS9" s="16">
        <f>'Demanda'!F45</f>
        <v/>
      </c>
      <c r="AT9" s="16">
        <f>'Demanda'!F46</f>
        <v/>
      </c>
      <c r="AU9" s="16">
        <f>'Demanda'!F47</f>
        <v/>
      </c>
      <c r="AV9" s="16">
        <f>'Demanda'!F48</f>
        <v/>
      </c>
    </row>
    <row r="10">
      <c r="AJ10" s="1">
        <f>'Demanda'!G3</f>
        <v/>
      </c>
      <c r="AK10" s="16">
        <f>'Demanda'!G37</f>
        <v/>
      </c>
      <c r="AL10" s="16">
        <f>'Demanda'!G38</f>
        <v/>
      </c>
      <c r="AM10" s="16">
        <f>'Demanda'!G39</f>
        <v/>
      </c>
      <c r="AN10" s="16">
        <f>'Demanda'!G40</f>
        <v/>
      </c>
      <c r="AO10" s="16">
        <f>'Demanda'!G41</f>
        <v/>
      </c>
      <c r="AP10" s="16">
        <f>'Demanda'!G42</f>
        <v/>
      </c>
      <c r="AQ10" s="16">
        <f>'Demanda'!G43</f>
        <v/>
      </c>
      <c r="AR10" s="16">
        <f>'Demanda'!G44</f>
        <v/>
      </c>
      <c r="AS10" s="16">
        <f>'Demanda'!G45</f>
        <v/>
      </c>
      <c r="AT10" s="16">
        <f>'Demanda'!G46</f>
        <v/>
      </c>
      <c r="AU10" s="16">
        <f>'Demanda'!G47</f>
        <v/>
      </c>
      <c r="AV10" s="16">
        <f>'Demanda'!G48</f>
        <v/>
      </c>
    </row>
    <row r="11">
      <c r="AJ11" s="1">
        <f>'Demanda'!H3</f>
        <v/>
      </c>
      <c r="AK11" s="16">
        <f>'Demanda'!H37</f>
        <v/>
      </c>
      <c r="AL11" s="16">
        <f>'Demanda'!H38</f>
        <v/>
      </c>
      <c r="AM11" s="16">
        <f>'Demanda'!H39</f>
        <v/>
      </c>
      <c r="AN11" s="16">
        <f>'Demanda'!H40</f>
        <v/>
      </c>
      <c r="AO11" s="16">
        <f>'Demanda'!H41</f>
        <v/>
      </c>
      <c r="AP11" s="16">
        <f>'Demanda'!H42</f>
        <v/>
      </c>
      <c r="AQ11" s="16">
        <f>'Demanda'!H43</f>
        <v/>
      </c>
      <c r="AR11" s="16">
        <f>'Demanda'!H44</f>
        <v/>
      </c>
      <c r="AS11" s="16">
        <f>'Demanda'!H45</f>
        <v/>
      </c>
      <c r="AT11" s="16">
        <f>'Demanda'!H46</f>
        <v/>
      </c>
      <c r="AU11" s="16">
        <f>'Demanda'!H47</f>
        <v/>
      </c>
      <c r="AV11" s="16">
        <f>'Demanda'!H48</f>
        <v/>
      </c>
    </row>
    <row r="12">
      <c r="AJ12" s="1">
        <f>'Demanda'!I3</f>
        <v/>
      </c>
      <c r="AK12" s="16">
        <f>'Demanda'!I37</f>
        <v/>
      </c>
      <c r="AL12" s="16">
        <f>'Demanda'!I38</f>
        <v/>
      </c>
      <c r="AM12" s="16">
        <f>'Demanda'!I39</f>
        <v/>
      </c>
      <c r="AN12" s="16">
        <f>'Demanda'!I40</f>
        <v/>
      </c>
      <c r="AO12" s="16">
        <f>'Demanda'!I41</f>
        <v/>
      </c>
      <c r="AP12" s="16">
        <f>'Demanda'!I42</f>
        <v/>
      </c>
      <c r="AQ12" s="16">
        <f>'Demanda'!I43</f>
        <v/>
      </c>
      <c r="AR12" s="16">
        <f>'Demanda'!I44</f>
        <v/>
      </c>
      <c r="AS12" s="16">
        <f>'Demanda'!I45</f>
        <v/>
      </c>
      <c r="AT12" s="16">
        <f>'Demanda'!I46</f>
        <v/>
      </c>
      <c r="AU12" s="16">
        <f>'Demanda'!I47</f>
        <v/>
      </c>
      <c r="AV12" s="16">
        <f>'Demanda'!I48</f>
        <v/>
      </c>
    </row>
    <row r="13">
      <c r="AJ13" s="1">
        <f>'Demanda'!J3</f>
        <v/>
      </c>
      <c r="AK13" s="16">
        <f>'Demanda'!J37</f>
        <v/>
      </c>
      <c r="AL13" s="16">
        <f>'Demanda'!J38</f>
        <v/>
      </c>
      <c r="AM13" s="16">
        <f>'Demanda'!J39</f>
        <v/>
      </c>
      <c r="AN13" s="16">
        <f>'Demanda'!J40</f>
        <v/>
      </c>
      <c r="AO13" s="16">
        <f>'Demanda'!J41</f>
        <v/>
      </c>
      <c r="AP13" s="16">
        <f>'Demanda'!J42</f>
        <v/>
      </c>
      <c r="AQ13" s="16">
        <f>'Demanda'!J43</f>
        <v/>
      </c>
      <c r="AR13" s="16">
        <f>'Demanda'!J44</f>
        <v/>
      </c>
      <c r="AS13" s="16">
        <f>'Demanda'!J45</f>
        <v/>
      </c>
      <c r="AT13" s="16">
        <f>'Demanda'!J46</f>
        <v/>
      </c>
      <c r="AU13" s="16">
        <f>'Demanda'!J47</f>
        <v/>
      </c>
      <c r="AV13" s="16">
        <f>'Demanda'!J48</f>
        <v/>
      </c>
    </row>
    <row r="14">
      <c r="AJ14" s="1">
        <f>'Demanda'!K3</f>
        <v/>
      </c>
      <c r="AK14" s="16">
        <f>'Demanda'!K37</f>
        <v/>
      </c>
      <c r="AL14" s="16">
        <f>'Demanda'!K38</f>
        <v/>
      </c>
      <c r="AM14" s="16">
        <f>'Demanda'!K39</f>
        <v/>
      </c>
      <c r="AN14" s="16">
        <f>'Demanda'!K40</f>
        <v/>
      </c>
      <c r="AO14" s="16">
        <f>'Demanda'!K41</f>
        <v/>
      </c>
      <c r="AP14" s="16">
        <f>'Demanda'!K42</f>
        <v/>
      </c>
      <c r="AQ14" s="16">
        <f>'Demanda'!K43</f>
        <v/>
      </c>
      <c r="AR14" s="16">
        <f>'Demanda'!K44</f>
        <v/>
      </c>
      <c r="AS14" s="16">
        <f>'Demanda'!K45</f>
        <v/>
      </c>
      <c r="AT14" s="16">
        <f>'Demanda'!K46</f>
        <v/>
      </c>
      <c r="AU14" s="16">
        <f>'Demanda'!K47</f>
        <v/>
      </c>
      <c r="AV14" s="16">
        <f>'Demanda'!K48</f>
        <v/>
      </c>
    </row>
    <row r="16" ht="90" customHeight="1">
      <c r="A16" s="18" t="inlineStr">
        <is>
          <t>Ítem</t>
        </is>
      </c>
      <c r="B16" s="18" t="inlineStr">
        <is>
          <t>UM</t>
        </is>
      </c>
      <c r="C16" s="18" t="inlineStr">
        <is>
          <t>Rubro</t>
        </is>
      </c>
      <c r="D16" s="18" t="inlineStr">
        <is>
          <t>Proveedor principal</t>
        </is>
      </c>
      <c r="E16" s="18" t="inlineStr">
        <is>
          <t>Destino</t>
        </is>
      </c>
      <c r="F16" s="19">
        <f>'Demanda'!B3</f>
        <v/>
      </c>
      <c r="G16" s="19">
        <f>'Demanda'!C3</f>
        <v/>
      </c>
      <c r="H16" s="19">
        <f>'Demanda'!D3</f>
        <v/>
      </c>
      <c r="I16" s="19">
        <f>'Demanda'!E3</f>
        <v/>
      </c>
      <c r="J16" s="19">
        <f>'Demanda'!F3</f>
        <v/>
      </c>
      <c r="K16" s="19">
        <f>'Demanda'!G3</f>
        <v/>
      </c>
      <c r="L16" s="19">
        <f>'Demanda'!H3</f>
        <v/>
      </c>
      <c r="M16" s="19">
        <f>'Demanda'!I3</f>
        <v/>
      </c>
      <c r="N16" s="19">
        <f>'Demanda'!J3</f>
        <v/>
      </c>
      <c r="O16" s="19">
        <f>'Demanda'!K3</f>
        <v/>
      </c>
      <c r="AK16" s="20" t="inlineStr">
        <is>
          <t>coef. SUS ABC_5kg</t>
        </is>
      </c>
      <c r="AL16" s="20" t="inlineStr">
        <is>
          <t>coef. SUS ABC_10kg</t>
        </is>
      </c>
      <c r="AM16" s="20" t="inlineStr">
        <is>
          <t>coef. SUS AGUA_10l</t>
        </is>
      </c>
      <c r="AN16" s="20" t="inlineStr">
        <is>
          <t>coef. SUS AFFF_10l</t>
        </is>
      </c>
      <c r="AO16" s="20" t="inlineStr">
        <is>
          <t>coef. SUS AFFF_50l</t>
        </is>
      </c>
      <c r="AP16" s="20" t="inlineStr">
        <is>
          <t>coef. SUS BC_5kg</t>
        </is>
      </c>
      <c r="AQ16" s="20" t="inlineStr">
        <is>
          <t>coef. SUS SALESK_6l</t>
        </is>
      </c>
      <c r="AR16" s="20" t="inlineStr">
        <is>
          <t>coef. SUS CO2_5kg</t>
        </is>
      </c>
      <c r="AS16" s="20" t="inlineStr">
        <is>
          <t>coef. SUS HCFC-HFC_5kg</t>
        </is>
      </c>
      <c r="AT16" s="20" t="inlineStr">
        <is>
          <t>coef. SUS CLASED_9l</t>
        </is>
      </c>
      <c r="AU16" s="20" t="inlineStr">
        <is>
          <t>coef. SUS ABC_50kg</t>
        </is>
      </c>
      <c r="AV16" s="20" t="inlineStr">
        <is>
          <t>coef. SUS ABC_100kg</t>
        </is>
      </c>
    </row>
    <row r="17">
      <c r="A17" s="2" t="inlineStr">
        <is>
          <t>Faja amarilla de sustituto en la pollera (3 leyendas) — 40 × 1025 (alto ≤ 40; perímetro + 20 de solape)</t>
        </is>
      </c>
      <c r="B17" s="2" t="inlineStr">
        <is>
          <t>u</t>
        </is>
      </c>
      <c r="C17" s="2" t="inlineStr">
        <is>
          <t>Componente comprado</t>
        </is>
      </c>
      <c r="D17" s="2" t="inlineStr">
        <is>
          <t>Astuprint</t>
        </is>
      </c>
      <c r="E17" s="2" t="inlineStr">
        <is>
          <t>Todos</t>
        </is>
      </c>
      <c r="F17" s="21">
        <f>SUMPRODUCT($AK17:$AV17,$AK$5:$AV$5)*IF($E17="CABA",'Parametros'!B$7,IF($E17="PBA",1-'Parametros'!B$7,1))</f>
        <v/>
      </c>
      <c r="G17" s="21">
        <f>SUMPRODUCT($AK17:$AV17,$AK$6:$AV$6)*IF($E17="CABA",'Parametros'!C$7,IF($E17="PBA",1-'Parametros'!C$7,1))</f>
        <v/>
      </c>
      <c r="H17" s="21">
        <f>SUMPRODUCT($AK17:$AV17,$AK$7:$AV$7)*IF($E17="CABA",'Parametros'!D$7,IF($E17="PBA",1-'Parametros'!D$7,1))</f>
        <v/>
      </c>
      <c r="I17" s="21">
        <f>SUMPRODUCT($AK17:$AV17,$AK$8:$AV$8)*IF($E17="CABA",'Parametros'!E$7,IF($E17="PBA",1-'Parametros'!E$7,1))</f>
        <v/>
      </c>
      <c r="J17" s="21">
        <f>SUMPRODUCT($AK17:$AV17,$AK$9:$AV$9)*IF($E17="CABA",'Parametros'!F$7,IF($E17="PBA",1-'Parametros'!F$7,1))</f>
        <v/>
      </c>
      <c r="K17" s="21">
        <f>SUMPRODUCT($AK17:$AV17,$AK$10:$AV$10)*IF($E17="CABA",'Parametros'!G$7,IF($E17="PBA",1-'Parametros'!G$7,1))</f>
        <v/>
      </c>
      <c r="L17" s="21">
        <f>SUMPRODUCT($AK17:$AV17,$AK$11:$AV$11)*IF($E17="CABA",'Parametros'!H$7,IF($E17="PBA",1-'Parametros'!H$7,1))</f>
        <v/>
      </c>
      <c r="M17" s="21">
        <f>SUMPRODUCT($AK17:$AV17,$AK$12:$AV$12)*IF($E17="CABA",'Parametros'!I$7,IF($E17="PBA",1-'Parametros'!I$7,1))</f>
        <v/>
      </c>
      <c r="N17" s="21">
        <f>SUMPRODUCT($AK17:$AV17,$AK$13:$AV$13)*IF($E17="CABA",'Parametros'!J$7,IF($E17="PBA",1-'Parametros'!J$7,1))</f>
        <v/>
      </c>
      <c r="O17" s="21">
        <f>SUMPRODUCT($AK17:$AV17,$AK$14:$AV$14)*IF($E17="CABA",'Parametros'!K$7,IF($E17="PBA",1-'Parametros'!K$7,1))</f>
        <v/>
      </c>
      <c r="AO17" s="22" t="n">
        <v>1</v>
      </c>
      <c r="AU17" s="22" t="n">
        <v>1</v>
      </c>
    </row>
    <row r="18">
      <c r="A18" s="2" t="inlineStr">
        <is>
          <t>Faja amarilla de sustituto en la pollera (3 leyendas) — 40 × 1245 (alto ≤ 40; perímetro + 20 de solape)</t>
        </is>
      </c>
      <c r="B18" s="2" t="inlineStr">
        <is>
          <t>u</t>
        </is>
      </c>
      <c r="C18" s="2" t="inlineStr">
        <is>
          <t>Componente comprado</t>
        </is>
      </c>
      <c r="D18" s="2" t="inlineStr">
        <is>
          <t>Astuprint</t>
        </is>
      </c>
      <c r="E18" s="2" t="inlineStr">
        <is>
          <t>Todos</t>
        </is>
      </c>
      <c r="F18" s="21">
        <f>SUMPRODUCT($AK18:$AV18,$AK$5:$AV$5)*IF($E18="CABA",'Parametros'!B$7,IF($E18="PBA",1-'Parametros'!B$7,1))</f>
        <v/>
      </c>
      <c r="G18" s="21">
        <f>SUMPRODUCT($AK18:$AV18,$AK$6:$AV$6)*IF($E18="CABA",'Parametros'!C$7,IF($E18="PBA",1-'Parametros'!C$7,1))</f>
        <v/>
      </c>
      <c r="H18" s="21">
        <f>SUMPRODUCT($AK18:$AV18,$AK$7:$AV$7)*IF($E18="CABA",'Parametros'!D$7,IF($E18="PBA",1-'Parametros'!D$7,1))</f>
        <v/>
      </c>
      <c r="I18" s="21">
        <f>SUMPRODUCT($AK18:$AV18,$AK$8:$AV$8)*IF($E18="CABA",'Parametros'!E$7,IF($E18="PBA",1-'Parametros'!E$7,1))</f>
        <v/>
      </c>
      <c r="J18" s="21">
        <f>SUMPRODUCT($AK18:$AV18,$AK$9:$AV$9)*IF($E18="CABA",'Parametros'!F$7,IF($E18="PBA",1-'Parametros'!F$7,1))</f>
        <v/>
      </c>
      <c r="K18" s="21">
        <f>SUMPRODUCT($AK18:$AV18,$AK$10:$AV$10)*IF($E18="CABA",'Parametros'!G$7,IF($E18="PBA",1-'Parametros'!G$7,1))</f>
        <v/>
      </c>
      <c r="L18" s="21">
        <f>SUMPRODUCT($AK18:$AV18,$AK$11:$AV$11)*IF($E18="CABA",'Parametros'!H$7,IF($E18="PBA",1-'Parametros'!H$7,1))</f>
        <v/>
      </c>
      <c r="M18" s="21">
        <f>SUMPRODUCT($AK18:$AV18,$AK$12:$AV$12)*IF($E18="CABA",'Parametros'!I$7,IF($E18="PBA",1-'Parametros'!I$7,1))</f>
        <v/>
      </c>
      <c r="N18" s="21">
        <f>SUMPRODUCT($AK18:$AV18,$AK$13:$AV$13)*IF($E18="CABA",'Parametros'!J$7,IF($E18="PBA",1-'Parametros'!J$7,1))</f>
        <v/>
      </c>
      <c r="O18" s="21">
        <f>SUMPRODUCT($AK18:$AV18,$AK$14:$AV$14)*IF($E18="CABA",'Parametros'!K$7,IF($E18="PBA",1-'Parametros'!K$7,1))</f>
        <v/>
      </c>
      <c r="AV18" s="22" t="n">
        <v>1</v>
      </c>
    </row>
    <row r="19">
      <c r="A19" s="2" t="inlineStr">
        <is>
          <t>Faja amarilla de sustituto en la pollera (3 leyendas) — 40 × 460 (alto ≤ 40; perímetro + 20 de solape)</t>
        </is>
      </c>
      <c r="B19" s="2" t="inlineStr">
        <is>
          <t>u</t>
        </is>
      </c>
      <c r="C19" s="2" t="inlineStr">
        <is>
          <t>Componente comprado</t>
        </is>
      </c>
      <c r="D19" s="2" t="inlineStr">
        <is>
          <t>Astuprint</t>
        </is>
      </c>
      <c r="E19" s="2" t="inlineStr">
        <is>
          <t>Todos</t>
        </is>
      </c>
      <c r="F19" s="21">
        <f>SUMPRODUCT($AK19:$AV19,$AK$5:$AV$5)*IF($E19="CABA",'Parametros'!B$7,IF($E19="PBA",1-'Parametros'!B$7,1))</f>
        <v/>
      </c>
      <c r="G19" s="21">
        <f>SUMPRODUCT($AK19:$AV19,$AK$6:$AV$6)*IF($E19="CABA",'Parametros'!C$7,IF($E19="PBA",1-'Parametros'!C$7,1))</f>
        <v/>
      </c>
      <c r="H19" s="21">
        <f>SUMPRODUCT($AK19:$AV19,$AK$7:$AV$7)*IF($E19="CABA",'Parametros'!D$7,IF($E19="PBA",1-'Parametros'!D$7,1))</f>
        <v/>
      </c>
      <c r="I19" s="21">
        <f>SUMPRODUCT($AK19:$AV19,$AK$8:$AV$8)*IF($E19="CABA",'Parametros'!E$7,IF($E19="PBA",1-'Parametros'!E$7,1))</f>
        <v/>
      </c>
      <c r="J19" s="21">
        <f>SUMPRODUCT($AK19:$AV19,$AK$9:$AV$9)*IF($E19="CABA",'Parametros'!F$7,IF($E19="PBA",1-'Parametros'!F$7,1))</f>
        <v/>
      </c>
      <c r="K19" s="21">
        <f>SUMPRODUCT($AK19:$AV19,$AK$10:$AV$10)*IF($E19="CABA",'Parametros'!G$7,IF($E19="PBA",1-'Parametros'!G$7,1))</f>
        <v/>
      </c>
      <c r="L19" s="21">
        <f>SUMPRODUCT($AK19:$AV19,$AK$11:$AV$11)*IF($E19="CABA",'Parametros'!H$7,IF($E19="PBA",1-'Parametros'!H$7,1))</f>
        <v/>
      </c>
      <c r="M19" s="21">
        <f>SUMPRODUCT($AK19:$AV19,$AK$12:$AV$12)*IF($E19="CABA",'Parametros'!I$7,IF($E19="PBA",1-'Parametros'!I$7,1))</f>
        <v/>
      </c>
      <c r="N19" s="21">
        <f>SUMPRODUCT($AK19:$AV19,$AK$13:$AV$13)*IF($E19="CABA",'Parametros'!J$7,IF($E19="PBA",1-'Parametros'!J$7,1))</f>
        <v/>
      </c>
      <c r="O19" s="21">
        <f>SUMPRODUCT($AK19:$AV19,$AK$14:$AV$14)*IF($E19="CABA",'Parametros'!K$7,IF($E19="PBA",1-'Parametros'!K$7,1))</f>
        <v/>
      </c>
      <c r="AR19" s="22" t="n">
        <v>1</v>
      </c>
    </row>
    <row r="20">
      <c r="A20" s="2" t="inlineStr">
        <is>
          <t>Faja amarilla de sustituto en la pollera (3 leyendas) — 40 × 501 (alto ≤ 40; perímetro + 20 de solape)</t>
        </is>
      </c>
      <c r="B20" s="2" t="inlineStr">
        <is>
          <t>u</t>
        </is>
      </c>
      <c r="C20" s="2" t="inlineStr">
        <is>
          <t>Componente comprado</t>
        </is>
      </c>
      <c r="D20" s="2" t="inlineStr">
        <is>
          <t>Astuprint</t>
        </is>
      </c>
      <c r="E20" s="2" t="inlineStr">
        <is>
          <t>Todos</t>
        </is>
      </c>
      <c r="F20" s="21">
        <f>SUMPRODUCT($AK20:$AV20,$AK$5:$AV$5)*IF($E20="CABA",'Parametros'!B$7,IF($E20="PBA",1-'Parametros'!B$7,1))</f>
        <v/>
      </c>
      <c r="G20" s="21">
        <f>SUMPRODUCT($AK20:$AV20,$AK$6:$AV$6)*IF($E20="CABA",'Parametros'!C$7,IF($E20="PBA",1-'Parametros'!C$7,1))</f>
        <v/>
      </c>
      <c r="H20" s="21">
        <f>SUMPRODUCT($AK20:$AV20,$AK$7:$AV$7)*IF($E20="CABA",'Parametros'!D$7,IF($E20="PBA",1-'Parametros'!D$7,1))</f>
        <v/>
      </c>
      <c r="I20" s="21">
        <f>SUMPRODUCT($AK20:$AV20,$AK$8:$AV$8)*IF($E20="CABA",'Parametros'!E$7,IF($E20="PBA",1-'Parametros'!E$7,1))</f>
        <v/>
      </c>
      <c r="J20" s="21">
        <f>SUMPRODUCT($AK20:$AV20,$AK$9:$AV$9)*IF($E20="CABA",'Parametros'!F$7,IF($E20="PBA",1-'Parametros'!F$7,1))</f>
        <v/>
      </c>
      <c r="K20" s="21">
        <f>SUMPRODUCT($AK20:$AV20,$AK$10:$AV$10)*IF($E20="CABA",'Parametros'!G$7,IF($E20="PBA",1-'Parametros'!G$7,1))</f>
        <v/>
      </c>
      <c r="L20" s="21">
        <f>SUMPRODUCT($AK20:$AV20,$AK$11:$AV$11)*IF($E20="CABA",'Parametros'!H$7,IF($E20="PBA",1-'Parametros'!H$7,1))</f>
        <v/>
      </c>
      <c r="M20" s="21">
        <f>SUMPRODUCT($AK20:$AV20,$AK$12:$AV$12)*IF($E20="CABA",'Parametros'!I$7,IF($E20="PBA",1-'Parametros'!I$7,1))</f>
        <v/>
      </c>
      <c r="N20" s="21">
        <f>SUMPRODUCT($AK20:$AV20,$AK$13:$AV$13)*IF($E20="CABA",'Parametros'!J$7,IF($E20="PBA",1-'Parametros'!J$7,1))</f>
        <v/>
      </c>
      <c r="O20" s="21">
        <f>SUMPRODUCT($AK20:$AV20,$AK$14:$AV$14)*IF($E20="CABA",'Parametros'!K$7,IF($E20="PBA",1-'Parametros'!K$7,1))</f>
        <v/>
      </c>
      <c r="AK20" s="22" t="n">
        <v>1</v>
      </c>
      <c r="AP20" s="22" t="n">
        <v>1</v>
      </c>
      <c r="AS20" s="22" t="n">
        <v>1</v>
      </c>
    </row>
    <row r="21">
      <c r="A21" s="2" t="inlineStr">
        <is>
          <t>Faja amarilla de sustituto en la pollera (3 leyendas) — 40 × 590 (alto ≤ 40; perímetro + 20 de solape)</t>
        </is>
      </c>
      <c r="B21" s="2" t="inlineStr">
        <is>
          <t>u</t>
        </is>
      </c>
      <c r="C21" s="2" t="inlineStr">
        <is>
          <t>Componente comprado</t>
        </is>
      </c>
      <c r="D21" s="2" t="inlineStr">
        <is>
          <t>Astuprint</t>
        </is>
      </c>
      <c r="E21" s="2" t="inlineStr">
        <is>
          <t>Todos</t>
        </is>
      </c>
      <c r="F21" s="21">
        <f>SUMPRODUCT($AK21:$AV21,$AK$5:$AV$5)*IF($E21="CABA",'Parametros'!B$7,IF($E21="PBA",1-'Parametros'!B$7,1))</f>
        <v/>
      </c>
      <c r="G21" s="21">
        <f>SUMPRODUCT($AK21:$AV21,$AK$6:$AV$6)*IF($E21="CABA",'Parametros'!C$7,IF($E21="PBA",1-'Parametros'!C$7,1))</f>
        <v/>
      </c>
      <c r="H21" s="21">
        <f>SUMPRODUCT($AK21:$AV21,$AK$7:$AV$7)*IF($E21="CABA",'Parametros'!D$7,IF($E21="PBA",1-'Parametros'!D$7,1))</f>
        <v/>
      </c>
      <c r="I21" s="21">
        <f>SUMPRODUCT($AK21:$AV21,$AK$8:$AV$8)*IF($E21="CABA",'Parametros'!E$7,IF($E21="PBA",1-'Parametros'!E$7,1))</f>
        <v/>
      </c>
      <c r="J21" s="21">
        <f>SUMPRODUCT($AK21:$AV21,$AK$9:$AV$9)*IF($E21="CABA",'Parametros'!F$7,IF($E21="PBA",1-'Parametros'!F$7,1))</f>
        <v/>
      </c>
      <c r="K21" s="21">
        <f>SUMPRODUCT($AK21:$AV21,$AK$10:$AV$10)*IF($E21="CABA",'Parametros'!G$7,IF($E21="PBA",1-'Parametros'!G$7,1))</f>
        <v/>
      </c>
      <c r="L21" s="21">
        <f>SUMPRODUCT($AK21:$AV21,$AK$11:$AV$11)*IF($E21="CABA",'Parametros'!H$7,IF($E21="PBA",1-'Parametros'!H$7,1))</f>
        <v/>
      </c>
      <c r="M21" s="21">
        <f>SUMPRODUCT($AK21:$AV21,$AK$12:$AV$12)*IF($E21="CABA",'Parametros'!I$7,IF($E21="PBA",1-'Parametros'!I$7,1))</f>
        <v/>
      </c>
      <c r="N21" s="21">
        <f>SUMPRODUCT($AK21:$AV21,$AK$13:$AV$13)*IF($E21="CABA",'Parametros'!J$7,IF($E21="PBA",1-'Parametros'!J$7,1))</f>
        <v/>
      </c>
      <c r="O21" s="21">
        <f>SUMPRODUCT($AK21:$AV21,$AK$14:$AV$14)*IF($E21="CABA",'Parametros'!K$7,IF($E21="PBA",1-'Parametros'!K$7,1))</f>
        <v/>
      </c>
      <c r="AL21" s="22" t="n">
        <v>1</v>
      </c>
      <c r="AT21" s="22" t="n">
        <v>1</v>
      </c>
    </row>
    <row r="22">
      <c r="A22" s="2" t="inlineStr">
        <is>
          <t>Faja amarilla de sustituto en la pollera (3 leyendas) — 40 × 617 (alto ≤ 40; perímetro + 20 de solape)</t>
        </is>
      </c>
      <c r="B22" s="2" t="inlineStr">
        <is>
          <t>u</t>
        </is>
      </c>
      <c r="C22" s="2" t="inlineStr">
        <is>
          <t>Componente comprado</t>
        </is>
      </c>
      <c r="D22" s="2" t="inlineStr">
        <is>
          <t>Astuprint</t>
        </is>
      </c>
      <c r="E22" s="2" t="inlineStr">
        <is>
          <t>Todos</t>
        </is>
      </c>
      <c r="F22" s="21">
        <f>SUMPRODUCT($AK22:$AV22,$AK$5:$AV$5)*IF($E22="CABA",'Parametros'!B$7,IF($E22="PBA",1-'Parametros'!B$7,1))</f>
        <v/>
      </c>
      <c r="G22" s="21">
        <f>SUMPRODUCT($AK22:$AV22,$AK$6:$AV$6)*IF($E22="CABA",'Parametros'!C$7,IF($E22="PBA",1-'Parametros'!C$7,1))</f>
        <v/>
      </c>
      <c r="H22" s="21">
        <f>SUMPRODUCT($AK22:$AV22,$AK$7:$AV$7)*IF($E22="CABA",'Parametros'!D$7,IF($E22="PBA",1-'Parametros'!D$7,1))</f>
        <v/>
      </c>
      <c r="I22" s="21">
        <f>SUMPRODUCT($AK22:$AV22,$AK$8:$AV$8)*IF($E22="CABA",'Parametros'!E$7,IF($E22="PBA",1-'Parametros'!E$7,1))</f>
        <v/>
      </c>
      <c r="J22" s="21">
        <f>SUMPRODUCT($AK22:$AV22,$AK$9:$AV$9)*IF($E22="CABA",'Parametros'!F$7,IF($E22="PBA",1-'Parametros'!F$7,1))</f>
        <v/>
      </c>
      <c r="K22" s="21">
        <f>SUMPRODUCT($AK22:$AV22,$AK$10:$AV$10)*IF($E22="CABA",'Parametros'!G$7,IF($E22="PBA",1-'Parametros'!G$7,1))</f>
        <v/>
      </c>
      <c r="L22" s="21">
        <f>SUMPRODUCT($AK22:$AV22,$AK$11:$AV$11)*IF($E22="CABA",'Parametros'!H$7,IF($E22="PBA",1-'Parametros'!H$7,1))</f>
        <v/>
      </c>
      <c r="M22" s="21">
        <f>SUMPRODUCT($AK22:$AV22,$AK$12:$AV$12)*IF($E22="CABA",'Parametros'!I$7,IF($E22="PBA",1-'Parametros'!I$7,1))</f>
        <v/>
      </c>
      <c r="N22" s="21">
        <f>SUMPRODUCT($AK22:$AV22,$AK$13:$AV$13)*IF($E22="CABA",'Parametros'!J$7,IF($E22="PBA",1-'Parametros'!J$7,1))</f>
        <v/>
      </c>
      <c r="O22" s="21">
        <f>SUMPRODUCT($AK22:$AV22,$AK$14:$AV$14)*IF($E22="CABA",'Parametros'!K$7,IF($E22="PBA",1-'Parametros'!K$7,1))</f>
        <v/>
      </c>
      <c r="AM22" s="22" t="n">
        <v>1</v>
      </c>
      <c r="AN22" s="22" t="n">
        <v>1</v>
      </c>
      <c r="AQ22" s="22" t="n">
        <v>1</v>
      </c>
    </row>
    <row r="23">
      <c r="A23" s="2" t="inlineStr">
        <is>
          <t>Remito de préstamo con membrete (n° de extintor, puesto, equipo retirado, fechas) — A5 duplicado</t>
        </is>
      </c>
      <c r="B23" s="2" t="inlineStr">
        <is>
          <t>u/préstamo</t>
        </is>
      </c>
      <c r="C23" s="2" t="inlineStr">
        <is>
          <t>Componente comprado</t>
        </is>
      </c>
      <c r="D23" s="2" t="inlineStr">
        <is>
          <t>Astuprint</t>
        </is>
      </c>
      <c r="E23" s="2" t="inlineStr">
        <is>
          <t>Todos</t>
        </is>
      </c>
      <c r="F23" s="21">
        <f>SUMPRODUCT($AK23:$AV23,$AK$5:$AV$5)*IF($E23="CABA",'Parametros'!B$7,IF($E23="PBA",1-'Parametros'!B$7,1))</f>
        <v/>
      </c>
      <c r="G23" s="21">
        <f>SUMPRODUCT($AK23:$AV23,$AK$6:$AV$6)*IF($E23="CABA",'Parametros'!C$7,IF($E23="PBA",1-'Parametros'!C$7,1))</f>
        <v/>
      </c>
      <c r="H23" s="21">
        <f>SUMPRODUCT($AK23:$AV23,$AK$7:$AV$7)*IF($E23="CABA",'Parametros'!D$7,IF($E23="PBA",1-'Parametros'!D$7,1))</f>
        <v/>
      </c>
      <c r="I23" s="21">
        <f>SUMPRODUCT($AK23:$AV23,$AK$8:$AV$8)*IF($E23="CABA",'Parametros'!E$7,IF($E23="PBA",1-'Parametros'!E$7,1))</f>
        <v/>
      </c>
      <c r="J23" s="21">
        <f>SUMPRODUCT($AK23:$AV23,$AK$9:$AV$9)*IF($E23="CABA",'Parametros'!F$7,IF($E23="PBA",1-'Parametros'!F$7,1))</f>
        <v/>
      </c>
      <c r="K23" s="21">
        <f>SUMPRODUCT($AK23:$AV23,$AK$10:$AV$10)*IF($E23="CABA",'Parametros'!G$7,IF($E23="PBA",1-'Parametros'!G$7,1))</f>
        <v/>
      </c>
      <c r="L23" s="21">
        <f>SUMPRODUCT($AK23:$AV23,$AK$11:$AV$11)*IF($E23="CABA",'Parametros'!H$7,IF($E23="PBA",1-'Parametros'!H$7,1))</f>
        <v/>
      </c>
      <c r="M23" s="21">
        <f>SUMPRODUCT($AK23:$AV23,$AK$12:$AV$12)*IF($E23="CABA",'Parametros'!I$7,IF($E23="PBA",1-'Parametros'!I$7,1))</f>
        <v/>
      </c>
      <c r="N23" s="21">
        <f>SUMPRODUCT($AK23:$AV23,$AK$13:$AV$13)*IF($E23="CABA",'Parametros'!J$7,IF($E23="PBA",1-'Parametros'!J$7,1))</f>
        <v/>
      </c>
      <c r="O23" s="21">
        <f>SUMPRODUCT($AK23:$AV23,$AK$14:$AV$14)*IF($E23="CABA",'Parametros'!K$7,IF($E23="PBA",1-'Parametros'!K$7,1))</f>
        <v/>
      </c>
      <c r="AK23" s="22" t="n">
        <v>1</v>
      </c>
      <c r="AL23" s="22" t="n">
        <v>1</v>
      </c>
      <c r="AM23" s="22" t="n">
        <v>1</v>
      </c>
      <c r="AN23" s="22" t="n">
        <v>1</v>
      </c>
      <c r="AO23" s="22" t="n">
        <v>1</v>
      </c>
      <c r="AP23" s="22" t="n">
        <v>1</v>
      </c>
      <c r="AQ23" s="22" t="n">
        <v>1</v>
      </c>
      <c r="AR23" s="22" t="n">
        <v>1</v>
      </c>
      <c r="AS23" s="22" t="n">
        <v>1</v>
      </c>
      <c r="AT23" s="22" t="n">
        <v>1</v>
      </c>
      <c r="AU23" s="22" t="n">
        <v>1</v>
      </c>
      <c r="AV23" s="22" t="n">
        <v>1</v>
      </c>
    </row>
    <row r="24">
      <c r="A24" s="2" t="inlineStr">
        <is>
          <t>Tarjeta AGC con «Es sustituto» (sin domicilio de instalación) — formato oficial</t>
        </is>
      </c>
      <c r="B24" s="2" t="inlineStr">
        <is>
          <t>u</t>
        </is>
      </c>
      <c r="C24" s="2" t="inlineStr">
        <is>
          <t>Componente comprado</t>
        </is>
      </c>
      <c r="D24" s="2" t="inlineStr">
        <is>
          <t>Agencia Gubernamental de Control (CABA)</t>
        </is>
      </c>
      <c r="E24" s="2" t="inlineStr">
        <is>
          <t>CABA</t>
        </is>
      </c>
      <c r="F24" s="21">
        <f>SUMPRODUCT($AK24:$AV24,$AK$5:$AV$5)*IF($E24="CABA",'Parametros'!B$7,IF($E24="PBA",1-'Parametros'!B$7,1))</f>
        <v/>
      </c>
      <c r="G24" s="21">
        <f>SUMPRODUCT($AK24:$AV24,$AK$6:$AV$6)*IF($E24="CABA",'Parametros'!C$7,IF($E24="PBA",1-'Parametros'!C$7,1))</f>
        <v/>
      </c>
      <c r="H24" s="21">
        <f>SUMPRODUCT($AK24:$AV24,$AK$7:$AV$7)*IF($E24="CABA",'Parametros'!D$7,IF($E24="PBA",1-'Parametros'!D$7,1))</f>
        <v/>
      </c>
      <c r="I24" s="21">
        <f>SUMPRODUCT($AK24:$AV24,$AK$8:$AV$8)*IF($E24="CABA",'Parametros'!E$7,IF($E24="PBA",1-'Parametros'!E$7,1))</f>
        <v/>
      </c>
      <c r="J24" s="21">
        <f>SUMPRODUCT($AK24:$AV24,$AK$9:$AV$9)*IF($E24="CABA",'Parametros'!F$7,IF($E24="PBA",1-'Parametros'!F$7,1))</f>
        <v/>
      </c>
      <c r="K24" s="21">
        <f>SUMPRODUCT($AK24:$AV24,$AK$10:$AV$10)*IF($E24="CABA",'Parametros'!G$7,IF($E24="PBA",1-'Parametros'!G$7,1))</f>
        <v/>
      </c>
      <c r="L24" s="21">
        <f>SUMPRODUCT($AK24:$AV24,$AK$11:$AV$11)*IF($E24="CABA",'Parametros'!H$7,IF($E24="PBA",1-'Parametros'!H$7,1))</f>
        <v/>
      </c>
      <c r="M24" s="21">
        <f>SUMPRODUCT($AK24:$AV24,$AK$12:$AV$12)*IF($E24="CABA",'Parametros'!I$7,IF($E24="PBA",1-'Parametros'!I$7,1))</f>
        <v/>
      </c>
      <c r="N24" s="21">
        <f>SUMPRODUCT($AK24:$AV24,$AK$13:$AV$13)*IF($E24="CABA",'Parametros'!J$7,IF($E24="PBA",1-'Parametros'!J$7,1))</f>
        <v/>
      </c>
      <c r="O24" s="21">
        <f>SUMPRODUCT($AK24:$AV24,$AK$14:$AV$14)*IF($E24="CABA",'Parametros'!K$7,IF($E24="PBA",1-'Parametros'!K$7,1))</f>
        <v/>
      </c>
      <c r="AK24" s="22" t="n">
        <v>1</v>
      </c>
      <c r="AL24" s="22" t="n">
        <v>1</v>
      </c>
      <c r="AM24" s="22" t="n">
        <v>1</v>
      </c>
      <c r="AN24" s="22" t="n">
        <v>1</v>
      </c>
      <c r="AO24" s="22" t="n">
        <v>1</v>
      </c>
      <c r="AP24" s="22" t="n">
        <v>1</v>
      </c>
      <c r="AQ24" s="22" t="n">
        <v>1</v>
      </c>
      <c r="AR24" s="22" t="n">
        <v>1</v>
      </c>
      <c r="AS24" s="22" t="n">
        <v>1</v>
      </c>
      <c r="AT24" s="22" t="n">
        <v>1</v>
      </c>
      <c r="AU24" s="22" t="n">
        <v>1</v>
      </c>
      <c r="AV24" s="22" t="n">
        <v>1</v>
      </c>
    </row>
    <row r="25">
      <c r="A25" s="2" t="inlineStr">
        <is>
          <t>Tarjeta de identificación DPS con sello «SUSTITUTO HABILITADO» — formato oficial</t>
        </is>
      </c>
      <c r="B25" s="2" t="inlineStr">
        <is>
          <t>u</t>
        </is>
      </c>
      <c r="C25" s="2" t="inlineStr">
        <is>
          <t>Componente comprado</t>
        </is>
      </c>
      <c r="D25" s="2" t="inlineStr">
        <is>
          <t>Ministerio de Ambiente PBA (ex OPDS)</t>
        </is>
      </c>
      <c r="E25" s="2" t="inlineStr">
        <is>
          <t>PBA</t>
        </is>
      </c>
      <c r="F25" s="21">
        <f>SUMPRODUCT($AK25:$AV25,$AK$5:$AV$5)*IF($E25="CABA",'Parametros'!B$7,IF($E25="PBA",1-'Parametros'!B$7,1))</f>
        <v/>
      </c>
      <c r="G25" s="21">
        <f>SUMPRODUCT($AK25:$AV25,$AK$6:$AV$6)*IF($E25="CABA",'Parametros'!C$7,IF($E25="PBA",1-'Parametros'!C$7,1))</f>
        <v/>
      </c>
      <c r="H25" s="21">
        <f>SUMPRODUCT($AK25:$AV25,$AK$7:$AV$7)*IF($E25="CABA",'Parametros'!D$7,IF($E25="PBA",1-'Parametros'!D$7,1))</f>
        <v/>
      </c>
      <c r="I25" s="21">
        <f>SUMPRODUCT($AK25:$AV25,$AK$8:$AV$8)*IF($E25="CABA",'Parametros'!E$7,IF($E25="PBA",1-'Parametros'!E$7,1))</f>
        <v/>
      </c>
      <c r="J25" s="21">
        <f>SUMPRODUCT($AK25:$AV25,$AK$9:$AV$9)*IF($E25="CABA",'Parametros'!F$7,IF($E25="PBA",1-'Parametros'!F$7,1))</f>
        <v/>
      </c>
      <c r="K25" s="21">
        <f>SUMPRODUCT($AK25:$AV25,$AK$10:$AV$10)*IF($E25="CABA",'Parametros'!G$7,IF($E25="PBA",1-'Parametros'!G$7,1))</f>
        <v/>
      </c>
      <c r="L25" s="21">
        <f>SUMPRODUCT($AK25:$AV25,$AK$11:$AV$11)*IF($E25="CABA",'Parametros'!H$7,IF($E25="PBA",1-'Parametros'!H$7,1))</f>
        <v/>
      </c>
      <c r="M25" s="21">
        <f>SUMPRODUCT($AK25:$AV25,$AK$12:$AV$12)*IF($E25="CABA",'Parametros'!I$7,IF($E25="PBA",1-'Parametros'!I$7,1))</f>
        <v/>
      </c>
      <c r="N25" s="21">
        <f>SUMPRODUCT($AK25:$AV25,$AK$13:$AV$13)*IF($E25="CABA",'Parametros'!J$7,IF($E25="PBA",1-'Parametros'!J$7,1))</f>
        <v/>
      </c>
      <c r="O25" s="21">
        <f>SUMPRODUCT($AK25:$AV25,$AK$14:$AV$14)*IF($E25="CABA",'Parametros'!K$7,IF($E25="PBA",1-'Parametros'!K$7,1))</f>
        <v/>
      </c>
      <c r="AK25" s="22" t="n">
        <v>1</v>
      </c>
      <c r="AL25" s="22" t="n">
        <v>1</v>
      </c>
      <c r="AM25" s="22" t="n">
        <v>1</v>
      </c>
      <c r="AN25" s="22" t="n">
        <v>1</v>
      </c>
      <c r="AO25" s="22" t="n">
        <v>1</v>
      </c>
      <c r="AP25" s="22" t="n">
        <v>1</v>
      </c>
      <c r="AQ25" s="22" t="n">
        <v>1</v>
      </c>
      <c r="AR25" s="22" t="n">
        <v>1</v>
      </c>
      <c r="AS25" s="22" t="n">
        <v>1</v>
      </c>
      <c r="AT25" s="22" t="n">
        <v>1</v>
      </c>
      <c r="AU25" s="22" t="n">
        <v>1</v>
      </c>
      <c r="AV25" s="22" t="n">
        <v>1</v>
      </c>
    </row>
  </sheetData>
  <autoFilter ref="A16:E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34"/>
  <sheetViews>
    <sheetView workbookViewId="0">
      <pane xSplit="5" ySplit="16" topLeftCell="F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22" customWidth="1" min="3" max="3"/>
    <col width="30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2" t="inlineStr">
        <is>
          <t>Requerimiento — recargas (total y dividido por planta comercial / industrial)</t>
        </is>
      </c>
    </row>
    <row r="2">
      <c r="A2" s="14" t="inlineStr">
        <is>
          <t>Coeficiente = p × caso A (descargado, agente nuevo) + (1 − p) × caso B (mantenimiento: recuperado + reposición de mermas), p en Parametros!B3. Planta comercial / industrial según el % zonal de recargas del año (Parametros filas 9 y 10).</t>
        </is>
      </c>
    </row>
    <row r="4" ht="90" customHeight="1">
      <c r="AJ4" s="1" t="inlineStr">
        <is>
          <t>Demanda (u) →</t>
        </is>
      </c>
      <c r="AK4" s="17" t="inlineStr">
        <is>
          <t>ABC_1kg</t>
        </is>
      </c>
      <c r="AL4" s="17" t="inlineStr">
        <is>
          <t>ABC_2.5kg</t>
        </is>
      </c>
      <c r="AM4" s="17" t="inlineStr">
        <is>
          <t>ABC_5kg</t>
        </is>
      </c>
      <c r="AN4" s="17" t="inlineStr">
        <is>
          <t>ABC_10kg</t>
        </is>
      </c>
      <c r="AO4" s="17" t="inlineStr">
        <is>
          <t>AGUA_10l</t>
        </is>
      </c>
      <c r="AP4" s="17" t="inlineStr">
        <is>
          <t>AFFF_10l</t>
        </is>
      </c>
      <c r="AQ4" s="17" t="inlineStr">
        <is>
          <t>AFFF_50l</t>
        </is>
      </c>
      <c r="AR4" s="17" t="inlineStr">
        <is>
          <t>BC_5kg</t>
        </is>
      </c>
      <c r="AS4" s="17" t="inlineStr">
        <is>
          <t>SALESK_6l</t>
        </is>
      </c>
      <c r="AT4" s="17" t="inlineStr">
        <is>
          <t>CO2_2kg</t>
        </is>
      </c>
      <c r="AU4" s="17" t="inlineStr">
        <is>
          <t>CO2_5kg</t>
        </is>
      </c>
      <c r="AV4" s="17" t="inlineStr">
        <is>
          <t>HCFC-HFC_5kg</t>
        </is>
      </c>
      <c r="AW4" s="17" t="inlineStr">
        <is>
          <t>CLASED_9l</t>
        </is>
      </c>
      <c r="AX4" s="17" t="inlineStr">
        <is>
          <t>ABC_25kg</t>
        </is>
      </c>
      <c r="AY4" s="17" t="inlineStr">
        <is>
          <t>ABC_50kg</t>
        </is>
      </c>
      <c r="AZ4" s="17" t="inlineStr">
        <is>
          <t>ABC_70kg</t>
        </is>
      </c>
      <c r="BA4" s="17" t="inlineStr">
        <is>
          <t>ABC_100kg</t>
        </is>
      </c>
    </row>
    <row r="5">
      <c r="AJ5" s="1">
        <f>'Demanda'!B3</f>
        <v/>
      </c>
      <c r="AK5" s="16">
        <f>'Demanda'!B51</f>
        <v/>
      </c>
      <c r="AL5" s="16">
        <f>'Demanda'!B52</f>
        <v/>
      </c>
      <c r="AM5" s="16">
        <f>'Demanda'!B53</f>
        <v/>
      </c>
      <c r="AN5" s="16">
        <f>'Demanda'!B54</f>
        <v/>
      </c>
      <c r="AO5" s="16">
        <f>'Demanda'!B55</f>
        <v/>
      </c>
      <c r="AP5" s="16">
        <f>'Demanda'!B56</f>
        <v/>
      </c>
      <c r="AQ5" s="16">
        <f>'Demanda'!B57</f>
        <v/>
      </c>
      <c r="AR5" s="16">
        <f>'Demanda'!B58</f>
        <v/>
      </c>
      <c r="AS5" s="16">
        <f>'Demanda'!B59</f>
        <v/>
      </c>
      <c r="AT5" s="16">
        <f>'Demanda'!B60</f>
        <v/>
      </c>
      <c r="AU5" s="16">
        <f>'Demanda'!B61</f>
        <v/>
      </c>
      <c r="AV5" s="16">
        <f>'Demanda'!B62</f>
        <v/>
      </c>
      <c r="AW5" s="16">
        <f>'Demanda'!B63</f>
        <v/>
      </c>
      <c r="AX5" s="16">
        <f>'Demanda'!B64</f>
        <v/>
      </c>
      <c r="AY5" s="16">
        <f>'Demanda'!B65</f>
        <v/>
      </c>
      <c r="AZ5" s="16">
        <f>'Demanda'!B66</f>
        <v/>
      </c>
      <c r="BA5" s="16">
        <f>'Demanda'!B67</f>
        <v/>
      </c>
    </row>
    <row r="6">
      <c r="AJ6" s="1">
        <f>'Demanda'!C3</f>
        <v/>
      </c>
      <c r="AK6" s="16">
        <f>'Demanda'!C51</f>
        <v/>
      </c>
      <c r="AL6" s="16">
        <f>'Demanda'!C52</f>
        <v/>
      </c>
      <c r="AM6" s="16">
        <f>'Demanda'!C53</f>
        <v/>
      </c>
      <c r="AN6" s="16">
        <f>'Demanda'!C54</f>
        <v/>
      </c>
      <c r="AO6" s="16">
        <f>'Demanda'!C55</f>
        <v/>
      </c>
      <c r="AP6" s="16">
        <f>'Demanda'!C56</f>
        <v/>
      </c>
      <c r="AQ6" s="16">
        <f>'Demanda'!C57</f>
        <v/>
      </c>
      <c r="AR6" s="16">
        <f>'Demanda'!C58</f>
        <v/>
      </c>
      <c r="AS6" s="16">
        <f>'Demanda'!C59</f>
        <v/>
      </c>
      <c r="AT6" s="16">
        <f>'Demanda'!C60</f>
        <v/>
      </c>
      <c r="AU6" s="16">
        <f>'Demanda'!C61</f>
        <v/>
      </c>
      <c r="AV6" s="16">
        <f>'Demanda'!C62</f>
        <v/>
      </c>
      <c r="AW6" s="16">
        <f>'Demanda'!C63</f>
        <v/>
      </c>
      <c r="AX6" s="16">
        <f>'Demanda'!C64</f>
        <v/>
      </c>
      <c r="AY6" s="16">
        <f>'Demanda'!C65</f>
        <v/>
      </c>
      <c r="AZ6" s="16">
        <f>'Demanda'!C66</f>
        <v/>
      </c>
      <c r="BA6" s="16">
        <f>'Demanda'!C67</f>
        <v/>
      </c>
    </row>
    <row r="7">
      <c r="AJ7" s="1">
        <f>'Demanda'!D3</f>
        <v/>
      </c>
      <c r="AK7" s="16">
        <f>'Demanda'!D51</f>
        <v/>
      </c>
      <c r="AL7" s="16">
        <f>'Demanda'!D52</f>
        <v/>
      </c>
      <c r="AM7" s="16">
        <f>'Demanda'!D53</f>
        <v/>
      </c>
      <c r="AN7" s="16">
        <f>'Demanda'!D54</f>
        <v/>
      </c>
      <c r="AO7" s="16">
        <f>'Demanda'!D55</f>
        <v/>
      </c>
      <c r="AP7" s="16">
        <f>'Demanda'!D56</f>
        <v/>
      </c>
      <c r="AQ7" s="16">
        <f>'Demanda'!D57</f>
        <v/>
      </c>
      <c r="AR7" s="16">
        <f>'Demanda'!D58</f>
        <v/>
      </c>
      <c r="AS7" s="16">
        <f>'Demanda'!D59</f>
        <v/>
      </c>
      <c r="AT7" s="16">
        <f>'Demanda'!D60</f>
        <v/>
      </c>
      <c r="AU7" s="16">
        <f>'Demanda'!D61</f>
        <v/>
      </c>
      <c r="AV7" s="16">
        <f>'Demanda'!D62</f>
        <v/>
      </c>
      <c r="AW7" s="16">
        <f>'Demanda'!D63</f>
        <v/>
      </c>
      <c r="AX7" s="16">
        <f>'Demanda'!D64</f>
        <v/>
      </c>
      <c r="AY7" s="16">
        <f>'Demanda'!D65</f>
        <v/>
      </c>
      <c r="AZ7" s="16">
        <f>'Demanda'!D66</f>
        <v/>
      </c>
      <c r="BA7" s="16">
        <f>'Demanda'!D67</f>
        <v/>
      </c>
    </row>
    <row r="8">
      <c r="AJ8" s="1">
        <f>'Demanda'!E3</f>
        <v/>
      </c>
      <c r="AK8" s="16">
        <f>'Demanda'!E51</f>
        <v/>
      </c>
      <c r="AL8" s="16">
        <f>'Demanda'!E52</f>
        <v/>
      </c>
      <c r="AM8" s="16">
        <f>'Demanda'!E53</f>
        <v/>
      </c>
      <c r="AN8" s="16">
        <f>'Demanda'!E54</f>
        <v/>
      </c>
      <c r="AO8" s="16">
        <f>'Demanda'!E55</f>
        <v/>
      </c>
      <c r="AP8" s="16">
        <f>'Demanda'!E56</f>
        <v/>
      </c>
      <c r="AQ8" s="16">
        <f>'Demanda'!E57</f>
        <v/>
      </c>
      <c r="AR8" s="16">
        <f>'Demanda'!E58</f>
        <v/>
      </c>
      <c r="AS8" s="16">
        <f>'Demanda'!E59</f>
        <v/>
      </c>
      <c r="AT8" s="16">
        <f>'Demanda'!E60</f>
        <v/>
      </c>
      <c r="AU8" s="16">
        <f>'Demanda'!E61</f>
        <v/>
      </c>
      <c r="AV8" s="16">
        <f>'Demanda'!E62</f>
        <v/>
      </c>
      <c r="AW8" s="16">
        <f>'Demanda'!E63</f>
        <v/>
      </c>
      <c r="AX8" s="16">
        <f>'Demanda'!E64</f>
        <v/>
      </c>
      <c r="AY8" s="16">
        <f>'Demanda'!E65</f>
        <v/>
      </c>
      <c r="AZ8" s="16">
        <f>'Demanda'!E66</f>
        <v/>
      </c>
      <c r="BA8" s="16">
        <f>'Demanda'!E67</f>
        <v/>
      </c>
    </row>
    <row r="9">
      <c r="AJ9" s="1">
        <f>'Demanda'!F3</f>
        <v/>
      </c>
      <c r="AK9" s="16">
        <f>'Demanda'!F51</f>
        <v/>
      </c>
      <c r="AL9" s="16">
        <f>'Demanda'!F52</f>
        <v/>
      </c>
      <c r="AM9" s="16">
        <f>'Demanda'!F53</f>
        <v/>
      </c>
      <c r="AN9" s="16">
        <f>'Demanda'!F54</f>
        <v/>
      </c>
      <c r="AO9" s="16">
        <f>'Demanda'!F55</f>
        <v/>
      </c>
      <c r="AP9" s="16">
        <f>'Demanda'!F56</f>
        <v/>
      </c>
      <c r="AQ9" s="16">
        <f>'Demanda'!F57</f>
        <v/>
      </c>
      <c r="AR9" s="16">
        <f>'Demanda'!F58</f>
        <v/>
      </c>
      <c r="AS9" s="16">
        <f>'Demanda'!F59</f>
        <v/>
      </c>
      <c r="AT9" s="16">
        <f>'Demanda'!F60</f>
        <v/>
      </c>
      <c r="AU9" s="16">
        <f>'Demanda'!F61</f>
        <v/>
      </c>
      <c r="AV9" s="16">
        <f>'Demanda'!F62</f>
        <v/>
      </c>
      <c r="AW9" s="16">
        <f>'Demanda'!F63</f>
        <v/>
      </c>
      <c r="AX9" s="16">
        <f>'Demanda'!F64</f>
        <v/>
      </c>
      <c r="AY9" s="16">
        <f>'Demanda'!F65</f>
        <v/>
      </c>
      <c r="AZ9" s="16">
        <f>'Demanda'!F66</f>
        <v/>
      </c>
      <c r="BA9" s="16">
        <f>'Demanda'!F67</f>
        <v/>
      </c>
    </row>
    <row r="10">
      <c r="AJ10" s="1">
        <f>'Demanda'!G3</f>
        <v/>
      </c>
      <c r="AK10" s="16">
        <f>'Demanda'!G51</f>
        <v/>
      </c>
      <c r="AL10" s="16">
        <f>'Demanda'!G52</f>
        <v/>
      </c>
      <c r="AM10" s="16">
        <f>'Demanda'!G53</f>
        <v/>
      </c>
      <c r="AN10" s="16">
        <f>'Demanda'!G54</f>
        <v/>
      </c>
      <c r="AO10" s="16">
        <f>'Demanda'!G55</f>
        <v/>
      </c>
      <c r="AP10" s="16">
        <f>'Demanda'!G56</f>
        <v/>
      </c>
      <c r="AQ10" s="16">
        <f>'Demanda'!G57</f>
        <v/>
      </c>
      <c r="AR10" s="16">
        <f>'Demanda'!G58</f>
        <v/>
      </c>
      <c r="AS10" s="16">
        <f>'Demanda'!G59</f>
        <v/>
      </c>
      <c r="AT10" s="16">
        <f>'Demanda'!G60</f>
        <v/>
      </c>
      <c r="AU10" s="16">
        <f>'Demanda'!G61</f>
        <v/>
      </c>
      <c r="AV10" s="16">
        <f>'Demanda'!G62</f>
        <v/>
      </c>
      <c r="AW10" s="16">
        <f>'Demanda'!G63</f>
        <v/>
      </c>
      <c r="AX10" s="16">
        <f>'Demanda'!G64</f>
        <v/>
      </c>
      <c r="AY10" s="16">
        <f>'Demanda'!G65</f>
        <v/>
      </c>
      <c r="AZ10" s="16">
        <f>'Demanda'!G66</f>
        <v/>
      </c>
      <c r="BA10" s="16">
        <f>'Demanda'!G67</f>
        <v/>
      </c>
    </row>
    <row r="11">
      <c r="AJ11" s="1">
        <f>'Demanda'!H3</f>
        <v/>
      </c>
      <c r="AK11" s="16">
        <f>'Demanda'!H51</f>
        <v/>
      </c>
      <c r="AL11" s="16">
        <f>'Demanda'!H52</f>
        <v/>
      </c>
      <c r="AM11" s="16">
        <f>'Demanda'!H53</f>
        <v/>
      </c>
      <c r="AN11" s="16">
        <f>'Demanda'!H54</f>
        <v/>
      </c>
      <c r="AO11" s="16">
        <f>'Demanda'!H55</f>
        <v/>
      </c>
      <c r="AP11" s="16">
        <f>'Demanda'!H56</f>
        <v/>
      </c>
      <c r="AQ11" s="16">
        <f>'Demanda'!H57</f>
        <v/>
      </c>
      <c r="AR11" s="16">
        <f>'Demanda'!H58</f>
        <v/>
      </c>
      <c r="AS11" s="16">
        <f>'Demanda'!H59</f>
        <v/>
      </c>
      <c r="AT11" s="16">
        <f>'Demanda'!H60</f>
        <v/>
      </c>
      <c r="AU11" s="16">
        <f>'Demanda'!H61</f>
        <v/>
      </c>
      <c r="AV11" s="16">
        <f>'Demanda'!H62</f>
        <v/>
      </c>
      <c r="AW11" s="16">
        <f>'Demanda'!H63</f>
        <v/>
      </c>
      <c r="AX11" s="16">
        <f>'Demanda'!H64</f>
        <v/>
      </c>
      <c r="AY11" s="16">
        <f>'Demanda'!H65</f>
        <v/>
      </c>
      <c r="AZ11" s="16">
        <f>'Demanda'!H66</f>
        <v/>
      </c>
      <c r="BA11" s="16">
        <f>'Demanda'!H67</f>
        <v/>
      </c>
    </row>
    <row r="12">
      <c r="AJ12" s="1">
        <f>'Demanda'!I3</f>
        <v/>
      </c>
      <c r="AK12" s="16">
        <f>'Demanda'!I51</f>
        <v/>
      </c>
      <c r="AL12" s="16">
        <f>'Demanda'!I52</f>
        <v/>
      </c>
      <c r="AM12" s="16">
        <f>'Demanda'!I53</f>
        <v/>
      </c>
      <c r="AN12" s="16">
        <f>'Demanda'!I54</f>
        <v/>
      </c>
      <c r="AO12" s="16">
        <f>'Demanda'!I55</f>
        <v/>
      </c>
      <c r="AP12" s="16">
        <f>'Demanda'!I56</f>
        <v/>
      </c>
      <c r="AQ12" s="16">
        <f>'Demanda'!I57</f>
        <v/>
      </c>
      <c r="AR12" s="16">
        <f>'Demanda'!I58</f>
        <v/>
      </c>
      <c r="AS12" s="16">
        <f>'Demanda'!I59</f>
        <v/>
      </c>
      <c r="AT12" s="16">
        <f>'Demanda'!I60</f>
        <v/>
      </c>
      <c r="AU12" s="16">
        <f>'Demanda'!I61</f>
        <v/>
      </c>
      <c r="AV12" s="16">
        <f>'Demanda'!I62</f>
        <v/>
      </c>
      <c r="AW12" s="16">
        <f>'Demanda'!I63</f>
        <v/>
      </c>
      <c r="AX12" s="16">
        <f>'Demanda'!I64</f>
        <v/>
      </c>
      <c r="AY12" s="16">
        <f>'Demanda'!I65</f>
        <v/>
      </c>
      <c r="AZ12" s="16">
        <f>'Demanda'!I66</f>
        <v/>
      </c>
      <c r="BA12" s="16">
        <f>'Demanda'!I67</f>
        <v/>
      </c>
    </row>
    <row r="13">
      <c r="AJ13" s="1">
        <f>'Demanda'!J3</f>
        <v/>
      </c>
      <c r="AK13" s="16">
        <f>'Demanda'!J51</f>
        <v/>
      </c>
      <c r="AL13" s="16">
        <f>'Demanda'!J52</f>
        <v/>
      </c>
      <c r="AM13" s="16">
        <f>'Demanda'!J53</f>
        <v/>
      </c>
      <c r="AN13" s="16">
        <f>'Demanda'!J54</f>
        <v/>
      </c>
      <c r="AO13" s="16">
        <f>'Demanda'!J55</f>
        <v/>
      </c>
      <c r="AP13" s="16">
        <f>'Demanda'!J56</f>
        <v/>
      </c>
      <c r="AQ13" s="16">
        <f>'Demanda'!J57</f>
        <v/>
      </c>
      <c r="AR13" s="16">
        <f>'Demanda'!J58</f>
        <v/>
      </c>
      <c r="AS13" s="16">
        <f>'Demanda'!J59</f>
        <v/>
      </c>
      <c r="AT13" s="16">
        <f>'Demanda'!J60</f>
        <v/>
      </c>
      <c r="AU13" s="16">
        <f>'Demanda'!J61</f>
        <v/>
      </c>
      <c r="AV13" s="16">
        <f>'Demanda'!J62</f>
        <v/>
      </c>
      <c r="AW13" s="16">
        <f>'Demanda'!J63</f>
        <v/>
      </c>
      <c r="AX13" s="16">
        <f>'Demanda'!J64</f>
        <v/>
      </c>
      <c r="AY13" s="16">
        <f>'Demanda'!J65</f>
        <v/>
      </c>
      <c r="AZ13" s="16">
        <f>'Demanda'!J66</f>
        <v/>
      </c>
      <c r="BA13" s="16">
        <f>'Demanda'!J67</f>
        <v/>
      </c>
    </row>
    <row r="14">
      <c r="AJ14" s="1">
        <f>'Demanda'!K3</f>
        <v/>
      </c>
      <c r="AK14" s="16">
        <f>'Demanda'!K51</f>
        <v/>
      </c>
      <c r="AL14" s="16">
        <f>'Demanda'!K52</f>
        <v/>
      </c>
      <c r="AM14" s="16">
        <f>'Demanda'!K53</f>
        <v/>
      </c>
      <c r="AN14" s="16">
        <f>'Demanda'!K54</f>
        <v/>
      </c>
      <c r="AO14" s="16">
        <f>'Demanda'!K55</f>
        <v/>
      </c>
      <c r="AP14" s="16">
        <f>'Demanda'!K56</f>
        <v/>
      </c>
      <c r="AQ14" s="16">
        <f>'Demanda'!K57</f>
        <v/>
      </c>
      <c r="AR14" s="16">
        <f>'Demanda'!K58</f>
        <v/>
      </c>
      <c r="AS14" s="16">
        <f>'Demanda'!K59</f>
        <v/>
      </c>
      <c r="AT14" s="16">
        <f>'Demanda'!K60</f>
        <v/>
      </c>
      <c r="AU14" s="16">
        <f>'Demanda'!K61</f>
        <v/>
      </c>
      <c r="AV14" s="16">
        <f>'Demanda'!K62</f>
        <v/>
      </c>
      <c r="AW14" s="16">
        <f>'Demanda'!K63</f>
        <v/>
      </c>
      <c r="AX14" s="16">
        <f>'Demanda'!K64</f>
        <v/>
      </c>
      <c r="AY14" s="16">
        <f>'Demanda'!K65</f>
        <v/>
      </c>
      <c r="AZ14" s="16">
        <f>'Demanda'!K66</f>
        <v/>
      </c>
      <c r="BA14" s="16">
        <f>'Demanda'!K67</f>
        <v/>
      </c>
    </row>
    <row r="15">
      <c r="F15" s="1" t="inlineStr">
        <is>
          <t>TOTAL</t>
        </is>
      </c>
      <c r="Q15" s="1" t="inlineStr">
        <is>
          <t>PLANTA COMERCIAL</t>
        </is>
      </c>
      <c r="AA15" s="1" t="inlineStr">
        <is>
          <t>PLANTA INDUSTRIAL</t>
        </is>
      </c>
    </row>
    <row r="16" ht="90" customHeight="1">
      <c r="A16" s="18" t="inlineStr">
        <is>
          <t>Ítem</t>
        </is>
      </c>
      <c r="B16" s="18" t="inlineStr">
        <is>
          <t>UM</t>
        </is>
      </c>
      <c r="C16" s="18" t="inlineStr">
        <is>
          <t>Rubro</t>
        </is>
      </c>
      <c r="D16" s="18" t="inlineStr">
        <is>
          <t>Proveedor principal</t>
        </is>
      </c>
      <c r="E16" s="18" t="inlineStr">
        <is>
          <t>Destino</t>
        </is>
      </c>
      <c r="F16" s="19">
        <f>'Demanda'!B3</f>
        <v/>
      </c>
      <c r="G16" s="19">
        <f>'Demanda'!C3</f>
        <v/>
      </c>
      <c r="H16" s="19">
        <f>'Demanda'!D3</f>
        <v/>
      </c>
      <c r="I16" s="19">
        <f>'Demanda'!E3</f>
        <v/>
      </c>
      <c r="J16" s="19">
        <f>'Demanda'!F3</f>
        <v/>
      </c>
      <c r="K16" s="19">
        <f>'Demanda'!G3</f>
        <v/>
      </c>
      <c r="L16" s="19">
        <f>'Demanda'!H3</f>
        <v/>
      </c>
      <c r="M16" s="19">
        <f>'Demanda'!I3</f>
        <v/>
      </c>
      <c r="N16" s="19">
        <f>'Demanda'!J3</f>
        <v/>
      </c>
      <c r="O16" s="19">
        <f>'Demanda'!K3</f>
        <v/>
      </c>
      <c r="Q16" s="19">
        <f>'Demanda'!B3</f>
        <v/>
      </c>
      <c r="R16" s="19">
        <f>'Demanda'!C3</f>
        <v/>
      </c>
      <c r="S16" s="19">
        <f>'Demanda'!D3</f>
        <v/>
      </c>
      <c r="T16" s="19">
        <f>'Demanda'!E3</f>
        <v/>
      </c>
      <c r="U16" s="19">
        <f>'Demanda'!F3</f>
        <v/>
      </c>
      <c r="V16" s="19">
        <f>'Demanda'!G3</f>
        <v/>
      </c>
      <c r="W16" s="19">
        <f>'Demanda'!H3</f>
        <v/>
      </c>
      <c r="X16" s="19">
        <f>'Demanda'!I3</f>
        <v/>
      </c>
      <c r="Y16" s="19">
        <f>'Demanda'!J3</f>
        <v/>
      </c>
      <c r="Z16" s="19">
        <f>'Demanda'!K3</f>
        <v/>
      </c>
      <c r="AA16" s="19">
        <f>'Demanda'!B3</f>
        <v/>
      </c>
      <c r="AB16" s="19">
        <f>'Demanda'!C3</f>
        <v/>
      </c>
      <c r="AC16" s="19">
        <f>'Demanda'!D3</f>
        <v/>
      </c>
      <c r="AD16" s="19">
        <f>'Demanda'!E3</f>
        <v/>
      </c>
      <c r="AE16" s="19">
        <f>'Demanda'!F3</f>
        <v/>
      </c>
      <c r="AF16" s="19">
        <f>'Demanda'!G3</f>
        <v/>
      </c>
      <c r="AG16" s="19">
        <f>'Demanda'!H3</f>
        <v/>
      </c>
      <c r="AH16" s="19">
        <f>'Demanda'!I3</f>
        <v/>
      </c>
      <c r="AI16" s="19">
        <f>'Demanda'!J3</f>
        <v/>
      </c>
      <c r="AJ16" s="19">
        <f>'Demanda'!K3</f>
        <v/>
      </c>
      <c r="AK16" s="20" t="inlineStr">
        <is>
          <t>coef. ABC_1kg</t>
        </is>
      </c>
      <c r="AL16" s="20" t="inlineStr">
        <is>
          <t>coef. ABC_2.5kg</t>
        </is>
      </c>
      <c r="AM16" s="20" t="inlineStr">
        <is>
          <t>coef. ABC_5kg</t>
        </is>
      </c>
      <c r="AN16" s="20" t="inlineStr">
        <is>
          <t>coef. ABC_10kg</t>
        </is>
      </c>
      <c r="AO16" s="20" t="inlineStr">
        <is>
          <t>coef. AGUA_10l</t>
        </is>
      </c>
      <c r="AP16" s="20" t="inlineStr">
        <is>
          <t>coef. AFFF_10l</t>
        </is>
      </c>
      <c r="AQ16" s="20" t="inlineStr">
        <is>
          <t>coef. AFFF_50l</t>
        </is>
      </c>
      <c r="AR16" s="20" t="inlineStr">
        <is>
          <t>coef. BC_5kg</t>
        </is>
      </c>
      <c r="AS16" s="20" t="inlineStr">
        <is>
          <t>coef. SALESK_6l</t>
        </is>
      </c>
      <c r="AT16" s="20" t="inlineStr">
        <is>
          <t>coef. CO2_2kg</t>
        </is>
      </c>
      <c r="AU16" s="20" t="inlineStr">
        <is>
          <t>coef. CO2_5kg</t>
        </is>
      </c>
      <c r="AV16" s="20" t="inlineStr">
        <is>
          <t>coef. HCFC-HFC_5kg</t>
        </is>
      </c>
      <c r="AW16" s="20" t="inlineStr">
        <is>
          <t>coef. CLASED_9l</t>
        </is>
      </c>
      <c r="AX16" s="20" t="inlineStr">
        <is>
          <t>coef. ABC_25kg</t>
        </is>
      </c>
      <c r="AY16" s="20" t="inlineStr">
        <is>
          <t>coef. ABC_50kg</t>
        </is>
      </c>
      <c r="AZ16" s="20" t="inlineStr">
        <is>
          <t>coef. ABC_70kg</t>
        </is>
      </c>
      <c r="BA16" s="20" t="inlineStr">
        <is>
          <t>coef. ABC_100kg</t>
        </is>
      </c>
    </row>
    <row r="17">
      <c r="A17" s="23" t="inlineStr">
        <is>
          <t>Gas impulsor: N₂</t>
        </is>
      </c>
      <c r="B17" s="23" t="inlineStr">
        <is>
          <t>kg</t>
        </is>
      </c>
      <c r="C17" s="23" t="inlineStr">
        <is>
          <t>Carga (agente y gas)</t>
        </is>
      </c>
      <c r="D17" s="23" t="inlineStr">
        <is>
          <t>Air Liquide Argentina - sucursal Piñeyro</t>
        </is>
      </c>
      <c r="E17" s="23" t="inlineStr">
        <is>
          <t>Todos</t>
        </is>
      </c>
      <c r="F17" s="21">
        <f>SUMPRODUCT($AK17:$BA17,$AK$5:$BA$5)*IF($E17="CABA",'Parametros'!B$8,IF($E17="PBA",1-'Parametros'!B$8,1))</f>
        <v/>
      </c>
      <c r="G17" s="21">
        <f>SUMPRODUCT($AK17:$BA17,$AK$6:$BA$6)*IF($E17="CABA",'Parametros'!C$8,IF($E17="PBA",1-'Parametros'!C$8,1))</f>
        <v/>
      </c>
      <c r="H17" s="21">
        <f>SUMPRODUCT($AK17:$BA17,$AK$7:$BA$7)*IF($E17="CABA",'Parametros'!D$8,IF($E17="PBA",1-'Parametros'!D$8,1))</f>
        <v/>
      </c>
      <c r="I17" s="21">
        <f>SUMPRODUCT($AK17:$BA17,$AK$8:$BA$8)*IF($E17="CABA",'Parametros'!E$8,IF($E17="PBA",1-'Parametros'!E$8,1))</f>
        <v/>
      </c>
      <c r="J17" s="21">
        <f>SUMPRODUCT($AK17:$BA17,$AK$9:$BA$9)*IF($E17="CABA",'Parametros'!F$8,IF($E17="PBA",1-'Parametros'!F$8,1))</f>
        <v/>
      </c>
      <c r="K17" s="21">
        <f>SUMPRODUCT($AK17:$BA17,$AK$10:$BA$10)*IF($E17="CABA",'Parametros'!G$8,IF($E17="PBA",1-'Parametros'!G$8,1))</f>
        <v/>
      </c>
      <c r="L17" s="21">
        <f>SUMPRODUCT($AK17:$BA17,$AK$11:$BA$11)*IF($E17="CABA",'Parametros'!H$8,IF($E17="PBA",1-'Parametros'!H$8,1))</f>
        <v/>
      </c>
      <c r="M17" s="21">
        <f>SUMPRODUCT($AK17:$BA17,$AK$12:$BA$12)*IF($E17="CABA",'Parametros'!I$8,IF($E17="PBA",1-'Parametros'!I$8,1))</f>
        <v/>
      </c>
      <c r="N17" s="21">
        <f>SUMPRODUCT($AK17:$BA17,$AK$13:$BA$13)*IF($E17="CABA",'Parametros'!J$8,IF($E17="PBA",1-'Parametros'!J$8,1))</f>
        <v/>
      </c>
      <c r="O17" s="21">
        <f>SUMPRODUCT($AK17:$BA17,$AK$14:$BA$14)*IF($E17="CABA",'Parametros'!K$8,IF($E17="PBA",1-'Parametros'!K$8,1))</f>
        <v/>
      </c>
      <c r="Q17" s="21">
        <f>F17*'Parametros'!B$9</f>
        <v/>
      </c>
      <c r="R17" s="21">
        <f>G17*'Parametros'!C$9</f>
        <v/>
      </c>
      <c r="S17" s="21">
        <f>H17*'Parametros'!D$9</f>
        <v/>
      </c>
      <c r="T17" s="21">
        <f>I17*'Parametros'!E$9</f>
        <v/>
      </c>
      <c r="U17" s="21">
        <f>J17*'Parametros'!F$9</f>
        <v/>
      </c>
      <c r="V17" s="21">
        <f>K17*'Parametros'!G$9</f>
        <v/>
      </c>
      <c r="W17" s="21">
        <f>L17*'Parametros'!H$9</f>
        <v/>
      </c>
      <c r="X17" s="21">
        <f>M17*'Parametros'!I$9</f>
        <v/>
      </c>
      <c r="Y17" s="21">
        <f>N17*'Parametros'!J$9</f>
        <v/>
      </c>
      <c r="Z17" s="21">
        <f>O17*'Parametros'!K$9</f>
        <v/>
      </c>
      <c r="AA17" s="21">
        <f>F17*'Parametros'!B$10</f>
        <v/>
      </c>
      <c r="AB17" s="21">
        <f>G17*'Parametros'!C$10</f>
        <v/>
      </c>
      <c r="AC17" s="21">
        <f>H17*'Parametros'!D$10</f>
        <v/>
      </c>
      <c r="AD17" s="21">
        <f>I17*'Parametros'!E$10</f>
        <v/>
      </c>
      <c r="AE17" s="21">
        <f>J17*'Parametros'!F$10</f>
        <v/>
      </c>
      <c r="AF17" s="21">
        <f>K17*'Parametros'!G$10</f>
        <v/>
      </c>
      <c r="AG17" s="21">
        <f>L17*'Parametros'!H$10</f>
        <v/>
      </c>
      <c r="AH17" s="21">
        <f>M17*'Parametros'!I$10</f>
        <v/>
      </c>
      <c r="AI17" s="21">
        <f>N17*'Parametros'!J$10</f>
        <v/>
      </c>
      <c r="AJ17" s="21">
        <f>O17*'Parametros'!K$10</f>
        <v/>
      </c>
      <c r="AK17" s="26">
        <f>'Parametros'!$B$3*0.0047+(1-'Parametros'!$B$3)*0.0047</f>
        <v/>
      </c>
      <c r="AL17" s="26">
        <f>'Parametros'!$B$3*0.0212+(1-'Parametros'!$B$3)*0.0212</f>
        <v/>
      </c>
      <c r="AM17" s="26">
        <f>'Parametros'!$B$3*0.0251+(1-'Parametros'!$B$3)*0.0251</f>
        <v/>
      </c>
      <c r="AN17" s="26">
        <f>'Parametros'!$B$3*0.0588+(1-'Parametros'!$B$3)*0.0588</f>
        <v/>
      </c>
      <c r="AR17" s="26">
        <f>'Parametros'!$B$3*0.0077+(1-'Parametros'!$B$3)*0.0077</f>
        <v/>
      </c>
      <c r="AS17" s="26">
        <f>'Parametros'!$B$3*0.0306+(1-'Parametros'!$B$3)*0.0306</f>
        <v/>
      </c>
      <c r="AW17" s="26">
        <f>'Parametros'!$B$3*0.0604+(1-'Parametros'!$B$3)*0.0604</f>
        <v/>
      </c>
      <c r="AX17" s="26">
        <f>'Parametros'!$B$3*0.2013+(1-'Parametros'!$B$3)*0.2013</f>
        <v/>
      </c>
      <c r="AY17" s="26">
        <f>'Parametros'!$B$3*0.2819+(1-'Parametros'!$B$3)*0.2819</f>
        <v/>
      </c>
      <c r="AZ17" s="26">
        <f>'Parametros'!$B$3*0.5581+(1-'Parametros'!$B$3)*0.5581</f>
        <v/>
      </c>
      <c r="BA17" s="26">
        <f>'Parametros'!$B$3*0.5189+(1-'Parametros'!$B$3)*0.5189</f>
        <v/>
      </c>
    </row>
    <row r="18">
      <c r="A18" s="23" t="inlineStr">
        <is>
          <t>Polvo químico seco ABC 60 (Sello IRAM 3569)</t>
        </is>
      </c>
      <c r="B18" s="23" t="inlineStr">
        <is>
          <t>kg</t>
        </is>
      </c>
      <c r="C18" s="23" t="inlineStr">
        <is>
          <t>Carga (agente y gas)</t>
        </is>
      </c>
      <c r="D18" s="23" t="inlineStr">
        <is>
          <t>DEM S.A. (DEMSA)</t>
        </is>
      </c>
      <c r="E18" s="23" t="inlineStr">
        <is>
          <t>Todos</t>
        </is>
      </c>
      <c r="F18" s="21">
        <f>SUMPRODUCT($AK18:$BA18,$AK$5:$BA$5)*IF($E18="CABA",'Parametros'!B$8,IF($E18="PBA",1-'Parametros'!B$8,1))</f>
        <v/>
      </c>
      <c r="G18" s="21">
        <f>SUMPRODUCT($AK18:$BA18,$AK$6:$BA$6)*IF($E18="CABA",'Parametros'!C$8,IF($E18="PBA",1-'Parametros'!C$8,1))</f>
        <v/>
      </c>
      <c r="H18" s="21">
        <f>SUMPRODUCT($AK18:$BA18,$AK$7:$BA$7)*IF($E18="CABA",'Parametros'!D$8,IF($E18="PBA",1-'Parametros'!D$8,1))</f>
        <v/>
      </c>
      <c r="I18" s="21">
        <f>SUMPRODUCT($AK18:$BA18,$AK$8:$BA$8)*IF($E18="CABA",'Parametros'!E$8,IF($E18="PBA",1-'Parametros'!E$8,1))</f>
        <v/>
      </c>
      <c r="J18" s="21">
        <f>SUMPRODUCT($AK18:$BA18,$AK$9:$BA$9)*IF($E18="CABA",'Parametros'!F$8,IF($E18="PBA",1-'Parametros'!F$8,1))</f>
        <v/>
      </c>
      <c r="K18" s="21">
        <f>SUMPRODUCT($AK18:$BA18,$AK$10:$BA$10)*IF($E18="CABA",'Parametros'!G$8,IF($E18="PBA",1-'Parametros'!G$8,1))</f>
        <v/>
      </c>
      <c r="L18" s="21">
        <f>SUMPRODUCT($AK18:$BA18,$AK$11:$BA$11)*IF($E18="CABA",'Parametros'!H$8,IF($E18="PBA",1-'Parametros'!H$8,1))</f>
        <v/>
      </c>
      <c r="M18" s="21">
        <f>SUMPRODUCT($AK18:$BA18,$AK$12:$BA$12)*IF($E18="CABA",'Parametros'!I$8,IF($E18="PBA",1-'Parametros'!I$8,1))</f>
        <v/>
      </c>
      <c r="N18" s="21">
        <f>SUMPRODUCT($AK18:$BA18,$AK$13:$BA$13)*IF($E18="CABA",'Parametros'!J$8,IF($E18="PBA",1-'Parametros'!J$8,1))</f>
        <v/>
      </c>
      <c r="O18" s="21">
        <f>SUMPRODUCT($AK18:$BA18,$AK$14:$BA$14)*IF($E18="CABA",'Parametros'!K$8,IF($E18="PBA",1-'Parametros'!K$8,1))</f>
        <v/>
      </c>
      <c r="Q18" s="21">
        <f>F18*'Parametros'!B$9</f>
        <v/>
      </c>
      <c r="R18" s="21">
        <f>G18*'Parametros'!C$9</f>
        <v/>
      </c>
      <c r="S18" s="21">
        <f>H18*'Parametros'!D$9</f>
        <v/>
      </c>
      <c r="T18" s="21">
        <f>I18*'Parametros'!E$9</f>
        <v/>
      </c>
      <c r="U18" s="21">
        <f>J18*'Parametros'!F$9</f>
        <v/>
      </c>
      <c r="V18" s="21">
        <f>K18*'Parametros'!G$9</f>
        <v/>
      </c>
      <c r="W18" s="21">
        <f>L18*'Parametros'!H$9</f>
        <v/>
      </c>
      <c r="X18" s="21">
        <f>M18*'Parametros'!I$9</f>
        <v/>
      </c>
      <c r="Y18" s="21">
        <f>N18*'Parametros'!J$9</f>
        <v/>
      </c>
      <c r="Z18" s="21">
        <f>O18*'Parametros'!K$9</f>
        <v/>
      </c>
      <c r="AA18" s="21">
        <f>F18*'Parametros'!B$10</f>
        <v/>
      </c>
      <c r="AB18" s="21">
        <f>G18*'Parametros'!C$10</f>
        <v/>
      </c>
      <c r="AC18" s="21">
        <f>H18*'Parametros'!D$10</f>
        <v/>
      </c>
      <c r="AD18" s="21">
        <f>I18*'Parametros'!E$10</f>
        <v/>
      </c>
      <c r="AE18" s="21">
        <f>J18*'Parametros'!F$10</f>
        <v/>
      </c>
      <c r="AF18" s="21">
        <f>K18*'Parametros'!G$10</f>
        <v/>
      </c>
      <c r="AG18" s="21">
        <f>L18*'Parametros'!H$10</f>
        <v/>
      </c>
      <c r="AH18" s="21">
        <f>M18*'Parametros'!I$10</f>
        <v/>
      </c>
      <c r="AI18" s="21">
        <f>N18*'Parametros'!J$10</f>
        <v/>
      </c>
      <c r="AJ18" s="21">
        <f>O18*'Parametros'!K$10</f>
        <v/>
      </c>
      <c r="AK18" s="26">
        <f>'Parametros'!$B$3*1.0+(1-'Parametros'!$B$3)*0.03</f>
        <v/>
      </c>
      <c r="AL18" s="26">
        <f>'Parametros'!$B$3*2.5+(1-'Parametros'!$B$3)*0.075</f>
        <v/>
      </c>
      <c r="AM18" s="26">
        <f>'Parametros'!$B$3*5.0+(1-'Parametros'!$B$3)*0.15</f>
        <v/>
      </c>
      <c r="AN18" s="26">
        <f>'Parametros'!$B$3*10.0+(1-'Parametros'!$B$3)*0.3</f>
        <v/>
      </c>
    </row>
    <row r="19">
      <c r="A19" s="23" t="inlineStr">
        <is>
          <t>Polvo químico seco ABC 90 (Sello IRAM 3569)</t>
        </is>
      </c>
      <c r="B19" s="23" t="inlineStr">
        <is>
          <t>kg</t>
        </is>
      </c>
      <c r="C19" s="23" t="inlineStr">
        <is>
          <t>Carga (agente y gas)</t>
        </is>
      </c>
      <c r="D19" s="23" t="inlineStr">
        <is>
          <t>DEM S.A. (DEMSA)</t>
        </is>
      </c>
      <c r="E19" s="23" t="inlineStr">
        <is>
          <t>Todos</t>
        </is>
      </c>
      <c r="F19" s="21">
        <f>SUMPRODUCT($AK19:$BA19,$AK$5:$BA$5)*IF($E19="CABA",'Parametros'!B$8,IF($E19="PBA",1-'Parametros'!B$8,1))</f>
        <v/>
      </c>
      <c r="G19" s="21">
        <f>SUMPRODUCT($AK19:$BA19,$AK$6:$BA$6)*IF($E19="CABA",'Parametros'!C$8,IF($E19="PBA",1-'Parametros'!C$8,1))</f>
        <v/>
      </c>
      <c r="H19" s="21">
        <f>SUMPRODUCT($AK19:$BA19,$AK$7:$BA$7)*IF($E19="CABA",'Parametros'!D$8,IF($E19="PBA",1-'Parametros'!D$8,1))</f>
        <v/>
      </c>
      <c r="I19" s="21">
        <f>SUMPRODUCT($AK19:$BA19,$AK$8:$BA$8)*IF($E19="CABA",'Parametros'!E$8,IF($E19="PBA",1-'Parametros'!E$8,1))</f>
        <v/>
      </c>
      <c r="J19" s="21">
        <f>SUMPRODUCT($AK19:$BA19,$AK$9:$BA$9)*IF($E19="CABA",'Parametros'!F$8,IF($E19="PBA",1-'Parametros'!F$8,1))</f>
        <v/>
      </c>
      <c r="K19" s="21">
        <f>SUMPRODUCT($AK19:$BA19,$AK$10:$BA$10)*IF($E19="CABA",'Parametros'!G$8,IF($E19="PBA",1-'Parametros'!G$8,1))</f>
        <v/>
      </c>
      <c r="L19" s="21">
        <f>SUMPRODUCT($AK19:$BA19,$AK$11:$BA$11)*IF($E19="CABA",'Parametros'!H$8,IF($E19="PBA",1-'Parametros'!H$8,1))</f>
        <v/>
      </c>
      <c r="M19" s="21">
        <f>SUMPRODUCT($AK19:$BA19,$AK$12:$BA$12)*IF($E19="CABA",'Parametros'!I$8,IF($E19="PBA",1-'Parametros'!I$8,1))</f>
        <v/>
      </c>
      <c r="N19" s="21">
        <f>SUMPRODUCT($AK19:$BA19,$AK$13:$BA$13)*IF($E19="CABA",'Parametros'!J$8,IF($E19="PBA",1-'Parametros'!J$8,1))</f>
        <v/>
      </c>
      <c r="O19" s="21">
        <f>SUMPRODUCT($AK19:$BA19,$AK$14:$BA$14)*IF($E19="CABA",'Parametros'!K$8,IF($E19="PBA",1-'Parametros'!K$8,1))</f>
        <v/>
      </c>
      <c r="Q19" s="21">
        <f>F19*'Parametros'!B$9</f>
        <v/>
      </c>
      <c r="R19" s="21">
        <f>G19*'Parametros'!C$9</f>
        <v/>
      </c>
      <c r="S19" s="21">
        <f>H19*'Parametros'!D$9</f>
        <v/>
      </c>
      <c r="T19" s="21">
        <f>I19*'Parametros'!E$9</f>
        <v/>
      </c>
      <c r="U19" s="21">
        <f>J19*'Parametros'!F$9</f>
        <v/>
      </c>
      <c r="V19" s="21">
        <f>K19*'Parametros'!G$9</f>
        <v/>
      </c>
      <c r="W19" s="21">
        <f>L19*'Parametros'!H$9</f>
        <v/>
      </c>
      <c r="X19" s="21">
        <f>M19*'Parametros'!I$9</f>
        <v/>
      </c>
      <c r="Y19" s="21">
        <f>N19*'Parametros'!J$9</f>
        <v/>
      </c>
      <c r="Z19" s="21">
        <f>O19*'Parametros'!K$9</f>
        <v/>
      </c>
      <c r="AA19" s="21">
        <f>F19*'Parametros'!B$10</f>
        <v/>
      </c>
      <c r="AB19" s="21">
        <f>G19*'Parametros'!C$10</f>
        <v/>
      </c>
      <c r="AC19" s="21">
        <f>H19*'Parametros'!D$10</f>
        <v/>
      </c>
      <c r="AD19" s="21">
        <f>I19*'Parametros'!E$10</f>
        <v/>
      </c>
      <c r="AE19" s="21">
        <f>J19*'Parametros'!F$10</f>
        <v/>
      </c>
      <c r="AF19" s="21">
        <f>K19*'Parametros'!G$10</f>
        <v/>
      </c>
      <c r="AG19" s="21">
        <f>L19*'Parametros'!H$10</f>
        <v/>
      </c>
      <c r="AH19" s="21">
        <f>M19*'Parametros'!I$10</f>
        <v/>
      </c>
      <c r="AI19" s="21">
        <f>N19*'Parametros'!J$10</f>
        <v/>
      </c>
      <c r="AJ19" s="21">
        <f>O19*'Parametros'!K$10</f>
        <v/>
      </c>
      <c r="AX19" s="26">
        <f>'Parametros'!$B$3*25.0+(1-'Parametros'!$B$3)*0.75</f>
        <v/>
      </c>
      <c r="AY19" s="26">
        <f>'Parametros'!$B$3*50.0+(1-'Parametros'!$B$3)*1.5</f>
        <v/>
      </c>
      <c r="AZ19" s="26">
        <f>'Parametros'!$B$3*70.0+(1-'Parametros'!$B$3)*2.1</f>
        <v/>
      </c>
      <c r="BA19" s="26">
        <f>'Parametros'!$B$3*100.0+(1-'Parametros'!$B$3)*3.0</f>
        <v/>
      </c>
    </row>
    <row r="20">
      <c r="A20" s="23" t="inlineStr">
        <is>
          <t>Acetato de potasio - DEMSA Kitchen (IRAM 3697)</t>
        </is>
      </c>
      <c r="B20" s="23" t="inlineStr">
        <is>
          <t>L</t>
        </is>
      </c>
      <c r="C20" s="23" t="inlineStr">
        <is>
          <t>Recarga y mantenimiento</t>
        </is>
      </c>
      <c r="D20" s="23" t="inlineStr">
        <is>
          <t>Polvex S.R.L. / Sancibrao</t>
        </is>
      </c>
      <c r="E20" s="23" t="inlineStr">
        <is>
          <t>Todos</t>
        </is>
      </c>
      <c r="F20" s="21">
        <f>SUMPRODUCT($AK20:$BA20,$AK$5:$BA$5)*IF($E20="CABA",'Parametros'!B$8,IF($E20="PBA",1-'Parametros'!B$8,1))</f>
        <v/>
      </c>
      <c r="G20" s="21">
        <f>SUMPRODUCT($AK20:$BA20,$AK$6:$BA$6)*IF($E20="CABA",'Parametros'!C$8,IF($E20="PBA",1-'Parametros'!C$8,1))</f>
        <v/>
      </c>
      <c r="H20" s="21">
        <f>SUMPRODUCT($AK20:$BA20,$AK$7:$BA$7)*IF($E20="CABA",'Parametros'!D$8,IF($E20="PBA",1-'Parametros'!D$8,1))</f>
        <v/>
      </c>
      <c r="I20" s="21">
        <f>SUMPRODUCT($AK20:$BA20,$AK$8:$BA$8)*IF($E20="CABA",'Parametros'!E$8,IF($E20="PBA",1-'Parametros'!E$8,1))</f>
        <v/>
      </c>
      <c r="J20" s="21">
        <f>SUMPRODUCT($AK20:$BA20,$AK$9:$BA$9)*IF($E20="CABA",'Parametros'!F$8,IF($E20="PBA",1-'Parametros'!F$8,1))</f>
        <v/>
      </c>
      <c r="K20" s="21">
        <f>SUMPRODUCT($AK20:$BA20,$AK$10:$BA$10)*IF($E20="CABA",'Parametros'!G$8,IF($E20="PBA",1-'Parametros'!G$8,1))</f>
        <v/>
      </c>
      <c r="L20" s="21">
        <f>SUMPRODUCT($AK20:$BA20,$AK$11:$BA$11)*IF($E20="CABA",'Parametros'!H$8,IF($E20="PBA",1-'Parametros'!H$8,1))</f>
        <v/>
      </c>
      <c r="M20" s="21">
        <f>SUMPRODUCT($AK20:$BA20,$AK$12:$BA$12)*IF($E20="CABA",'Parametros'!I$8,IF($E20="PBA",1-'Parametros'!I$8,1))</f>
        <v/>
      </c>
      <c r="N20" s="21">
        <f>SUMPRODUCT($AK20:$BA20,$AK$13:$BA$13)*IF($E20="CABA",'Parametros'!J$8,IF($E20="PBA",1-'Parametros'!J$8,1))</f>
        <v/>
      </c>
      <c r="O20" s="21">
        <f>SUMPRODUCT($AK20:$BA20,$AK$14:$BA$14)*IF($E20="CABA",'Parametros'!K$8,IF($E20="PBA",1-'Parametros'!K$8,1))</f>
        <v/>
      </c>
      <c r="Q20" s="21">
        <f>F20*'Parametros'!B$9</f>
        <v/>
      </c>
      <c r="R20" s="21">
        <f>G20*'Parametros'!C$9</f>
        <v/>
      </c>
      <c r="S20" s="21">
        <f>H20*'Parametros'!D$9</f>
        <v/>
      </c>
      <c r="T20" s="21">
        <f>I20*'Parametros'!E$9</f>
        <v/>
      </c>
      <c r="U20" s="21">
        <f>J20*'Parametros'!F$9</f>
        <v/>
      </c>
      <c r="V20" s="21">
        <f>K20*'Parametros'!G$9</f>
        <v/>
      </c>
      <c r="W20" s="21">
        <f>L20*'Parametros'!H$9</f>
        <v/>
      </c>
      <c r="X20" s="21">
        <f>M20*'Parametros'!I$9</f>
        <v/>
      </c>
      <c r="Y20" s="21">
        <f>N20*'Parametros'!J$9</f>
        <v/>
      </c>
      <c r="Z20" s="21">
        <f>O20*'Parametros'!K$9</f>
        <v/>
      </c>
      <c r="AA20" s="21">
        <f>F20*'Parametros'!B$10</f>
        <v/>
      </c>
      <c r="AB20" s="21">
        <f>G20*'Parametros'!C$10</f>
        <v/>
      </c>
      <c r="AC20" s="21">
        <f>H20*'Parametros'!D$10</f>
        <v/>
      </c>
      <c r="AD20" s="21">
        <f>I20*'Parametros'!E$10</f>
        <v/>
      </c>
      <c r="AE20" s="21">
        <f>J20*'Parametros'!F$10</f>
        <v/>
      </c>
      <c r="AF20" s="21">
        <f>K20*'Parametros'!G$10</f>
        <v/>
      </c>
      <c r="AG20" s="21">
        <f>L20*'Parametros'!H$10</f>
        <v/>
      </c>
      <c r="AH20" s="21">
        <f>M20*'Parametros'!I$10</f>
        <v/>
      </c>
      <c r="AI20" s="21">
        <f>N20*'Parametros'!J$10</f>
        <v/>
      </c>
      <c r="AJ20" s="21">
        <f>O20*'Parametros'!K$10</f>
        <v/>
      </c>
      <c r="AS20" s="26">
        <f>'Parametros'!$B$3*6.0+(1-'Parametros'!$B$3)*6.0</f>
        <v/>
      </c>
    </row>
    <row r="21">
      <c r="A21" s="23" t="inlineStr">
        <is>
          <t>Concentrado espumígeno AFFF 3 % (IRAM 3515)</t>
        </is>
      </c>
      <c r="B21" s="23" t="inlineStr">
        <is>
          <t>L</t>
        </is>
      </c>
      <c r="C21" s="23" t="inlineStr">
        <is>
          <t>Recarga y mantenimiento</t>
        </is>
      </c>
      <c r="D21" s="23" t="inlineStr">
        <is>
          <t>DEM S.A. (DEMSA)</t>
        </is>
      </c>
      <c r="E21" s="23" t="inlineStr">
        <is>
          <t>Todos</t>
        </is>
      </c>
      <c r="F21" s="21">
        <f>SUMPRODUCT($AK21:$BA21,$AK$5:$BA$5)*IF($E21="CABA",'Parametros'!B$8,IF($E21="PBA",1-'Parametros'!B$8,1))</f>
        <v/>
      </c>
      <c r="G21" s="21">
        <f>SUMPRODUCT($AK21:$BA21,$AK$6:$BA$6)*IF($E21="CABA",'Parametros'!C$8,IF($E21="PBA",1-'Parametros'!C$8,1))</f>
        <v/>
      </c>
      <c r="H21" s="21">
        <f>SUMPRODUCT($AK21:$BA21,$AK$7:$BA$7)*IF($E21="CABA",'Parametros'!D$8,IF($E21="PBA",1-'Parametros'!D$8,1))</f>
        <v/>
      </c>
      <c r="I21" s="21">
        <f>SUMPRODUCT($AK21:$BA21,$AK$8:$BA$8)*IF($E21="CABA",'Parametros'!E$8,IF($E21="PBA",1-'Parametros'!E$8,1))</f>
        <v/>
      </c>
      <c r="J21" s="21">
        <f>SUMPRODUCT($AK21:$BA21,$AK$9:$BA$9)*IF($E21="CABA",'Parametros'!F$8,IF($E21="PBA",1-'Parametros'!F$8,1))</f>
        <v/>
      </c>
      <c r="K21" s="21">
        <f>SUMPRODUCT($AK21:$BA21,$AK$10:$BA$10)*IF($E21="CABA",'Parametros'!G$8,IF($E21="PBA",1-'Parametros'!G$8,1))</f>
        <v/>
      </c>
      <c r="L21" s="21">
        <f>SUMPRODUCT($AK21:$BA21,$AK$11:$BA$11)*IF($E21="CABA",'Parametros'!H$8,IF($E21="PBA",1-'Parametros'!H$8,1))</f>
        <v/>
      </c>
      <c r="M21" s="21">
        <f>SUMPRODUCT($AK21:$BA21,$AK$12:$BA$12)*IF($E21="CABA",'Parametros'!I$8,IF($E21="PBA",1-'Parametros'!I$8,1))</f>
        <v/>
      </c>
      <c r="N21" s="21">
        <f>SUMPRODUCT($AK21:$BA21,$AK$13:$BA$13)*IF($E21="CABA",'Parametros'!J$8,IF($E21="PBA",1-'Parametros'!J$8,1))</f>
        <v/>
      </c>
      <c r="O21" s="21">
        <f>SUMPRODUCT($AK21:$BA21,$AK$14:$BA$14)*IF($E21="CABA",'Parametros'!K$8,IF($E21="PBA",1-'Parametros'!K$8,1))</f>
        <v/>
      </c>
      <c r="Q21" s="21">
        <f>F21*'Parametros'!B$9</f>
        <v/>
      </c>
      <c r="R21" s="21">
        <f>G21*'Parametros'!C$9</f>
        <v/>
      </c>
      <c r="S21" s="21">
        <f>H21*'Parametros'!D$9</f>
        <v/>
      </c>
      <c r="T21" s="21">
        <f>I21*'Parametros'!E$9</f>
        <v/>
      </c>
      <c r="U21" s="21">
        <f>J21*'Parametros'!F$9</f>
        <v/>
      </c>
      <c r="V21" s="21">
        <f>K21*'Parametros'!G$9</f>
        <v/>
      </c>
      <c r="W21" s="21">
        <f>L21*'Parametros'!H$9</f>
        <v/>
      </c>
      <c r="X21" s="21">
        <f>M21*'Parametros'!I$9</f>
        <v/>
      </c>
      <c r="Y21" s="21">
        <f>N21*'Parametros'!J$9</f>
        <v/>
      </c>
      <c r="Z21" s="21">
        <f>O21*'Parametros'!K$9</f>
        <v/>
      </c>
      <c r="AA21" s="21">
        <f>F21*'Parametros'!B$10</f>
        <v/>
      </c>
      <c r="AB21" s="21">
        <f>G21*'Parametros'!C$10</f>
        <v/>
      </c>
      <c r="AC21" s="21">
        <f>H21*'Parametros'!D$10</f>
        <v/>
      </c>
      <c r="AD21" s="21">
        <f>I21*'Parametros'!E$10</f>
        <v/>
      </c>
      <c r="AE21" s="21">
        <f>J21*'Parametros'!F$10</f>
        <v/>
      </c>
      <c r="AF21" s="21">
        <f>K21*'Parametros'!G$10</f>
        <v/>
      </c>
      <c r="AG21" s="21">
        <f>L21*'Parametros'!H$10</f>
        <v/>
      </c>
      <c r="AH21" s="21">
        <f>M21*'Parametros'!I$10</f>
        <v/>
      </c>
      <c r="AI21" s="21">
        <f>N21*'Parametros'!J$10</f>
        <v/>
      </c>
      <c r="AJ21" s="21">
        <f>O21*'Parametros'!K$10</f>
        <v/>
      </c>
      <c r="AP21" s="26">
        <f>'Parametros'!$B$3*0.3+(1-'Parametros'!$B$3)*0.3</f>
        <v/>
      </c>
      <c r="AQ21" s="26">
        <f>'Parametros'!$B$3*1.5+(1-'Parametros'!$B$3)*1.5</f>
        <v/>
      </c>
    </row>
    <row r="22">
      <c r="A22" s="2" t="inlineStr">
        <is>
          <t>Disco de seguridad</t>
        </is>
      </c>
      <c r="B22" s="2" t="inlineStr">
        <is>
          <t>u</t>
        </is>
      </c>
      <c r="C22" s="2" t="inlineStr">
        <is>
          <t>Recarga y mantenimiento</t>
        </is>
      </c>
      <c r="D22" s="2" t="inlineStr">
        <is>
          <t>Polvex S.R.L. / Sancibrao</t>
        </is>
      </c>
      <c r="E22" s="2" t="inlineStr">
        <is>
          <t>Todos</t>
        </is>
      </c>
      <c r="F22" s="21">
        <f>SUMPRODUCT($AK22:$BA22,$AK$5:$BA$5)*IF($E22="CABA",'Parametros'!B$8,IF($E22="PBA",1-'Parametros'!B$8,1))</f>
        <v/>
      </c>
      <c r="G22" s="21">
        <f>SUMPRODUCT($AK22:$BA22,$AK$6:$BA$6)*IF($E22="CABA",'Parametros'!C$8,IF($E22="PBA",1-'Parametros'!C$8,1))</f>
        <v/>
      </c>
      <c r="H22" s="21">
        <f>SUMPRODUCT($AK22:$BA22,$AK$7:$BA$7)*IF($E22="CABA",'Parametros'!D$8,IF($E22="PBA",1-'Parametros'!D$8,1))</f>
        <v/>
      </c>
      <c r="I22" s="21">
        <f>SUMPRODUCT($AK22:$BA22,$AK$8:$BA$8)*IF($E22="CABA",'Parametros'!E$8,IF($E22="PBA",1-'Parametros'!E$8,1))</f>
        <v/>
      </c>
      <c r="J22" s="21">
        <f>SUMPRODUCT($AK22:$BA22,$AK$9:$BA$9)*IF($E22="CABA",'Parametros'!F$8,IF($E22="PBA",1-'Parametros'!F$8,1))</f>
        <v/>
      </c>
      <c r="K22" s="21">
        <f>SUMPRODUCT($AK22:$BA22,$AK$10:$BA$10)*IF($E22="CABA",'Parametros'!G$8,IF($E22="PBA",1-'Parametros'!G$8,1))</f>
        <v/>
      </c>
      <c r="L22" s="21">
        <f>SUMPRODUCT($AK22:$BA22,$AK$11:$BA$11)*IF($E22="CABA",'Parametros'!H$8,IF($E22="PBA",1-'Parametros'!H$8,1))</f>
        <v/>
      </c>
      <c r="M22" s="21">
        <f>SUMPRODUCT($AK22:$BA22,$AK$12:$BA$12)*IF($E22="CABA",'Parametros'!I$8,IF($E22="PBA",1-'Parametros'!I$8,1))</f>
        <v/>
      </c>
      <c r="N22" s="21">
        <f>SUMPRODUCT($AK22:$BA22,$AK$13:$BA$13)*IF($E22="CABA",'Parametros'!J$8,IF($E22="PBA",1-'Parametros'!J$8,1))</f>
        <v/>
      </c>
      <c r="O22" s="21">
        <f>SUMPRODUCT($AK22:$BA22,$AK$14:$BA$14)*IF($E22="CABA",'Parametros'!K$8,IF($E22="PBA",1-'Parametros'!K$8,1))</f>
        <v/>
      </c>
      <c r="Q22" s="21">
        <f>F22*'Parametros'!B$9</f>
        <v/>
      </c>
      <c r="R22" s="21">
        <f>G22*'Parametros'!C$9</f>
        <v/>
      </c>
      <c r="S22" s="21">
        <f>H22*'Parametros'!D$9</f>
        <v/>
      </c>
      <c r="T22" s="21">
        <f>I22*'Parametros'!E$9</f>
        <v/>
      </c>
      <c r="U22" s="21">
        <f>J22*'Parametros'!F$9</f>
        <v/>
      </c>
      <c r="V22" s="21">
        <f>K22*'Parametros'!G$9</f>
        <v/>
      </c>
      <c r="W22" s="21">
        <f>L22*'Parametros'!H$9</f>
        <v/>
      </c>
      <c r="X22" s="21">
        <f>M22*'Parametros'!I$9</f>
        <v/>
      </c>
      <c r="Y22" s="21">
        <f>N22*'Parametros'!J$9</f>
        <v/>
      </c>
      <c r="Z22" s="21">
        <f>O22*'Parametros'!K$9</f>
        <v/>
      </c>
      <c r="AA22" s="21">
        <f>F22*'Parametros'!B$10</f>
        <v/>
      </c>
      <c r="AB22" s="21">
        <f>G22*'Parametros'!C$10</f>
        <v/>
      </c>
      <c r="AC22" s="21">
        <f>H22*'Parametros'!D$10</f>
        <v/>
      </c>
      <c r="AD22" s="21">
        <f>I22*'Parametros'!E$10</f>
        <v/>
      </c>
      <c r="AE22" s="21">
        <f>J22*'Parametros'!F$10</f>
        <v/>
      </c>
      <c r="AF22" s="21">
        <f>K22*'Parametros'!G$10</f>
        <v/>
      </c>
      <c r="AG22" s="21">
        <f>L22*'Parametros'!H$10</f>
        <v/>
      </c>
      <c r="AH22" s="21">
        <f>M22*'Parametros'!I$10</f>
        <v/>
      </c>
      <c r="AI22" s="21">
        <f>N22*'Parametros'!J$10</f>
        <v/>
      </c>
      <c r="AJ22" s="21">
        <f>O22*'Parametros'!K$10</f>
        <v/>
      </c>
      <c r="AT22" s="26">
        <f>'Parametros'!$B$3*0+(1-'Parametros'!$B$3)*1</f>
        <v/>
      </c>
      <c r="AU22" s="26">
        <f>'Parametros'!$B$3*0+(1-'Parametros'!$B$3)*1</f>
        <v/>
      </c>
    </row>
    <row r="23">
      <c r="A23" s="2" t="inlineStr">
        <is>
          <t>Dióxido de carbono (IRAM 41170)</t>
        </is>
      </c>
      <c r="B23" s="2" t="inlineStr">
        <is>
          <t>kg</t>
        </is>
      </c>
      <c r="C23" s="2" t="inlineStr">
        <is>
          <t>Recarga y mantenimiento</t>
        </is>
      </c>
      <c r="D23" s="2" t="inlineStr">
        <is>
          <t>Air Liquide Argentina - sucursal Piñeyro</t>
        </is>
      </c>
      <c r="E23" s="2" t="inlineStr">
        <is>
          <t>Todos</t>
        </is>
      </c>
      <c r="F23" s="21">
        <f>SUMPRODUCT($AK23:$BA23,$AK$5:$BA$5)*IF($E23="CABA",'Parametros'!B$8,IF($E23="PBA",1-'Parametros'!B$8,1))</f>
        <v/>
      </c>
      <c r="G23" s="21">
        <f>SUMPRODUCT($AK23:$BA23,$AK$6:$BA$6)*IF($E23="CABA",'Parametros'!C$8,IF($E23="PBA",1-'Parametros'!C$8,1))</f>
        <v/>
      </c>
      <c r="H23" s="21">
        <f>SUMPRODUCT($AK23:$BA23,$AK$7:$BA$7)*IF($E23="CABA",'Parametros'!D$8,IF($E23="PBA",1-'Parametros'!D$8,1))</f>
        <v/>
      </c>
      <c r="I23" s="21">
        <f>SUMPRODUCT($AK23:$BA23,$AK$8:$BA$8)*IF($E23="CABA",'Parametros'!E$8,IF($E23="PBA",1-'Parametros'!E$8,1))</f>
        <v/>
      </c>
      <c r="J23" s="21">
        <f>SUMPRODUCT($AK23:$BA23,$AK$9:$BA$9)*IF($E23="CABA",'Parametros'!F$8,IF($E23="PBA",1-'Parametros'!F$8,1))</f>
        <v/>
      </c>
      <c r="K23" s="21">
        <f>SUMPRODUCT($AK23:$BA23,$AK$10:$BA$10)*IF($E23="CABA",'Parametros'!G$8,IF($E23="PBA",1-'Parametros'!G$8,1))</f>
        <v/>
      </c>
      <c r="L23" s="21">
        <f>SUMPRODUCT($AK23:$BA23,$AK$11:$BA$11)*IF($E23="CABA",'Parametros'!H$8,IF($E23="PBA",1-'Parametros'!H$8,1))</f>
        <v/>
      </c>
      <c r="M23" s="21">
        <f>SUMPRODUCT($AK23:$BA23,$AK$12:$BA$12)*IF($E23="CABA",'Parametros'!I$8,IF($E23="PBA",1-'Parametros'!I$8,1))</f>
        <v/>
      </c>
      <c r="N23" s="21">
        <f>SUMPRODUCT($AK23:$BA23,$AK$13:$BA$13)*IF($E23="CABA",'Parametros'!J$8,IF($E23="PBA",1-'Parametros'!J$8,1))</f>
        <v/>
      </c>
      <c r="O23" s="21">
        <f>SUMPRODUCT($AK23:$BA23,$AK$14:$BA$14)*IF($E23="CABA",'Parametros'!K$8,IF($E23="PBA",1-'Parametros'!K$8,1))</f>
        <v/>
      </c>
      <c r="Q23" s="21">
        <f>F23*'Parametros'!B$9</f>
        <v/>
      </c>
      <c r="R23" s="21">
        <f>G23*'Parametros'!C$9</f>
        <v/>
      </c>
      <c r="S23" s="21">
        <f>H23*'Parametros'!D$9</f>
        <v/>
      </c>
      <c r="T23" s="21">
        <f>I23*'Parametros'!E$9</f>
        <v/>
      </c>
      <c r="U23" s="21">
        <f>J23*'Parametros'!F$9</f>
        <v/>
      </c>
      <c r="V23" s="21">
        <f>K23*'Parametros'!G$9</f>
        <v/>
      </c>
      <c r="W23" s="21">
        <f>L23*'Parametros'!H$9</f>
        <v/>
      </c>
      <c r="X23" s="21">
        <f>M23*'Parametros'!I$9</f>
        <v/>
      </c>
      <c r="Y23" s="21">
        <f>N23*'Parametros'!J$9</f>
        <v/>
      </c>
      <c r="Z23" s="21">
        <f>O23*'Parametros'!K$9</f>
        <v/>
      </c>
      <c r="AA23" s="21">
        <f>F23*'Parametros'!B$10</f>
        <v/>
      </c>
      <c r="AB23" s="21">
        <f>G23*'Parametros'!C$10</f>
        <v/>
      </c>
      <c r="AC23" s="21">
        <f>H23*'Parametros'!D$10</f>
        <v/>
      </c>
      <c r="AD23" s="21">
        <f>I23*'Parametros'!E$10</f>
        <v/>
      </c>
      <c r="AE23" s="21">
        <f>J23*'Parametros'!F$10</f>
        <v/>
      </c>
      <c r="AF23" s="21">
        <f>K23*'Parametros'!G$10</f>
        <v/>
      </c>
      <c r="AG23" s="21">
        <f>L23*'Parametros'!H$10</f>
        <v/>
      </c>
      <c r="AH23" s="21">
        <f>M23*'Parametros'!I$10</f>
        <v/>
      </c>
      <c r="AI23" s="21">
        <f>N23*'Parametros'!J$10</f>
        <v/>
      </c>
      <c r="AJ23" s="21">
        <f>O23*'Parametros'!K$10</f>
        <v/>
      </c>
      <c r="AT23" s="26">
        <f>'Parametros'!$B$3*2.0+(1-'Parametros'!$B$3)*0</f>
        <v/>
      </c>
      <c r="AU23" s="26">
        <f>'Parametros'!$B$3*5.0+(1-'Parametros'!$B$3)*0</f>
        <v/>
      </c>
    </row>
    <row r="24">
      <c r="A24" s="2" t="inlineStr">
        <is>
          <t>Etiqueta de servicio del recargador (extintor n°, serie, próxima recarga y PH)</t>
        </is>
      </c>
      <c r="B24" s="2" t="inlineStr">
        <is>
          <t>u</t>
        </is>
      </c>
      <c r="C24" s="2" t="inlineStr">
        <is>
          <t>Recarga y mantenimiento</t>
        </is>
      </c>
      <c r="D24" s="2" t="inlineStr">
        <is>
          <t>Astuprint</t>
        </is>
      </c>
      <c r="E24" s="2" t="inlineStr">
        <is>
          <t>Todos</t>
        </is>
      </c>
      <c r="F24" s="21">
        <f>SUMPRODUCT($AK24:$BA24,$AK$5:$BA$5)*IF($E24="CABA",'Parametros'!B$8,IF($E24="PBA",1-'Parametros'!B$8,1))</f>
        <v/>
      </c>
      <c r="G24" s="21">
        <f>SUMPRODUCT($AK24:$BA24,$AK$6:$BA$6)*IF($E24="CABA",'Parametros'!C$8,IF($E24="PBA",1-'Parametros'!C$8,1))</f>
        <v/>
      </c>
      <c r="H24" s="21">
        <f>SUMPRODUCT($AK24:$BA24,$AK$7:$BA$7)*IF($E24="CABA",'Parametros'!D$8,IF($E24="PBA",1-'Parametros'!D$8,1))</f>
        <v/>
      </c>
      <c r="I24" s="21">
        <f>SUMPRODUCT($AK24:$BA24,$AK$8:$BA$8)*IF($E24="CABA",'Parametros'!E$8,IF($E24="PBA",1-'Parametros'!E$8,1))</f>
        <v/>
      </c>
      <c r="J24" s="21">
        <f>SUMPRODUCT($AK24:$BA24,$AK$9:$BA$9)*IF($E24="CABA",'Parametros'!F$8,IF($E24="PBA",1-'Parametros'!F$8,1))</f>
        <v/>
      </c>
      <c r="K24" s="21">
        <f>SUMPRODUCT($AK24:$BA24,$AK$10:$BA$10)*IF($E24="CABA",'Parametros'!G$8,IF($E24="PBA",1-'Parametros'!G$8,1))</f>
        <v/>
      </c>
      <c r="L24" s="21">
        <f>SUMPRODUCT($AK24:$BA24,$AK$11:$BA$11)*IF($E24="CABA",'Parametros'!H$8,IF($E24="PBA",1-'Parametros'!H$8,1))</f>
        <v/>
      </c>
      <c r="M24" s="21">
        <f>SUMPRODUCT($AK24:$BA24,$AK$12:$BA$12)*IF($E24="CABA",'Parametros'!I$8,IF($E24="PBA",1-'Parametros'!I$8,1))</f>
        <v/>
      </c>
      <c r="N24" s="21">
        <f>SUMPRODUCT($AK24:$BA24,$AK$13:$BA$13)*IF($E24="CABA",'Parametros'!J$8,IF($E24="PBA",1-'Parametros'!J$8,1))</f>
        <v/>
      </c>
      <c r="O24" s="21">
        <f>SUMPRODUCT($AK24:$BA24,$AK$14:$BA$14)*IF($E24="CABA",'Parametros'!K$8,IF($E24="PBA",1-'Parametros'!K$8,1))</f>
        <v/>
      </c>
      <c r="Q24" s="21">
        <f>F24*'Parametros'!B$9</f>
        <v/>
      </c>
      <c r="R24" s="21">
        <f>G24*'Parametros'!C$9</f>
        <v/>
      </c>
      <c r="S24" s="21">
        <f>H24*'Parametros'!D$9</f>
        <v/>
      </c>
      <c r="T24" s="21">
        <f>I24*'Parametros'!E$9</f>
        <v/>
      </c>
      <c r="U24" s="21">
        <f>J24*'Parametros'!F$9</f>
        <v/>
      </c>
      <c r="V24" s="21">
        <f>K24*'Parametros'!G$9</f>
        <v/>
      </c>
      <c r="W24" s="21">
        <f>L24*'Parametros'!H$9</f>
        <v/>
      </c>
      <c r="X24" s="21">
        <f>M24*'Parametros'!I$9</f>
        <v/>
      </c>
      <c r="Y24" s="21">
        <f>N24*'Parametros'!J$9</f>
        <v/>
      </c>
      <c r="Z24" s="21">
        <f>O24*'Parametros'!K$9</f>
        <v/>
      </c>
      <c r="AA24" s="21">
        <f>F24*'Parametros'!B$10</f>
        <v/>
      </c>
      <c r="AB24" s="21">
        <f>G24*'Parametros'!C$10</f>
        <v/>
      </c>
      <c r="AC24" s="21">
        <f>H24*'Parametros'!D$10</f>
        <v/>
      </c>
      <c r="AD24" s="21">
        <f>I24*'Parametros'!E$10</f>
        <v/>
      </c>
      <c r="AE24" s="21">
        <f>J24*'Parametros'!F$10</f>
        <v/>
      </c>
      <c r="AF24" s="21">
        <f>K24*'Parametros'!G$10</f>
        <v/>
      </c>
      <c r="AG24" s="21">
        <f>L24*'Parametros'!H$10</f>
        <v/>
      </c>
      <c r="AH24" s="21">
        <f>M24*'Parametros'!I$10</f>
        <v/>
      </c>
      <c r="AI24" s="21">
        <f>N24*'Parametros'!J$10</f>
        <v/>
      </c>
      <c r="AJ24" s="21">
        <f>O24*'Parametros'!K$10</f>
        <v/>
      </c>
      <c r="AK24" s="26">
        <f>'Parametros'!$B$3*1+(1-'Parametros'!$B$3)*1</f>
        <v/>
      </c>
      <c r="AL24" s="26">
        <f>'Parametros'!$B$3*1+(1-'Parametros'!$B$3)*1</f>
        <v/>
      </c>
      <c r="AM24" s="26">
        <f>'Parametros'!$B$3*1+(1-'Parametros'!$B$3)*1</f>
        <v/>
      </c>
      <c r="AN24" s="26">
        <f>'Parametros'!$B$3*1+(1-'Parametros'!$B$3)*1</f>
        <v/>
      </c>
      <c r="AO24" s="26">
        <f>'Parametros'!$B$3*1+(1-'Parametros'!$B$3)*1</f>
        <v/>
      </c>
      <c r="AP24" s="26">
        <f>'Parametros'!$B$3*1+(1-'Parametros'!$B$3)*1</f>
        <v/>
      </c>
      <c r="AQ24" s="26">
        <f>'Parametros'!$B$3*1+(1-'Parametros'!$B$3)*1</f>
        <v/>
      </c>
      <c r="AR24" s="26">
        <f>'Parametros'!$B$3*1+(1-'Parametros'!$B$3)*1</f>
        <v/>
      </c>
      <c r="AS24" s="26">
        <f>'Parametros'!$B$3*1+(1-'Parametros'!$B$3)*1</f>
        <v/>
      </c>
      <c r="AT24" s="26">
        <f>'Parametros'!$B$3*1+(1-'Parametros'!$B$3)*1</f>
        <v/>
      </c>
      <c r="AU24" s="26">
        <f>'Parametros'!$B$3*1+(1-'Parametros'!$B$3)*1</f>
        <v/>
      </c>
      <c r="AV24" s="26">
        <f>'Parametros'!$B$3*1+(1-'Parametros'!$B$3)*1</f>
        <v/>
      </c>
      <c r="AW24" s="26">
        <f>'Parametros'!$B$3*1+(1-'Parametros'!$B$3)*1</f>
        <v/>
      </c>
      <c r="AX24" s="26">
        <f>'Parametros'!$B$3*1+(1-'Parametros'!$B$3)*1</f>
        <v/>
      </c>
      <c r="AY24" s="26">
        <f>'Parametros'!$B$3*1+(1-'Parametros'!$B$3)*1</f>
        <v/>
      </c>
      <c r="AZ24" s="26">
        <f>'Parametros'!$B$3*1+(1-'Parametros'!$B$3)*1</f>
        <v/>
      </c>
      <c r="BA24" s="26">
        <f>'Parametros'!$B$3*1+(1-'Parametros'!$B$3)*1</f>
        <v/>
      </c>
    </row>
    <row r="25">
      <c r="A25" s="2" t="inlineStr">
        <is>
          <t>Gas impulsor: Argón</t>
        </is>
      </c>
      <c r="B25" s="2" t="inlineStr">
        <is>
          <t>kg</t>
        </is>
      </c>
      <c r="C25" s="2" t="inlineStr">
        <is>
          <t>Recarga y mantenimiento</t>
        </is>
      </c>
      <c r="D25" s="2" t="inlineStr">
        <is>
          <t>Air Liquide Argentina - sucursal Piñeyro</t>
        </is>
      </c>
      <c r="E25" s="2" t="inlineStr">
        <is>
          <t>Todos</t>
        </is>
      </c>
      <c r="F25" s="21">
        <f>SUMPRODUCT($AK25:$BA25,$AK$5:$BA$5)*IF($E25="CABA",'Parametros'!B$8,IF($E25="PBA",1-'Parametros'!B$8,1))</f>
        <v/>
      </c>
      <c r="G25" s="21">
        <f>SUMPRODUCT($AK25:$BA25,$AK$6:$BA$6)*IF($E25="CABA",'Parametros'!C$8,IF($E25="PBA",1-'Parametros'!C$8,1))</f>
        <v/>
      </c>
      <c r="H25" s="21">
        <f>SUMPRODUCT($AK25:$BA25,$AK$7:$BA$7)*IF($E25="CABA",'Parametros'!D$8,IF($E25="PBA",1-'Parametros'!D$8,1))</f>
        <v/>
      </c>
      <c r="I25" s="21">
        <f>SUMPRODUCT($AK25:$BA25,$AK$8:$BA$8)*IF($E25="CABA",'Parametros'!E$8,IF($E25="PBA",1-'Parametros'!E$8,1))</f>
        <v/>
      </c>
      <c r="J25" s="21">
        <f>SUMPRODUCT($AK25:$BA25,$AK$9:$BA$9)*IF($E25="CABA",'Parametros'!F$8,IF($E25="PBA",1-'Parametros'!F$8,1))</f>
        <v/>
      </c>
      <c r="K25" s="21">
        <f>SUMPRODUCT($AK25:$BA25,$AK$10:$BA$10)*IF($E25="CABA",'Parametros'!G$8,IF($E25="PBA",1-'Parametros'!G$8,1))</f>
        <v/>
      </c>
      <c r="L25" s="21">
        <f>SUMPRODUCT($AK25:$BA25,$AK$11:$BA$11)*IF($E25="CABA",'Parametros'!H$8,IF($E25="PBA",1-'Parametros'!H$8,1))</f>
        <v/>
      </c>
      <c r="M25" s="21">
        <f>SUMPRODUCT($AK25:$BA25,$AK$12:$BA$12)*IF($E25="CABA",'Parametros'!I$8,IF($E25="PBA",1-'Parametros'!I$8,1))</f>
        <v/>
      </c>
      <c r="N25" s="21">
        <f>SUMPRODUCT($AK25:$BA25,$AK$13:$BA$13)*IF($E25="CABA",'Parametros'!J$8,IF($E25="PBA",1-'Parametros'!J$8,1))</f>
        <v/>
      </c>
      <c r="O25" s="21">
        <f>SUMPRODUCT($AK25:$BA25,$AK$14:$BA$14)*IF($E25="CABA",'Parametros'!K$8,IF($E25="PBA",1-'Parametros'!K$8,1))</f>
        <v/>
      </c>
      <c r="Q25" s="21">
        <f>F25*'Parametros'!B$9</f>
        <v/>
      </c>
      <c r="R25" s="21">
        <f>G25*'Parametros'!C$9</f>
        <v/>
      </c>
      <c r="S25" s="21">
        <f>H25*'Parametros'!D$9</f>
        <v/>
      </c>
      <c r="T25" s="21">
        <f>I25*'Parametros'!E$9</f>
        <v/>
      </c>
      <c r="U25" s="21">
        <f>J25*'Parametros'!F$9</f>
        <v/>
      </c>
      <c r="V25" s="21">
        <f>K25*'Parametros'!G$9</f>
        <v/>
      </c>
      <c r="W25" s="21">
        <f>L25*'Parametros'!H$9</f>
        <v/>
      </c>
      <c r="X25" s="21">
        <f>M25*'Parametros'!I$9</f>
        <v/>
      </c>
      <c r="Y25" s="21">
        <f>N25*'Parametros'!J$9</f>
        <v/>
      </c>
      <c r="Z25" s="21">
        <f>O25*'Parametros'!K$9</f>
        <v/>
      </c>
      <c r="AA25" s="21">
        <f>F25*'Parametros'!B$10</f>
        <v/>
      </c>
      <c r="AB25" s="21">
        <f>G25*'Parametros'!C$10</f>
        <v/>
      </c>
      <c r="AC25" s="21">
        <f>H25*'Parametros'!D$10</f>
        <v/>
      </c>
      <c r="AD25" s="21">
        <f>I25*'Parametros'!E$10</f>
        <v/>
      </c>
      <c r="AE25" s="21">
        <f>J25*'Parametros'!F$10</f>
        <v/>
      </c>
      <c r="AF25" s="21">
        <f>K25*'Parametros'!G$10</f>
        <v/>
      </c>
      <c r="AG25" s="21">
        <f>L25*'Parametros'!H$10</f>
        <v/>
      </c>
      <c r="AH25" s="21">
        <f>M25*'Parametros'!I$10</f>
        <v/>
      </c>
      <c r="AI25" s="21">
        <f>N25*'Parametros'!J$10</f>
        <v/>
      </c>
      <c r="AJ25" s="21">
        <f>O25*'Parametros'!K$10</f>
        <v/>
      </c>
      <c r="AV25" s="26">
        <f>'Parametros'!$B$3*0.0388+(1-'Parametros'!$B$3)*0.0388</f>
        <v/>
      </c>
    </row>
    <row r="26">
      <c r="A26" s="25" t="inlineStr">
        <is>
          <t>HCFC 123 / HFC 236fa (agente limpio)</t>
        </is>
      </c>
      <c r="B26" s="25" t="inlineStr">
        <is>
          <t>kg</t>
        </is>
      </c>
      <c r="C26" s="25" t="inlineStr">
        <is>
          <t>Recarga y mantenimiento</t>
        </is>
      </c>
      <c r="D26" s="25" t="inlineStr">
        <is>
          <t>-</t>
        </is>
      </c>
      <c r="E26" s="25" t="inlineStr">
        <is>
          <t>Todos</t>
        </is>
      </c>
      <c r="F26" s="21">
        <f>SUMPRODUCT($AK26:$BA26,$AK$5:$BA$5)*IF($E26="CABA",'Parametros'!B$8,IF($E26="PBA",1-'Parametros'!B$8,1))</f>
        <v/>
      </c>
      <c r="G26" s="21">
        <f>SUMPRODUCT($AK26:$BA26,$AK$6:$BA$6)*IF($E26="CABA",'Parametros'!C$8,IF($E26="PBA",1-'Parametros'!C$8,1))</f>
        <v/>
      </c>
      <c r="H26" s="21">
        <f>SUMPRODUCT($AK26:$BA26,$AK$7:$BA$7)*IF($E26="CABA",'Parametros'!D$8,IF($E26="PBA",1-'Parametros'!D$8,1))</f>
        <v/>
      </c>
      <c r="I26" s="21">
        <f>SUMPRODUCT($AK26:$BA26,$AK$8:$BA$8)*IF($E26="CABA",'Parametros'!E$8,IF($E26="PBA",1-'Parametros'!E$8,1))</f>
        <v/>
      </c>
      <c r="J26" s="21">
        <f>SUMPRODUCT($AK26:$BA26,$AK$9:$BA$9)*IF($E26="CABA",'Parametros'!F$8,IF($E26="PBA",1-'Parametros'!F$8,1))</f>
        <v/>
      </c>
      <c r="K26" s="21">
        <f>SUMPRODUCT($AK26:$BA26,$AK$10:$BA$10)*IF($E26="CABA",'Parametros'!G$8,IF($E26="PBA",1-'Parametros'!G$8,1))</f>
        <v/>
      </c>
      <c r="L26" s="21">
        <f>SUMPRODUCT($AK26:$BA26,$AK$11:$BA$11)*IF($E26="CABA",'Parametros'!H$8,IF($E26="PBA",1-'Parametros'!H$8,1))</f>
        <v/>
      </c>
      <c r="M26" s="21">
        <f>SUMPRODUCT($AK26:$BA26,$AK$12:$BA$12)*IF($E26="CABA",'Parametros'!I$8,IF($E26="PBA",1-'Parametros'!I$8,1))</f>
        <v/>
      </c>
      <c r="N26" s="21">
        <f>SUMPRODUCT($AK26:$BA26,$AK$13:$BA$13)*IF($E26="CABA",'Parametros'!J$8,IF($E26="PBA",1-'Parametros'!J$8,1))</f>
        <v/>
      </c>
      <c r="O26" s="21">
        <f>SUMPRODUCT($AK26:$BA26,$AK$14:$BA$14)*IF($E26="CABA",'Parametros'!K$8,IF($E26="PBA",1-'Parametros'!K$8,1))</f>
        <v/>
      </c>
      <c r="Q26" s="21">
        <f>F26*'Parametros'!B$9</f>
        <v/>
      </c>
      <c r="R26" s="21">
        <f>G26*'Parametros'!C$9</f>
        <v/>
      </c>
      <c r="S26" s="21">
        <f>H26*'Parametros'!D$9</f>
        <v/>
      </c>
      <c r="T26" s="21">
        <f>I26*'Parametros'!E$9</f>
        <v/>
      </c>
      <c r="U26" s="21">
        <f>J26*'Parametros'!F$9</f>
        <v/>
      </c>
      <c r="V26" s="21">
        <f>K26*'Parametros'!G$9</f>
        <v/>
      </c>
      <c r="W26" s="21">
        <f>L26*'Parametros'!H$9</f>
        <v/>
      </c>
      <c r="X26" s="21">
        <f>M26*'Parametros'!I$9</f>
        <v/>
      </c>
      <c r="Y26" s="21">
        <f>N26*'Parametros'!J$9</f>
        <v/>
      </c>
      <c r="Z26" s="21">
        <f>O26*'Parametros'!K$9</f>
        <v/>
      </c>
      <c r="AA26" s="21">
        <f>F26*'Parametros'!B$10</f>
        <v/>
      </c>
      <c r="AB26" s="21">
        <f>G26*'Parametros'!C$10</f>
        <v/>
      </c>
      <c r="AC26" s="21">
        <f>H26*'Parametros'!D$10</f>
        <v/>
      </c>
      <c r="AD26" s="21">
        <f>I26*'Parametros'!E$10</f>
        <v/>
      </c>
      <c r="AE26" s="21">
        <f>J26*'Parametros'!F$10</f>
        <v/>
      </c>
      <c r="AF26" s="21">
        <f>K26*'Parametros'!G$10</f>
        <v/>
      </c>
      <c r="AG26" s="21">
        <f>L26*'Parametros'!H$10</f>
        <v/>
      </c>
      <c r="AH26" s="21">
        <f>M26*'Parametros'!I$10</f>
        <v/>
      </c>
      <c r="AI26" s="21">
        <f>N26*'Parametros'!J$10</f>
        <v/>
      </c>
      <c r="AJ26" s="21">
        <f>O26*'Parametros'!K$10</f>
        <v/>
      </c>
      <c r="AV26" s="26">
        <f>'Parametros'!$B$3*5.0+(1-'Parametros'!$B$3)*0.1</f>
        <v/>
      </c>
    </row>
    <row r="27">
      <c r="A27" s="23" t="inlineStr">
        <is>
          <t>Junta tórica de asiento del cuello</t>
        </is>
      </c>
      <c r="B27" s="23" t="inlineStr">
        <is>
          <t>u</t>
        </is>
      </c>
      <c r="C27" s="23" t="inlineStr">
        <is>
          <t>Recarga y mantenimiento</t>
        </is>
      </c>
      <c r="D27" s="23" t="inlineStr">
        <is>
          <t>Argensold</t>
        </is>
      </c>
      <c r="E27" s="23" t="inlineStr">
        <is>
          <t>Todos</t>
        </is>
      </c>
      <c r="F27" s="21">
        <f>SUMPRODUCT($AK27:$BA27,$AK$5:$BA$5)*IF($E27="CABA",'Parametros'!B$8,IF($E27="PBA",1-'Parametros'!B$8,1))</f>
        <v/>
      </c>
      <c r="G27" s="21">
        <f>SUMPRODUCT($AK27:$BA27,$AK$6:$BA$6)*IF($E27="CABA",'Parametros'!C$8,IF($E27="PBA",1-'Parametros'!C$8,1))</f>
        <v/>
      </c>
      <c r="H27" s="21">
        <f>SUMPRODUCT($AK27:$BA27,$AK$7:$BA$7)*IF($E27="CABA",'Parametros'!D$8,IF($E27="PBA",1-'Parametros'!D$8,1))</f>
        <v/>
      </c>
      <c r="I27" s="21">
        <f>SUMPRODUCT($AK27:$BA27,$AK$8:$BA$8)*IF($E27="CABA",'Parametros'!E$8,IF($E27="PBA",1-'Parametros'!E$8,1))</f>
        <v/>
      </c>
      <c r="J27" s="21">
        <f>SUMPRODUCT($AK27:$BA27,$AK$9:$BA$9)*IF($E27="CABA",'Parametros'!F$8,IF($E27="PBA",1-'Parametros'!F$8,1))</f>
        <v/>
      </c>
      <c r="K27" s="21">
        <f>SUMPRODUCT($AK27:$BA27,$AK$10:$BA$10)*IF($E27="CABA",'Parametros'!G$8,IF($E27="PBA",1-'Parametros'!G$8,1))</f>
        <v/>
      </c>
      <c r="L27" s="21">
        <f>SUMPRODUCT($AK27:$BA27,$AK$11:$BA$11)*IF($E27="CABA",'Parametros'!H$8,IF($E27="PBA",1-'Parametros'!H$8,1))</f>
        <v/>
      </c>
      <c r="M27" s="21">
        <f>SUMPRODUCT($AK27:$BA27,$AK$12:$BA$12)*IF($E27="CABA",'Parametros'!I$8,IF($E27="PBA",1-'Parametros'!I$8,1))</f>
        <v/>
      </c>
      <c r="N27" s="21">
        <f>SUMPRODUCT($AK27:$BA27,$AK$13:$BA$13)*IF($E27="CABA",'Parametros'!J$8,IF($E27="PBA",1-'Parametros'!J$8,1))</f>
        <v/>
      </c>
      <c r="O27" s="21">
        <f>SUMPRODUCT($AK27:$BA27,$AK$14:$BA$14)*IF($E27="CABA",'Parametros'!K$8,IF($E27="PBA",1-'Parametros'!K$8,1))</f>
        <v/>
      </c>
      <c r="Q27" s="21">
        <f>F27*'Parametros'!B$9</f>
        <v/>
      </c>
      <c r="R27" s="21">
        <f>G27*'Parametros'!C$9</f>
        <v/>
      </c>
      <c r="S27" s="21">
        <f>H27*'Parametros'!D$9</f>
        <v/>
      </c>
      <c r="T27" s="21">
        <f>I27*'Parametros'!E$9</f>
        <v/>
      </c>
      <c r="U27" s="21">
        <f>J27*'Parametros'!F$9</f>
        <v/>
      </c>
      <c r="V27" s="21">
        <f>K27*'Parametros'!G$9</f>
        <v/>
      </c>
      <c r="W27" s="21">
        <f>L27*'Parametros'!H$9</f>
        <v/>
      </c>
      <c r="X27" s="21">
        <f>M27*'Parametros'!I$9</f>
        <v/>
      </c>
      <c r="Y27" s="21">
        <f>N27*'Parametros'!J$9</f>
        <v/>
      </c>
      <c r="Z27" s="21">
        <f>O27*'Parametros'!K$9</f>
        <v/>
      </c>
      <c r="AA27" s="21">
        <f>F27*'Parametros'!B$10</f>
        <v/>
      </c>
      <c r="AB27" s="21">
        <f>G27*'Parametros'!C$10</f>
        <v/>
      </c>
      <c r="AC27" s="21">
        <f>H27*'Parametros'!D$10</f>
        <v/>
      </c>
      <c r="AD27" s="21">
        <f>I27*'Parametros'!E$10</f>
        <v/>
      </c>
      <c r="AE27" s="21">
        <f>J27*'Parametros'!F$10</f>
        <v/>
      </c>
      <c r="AF27" s="21">
        <f>K27*'Parametros'!G$10</f>
        <v/>
      </c>
      <c r="AG27" s="21">
        <f>L27*'Parametros'!H$10</f>
        <v/>
      </c>
      <c r="AH27" s="21">
        <f>M27*'Parametros'!I$10</f>
        <v/>
      </c>
      <c r="AI27" s="21">
        <f>N27*'Parametros'!J$10</f>
        <v/>
      </c>
      <c r="AJ27" s="21">
        <f>O27*'Parametros'!K$10</f>
        <v/>
      </c>
      <c r="AK27" s="26">
        <f>'Parametros'!$B$3*1+(1-'Parametros'!$B$3)*1</f>
        <v/>
      </c>
      <c r="AL27" s="26">
        <f>'Parametros'!$B$3*1+(1-'Parametros'!$B$3)*1</f>
        <v/>
      </c>
      <c r="AM27" s="26">
        <f>'Parametros'!$B$3*1+(1-'Parametros'!$B$3)*1</f>
        <v/>
      </c>
      <c r="AN27" s="26">
        <f>'Parametros'!$B$3*1+(1-'Parametros'!$B$3)*1</f>
        <v/>
      </c>
      <c r="AO27" s="26">
        <f>'Parametros'!$B$3*1+(1-'Parametros'!$B$3)*1</f>
        <v/>
      </c>
      <c r="AP27" s="26">
        <f>'Parametros'!$B$3*1+(1-'Parametros'!$B$3)*1</f>
        <v/>
      </c>
      <c r="AQ27" s="26">
        <f>'Parametros'!$B$3*1+(1-'Parametros'!$B$3)*1</f>
        <v/>
      </c>
      <c r="AR27" s="26">
        <f>'Parametros'!$B$3*1+(1-'Parametros'!$B$3)*1</f>
        <v/>
      </c>
      <c r="AS27" s="26">
        <f>'Parametros'!$B$3*1+(1-'Parametros'!$B$3)*1</f>
        <v/>
      </c>
      <c r="AT27" s="26">
        <f>'Parametros'!$B$3*1+(1-'Parametros'!$B$3)*1</f>
        <v/>
      </c>
      <c r="AU27" s="26">
        <f>'Parametros'!$B$3*1+(1-'Parametros'!$B$3)*1</f>
        <v/>
      </c>
      <c r="AV27" s="26">
        <f>'Parametros'!$B$3*1+(1-'Parametros'!$B$3)*1</f>
        <v/>
      </c>
      <c r="AW27" s="26">
        <f>'Parametros'!$B$3*1+(1-'Parametros'!$B$3)*1</f>
        <v/>
      </c>
      <c r="AX27" s="26">
        <f>'Parametros'!$B$3*1+(1-'Parametros'!$B$3)*1</f>
        <v/>
      </c>
      <c r="AY27" s="26">
        <f>'Parametros'!$B$3*1+(1-'Parametros'!$B$3)*1</f>
        <v/>
      </c>
      <c r="AZ27" s="26">
        <f>'Parametros'!$B$3*1+(1-'Parametros'!$B$3)*1</f>
        <v/>
      </c>
      <c r="BA27" s="26">
        <f>'Parametros'!$B$3*1+(1-'Parametros'!$B$3)*1</f>
        <v/>
      </c>
    </row>
    <row r="28">
      <c r="A28" s="2" t="inlineStr">
        <is>
          <t>Marbete (anillo, color del año)</t>
        </is>
      </c>
      <c r="B28" s="2" t="inlineStr">
        <is>
          <t>u</t>
        </is>
      </c>
      <c r="C28" s="2" t="inlineStr">
        <is>
          <t>Recarga y mantenimiento</t>
        </is>
      </c>
      <c r="D28" s="2" t="inlineStr">
        <is>
          <t>Astuprint</t>
        </is>
      </c>
      <c r="E28" s="2" t="inlineStr">
        <is>
          <t>Todos</t>
        </is>
      </c>
      <c r="F28" s="21">
        <f>SUMPRODUCT($AK28:$BA28,$AK$5:$BA$5)*IF($E28="CABA",'Parametros'!B$8,IF($E28="PBA",1-'Parametros'!B$8,1))</f>
        <v/>
      </c>
      <c r="G28" s="21">
        <f>SUMPRODUCT($AK28:$BA28,$AK$6:$BA$6)*IF($E28="CABA",'Parametros'!C$8,IF($E28="PBA",1-'Parametros'!C$8,1))</f>
        <v/>
      </c>
      <c r="H28" s="21">
        <f>SUMPRODUCT($AK28:$BA28,$AK$7:$BA$7)*IF($E28="CABA",'Parametros'!D$8,IF($E28="PBA",1-'Parametros'!D$8,1))</f>
        <v/>
      </c>
      <c r="I28" s="21">
        <f>SUMPRODUCT($AK28:$BA28,$AK$8:$BA$8)*IF($E28="CABA",'Parametros'!E$8,IF($E28="PBA",1-'Parametros'!E$8,1))</f>
        <v/>
      </c>
      <c r="J28" s="21">
        <f>SUMPRODUCT($AK28:$BA28,$AK$9:$BA$9)*IF($E28="CABA",'Parametros'!F$8,IF($E28="PBA",1-'Parametros'!F$8,1))</f>
        <v/>
      </c>
      <c r="K28" s="21">
        <f>SUMPRODUCT($AK28:$BA28,$AK$10:$BA$10)*IF($E28="CABA",'Parametros'!G$8,IF($E28="PBA",1-'Parametros'!G$8,1))</f>
        <v/>
      </c>
      <c r="L28" s="21">
        <f>SUMPRODUCT($AK28:$BA28,$AK$11:$BA$11)*IF($E28="CABA",'Parametros'!H$8,IF($E28="PBA",1-'Parametros'!H$8,1))</f>
        <v/>
      </c>
      <c r="M28" s="21">
        <f>SUMPRODUCT($AK28:$BA28,$AK$12:$BA$12)*IF($E28="CABA",'Parametros'!I$8,IF($E28="PBA",1-'Parametros'!I$8,1))</f>
        <v/>
      </c>
      <c r="N28" s="21">
        <f>SUMPRODUCT($AK28:$BA28,$AK$13:$BA$13)*IF($E28="CABA",'Parametros'!J$8,IF($E28="PBA",1-'Parametros'!J$8,1))</f>
        <v/>
      </c>
      <c r="O28" s="21">
        <f>SUMPRODUCT($AK28:$BA28,$AK$14:$BA$14)*IF($E28="CABA",'Parametros'!K$8,IF($E28="PBA",1-'Parametros'!K$8,1))</f>
        <v/>
      </c>
      <c r="Q28" s="21">
        <f>F28*'Parametros'!B$9</f>
        <v/>
      </c>
      <c r="R28" s="21">
        <f>G28*'Parametros'!C$9</f>
        <v/>
      </c>
      <c r="S28" s="21">
        <f>H28*'Parametros'!D$9</f>
        <v/>
      </c>
      <c r="T28" s="21">
        <f>I28*'Parametros'!E$9</f>
        <v/>
      </c>
      <c r="U28" s="21">
        <f>J28*'Parametros'!F$9</f>
        <v/>
      </c>
      <c r="V28" s="21">
        <f>K28*'Parametros'!G$9</f>
        <v/>
      </c>
      <c r="W28" s="21">
        <f>L28*'Parametros'!H$9</f>
        <v/>
      </c>
      <c r="X28" s="21">
        <f>M28*'Parametros'!I$9</f>
        <v/>
      </c>
      <c r="Y28" s="21">
        <f>N28*'Parametros'!J$9</f>
        <v/>
      </c>
      <c r="Z28" s="21">
        <f>O28*'Parametros'!K$9</f>
        <v/>
      </c>
      <c r="AA28" s="21">
        <f>F28*'Parametros'!B$10</f>
        <v/>
      </c>
      <c r="AB28" s="21">
        <f>G28*'Parametros'!C$10</f>
        <v/>
      </c>
      <c r="AC28" s="21">
        <f>H28*'Parametros'!D$10</f>
        <v/>
      </c>
      <c r="AD28" s="21">
        <f>I28*'Parametros'!E$10</f>
        <v/>
      </c>
      <c r="AE28" s="21">
        <f>J28*'Parametros'!F$10</f>
        <v/>
      </c>
      <c r="AF28" s="21">
        <f>K28*'Parametros'!G$10</f>
        <v/>
      </c>
      <c r="AG28" s="21">
        <f>L28*'Parametros'!H$10</f>
        <v/>
      </c>
      <c r="AH28" s="21">
        <f>M28*'Parametros'!I$10</f>
        <v/>
      </c>
      <c r="AI28" s="21">
        <f>N28*'Parametros'!J$10</f>
        <v/>
      </c>
      <c r="AJ28" s="21">
        <f>O28*'Parametros'!K$10</f>
        <v/>
      </c>
      <c r="AK28" s="26">
        <f>'Parametros'!$B$3*1+(1-'Parametros'!$B$3)*1</f>
        <v/>
      </c>
      <c r="AL28" s="26">
        <f>'Parametros'!$B$3*1+(1-'Parametros'!$B$3)*1</f>
        <v/>
      </c>
      <c r="AM28" s="26">
        <f>'Parametros'!$B$3*1+(1-'Parametros'!$B$3)*1</f>
        <v/>
      </c>
      <c r="AN28" s="26">
        <f>'Parametros'!$B$3*1+(1-'Parametros'!$B$3)*1</f>
        <v/>
      </c>
      <c r="AO28" s="26">
        <f>'Parametros'!$B$3*1+(1-'Parametros'!$B$3)*1</f>
        <v/>
      </c>
      <c r="AP28" s="26">
        <f>'Parametros'!$B$3*1+(1-'Parametros'!$B$3)*1</f>
        <v/>
      </c>
      <c r="AQ28" s="26">
        <f>'Parametros'!$B$3*1+(1-'Parametros'!$B$3)*1</f>
        <v/>
      </c>
      <c r="AR28" s="26">
        <f>'Parametros'!$B$3*1+(1-'Parametros'!$B$3)*1</f>
        <v/>
      </c>
      <c r="AS28" s="26">
        <f>'Parametros'!$B$3*1+(1-'Parametros'!$B$3)*1</f>
        <v/>
      </c>
      <c r="AT28" s="26">
        <f>'Parametros'!$B$3*1+(1-'Parametros'!$B$3)*1</f>
        <v/>
      </c>
      <c r="AU28" s="26">
        <f>'Parametros'!$B$3*1+(1-'Parametros'!$B$3)*1</f>
        <v/>
      </c>
      <c r="AV28" s="26">
        <f>'Parametros'!$B$3*1+(1-'Parametros'!$B$3)*1</f>
        <v/>
      </c>
      <c r="AW28" s="26">
        <f>'Parametros'!$B$3*1+(1-'Parametros'!$B$3)*1</f>
        <v/>
      </c>
      <c r="AX28" s="26">
        <f>'Parametros'!$B$3*1+(1-'Parametros'!$B$3)*1</f>
        <v/>
      </c>
      <c r="AY28" s="26">
        <f>'Parametros'!$B$3*1+(1-'Parametros'!$B$3)*1</f>
        <v/>
      </c>
      <c r="AZ28" s="26">
        <f>'Parametros'!$B$3*1+(1-'Parametros'!$B$3)*1</f>
        <v/>
      </c>
      <c r="BA28" s="26">
        <f>'Parametros'!$B$3*1+(1-'Parametros'!$B$3)*1</f>
        <v/>
      </c>
    </row>
    <row r="29">
      <c r="A29" s="2" t="inlineStr">
        <is>
          <t>Oblea PBA de recarga Ø46 + estampilla precinto 1" × 200 mm válvula-cuerpo</t>
        </is>
      </c>
      <c r="B29" s="2" t="inlineStr">
        <is>
          <t>u</t>
        </is>
      </c>
      <c r="C29" s="2" t="inlineStr">
        <is>
          <t>Recarga y mantenimiento</t>
        </is>
      </c>
      <c r="D29" s="2" t="inlineStr">
        <is>
          <t>Ministerio de Ambiente PBA (ex OPDS)</t>
        </is>
      </c>
      <c r="E29" s="2" t="inlineStr">
        <is>
          <t>PBA</t>
        </is>
      </c>
      <c r="F29" s="21">
        <f>SUMPRODUCT($AK29:$BA29,$AK$5:$BA$5)*IF($E29="CABA",'Parametros'!B$8,IF($E29="PBA",1-'Parametros'!B$8,1))</f>
        <v/>
      </c>
      <c r="G29" s="21">
        <f>SUMPRODUCT($AK29:$BA29,$AK$6:$BA$6)*IF($E29="CABA",'Parametros'!C$8,IF($E29="PBA",1-'Parametros'!C$8,1))</f>
        <v/>
      </c>
      <c r="H29" s="21">
        <f>SUMPRODUCT($AK29:$BA29,$AK$7:$BA$7)*IF($E29="CABA",'Parametros'!D$8,IF($E29="PBA",1-'Parametros'!D$8,1))</f>
        <v/>
      </c>
      <c r="I29" s="21">
        <f>SUMPRODUCT($AK29:$BA29,$AK$8:$BA$8)*IF($E29="CABA",'Parametros'!E$8,IF($E29="PBA",1-'Parametros'!E$8,1))</f>
        <v/>
      </c>
      <c r="J29" s="21">
        <f>SUMPRODUCT($AK29:$BA29,$AK$9:$BA$9)*IF($E29="CABA",'Parametros'!F$8,IF($E29="PBA",1-'Parametros'!F$8,1))</f>
        <v/>
      </c>
      <c r="K29" s="21">
        <f>SUMPRODUCT($AK29:$BA29,$AK$10:$BA$10)*IF($E29="CABA",'Parametros'!G$8,IF($E29="PBA",1-'Parametros'!G$8,1))</f>
        <v/>
      </c>
      <c r="L29" s="21">
        <f>SUMPRODUCT($AK29:$BA29,$AK$11:$BA$11)*IF($E29="CABA",'Parametros'!H$8,IF($E29="PBA",1-'Parametros'!H$8,1))</f>
        <v/>
      </c>
      <c r="M29" s="21">
        <f>SUMPRODUCT($AK29:$BA29,$AK$12:$BA$12)*IF($E29="CABA",'Parametros'!I$8,IF($E29="PBA",1-'Parametros'!I$8,1))</f>
        <v/>
      </c>
      <c r="N29" s="21">
        <f>SUMPRODUCT($AK29:$BA29,$AK$13:$BA$13)*IF($E29="CABA",'Parametros'!J$8,IF($E29="PBA",1-'Parametros'!J$8,1))</f>
        <v/>
      </c>
      <c r="O29" s="21">
        <f>SUMPRODUCT($AK29:$BA29,$AK$14:$BA$14)*IF($E29="CABA",'Parametros'!K$8,IF($E29="PBA",1-'Parametros'!K$8,1))</f>
        <v/>
      </c>
      <c r="Q29" s="21">
        <f>F29*'Parametros'!B$9</f>
        <v/>
      </c>
      <c r="R29" s="21">
        <f>G29*'Parametros'!C$9</f>
        <v/>
      </c>
      <c r="S29" s="21">
        <f>H29*'Parametros'!D$9</f>
        <v/>
      </c>
      <c r="T29" s="21">
        <f>I29*'Parametros'!E$9</f>
        <v/>
      </c>
      <c r="U29" s="21">
        <f>J29*'Parametros'!F$9</f>
        <v/>
      </c>
      <c r="V29" s="21">
        <f>K29*'Parametros'!G$9</f>
        <v/>
      </c>
      <c r="W29" s="21">
        <f>L29*'Parametros'!H$9</f>
        <v/>
      </c>
      <c r="X29" s="21">
        <f>M29*'Parametros'!I$9</f>
        <v/>
      </c>
      <c r="Y29" s="21">
        <f>N29*'Parametros'!J$9</f>
        <v/>
      </c>
      <c r="Z29" s="21">
        <f>O29*'Parametros'!K$9</f>
        <v/>
      </c>
      <c r="AA29" s="21">
        <f>F29*'Parametros'!B$10</f>
        <v/>
      </c>
      <c r="AB29" s="21">
        <f>G29*'Parametros'!C$10</f>
        <v/>
      </c>
      <c r="AC29" s="21">
        <f>H29*'Parametros'!D$10</f>
        <v/>
      </c>
      <c r="AD29" s="21">
        <f>I29*'Parametros'!E$10</f>
        <v/>
      </c>
      <c r="AE29" s="21">
        <f>J29*'Parametros'!F$10</f>
        <v/>
      </c>
      <c r="AF29" s="21">
        <f>K29*'Parametros'!G$10</f>
        <v/>
      </c>
      <c r="AG29" s="21">
        <f>L29*'Parametros'!H$10</f>
        <v/>
      </c>
      <c r="AH29" s="21">
        <f>M29*'Parametros'!I$10</f>
        <v/>
      </c>
      <c r="AI29" s="21">
        <f>N29*'Parametros'!J$10</f>
        <v/>
      </c>
      <c r="AJ29" s="21">
        <f>O29*'Parametros'!K$10</f>
        <v/>
      </c>
      <c r="AK29" s="26">
        <f>'Parametros'!$B$3*1+(1-'Parametros'!$B$3)*1</f>
        <v/>
      </c>
      <c r="AL29" s="26">
        <f>'Parametros'!$B$3*1+(1-'Parametros'!$B$3)*1</f>
        <v/>
      </c>
      <c r="AM29" s="26">
        <f>'Parametros'!$B$3*1+(1-'Parametros'!$B$3)*1</f>
        <v/>
      </c>
      <c r="AN29" s="26">
        <f>'Parametros'!$B$3*1+(1-'Parametros'!$B$3)*1</f>
        <v/>
      </c>
      <c r="AO29" s="26">
        <f>'Parametros'!$B$3*1+(1-'Parametros'!$B$3)*1</f>
        <v/>
      </c>
      <c r="AP29" s="26">
        <f>'Parametros'!$B$3*1+(1-'Parametros'!$B$3)*1</f>
        <v/>
      </c>
      <c r="AQ29" s="26">
        <f>'Parametros'!$B$3*1+(1-'Parametros'!$B$3)*1</f>
        <v/>
      </c>
      <c r="AR29" s="26">
        <f>'Parametros'!$B$3*1+(1-'Parametros'!$B$3)*1</f>
        <v/>
      </c>
      <c r="AS29" s="26">
        <f>'Parametros'!$B$3*1+(1-'Parametros'!$B$3)*1</f>
        <v/>
      </c>
      <c r="AT29" s="26">
        <f>'Parametros'!$B$3*1+(1-'Parametros'!$B$3)*1</f>
        <v/>
      </c>
      <c r="AU29" s="26">
        <f>'Parametros'!$B$3*1+(1-'Parametros'!$B$3)*1</f>
        <v/>
      </c>
      <c r="AV29" s="26">
        <f>'Parametros'!$B$3*1+(1-'Parametros'!$B$3)*1</f>
        <v/>
      </c>
      <c r="AW29" s="26">
        <f>'Parametros'!$B$3*1+(1-'Parametros'!$B$3)*1</f>
        <v/>
      </c>
      <c r="AX29" s="26">
        <f>'Parametros'!$B$3*1+(1-'Parametros'!$B$3)*1</f>
        <v/>
      </c>
      <c r="AY29" s="26">
        <f>'Parametros'!$B$3*1+(1-'Parametros'!$B$3)*1</f>
        <v/>
      </c>
      <c r="AZ29" s="26">
        <f>'Parametros'!$B$3*1+(1-'Parametros'!$B$3)*1</f>
        <v/>
      </c>
      <c r="BA29" s="26">
        <f>'Parametros'!$B$3*1+(1-'Parametros'!$B$3)*1</f>
        <v/>
      </c>
    </row>
    <row r="30">
      <c r="A30" s="24" t="inlineStr">
        <is>
          <t>Polvo para metales combustibles clase D</t>
        </is>
      </c>
      <c r="B30" s="24" t="inlineStr">
        <is>
          <t>kg</t>
        </is>
      </c>
      <c r="C30" s="24" t="inlineStr">
        <is>
          <t>Recarga y mantenimiento</t>
        </is>
      </c>
      <c r="D30" s="24" t="inlineStr">
        <is>
          <t>DEM S.A. (DEMSA)</t>
        </is>
      </c>
      <c r="E30" s="24" t="inlineStr">
        <is>
          <t>Todos</t>
        </is>
      </c>
      <c r="F30" s="21">
        <f>SUMPRODUCT($AK30:$BA30,$AK$5:$BA$5)*IF($E30="CABA",'Parametros'!B$8,IF($E30="PBA",1-'Parametros'!B$8,1))</f>
        <v/>
      </c>
      <c r="G30" s="21">
        <f>SUMPRODUCT($AK30:$BA30,$AK$6:$BA$6)*IF($E30="CABA",'Parametros'!C$8,IF($E30="PBA",1-'Parametros'!C$8,1))</f>
        <v/>
      </c>
      <c r="H30" s="21">
        <f>SUMPRODUCT($AK30:$BA30,$AK$7:$BA$7)*IF($E30="CABA",'Parametros'!D$8,IF($E30="PBA",1-'Parametros'!D$8,1))</f>
        <v/>
      </c>
      <c r="I30" s="21">
        <f>SUMPRODUCT($AK30:$BA30,$AK$8:$BA$8)*IF($E30="CABA",'Parametros'!E$8,IF($E30="PBA",1-'Parametros'!E$8,1))</f>
        <v/>
      </c>
      <c r="J30" s="21">
        <f>SUMPRODUCT($AK30:$BA30,$AK$9:$BA$9)*IF($E30="CABA",'Parametros'!F$8,IF($E30="PBA",1-'Parametros'!F$8,1))</f>
        <v/>
      </c>
      <c r="K30" s="21">
        <f>SUMPRODUCT($AK30:$BA30,$AK$10:$BA$10)*IF($E30="CABA",'Parametros'!G$8,IF($E30="PBA",1-'Parametros'!G$8,1))</f>
        <v/>
      </c>
      <c r="L30" s="21">
        <f>SUMPRODUCT($AK30:$BA30,$AK$11:$BA$11)*IF($E30="CABA",'Parametros'!H$8,IF($E30="PBA",1-'Parametros'!H$8,1))</f>
        <v/>
      </c>
      <c r="M30" s="21">
        <f>SUMPRODUCT($AK30:$BA30,$AK$12:$BA$12)*IF($E30="CABA",'Parametros'!I$8,IF($E30="PBA",1-'Parametros'!I$8,1))</f>
        <v/>
      </c>
      <c r="N30" s="21">
        <f>SUMPRODUCT($AK30:$BA30,$AK$13:$BA$13)*IF($E30="CABA",'Parametros'!J$8,IF($E30="PBA",1-'Parametros'!J$8,1))</f>
        <v/>
      </c>
      <c r="O30" s="21">
        <f>SUMPRODUCT($AK30:$BA30,$AK$14:$BA$14)*IF($E30="CABA",'Parametros'!K$8,IF($E30="PBA",1-'Parametros'!K$8,1))</f>
        <v/>
      </c>
      <c r="Q30" s="21">
        <f>F30*'Parametros'!B$9</f>
        <v/>
      </c>
      <c r="R30" s="21">
        <f>G30*'Parametros'!C$9</f>
        <v/>
      </c>
      <c r="S30" s="21">
        <f>H30*'Parametros'!D$9</f>
        <v/>
      </c>
      <c r="T30" s="21">
        <f>I30*'Parametros'!E$9</f>
        <v/>
      </c>
      <c r="U30" s="21">
        <f>J30*'Parametros'!F$9</f>
        <v/>
      </c>
      <c r="V30" s="21">
        <f>K30*'Parametros'!G$9</f>
        <v/>
      </c>
      <c r="W30" s="21">
        <f>L30*'Parametros'!H$9</f>
        <v/>
      </c>
      <c r="X30" s="21">
        <f>M30*'Parametros'!I$9</f>
        <v/>
      </c>
      <c r="Y30" s="21">
        <f>N30*'Parametros'!J$9</f>
        <v/>
      </c>
      <c r="Z30" s="21">
        <f>O30*'Parametros'!K$9</f>
        <v/>
      </c>
      <c r="AA30" s="21">
        <f>F30*'Parametros'!B$10</f>
        <v/>
      </c>
      <c r="AB30" s="21">
        <f>G30*'Parametros'!C$10</f>
        <v/>
      </c>
      <c r="AC30" s="21">
        <f>H30*'Parametros'!D$10</f>
        <v/>
      </c>
      <c r="AD30" s="21">
        <f>I30*'Parametros'!E$10</f>
        <v/>
      </c>
      <c r="AE30" s="21">
        <f>J30*'Parametros'!F$10</f>
        <v/>
      </c>
      <c r="AF30" s="21">
        <f>K30*'Parametros'!G$10</f>
        <v/>
      </c>
      <c r="AG30" s="21">
        <f>L30*'Parametros'!H$10</f>
        <v/>
      </c>
      <c r="AH30" s="21">
        <f>M30*'Parametros'!I$10</f>
        <v/>
      </c>
      <c r="AI30" s="21">
        <f>N30*'Parametros'!J$10</f>
        <v/>
      </c>
      <c r="AJ30" s="21">
        <f>O30*'Parametros'!K$10</f>
        <v/>
      </c>
      <c r="AW30" s="26">
        <f>'Parametros'!$B$3*9.0+(1-'Parametros'!$B$3)*0.27</f>
        <v/>
      </c>
    </row>
    <row r="31">
      <c r="A31" s="23" t="inlineStr">
        <is>
          <t>Polvo químico seco BC (bicarbonato)</t>
        </is>
      </c>
      <c r="B31" s="23" t="inlineStr">
        <is>
          <t>kg</t>
        </is>
      </c>
      <c r="C31" s="23" t="inlineStr">
        <is>
          <t>Recarga y mantenimiento</t>
        </is>
      </c>
      <c r="D31" s="23" t="inlineStr">
        <is>
          <t>Polvex S.R.L. / Sancibrao</t>
        </is>
      </c>
      <c r="E31" s="23" t="inlineStr">
        <is>
          <t>Todos</t>
        </is>
      </c>
      <c r="F31" s="21">
        <f>SUMPRODUCT($AK31:$BA31,$AK$5:$BA$5)*IF($E31="CABA",'Parametros'!B$8,IF($E31="PBA",1-'Parametros'!B$8,1))</f>
        <v/>
      </c>
      <c r="G31" s="21">
        <f>SUMPRODUCT($AK31:$BA31,$AK$6:$BA$6)*IF($E31="CABA",'Parametros'!C$8,IF($E31="PBA",1-'Parametros'!C$8,1))</f>
        <v/>
      </c>
      <c r="H31" s="21">
        <f>SUMPRODUCT($AK31:$BA31,$AK$7:$BA$7)*IF($E31="CABA",'Parametros'!D$8,IF($E31="PBA",1-'Parametros'!D$8,1))</f>
        <v/>
      </c>
      <c r="I31" s="21">
        <f>SUMPRODUCT($AK31:$BA31,$AK$8:$BA$8)*IF($E31="CABA",'Parametros'!E$8,IF($E31="PBA",1-'Parametros'!E$8,1))</f>
        <v/>
      </c>
      <c r="J31" s="21">
        <f>SUMPRODUCT($AK31:$BA31,$AK$9:$BA$9)*IF($E31="CABA",'Parametros'!F$8,IF($E31="PBA",1-'Parametros'!F$8,1))</f>
        <v/>
      </c>
      <c r="K31" s="21">
        <f>SUMPRODUCT($AK31:$BA31,$AK$10:$BA$10)*IF($E31="CABA",'Parametros'!G$8,IF($E31="PBA",1-'Parametros'!G$8,1))</f>
        <v/>
      </c>
      <c r="L31" s="21">
        <f>SUMPRODUCT($AK31:$BA31,$AK$11:$BA$11)*IF($E31="CABA",'Parametros'!H$8,IF($E31="PBA",1-'Parametros'!H$8,1))</f>
        <v/>
      </c>
      <c r="M31" s="21">
        <f>SUMPRODUCT($AK31:$BA31,$AK$12:$BA$12)*IF($E31="CABA",'Parametros'!I$8,IF($E31="PBA",1-'Parametros'!I$8,1))</f>
        <v/>
      </c>
      <c r="N31" s="21">
        <f>SUMPRODUCT($AK31:$BA31,$AK$13:$BA$13)*IF($E31="CABA",'Parametros'!J$8,IF($E31="PBA",1-'Parametros'!J$8,1))</f>
        <v/>
      </c>
      <c r="O31" s="21">
        <f>SUMPRODUCT($AK31:$BA31,$AK$14:$BA$14)*IF($E31="CABA",'Parametros'!K$8,IF($E31="PBA",1-'Parametros'!K$8,1))</f>
        <v/>
      </c>
      <c r="Q31" s="21">
        <f>F31*'Parametros'!B$9</f>
        <v/>
      </c>
      <c r="R31" s="21">
        <f>G31*'Parametros'!C$9</f>
        <v/>
      </c>
      <c r="S31" s="21">
        <f>H31*'Parametros'!D$9</f>
        <v/>
      </c>
      <c r="T31" s="21">
        <f>I31*'Parametros'!E$9</f>
        <v/>
      </c>
      <c r="U31" s="21">
        <f>J31*'Parametros'!F$9</f>
        <v/>
      </c>
      <c r="V31" s="21">
        <f>K31*'Parametros'!G$9</f>
        <v/>
      </c>
      <c r="W31" s="21">
        <f>L31*'Parametros'!H$9</f>
        <v/>
      </c>
      <c r="X31" s="21">
        <f>M31*'Parametros'!I$9</f>
        <v/>
      </c>
      <c r="Y31" s="21">
        <f>N31*'Parametros'!J$9</f>
        <v/>
      </c>
      <c r="Z31" s="21">
        <f>O31*'Parametros'!K$9</f>
        <v/>
      </c>
      <c r="AA31" s="21">
        <f>F31*'Parametros'!B$10</f>
        <v/>
      </c>
      <c r="AB31" s="21">
        <f>G31*'Parametros'!C$10</f>
        <v/>
      </c>
      <c r="AC31" s="21">
        <f>H31*'Parametros'!D$10</f>
        <v/>
      </c>
      <c r="AD31" s="21">
        <f>I31*'Parametros'!E$10</f>
        <v/>
      </c>
      <c r="AE31" s="21">
        <f>J31*'Parametros'!F$10</f>
        <v/>
      </c>
      <c r="AF31" s="21">
        <f>K31*'Parametros'!G$10</f>
        <v/>
      </c>
      <c r="AG31" s="21">
        <f>L31*'Parametros'!H$10</f>
        <v/>
      </c>
      <c r="AH31" s="21">
        <f>M31*'Parametros'!I$10</f>
        <v/>
      </c>
      <c r="AI31" s="21">
        <f>N31*'Parametros'!J$10</f>
        <v/>
      </c>
      <c r="AJ31" s="21">
        <f>O31*'Parametros'!K$10</f>
        <v/>
      </c>
      <c r="AR31" s="26">
        <f>'Parametros'!$B$3*5.0+(1-'Parametros'!$B$3)*0.15</f>
        <v/>
      </c>
    </row>
    <row r="32">
      <c r="A32" s="2" t="inlineStr">
        <is>
          <t>Precinto plástico numerado, color, con nombre del recargador</t>
        </is>
      </c>
      <c r="B32" s="2" t="inlineStr">
        <is>
          <t>u</t>
        </is>
      </c>
      <c r="C32" s="2" t="inlineStr">
        <is>
          <t>Recarga y mantenimiento</t>
        </is>
      </c>
      <c r="D32" s="2" t="inlineStr">
        <is>
          <t>SonFuertes (vía Papelera Damián)</t>
        </is>
      </c>
      <c r="E32" s="2" t="inlineStr">
        <is>
          <t>Todos</t>
        </is>
      </c>
      <c r="F32" s="21">
        <f>SUMPRODUCT($AK32:$BA32,$AK$5:$BA$5)*IF($E32="CABA",'Parametros'!B$8,IF($E32="PBA",1-'Parametros'!B$8,1))</f>
        <v/>
      </c>
      <c r="G32" s="21">
        <f>SUMPRODUCT($AK32:$BA32,$AK$6:$BA$6)*IF($E32="CABA",'Parametros'!C$8,IF($E32="PBA",1-'Parametros'!C$8,1))</f>
        <v/>
      </c>
      <c r="H32" s="21">
        <f>SUMPRODUCT($AK32:$BA32,$AK$7:$BA$7)*IF($E32="CABA",'Parametros'!D$8,IF($E32="PBA",1-'Parametros'!D$8,1))</f>
        <v/>
      </c>
      <c r="I32" s="21">
        <f>SUMPRODUCT($AK32:$BA32,$AK$8:$BA$8)*IF($E32="CABA",'Parametros'!E$8,IF($E32="PBA",1-'Parametros'!E$8,1))</f>
        <v/>
      </c>
      <c r="J32" s="21">
        <f>SUMPRODUCT($AK32:$BA32,$AK$9:$BA$9)*IF($E32="CABA",'Parametros'!F$8,IF($E32="PBA",1-'Parametros'!F$8,1))</f>
        <v/>
      </c>
      <c r="K32" s="21">
        <f>SUMPRODUCT($AK32:$BA32,$AK$10:$BA$10)*IF($E32="CABA",'Parametros'!G$8,IF($E32="PBA",1-'Parametros'!G$8,1))</f>
        <v/>
      </c>
      <c r="L32" s="21">
        <f>SUMPRODUCT($AK32:$BA32,$AK$11:$BA$11)*IF($E32="CABA",'Parametros'!H$8,IF($E32="PBA",1-'Parametros'!H$8,1))</f>
        <v/>
      </c>
      <c r="M32" s="21">
        <f>SUMPRODUCT($AK32:$BA32,$AK$12:$BA$12)*IF($E32="CABA",'Parametros'!I$8,IF($E32="PBA",1-'Parametros'!I$8,1))</f>
        <v/>
      </c>
      <c r="N32" s="21">
        <f>SUMPRODUCT($AK32:$BA32,$AK$13:$BA$13)*IF($E32="CABA",'Parametros'!J$8,IF($E32="PBA",1-'Parametros'!J$8,1))</f>
        <v/>
      </c>
      <c r="O32" s="21">
        <f>SUMPRODUCT($AK32:$BA32,$AK$14:$BA$14)*IF($E32="CABA",'Parametros'!K$8,IF($E32="PBA",1-'Parametros'!K$8,1))</f>
        <v/>
      </c>
      <c r="Q32" s="21">
        <f>F32*'Parametros'!B$9</f>
        <v/>
      </c>
      <c r="R32" s="21">
        <f>G32*'Parametros'!C$9</f>
        <v/>
      </c>
      <c r="S32" s="21">
        <f>H32*'Parametros'!D$9</f>
        <v/>
      </c>
      <c r="T32" s="21">
        <f>I32*'Parametros'!E$9</f>
        <v/>
      </c>
      <c r="U32" s="21">
        <f>J32*'Parametros'!F$9</f>
        <v/>
      </c>
      <c r="V32" s="21">
        <f>K32*'Parametros'!G$9</f>
        <v/>
      </c>
      <c r="W32" s="21">
        <f>L32*'Parametros'!H$9</f>
        <v/>
      </c>
      <c r="X32" s="21">
        <f>M32*'Parametros'!I$9</f>
        <v/>
      </c>
      <c r="Y32" s="21">
        <f>N32*'Parametros'!J$9</f>
        <v/>
      </c>
      <c r="Z32" s="21">
        <f>O32*'Parametros'!K$9</f>
        <v/>
      </c>
      <c r="AA32" s="21">
        <f>F32*'Parametros'!B$10</f>
        <v/>
      </c>
      <c r="AB32" s="21">
        <f>G32*'Parametros'!C$10</f>
        <v/>
      </c>
      <c r="AC32" s="21">
        <f>H32*'Parametros'!D$10</f>
        <v/>
      </c>
      <c r="AD32" s="21">
        <f>I32*'Parametros'!E$10</f>
        <v/>
      </c>
      <c r="AE32" s="21">
        <f>J32*'Parametros'!F$10</f>
        <v/>
      </c>
      <c r="AF32" s="21">
        <f>K32*'Parametros'!G$10</f>
        <v/>
      </c>
      <c r="AG32" s="21">
        <f>L32*'Parametros'!H$10</f>
        <v/>
      </c>
      <c r="AH32" s="21">
        <f>M32*'Parametros'!I$10</f>
        <v/>
      </c>
      <c r="AI32" s="21">
        <f>N32*'Parametros'!J$10</f>
        <v/>
      </c>
      <c r="AJ32" s="21">
        <f>O32*'Parametros'!K$10</f>
        <v/>
      </c>
      <c r="AK32" s="26">
        <f>'Parametros'!$B$3*1+(1-'Parametros'!$B$3)*1</f>
        <v/>
      </c>
      <c r="AL32" s="26">
        <f>'Parametros'!$B$3*1+(1-'Parametros'!$B$3)*1</f>
        <v/>
      </c>
      <c r="AM32" s="26">
        <f>'Parametros'!$B$3*1+(1-'Parametros'!$B$3)*1</f>
        <v/>
      </c>
      <c r="AN32" s="26">
        <f>'Parametros'!$B$3*1+(1-'Parametros'!$B$3)*1</f>
        <v/>
      </c>
      <c r="AO32" s="26">
        <f>'Parametros'!$B$3*1+(1-'Parametros'!$B$3)*1</f>
        <v/>
      </c>
      <c r="AP32" s="26">
        <f>'Parametros'!$B$3*1+(1-'Parametros'!$B$3)*1</f>
        <v/>
      </c>
      <c r="AQ32" s="26">
        <f>'Parametros'!$B$3*1+(1-'Parametros'!$B$3)*1</f>
        <v/>
      </c>
      <c r="AR32" s="26">
        <f>'Parametros'!$B$3*1+(1-'Parametros'!$B$3)*1</f>
        <v/>
      </c>
      <c r="AS32" s="26">
        <f>'Parametros'!$B$3*1+(1-'Parametros'!$B$3)*1</f>
        <v/>
      </c>
      <c r="AT32" s="26">
        <f>'Parametros'!$B$3*1+(1-'Parametros'!$B$3)*1</f>
        <v/>
      </c>
      <c r="AU32" s="26">
        <f>'Parametros'!$B$3*1+(1-'Parametros'!$B$3)*1</f>
        <v/>
      </c>
      <c r="AV32" s="26">
        <f>'Parametros'!$B$3*1+(1-'Parametros'!$B$3)*1</f>
        <v/>
      </c>
      <c r="AW32" s="26">
        <f>'Parametros'!$B$3*1+(1-'Parametros'!$B$3)*1</f>
        <v/>
      </c>
      <c r="AX32" s="26">
        <f>'Parametros'!$B$3*1+(1-'Parametros'!$B$3)*1</f>
        <v/>
      </c>
      <c r="AY32" s="26">
        <f>'Parametros'!$B$3*1+(1-'Parametros'!$B$3)*1</f>
        <v/>
      </c>
      <c r="AZ32" s="26">
        <f>'Parametros'!$B$3*1+(1-'Parametros'!$B$3)*1</f>
        <v/>
      </c>
      <c r="BA32" s="26">
        <f>'Parametros'!$B$3*1+(1-'Parametros'!$B$3)*1</f>
        <v/>
      </c>
    </row>
    <row r="33">
      <c r="A33" s="2" t="inlineStr">
        <is>
          <t>Tarjeta de identificación AGC (módulo papel con QR + etiqueta AGC)</t>
        </is>
      </c>
      <c r="B33" s="2" t="inlineStr">
        <is>
          <t>u</t>
        </is>
      </c>
      <c r="C33" s="2" t="inlineStr">
        <is>
          <t>Recarga y mantenimiento</t>
        </is>
      </c>
      <c r="D33" s="2" t="inlineStr">
        <is>
          <t>Agencia Gubernamental de Control (CABA)</t>
        </is>
      </c>
      <c r="E33" s="2" t="inlineStr">
        <is>
          <t>CABA</t>
        </is>
      </c>
      <c r="F33" s="21">
        <f>SUMPRODUCT($AK33:$BA33,$AK$5:$BA$5)*IF($E33="CABA",'Parametros'!B$8,IF($E33="PBA",1-'Parametros'!B$8,1))</f>
        <v/>
      </c>
      <c r="G33" s="21">
        <f>SUMPRODUCT($AK33:$BA33,$AK$6:$BA$6)*IF($E33="CABA",'Parametros'!C$8,IF($E33="PBA",1-'Parametros'!C$8,1))</f>
        <v/>
      </c>
      <c r="H33" s="21">
        <f>SUMPRODUCT($AK33:$BA33,$AK$7:$BA$7)*IF($E33="CABA",'Parametros'!D$8,IF($E33="PBA",1-'Parametros'!D$8,1))</f>
        <v/>
      </c>
      <c r="I33" s="21">
        <f>SUMPRODUCT($AK33:$BA33,$AK$8:$BA$8)*IF($E33="CABA",'Parametros'!E$8,IF($E33="PBA",1-'Parametros'!E$8,1))</f>
        <v/>
      </c>
      <c r="J33" s="21">
        <f>SUMPRODUCT($AK33:$BA33,$AK$9:$BA$9)*IF($E33="CABA",'Parametros'!F$8,IF($E33="PBA",1-'Parametros'!F$8,1))</f>
        <v/>
      </c>
      <c r="K33" s="21">
        <f>SUMPRODUCT($AK33:$BA33,$AK$10:$BA$10)*IF($E33="CABA",'Parametros'!G$8,IF($E33="PBA",1-'Parametros'!G$8,1))</f>
        <v/>
      </c>
      <c r="L33" s="21">
        <f>SUMPRODUCT($AK33:$BA33,$AK$11:$BA$11)*IF($E33="CABA",'Parametros'!H$8,IF($E33="PBA",1-'Parametros'!H$8,1))</f>
        <v/>
      </c>
      <c r="M33" s="21">
        <f>SUMPRODUCT($AK33:$BA33,$AK$12:$BA$12)*IF($E33="CABA",'Parametros'!I$8,IF($E33="PBA",1-'Parametros'!I$8,1))</f>
        <v/>
      </c>
      <c r="N33" s="21">
        <f>SUMPRODUCT($AK33:$BA33,$AK$13:$BA$13)*IF($E33="CABA",'Parametros'!J$8,IF($E33="PBA",1-'Parametros'!J$8,1))</f>
        <v/>
      </c>
      <c r="O33" s="21">
        <f>SUMPRODUCT($AK33:$BA33,$AK$14:$BA$14)*IF($E33="CABA",'Parametros'!K$8,IF($E33="PBA",1-'Parametros'!K$8,1))</f>
        <v/>
      </c>
      <c r="Q33" s="21">
        <f>F33*'Parametros'!B$9</f>
        <v/>
      </c>
      <c r="R33" s="21">
        <f>G33*'Parametros'!C$9</f>
        <v/>
      </c>
      <c r="S33" s="21">
        <f>H33*'Parametros'!D$9</f>
        <v/>
      </c>
      <c r="T33" s="21">
        <f>I33*'Parametros'!E$9</f>
        <v/>
      </c>
      <c r="U33" s="21">
        <f>J33*'Parametros'!F$9</f>
        <v/>
      </c>
      <c r="V33" s="21">
        <f>K33*'Parametros'!G$9</f>
        <v/>
      </c>
      <c r="W33" s="21">
        <f>L33*'Parametros'!H$9</f>
        <v/>
      </c>
      <c r="X33" s="21">
        <f>M33*'Parametros'!I$9</f>
        <v/>
      </c>
      <c r="Y33" s="21">
        <f>N33*'Parametros'!J$9</f>
        <v/>
      </c>
      <c r="Z33" s="21">
        <f>O33*'Parametros'!K$9</f>
        <v/>
      </c>
      <c r="AA33" s="21">
        <f>F33*'Parametros'!B$10</f>
        <v/>
      </c>
      <c r="AB33" s="21">
        <f>G33*'Parametros'!C$10</f>
        <v/>
      </c>
      <c r="AC33" s="21">
        <f>H33*'Parametros'!D$10</f>
        <v/>
      </c>
      <c r="AD33" s="21">
        <f>I33*'Parametros'!E$10</f>
        <v/>
      </c>
      <c r="AE33" s="21">
        <f>J33*'Parametros'!F$10</f>
        <v/>
      </c>
      <c r="AF33" s="21">
        <f>K33*'Parametros'!G$10</f>
        <v/>
      </c>
      <c r="AG33" s="21">
        <f>L33*'Parametros'!H$10</f>
        <v/>
      </c>
      <c r="AH33" s="21">
        <f>M33*'Parametros'!I$10</f>
        <v/>
      </c>
      <c r="AI33" s="21">
        <f>N33*'Parametros'!J$10</f>
        <v/>
      </c>
      <c r="AJ33" s="21">
        <f>O33*'Parametros'!K$10</f>
        <v/>
      </c>
      <c r="AK33" s="26">
        <f>'Parametros'!$B$3*1+(1-'Parametros'!$B$3)*1</f>
        <v/>
      </c>
      <c r="AL33" s="26">
        <f>'Parametros'!$B$3*1+(1-'Parametros'!$B$3)*1</f>
        <v/>
      </c>
      <c r="AM33" s="26">
        <f>'Parametros'!$B$3*1+(1-'Parametros'!$B$3)*1</f>
        <v/>
      </c>
      <c r="AN33" s="26">
        <f>'Parametros'!$B$3*1+(1-'Parametros'!$B$3)*1</f>
        <v/>
      </c>
      <c r="AO33" s="26">
        <f>'Parametros'!$B$3*1+(1-'Parametros'!$B$3)*1</f>
        <v/>
      </c>
      <c r="AP33" s="26">
        <f>'Parametros'!$B$3*1+(1-'Parametros'!$B$3)*1</f>
        <v/>
      </c>
      <c r="AQ33" s="26">
        <f>'Parametros'!$B$3*1+(1-'Parametros'!$B$3)*1</f>
        <v/>
      </c>
      <c r="AR33" s="26">
        <f>'Parametros'!$B$3*1+(1-'Parametros'!$B$3)*1</f>
        <v/>
      </c>
      <c r="AS33" s="26">
        <f>'Parametros'!$B$3*1+(1-'Parametros'!$B$3)*1</f>
        <v/>
      </c>
      <c r="AT33" s="26">
        <f>'Parametros'!$B$3*1+(1-'Parametros'!$B$3)*1</f>
        <v/>
      </c>
      <c r="AU33" s="26">
        <f>'Parametros'!$B$3*1+(1-'Parametros'!$B$3)*1</f>
        <v/>
      </c>
      <c r="AV33" s="26">
        <f>'Parametros'!$B$3*1+(1-'Parametros'!$B$3)*1</f>
        <v/>
      </c>
      <c r="AW33" s="26">
        <f>'Parametros'!$B$3*1+(1-'Parametros'!$B$3)*1</f>
        <v/>
      </c>
      <c r="AX33" s="26">
        <f>'Parametros'!$B$3*1+(1-'Parametros'!$B$3)*1</f>
        <v/>
      </c>
      <c r="AY33" s="26">
        <f>'Parametros'!$B$3*1+(1-'Parametros'!$B$3)*1</f>
        <v/>
      </c>
      <c r="AZ33" s="26">
        <f>'Parametros'!$B$3*1+(1-'Parametros'!$B$3)*1</f>
        <v/>
      </c>
      <c r="BA33" s="26">
        <f>'Parametros'!$B$3*1+(1-'Parametros'!$B$3)*1</f>
        <v/>
      </c>
    </row>
    <row r="34">
      <c r="A34" s="2" t="inlineStr">
        <is>
          <t>Tarjeta de identificación DPS de revisión / recarga</t>
        </is>
      </c>
      <c r="B34" s="2" t="inlineStr">
        <is>
          <t>u</t>
        </is>
      </c>
      <c r="C34" s="2" t="inlineStr">
        <is>
          <t>Recarga y mantenimiento</t>
        </is>
      </c>
      <c r="D34" s="2" t="inlineStr">
        <is>
          <t>Ministerio de Ambiente PBA (ex OPDS)</t>
        </is>
      </c>
      <c r="E34" s="2" t="inlineStr">
        <is>
          <t>PBA</t>
        </is>
      </c>
      <c r="F34" s="21">
        <f>SUMPRODUCT($AK34:$BA34,$AK$5:$BA$5)*IF($E34="CABA",'Parametros'!B$8,IF($E34="PBA",1-'Parametros'!B$8,1))</f>
        <v/>
      </c>
      <c r="G34" s="21">
        <f>SUMPRODUCT($AK34:$BA34,$AK$6:$BA$6)*IF($E34="CABA",'Parametros'!C$8,IF($E34="PBA",1-'Parametros'!C$8,1))</f>
        <v/>
      </c>
      <c r="H34" s="21">
        <f>SUMPRODUCT($AK34:$BA34,$AK$7:$BA$7)*IF($E34="CABA",'Parametros'!D$8,IF($E34="PBA",1-'Parametros'!D$8,1))</f>
        <v/>
      </c>
      <c r="I34" s="21">
        <f>SUMPRODUCT($AK34:$BA34,$AK$8:$BA$8)*IF($E34="CABA",'Parametros'!E$8,IF($E34="PBA",1-'Parametros'!E$8,1))</f>
        <v/>
      </c>
      <c r="J34" s="21">
        <f>SUMPRODUCT($AK34:$BA34,$AK$9:$BA$9)*IF($E34="CABA",'Parametros'!F$8,IF($E34="PBA",1-'Parametros'!F$8,1))</f>
        <v/>
      </c>
      <c r="K34" s="21">
        <f>SUMPRODUCT($AK34:$BA34,$AK$10:$BA$10)*IF($E34="CABA",'Parametros'!G$8,IF($E34="PBA",1-'Parametros'!G$8,1))</f>
        <v/>
      </c>
      <c r="L34" s="21">
        <f>SUMPRODUCT($AK34:$BA34,$AK$11:$BA$11)*IF($E34="CABA",'Parametros'!H$8,IF($E34="PBA",1-'Parametros'!H$8,1))</f>
        <v/>
      </c>
      <c r="M34" s="21">
        <f>SUMPRODUCT($AK34:$BA34,$AK$12:$BA$12)*IF($E34="CABA",'Parametros'!I$8,IF($E34="PBA",1-'Parametros'!I$8,1))</f>
        <v/>
      </c>
      <c r="N34" s="21">
        <f>SUMPRODUCT($AK34:$BA34,$AK$13:$BA$13)*IF($E34="CABA",'Parametros'!J$8,IF($E34="PBA",1-'Parametros'!J$8,1))</f>
        <v/>
      </c>
      <c r="O34" s="21">
        <f>SUMPRODUCT($AK34:$BA34,$AK$14:$BA$14)*IF($E34="CABA",'Parametros'!K$8,IF($E34="PBA",1-'Parametros'!K$8,1))</f>
        <v/>
      </c>
      <c r="Q34" s="21">
        <f>F34*'Parametros'!B$9</f>
        <v/>
      </c>
      <c r="R34" s="21">
        <f>G34*'Parametros'!C$9</f>
        <v/>
      </c>
      <c r="S34" s="21">
        <f>H34*'Parametros'!D$9</f>
        <v/>
      </c>
      <c r="T34" s="21">
        <f>I34*'Parametros'!E$9</f>
        <v/>
      </c>
      <c r="U34" s="21">
        <f>J34*'Parametros'!F$9</f>
        <v/>
      </c>
      <c r="V34" s="21">
        <f>K34*'Parametros'!G$9</f>
        <v/>
      </c>
      <c r="W34" s="21">
        <f>L34*'Parametros'!H$9</f>
        <v/>
      </c>
      <c r="X34" s="21">
        <f>M34*'Parametros'!I$9</f>
        <v/>
      </c>
      <c r="Y34" s="21">
        <f>N34*'Parametros'!J$9</f>
        <v/>
      </c>
      <c r="Z34" s="21">
        <f>O34*'Parametros'!K$9</f>
        <v/>
      </c>
      <c r="AA34" s="21">
        <f>F34*'Parametros'!B$10</f>
        <v/>
      </c>
      <c r="AB34" s="21">
        <f>G34*'Parametros'!C$10</f>
        <v/>
      </c>
      <c r="AC34" s="21">
        <f>H34*'Parametros'!D$10</f>
        <v/>
      </c>
      <c r="AD34" s="21">
        <f>I34*'Parametros'!E$10</f>
        <v/>
      </c>
      <c r="AE34" s="21">
        <f>J34*'Parametros'!F$10</f>
        <v/>
      </c>
      <c r="AF34" s="21">
        <f>K34*'Parametros'!G$10</f>
        <v/>
      </c>
      <c r="AG34" s="21">
        <f>L34*'Parametros'!H$10</f>
        <v/>
      </c>
      <c r="AH34" s="21">
        <f>M34*'Parametros'!I$10</f>
        <v/>
      </c>
      <c r="AI34" s="21">
        <f>N34*'Parametros'!J$10</f>
        <v/>
      </c>
      <c r="AJ34" s="21">
        <f>O34*'Parametros'!K$10</f>
        <v/>
      </c>
      <c r="AK34" s="26">
        <f>'Parametros'!$B$3*1+(1-'Parametros'!$B$3)*1</f>
        <v/>
      </c>
      <c r="AL34" s="26">
        <f>'Parametros'!$B$3*1+(1-'Parametros'!$B$3)*1</f>
        <v/>
      </c>
      <c r="AM34" s="26">
        <f>'Parametros'!$B$3*1+(1-'Parametros'!$B$3)*1</f>
        <v/>
      </c>
      <c r="AN34" s="26">
        <f>'Parametros'!$B$3*1+(1-'Parametros'!$B$3)*1</f>
        <v/>
      </c>
      <c r="AO34" s="26">
        <f>'Parametros'!$B$3*1+(1-'Parametros'!$B$3)*1</f>
        <v/>
      </c>
      <c r="AP34" s="26">
        <f>'Parametros'!$B$3*1+(1-'Parametros'!$B$3)*1</f>
        <v/>
      </c>
      <c r="AQ34" s="26">
        <f>'Parametros'!$B$3*1+(1-'Parametros'!$B$3)*1</f>
        <v/>
      </c>
      <c r="AR34" s="26">
        <f>'Parametros'!$B$3*1+(1-'Parametros'!$B$3)*1</f>
        <v/>
      </c>
      <c r="AS34" s="26">
        <f>'Parametros'!$B$3*1+(1-'Parametros'!$B$3)*1</f>
        <v/>
      </c>
      <c r="AT34" s="26">
        <f>'Parametros'!$B$3*1+(1-'Parametros'!$B$3)*1</f>
        <v/>
      </c>
      <c r="AU34" s="26">
        <f>'Parametros'!$B$3*1+(1-'Parametros'!$B$3)*1</f>
        <v/>
      </c>
      <c r="AV34" s="26">
        <f>'Parametros'!$B$3*1+(1-'Parametros'!$B$3)*1</f>
        <v/>
      </c>
      <c r="AW34" s="26">
        <f>'Parametros'!$B$3*1+(1-'Parametros'!$B$3)*1</f>
        <v/>
      </c>
      <c r="AX34" s="26">
        <f>'Parametros'!$B$3*1+(1-'Parametros'!$B$3)*1</f>
        <v/>
      </c>
      <c r="AY34" s="26">
        <f>'Parametros'!$B$3*1+(1-'Parametros'!$B$3)*1</f>
        <v/>
      </c>
      <c r="AZ34" s="26">
        <f>'Parametros'!$B$3*1+(1-'Parametros'!$B$3)*1</f>
        <v/>
      </c>
      <c r="BA34" s="26">
        <f>'Parametros'!$B$3*1+(1-'Parametros'!$B$3)*1</f>
        <v/>
      </c>
    </row>
  </sheetData>
  <autoFilter ref="A16:E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12" max="12"/>
  </cols>
  <sheetData>
    <row r="1">
      <c r="A1" s="12" t="inlineStr">
        <is>
          <t>Insumos de proceso (no van por unidad: se planifican por su inductor)</t>
        </is>
      </c>
    </row>
    <row r="3">
      <c r="A3" s="1" t="inlineStr">
        <is>
          <t>Minutos de arco MAG por unidad (del BOM: gas C2 / 14 L/min)</t>
        </is>
      </c>
    </row>
    <row r="4">
      <c r="A4" s="18" t="inlineStr">
        <is>
          <t>Producto</t>
        </is>
      </c>
      <c r="B4" s="18" t="inlineStr">
        <is>
          <t>min/u</t>
        </is>
      </c>
      <c r="C4" s="19">
        <f>'Demanda'!B3</f>
        <v/>
      </c>
      <c r="D4" s="19">
        <f>'Demanda'!C3</f>
        <v/>
      </c>
      <c r="E4" s="19">
        <f>'Demanda'!D3</f>
        <v/>
      </c>
      <c r="F4" s="19">
        <f>'Demanda'!E3</f>
        <v/>
      </c>
      <c r="G4" s="19">
        <f>'Demanda'!F3</f>
        <v/>
      </c>
      <c r="H4" s="19">
        <f>'Demanda'!G3</f>
        <v/>
      </c>
      <c r="I4" s="19">
        <f>'Demanda'!H3</f>
        <v/>
      </c>
      <c r="J4" s="19">
        <f>'Demanda'!I3</f>
        <v/>
      </c>
      <c r="K4" s="19">
        <f>'Demanda'!J3</f>
        <v/>
      </c>
      <c r="L4" s="19">
        <f>'Demanda'!K3</f>
        <v/>
      </c>
    </row>
    <row r="5">
      <c r="A5" t="inlineStr">
        <is>
          <t>FL_MAT_ABC_1kg</t>
        </is>
      </c>
      <c r="B5" s="27" t="n">
        <v>0.95</v>
      </c>
      <c r="C5" s="16">
        <f>$B5*'Demanda'!B6</f>
        <v/>
      </c>
      <c r="D5" s="16">
        <f>$B5*'Demanda'!C6</f>
        <v/>
      </c>
      <c r="E5" s="16">
        <f>$B5*'Demanda'!D6</f>
        <v/>
      </c>
      <c r="F5" s="16">
        <f>$B5*'Demanda'!E6</f>
        <v/>
      </c>
      <c r="G5" s="16">
        <f>$B5*'Demanda'!F6</f>
        <v/>
      </c>
      <c r="H5" s="16">
        <f>$B5*'Demanda'!G6</f>
        <v/>
      </c>
      <c r="I5" s="16">
        <f>$B5*'Demanda'!H6</f>
        <v/>
      </c>
      <c r="J5" s="16">
        <f>$B5*'Demanda'!I6</f>
        <v/>
      </c>
      <c r="K5" s="16">
        <f>$B5*'Demanda'!J6</f>
        <v/>
      </c>
      <c r="L5" s="16">
        <f>$B5*'Demanda'!K6</f>
        <v/>
      </c>
    </row>
    <row r="6">
      <c r="A6" t="inlineStr">
        <is>
          <t>FL_MAT_ABC_2.5kg</t>
        </is>
      </c>
      <c r="B6" s="27" t="n">
        <v>1.936</v>
      </c>
      <c r="C6" s="16">
        <f>$B6*'Demanda'!B7</f>
        <v/>
      </c>
      <c r="D6" s="16">
        <f>$B6*'Demanda'!C7</f>
        <v/>
      </c>
      <c r="E6" s="16">
        <f>$B6*'Demanda'!D7</f>
        <v/>
      </c>
      <c r="F6" s="16">
        <f>$B6*'Demanda'!E7</f>
        <v/>
      </c>
      <c r="G6" s="16">
        <f>$B6*'Demanda'!F7</f>
        <v/>
      </c>
      <c r="H6" s="16">
        <f>$B6*'Demanda'!G7</f>
        <v/>
      </c>
      <c r="I6" s="16">
        <f>$B6*'Demanda'!H7</f>
        <v/>
      </c>
      <c r="J6" s="16">
        <f>$B6*'Demanda'!I7</f>
        <v/>
      </c>
      <c r="K6" s="16">
        <f>$B6*'Demanda'!J7</f>
        <v/>
      </c>
      <c r="L6" s="16">
        <f>$B6*'Demanda'!K7</f>
        <v/>
      </c>
    </row>
    <row r="7">
      <c r="A7" t="inlineStr">
        <is>
          <t>FL_MAT_ABC_5kg</t>
        </is>
      </c>
      <c r="B7" s="27" t="n">
        <v>2.343</v>
      </c>
      <c r="C7" s="16">
        <f>$B7*'Demanda'!B8</f>
        <v/>
      </c>
      <c r="D7" s="16">
        <f>$B7*'Demanda'!C8</f>
        <v/>
      </c>
      <c r="E7" s="16">
        <f>$B7*'Demanda'!D8</f>
        <v/>
      </c>
      <c r="F7" s="16">
        <f>$B7*'Demanda'!E8</f>
        <v/>
      </c>
      <c r="G7" s="16">
        <f>$B7*'Demanda'!F8</f>
        <v/>
      </c>
      <c r="H7" s="16">
        <f>$B7*'Demanda'!G8</f>
        <v/>
      </c>
      <c r="I7" s="16">
        <f>$B7*'Demanda'!H8</f>
        <v/>
      </c>
      <c r="J7" s="16">
        <f>$B7*'Demanda'!I8</f>
        <v/>
      </c>
      <c r="K7" s="16">
        <f>$B7*'Demanda'!J8</f>
        <v/>
      </c>
      <c r="L7" s="16">
        <f>$B7*'Demanda'!K8</f>
        <v/>
      </c>
    </row>
    <row r="8">
      <c r="A8" t="inlineStr">
        <is>
          <t>FL_MAT_ABC_10kg</t>
        </is>
      </c>
      <c r="B8" s="27" t="n">
        <v>2.914</v>
      </c>
      <c r="C8" s="16">
        <f>$B8*'Demanda'!B9</f>
        <v/>
      </c>
      <c r="D8" s="16">
        <f>$B8*'Demanda'!C9</f>
        <v/>
      </c>
      <c r="E8" s="16">
        <f>$B8*'Demanda'!D9</f>
        <v/>
      </c>
      <c r="F8" s="16">
        <f>$B8*'Demanda'!E9</f>
        <v/>
      </c>
      <c r="G8" s="16">
        <f>$B8*'Demanda'!F9</f>
        <v/>
      </c>
      <c r="H8" s="16">
        <f>$B8*'Demanda'!G9</f>
        <v/>
      </c>
      <c r="I8" s="16">
        <f>$B8*'Demanda'!H9</f>
        <v/>
      </c>
      <c r="J8" s="16">
        <f>$B8*'Demanda'!I9</f>
        <v/>
      </c>
      <c r="K8" s="16">
        <f>$B8*'Demanda'!J9</f>
        <v/>
      </c>
      <c r="L8" s="16">
        <f>$B8*'Demanda'!K9</f>
        <v/>
      </c>
    </row>
    <row r="9">
      <c r="A9" t="inlineStr">
        <is>
          <t>FL_MAT_ABC_25kg</t>
        </is>
      </c>
      <c r="B9" s="27" t="n">
        <v>3.914</v>
      </c>
      <c r="C9" s="16">
        <f>$B9*'Demanda'!B10</f>
        <v/>
      </c>
      <c r="D9" s="16">
        <f>$B9*'Demanda'!C10</f>
        <v/>
      </c>
      <c r="E9" s="16">
        <f>$B9*'Demanda'!D10</f>
        <v/>
      </c>
      <c r="F9" s="16">
        <f>$B9*'Demanda'!E10</f>
        <v/>
      </c>
      <c r="G9" s="16">
        <f>$B9*'Demanda'!F10</f>
        <v/>
      </c>
      <c r="H9" s="16">
        <f>$B9*'Demanda'!G10</f>
        <v/>
      </c>
      <c r="I9" s="16">
        <f>$B9*'Demanda'!H10</f>
        <v/>
      </c>
      <c r="J9" s="16">
        <f>$B9*'Demanda'!I10</f>
        <v/>
      </c>
      <c r="K9" s="16">
        <f>$B9*'Demanda'!J10</f>
        <v/>
      </c>
      <c r="L9" s="16">
        <f>$B9*'Demanda'!K10</f>
        <v/>
      </c>
    </row>
    <row r="10">
      <c r="A10" t="inlineStr">
        <is>
          <t>FL_MAT_ABC_50kg</t>
        </is>
      </c>
      <c r="B10" s="27" t="n">
        <v>4.879</v>
      </c>
      <c r="C10" s="16">
        <f>$B10*'Demanda'!B11</f>
        <v/>
      </c>
      <c r="D10" s="16">
        <f>$B10*'Demanda'!C11</f>
        <v/>
      </c>
      <c r="E10" s="16">
        <f>$B10*'Demanda'!D11</f>
        <v/>
      </c>
      <c r="F10" s="16">
        <f>$B10*'Demanda'!E11</f>
        <v/>
      </c>
      <c r="G10" s="16">
        <f>$B10*'Demanda'!F11</f>
        <v/>
      </c>
      <c r="H10" s="16">
        <f>$B10*'Demanda'!G11</f>
        <v/>
      </c>
      <c r="I10" s="16">
        <f>$B10*'Demanda'!H11</f>
        <v/>
      </c>
      <c r="J10" s="16">
        <f>$B10*'Demanda'!I11</f>
        <v/>
      </c>
      <c r="K10" s="16">
        <f>$B10*'Demanda'!J11</f>
        <v/>
      </c>
      <c r="L10" s="16">
        <f>$B10*'Demanda'!K11</f>
        <v/>
      </c>
    </row>
    <row r="11">
      <c r="A11" t="inlineStr">
        <is>
          <t>FL_MAT_ABC_70kg</t>
        </is>
      </c>
      <c r="B11" s="27" t="n">
        <v>5.679</v>
      </c>
      <c r="C11" s="16">
        <f>$B11*'Demanda'!B12</f>
        <v/>
      </c>
      <c r="D11" s="16">
        <f>$B11*'Demanda'!C12</f>
        <v/>
      </c>
      <c r="E11" s="16">
        <f>$B11*'Demanda'!D12</f>
        <v/>
      </c>
      <c r="F11" s="16">
        <f>$B11*'Demanda'!E12</f>
        <v/>
      </c>
      <c r="G11" s="16">
        <f>$B11*'Demanda'!F12</f>
        <v/>
      </c>
      <c r="H11" s="16">
        <f>$B11*'Demanda'!G12</f>
        <v/>
      </c>
      <c r="I11" s="16">
        <f>$B11*'Demanda'!H12</f>
        <v/>
      </c>
      <c r="J11" s="16">
        <f>$B11*'Demanda'!I12</f>
        <v/>
      </c>
      <c r="K11" s="16">
        <f>$B11*'Demanda'!J12</f>
        <v/>
      </c>
      <c r="L11" s="16">
        <f>$B11*'Demanda'!K12</f>
        <v/>
      </c>
    </row>
    <row r="12">
      <c r="A12" t="inlineStr">
        <is>
          <t>FL_MAT_ABC_100kg</t>
        </is>
      </c>
      <c r="B12" s="27" t="n">
        <v>6.043</v>
      </c>
      <c r="C12" s="16">
        <f>$B12*'Demanda'!B13</f>
        <v/>
      </c>
      <c r="D12" s="16">
        <f>$B12*'Demanda'!C13</f>
        <v/>
      </c>
      <c r="E12" s="16">
        <f>$B12*'Demanda'!D13</f>
        <v/>
      </c>
      <c r="F12" s="16">
        <f>$B12*'Demanda'!E13</f>
        <v/>
      </c>
      <c r="G12" s="16">
        <f>$B12*'Demanda'!F13</f>
        <v/>
      </c>
      <c r="H12" s="16">
        <f>$B12*'Demanda'!G13</f>
        <v/>
      </c>
      <c r="I12" s="16">
        <f>$B12*'Demanda'!H13</f>
        <v/>
      </c>
      <c r="J12" s="16">
        <f>$B12*'Demanda'!I13</f>
        <v/>
      </c>
      <c r="K12" s="16">
        <f>$B12*'Demanda'!J13</f>
        <v/>
      </c>
      <c r="L12" s="16">
        <f>$B12*'Demanda'!K13</f>
        <v/>
      </c>
    </row>
    <row r="13">
      <c r="A13" t="inlineStr">
        <is>
          <t>FL_REC_ABC_1kg</t>
        </is>
      </c>
      <c r="B13" s="27" t="n">
        <v>0.95</v>
      </c>
      <c r="C13" s="16">
        <f>$B13*'Demanda'!B27</f>
        <v/>
      </c>
      <c r="D13" s="16">
        <f>$B13*'Demanda'!C27</f>
        <v/>
      </c>
      <c r="E13" s="16">
        <f>$B13*'Demanda'!D27</f>
        <v/>
      </c>
      <c r="F13" s="16">
        <f>$B13*'Demanda'!E27</f>
        <v/>
      </c>
      <c r="G13" s="16">
        <f>$B13*'Demanda'!F27</f>
        <v/>
      </c>
      <c r="H13" s="16">
        <f>$B13*'Demanda'!G27</f>
        <v/>
      </c>
      <c r="I13" s="16">
        <f>$B13*'Demanda'!H27</f>
        <v/>
      </c>
      <c r="J13" s="16">
        <f>$B13*'Demanda'!I27</f>
        <v/>
      </c>
      <c r="K13" s="16">
        <f>$B13*'Demanda'!J27</f>
        <v/>
      </c>
      <c r="L13" s="16">
        <f>$B13*'Demanda'!K27</f>
        <v/>
      </c>
    </row>
    <row r="14">
      <c r="A14" t="inlineStr">
        <is>
          <t>FL_REC_ABC_2.5kg</t>
        </is>
      </c>
      <c r="B14" s="27" t="n">
        <v>1.936</v>
      </c>
      <c r="C14" s="16">
        <f>$B14*'Demanda'!B28</f>
        <v/>
      </c>
      <c r="D14" s="16">
        <f>$B14*'Demanda'!C28</f>
        <v/>
      </c>
      <c r="E14" s="16">
        <f>$B14*'Demanda'!D28</f>
        <v/>
      </c>
      <c r="F14" s="16">
        <f>$B14*'Demanda'!E28</f>
        <v/>
      </c>
      <c r="G14" s="16">
        <f>$B14*'Demanda'!F28</f>
        <v/>
      </c>
      <c r="H14" s="16">
        <f>$B14*'Demanda'!G28</f>
        <v/>
      </c>
      <c r="I14" s="16">
        <f>$B14*'Demanda'!H28</f>
        <v/>
      </c>
      <c r="J14" s="16">
        <f>$B14*'Demanda'!I28</f>
        <v/>
      </c>
      <c r="K14" s="16">
        <f>$B14*'Demanda'!J28</f>
        <v/>
      </c>
      <c r="L14" s="16">
        <f>$B14*'Demanda'!K28</f>
        <v/>
      </c>
    </row>
    <row r="15">
      <c r="A15" t="inlineStr">
        <is>
          <t>FL_REC_ABC_5kg</t>
        </is>
      </c>
      <c r="B15" s="27" t="n">
        <v>2.343</v>
      </c>
      <c r="C15" s="16">
        <f>$B15*'Demanda'!B29</f>
        <v/>
      </c>
      <c r="D15" s="16">
        <f>$B15*'Demanda'!C29</f>
        <v/>
      </c>
      <c r="E15" s="16">
        <f>$B15*'Demanda'!D29</f>
        <v/>
      </c>
      <c r="F15" s="16">
        <f>$B15*'Demanda'!E29</f>
        <v/>
      </c>
      <c r="G15" s="16">
        <f>$B15*'Demanda'!F29</f>
        <v/>
      </c>
      <c r="H15" s="16">
        <f>$B15*'Demanda'!G29</f>
        <v/>
      </c>
      <c r="I15" s="16">
        <f>$B15*'Demanda'!H29</f>
        <v/>
      </c>
      <c r="J15" s="16">
        <f>$B15*'Demanda'!I29</f>
        <v/>
      </c>
      <c r="K15" s="16">
        <f>$B15*'Demanda'!J29</f>
        <v/>
      </c>
      <c r="L15" s="16">
        <f>$B15*'Demanda'!K29</f>
        <v/>
      </c>
    </row>
    <row r="16">
      <c r="A16" t="inlineStr">
        <is>
          <t>FL_REC_ABC_10kg</t>
        </is>
      </c>
      <c r="B16" s="27" t="n">
        <v>2.914</v>
      </c>
      <c r="C16" s="16">
        <f>$B16*'Demanda'!B30</f>
        <v/>
      </c>
      <c r="D16" s="16">
        <f>$B16*'Demanda'!C30</f>
        <v/>
      </c>
      <c r="E16" s="16">
        <f>$B16*'Demanda'!D30</f>
        <v/>
      </c>
      <c r="F16" s="16">
        <f>$B16*'Demanda'!E30</f>
        <v/>
      </c>
      <c r="G16" s="16">
        <f>$B16*'Demanda'!F30</f>
        <v/>
      </c>
      <c r="H16" s="16">
        <f>$B16*'Demanda'!G30</f>
        <v/>
      </c>
      <c r="I16" s="16">
        <f>$B16*'Demanda'!H30</f>
        <v/>
      </c>
      <c r="J16" s="16">
        <f>$B16*'Demanda'!I30</f>
        <v/>
      </c>
      <c r="K16" s="16">
        <f>$B16*'Demanda'!J30</f>
        <v/>
      </c>
      <c r="L16" s="16">
        <f>$B16*'Demanda'!K30</f>
        <v/>
      </c>
    </row>
    <row r="17">
      <c r="A17" t="inlineStr">
        <is>
          <t>FL_REC_ABC_25kg</t>
        </is>
      </c>
      <c r="B17" s="27" t="n">
        <v>3.914</v>
      </c>
      <c r="C17" s="16">
        <f>$B17*'Demanda'!B31</f>
        <v/>
      </c>
      <c r="D17" s="16">
        <f>$B17*'Demanda'!C31</f>
        <v/>
      </c>
      <c r="E17" s="16">
        <f>$B17*'Demanda'!D31</f>
        <v/>
      </c>
      <c r="F17" s="16">
        <f>$B17*'Demanda'!E31</f>
        <v/>
      </c>
      <c r="G17" s="16">
        <f>$B17*'Demanda'!F31</f>
        <v/>
      </c>
      <c r="H17" s="16">
        <f>$B17*'Demanda'!G31</f>
        <v/>
      </c>
      <c r="I17" s="16">
        <f>$B17*'Demanda'!H31</f>
        <v/>
      </c>
      <c r="J17" s="16">
        <f>$B17*'Demanda'!I31</f>
        <v/>
      </c>
      <c r="K17" s="16">
        <f>$B17*'Demanda'!J31</f>
        <v/>
      </c>
      <c r="L17" s="16">
        <f>$B17*'Demanda'!K31</f>
        <v/>
      </c>
    </row>
    <row r="18">
      <c r="A18" t="inlineStr">
        <is>
          <t>FL_REC_ABC_50kg</t>
        </is>
      </c>
      <c r="B18" s="27" t="n">
        <v>4.879</v>
      </c>
      <c r="C18" s="16">
        <f>$B18*'Demanda'!B32</f>
        <v/>
      </c>
      <c r="D18" s="16">
        <f>$B18*'Demanda'!C32</f>
        <v/>
      </c>
      <c r="E18" s="16">
        <f>$B18*'Demanda'!D32</f>
        <v/>
      </c>
      <c r="F18" s="16">
        <f>$B18*'Demanda'!E32</f>
        <v/>
      </c>
      <c r="G18" s="16">
        <f>$B18*'Demanda'!F32</f>
        <v/>
      </c>
      <c r="H18" s="16">
        <f>$B18*'Demanda'!G32</f>
        <v/>
      </c>
      <c r="I18" s="16">
        <f>$B18*'Demanda'!H32</f>
        <v/>
      </c>
      <c r="J18" s="16">
        <f>$B18*'Demanda'!I32</f>
        <v/>
      </c>
      <c r="K18" s="16">
        <f>$B18*'Demanda'!J32</f>
        <v/>
      </c>
      <c r="L18" s="16">
        <f>$B18*'Demanda'!K32</f>
        <v/>
      </c>
    </row>
    <row r="19">
      <c r="A19" t="inlineStr">
        <is>
          <t>FL_REC_ABC_70kg</t>
        </is>
      </c>
      <c r="B19" s="27" t="n">
        <v>5.679</v>
      </c>
      <c r="C19" s="16">
        <f>$B19*'Demanda'!B33</f>
        <v/>
      </c>
      <c r="D19" s="16">
        <f>$B19*'Demanda'!C33</f>
        <v/>
      </c>
      <c r="E19" s="16">
        <f>$B19*'Demanda'!D33</f>
        <v/>
      </c>
      <c r="F19" s="16">
        <f>$B19*'Demanda'!E33</f>
        <v/>
      </c>
      <c r="G19" s="16">
        <f>$B19*'Demanda'!F33</f>
        <v/>
      </c>
      <c r="H19" s="16">
        <f>$B19*'Demanda'!G33</f>
        <v/>
      </c>
      <c r="I19" s="16">
        <f>$B19*'Demanda'!H33</f>
        <v/>
      </c>
      <c r="J19" s="16">
        <f>$B19*'Demanda'!I33</f>
        <v/>
      </c>
      <c r="K19" s="16">
        <f>$B19*'Demanda'!J33</f>
        <v/>
      </c>
      <c r="L19" s="16">
        <f>$B19*'Demanda'!K33</f>
        <v/>
      </c>
    </row>
    <row r="20">
      <c r="A20" t="inlineStr">
        <is>
          <t>FL_REC_ABC_100kg</t>
        </is>
      </c>
      <c r="B20" s="27" t="n">
        <v>6.043</v>
      </c>
      <c r="C20" s="16">
        <f>$B20*'Demanda'!B34</f>
        <v/>
      </c>
      <c r="D20" s="16">
        <f>$B20*'Demanda'!C34</f>
        <v/>
      </c>
      <c r="E20" s="16">
        <f>$B20*'Demanda'!D34</f>
        <v/>
      </c>
      <c r="F20" s="16">
        <f>$B20*'Demanda'!E34</f>
        <v/>
      </c>
      <c r="G20" s="16">
        <f>$B20*'Demanda'!F34</f>
        <v/>
      </c>
      <c r="H20" s="16">
        <f>$B20*'Demanda'!G34</f>
        <v/>
      </c>
      <c r="I20" s="16">
        <f>$B20*'Demanda'!H34</f>
        <v/>
      </c>
      <c r="J20" s="16">
        <f>$B20*'Demanda'!I34</f>
        <v/>
      </c>
      <c r="K20" s="16">
        <f>$B20*'Demanda'!J34</f>
        <v/>
      </c>
      <c r="L20" s="16">
        <f>$B20*'Demanda'!K34</f>
        <v/>
      </c>
    </row>
    <row r="21">
      <c r="A21" s="1" t="inlineStr">
        <is>
          <t>Total horas de arco / año</t>
        </is>
      </c>
      <c r="C21" s="16">
        <f>SUM(C5:C20)/60</f>
        <v/>
      </c>
      <c r="D21" s="16">
        <f>SUM(D5:D20)/60</f>
        <v/>
      </c>
      <c r="E21" s="16">
        <f>SUM(E5:E20)/60</f>
        <v/>
      </c>
      <c r="F21" s="16">
        <f>SUM(F5:F20)/60</f>
        <v/>
      </c>
      <c r="G21" s="16">
        <f>SUM(G5:G20)/60</f>
        <v/>
      </c>
      <c r="H21" s="16">
        <f>SUM(H5:H20)/60</f>
        <v/>
      </c>
      <c r="I21" s="16">
        <f>SUM(I5:I20)/60</f>
        <v/>
      </c>
      <c r="J21" s="16">
        <f>SUM(J5:J20)/60</f>
        <v/>
      </c>
      <c r="K21" s="16">
        <f>SUM(K5:K20)/60</f>
        <v/>
      </c>
      <c r="L21" s="16">
        <f>SUM(L5:L20)/60</f>
        <v/>
      </c>
    </row>
    <row r="23">
      <c r="A23" s="18" t="inlineStr">
        <is>
          <t>Insumo</t>
        </is>
      </c>
      <c r="B23" s="18" t="inlineStr">
        <is>
          <t>Planilla / norma</t>
        </is>
      </c>
      <c r="C23" s="18" t="inlineStr">
        <is>
          <t>Proveedor</t>
        </is>
      </c>
      <c r="D23" s="18" t="inlineStr">
        <is>
          <t>Consumo por inductor (completar)</t>
        </is>
      </c>
      <c r="E23" s="18" t="inlineStr">
        <is>
          <t>UM</t>
        </is>
      </c>
    </row>
    <row r="24">
      <c r="A24" t="inlineStr">
        <is>
          <t>Puntas de contacto CuCrZr Ø0,9 / Ø1,2</t>
        </is>
      </c>
      <c r="B24" t="inlineStr">
        <is>
          <t>Planilla MP-26</t>
        </is>
      </c>
      <c r="C24" t="inlineStr">
        <is>
          <t>ESAB / Binzel vía distribuidor</t>
        </is>
      </c>
      <c r="D24" s="28" t="n"/>
      <c r="E24" t="inlineStr">
        <is>
          <t>puntas por hora de arco</t>
        </is>
      </c>
    </row>
    <row r="25">
      <c r="A25" t="inlineStr">
        <is>
          <t>Toberas MAG</t>
        </is>
      </c>
      <c r="B25" t="inlineStr">
        <is>
          <t>Planilla MP-26</t>
        </is>
      </c>
      <c r="C25" t="inlineStr">
        <is>
          <t>ESAB / Binzel vía distribuidor</t>
        </is>
      </c>
      <c r="D25" s="28" t="n"/>
      <c r="E25" t="inlineStr">
        <is>
          <t>toberas por hora de arco</t>
        </is>
      </c>
    </row>
    <row r="26">
      <c r="A26" t="inlineStr">
        <is>
          <t>Discos de amolado y corte Ø115</t>
        </is>
      </c>
      <c r="B26" t="inlineStr">
        <is>
          <t>Planilla MP-27</t>
        </is>
      </c>
      <c r="C26" t="inlineStr">
        <is>
          <t>Norton / Pferd / 3M</t>
        </is>
      </c>
      <c r="D26" s="28" t="n"/>
      <c r="E26" t="inlineStr">
        <is>
          <t>discos por hora de arco</t>
        </is>
      </c>
    </row>
    <row r="27">
      <c r="A27" t="inlineStr">
        <is>
          <t>Tapones de silicona para enmascarar roscas</t>
        </is>
      </c>
      <c r="B27" t="inlineStr">
        <is>
          <t>Planilla MP-32</t>
        </is>
      </c>
      <c r="C27" t="inlineStr">
        <is>
          <t>Distribuidor de enmascarado</t>
        </is>
      </c>
      <c r="D27" s="28" t="n"/>
      <c r="E27" t="inlineStr">
        <is>
          <t>tapones por hora de arco (proxy de piezas)</t>
        </is>
      </c>
    </row>
    <row r="28">
      <c r="A28" t="inlineStr">
        <is>
          <t>Solución detectora de fugas</t>
        </is>
      </c>
      <c r="B28" t="inlineStr">
        <is>
          <t>IRAM 3517-2:2020 9.4.10</t>
        </is>
      </c>
      <c r="C28" t="inlineStr">
        <is>
          <t>A relevar</t>
        </is>
      </c>
      <c r="D28" s="28" t="n"/>
      <c r="E28" t="inlineStr">
        <is>
          <t>L por hora de arco (proxy)</t>
        </is>
      </c>
    </row>
    <row r="29">
      <c r="A29" t="inlineStr">
        <is>
          <t>Esmalte rojo de retoque (recargas)</t>
        </is>
      </c>
      <c r="B29" t="inlineStr">
        <is>
          <t>Planilla MP-65</t>
        </is>
      </c>
      <c r="C29" t="inlineStr">
        <is>
          <t>Sinteplast / Tersuave</t>
        </is>
      </c>
      <c r="D29" s="28" t="n"/>
      <c r="E29" t="inlineStr">
        <is>
          <t>L por hora de arco</t>
        </is>
      </c>
    </row>
    <row r="31">
      <c r="A31" s="14" t="inlineStr">
        <is>
          <t>Requerimiento anual = horas de arco × consumo por inductor (0 hasta completar la columna D)</t>
        </is>
      </c>
    </row>
    <row r="32">
      <c r="A32" s="18" t="inlineStr">
        <is>
          <t>Insumo</t>
        </is>
      </c>
      <c r="B32" s="19">
        <f>'Demanda'!B3</f>
        <v/>
      </c>
      <c r="C32" s="19">
        <f>'Demanda'!C3</f>
        <v/>
      </c>
      <c r="D32" s="19">
        <f>'Demanda'!D3</f>
        <v/>
      </c>
      <c r="E32" s="19">
        <f>'Demanda'!E3</f>
        <v/>
      </c>
      <c r="F32" s="19">
        <f>'Demanda'!F3</f>
        <v/>
      </c>
      <c r="G32" s="19">
        <f>'Demanda'!G3</f>
        <v/>
      </c>
      <c r="H32" s="19">
        <f>'Demanda'!H3</f>
        <v/>
      </c>
      <c r="I32" s="19">
        <f>'Demanda'!I3</f>
        <v/>
      </c>
      <c r="J32" s="19">
        <f>'Demanda'!J3</f>
        <v/>
      </c>
      <c r="K32" s="19">
        <f>'Demanda'!K3</f>
        <v/>
      </c>
    </row>
    <row r="33">
      <c r="A33">
        <f>A24</f>
        <v/>
      </c>
      <c r="B33" s="29">
        <f>C$21*$D$24</f>
        <v/>
      </c>
      <c r="C33" s="29">
        <f>D$21*$D$24</f>
        <v/>
      </c>
      <c r="D33" s="29">
        <f>E$21*$D$24</f>
        <v/>
      </c>
      <c r="E33" s="29">
        <f>F$21*$D$24</f>
        <v/>
      </c>
      <c r="F33" s="29">
        <f>G$21*$D$24</f>
        <v/>
      </c>
      <c r="G33" s="29">
        <f>H$21*$D$24</f>
        <v/>
      </c>
      <c r="H33" s="29">
        <f>I$21*$D$24</f>
        <v/>
      </c>
      <c r="I33" s="29">
        <f>J$21*$D$24</f>
        <v/>
      </c>
      <c r="J33" s="29">
        <f>K$21*$D$24</f>
        <v/>
      </c>
      <c r="K33" s="29">
        <f>L$21*$D$24</f>
        <v/>
      </c>
    </row>
    <row r="34">
      <c r="A34">
        <f>A25</f>
        <v/>
      </c>
      <c r="B34" s="29">
        <f>C$21*$D$25</f>
        <v/>
      </c>
      <c r="C34" s="29">
        <f>D$21*$D$25</f>
        <v/>
      </c>
      <c r="D34" s="29">
        <f>E$21*$D$25</f>
        <v/>
      </c>
      <c r="E34" s="29">
        <f>F$21*$D$25</f>
        <v/>
      </c>
      <c r="F34" s="29">
        <f>G$21*$D$25</f>
        <v/>
      </c>
      <c r="G34" s="29">
        <f>H$21*$D$25</f>
        <v/>
      </c>
      <c r="H34" s="29">
        <f>I$21*$D$25</f>
        <v/>
      </c>
      <c r="I34" s="29">
        <f>J$21*$D$25</f>
        <v/>
      </c>
      <c r="J34" s="29">
        <f>K$21*$D$25</f>
        <v/>
      </c>
      <c r="K34" s="29">
        <f>L$21*$D$25</f>
        <v/>
      </c>
    </row>
    <row r="35">
      <c r="A35">
        <f>A26</f>
        <v/>
      </c>
      <c r="B35" s="29">
        <f>C$21*$D$26</f>
        <v/>
      </c>
      <c r="C35" s="29">
        <f>D$21*$D$26</f>
        <v/>
      </c>
      <c r="D35" s="29">
        <f>E$21*$D$26</f>
        <v/>
      </c>
      <c r="E35" s="29">
        <f>F$21*$D$26</f>
        <v/>
      </c>
      <c r="F35" s="29">
        <f>G$21*$D$26</f>
        <v/>
      </c>
      <c r="G35" s="29">
        <f>H$21*$D$26</f>
        <v/>
      </c>
      <c r="H35" s="29">
        <f>I$21*$D$26</f>
        <v/>
      </c>
      <c r="I35" s="29">
        <f>J$21*$D$26</f>
        <v/>
      </c>
      <c r="J35" s="29">
        <f>K$21*$D$26</f>
        <v/>
      </c>
      <c r="K35" s="29">
        <f>L$21*$D$26</f>
        <v/>
      </c>
    </row>
    <row r="36">
      <c r="A36">
        <f>A27</f>
        <v/>
      </c>
      <c r="B36" s="29">
        <f>C$21*$D$27</f>
        <v/>
      </c>
      <c r="C36" s="29">
        <f>D$21*$D$27</f>
        <v/>
      </c>
      <c r="D36" s="29">
        <f>E$21*$D$27</f>
        <v/>
      </c>
      <c r="E36" s="29">
        <f>F$21*$D$27</f>
        <v/>
      </c>
      <c r="F36" s="29">
        <f>G$21*$D$27</f>
        <v/>
      </c>
      <c r="G36" s="29">
        <f>H$21*$D$27</f>
        <v/>
      </c>
      <c r="H36" s="29">
        <f>I$21*$D$27</f>
        <v/>
      </c>
      <c r="I36" s="29">
        <f>J$21*$D$27</f>
        <v/>
      </c>
      <c r="J36" s="29">
        <f>K$21*$D$27</f>
        <v/>
      </c>
      <c r="K36" s="29">
        <f>L$21*$D$27</f>
        <v/>
      </c>
    </row>
    <row r="37">
      <c r="A37">
        <f>A28</f>
        <v/>
      </c>
      <c r="B37" s="29">
        <f>C$21*$D$28</f>
        <v/>
      </c>
      <c r="C37" s="29">
        <f>D$21*$D$28</f>
        <v/>
      </c>
      <c r="D37" s="29">
        <f>E$21*$D$28</f>
        <v/>
      </c>
      <c r="E37" s="29">
        <f>F$21*$D$28</f>
        <v/>
      </c>
      <c r="F37" s="29">
        <f>G$21*$D$28</f>
        <v/>
      </c>
      <c r="G37" s="29">
        <f>H$21*$D$28</f>
        <v/>
      </c>
      <c r="H37" s="29">
        <f>I$21*$D$28</f>
        <v/>
      </c>
      <c r="I37" s="29">
        <f>J$21*$D$28</f>
        <v/>
      </c>
      <c r="J37" s="29">
        <f>K$21*$D$28</f>
        <v/>
      </c>
      <c r="K37" s="29">
        <f>L$21*$D$28</f>
        <v/>
      </c>
    </row>
    <row r="38">
      <c r="A38">
        <f>A29</f>
        <v/>
      </c>
      <c r="B38" s="29">
        <f>C$21*$D$29</f>
        <v/>
      </c>
      <c r="C38" s="29">
        <f>D$21*$D$29</f>
        <v/>
      </c>
      <c r="D38" s="29">
        <f>E$21*$D$29</f>
        <v/>
      </c>
      <c r="E38" s="29">
        <f>F$21*$D$29</f>
        <v/>
      </c>
      <c r="F38" s="29">
        <f>G$21*$D$29</f>
        <v/>
      </c>
      <c r="G38" s="29">
        <f>H$21*$D$29</f>
        <v/>
      </c>
      <c r="H38" s="29">
        <f>I$21*$D$29</f>
        <v/>
      </c>
      <c r="I38" s="29">
        <f>J$21*$D$29</f>
        <v/>
      </c>
      <c r="J38" s="29">
        <f>K$21*$D$29</f>
        <v/>
      </c>
      <c r="K38" s="29">
        <f>L$21*$D$29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F1D1D"/>
    <outlinePr summaryBelow="1" summaryRight="1"/>
    <pageSetUpPr/>
  </sheetPr>
  <dimension ref="A1:O14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0" customWidth="1" min="2" max="2"/>
    <col width="22" customWidth="1" min="3" max="3"/>
    <col width="30" customWidth="1" min="4" max="4"/>
    <col width="40" customWidth="1" min="5" max="5"/>
  </cols>
  <sheetData>
    <row r="1">
      <c r="A1" s="12" t="inlineStr">
        <is>
          <t>MRP consolidado de materias primas e insumos (requerimiento bruto anual, todas las categorías)</t>
        </is>
      </c>
    </row>
    <row r="2">
      <c r="A2" s="14" t="inlineStr">
        <is>
          <t>Suma por ítem y UM de las hojas MP_* (fórmulas SUMIFS). El detalle por categoría está en cada hoja.</t>
        </is>
      </c>
    </row>
    <row r="4">
      <c r="A4" s="18" t="inlineStr">
        <is>
          <t>Ítem</t>
        </is>
      </c>
      <c r="B4" s="18" t="inlineStr">
        <is>
          <t>UM</t>
        </is>
      </c>
      <c r="C4" s="18" t="inlineStr">
        <is>
          <t>Rubro</t>
        </is>
      </c>
      <c r="D4" s="18" t="inlineStr">
        <is>
          <t>Proveedor principal</t>
        </is>
      </c>
      <c r="E4" s="18" t="inlineStr">
        <is>
          <t>Categorías</t>
        </is>
      </c>
      <c r="F4" s="19">
        <f>'Demanda'!B3</f>
        <v/>
      </c>
      <c r="G4" s="19">
        <f>'Demanda'!C3</f>
        <v/>
      </c>
      <c r="H4" s="19">
        <f>'Demanda'!D3</f>
        <v/>
      </c>
      <c r="I4" s="19">
        <f>'Demanda'!E3</f>
        <v/>
      </c>
      <c r="J4" s="19">
        <f>'Demanda'!F3</f>
        <v/>
      </c>
      <c r="K4" s="19">
        <f>'Demanda'!G3</f>
        <v/>
      </c>
      <c r="L4" s="19">
        <f>'Demanda'!H3</f>
        <v/>
      </c>
      <c r="M4" s="19">
        <f>'Demanda'!I3</f>
        <v/>
      </c>
      <c r="N4" s="19">
        <f>'Demanda'!J3</f>
        <v/>
      </c>
      <c r="O4" s="19">
        <f>'Demanda'!K3</f>
        <v/>
      </c>
    </row>
    <row r="5">
      <c r="A5" s="2" t="inlineStr">
        <is>
          <t>Caño SAE 1010 Ø25,4 × 1,6</t>
        </is>
      </c>
      <c r="B5" s="2" t="inlineStr">
        <is>
          <t>barra 6 m</t>
        </is>
      </c>
      <c r="C5" s="2" t="inlineStr">
        <is>
          <t>Materia prima</t>
        </is>
      </c>
      <c r="D5" s="2" t="inlineStr">
        <is>
          <t>Metalpri / Prilux</t>
        </is>
      </c>
      <c r="E5" s="2" t="inlineStr">
        <is>
          <t>MP_MATAFUEGOS_FABRICADOS</t>
        </is>
      </c>
      <c r="F5" s="21">
        <f>SUMIFS('MP_MATAFUEGOS_FABRICADOS'!F:F,'MP_MATAFUEGOS_FABRICADOS'!$A:$A,$A5,'MP_MATAFUEGOS_FABRICADOS'!$B:$B,$B5)</f>
        <v/>
      </c>
      <c r="G5" s="21">
        <f>SUMIFS('MP_MATAFUEGOS_FABRICADOS'!G:G,'MP_MATAFUEGOS_FABRICADOS'!$A:$A,$A5,'MP_MATAFUEGOS_FABRICADOS'!$B:$B,$B5)</f>
        <v/>
      </c>
      <c r="H5" s="21">
        <f>SUMIFS('MP_MATAFUEGOS_FABRICADOS'!H:H,'MP_MATAFUEGOS_FABRICADOS'!$A:$A,$A5,'MP_MATAFUEGOS_FABRICADOS'!$B:$B,$B5)</f>
        <v/>
      </c>
      <c r="I5" s="21">
        <f>SUMIFS('MP_MATAFUEGOS_FABRICADOS'!I:I,'MP_MATAFUEGOS_FABRICADOS'!$A:$A,$A5,'MP_MATAFUEGOS_FABRICADOS'!$B:$B,$B5)</f>
        <v/>
      </c>
      <c r="J5" s="21">
        <f>SUMIFS('MP_MATAFUEGOS_FABRICADOS'!J:J,'MP_MATAFUEGOS_FABRICADOS'!$A:$A,$A5,'MP_MATAFUEGOS_FABRICADOS'!$B:$B,$B5)</f>
        <v/>
      </c>
      <c r="K5" s="21">
        <f>SUMIFS('MP_MATAFUEGOS_FABRICADOS'!K:K,'MP_MATAFUEGOS_FABRICADOS'!$A:$A,$A5,'MP_MATAFUEGOS_FABRICADOS'!$B:$B,$B5)</f>
        <v/>
      </c>
      <c r="L5" s="21">
        <f>SUMIFS('MP_MATAFUEGOS_FABRICADOS'!L:L,'MP_MATAFUEGOS_FABRICADOS'!$A:$A,$A5,'MP_MATAFUEGOS_FABRICADOS'!$B:$B,$B5)</f>
        <v/>
      </c>
      <c r="M5" s="21">
        <f>SUMIFS('MP_MATAFUEGOS_FABRICADOS'!M:M,'MP_MATAFUEGOS_FABRICADOS'!$A:$A,$A5,'MP_MATAFUEGOS_FABRICADOS'!$B:$B,$B5)</f>
        <v/>
      </c>
      <c r="N5" s="21">
        <f>SUMIFS('MP_MATAFUEGOS_FABRICADOS'!N:N,'MP_MATAFUEGOS_FABRICADOS'!$A:$A,$A5,'MP_MATAFUEGOS_FABRICADOS'!$B:$B,$B5)</f>
        <v/>
      </c>
      <c r="O5" s="21">
        <f>SUMIFS('MP_MATAFUEGOS_FABRICADOS'!O:O,'MP_MATAFUEGOS_FABRICADOS'!$A:$A,$A5,'MP_MATAFUEGOS_FABRICADOS'!$B:$B,$B5)</f>
        <v/>
      </c>
    </row>
    <row r="6">
      <c r="A6" s="2" t="inlineStr">
        <is>
          <t>Caño Ø76,2 × 1,25</t>
        </is>
      </c>
      <c r="B6" s="2" t="inlineStr">
        <is>
          <t>barra 6 m</t>
        </is>
      </c>
      <c r="C6" s="2" t="inlineStr">
        <is>
          <t>Materia prima</t>
        </is>
      </c>
      <c r="D6" s="2" t="inlineStr">
        <is>
          <t>Metalpri / Prilux</t>
        </is>
      </c>
      <c r="E6" s="2" t="inlineStr">
        <is>
          <t>MP_MATAFUEGOS_FABRICADOS, MP_CILINDROS</t>
        </is>
      </c>
      <c r="F6" s="21">
        <f>SUMIFS('MP_MATAFUEGOS_FABRICADOS'!F:F,'MP_MATAFUEGOS_FABRICADOS'!$A:$A,$A6,'MP_MATAFUEGOS_FABRICADOS'!$B:$B,$B6)+SUMIFS('MP_CILINDROS'!F:F,'MP_CILINDROS'!$A:$A,$A6,'MP_CILINDROS'!$B:$B,$B6)</f>
        <v/>
      </c>
      <c r="G6" s="21">
        <f>SUMIFS('MP_MATAFUEGOS_FABRICADOS'!G:G,'MP_MATAFUEGOS_FABRICADOS'!$A:$A,$A6,'MP_MATAFUEGOS_FABRICADOS'!$B:$B,$B6)+SUMIFS('MP_CILINDROS'!G:G,'MP_CILINDROS'!$A:$A,$A6,'MP_CILINDROS'!$B:$B,$B6)</f>
        <v/>
      </c>
      <c r="H6" s="21">
        <f>SUMIFS('MP_MATAFUEGOS_FABRICADOS'!H:H,'MP_MATAFUEGOS_FABRICADOS'!$A:$A,$A6,'MP_MATAFUEGOS_FABRICADOS'!$B:$B,$B6)+SUMIFS('MP_CILINDROS'!H:H,'MP_CILINDROS'!$A:$A,$A6,'MP_CILINDROS'!$B:$B,$B6)</f>
        <v/>
      </c>
      <c r="I6" s="21">
        <f>SUMIFS('MP_MATAFUEGOS_FABRICADOS'!I:I,'MP_MATAFUEGOS_FABRICADOS'!$A:$A,$A6,'MP_MATAFUEGOS_FABRICADOS'!$B:$B,$B6)+SUMIFS('MP_CILINDROS'!I:I,'MP_CILINDROS'!$A:$A,$A6,'MP_CILINDROS'!$B:$B,$B6)</f>
        <v/>
      </c>
      <c r="J6" s="21">
        <f>SUMIFS('MP_MATAFUEGOS_FABRICADOS'!J:J,'MP_MATAFUEGOS_FABRICADOS'!$A:$A,$A6,'MP_MATAFUEGOS_FABRICADOS'!$B:$B,$B6)+SUMIFS('MP_CILINDROS'!J:J,'MP_CILINDROS'!$A:$A,$A6,'MP_CILINDROS'!$B:$B,$B6)</f>
        <v/>
      </c>
      <c r="K6" s="21">
        <f>SUMIFS('MP_MATAFUEGOS_FABRICADOS'!K:K,'MP_MATAFUEGOS_FABRICADOS'!$A:$A,$A6,'MP_MATAFUEGOS_FABRICADOS'!$B:$B,$B6)+SUMIFS('MP_CILINDROS'!K:K,'MP_CILINDROS'!$A:$A,$A6,'MP_CILINDROS'!$B:$B,$B6)</f>
        <v/>
      </c>
      <c r="L6" s="21">
        <f>SUMIFS('MP_MATAFUEGOS_FABRICADOS'!L:L,'MP_MATAFUEGOS_FABRICADOS'!$A:$A,$A6,'MP_MATAFUEGOS_FABRICADOS'!$B:$B,$B6)+SUMIFS('MP_CILINDROS'!L:L,'MP_CILINDROS'!$A:$A,$A6,'MP_CILINDROS'!$B:$B,$B6)</f>
        <v/>
      </c>
      <c r="M6" s="21">
        <f>SUMIFS('MP_MATAFUEGOS_FABRICADOS'!M:M,'MP_MATAFUEGOS_FABRICADOS'!$A:$A,$A6,'MP_MATAFUEGOS_FABRICADOS'!$B:$B,$B6)+SUMIFS('MP_CILINDROS'!M:M,'MP_CILINDROS'!$A:$A,$A6,'MP_CILINDROS'!$B:$B,$B6)</f>
        <v/>
      </c>
      <c r="N6" s="21">
        <f>SUMIFS('MP_MATAFUEGOS_FABRICADOS'!N:N,'MP_MATAFUEGOS_FABRICADOS'!$A:$A,$A6,'MP_MATAFUEGOS_FABRICADOS'!$B:$B,$B6)+SUMIFS('MP_CILINDROS'!N:N,'MP_CILINDROS'!$A:$A,$A6,'MP_CILINDROS'!$B:$B,$B6)</f>
        <v/>
      </c>
      <c r="O6" s="21">
        <f>SUMIFS('MP_MATAFUEGOS_FABRICADOS'!O:O,'MP_MATAFUEGOS_FABRICADOS'!$A:$A,$A6,'MP_MATAFUEGOS_FABRICADOS'!$B:$B,$B6)+SUMIFS('MP_CILINDROS'!O:O,'MP_CILINDROS'!$A:$A,$A6,'MP_CILINDROS'!$B:$B,$B6)</f>
        <v/>
      </c>
    </row>
    <row r="7">
      <c r="A7" s="2" t="inlineStr">
        <is>
          <t>Chapa LAC 1500 × 3000 e=3,2</t>
        </is>
      </c>
      <c r="B7" s="2" t="inlineStr">
        <is>
          <t>kg</t>
        </is>
      </c>
      <c r="C7" s="2" t="inlineStr">
        <is>
          <t>Materia prima</t>
        </is>
      </c>
      <c r="D7" s="2" t="inlineStr">
        <is>
          <t>Pradecon S.A.</t>
        </is>
      </c>
      <c r="E7" s="2" t="inlineStr">
        <is>
          <t>MP_MATAFUEGOS_FABRICADOS, MP_CILINDROS</t>
        </is>
      </c>
      <c r="F7" s="21">
        <f>SUMIFS('MP_MATAFUEGOS_FABRICADOS'!F:F,'MP_MATAFUEGOS_FABRICADOS'!$A:$A,$A7,'MP_MATAFUEGOS_FABRICADOS'!$B:$B,$B7)+SUMIFS('MP_CILINDROS'!F:F,'MP_CILINDROS'!$A:$A,$A7,'MP_CILINDROS'!$B:$B,$B7)</f>
        <v/>
      </c>
      <c r="G7" s="21">
        <f>SUMIFS('MP_MATAFUEGOS_FABRICADOS'!G:G,'MP_MATAFUEGOS_FABRICADOS'!$A:$A,$A7,'MP_MATAFUEGOS_FABRICADOS'!$B:$B,$B7)+SUMIFS('MP_CILINDROS'!G:G,'MP_CILINDROS'!$A:$A,$A7,'MP_CILINDROS'!$B:$B,$B7)</f>
        <v/>
      </c>
      <c r="H7" s="21">
        <f>SUMIFS('MP_MATAFUEGOS_FABRICADOS'!H:H,'MP_MATAFUEGOS_FABRICADOS'!$A:$A,$A7,'MP_MATAFUEGOS_FABRICADOS'!$B:$B,$B7)+SUMIFS('MP_CILINDROS'!H:H,'MP_CILINDROS'!$A:$A,$A7,'MP_CILINDROS'!$B:$B,$B7)</f>
        <v/>
      </c>
      <c r="I7" s="21">
        <f>SUMIFS('MP_MATAFUEGOS_FABRICADOS'!I:I,'MP_MATAFUEGOS_FABRICADOS'!$A:$A,$A7,'MP_MATAFUEGOS_FABRICADOS'!$B:$B,$B7)+SUMIFS('MP_CILINDROS'!I:I,'MP_CILINDROS'!$A:$A,$A7,'MP_CILINDROS'!$B:$B,$B7)</f>
        <v/>
      </c>
      <c r="J7" s="21">
        <f>SUMIFS('MP_MATAFUEGOS_FABRICADOS'!J:J,'MP_MATAFUEGOS_FABRICADOS'!$A:$A,$A7,'MP_MATAFUEGOS_FABRICADOS'!$B:$B,$B7)+SUMIFS('MP_CILINDROS'!J:J,'MP_CILINDROS'!$A:$A,$A7,'MP_CILINDROS'!$B:$B,$B7)</f>
        <v/>
      </c>
      <c r="K7" s="21">
        <f>SUMIFS('MP_MATAFUEGOS_FABRICADOS'!K:K,'MP_MATAFUEGOS_FABRICADOS'!$A:$A,$A7,'MP_MATAFUEGOS_FABRICADOS'!$B:$B,$B7)+SUMIFS('MP_CILINDROS'!K:K,'MP_CILINDROS'!$A:$A,$A7,'MP_CILINDROS'!$B:$B,$B7)</f>
        <v/>
      </c>
      <c r="L7" s="21">
        <f>SUMIFS('MP_MATAFUEGOS_FABRICADOS'!L:L,'MP_MATAFUEGOS_FABRICADOS'!$A:$A,$A7,'MP_MATAFUEGOS_FABRICADOS'!$B:$B,$B7)+SUMIFS('MP_CILINDROS'!L:L,'MP_CILINDROS'!$A:$A,$A7,'MP_CILINDROS'!$B:$B,$B7)</f>
        <v/>
      </c>
      <c r="M7" s="21">
        <f>SUMIFS('MP_MATAFUEGOS_FABRICADOS'!M:M,'MP_MATAFUEGOS_FABRICADOS'!$A:$A,$A7,'MP_MATAFUEGOS_FABRICADOS'!$B:$B,$B7)+SUMIFS('MP_CILINDROS'!M:M,'MP_CILINDROS'!$A:$A,$A7,'MP_CILINDROS'!$B:$B,$B7)</f>
        <v/>
      </c>
      <c r="N7" s="21">
        <f>SUMIFS('MP_MATAFUEGOS_FABRICADOS'!N:N,'MP_MATAFUEGOS_FABRICADOS'!$A:$A,$A7,'MP_MATAFUEGOS_FABRICADOS'!$B:$B,$B7)+SUMIFS('MP_CILINDROS'!N:N,'MP_CILINDROS'!$A:$A,$A7,'MP_CILINDROS'!$B:$B,$B7)</f>
        <v/>
      </c>
      <c r="O7" s="21">
        <f>SUMIFS('MP_MATAFUEGOS_FABRICADOS'!O:O,'MP_MATAFUEGOS_FABRICADOS'!$A:$A,$A7,'MP_MATAFUEGOS_FABRICADOS'!$B:$B,$B7)+SUMIFS('MP_CILINDROS'!O:O,'MP_CILINDROS'!$A:$A,$A7,'MP_CILINDROS'!$B:$B,$B7)</f>
        <v/>
      </c>
    </row>
    <row r="8">
      <c r="A8" s="2" t="inlineStr">
        <is>
          <t>Chapa LAC 1500 × 3000 e=4,75</t>
        </is>
      </c>
      <c r="B8" s="2" t="inlineStr">
        <is>
          <t>kg</t>
        </is>
      </c>
      <c r="C8" s="2" t="inlineStr">
        <is>
          <t>Materia prima</t>
        </is>
      </c>
      <c r="D8" s="2" t="inlineStr">
        <is>
          <t>Pradecon S.A.</t>
        </is>
      </c>
      <c r="E8" s="2" t="inlineStr">
        <is>
          <t>MP_MATAFUEGOS_FABRICADOS, MP_CILINDROS</t>
        </is>
      </c>
      <c r="F8" s="21">
        <f>SUMIFS('MP_MATAFUEGOS_FABRICADOS'!F:F,'MP_MATAFUEGOS_FABRICADOS'!$A:$A,$A8,'MP_MATAFUEGOS_FABRICADOS'!$B:$B,$B8)+SUMIFS('MP_CILINDROS'!F:F,'MP_CILINDROS'!$A:$A,$A8,'MP_CILINDROS'!$B:$B,$B8)</f>
        <v/>
      </c>
      <c r="G8" s="21">
        <f>SUMIFS('MP_MATAFUEGOS_FABRICADOS'!G:G,'MP_MATAFUEGOS_FABRICADOS'!$A:$A,$A8,'MP_MATAFUEGOS_FABRICADOS'!$B:$B,$B8)+SUMIFS('MP_CILINDROS'!G:G,'MP_CILINDROS'!$A:$A,$A8,'MP_CILINDROS'!$B:$B,$B8)</f>
        <v/>
      </c>
      <c r="H8" s="21">
        <f>SUMIFS('MP_MATAFUEGOS_FABRICADOS'!H:H,'MP_MATAFUEGOS_FABRICADOS'!$A:$A,$A8,'MP_MATAFUEGOS_FABRICADOS'!$B:$B,$B8)+SUMIFS('MP_CILINDROS'!H:H,'MP_CILINDROS'!$A:$A,$A8,'MP_CILINDROS'!$B:$B,$B8)</f>
        <v/>
      </c>
      <c r="I8" s="21">
        <f>SUMIFS('MP_MATAFUEGOS_FABRICADOS'!I:I,'MP_MATAFUEGOS_FABRICADOS'!$A:$A,$A8,'MP_MATAFUEGOS_FABRICADOS'!$B:$B,$B8)+SUMIFS('MP_CILINDROS'!I:I,'MP_CILINDROS'!$A:$A,$A8,'MP_CILINDROS'!$B:$B,$B8)</f>
        <v/>
      </c>
      <c r="J8" s="21">
        <f>SUMIFS('MP_MATAFUEGOS_FABRICADOS'!J:J,'MP_MATAFUEGOS_FABRICADOS'!$A:$A,$A8,'MP_MATAFUEGOS_FABRICADOS'!$B:$B,$B8)+SUMIFS('MP_CILINDROS'!J:J,'MP_CILINDROS'!$A:$A,$A8,'MP_CILINDROS'!$B:$B,$B8)</f>
        <v/>
      </c>
      <c r="K8" s="21">
        <f>SUMIFS('MP_MATAFUEGOS_FABRICADOS'!K:K,'MP_MATAFUEGOS_FABRICADOS'!$A:$A,$A8,'MP_MATAFUEGOS_FABRICADOS'!$B:$B,$B8)+SUMIFS('MP_CILINDROS'!K:K,'MP_CILINDROS'!$A:$A,$A8,'MP_CILINDROS'!$B:$B,$B8)</f>
        <v/>
      </c>
      <c r="L8" s="21">
        <f>SUMIFS('MP_MATAFUEGOS_FABRICADOS'!L:L,'MP_MATAFUEGOS_FABRICADOS'!$A:$A,$A8,'MP_MATAFUEGOS_FABRICADOS'!$B:$B,$B8)+SUMIFS('MP_CILINDROS'!L:L,'MP_CILINDROS'!$A:$A,$A8,'MP_CILINDROS'!$B:$B,$B8)</f>
        <v/>
      </c>
      <c r="M8" s="21">
        <f>SUMIFS('MP_MATAFUEGOS_FABRICADOS'!M:M,'MP_MATAFUEGOS_FABRICADOS'!$A:$A,$A8,'MP_MATAFUEGOS_FABRICADOS'!$B:$B,$B8)+SUMIFS('MP_CILINDROS'!M:M,'MP_CILINDROS'!$A:$A,$A8,'MP_CILINDROS'!$B:$B,$B8)</f>
        <v/>
      </c>
      <c r="N8" s="21">
        <f>SUMIFS('MP_MATAFUEGOS_FABRICADOS'!N:N,'MP_MATAFUEGOS_FABRICADOS'!$A:$A,$A8,'MP_MATAFUEGOS_FABRICADOS'!$B:$B,$B8)+SUMIFS('MP_CILINDROS'!N:N,'MP_CILINDROS'!$A:$A,$A8,'MP_CILINDROS'!$B:$B,$B8)</f>
        <v/>
      </c>
      <c r="O8" s="21">
        <f>SUMIFS('MP_MATAFUEGOS_FABRICADOS'!O:O,'MP_MATAFUEGOS_FABRICADOS'!$A:$A,$A8,'MP_MATAFUEGOS_FABRICADOS'!$B:$B,$B8)+SUMIFS('MP_CILINDROS'!O:O,'MP_CILINDROS'!$A:$A,$A8,'MP_CILINDROS'!$B:$B,$B8)</f>
        <v/>
      </c>
    </row>
    <row r="9">
      <c r="A9" s="2" t="inlineStr">
        <is>
          <t>Chapa LAF 1000 × 2000 e=1,6</t>
        </is>
      </c>
      <c r="B9" s="2" t="inlineStr">
        <is>
          <t>kg</t>
        </is>
      </c>
      <c r="C9" s="2" t="inlineStr">
        <is>
          <t>Materia prima</t>
        </is>
      </c>
      <c r="D9" s="2" t="inlineStr">
        <is>
          <t>Pradecon S.A.</t>
        </is>
      </c>
      <c r="E9" s="2" t="inlineStr">
        <is>
          <t>MP_MATAFUEGOS_FABRICADOS, MP_CILINDROS</t>
        </is>
      </c>
      <c r="F9" s="21">
        <f>SUMIFS('MP_MATAFUEGOS_FABRICADOS'!F:F,'MP_MATAFUEGOS_FABRICADOS'!$A:$A,$A9,'MP_MATAFUEGOS_FABRICADOS'!$B:$B,$B9)+SUMIFS('MP_CILINDROS'!F:F,'MP_CILINDROS'!$A:$A,$A9,'MP_CILINDROS'!$B:$B,$B9)</f>
        <v/>
      </c>
      <c r="G9" s="21">
        <f>SUMIFS('MP_MATAFUEGOS_FABRICADOS'!G:G,'MP_MATAFUEGOS_FABRICADOS'!$A:$A,$A9,'MP_MATAFUEGOS_FABRICADOS'!$B:$B,$B9)+SUMIFS('MP_CILINDROS'!G:G,'MP_CILINDROS'!$A:$A,$A9,'MP_CILINDROS'!$B:$B,$B9)</f>
        <v/>
      </c>
      <c r="H9" s="21">
        <f>SUMIFS('MP_MATAFUEGOS_FABRICADOS'!H:H,'MP_MATAFUEGOS_FABRICADOS'!$A:$A,$A9,'MP_MATAFUEGOS_FABRICADOS'!$B:$B,$B9)+SUMIFS('MP_CILINDROS'!H:H,'MP_CILINDROS'!$A:$A,$A9,'MP_CILINDROS'!$B:$B,$B9)</f>
        <v/>
      </c>
      <c r="I9" s="21">
        <f>SUMIFS('MP_MATAFUEGOS_FABRICADOS'!I:I,'MP_MATAFUEGOS_FABRICADOS'!$A:$A,$A9,'MP_MATAFUEGOS_FABRICADOS'!$B:$B,$B9)+SUMIFS('MP_CILINDROS'!I:I,'MP_CILINDROS'!$A:$A,$A9,'MP_CILINDROS'!$B:$B,$B9)</f>
        <v/>
      </c>
      <c r="J9" s="21">
        <f>SUMIFS('MP_MATAFUEGOS_FABRICADOS'!J:J,'MP_MATAFUEGOS_FABRICADOS'!$A:$A,$A9,'MP_MATAFUEGOS_FABRICADOS'!$B:$B,$B9)+SUMIFS('MP_CILINDROS'!J:J,'MP_CILINDROS'!$A:$A,$A9,'MP_CILINDROS'!$B:$B,$B9)</f>
        <v/>
      </c>
      <c r="K9" s="21">
        <f>SUMIFS('MP_MATAFUEGOS_FABRICADOS'!K:K,'MP_MATAFUEGOS_FABRICADOS'!$A:$A,$A9,'MP_MATAFUEGOS_FABRICADOS'!$B:$B,$B9)+SUMIFS('MP_CILINDROS'!K:K,'MP_CILINDROS'!$A:$A,$A9,'MP_CILINDROS'!$B:$B,$B9)</f>
        <v/>
      </c>
      <c r="L9" s="21">
        <f>SUMIFS('MP_MATAFUEGOS_FABRICADOS'!L:L,'MP_MATAFUEGOS_FABRICADOS'!$A:$A,$A9,'MP_MATAFUEGOS_FABRICADOS'!$B:$B,$B9)+SUMIFS('MP_CILINDROS'!L:L,'MP_CILINDROS'!$A:$A,$A9,'MP_CILINDROS'!$B:$B,$B9)</f>
        <v/>
      </c>
      <c r="M9" s="21">
        <f>SUMIFS('MP_MATAFUEGOS_FABRICADOS'!M:M,'MP_MATAFUEGOS_FABRICADOS'!$A:$A,$A9,'MP_MATAFUEGOS_FABRICADOS'!$B:$B,$B9)+SUMIFS('MP_CILINDROS'!M:M,'MP_CILINDROS'!$A:$A,$A9,'MP_CILINDROS'!$B:$B,$B9)</f>
        <v/>
      </c>
      <c r="N9" s="21">
        <f>SUMIFS('MP_MATAFUEGOS_FABRICADOS'!N:N,'MP_MATAFUEGOS_FABRICADOS'!$A:$A,$A9,'MP_MATAFUEGOS_FABRICADOS'!$B:$B,$B9)+SUMIFS('MP_CILINDROS'!N:N,'MP_CILINDROS'!$A:$A,$A9,'MP_CILINDROS'!$B:$B,$B9)</f>
        <v/>
      </c>
      <c r="O9" s="21">
        <f>SUMIFS('MP_MATAFUEGOS_FABRICADOS'!O:O,'MP_MATAFUEGOS_FABRICADOS'!$A:$A,$A9,'MP_MATAFUEGOS_FABRICADOS'!$B:$B,$B9)+SUMIFS('MP_CILINDROS'!O:O,'MP_CILINDROS'!$A:$A,$A9,'MP_CILINDROS'!$B:$B,$B9)</f>
        <v/>
      </c>
    </row>
    <row r="10">
      <c r="A10" s="2" t="inlineStr">
        <is>
          <t>Chapa LAF 1220 × 2440 e=1,25</t>
        </is>
      </c>
      <c r="B10" s="2" t="inlineStr">
        <is>
          <t>kg</t>
        </is>
      </c>
      <c r="C10" s="2" t="inlineStr">
        <is>
          <t>Materia prima</t>
        </is>
      </c>
      <c r="D10" s="2" t="inlineStr">
        <is>
          <t>Pradecon S.A.</t>
        </is>
      </c>
      <c r="E10" s="2" t="inlineStr">
        <is>
          <t>MP_MATAFUEGOS_FABRICADOS, MP_CILINDROS</t>
        </is>
      </c>
      <c r="F10" s="21">
        <f>SUMIFS('MP_MATAFUEGOS_FABRICADOS'!F:F,'MP_MATAFUEGOS_FABRICADOS'!$A:$A,$A10,'MP_MATAFUEGOS_FABRICADOS'!$B:$B,$B10)+SUMIFS('MP_CILINDROS'!F:F,'MP_CILINDROS'!$A:$A,$A10,'MP_CILINDROS'!$B:$B,$B10)</f>
        <v/>
      </c>
      <c r="G10" s="21">
        <f>SUMIFS('MP_MATAFUEGOS_FABRICADOS'!G:G,'MP_MATAFUEGOS_FABRICADOS'!$A:$A,$A10,'MP_MATAFUEGOS_FABRICADOS'!$B:$B,$B10)+SUMIFS('MP_CILINDROS'!G:G,'MP_CILINDROS'!$A:$A,$A10,'MP_CILINDROS'!$B:$B,$B10)</f>
        <v/>
      </c>
      <c r="H10" s="21">
        <f>SUMIFS('MP_MATAFUEGOS_FABRICADOS'!H:H,'MP_MATAFUEGOS_FABRICADOS'!$A:$A,$A10,'MP_MATAFUEGOS_FABRICADOS'!$B:$B,$B10)+SUMIFS('MP_CILINDROS'!H:H,'MP_CILINDROS'!$A:$A,$A10,'MP_CILINDROS'!$B:$B,$B10)</f>
        <v/>
      </c>
      <c r="I10" s="21">
        <f>SUMIFS('MP_MATAFUEGOS_FABRICADOS'!I:I,'MP_MATAFUEGOS_FABRICADOS'!$A:$A,$A10,'MP_MATAFUEGOS_FABRICADOS'!$B:$B,$B10)+SUMIFS('MP_CILINDROS'!I:I,'MP_CILINDROS'!$A:$A,$A10,'MP_CILINDROS'!$B:$B,$B10)</f>
        <v/>
      </c>
      <c r="J10" s="21">
        <f>SUMIFS('MP_MATAFUEGOS_FABRICADOS'!J:J,'MP_MATAFUEGOS_FABRICADOS'!$A:$A,$A10,'MP_MATAFUEGOS_FABRICADOS'!$B:$B,$B10)+SUMIFS('MP_CILINDROS'!J:J,'MP_CILINDROS'!$A:$A,$A10,'MP_CILINDROS'!$B:$B,$B10)</f>
        <v/>
      </c>
      <c r="K10" s="21">
        <f>SUMIFS('MP_MATAFUEGOS_FABRICADOS'!K:K,'MP_MATAFUEGOS_FABRICADOS'!$A:$A,$A10,'MP_MATAFUEGOS_FABRICADOS'!$B:$B,$B10)+SUMIFS('MP_CILINDROS'!K:K,'MP_CILINDROS'!$A:$A,$A10,'MP_CILINDROS'!$B:$B,$B10)</f>
        <v/>
      </c>
      <c r="L10" s="21">
        <f>SUMIFS('MP_MATAFUEGOS_FABRICADOS'!L:L,'MP_MATAFUEGOS_FABRICADOS'!$A:$A,$A10,'MP_MATAFUEGOS_FABRICADOS'!$B:$B,$B10)+SUMIFS('MP_CILINDROS'!L:L,'MP_CILINDROS'!$A:$A,$A10,'MP_CILINDROS'!$B:$B,$B10)</f>
        <v/>
      </c>
      <c r="M10" s="21">
        <f>SUMIFS('MP_MATAFUEGOS_FABRICADOS'!M:M,'MP_MATAFUEGOS_FABRICADOS'!$A:$A,$A10,'MP_MATAFUEGOS_FABRICADOS'!$B:$B,$B10)+SUMIFS('MP_CILINDROS'!M:M,'MP_CILINDROS'!$A:$A,$A10,'MP_CILINDROS'!$B:$B,$B10)</f>
        <v/>
      </c>
      <c r="N10" s="21">
        <f>SUMIFS('MP_MATAFUEGOS_FABRICADOS'!N:N,'MP_MATAFUEGOS_FABRICADOS'!$A:$A,$A10,'MP_MATAFUEGOS_FABRICADOS'!$B:$B,$B10)+SUMIFS('MP_CILINDROS'!N:N,'MP_CILINDROS'!$A:$A,$A10,'MP_CILINDROS'!$B:$B,$B10)</f>
        <v/>
      </c>
      <c r="O10" s="21">
        <f>SUMIFS('MP_MATAFUEGOS_FABRICADOS'!O:O,'MP_MATAFUEGOS_FABRICADOS'!$A:$A,$A10,'MP_MATAFUEGOS_FABRICADOS'!$B:$B,$B10)+SUMIFS('MP_CILINDROS'!O:O,'MP_CILINDROS'!$A:$A,$A10,'MP_CILINDROS'!$B:$B,$B10)</f>
        <v/>
      </c>
    </row>
    <row r="11">
      <c r="A11" s="2" t="inlineStr">
        <is>
          <t>Chapa LAF 1500 × 3000 e=2</t>
        </is>
      </c>
      <c r="B11" s="2" t="inlineStr">
        <is>
          <t>kg</t>
        </is>
      </c>
      <c r="C11" s="2" t="inlineStr">
        <is>
          <t>Materia prima</t>
        </is>
      </c>
      <c r="D11" s="2" t="inlineStr">
        <is>
          <t>Pradecon S.A.</t>
        </is>
      </c>
      <c r="E11" s="2" t="inlineStr">
        <is>
          <t>MP_MATAFUEGOS_FABRICADOS, MP_CILINDROS</t>
        </is>
      </c>
      <c r="F11" s="21">
        <f>SUMIFS('MP_MATAFUEGOS_FABRICADOS'!F:F,'MP_MATAFUEGOS_FABRICADOS'!$A:$A,$A11,'MP_MATAFUEGOS_FABRICADOS'!$B:$B,$B11)+SUMIFS('MP_CILINDROS'!F:F,'MP_CILINDROS'!$A:$A,$A11,'MP_CILINDROS'!$B:$B,$B11)</f>
        <v/>
      </c>
      <c r="G11" s="21">
        <f>SUMIFS('MP_MATAFUEGOS_FABRICADOS'!G:G,'MP_MATAFUEGOS_FABRICADOS'!$A:$A,$A11,'MP_MATAFUEGOS_FABRICADOS'!$B:$B,$B11)+SUMIFS('MP_CILINDROS'!G:G,'MP_CILINDROS'!$A:$A,$A11,'MP_CILINDROS'!$B:$B,$B11)</f>
        <v/>
      </c>
      <c r="H11" s="21">
        <f>SUMIFS('MP_MATAFUEGOS_FABRICADOS'!H:H,'MP_MATAFUEGOS_FABRICADOS'!$A:$A,$A11,'MP_MATAFUEGOS_FABRICADOS'!$B:$B,$B11)+SUMIFS('MP_CILINDROS'!H:H,'MP_CILINDROS'!$A:$A,$A11,'MP_CILINDROS'!$B:$B,$B11)</f>
        <v/>
      </c>
      <c r="I11" s="21">
        <f>SUMIFS('MP_MATAFUEGOS_FABRICADOS'!I:I,'MP_MATAFUEGOS_FABRICADOS'!$A:$A,$A11,'MP_MATAFUEGOS_FABRICADOS'!$B:$B,$B11)+SUMIFS('MP_CILINDROS'!I:I,'MP_CILINDROS'!$A:$A,$A11,'MP_CILINDROS'!$B:$B,$B11)</f>
        <v/>
      </c>
      <c r="J11" s="21">
        <f>SUMIFS('MP_MATAFUEGOS_FABRICADOS'!J:J,'MP_MATAFUEGOS_FABRICADOS'!$A:$A,$A11,'MP_MATAFUEGOS_FABRICADOS'!$B:$B,$B11)+SUMIFS('MP_CILINDROS'!J:J,'MP_CILINDROS'!$A:$A,$A11,'MP_CILINDROS'!$B:$B,$B11)</f>
        <v/>
      </c>
      <c r="K11" s="21">
        <f>SUMIFS('MP_MATAFUEGOS_FABRICADOS'!K:K,'MP_MATAFUEGOS_FABRICADOS'!$A:$A,$A11,'MP_MATAFUEGOS_FABRICADOS'!$B:$B,$B11)+SUMIFS('MP_CILINDROS'!K:K,'MP_CILINDROS'!$A:$A,$A11,'MP_CILINDROS'!$B:$B,$B11)</f>
        <v/>
      </c>
      <c r="L11" s="21">
        <f>SUMIFS('MP_MATAFUEGOS_FABRICADOS'!L:L,'MP_MATAFUEGOS_FABRICADOS'!$A:$A,$A11,'MP_MATAFUEGOS_FABRICADOS'!$B:$B,$B11)+SUMIFS('MP_CILINDROS'!L:L,'MP_CILINDROS'!$A:$A,$A11,'MP_CILINDROS'!$B:$B,$B11)</f>
        <v/>
      </c>
      <c r="M11" s="21">
        <f>SUMIFS('MP_MATAFUEGOS_FABRICADOS'!M:M,'MP_MATAFUEGOS_FABRICADOS'!$A:$A,$A11,'MP_MATAFUEGOS_FABRICADOS'!$B:$B,$B11)+SUMIFS('MP_CILINDROS'!M:M,'MP_CILINDROS'!$A:$A,$A11,'MP_CILINDROS'!$B:$B,$B11)</f>
        <v/>
      </c>
      <c r="N11" s="21">
        <f>SUMIFS('MP_MATAFUEGOS_FABRICADOS'!N:N,'MP_MATAFUEGOS_FABRICADOS'!$A:$A,$A11,'MP_MATAFUEGOS_FABRICADOS'!$B:$B,$B11)+SUMIFS('MP_CILINDROS'!N:N,'MP_CILINDROS'!$A:$A,$A11,'MP_CILINDROS'!$B:$B,$B11)</f>
        <v/>
      </c>
      <c r="O11" s="21">
        <f>SUMIFS('MP_MATAFUEGOS_FABRICADOS'!O:O,'MP_MATAFUEGOS_FABRICADOS'!$A:$A,$A11,'MP_MATAFUEGOS_FABRICADOS'!$B:$B,$B11)+SUMIFS('MP_CILINDROS'!O:O,'MP_CILINDROS'!$A:$A,$A11,'MP_CILINDROS'!$B:$B,$B11)</f>
        <v/>
      </c>
    </row>
    <row r="12">
      <c r="A12" s="2" t="inlineStr">
        <is>
          <t>Fleje e=0,9 × 114</t>
        </is>
      </c>
      <c r="B12" s="2" t="inlineStr">
        <is>
          <t>m</t>
        </is>
      </c>
      <c r="C12" s="2" t="inlineStr">
        <is>
          <t>Materia prima</t>
        </is>
      </c>
      <c r="D12" s="2" t="inlineStr">
        <is>
          <t>Pacheco Chapas</t>
        </is>
      </c>
      <c r="E12" s="2" t="inlineStr">
        <is>
          <t>MP_MATAFUEGOS_FABRICADOS, MP_CILINDROS</t>
        </is>
      </c>
      <c r="F12" s="21">
        <f>SUMIFS('MP_MATAFUEGOS_FABRICADOS'!F:F,'MP_MATAFUEGOS_FABRICADOS'!$A:$A,$A12,'MP_MATAFUEGOS_FABRICADOS'!$B:$B,$B12)+SUMIFS('MP_CILINDROS'!F:F,'MP_CILINDROS'!$A:$A,$A12,'MP_CILINDROS'!$B:$B,$B12)</f>
        <v/>
      </c>
      <c r="G12" s="21">
        <f>SUMIFS('MP_MATAFUEGOS_FABRICADOS'!G:G,'MP_MATAFUEGOS_FABRICADOS'!$A:$A,$A12,'MP_MATAFUEGOS_FABRICADOS'!$B:$B,$B12)+SUMIFS('MP_CILINDROS'!G:G,'MP_CILINDROS'!$A:$A,$A12,'MP_CILINDROS'!$B:$B,$B12)</f>
        <v/>
      </c>
      <c r="H12" s="21">
        <f>SUMIFS('MP_MATAFUEGOS_FABRICADOS'!H:H,'MP_MATAFUEGOS_FABRICADOS'!$A:$A,$A12,'MP_MATAFUEGOS_FABRICADOS'!$B:$B,$B12)+SUMIFS('MP_CILINDROS'!H:H,'MP_CILINDROS'!$A:$A,$A12,'MP_CILINDROS'!$B:$B,$B12)</f>
        <v/>
      </c>
      <c r="I12" s="21">
        <f>SUMIFS('MP_MATAFUEGOS_FABRICADOS'!I:I,'MP_MATAFUEGOS_FABRICADOS'!$A:$A,$A12,'MP_MATAFUEGOS_FABRICADOS'!$B:$B,$B12)+SUMIFS('MP_CILINDROS'!I:I,'MP_CILINDROS'!$A:$A,$A12,'MP_CILINDROS'!$B:$B,$B12)</f>
        <v/>
      </c>
      <c r="J12" s="21">
        <f>SUMIFS('MP_MATAFUEGOS_FABRICADOS'!J:J,'MP_MATAFUEGOS_FABRICADOS'!$A:$A,$A12,'MP_MATAFUEGOS_FABRICADOS'!$B:$B,$B12)+SUMIFS('MP_CILINDROS'!J:J,'MP_CILINDROS'!$A:$A,$A12,'MP_CILINDROS'!$B:$B,$B12)</f>
        <v/>
      </c>
      <c r="K12" s="21">
        <f>SUMIFS('MP_MATAFUEGOS_FABRICADOS'!K:K,'MP_MATAFUEGOS_FABRICADOS'!$A:$A,$A12,'MP_MATAFUEGOS_FABRICADOS'!$B:$B,$B12)+SUMIFS('MP_CILINDROS'!K:K,'MP_CILINDROS'!$A:$A,$A12,'MP_CILINDROS'!$B:$B,$B12)</f>
        <v/>
      </c>
      <c r="L12" s="21">
        <f>SUMIFS('MP_MATAFUEGOS_FABRICADOS'!L:L,'MP_MATAFUEGOS_FABRICADOS'!$A:$A,$A12,'MP_MATAFUEGOS_FABRICADOS'!$B:$B,$B12)+SUMIFS('MP_CILINDROS'!L:L,'MP_CILINDROS'!$A:$A,$A12,'MP_CILINDROS'!$B:$B,$B12)</f>
        <v/>
      </c>
      <c r="M12" s="21">
        <f>SUMIFS('MP_MATAFUEGOS_FABRICADOS'!M:M,'MP_MATAFUEGOS_FABRICADOS'!$A:$A,$A12,'MP_MATAFUEGOS_FABRICADOS'!$B:$B,$B12)+SUMIFS('MP_CILINDROS'!M:M,'MP_CILINDROS'!$A:$A,$A12,'MP_CILINDROS'!$B:$B,$B12)</f>
        <v/>
      </c>
      <c r="N12" s="21">
        <f>SUMIFS('MP_MATAFUEGOS_FABRICADOS'!N:N,'MP_MATAFUEGOS_FABRICADOS'!$A:$A,$A12,'MP_MATAFUEGOS_FABRICADOS'!$B:$B,$B12)+SUMIFS('MP_CILINDROS'!N:N,'MP_CILINDROS'!$A:$A,$A12,'MP_CILINDROS'!$B:$B,$B12)</f>
        <v/>
      </c>
      <c r="O12" s="21">
        <f>SUMIFS('MP_MATAFUEGOS_FABRICADOS'!O:O,'MP_MATAFUEGOS_FABRICADOS'!$A:$A,$A12,'MP_MATAFUEGOS_FABRICADOS'!$B:$B,$B12)+SUMIFS('MP_CILINDROS'!O:O,'MP_CILINDROS'!$A:$A,$A12,'MP_CILINDROS'!$B:$B,$B12)</f>
        <v/>
      </c>
    </row>
    <row r="13">
      <c r="A13" s="2" t="inlineStr">
        <is>
          <t>Fleje e=1,25 × 106</t>
        </is>
      </c>
      <c r="B13" s="2" t="inlineStr">
        <is>
          <t>m</t>
        </is>
      </c>
      <c r="C13" s="2" t="inlineStr">
        <is>
          <t>Materia prima</t>
        </is>
      </c>
      <c r="D13" s="2" t="inlineStr">
        <is>
          <t>Pacheco Chapas</t>
        </is>
      </c>
      <c r="E13" s="2" t="inlineStr">
        <is>
          <t>MP_MATAFUEGOS_FABRICADOS, MP_CILINDROS</t>
        </is>
      </c>
      <c r="F13" s="21">
        <f>SUMIFS('MP_MATAFUEGOS_FABRICADOS'!F:F,'MP_MATAFUEGOS_FABRICADOS'!$A:$A,$A13,'MP_MATAFUEGOS_FABRICADOS'!$B:$B,$B13)+SUMIFS('MP_CILINDROS'!F:F,'MP_CILINDROS'!$A:$A,$A13,'MP_CILINDROS'!$B:$B,$B13)</f>
        <v/>
      </c>
      <c r="G13" s="21">
        <f>SUMIFS('MP_MATAFUEGOS_FABRICADOS'!G:G,'MP_MATAFUEGOS_FABRICADOS'!$A:$A,$A13,'MP_MATAFUEGOS_FABRICADOS'!$B:$B,$B13)+SUMIFS('MP_CILINDROS'!G:G,'MP_CILINDROS'!$A:$A,$A13,'MP_CILINDROS'!$B:$B,$B13)</f>
        <v/>
      </c>
      <c r="H13" s="21">
        <f>SUMIFS('MP_MATAFUEGOS_FABRICADOS'!H:H,'MP_MATAFUEGOS_FABRICADOS'!$A:$A,$A13,'MP_MATAFUEGOS_FABRICADOS'!$B:$B,$B13)+SUMIFS('MP_CILINDROS'!H:H,'MP_CILINDROS'!$A:$A,$A13,'MP_CILINDROS'!$B:$B,$B13)</f>
        <v/>
      </c>
      <c r="I13" s="21">
        <f>SUMIFS('MP_MATAFUEGOS_FABRICADOS'!I:I,'MP_MATAFUEGOS_FABRICADOS'!$A:$A,$A13,'MP_MATAFUEGOS_FABRICADOS'!$B:$B,$B13)+SUMIFS('MP_CILINDROS'!I:I,'MP_CILINDROS'!$A:$A,$A13,'MP_CILINDROS'!$B:$B,$B13)</f>
        <v/>
      </c>
      <c r="J13" s="21">
        <f>SUMIFS('MP_MATAFUEGOS_FABRICADOS'!J:J,'MP_MATAFUEGOS_FABRICADOS'!$A:$A,$A13,'MP_MATAFUEGOS_FABRICADOS'!$B:$B,$B13)+SUMIFS('MP_CILINDROS'!J:J,'MP_CILINDROS'!$A:$A,$A13,'MP_CILINDROS'!$B:$B,$B13)</f>
        <v/>
      </c>
      <c r="K13" s="21">
        <f>SUMIFS('MP_MATAFUEGOS_FABRICADOS'!K:K,'MP_MATAFUEGOS_FABRICADOS'!$A:$A,$A13,'MP_MATAFUEGOS_FABRICADOS'!$B:$B,$B13)+SUMIFS('MP_CILINDROS'!K:K,'MP_CILINDROS'!$A:$A,$A13,'MP_CILINDROS'!$B:$B,$B13)</f>
        <v/>
      </c>
      <c r="L13" s="21">
        <f>SUMIFS('MP_MATAFUEGOS_FABRICADOS'!L:L,'MP_MATAFUEGOS_FABRICADOS'!$A:$A,$A13,'MP_MATAFUEGOS_FABRICADOS'!$B:$B,$B13)+SUMIFS('MP_CILINDROS'!L:L,'MP_CILINDROS'!$A:$A,$A13,'MP_CILINDROS'!$B:$B,$B13)</f>
        <v/>
      </c>
      <c r="M13" s="21">
        <f>SUMIFS('MP_MATAFUEGOS_FABRICADOS'!M:M,'MP_MATAFUEGOS_FABRICADOS'!$A:$A,$A13,'MP_MATAFUEGOS_FABRICADOS'!$B:$B,$B13)+SUMIFS('MP_CILINDROS'!M:M,'MP_CILINDROS'!$A:$A,$A13,'MP_CILINDROS'!$B:$B,$B13)</f>
        <v/>
      </c>
      <c r="N13" s="21">
        <f>SUMIFS('MP_MATAFUEGOS_FABRICADOS'!N:N,'MP_MATAFUEGOS_FABRICADOS'!$A:$A,$A13,'MP_MATAFUEGOS_FABRICADOS'!$B:$B,$B13)+SUMIFS('MP_CILINDROS'!N:N,'MP_CILINDROS'!$A:$A,$A13,'MP_CILINDROS'!$B:$B,$B13)</f>
        <v/>
      </c>
      <c r="O13" s="21">
        <f>SUMIFS('MP_MATAFUEGOS_FABRICADOS'!O:O,'MP_MATAFUEGOS_FABRICADOS'!$A:$A,$A13,'MP_MATAFUEGOS_FABRICADOS'!$B:$B,$B13)+SUMIFS('MP_CILINDROS'!O:O,'MP_CILINDROS'!$A:$A,$A13,'MP_CILINDROS'!$B:$B,$B13)</f>
        <v/>
      </c>
    </row>
    <row r="14">
      <c r="A14" s="2" t="inlineStr">
        <is>
          <t>Fleje e=1,25 × 200</t>
        </is>
      </c>
      <c r="B14" s="2" t="inlineStr">
        <is>
          <t>m</t>
        </is>
      </c>
      <c r="C14" s="2" t="inlineStr">
        <is>
          <t>Materia prima</t>
        </is>
      </c>
      <c r="D14" s="2" t="inlineStr">
        <is>
          <t>Pacheco Chapas</t>
        </is>
      </c>
      <c r="E14" s="2" t="inlineStr">
        <is>
          <t>MP_MATAFUEGOS_FABRICADOS, MP_CILINDROS</t>
        </is>
      </c>
      <c r="F14" s="21">
        <f>SUMIFS('MP_MATAFUEGOS_FABRICADOS'!F:F,'MP_MATAFUEGOS_FABRICADOS'!$A:$A,$A14,'MP_MATAFUEGOS_FABRICADOS'!$B:$B,$B14)+SUMIFS('MP_CILINDROS'!F:F,'MP_CILINDROS'!$A:$A,$A14,'MP_CILINDROS'!$B:$B,$B14)</f>
        <v/>
      </c>
      <c r="G14" s="21">
        <f>SUMIFS('MP_MATAFUEGOS_FABRICADOS'!G:G,'MP_MATAFUEGOS_FABRICADOS'!$A:$A,$A14,'MP_MATAFUEGOS_FABRICADOS'!$B:$B,$B14)+SUMIFS('MP_CILINDROS'!G:G,'MP_CILINDROS'!$A:$A,$A14,'MP_CILINDROS'!$B:$B,$B14)</f>
        <v/>
      </c>
      <c r="H14" s="21">
        <f>SUMIFS('MP_MATAFUEGOS_FABRICADOS'!H:H,'MP_MATAFUEGOS_FABRICADOS'!$A:$A,$A14,'MP_MATAFUEGOS_FABRICADOS'!$B:$B,$B14)+SUMIFS('MP_CILINDROS'!H:H,'MP_CILINDROS'!$A:$A,$A14,'MP_CILINDROS'!$B:$B,$B14)</f>
        <v/>
      </c>
      <c r="I14" s="21">
        <f>SUMIFS('MP_MATAFUEGOS_FABRICADOS'!I:I,'MP_MATAFUEGOS_FABRICADOS'!$A:$A,$A14,'MP_MATAFUEGOS_FABRICADOS'!$B:$B,$B14)+SUMIFS('MP_CILINDROS'!I:I,'MP_CILINDROS'!$A:$A,$A14,'MP_CILINDROS'!$B:$B,$B14)</f>
        <v/>
      </c>
      <c r="J14" s="21">
        <f>SUMIFS('MP_MATAFUEGOS_FABRICADOS'!J:J,'MP_MATAFUEGOS_FABRICADOS'!$A:$A,$A14,'MP_MATAFUEGOS_FABRICADOS'!$B:$B,$B14)+SUMIFS('MP_CILINDROS'!J:J,'MP_CILINDROS'!$A:$A,$A14,'MP_CILINDROS'!$B:$B,$B14)</f>
        <v/>
      </c>
      <c r="K14" s="21">
        <f>SUMIFS('MP_MATAFUEGOS_FABRICADOS'!K:K,'MP_MATAFUEGOS_FABRICADOS'!$A:$A,$A14,'MP_MATAFUEGOS_FABRICADOS'!$B:$B,$B14)+SUMIFS('MP_CILINDROS'!K:K,'MP_CILINDROS'!$A:$A,$A14,'MP_CILINDROS'!$B:$B,$B14)</f>
        <v/>
      </c>
      <c r="L14" s="21">
        <f>SUMIFS('MP_MATAFUEGOS_FABRICADOS'!L:L,'MP_MATAFUEGOS_FABRICADOS'!$A:$A,$A14,'MP_MATAFUEGOS_FABRICADOS'!$B:$B,$B14)+SUMIFS('MP_CILINDROS'!L:L,'MP_CILINDROS'!$A:$A,$A14,'MP_CILINDROS'!$B:$B,$B14)</f>
        <v/>
      </c>
      <c r="M14" s="21">
        <f>SUMIFS('MP_MATAFUEGOS_FABRICADOS'!M:M,'MP_MATAFUEGOS_FABRICADOS'!$A:$A,$A14,'MP_MATAFUEGOS_FABRICADOS'!$B:$B,$B14)+SUMIFS('MP_CILINDROS'!M:M,'MP_CILINDROS'!$A:$A,$A14,'MP_CILINDROS'!$B:$B,$B14)</f>
        <v/>
      </c>
      <c r="N14" s="21">
        <f>SUMIFS('MP_MATAFUEGOS_FABRICADOS'!N:N,'MP_MATAFUEGOS_FABRICADOS'!$A:$A,$A14,'MP_MATAFUEGOS_FABRICADOS'!$B:$B,$B14)+SUMIFS('MP_CILINDROS'!N:N,'MP_CILINDROS'!$A:$A,$A14,'MP_CILINDROS'!$B:$B,$B14)</f>
        <v/>
      </c>
      <c r="O14" s="21">
        <f>SUMIFS('MP_MATAFUEGOS_FABRICADOS'!O:O,'MP_MATAFUEGOS_FABRICADOS'!$A:$A,$A14,'MP_MATAFUEGOS_FABRICADOS'!$B:$B,$B14)+SUMIFS('MP_CILINDROS'!O:O,'MP_CILINDROS'!$A:$A,$A14,'MP_CILINDROS'!$B:$B,$B14)</f>
        <v/>
      </c>
    </row>
    <row r="15">
      <c r="A15" s="2" t="inlineStr">
        <is>
          <t>Fleje e=1,6 × 200</t>
        </is>
      </c>
      <c r="B15" s="2" t="inlineStr">
        <is>
          <t>m</t>
        </is>
      </c>
      <c r="C15" s="2" t="inlineStr">
        <is>
          <t>Materia prima</t>
        </is>
      </c>
      <c r="D15" s="2" t="inlineStr">
        <is>
          <t>Pacheco Chapas</t>
        </is>
      </c>
      <c r="E15" s="2" t="inlineStr">
        <is>
          <t>MP_MATAFUEGOS_FABRICADOS, MP_CILINDROS</t>
        </is>
      </c>
      <c r="F15" s="21">
        <f>SUMIFS('MP_MATAFUEGOS_FABRICADOS'!F:F,'MP_MATAFUEGOS_FABRICADOS'!$A:$A,$A15,'MP_MATAFUEGOS_FABRICADOS'!$B:$B,$B15)+SUMIFS('MP_CILINDROS'!F:F,'MP_CILINDROS'!$A:$A,$A15,'MP_CILINDROS'!$B:$B,$B15)</f>
        <v/>
      </c>
      <c r="G15" s="21">
        <f>SUMIFS('MP_MATAFUEGOS_FABRICADOS'!G:G,'MP_MATAFUEGOS_FABRICADOS'!$A:$A,$A15,'MP_MATAFUEGOS_FABRICADOS'!$B:$B,$B15)+SUMIFS('MP_CILINDROS'!G:G,'MP_CILINDROS'!$A:$A,$A15,'MP_CILINDROS'!$B:$B,$B15)</f>
        <v/>
      </c>
      <c r="H15" s="21">
        <f>SUMIFS('MP_MATAFUEGOS_FABRICADOS'!H:H,'MP_MATAFUEGOS_FABRICADOS'!$A:$A,$A15,'MP_MATAFUEGOS_FABRICADOS'!$B:$B,$B15)+SUMIFS('MP_CILINDROS'!H:H,'MP_CILINDROS'!$A:$A,$A15,'MP_CILINDROS'!$B:$B,$B15)</f>
        <v/>
      </c>
      <c r="I15" s="21">
        <f>SUMIFS('MP_MATAFUEGOS_FABRICADOS'!I:I,'MP_MATAFUEGOS_FABRICADOS'!$A:$A,$A15,'MP_MATAFUEGOS_FABRICADOS'!$B:$B,$B15)+SUMIFS('MP_CILINDROS'!I:I,'MP_CILINDROS'!$A:$A,$A15,'MP_CILINDROS'!$B:$B,$B15)</f>
        <v/>
      </c>
      <c r="J15" s="21">
        <f>SUMIFS('MP_MATAFUEGOS_FABRICADOS'!J:J,'MP_MATAFUEGOS_FABRICADOS'!$A:$A,$A15,'MP_MATAFUEGOS_FABRICADOS'!$B:$B,$B15)+SUMIFS('MP_CILINDROS'!J:J,'MP_CILINDROS'!$A:$A,$A15,'MP_CILINDROS'!$B:$B,$B15)</f>
        <v/>
      </c>
      <c r="K15" s="21">
        <f>SUMIFS('MP_MATAFUEGOS_FABRICADOS'!K:K,'MP_MATAFUEGOS_FABRICADOS'!$A:$A,$A15,'MP_MATAFUEGOS_FABRICADOS'!$B:$B,$B15)+SUMIFS('MP_CILINDROS'!K:K,'MP_CILINDROS'!$A:$A,$A15,'MP_CILINDROS'!$B:$B,$B15)</f>
        <v/>
      </c>
      <c r="L15" s="21">
        <f>SUMIFS('MP_MATAFUEGOS_FABRICADOS'!L:L,'MP_MATAFUEGOS_FABRICADOS'!$A:$A,$A15,'MP_MATAFUEGOS_FABRICADOS'!$B:$B,$B15)+SUMIFS('MP_CILINDROS'!L:L,'MP_CILINDROS'!$A:$A,$A15,'MP_CILINDROS'!$B:$B,$B15)</f>
        <v/>
      </c>
      <c r="M15" s="21">
        <f>SUMIFS('MP_MATAFUEGOS_FABRICADOS'!M:M,'MP_MATAFUEGOS_FABRICADOS'!$A:$A,$A15,'MP_MATAFUEGOS_FABRICADOS'!$B:$B,$B15)+SUMIFS('MP_CILINDROS'!M:M,'MP_CILINDROS'!$A:$A,$A15,'MP_CILINDROS'!$B:$B,$B15)</f>
        <v/>
      </c>
      <c r="N15" s="21">
        <f>SUMIFS('MP_MATAFUEGOS_FABRICADOS'!N:N,'MP_MATAFUEGOS_FABRICADOS'!$A:$A,$A15,'MP_MATAFUEGOS_FABRICADOS'!$B:$B,$B15)+SUMIFS('MP_CILINDROS'!N:N,'MP_CILINDROS'!$A:$A,$A15,'MP_CILINDROS'!$B:$B,$B15)</f>
        <v/>
      </c>
      <c r="O15" s="21">
        <f>SUMIFS('MP_MATAFUEGOS_FABRICADOS'!O:O,'MP_MATAFUEGOS_FABRICADOS'!$A:$A,$A15,'MP_MATAFUEGOS_FABRICADOS'!$B:$B,$B15)+SUMIFS('MP_CILINDROS'!O:O,'MP_CILINDROS'!$A:$A,$A15,'MP_CILINDROS'!$B:$B,$B15)</f>
        <v/>
      </c>
    </row>
    <row r="16">
      <c r="A16" s="2" t="inlineStr">
        <is>
          <t>Fleje e=1,6 × 250</t>
        </is>
      </c>
      <c r="B16" s="2" t="inlineStr">
        <is>
          <t>m</t>
        </is>
      </c>
      <c r="C16" s="2" t="inlineStr">
        <is>
          <t>Materia prima</t>
        </is>
      </c>
      <c r="D16" s="2" t="inlineStr">
        <is>
          <t>Pacheco Chapas</t>
        </is>
      </c>
      <c r="E16" s="2" t="inlineStr">
        <is>
          <t>MP_MATAFUEGOS_FABRICADOS, MP_CILINDROS</t>
        </is>
      </c>
      <c r="F16" s="21">
        <f>SUMIFS('MP_MATAFUEGOS_FABRICADOS'!F:F,'MP_MATAFUEGOS_FABRICADOS'!$A:$A,$A16,'MP_MATAFUEGOS_FABRICADOS'!$B:$B,$B16)+SUMIFS('MP_CILINDROS'!F:F,'MP_CILINDROS'!$A:$A,$A16,'MP_CILINDROS'!$B:$B,$B16)</f>
        <v/>
      </c>
      <c r="G16" s="21">
        <f>SUMIFS('MP_MATAFUEGOS_FABRICADOS'!G:G,'MP_MATAFUEGOS_FABRICADOS'!$A:$A,$A16,'MP_MATAFUEGOS_FABRICADOS'!$B:$B,$B16)+SUMIFS('MP_CILINDROS'!G:G,'MP_CILINDROS'!$A:$A,$A16,'MP_CILINDROS'!$B:$B,$B16)</f>
        <v/>
      </c>
      <c r="H16" s="21">
        <f>SUMIFS('MP_MATAFUEGOS_FABRICADOS'!H:H,'MP_MATAFUEGOS_FABRICADOS'!$A:$A,$A16,'MP_MATAFUEGOS_FABRICADOS'!$B:$B,$B16)+SUMIFS('MP_CILINDROS'!H:H,'MP_CILINDROS'!$A:$A,$A16,'MP_CILINDROS'!$B:$B,$B16)</f>
        <v/>
      </c>
      <c r="I16" s="21">
        <f>SUMIFS('MP_MATAFUEGOS_FABRICADOS'!I:I,'MP_MATAFUEGOS_FABRICADOS'!$A:$A,$A16,'MP_MATAFUEGOS_FABRICADOS'!$B:$B,$B16)+SUMIFS('MP_CILINDROS'!I:I,'MP_CILINDROS'!$A:$A,$A16,'MP_CILINDROS'!$B:$B,$B16)</f>
        <v/>
      </c>
      <c r="J16" s="21">
        <f>SUMIFS('MP_MATAFUEGOS_FABRICADOS'!J:J,'MP_MATAFUEGOS_FABRICADOS'!$A:$A,$A16,'MP_MATAFUEGOS_FABRICADOS'!$B:$B,$B16)+SUMIFS('MP_CILINDROS'!J:J,'MP_CILINDROS'!$A:$A,$A16,'MP_CILINDROS'!$B:$B,$B16)</f>
        <v/>
      </c>
      <c r="K16" s="21">
        <f>SUMIFS('MP_MATAFUEGOS_FABRICADOS'!K:K,'MP_MATAFUEGOS_FABRICADOS'!$A:$A,$A16,'MP_MATAFUEGOS_FABRICADOS'!$B:$B,$B16)+SUMIFS('MP_CILINDROS'!K:K,'MP_CILINDROS'!$A:$A,$A16,'MP_CILINDROS'!$B:$B,$B16)</f>
        <v/>
      </c>
      <c r="L16" s="21">
        <f>SUMIFS('MP_MATAFUEGOS_FABRICADOS'!L:L,'MP_MATAFUEGOS_FABRICADOS'!$A:$A,$A16,'MP_MATAFUEGOS_FABRICADOS'!$B:$B,$B16)+SUMIFS('MP_CILINDROS'!L:L,'MP_CILINDROS'!$A:$A,$A16,'MP_CILINDROS'!$B:$B,$B16)</f>
        <v/>
      </c>
      <c r="M16" s="21">
        <f>SUMIFS('MP_MATAFUEGOS_FABRICADOS'!M:M,'MP_MATAFUEGOS_FABRICADOS'!$A:$A,$A16,'MP_MATAFUEGOS_FABRICADOS'!$B:$B,$B16)+SUMIFS('MP_CILINDROS'!M:M,'MP_CILINDROS'!$A:$A,$A16,'MP_CILINDROS'!$B:$B,$B16)</f>
        <v/>
      </c>
      <c r="N16" s="21">
        <f>SUMIFS('MP_MATAFUEGOS_FABRICADOS'!N:N,'MP_MATAFUEGOS_FABRICADOS'!$A:$A,$A16,'MP_MATAFUEGOS_FABRICADOS'!$B:$B,$B16)+SUMIFS('MP_CILINDROS'!N:N,'MP_CILINDROS'!$A:$A,$A16,'MP_CILINDROS'!$B:$B,$B16)</f>
        <v/>
      </c>
      <c r="O16" s="21">
        <f>SUMIFS('MP_MATAFUEGOS_FABRICADOS'!O:O,'MP_MATAFUEGOS_FABRICADOS'!$A:$A,$A16,'MP_MATAFUEGOS_FABRICADOS'!$B:$B,$B16)+SUMIFS('MP_CILINDROS'!O:O,'MP_CILINDROS'!$A:$A,$A16,'MP_CILINDROS'!$B:$B,$B16)</f>
        <v/>
      </c>
    </row>
    <row r="17">
      <c r="A17" s="2" t="inlineStr">
        <is>
          <t>Fleje e=1,6 × 300</t>
        </is>
      </c>
      <c r="B17" s="2" t="inlineStr">
        <is>
          <t>m</t>
        </is>
      </c>
      <c r="C17" s="2" t="inlineStr">
        <is>
          <t>Materia prima</t>
        </is>
      </c>
      <c r="D17" s="2" t="inlineStr">
        <is>
          <t>Pacheco Chapas</t>
        </is>
      </c>
      <c r="E17" s="2" t="inlineStr">
        <is>
          <t>MP_MATAFUEGOS_FABRICADOS, MP_CILINDROS</t>
        </is>
      </c>
      <c r="F17" s="21">
        <f>SUMIFS('MP_MATAFUEGOS_FABRICADOS'!F:F,'MP_MATAFUEGOS_FABRICADOS'!$A:$A,$A17,'MP_MATAFUEGOS_FABRICADOS'!$B:$B,$B17)+SUMIFS('MP_CILINDROS'!F:F,'MP_CILINDROS'!$A:$A,$A17,'MP_CILINDROS'!$B:$B,$B17)</f>
        <v/>
      </c>
      <c r="G17" s="21">
        <f>SUMIFS('MP_MATAFUEGOS_FABRICADOS'!G:G,'MP_MATAFUEGOS_FABRICADOS'!$A:$A,$A17,'MP_MATAFUEGOS_FABRICADOS'!$B:$B,$B17)+SUMIFS('MP_CILINDROS'!G:G,'MP_CILINDROS'!$A:$A,$A17,'MP_CILINDROS'!$B:$B,$B17)</f>
        <v/>
      </c>
      <c r="H17" s="21">
        <f>SUMIFS('MP_MATAFUEGOS_FABRICADOS'!H:H,'MP_MATAFUEGOS_FABRICADOS'!$A:$A,$A17,'MP_MATAFUEGOS_FABRICADOS'!$B:$B,$B17)+SUMIFS('MP_CILINDROS'!H:H,'MP_CILINDROS'!$A:$A,$A17,'MP_CILINDROS'!$B:$B,$B17)</f>
        <v/>
      </c>
      <c r="I17" s="21">
        <f>SUMIFS('MP_MATAFUEGOS_FABRICADOS'!I:I,'MP_MATAFUEGOS_FABRICADOS'!$A:$A,$A17,'MP_MATAFUEGOS_FABRICADOS'!$B:$B,$B17)+SUMIFS('MP_CILINDROS'!I:I,'MP_CILINDROS'!$A:$A,$A17,'MP_CILINDROS'!$B:$B,$B17)</f>
        <v/>
      </c>
      <c r="J17" s="21">
        <f>SUMIFS('MP_MATAFUEGOS_FABRICADOS'!J:J,'MP_MATAFUEGOS_FABRICADOS'!$A:$A,$A17,'MP_MATAFUEGOS_FABRICADOS'!$B:$B,$B17)+SUMIFS('MP_CILINDROS'!J:J,'MP_CILINDROS'!$A:$A,$A17,'MP_CILINDROS'!$B:$B,$B17)</f>
        <v/>
      </c>
      <c r="K17" s="21">
        <f>SUMIFS('MP_MATAFUEGOS_FABRICADOS'!K:K,'MP_MATAFUEGOS_FABRICADOS'!$A:$A,$A17,'MP_MATAFUEGOS_FABRICADOS'!$B:$B,$B17)+SUMIFS('MP_CILINDROS'!K:K,'MP_CILINDROS'!$A:$A,$A17,'MP_CILINDROS'!$B:$B,$B17)</f>
        <v/>
      </c>
      <c r="L17" s="21">
        <f>SUMIFS('MP_MATAFUEGOS_FABRICADOS'!L:L,'MP_MATAFUEGOS_FABRICADOS'!$A:$A,$A17,'MP_MATAFUEGOS_FABRICADOS'!$B:$B,$B17)+SUMIFS('MP_CILINDROS'!L:L,'MP_CILINDROS'!$A:$A,$A17,'MP_CILINDROS'!$B:$B,$B17)</f>
        <v/>
      </c>
      <c r="M17" s="21">
        <f>SUMIFS('MP_MATAFUEGOS_FABRICADOS'!M:M,'MP_MATAFUEGOS_FABRICADOS'!$A:$A,$A17,'MP_MATAFUEGOS_FABRICADOS'!$B:$B,$B17)+SUMIFS('MP_CILINDROS'!M:M,'MP_CILINDROS'!$A:$A,$A17,'MP_CILINDROS'!$B:$B,$B17)</f>
        <v/>
      </c>
      <c r="N17" s="21">
        <f>SUMIFS('MP_MATAFUEGOS_FABRICADOS'!N:N,'MP_MATAFUEGOS_FABRICADOS'!$A:$A,$A17,'MP_MATAFUEGOS_FABRICADOS'!$B:$B,$B17)+SUMIFS('MP_CILINDROS'!N:N,'MP_CILINDROS'!$A:$A,$A17,'MP_CILINDROS'!$B:$B,$B17)</f>
        <v/>
      </c>
      <c r="O17" s="21">
        <f>SUMIFS('MP_MATAFUEGOS_FABRICADOS'!O:O,'MP_MATAFUEGOS_FABRICADOS'!$A:$A,$A17,'MP_MATAFUEGOS_FABRICADOS'!$B:$B,$B17)+SUMIFS('MP_CILINDROS'!O:O,'MP_CILINDROS'!$A:$A,$A17,'MP_CILINDROS'!$B:$B,$B17)</f>
        <v/>
      </c>
    </row>
    <row r="18">
      <c r="A18" s="2" t="inlineStr">
        <is>
          <t>Fleje e=2 × 249</t>
        </is>
      </c>
      <c r="B18" s="2" t="inlineStr">
        <is>
          <t>m</t>
        </is>
      </c>
      <c r="C18" s="2" t="inlineStr">
        <is>
          <t>Materia prima</t>
        </is>
      </c>
      <c r="D18" s="2" t="inlineStr">
        <is>
          <t>Pacheco Chapas</t>
        </is>
      </c>
      <c r="E18" s="2" t="inlineStr">
        <is>
          <t>MP_MATAFUEGOS_FABRICADOS, MP_CILINDROS</t>
        </is>
      </c>
      <c r="F18" s="21">
        <f>SUMIFS('MP_MATAFUEGOS_FABRICADOS'!F:F,'MP_MATAFUEGOS_FABRICADOS'!$A:$A,$A18,'MP_MATAFUEGOS_FABRICADOS'!$B:$B,$B18)+SUMIFS('MP_CILINDROS'!F:F,'MP_CILINDROS'!$A:$A,$A18,'MP_CILINDROS'!$B:$B,$B18)</f>
        <v/>
      </c>
      <c r="G18" s="21">
        <f>SUMIFS('MP_MATAFUEGOS_FABRICADOS'!G:G,'MP_MATAFUEGOS_FABRICADOS'!$A:$A,$A18,'MP_MATAFUEGOS_FABRICADOS'!$B:$B,$B18)+SUMIFS('MP_CILINDROS'!G:G,'MP_CILINDROS'!$A:$A,$A18,'MP_CILINDROS'!$B:$B,$B18)</f>
        <v/>
      </c>
      <c r="H18" s="21">
        <f>SUMIFS('MP_MATAFUEGOS_FABRICADOS'!H:H,'MP_MATAFUEGOS_FABRICADOS'!$A:$A,$A18,'MP_MATAFUEGOS_FABRICADOS'!$B:$B,$B18)+SUMIFS('MP_CILINDROS'!H:H,'MP_CILINDROS'!$A:$A,$A18,'MP_CILINDROS'!$B:$B,$B18)</f>
        <v/>
      </c>
      <c r="I18" s="21">
        <f>SUMIFS('MP_MATAFUEGOS_FABRICADOS'!I:I,'MP_MATAFUEGOS_FABRICADOS'!$A:$A,$A18,'MP_MATAFUEGOS_FABRICADOS'!$B:$B,$B18)+SUMIFS('MP_CILINDROS'!I:I,'MP_CILINDROS'!$A:$A,$A18,'MP_CILINDROS'!$B:$B,$B18)</f>
        <v/>
      </c>
      <c r="J18" s="21">
        <f>SUMIFS('MP_MATAFUEGOS_FABRICADOS'!J:J,'MP_MATAFUEGOS_FABRICADOS'!$A:$A,$A18,'MP_MATAFUEGOS_FABRICADOS'!$B:$B,$B18)+SUMIFS('MP_CILINDROS'!J:J,'MP_CILINDROS'!$A:$A,$A18,'MP_CILINDROS'!$B:$B,$B18)</f>
        <v/>
      </c>
      <c r="K18" s="21">
        <f>SUMIFS('MP_MATAFUEGOS_FABRICADOS'!K:K,'MP_MATAFUEGOS_FABRICADOS'!$A:$A,$A18,'MP_MATAFUEGOS_FABRICADOS'!$B:$B,$B18)+SUMIFS('MP_CILINDROS'!K:K,'MP_CILINDROS'!$A:$A,$A18,'MP_CILINDROS'!$B:$B,$B18)</f>
        <v/>
      </c>
      <c r="L18" s="21">
        <f>SUMIFS('MP_MATAFUEGOS_FABRICADOS'!L:L,'MP_MATAFUEGOS_FABRICADOS'!$A:$A,$A18,'MP_MATAFUEGOS_FABRICADOS'!$B:$B,$B18)+SUMIFS('MP_CILINDROS'!L:L,'MP_CILINDROS'!$A:$A,$A18,'MP_CILINDROS'!$B:$B,$B18)</f>
        <v/>
      </c>
      <c r="M18" s="21">
        <f>SUMIFS('MP_MATAFUEGOS_FABRICADOS'!M:M,'MP_MATAFUEGOS_FABRICADOS'!$A:$A,$A18,'MP_MATAFUEGOS_FABRICADOS'!$B:$B,$B18)+SUMIFS('MP_CILINDROS'!M:M,'MP_CILINDROS'!$A:$A,$A18,'MP_CILINDROS'!$B:$B,$B18)</f>
        <v/>
      </c>
      <c r="N18" s="21">
        <f>SUMIFS('MP_MATAFUEGOS_FABRICADOS'!N:N,'MP_MATAFUEGOS_FABRICADOS'!$A:$A,$A18,'MP_MATAFUEGOS_FABRICADOS'!$B:$B,$B18)+SUMIFS('MP_CILINDROS'!N:N,'MP_CILINDROS'!$A:$A,$A18,'MP_CILINDROS'!$B:$B,$B18)</f>
        <v/>
      </c>
      <c r="O18" s="21">
        <f>SUMIFS('MP_MATAFUEGOS_FABRICADOS'!O:O,'MP_MATAFUEGOS_FABRICADOS'!$A:$A,$A18,'MP_MATAFUEGOS_FABRICADOS'!$B:$B,$B18)+SUMIFS('MP_CILINDROS'!O:O,'MP_CILINDROS'!$A:$A,$A18,'MP_CILINDROS'!$B:$B,$B18)</f>
        <v/>
      </c>
    </row>
    <row r="19">
      <c r="A19" s="2" t="inlineStr">
        <is>
          <t>Redondo SAE 1045 Ø25</t>
        </is>
      </c>
      <c r="B19" s="2" t="inlineStr">
        <is>
          <t>barra 6 m</t>
        </is>
      </c>
      <c r="C19" s="2" t="inlineStr">
        <is>
          <t>Materia prima</t>
        </is>
      </c>
      <c r="D19" s="2" t="inlineStr">
        <is>
          <t>Hierros Parrotta</t>
        </is>
      </c>
      <c r="E19" s="2" t="inlineStr">
        <is>
          <t>MP_MATAFUEGOS_FABRICADOS</t>
        </is>
      </c>
      <c r="F19" s="21">
        <f>SUMIFS('MP_MATAFUEGOS_FABRICADOS'!F:F,'MP_MATAFUEGOS_FABRICADOS'!$A:$A,$A19,'MP_MATAFUEGOS_FABRICADOS'!$B:$B,$B19)</f>
        <v/>
      </c>
      <c r="G19" s="21">
        <f>SUMIFS('MP_MATAFUEGOS_FABRICADOS'!G:G,'MP_MATAFUEGOS_FABRICADOS'!$A:$A,$A19,'MP_MATAFUEGOS_FABRICADOS'!$B:$B,$B19)</f>
        <v/>
      </c>
      <c r="H19" s="21">
        <f>SUMIFS('MP_MATAFUEGOS_FABRICADOS'!H:H,'MP_MATAFUEGOS_FABRICADOS'!$A:$A,$A19,'MP_MATAFUEGOS_FABRICADOS'!$B:$B,$B19)</f>
        <v/>
      </c>
      <c r="I19" s="21">
        <f>SUMIFS('MP_MATAFUEGOS_FABRICADOS'!I:I,'MP_MATAFUEGOS_FABRICADOS'!$A:$A,$A19,'MP_MATAFUEGOS_FABRICADOS'!$B:$B,$B19)</f>
        <v/>
      </c>
      <c r="J19" s="21">
        <f>SUMIFS('MP_MATAFUEGOS_FABRICADOS'!J:J,'MP_MATAFUEGOS_FABRICADOS'!$A:$A,$A19,'MP_MATAFUEGOS_FABRICADOS'!$B:$B,$B19)</f>
        <v/>
      </c>
      <c r="K19" s="21">
        <f>SUMIFS('MP_MATAFUEGOS_FABRICADOS'!K:K,'MP_MATAFUEGOS_FABRICADOS'!$A:$A,$A19,'MP_MATAFUEGOS_FABRICADOS'!$B:$B,$B19)</f>
        <v/>
      </c>
      <c r="L19" s="21">
        <f>SUMIFS('MP_MATAFUEGOS_FABRICADOS'!L:L,'MP_MATAFUEGOS_FABRICADOS'!$A:$A,$A19,'MP_MATAFUEGOS_FABRICADOS'!$B:$B,$B19)</f>
        <v/>
      </c>
      <c r="M19" s="21">
        <f>SUMIFS('MP_MATAFUEGOS_FABRICADOS'!M:M,'MP_MATAFUEGOS_FABRICADOS'!$A:$A,$A19,'MP_MATAFUEGOS_FABRICADOS'!$B:$B,$B19)</f>
        <v/>
      </c>
      <c r="N19" s="21">
        <f>SUMIFS('MP_MATAFUEGOS_FABRICADOS'!N:N,'MP_MATAFUEGOS_FABRICADOS'!$A:$A,$A19,'MP_MATAFUEGOS_FABRICADOS'!$B:$B,$B19)</f>
        <v/>
      </c>
      <c r="O19" s="21">
        <f>SUMIFS('MP_MATAFUEGOS_FABRICADOS'!O:O,'MP_MATAFUEGOS_FABRICADOS'!$A:$A,$A19,'MP_MATAFUEGOS_FABRICADOS'!$B:$B,$B19)</f>
        <v/>
      </c>
    </row>
    <row r="20">
      <c r="A20" s="2" t="inlineStr">
        <is>
          <t>Cuello roscado — Ø29 × 12,5 de alto, rosca M22x1,5, asiento Ø26</t>
        </is>
      </c>
      <c r="B20" s="2" t="inlineStr">
        <is>
          <t>u</t>
        </is>
      </c>
      <c r="C20" s="2" t="inlineStr">
        <is>
          <t>Semielaborado comprado</t>
        </is>
      </c>
      <c r="D20" s="2" t="inlineStr">
        <is>
          <t>Eli-Met</t>
        </is>
      </c>
      <c r="E20" s="2" t="inlineStr">
        <is>
          <t>MP_MATAFUEGOS_FABRICADOS, MP_CILINDROS</t>
        </is>
      </c>
      <c r="F20" s="21">
        <f>SUMIFS('MP_MATAFUEGOS_FABRICADOS'!F:F,'MP_MATAFUEGOS_FABRICADOS'!$A:$A,$A20,'MP_MATAFUEGOS_FABRICADOS'!$B:$B,$B20)+SUMIFS('MP_CILINDROS'!F:F,'MP_CILINDROS'!$A:$A,$A20,'MP_CILINDROS'!$B:$B,$B20)</f>
        <v/>
      </c>
      <c r="G20" s="21">
        <f>SUMIFS('MP_MATAFUEGOS_FABRICADOS'!G:G,'MP_MATAFUEGOS_FABRICADOS'!$A:$A,$A20,'MP_MATAFUEGOS_FABRICADOS'!$B:$B,$B20)+SUMIFS('MP_CILINDROS'!G:G,'MP_CILINDROS'!$A:$A,$A20,'MP_CILINDROS'!$B:$B,$B20)</f>
        <v/>
      </c>
      <c r="H20" s="21">
        <f>SUMIFS('MP_MATAFUEGOS_FABRICADOS'!H:H,'MP_MATAFUEGOS_FABRICADOS'!$A:$A,$A20,'MP_MATAFUEGOS_FABRICADOS'!$B:$B,$B20)+SUMIFS('MP_CILINDROS'!H:H,'MP_CILINDROS'!$A:$A,$A20,'MP_CILINDROS'!$B:$B,$B20)</f>
        <v/>
      </c>
      <c r="I20" s="21">
        <f>SUMIFS('MP_MATAFUEGOS_FABRICADOS'!I:I,'MP_MATAFUEGOS_FABRICADOS'!$A:$A,$A20,'MP_MATAFUEGOS_FABRICADOS'!$B:$B,$B20)+SUMIFS('MP_CILINDROS'!I:I,'MP_CILINDROS'!$A:$A,$A20,'MP_CILINDROS'!$B:$B,$B20)</f>
        <v/>
      </c>
      <c r="J20" s="21">
        <f>SUMIFS('MP_MATAFUEGOS_FABRICADOS'!J:J,'MP_MATAFUEGOS_FABRICADOS'!$A:$A,$A20,'MP_MATAFUEGOS_FABRICADOS'!$B:$B,$B20)+SUMIFS('MP_CILINDROS'!J:J,'MP_CILINDROS'!$A:$A,$A20,'MP_CILINDROS'!$B:$B,$B20)</f>
        <v/>
      </c>
      <c r="K20" s="21">
        <f>SUMIFS('MP_MATAFUEGOS_FABRICADOS'!K:K,'MP_MATAFUEGOS_FABRICADOS'!$A:$A,$A20,'MP_MATAFUEGOS_FABRICADOS'!$B:$B,$B20)+SUMIFS('MP_CILINDROS'!K:K,'MP_CILINDROS'!$A:$A,$A20,'MP_CILINDROS'!$B:$B,$B20)</f>
        <v/>
      </c>
      <c r="L20" s="21">
        <f>SUMIFS('MP_MATAFUEGOS_FABRICADOS'!L:L,'MP_MATAFUEGOS_FABRICADOS'!$A:$A,$A20,'MP_MATAFUEGOS_FABRICADOS'!$B:$B,$B20)+SUMIFS('MP_CILINDROS'!L:L,'MP_CILINDROS'!$A:$A,$A20,'MP_CILINDROS'!$B:$B,$B20)</f>
        <v/>
      </c>
      <c r="M20" s="21">
        <f>SUMIFS('MP_MATAFUEGOS_FABRICADOS'!M:M,'MP_MATAFUEGOS_FABRICADOS'!$A:$A,$A20,'MP_MATAFUEGOS_FABRICADOS'!$B:$B,$B20)+SUMIFS('MP_CILINDROS'!M:M,'MP_CILINDROS'!$A:$A,$A20,'MP_CILINDROS'!$B:$B,$B20)</f>
        <v/>
      </c>
      <c r="N20" s="21">
        <f>SUMIFS('MP_MATAFUEGOS_FABRICADOS'!N:N,'MP_MATAFUEGOS_FABRICADOS'!$A:$A,$A20,'MP_MATAFUEGOS_FABRICADOS'!$B:$B,$B20)+SUMIFS('MP_CILINDROS'!N:N,'MP_CILINDROS'!$A:$A,$A20,'MP_CILINDROS'!$B:$B,$B20)</f>
        <v/>
      </c>
      <c r="O20" s="21">
        <f>SUMIFS('MP_MATAFUEGOS_FABRICADOS'!O:O,'MP_MATAFUEGOS_FABRICADOS'!$A:$A,$A20,'MP_MATAFUEGOS_FABRICADOS'!$B:$B,$B20)+SUMIFS('MP_CILINDROS'!O:O,'MP_CILINDROS'!$A:$A,$A20,'MP_CILINDROS'!$B:$B,$B20)</f>
        <v/>
      </c>
    </row>
    <row r="21">
      <c r="A21" s="2" t="inlineStr">
        <is>
          <t>Cuello roscado — Ø36,8 × 14 de alto, rosca M30x1,5, asiento Ø35</t>
        </is>
      </c>
      <c r="B21" s="2" t="inlineStr">
        <is>
          <t>u</t>
        </is>
      </c>
      <c r="C21" s="2" t="inlineStr">
        <is>
          <t>Semielaborado comprado</t>
        </is>
      </c>
      <c r="D21" s="2" t="inlineStr">
        <is>
          <t>Eli-Met</t>
        </is>
      </c>
      <c r="E21" s="2" t="inlineStr">
        <is>
          <t>MP_MATAFUEGOS_FABRICADOS, MP_CILINDROS</t>
        </is>
      </c>
      <c r="F21" s="21">
        <f>SUMIFS('MP_MATAFUEGOS_FABRICADOS'!F:F,'MP_MATAFUEGOS_FABRICADOS'!$A:$A,$A21,'MP_MATAFUEGOS_FABRICADOS'!$B:$B,$B21)+SUMIFS('MP_CILINDROS'!F:F,'MP_CILINDROS'!$A:$A,$A21,'MP_CILINDROS'!$B:$B,$B21)</f>
        <v/>
      </c>
      <c r="G21" s="21">
        <f>SUMIFS('MP_MATAFUEGOS_FABRICADOS'!G:G,'MP_MATAFUEGOS_FABRICADOS'!$A:$A,$A21,'MP_MATAFUEGOS_FABRICADOS'!$B:$B,$B21)+SUMIFS('MP_CILINDROS'!G:G,'MP_CILINDROS'!$A:$A,$A21,'MP_CILINDROS'!$B:$B,$B21)</f>
        <v/>
      </c>
      <c r="H21" s="21">
        <f>SUMIFS('MP_MATAFUEGOS_FABRICADOS'!H:H,'MP_MATAFUEGOS_FABRICADOS'!$A:$A,$A21,'MP_MATAFUEGOS_FABRICADOS'!$B:$B,$B21)+SUMIFS('MP_CILINDROS'!H:H,'MP_CILINDROS'!$A:$A,$A21,'MP_CILINDROS'!$B:$B,$B21)</f>
        <v/>
      </c>
      <c r="I21" s="21">
        <f>SUMIFS('MP_MATAFUEGOS_FABRICADOS'!I:I,'MP_MATAFUEGOS_FABRICADOS'!$A:$A,$A21,'MP_MATAFUEGOS_FABRICADOS'!$B:$B,$B21)+SUMIFS('MP_CILINDROS'!I:I,'MP_CILINDROS'!$A:$A,$A21,'MP_CILINDROS'!$B:$B,$B21)</f>
        <v/>
      </c>
      <c r="J21" s="21">
        <f>SUMIFS('MP_MATAFUEGOS_FABRICADOS'!J:J,'MP_MATAFUEGOS_FABRICADOS'!$A:$A,$A21,'MP_MATAFUEGOS_FABRICADOS'!$B:$B,$B21)+SUMIFS('MP_CILINDROS'!J:J,'MP_CILINDROS'!$A:$A,$A21,'MP_CILINDROS'!$B:$B,$B21)</f>
        <v/>
      </c>
      <c r="K21" s="21">
        <f>SUMIFS('MP_MATAFUEGOS_FABRICADOS'!K:K,'MP_MATAFUEGOS_FABRICADOS'!$A:$A,$A21,'MP_MATAFUEGOS_FABRICADOS'!$B:$B,$B21)+SUMIFS('MP_CILINDROS'!K:K,'MP_CILINDROS'!$A:$A,$A21,'MP_CILINDROS'!$B:$B,$B21)</f>
        <v/>
      </c>
      <c r="L21" s="21">
        <f>SUMIFS('MP_MATAFUEGOS_FABRICADOS'!L:L,'MP_MATAFUEGOS_FABRICADOS'!$A:$A,$A21,'MP_MATAFUEGOS_FABRICADOS'!$B:$B,$B21)+SUMIFS('MP_CILINDROS'!L:L,'MP_CILINDROS'!$A:$A,$A21,'MP_CILINDROS'!$B:$B,$B21)</f>
        <v/>
      </c>
      <c r="M21" s="21">
        <f>SUMIFS('MP_MATAFUEGOS_FABRICADOS'!M:M,'MP_MATAFUEGOS_FABRICADOS'!$A:$A,$A21,'MP_MATAFUEGOS_FABRICADOS'!$B:$B,$B21)+SUMIFS('MP_CILINDROS'!M:M,'MP_CILINDROS'!$A:$A,$A21,'MP_CILINDROS'!$B:$B,$B21)</f>
        <v/>
      </c>
      <c r="N21" s="21">
        <f>SUMIFS('MP_MATAFUEGOS_FABRICADOS'!N:N,'MP_MATAFUEGOS_FABRICADOS'!$A:$A,$A21,'MP_MATAFUEGOS_FABRICADOS'!$B:$B,$B21)+SUMIFS('MP_CILINDROS'!N:N,'MP_CILINDROS'!$A:$A,$A21,'MP_CILINDROS'!$B:$B,$B21)</f>
        <v/>
      </c>
      <c r="O21" s="21">
        <f>SUMIFS('MP_MATAFUEGOS_FABRICADOS'!O:O,'MP_MATAFUEGOS_FABRICADOS'!$A:$A,$A21,'MP_MATAFUEGOS_FABRICADOS'!$B:$B,$B21)+SUMIFS('MP_CILINDROS'!O:O,'MP_CILINDROS'!$A:$A,$A21,'MP_CILINDROS'!$B:$B,$B21)</f>
        <v/>
      </c>
    </row>
    <row r="22">
      <c r="A22" s="2" t="inlineStr">
        <is>
          <t>Cuello roscado — Ø37 × 14 de alto, rosca M30x1,5, asiento Ø35</t>
        </is>
      </c>
      <c r="B22" s="2" t="inlineStr">
        <is>
          <t>u</t>
        </is>
      </c>
      <c r="C22" s="2" t="inlineStr">
        <is>
          <t>Semielaborado comprado</t>
        </is>
      </c>
      <c r="D22" s="2" t="inlineStr">
        <is>
          <t>Eli-Met</t>
        </is>
      </c>
      <c r="E22" s="2" t="inlineStr">
        <is>
          <t>MP_MATAFUEGOS_FABRICADOS, MP_CILINDROS</t>
        </is>
      </c>
      <c r="F22" s="21">
        <f>SUMIFS('MP_MATAFUEGOS_FABRICADOS'!F:F,'MP_MATAFUEGOS_FABRICADOS'!$A:$A,$A22,'MP_MATAFUEGOS_FABRICADOS'!$B:$B,$B22)+SUMIFS('MP_CILINDROS'!F:F,'MP_CILINDROS'!$A:$A,$A22,'MP_CILINDROS'!$B:$B,$B22)</f>
        <v/>
      </c>
      <c r="G22" s="21">
        <f>SUMIFS('MP_MATAFUEGOS_FABRICADOS'!G:G,'MP_MATAFUEGOS_FABRICADOS'!$A:$A,$A22,'MP_MATAFUEGOS_FABRICADOS'!$B:$B,$B22)+SUMIFS('MP_CILINDROS'!G:G,'MP_CILINDROS'!$A:$A,$A22,'MP_CILINDROS'!$B:$B,$B22)</f>
        <v/>
      </c>
      <c r="H22" s="21">
        <f>SUMIFS('MP_MATAFUEGOS_FABRICADOS'!H:H,'MP_MATAFUEGOS_FABRICADOS'!$A:$A,$A22,'MP_MATAFUEGOS_FABRICADOS'!$B:$B,$B22)+SUMIFS('MP_CILINDROS'!H:H,'MP_CILINDROS'!$A:$A,$A22,'MP_CILINDROS'!$B:$B,$B22)</f>
        <v/>
      </c>
      <c r="I22" s="21">
        <f>SUMIFS('MP_MATAFUEGOS_FABRICADOS'!I:I,'MP_MATAFUEGOS_FABRICADOS'!$A:$A,$A22,'MP_MATAFUEGOS_FABRICADOS'!$B:$B,$B22)+SUMIFS('MP_CILINDROS'!I:I,'MP_CILINDROS'!$A:$A,$A22,'MP_CILINDROS'!$B:$B,$B22)</f>
        <v/>
      </c>
      <c r="J22" s="21">
        <f>SUMIFS('MP_MATAFUEGOS_FABRICADOS'!J:J,'MP_MATAFUEGOS_FABRICADOS'!$A:$A,$A22,'MP_MATAFUEGOS_FABRICADOS'!$B:$B,$B22)+SUMIFS('MP_CILINDROS'!J:J,'MP_CILINDROS'!$A:$A,$A22,'MP_CILINDROS'!$B:$B,$B22)</f>
        <v/>
      </c>
      <c r="K22" s="21">
        <f>SUMIFS('MP_MATAFUEGOS_FABRICADOS'!K:K,'MP_MATAFUEGOS_FABRICADOS'!$A:$A,$A22,'MP_MATAFUEGOS_FABRICADOS'!$B:$B,$B22)+SUMIFS('MP_CILINDROS'!K:K,'MP_CILINDROS'!$A:$A,$A22,'MP_CILINDROS'!$B:$B,$B22)</f>
        <v/>
      </c>
      <c r="L22" s="21">
        <f>SUMIFS('MP_MATAFUEGOS_FABRICADOS'!L:L,'MP_MATAFUEGOS_FABRICADOS'!$A:$A,$A22,'MP_MATAFUEGOS_FABRICADOS'!$B:$B,$B22)+SUMIFS('MP_CILINDROS'!L:L,'MP_CILINDROS'!$A:$A,$A22,'MP_CILINDROS'!$B:$B,$B22)</f>
        <v/>
      </c>
      <c r="M22" s="21">
        <f>SUMIFS('MP_MATAFUEGOS_FABRICADOS'!M:M,'MP_MATAFUEGOS_FABRICADOS'!$A:$A,$A22,'MP_MATAFUEGOS_FABRICADOS'!$B:$B,$B22)+SUMIFS('MP_CILINDROS'!M:M,'MP_CILINDROS'!$A:$A,$A22,'MP_CILINDROS'!$B:$B,$B22)</f>
        <v/>
      </c>
      <c r="N22" s="21">
        <f>SUMIFS('MP_MATAFUEGOS_FABRICADOS'!N:N,'MP_MATAFUEGOS_FABRICADOS'!$A:$A,$A22,'MP_MATAFUEGOS_FABRICADOS'!$B:$B,$B22)+SUMIFS('MP_CILINDROS'!N:N,'MP_CILINDROS'!$A:$A,$A22,'MP_CILINDROS'!$B:$B,$B22)</f>
        <v/>
      </c>
      <c r="O22" s="21">
        <f>SUMIFS('MP_MATAFUEGOS_FABRICADOS'!O:O,'MP_MATAFUEGOS_FABRICADOS'!$A:$A,$A22,'MP_MATAFUEGOS_FABRICADOS'!$B:$B,$B22)+SUMIFS('MP_CILINDROS'!O:O,'MP_CILINDROS'!$A:$A,$A22,'MP_CILINDROS'!$B:$B,$B22)</f>
        <v/>
      </c>
    </row>
    <row r="23">
      <c r="A23" s="2" t="inlineStr">
        <is>
          <t>Cuello roscado — Ø37 × 15 de alto, rosca M30x1,5, asiento Ø35</t>
        </is>
      </c>
      <c r="B23" s="2" t="inlineStr">
        <is>
          <t>u</t>
        </is>
      </c>
      <c r="C23" s="2" t="inlineStr">
        <is>
          <t>Semielaborado comprado</t>
        </is>
      </c>
      <c r="D23" s="2" t="inlineStr">
        <is>
          <t>Eli-Met</t>
        </is>
      </c>
      <c r="E23" s="2" t="inlineStr">
        <is>
          <t>MP_MATAFUEGOS_FABRICADOS, MP_CILINDROS</t>
        </is>
      </c>
      <c r="F23" s="21">
        <f>SUMIFS('MP_MATAFUEGOS_FABRICADOS'!F:F,'MP_MATAFUEGOS_FABRICADOS'!$A:$A,$A23,'MP_MATAFUEGOS_FABRICADOS'!$B:$B,$B23)+SUMIFS('MP_CILINDROS'!F:F,'MP_CILINDROS'!$A:$A,$A23,'MP_CILINDROS'!$B:$B,$B23)</f>
        <v/>
      </c>
      <c r="G23" s="21">
        <f>SUMIFS('MP_MATAFUEGOS_FABRICADOS'!G:G,'MP_MATAFUEGOS_FABRICADOS'!$A:$A,$A23,'MP_MATAFUEGOS_FABRICADOS'!$B:$B,$B23)+SUMIFS('MP_CILINDROS'!G:G,'MP_CILINDROS'!$A:$A,$A23,'MP_CILINDROS'!$B:$B,$B23)</f>
        <v/>
      </c>
      <c r="H23" s="21">
        <f>SUMIFS('MP_MATAFUEGOS_FABRICADOS'!H:H,'MP_MATAFUEGOS_FABRICADOS'!$A:$A,$A23,'MP_MATAFUEGOS_FABRICADOS'!$B:$B,$B23)+SUMIFS('MP_CILINDROS'!H:H,'MP_CILINDROS'!$A:$A,$A23,'MP_CILINDROS'!$B:$B,$B23)</f>
        <v/>
      </c>
      <c r="I23" s="21">
        <f>SUMIFS('MP_MATAFUEGOS_FABRICADOS'!I:I,'MP_MATAFUEGOS_FABRICADOS'!$A:$A,$A23,'MP_MATAFUEGOS_FABRICADOS'!$B:$B,$B23)+SUMIFS('MP_CILINDROS'!I:I,'MP_CILINDROS'!$A:$A,$A23,'MP_CILINDROS'!$B:$B,$B23)</f>
        <v/>
      </c>
      <c r="J23" s="21">
        <f>SUMIFS('MP_MATAFUEGOS_FABRICADOS'!J:J,'MP_MATAFUEGOS_FABRICADOS'!$A:$A,$A23,'MP_MATAFUEGOS_FABRICADOS'!$B:$B,$B23)+SUMIFS('MP_CILINDROS'!J:J,'MP_CILINDROS'!$A:$A,$A23,'MP_CILINDROS'!$B:$B,$B23)</f>
        <v/>
      </c>
      <c r="K23" s="21">
        <f>SUMIFS('MP_MATAFUEGOS_FABRICADOS'!K:K,'MP_MATAFUEGOS_FABRICADOS'!$A:$A,$A23,'MP_MATAFUEGOS_FABRICADOS'!$B:$B,$B23)+SUMIFS('MP_CILINDROS'!K:K,'MP_CILINDROS'!$A:$A,$A23,'MP_CILINDROS'!$B:$B,$B23)</f>
        <v/>
      </c>
      <c r="L23" s="21">
        <f>SUMIFS('MP_MATAFUEGOS_FABRICADOS'!L:L,'MP_MATAFUEGOS_FABRICADOS'!$A:$A,$A23,'MP_MATAFUEGOS_FABRICADOS'!$B:$B,$B23)+SUMIFS('MP_CILINDROS'!L:L,'MP_CILINDROS'!$A:$A,$A23,'MP_CILINDROS'!$B:$B,$B23)</f>
        <v/>
      </c>
      <c r="M23" s="21">
        <f>SUMIFS('MP_MATAFUEGOS_FABRICADOS'!M:M,'MP_MATAFUEGOS_FABRICADOS'!$A:$A,$A23,'MP_MATAFUEGOS_FABRICADOS'!$B:$B,$B23)+SUMIFS('MP_CILINDROS'!M:M,'MP_CILINDROS'!$A:$A,$A23,'MP_CILINDROS'!$B:$B,$B23)</f>
        <v/>
      </c>
      <c r="N23" s="21">
        <f>SUMIFS('MP_MATAFUEGOS_FABRICADOS'!N:N,'MP_MATAFUEGOS_FABRICADOS'!$A:$A,$A23,'MP_MATAFUEGOS_FABRICADOS'!$B:$B,$B23)+SUMIFS('MP_CILINDROS'!N:N,'MP_CILINDROS'!$A:$A,$A23,'MP_CILINDROS'!$B:$B,$B23)</f>
        <v/>
      </c>
      <c r="O23" s="21">
        <f>SUMIFS('MP_MATAFUEGOS_FABRICADOS'!O:O,'MP_MATAFUEGOS_FABRICADOS'!$A:$A,$A23,'MP_MATAFUEGOS_FABRICADOS'!$B:$B,$B23)+SUMIFS('MP_CILINDROS'!O:O,'MP_CILINDROS'!$A:$A,$A23,'MP_CILINDROS'!$B:$B,$B23)</f>
        <v/>
      </c>
    </row>
    <row r="24">
      <c r="A24" s="2" t="inlineStr">
        <is>
          <t>Cuello roscado — Ø37 × 35 de alto, rosca M30x1,5, asiento Ø35</t>
        </is>
      </c>
      <c r="B24" s="2" t="inlineStr">
        <is>
          <t>u</t>
        </is>
      </c>
      <c r="C24" s="2" t="inlineStr">
        <is>
          <t>Semielaborado comprado</t>
        </is>
      </c>
      <c r="D24" s="2" t="inlineStr">
        <is>
          <t>Eli-Met</t>
        </is>
      </c>
      <c r="E24" s="2" t="inlineStr">
        <is>
          <t>MP_MATAFUEGOS_FABRICADOS, MP_CILINDROS</t>
        </is>
      </c>
      <c r="F24" s="21">
        <f>SUMIFS('MP_MATAFUEGOS_FABRICADOS'!F:F,'MP_MATAFUEGOS_FABRICADOS'!$A:$A,$A24,'MP_MATAFUEGOS_FABRICADOS'!$B:$B,$B24)+SUMIFS('MP_CILINDROS'!F:F,'MP_CILINDROS'!$A:$A,$A24,'MP_CILINDROS'!$B:$B,$B24)</f>
        <v/>
      </c>
      <c r="G24" s="21">
        <f>SUMIFS('MP_MATAFUEGOS_FABRICADOS'!G:G,'MP_MATAFUEGOS_FABRICADOS'!$A:$A,$A24,'MP_MATAFUEGOS_FABRICADOS'!$B:$B,$B24)+SUMIFS('MP_CILINDROS'!G:G,'MP_CILINDROS'!$A:$A,$A24,'MP_CILINDROS'!$B:$B,$B24)</f>
        <v/>
      </c>
      <c r="H24" s="21">
        <f>SUMIFS('MP_MATAFUEGOS_FABRICADOS'!H:H,'MP_MATAFUEGOS_FABRICADOS'!$A:$A,$A24,'MP_MATAFUEGOS_FABRICADOS'!$B:$B,$B24)+SUMIFS('MP_CILINDROS'!H:H,'MP_CILINDROS'!$A:$A,$A24,'MP_CILINDROS'!$B:$B,$B24)</f>
        <v/>
      </c>
      <c r="I24" s="21">
        <f>SUMIFS('MP_MATAFUEGOS_FABRICADOS'!I:I,'MP_MATAFUEGOS_FABRICADOS'!$A:$A,$A24,'MP_MATAFUEGOS_FABRICADOS'!$B:$B,$B24)+SUMIFS('MP_CILINDROS'!I:I,'MP_CILINDROS'!$A:$A,$A24,'MP_CILINDROS'!$B:$B,$B24)</f>
        <v/>
      </c>
      <c r="J24" s="21">
        <f>SUMIFS('MP_MATAFUEGOS_FABRICADOS'!J:J,'MP_MATAFUEGOS_FABRICADOS'!$A:$A,$A24,'MP_MATAFUEGOS_FABRICADOS'!$B:$B,$B24)+SUMIFS('MP_CILINDROS'!J:J,'MP_CILINDROS'!$A:$A,$A24,'MP_CILINDROS'!$B:$B,$B24)</f>
        <v/>
      </c>
      <c r="K24" s="21">
        <f>SUMIFS('MP_MATAFUEGOS_FABRICADOS'!K:K,'MP_MATAFUEGOS_FABRICADOS'!$A:$A,$A24,'MP_MATAFUEGOS_FABRICADOS'!$B:$B,$B24)+SUMIFS('MP_CILINDROS'!K:K,'MP_CILINDROS'!$A:$A,$A24,'MP_CILINDROS'!$B:$B,$B24)</f>
        <v/>
      </c>
      <c r="L24" s="21">
        <f>SUMIFS('MP_MATAFUEGOS_FABRICADOS'!L:L,'MP_MATAFUEGOS_FABRICADOS'!$A:$A,$A24,'MP_MATAFUEGOS_FABRICADOS'!$B:$B,$B24)+SUMIFS('MP_CILINDROS'!L:L,'MP_CILINDROS'!$A:$A,$A24,'MP_CILINDROS'!$B:$B,$B24)</f>
        <v/>
      </c>
      <c r="M24" s="21">
        <f>SUMIFS('MP_MATAFUEGOS_FABRICADOS'!M:M,'MP_MATAFUEGOS_FABRICADOS'!$A:$A,$A24,'MP_MATAFUEGOS_FABRICADOS'!$B:$B,$B24)+SUMIFS('MP_CILINDROS'!M:M,'MP_CILINDROS'!$A:$A,$A24,'MP_CILINDROS'!$B:$B,$B24)</f>
        <v/>
      </c>
      <c r="N24" s="21">
        <f>SUMIFS('MP_MATAFUEGOS_FABRICADOS'!N:N,'MP_MATAFUEGOS_FABRICADOS'!$A:$A,$A24,'MP_MATAFUEGOS_FABRICADOS'!$B:$B,$B24)+SUMIFS('MP_CILINDROS'!N:N,'MP_CILINDROS'!$A:$A,$A24,'MP_CILINDROS'!$B:$B,$B24)</f>
        <v/>
      </c>
      <c r="O24" s="21">
        <f>SUMIFS('MP_MATAFUEGOS_FABRICADOS'!O:O,'MP_MATAFUEGOS_FABRICADOS'!$A:$A,$A24,'MP_MATAFUEGOS_FABRICADOS'!$B:$B,$B24)+SUMIFS('MP_CILINDROS'!O:O,'MP_CILINDROS'!$A:$A,$A24,'MP_CILINDROS'!$B:$B,$B24)</f>
        <v/>
      </c>
    </row>
    <row r="25">
      <c r="A25" s="2" t="inlineStr">
        <is>
          <t>Cuello roscado — Ø88 × 37 de alto, rosca RBSP 2 1/2"-11 h, asiento Ø80</t>
        </is>
      </c>
      <c r="B25" s="2" t="inlineStr">
        <is>
          <t>u</t>
        </is>
      </c>
      <c r="C25" s="2" t="inlineStr">
        <is>
          <t>Semielaborado comprado</t>
        </is>
      </c>
      <c r="D25" s="2" t="inlineStr">
        <is>
          <t>Eli-Met</t>
        </is>
      </c>
      <c r="E25" s="2" t="inlineStr">
        <is>
          <t>MP_MATAFUEGOS_FABRICADOS, MP_CILINDROS</t>
        </is>
      </c>
      <c r="F25" s="21">
        <f>SUMIFS('MP_MATAFUEGOS_FABRICADOS'!F:F,'MP_MATAFUEGOS_FABRICADOS'!$A:$A,$A25,'MP_MATAFUEGOS_FABRICADOS'!$B:$B,$B25)+SUMIFS('MP_CILINDROS'!F:F,'MP_CILINDROS'!$A:$A,$A25,'MP_CILINDROS'!$B:$B,$B25)</f>
        <v/>
      </c>
      <c r="G25" s="21">
        <f>SUMIFS('MP_MATAFUEGOS_FABRICADOS'!G:G,'MP_MATAFUEGOS_FABRICADOS'!$A:$A,$A25,'MP_MATAFUEGOS_FABRICADOS'!$B:$B,$B25)+SUMIFS('MP_CILINDROS'!G:G,'MP_CILINDROS'!$A:$A,$A25,'MP_CILINDROS'!$B:$B,$B25)</f>
        <v/>
      </c>
      <c r="H25" s="21">
        <f>SUMIFS('MP_MATAFUEGOS_FABRICADOS'!H:H,'MP_MATAFUEGOS_FABRICADOS'!$A:$A,$A25,'MP_MATAFUEGOS_FABRICADOS'!$B:$B,$B25)+SUMIFS('MP_CILINDROS'!H:H,'MP_CILINDROS'!$A:$A,$A25,'MP_CILINDROS'!$B:$B,$B25)</f>
        <v/>
      </c>
      <c r="I25" s="21">
        <f>SUMIFS('MP_MATAFUEGOS_FABRICADOS'!I:I,'MP_MATAFUEGOS_FABRICADOS'!$A:$A,$A25,'MP_MATAFUEGOS_FABRICADOS'!$B:$B,$B25)+SUMIFS('MP_CILINDROS'!I:I,'MP_CILINDROS'!$A:$A,$A25,'MP_CILINDROS'!$B:$B,$B25)</f>
        <v/>
      </c>
      <c r="J25" s="21">
        <f>SUMIFS('MP_MATAFUEGOS_FABRICADOS'!J:J,'MP_MATAFUEGOS_FABRICADOS'!$A:$A,$A25,'MP_MATAFUEGOS_FABRICADOS'!$B:$B,$B25)+SUMIFS('MP_CILINDROS'!J:J,'MP_CILINDROS'!$A:$A,$A25,'MP_CILINDROS'!$B:$B,$B25)</f>
        <v/>
      </c>
      <c r="K25" s="21">
        <f>SUMIFS('MP_MATAFUEGOS_FABRICADOS'!K:K,'MP_MATAFUEGOS_FABRICADOS'!$A:$A,$A25,'MP_MATAFUEGOS_FABRICADOS'!$B:$B,$B25)+SUMIFS('MP_CILINDROS'!K:K,'MP_CILINDROS'!$A:$A,$A25,'MP_CILINDROS'!$B:$B,$B25)</f>
        <v/>
      </c>
      <c r="L25" s="21">
        <f>SUMIFS('MP_MATAFUEGOS_FABRICADOS'!L:L,'MP_MATAFUEGOS_FABRICADOS'!$A:$A,$A25,'MP_MATAFUEGOS_FABRICADOS'!$B:$B,$B25)+SUMIFS('MP_CILINDROS'!L:L,'MP_CILINDROS'!$A:$A,$A25,'MP_CILINDROS'!$B:$B,$B25)</f>
        <v/>
      </c>
      <c r="M25" s="21">
        <f>SUMIFS('MP_MATAFUEGOS_FABRICADOS'!M:M,'MP_MATAFUEGOS_FABRICADOS'!$A:$A,$A25,'MP_MATAFUEGOS_FABRICADOS'!$B:$B,$B25)+SUMIFS('MP_CILINDROS'!M:M,'MP_CILINDROS'!$A:$A,$A25,'MP_CILINDROS'!$B:$B,$B25)</f>
        <v/>
      </c>
      <c r="N25" s="21">
        <f>SUMIFS('MP_MATAFUEGOS_FABRICADOS'!N:N,'MP_MATAFUEGOS_FABRICADOS'!$A:$A,$A25,'MP_MATAFUEGOS_FABRICADOS'!$B:$B,$B25)+SUMIFS('MP_CILINDROS'!N:N,'MP_CILINDROS'!$A:$A,$A25,'MP_CILINDROS'!$B:$B,$B25)</f>
        <v/>
      </c>
      <c r="O25" s="21">
        <f>SUMIFS('MP_MATAFUEGOS_FABRICADOS'!O:O,'MP_MATAFUEGOS_FABRICADOS'!$A:$A,$A25,'MP_MATAFUEGOS_FABRICADOS'!$B:$B,$B25)+SUMIFS('MP_CILINDROS'!O:O,'MP_CILINDROS'!$A:$A,$A25,'MP_CILINDROS'!$B:$B,$B25)</f>
        <v/>
      </c>
    </row>
    <row r="26">
      <c r="A26" s="2" t="inlineStr">
        <is>
          <t>Cúpula — Ø276,5 × e3,2 × 94,4 de alto; disco Ø358,3</t>
        </is>
      </c>
      <c r="B26" s="2" t="inlineStr">
        <is>
          <t>u</t>
        </is>
      </c>
      <c r="C26" s="2" t="inlineStr">
        <is>
          <t>Semielaborado comprado</t>
        </is>
      </c>
      <c r="D26" s="2" t="inlineStr">
        <is>
          <t>Gockel Ingeniería S.R.L.</t>
        </is>
      </c>
      <c r="E26" s="2" t="inlineStr">
        <is>
          <t>MP_MATAFUEGOS_FABRICADOS, MP_CILINDROS</t>
        </is>
      </c>
      <c r="F26" s="21">
        <f>SUMIFS('MP_MATAFUEGOS_FABRICADOS'!F:F,'MP_MATAFUEGOS_FABRICADOS'!$A:$A,$A26,'MP_MATAFUEGOS_FABRICADOS'!$B:$B,$B26)+SUMIFS('MP_CILINDROS'!F:F,'MP_CILINDROS'!$A:$A,$A26,'MP_CILINDROS'!$B:$B,$B26)</f>
        <v/>
      </c>
      <c r="G26" s="21">
        <f>SUMIFS('MP_MATAFUEGOS_FABRICADOS'!G:G,'MP_MATAFUEGOS_FABRICADOS'!$A:$A,$A26,'MP_MATAFUEGOS_FABRICADOS'!$B:$B,$B26)+SUMIFS('MP_CILINDROS'!G:G,'MP_CILINDROS'!$A:$A,$A26,'MP_CILINDROS'!$B:$B,$B26)</f>
        <v/>
      </c>
      <c r="H26" s="21">
        <f>SUMIFS('MP_MATAFUEGOS_FABRICADOS'!H:H,'MP_MATAFUEGOS_FABRICADOS'!$A:$A,$A26,'MP_MATAFUEGOS_FABRICADOS'!$B:$B,$B26)+SUMIFS('MP_CILINDROS'!H:H,'MP_CILINDROS'!$A:$A,$A26,'MP_CILINDROS'!$B:$B,$B26)</f>
        <v/>
      </c>
      <c r="I26" s="21">
        <f>SUMIFS('MP_MATAFUEGOS_FABRICADOS'!I:I,'MP_MATAFUEGOS_FABRICADOS'!$A:$A,$A26,'MP_MATAFUEGOS_FABRICADOS'!$B:$B,$B26)+SUMIFS('MP_CILINDROS'!I:I,'MP_CILINDROS'!$A:$A,$A26,'MP_CILINDROS'!$B:$B,$B26)</f>
        <v/>
      </c>
      <c r="J26" s="21">
        <f>SUMIFS('MP_MATAFUEGOS_FABRICADOS'!J:J,'MP_MATAFUEGOS_FABRICADOS'!$A:$A,$A26,'MP_MATAFUEGOS_FABRICADOS'!$B:$B,$B26)+SUMIFS('MP_CILINDROS'!J:J,'MP_CILINDROS'!$A:$A,$A26,'MP_CILINDROS'!$B:$B,$B26)</f>
        <v/>
      </c>
      <c r="K26" s="21">
        <f>SUMIFS('MP_MATAFUEGOS_FABRICADOS'!K:K,'MP_MATAFUEGOS_FABRICADOS'!$A:$A,$A26,'MP_MATAFUEGOS_FABRICADOS'!$B:$B,$B26)+SUMIFS('MP_CILINDROS'!K:K,'MP_CILINDROS'!$A:$A,$A26,'MP_CILINDROS'!$B:$B,$B26)</f>
        <v/>
      </c>
      <c r="L26" s="21">
        <f>SUMIFS('MP_MATAFUEGOS_FABRICADOS'!L:L,'MP_MATAFUEGOS_FABRICADOS'!$A:$A,$A26,'MP_MATAFUEGOS_FABRICADOS'!$B:$B,$B26)+SUMIFS('MP_CILINDROS'!L:L,'MP_CILINDROS'!$A:$A,$A26,'MP_CILINDROS'!$B:$B,$B26)</f>
        <v/>
      </c>
      <c r="M26" s="21">
        <f>SUMIFS('MP_MATAFUEGOS_FABRICADOS'!M:M,'MP_MATAFUEGOS_FABRICADOS'!$A:$A,$A26,'MP_MATAFUEGOS_FABRICADOS'!$B:$B,$B26)+SUMIFS('MP_CILINDROS'!M:M,'MP_CILINDROS'!$A:$A,$A26,'MP_CILINDROS'!$B:$B,$B26)</f>
        <v/>
      </c>
      <c r="N26" s="21">
        <f>SUMIFS('MP_MATAFUEGOS_FABRICADOS'!N:N,'MP_MATAFUEGOS_FABRICADOS'!$A:$A,$A26,'MP_MATAFUEGOS_FABRICADOS'!$B:$B,$B26)+SUMIFS('MP_CILINDROS'!N:N,'MP_CILINDROS'!$A:$A,$A26,'MP_CILINDROS'!$B:$B,$B26)</f>
        <v/>
      </c>
      <c r="O26" s="21">
        <f>SUMIFS('MP_MATAFUEGOS_FABRICADOS'!O:O,'MP_MATAFUEGOS_FABRICADOS'!$A:$A,$A26,'MP_MATAFUEGOS_FABRICADOS'!$B:$B,$B26)+SUMIFS('MP_CILINDROS'!O:O,'MP_CILINDROS'!$A:$A,$A26,'MP_CILINDROS'!$B:$B,$B26)</f>
        <v/>
      </c>
    </row>
    <row r="27">
      <c r="A27" s="2" t="inlineStr">
        <is>
          <t>Cúpula — Ø320 × e3,2 × 109,9 de alto; disco Ø410,8</t>
        </is>
      </c>
      <c r="B27" s="2" t="inlineStr">
        <is>
          <t>u</t>
        </is>
      </c>
      <c r="C27" s="2" t="inlineStr">
        <is>
          <t>Semielaborado comprado</t>
        </is>
      </c>
      <c r="D27" s="2" t="inlineStr">
        <is>
          <t>Gockel Ingeniería S.R.L.</t>
        </is>
      </c>
      <c r="E27" s="2" t="inlineStr">
        <is>
          <t>MP_MATAFUEGOS_FABRICADOS, MP_CILINDROS</t>
        </is>
      </c>
      <c r="F27" s="21">
        <f>SUMIFS('MP_MATAFUEGOS_FABRICADOS'!F:F,'MP_MATAFUEGOS_FABRICADOS'!$A:$A,$A27,'MP_MATAFUEGOS_FABRICADOS'!$B:$B,$B27)+SUMIFS('MP_CILINDROS'!F:F,'MP_CILINDROS'!$A:$A,$A27,'MP_CILINDROS'!$B:$B,$B27)</f>
        <v/>
      </c>
      <c r="G27" s="21">
        <f>SUMIFS('MP_MATAFUEGOS_FABRICADOS'!G:G,'MP_MATAFUEGOS_FABRICADOS'!$A:$A,$A27,'MP_MATAFUEGOS_FABRICADOS'!$B:$B,$B27)+SUMIFS('MP_CILINDROS'!G:G,'MP_CILINDROS'!$A:$A,$A27,'MP_CILINDROS'!$B:$B,$B27)</f>
        <v/>
      </c>
      <c r="H27" s="21">
        <f>SUMIFS('MP_MATAFUEGOS_FABRICADOS'!H:H,'MP_MATAFUEGOS_FABRICADOS'!$A:$A,$A27,'MP_MATAFUEGOS_FABRICADOS'!$B:$B,$B27)+SUMIFS('MP_CILINDROS'!H:H,'MP_CILINDROS'!$A:$A,$A27,'MP_CILINDROS'!$B:$B,$B27)</f>
        <v/>
      </c>
      <c r="I27" s="21">
        <f>SUMIFS('MP_MATAFUEGOS_FABRICADOS'!I:I,'MP_MATAFUEGOS_FABRICADOS'!$A:$A,$A27,'MP_MATAFUEGOS_FABRICADOS'!$B:$B,$B27)+SUMIFS('MP_CILINDROS'!I:I,'MP_CILINDROS'!$A:$A,$A27,'MP_CILINDROS'!$B:$B,$B27)</f>
        <v/>
      </c>
      <c r="J27" s="21">
        <f>SUMIFS('MP_MATAFUEGOS_FABRICADOS'!J:J,'MP_MATAFUEGOS_FABRICADOS'!$A:$A,$A27,'MP_MATAFUEGOS_FABRICADOS'!$B:$B,$B27)+SUMIFS('MP_CILINDROS'!J:J,'MP_CILINDROS'!$A:$A,$A27,'MP_CILINDROS'!$B:$B,$B27)</f>
        <v/>
      </c>
      <c r="K27" s="21">
        <f>SUMIFS('MP_MATAFUEGOS_FABRICADOS'!K:K,'MP_MATAFUEGOS_FABRICADOS'!$A:$A,$A27,'MP_MATAFUEGOS_FABRICADOS'!$B:$B,$B27)+SUMIFS('MP_CILINDROS'!K:K,'MP_CILINDROS'!$A:$A,$A27,'MP_CILINDROS'!$B:$B,$B27)</f>
        <v/>
      </c>
      <c r="L27" s="21">
        <f>SUMIFS('MP_MATAFUEGOS_FABRICADOS'!L:L,'MP_MATAFUEGOS_FABRICADOS'!$A:$A,$A27,'MP_MATAFUEGOS_FABRICADOS'!$B:$B,$B27)+SUMIFS('MP_CILINDROS'!L:L,'MP_CILINDROS'!$A:$A,$A27,'MP_CILINDROS'!$B:$B,$B27)</f>
        <v/>
      </c>
      <c r="M27" s="21">
        <f>SUMIFS('MP_MATAFUEGOS_FABRICADOS'!M:M,'MP_MATAFUEGOS_FABRICADOS'!$A:$A,$A27,'MP_MATAFUEGOS_FABRICADOS'!$B:$B,$B27)+SUMIFS('MP_CILINDROS'!M:M,'MP_CILINDROS'!$A:$A,$A27,'MP_CILINDROS'!$B:$B,$B27)</f>
        <v/>
      </c>
      <c r="N27" s="21">
        <f>SUMIFS('MP_MATAFUEGOS_FABRICADOS'!N:N,'MP_MATAFUEGOS_FABRICADOS'!$A:$A,$A27,'MP_MATAFUEGOS_FABRICADOS'!$B:$B,$B27)+SUMIFS('MP_CILINDROS'!N:N,'MP_CILINDROS'!$A:$A,$A27,'MP_CILINDROS'!$B:$B,$B27)</f>
        <v/>
      </c>
      <c r="O27" s="21">
        <f>SUMIFS('MP_MATAFUEGOS_FABRICADOS'!O:O,'MP_MATAFUEGOS_FABRICADOS'!$A:$A,$A27,'MP_MATAFUEGOS_FABRICADOS'!$B:$B,$B27)+SUMIFS('MP_CILINDROS'!O:O,'MP_CILINDROS'!$A:$A,$A27,'MP_CILINDROS'!$B:$B,$B27)</f>
        <v/>
      </c>
    </row>
    <row r="28">
      <c r="A28" s="2" t="inlineStr">
        <is>
          <t>Cúpula — Ø390 × e4,75 × 137,3 de alto; disco Ø507,3</t>
        </is>
      </c>
      <c r="B28" s="2" t="inlineStr">
        <is>
          <t>u</t>
        </is>
      </c>
      <c r="C28" s="2" t="inlineStr">
        <is>
          <t>Semielaborado comprado</t>
        </is>
      </c>
      <c r="D28" s="2" t="inlineStr">
        <is>
          <t>Gockel Ingeniería S.R.L.</t>
        </is>
      </c>
      <c r="E28" s="2" t="inlineStr">
        <is>
          <t>MP_MATAFUEGOS_FABRICADOS, MP_CILINDROS</t>
        </is>
      </c>
      <c r="F28" s="21">
        <f>SUMIFS('MP_MATAFUEGOS_FABRICADOS'!F:F,'MP_MATAFUEGOS_FABRICADOS'!$A:$A,$A28,'MP_MATAFUEGOS_FABRICADOS'!$B:$B,$B28)+SUMIFS('MP_CILINDROS'!F:F,'MP_CILINDROS'!$A:$A,$A28,'MP_CILINDROS'!$B:$B,$B28)</f>
        <v/>
      </c>
      <c r="G28" s="21">
        <f>SUMIFS('MP_MATAFUEGOS_FABRICADOS'!G:G,'MP_MATAFUEGOS_FABRICADOS'!$A:$A,$A28,'MP_MATAFUEGOS_FABRICADOS'!$B:$B,$B28)+SUMIFS('MP_CILINDROS'!G:G,'MP_CILINDROS'!$A:$A,$A28,'MP_CILINDROS'!$B:$B,$B28)</f>
        <v/>
      </c>
      <c r="H28" s="21">
        <f>SUMIFS('MP_MATAFUEGOS_FABRICADOS'!H:H,'MP_MATAFUEGOS_FABRICADOS'!$A:$A,$A28,'MP_MATAFUEGOS_FABRICADOS'!$B:$B,$B28)+SUMIFS('MP_CILINDROS'!H:H,'MP_CILINDROS'!$A:$A,$A28,'MP_CILINDROS'!$B:$B,$B28)</f>
        <v/>
      </c>
      <c r="I28" s="21">
        <f>SUMIFS('MP_MATAFUEGOS_FABRICADOS'!I:I,'MP_MATAFUEGOS_FABRICADOS'!$A:$A,$A28,'MP_MATAFUEGOS_FABRICADOS'!$B:$B,$B28)+SUMIFS('MP_CILINDROS'!I:I,'MP_CILINDROS'!$A:$A,$A28,'MP_CILINDROS'!$B:$B,$B28)</f>
        <v/>
      </c>
      <c r="J28" s="21">
        <f>SUMIFS('MP_MATAFUEGOS_FABRICADOS'!J:J,'MP_MATAFUEGOS_FABRICADOS'!$A:$A,$A28,'MP_MATAFUEGOS_FABRICADOS'!$B:$B,$B28)+SUMIFS('MP_CILINDROS'!J:J,'MP_CILINDROS'!$A:$A,$A28,'MP_CILINDROS'!$B:$B,$B28)</f>
        <v/>
      </c>
      <c r="K28" s="21">
        <f>SUMIFS('MP_MATAFUEGOS_FABRICADOS'!K:K,'MP_MATAFUEGOS_FABRICADOS'!$A:$A,$A28,'MP_MATAFUEGOS_FABRICADOS'!$B:$B,$B28)+SUMIFS('MP_CILINDROS'!K:K,'MP_CILINDROS'!$A:$A,$A28,'MP_CILINDROS'!$B:$B,$B28)</f>
        <v/>
      </c>
      <c r="L28" s="21">
        <f>SUMIFS('MP_MATAFUEGOS_FABRICADOS'!L:L,'MP_MATAFUEGOS_FABRICADOS'!$A:$A,$A28,'MP_MATAFUEGOS_FABRICADOS'!$B:$B,$B28)+SUMIFS('MP_CILINDROS'!L:L,'MP_CILINDROS'!$A:$A,$A28,'MP_CILINDROS'!$B:$B,$B28)</f>
        <v/>
      </c>
      <c r="M28" s="21">
        <f>SUMIFS('MP_MATAFUEGOS_FABRICADOS'!M:M,'MP_MATAFUEGOS_FABRICADOS'!$A:$A,$A28,'MP_MATAFUEGOS_FABRICADOS'!$B:$B,$B28)+SUMIFS('MP_CILINDROS'!M:M,'MP_CILINDROS'!$A:$A,$A28,'MP_CILINDROS'!$B:$B,$B28)</f>
        <v/>
      </c>
      <c r="N28" s="21">
        <f>SUMIFS('MP_MATAFUEGOS_FABRICADOS'!N:N,'MP_MATAFUEGOS_FABRICADOS'!$A:$A,$A28,'MP_MATAFUEGOS_FABRICADOS'!$B:$B,$B28)+SUMIFS('MP_CILINDROS'!N:N,'MP_CILINDROS'!$A:$A,$A28,'MP_CILINDROS'!$B:$B,$B28)</f>
        <v/>
      </c>
      <c r="O28" s="21">
        <f>SUMIFS('MP_MATAFUEGOS_FABRICADOS'!O:O,'MP_MATAFUEGOS_FABRICADOS'!$A:$A,$A28,'MP_MATAFUEGOS_FABRICADOS'!$B:$B,$B28)+SUMIFS('MP_CILINDROS'!O:O,'MP_CILINDROS'!$A:$A,$A28,'MP_CILINDROS'!$B:$B,$B28)</f>
        <v/>
      </c>
    </row>
    <row r="29">
      <c r="A29" s="2" t="inlineStr">
        <is>
          <t>Fondo — Ø276,5 × e3,2 × 95 de alto; disco Ø362,5</t>
        </is>
      </c>
      <c r="B29" s="2" t="inlineStr">
        <is>
          <t>u</t>
        </is>
      </c>
      <c r="C29" s="2" t="inlineStr">
        <is>
          <t>Semielaborado comprado</t>
        </is>
      </c>
      <c r="D29" s="2" t="inlineStr">
        <is>
          <t>Gockel Ingeniería S.R.L.</t>
        </is>
      </c>
      <c r="E29" s="2" t="inlineStr">
        <is>
          <t>MP_MATAFUEGOS_FABRICADOS, MP_CILINDROS</t>
        </is>
      </c>
      <c r="F29" s="21">
        <f>SUMIFS('MP_MATAFUEGOS_FABRICADOS'!F:F,'MP_MATAFUEGOS_FABRICADOS'!$A:$A,$A29,'MP_MATAFUEGOS_FABRICADOS'!$B:$B,$B29)+SUMIFS('MP_CILINDROS'!F:F,'MP_CILINDROS'!$A:$A,$A29,'MP_CILINDROS'!$B:$B,$B29)</f>
        <v/>
      </c>
      <c r="G29" s="21">
        <f>SUMIFS('MP_MATAFUEGOS_FABRICADOS'!G:G,'MP_MATAFUEGOS_FABRICADOS'!$A:$A,$A29,'MP_MATAFUEGOS_FABRICADOS'!$B:$B,$B29)+SUMIFS('MP_CILINDROS'!G:G,'MP_CILINDROS'!$A:$A,$A29,'MP_CILINDROS'!$B:$B,$B29)</f>
        <v/>
      </c>
      <c r="H29" s="21">
        <f>SUMIFS('MP_MATAFUEGOS_FABRICADOS'!H:H,'MP_MATAFUEGOS_FABRICADOS'!$A:$A,$A29,'MP_MATAFUEGOS_FABRICADOS'!$B:$B,$B29)+SUMIFS('MP_CILINDROS'!H:H,'MP_CILINDROS'!$A:$A,$A29,'MP_CILINDROS'!$B:$B,$B29)</f>
        <v/>
      </c>
      <c r="I29" s="21">
        <f>SUMIFS('MP_MATAFUEGOS_FABRICADOS'!I:I,'MP_MATAFUEGOS_FABRICADOS'!$A:$A,$A29,'MP_MATAFUEGOS_FABRICADOS'!$B:$B,$B29)+SUMIFS('MP_CILINDROS'!I:I,'MP_CILINDROS'!$A:$A,$A29,'MP_CILINDROS'!$B:$B,$B29)</f>
        <v/>
      </c>
      <c r="J29" s="21">
        <f>SUMIFS('MP_MATAFUEGOS_FABRICADOS'!J:J,'MP_MATAFUEGOS_FABRICADOS'!$A:$A,$A29,'MP_MATAFUEGOS_FABRICADOS'!$B:$B,$B29)+SUMIFS('MP_CILINDROS'!J:J,'MP_CILINDROS'!$A:$A,$A29,'MP_CILINDROS'!$B:$B,$B29)</f>
        <v/>
      </c>
      <c r="K29" s="21">
        <f>SUMIFS('MP_MATAFUEGOS_FABRICADOS'!K:K,'MP_MATAFUEGOS_FABRICADOS'!$A:$A,$A29,'MP_MATAFUEGOS_FABRICADOS'!$B:$B,$B29)+SUMIFS('MP_CILINDROS'!K:K,'MP_CILINDROS'!$A:$A,$A29,'MP_CILINDROS'!$B:$B,$B29)</f>
        <v/>
      </c>
      <c r="L29" s="21">
        <f>SUMIFS('MP_MATAFUEGOS_FABRICADOS'!L:L,'MP_MATAFUEGOS_FABRICADOS'!$A:$A,$A29,'MP_MATAFUEGOS_FABRICADOS'!$B:$B,$B29)+SUMIFS('MP_CILINDROS'!L:L,'MP_CILINDROS'!$A:$A,$A29,'MP_CILINDROS'!$B:$B,$B29)</f>
        <v/>
      </c>
      <c r="M29" s="21">
        <f>SUMIFS('MP_MATAFUEGOS_FABRICADOS'!M:M,'MP_MATAFUEGOS_FABRICADOS'!$A:$A,$A29,'MP_MATAFUEGOS_FABRICADOS'!$B:$B,$B29)+SUMIFS('MP_CILINDROS'!M:M,'MP_CILINDROS'!$A:$A,$A29,'MP_CILINDROS'!$B:$B,$B29)</f>
        <v/>
      </c>
      <c r="N29" s="21">
        <f>SUMIFS('MP_MATAFUEGOS_FABRICADOS'!N:N,'MP_MATAFUEGOS_FABRICADOS'!$A:$A,$A29,'MP_MATAFUEGOS_FABRICADOS'!$B:$B,$B29)+SUMIFS('MP_CILINDROS'!N:N,'MP_CILINDROS'!$A:$A,$A29,'MP_CILINDROS'!$B:$B,$B29)</f>
        <v/>
      </c>
      <c r="O29" s="21">
        <f>SUMIFS('MP_MATAFUEGOS_FABRICADOS'!O:O,'MP_MATAFUEGOS_FABRICADOS'!$A:$A,$A29,'MP_MATAFUEGOS_FABRICADOS'!$B:$B,$B29)+SUMIFS('MP_CILINDROS'!O:O,'MP_CILINDROS'!$A:$A,$A29,'MP_CILINDROS'!$B:$B,$B29)</f>
        <v/>
      </c>
    </row>
    <row r="30">
      <c r="A30" s="2" t="inlineStr">
        <is>
          <t>Fondo — Ø320 × e3,2 × 113 de alto; disco Ø423,5</t>
        </is>
      </c>
      <c r="B30" s="2" t="inlineStr">
        <is>
          <t>u</t>
        </is>
      </c>
      <c r="C30" s="2" t="inlineStr">
        <is>
          <t>Semielaborado comprado</t>
        </is>
      </c>
      <c r="D30" s="2" t="inlineStr">
        <is>
          <t>Gockel Ingeniería S.R.L.</t>
        </is>
      </c>
      <c r="E30" s="2" t="inlineStr">
        <is>
          <t>MP_MATAFUEGOS_FABRICADOS, MP_CILINDROS</t>
        </is>
      </c>
      <c r="F30" s="21">
        <f>SUMIFS('MP_MATAFUEGOS_FABRICADOS'!F:F,'MP_MATAFUEGOS_FABRICADOS'!$A:$A,$A30,'MP_MATAFUEGOS_FABRICADOS'!$B:$B,$B30)+SUMIFS('MP_CILINDROS'!F:F,'MP_CILINDROS'!$A:$A,$A30,'MP_CILINDROS'!$B:$B,$B30)</f>
        <v/>
      </c>
      <c r="G30" s="21">
        <f>SUMIFS('MP_MATAFUEGOS_FABRICADOS'!G:G,'MP_MATAFUEGOS_FABRICADOS'!$A:$A,$A30,'MP_MATAFUEGOS_FABRICADOS'!$B:$B,$B30)+SUMIFS('MP_CILINDROS'!G:G,'MP_CILINDROS'!$A:$A,$A30,'MP_CILINDROS'!$B:$B,$B30)</f>
        <v/>
      </c>
      <c r="H30" s="21">
        <f>SUMIFS('MP_MATAFUEGOS_FABRICADOS'!H:H,'MP_MATAFUEGOS_FABRICADOS'!$A:$A,$A30,'MP_MATAFUEGOS_FABRICADOS'!$B:$B,$B30)+SUMIFS('MP_CILINDROS'!H:H,'MP_CILINDROS'!$A:$A,$A30,'MP_CILINDROS'!$B:$B,$B30)</f>
        <v/>
      </c>
      <c r="I30" s="21">
        <f>SUMIFS('MP_MATAFUEGOS_FABRICADOS'!I:I,'MP_MATAFUEGOS_FABRICADOS'!$A:$A,$A30,'MP_MATAFUEGOS_FABRICADOS'!$B:$B,$B30)+SUMIFS('MP_CILINDROS'!I:I,'MP_CILINDROS'!$A:$A,$A30,'MP_CILINDROS'!$B:$B,$B30)</f>
        <v/>
      </c>
      <c r="J30" s="21">
        <f>SUMIFS('MP_MATAFUEGOS_FABRICADOS'!J:J,'MP_MATAFUEGOS_FABRICADOS'!$A:$A,$A30,'MP_MATAFUEGOS_FABRICADOS'!$B:$B,$B30)+SUMIFS('MP_CILINDROS'!J:J,'MP_CILINDROS'!$A:$A,$A30,'MP_CILINDROS'!$B:$B,$B30)</f>
        <v/>
      </c>
      <c r="K30" s="21">
        <f>SUMIFS('MP_MATAFUEGOS_FABRICADOS'!K:K,'MP_MATAFUEGOS_FABRICADOS'!$A:$A,$A30,'MP_MATAFUEGOS_FABRICADOS'!$B:$B,$B30)+SUMIFS('MP_CILINDROS'!K:K,'MP_CILINDROS'!$A:$A,$A30,'MP_CILINDROS'!$B:$B,$B30)</f>
        <v/>
      </c>
      <c r="L30" s="21">
        <f>SUMIFS('MP_MATAFUEGOS_FABRICADOS'!L:L,'MP_MATAFUEGOS_FABRICADOS'!$A:$A,$A30,'MP_MATAFUEGOS_FABRICADOS'!$B:$B,$B30)+SUMIFS('MP_CILINDROS'!L:L,'MP_CILINDROS'!$A:$A,$A30,'MP_CILINDROS'!$B:$B,$B30)</f>
        <v/>
      </c>
      <c r="M30" s="21">
        <f>SUMIFS('MP_MATAFUEGOS_FABRICADOS'!M:M,'MP_MATAFUEGOS_FABRICADOS'!$A:$A,$A30,'MP_MATAFUEGOS_FABRICADOS'!$B:$B,$B30)+SUMIFS('MP_CILINDROS'!M:M,'MP_CILINDROS'!$A:$A,$A30,'MP_CILINDROS'!$B:$B,$B30)</f>
        <v/>
      </c>
      <c r="N30" s="21">
        <f>SUMIFS('MP_MATAFUEGOS_FABRICADOS'!N:N,'MP_MATAFUEGOS_FABRICADOS'!$A:$A,$A30,'MP_MATAFUEGOS_FABRICADOS'!$B:$B,$B30)+SUMIFS('MP_CILINDROS'!N:N,'MP_CILINDROS'!$A:$A,$A30,'MP_CILINDROS'!$B:$B,$B30)</f>
        <v/>
      </c>
      <c r="O30" s="21">
        <f>SUMIFS('MP_MATAFUEGOS_FABRICADOS'!O:O,'MP_MATAFUEGOS_FABRICADOS'!$A:$A,$A30,'MP_MATAFUEGOS_FABRICADOS'!$B:$B,$B30)+SUMIFS('MP_CILINDROS'!O:O,'MP_CILINDROS'!$A:$A,$A30,'MP_CILINDROS'!$B:$B,$B30)</f>
        <v/>
      </c>
    </row>
    <row r="31">
      <c r="A31" s="2" t="inlineStr">
        <is>
          <t>Fondo — Ø390 × e4,75 × 139,8 de alto; disco Ø518,1</t>
        </is>
      </c>
      <c r="B31" s="2" t="inlineStr">
        <is>
          <t>u</t>
        </is>
      </c>
      <c r="C31" s="2" t="inlineStr">
        <is>
          <t>Semielaborado comprado</t>
        </is>
      </c>
      <c r="D31" s="2" t="inlineStr">
        <is>
          <t>Gockel Ingeniería S.R.L.</t>
        </is>
      </c>
      <c r="E31" s="2" t="inlineStr">
        <is>
          <t>MP_MATAFUEGOS_FABRICADOS, MP_CILINDROS</t>
        </is>
      </c>
      <c r="F31" s="21">
        <f>SUMIFS('MP_MATAFUEGOS_FABRICADOS'!F:F,'MP_MATAFUEGOS_FABRICADOS'!$A:$A,$A31,'MP_MATAFUEGOS_FABRICADOS'!$B:$B,$B31)+SUMIFS('MP_CILINDROS'!F:F,'MP_CILINDROS'!$A:$A,$A31,'MP_CILINDROS'!$B:$B,$B31)</f>
        <v/>
      </c>
      <c r="G31" s="21">
        <f>SUMIFS('MP_MATAFUEGOS_FABRICADOS'!G:G,'MP_MATAFUEGOS_FABRICADOS'!$A:$A,$A31,'MP_MATAFUEGOS_FABRICADOS'!$B:$B,$B31)+SUMIFS('MP_CILINDROS'!G:G,'MP_CILINDROS'!$A:$A,$A31,'MP_CILINDROS'!$B:$B,$B31)</f>
        <v/>
      </c>
      <c r="H31" s="21">
        <f>SUMIFS('MP_MATAFUEGOS_FABRICADOS'!H:H,'MP_MATAFUEGOS_FABRICADOS'!$A:$A,$A31,'MP_MATAFUEGOS_FABRICADOS'!$B:$B,$B31)+SUMIFS('MP_CILINDROS'!H:H,'MP_CILINDROS'!$A:$A,$A31,'MP_CILINDROS'!$B:$B,$B31)</f>
        <v/>
      </c>
      <c r="I31" s="21">
        <f>SUMIFS('MP_MATAFUEGOS_FABRICADOS'!I:I,'MP_MATAFUEGOS_FABRICADOS'!$A:$A,$A31,'MP_MATAFUEGOS_FABRICADOS'!$B:$B,$B31)+SUMIFS('MP_CILINDROS'!I:I,'MP_CILINDROS'!$A:$A,$A31,'MP_CILINDROS'!$B:$B,$B31)</f>
        <v/>
      </c>
      <c r="J31" s="21">
        <f>SUMIFS('MP_MATAFUEGOS_FABRICADOS'!J:J,'MP_MATAFUEGOS_FABRICADOS'!$A:$A,$A31,'MP_MATAFUEGOS_FABRICADOS'!$B:$B,$B31)+SUMIFS('MP_CILINDROS'!J:J,'MP_CILINDROS'!$A:$A,$A31,'MP_CILINDROS'!$B:$B,$B31)</f>
        <v/>
      </c>
      <c r="K31" s="21">
        <f>SUMIFS('MP_MATAFUEGOS_FABRICADOS'!K:K,'MP_MATAFUEGOS_FABRICADOS'!$A:$A,$A31,'MP_MATAFUEGOS_FABRICADOS'!$B:$B,$B31)+SUMIFS('MP_CILINDROS'!K:K,'MP_CILINDROS'!$A:$A,$A31,'MP_CILINDROS'!$B:$B,$B31)</f>
        <v/>
      </c>
      <c r="L31" s="21">
        <f>SUMIFS('MP_MATAFUEGOS_FABRICADOS'!L:L,'MP_MATAFUEGOS_FABRICADOS'!$A:$A,$A31,'MP_MATAFUEGOS_FABRICADOS'!$B:$B,$B31)+SUMIFS('MP_CILINDROS'!L:L,'MP_CILINDROS'!$A:$A,$A31,'MP_CILINDROS'!$B:$B,$B31)</f>
        <v/>
      </c>
      <c r="M31" s="21">
        <f>SUMIFS('MP_MATAFUEGOS_FABRICADOS'!M:M,'MP_MATAFUEGOS_FABRICADOS'!$A:$A,$A31,'MP_MATAFUEGOS_FABRICADOS'!$B:$B,$B31)+SUMIFS('MP_CILINDROS'!M:M,'MP_CILINDROS'!$A:$A,$A31,'MP_CILINDROS'!$B:$B,$B31)</f>
        <v/>
      </c>
      <c r="N31" s="21">
        <f>SUMIFS('MP_MATAFUEGOS_FABRICADOS'!N:N,'MP_MATAFUEGOS_FABRICADOS'!$A:$A,$A31,'MP_MATAFUEGOS_FABRICADOS'!$B:$B,$B31)+SUMIFS('MP_CILINDROS'!N:N,'MP_CILINDROS'!$A:$A,$A31,'MP_CILINDROS'!$B:$B,$B31)</f>
        <v/>
      </c>
      <c r="O31" s="21">
        <f>SUMIFS('MP_MATAFUEGOS_FABRICADOS'!O:O,'MP_MATAFUEGOS_FABRICADOS'!$A:$A,$A31,'MP_MATAFUEGOS_FABRICADOS'!$B:$B,$B31)+SUMIFS('MP_CILINDROS'!O:O,'MP_CILINDROS'!$A:$A,$A31,'MP_CILINDROS'!$B:$B,$B31)</f>
        <v/>
      </c>
    </row>
    <row r="32">
      <c r="A32" s="2" t="inlineStr">
        <is>
          <t>Arandelas de tope (4) — 4 × Ø40 × Ø26 × 4</t>
        </is>
      </c>
      <c r="B32" s="2" t="inlineStr">
        <is>
          <t>u</t>
        </is>
      </c>
      <c r="C32" s="2" t="inlineStr">
        <is>
          <t>Componente comprado</t>
        </is>
      </c>
      <c r="D32" s="2" t="inlineStr">
        <is>
          <t>Hierros Parrotta</t>
        </is>
      </c>
      <c r="E32" s="2" t="inlineStr">
        <is>
          <t>MP_MATAFUEGOS_FABRICADOS</t>
        </is>
      </c>
      <c r="F32" s="21">
        <f>SUMIFS('MP_MATAFUEGOS_FABRICADOS'!F:F,'MP_MATAFUEGOS_FABRICADOS'!$A:$A,$A32,'MP_MATAFUEGOS_FABRICADOS'!$B:$B,$B32)</f>
        <v/>
      </c>
      <c r="G32" s="21">
        <f>SUMIFS('MP_MATAFUEGOS_FABRICADOS'!G:G,'MP_MATAFUEGOS_FABRICADOS'!$A:$A,$A32,'MP_MATAFUEGOS_FABRICADOS'!$B:$B,$B32)</f>
        <v/>
      </c>
      <c r="H32" s="21">
        <f>SUMIFS('MP_MATAFUEGOS_FABRICADOS'!H:H,'MP_MATAFUEGOS_FABRICADOS'!$A:$A,$A32,'MP_MATAFUEGOS_FABRICADOS'!$B:$B,$B32)</f>
        <v/>
      </c>
      <c r="I32" s="21">
        <f>SUMIFS('MP_MATAFUEGOS_FABRICADOS'!I:I,'MP_MATAFUEGOS_FABRICADOS'!$A:$A,$A32,'MP_MATAFUEGOS_FABRICADOS'!$B:$B,$B32)</f>
        <v/>
      </c>
      <c r="J32" s="21">
        <f>SUMIFS('MP_MATAFUEGOS_FABRICADOS'!J:J,'MP_MATAFUEGOS_FABRICADOS'!$A:$A,$A32,'MP_MATAFUEGOS_FABRICADOS'!$B:$B,$B32)</f>
        <v/>
      </c>
      <c r="K32" s="21">
        <f>SUMIFS('MP_MATAFUEGOS_FABRICADOS'!K:K,'MP_MATAFUEGOS_FABRICADOS'!$A:$A,$A32,'MP_MATAFUEGOS_FABRICADOS'!$B:$B,$B32)</f>
        <v/>
      </c>
      <c r="L32" s="21">
        <f>SUMIFS('MP_MATAFUEGOS_FABRICADOS'!L:L,'MP_MATAFUEGOS_FABRICADOS'!$A:$A,$A32,'MP_MATAFUEGOS_FABRICADOS'!$B:$B,$B32)</f>
        <v/>
      </c>
      <c r="M32" s="21">
        <f>SUMIFS('MP_MATAFUEGOS_FABRICADOS'!M:M,'MP_MATAFUEGOS_FABRICADOS'!$A:$A,$A32,'MP_MATAFUEGOS_FABRICADOS'!$B:$B,$B32)</f>
        <v/>
      </c>
      <c r="N32" s="21">
        <f>SUMIFS('MP_MATAFUEGOS_FABRICADOS'!N:N,'MP_MATAFUEGOS_FABRICADOS'!$A:$A,$A32,'MP_MATAFUEGOS_FABRICADOS'!$B:$B,$B32)</f>
        <v/>
      </c>
      <c r="O32" s="21">
        <f>SUMIFS('MP_MATAFUEGOS_FABRICADOS'!O:O,'MP_MATAFUEGOS_FABRICADOS'!$A:$A,$A32,'MP_MATAFUEGOS_FABRICADOS'!$B:$B,$B32)</f>
        <v/>
      </c>
    </row>
    <row r="33">
      <c r="A33" s="2" t="inlineStr">
        <is>
          <t>Faja amarilla de sustituto en la pollera (3 leyendas) — 40 × 1025 (alto ≤ 40; perímetro + 20 de solape)</t>
        </is>
      </c>
      <c r="B33" s="2" t="inlineStr">
        <is>
          <t>u</t>
        </is>
      </c>
      <c r="C33" s="2" t="inlineStr">
        <is>
          <t>Componente comprado</t>
        </is>
      </c>
      <c r="D33" s="2" t="inlineStr">
        <is>
          <t>Astuprint</t>
        </is>
      </c>
      <c r="E33" s="2" t="inlineStr">
        <is>
          <t>MP_SUSTITUTOS</t>
        </is>
      </c>
      <c r="F33" s="21">
        <f>SUMIFS('MP_SUSTITUTOS'!F:F,'MP_SUSTITUTOS'!$A:$A,$A33,'MP_SUSTITUTOS'!$B:$B,$B33)</f>
        <v/>
      </c>
      <c r="G33" s="21">
        <f>SUMIFS('MP_SUSTITUTOS'!G:G,'MP_SUSTITUTOS'!$A:$A,$A33,'MP_SUSTITUTOS'!$B:$B,$B33)</f>
        <v/>
      </c>
      <c r="H33" s="21">
        <f>SUMIFS('MP_SUSTITUTOS'!H:H,'MP_SUSTITUTOS'!$A:$A,$A33,'MP_SUSTITUTOS'!$B:$B,$B33)</f>
        <v/>
      </c>
      <c r="I33" s="21">
        <f>SUMIFS('MP_SUSTITUTOS'!I:I,'MP_SUSTITUTOS'!$A:$A,$A33,'MP_SUSTITUTOS'!$B:$B,$B33)</f>
        <v/>
      </c>
      <c r="J33" s="21">
        <f>SUMIFS('MP_SUSTITUTOS'!J:J,'MP_SUSTITUTOS'!$A:$A,$A33,'MP_SUSTITUTOS'!$B:$B,$B33)</f>
        <v/>
      </c>
      <c r="K33" s="21">
        <f>SUMIFS('MP_SUSTITUTOS'!K:K,'MP_SUSTITUTOS'!$A:$A,$A33,'MP_SUSTITUTOS'!$B:$B,$B33)</f>
        <v/>
      </c>
      <c r="L33" s="21">
        <f>SUMIFS('MP_SUSTITUTOS'!L:L,'MP_SUSTITUTOS'!$A:$A,$A33,'MP_SUSTITUTOS'!$B:$B,$B33)</f>
        <v/>
      </c>
      <c r="M33" s="21">
        <f>SUMIFS('MP_SUSTITUTOS'!M:M,'MP_SUSTITUTOS'!$A:$A,$A33,'MP_SUSTITUTOS'!$B:$B,$B33)</f>
        <v/>
      </c>
      <c r="N33" s="21">
        <f>SUMIFS('MP_SUSTITUTOS'!N:N,'MP_SUSTITUTOS'!$A:$A,$A33,'MP_SUSTITUTOS'!$B:$B,$B33)</f>
        <v/>
      </c>
      <c r="O33" s="21">
        <f>SUMIFS('MP_SUSTITUTOS'!O:O,'MP_SUSTITUTOS'!$A:$A,$A33,'MP_SUSTITUTOS'!$B:$B,$B33)</f>
        <v/>
      </c>
    </row>
    <row r="34">
      <c r="A34" s="2" t="inlineStr">
        <is>
          <t>Faja amarilla de sustituto en la pollera (3 leyendas) — 40 × 1245 (alto ≤ 40; perímetro + 20 de solape)</t>
        </is>
      </c>
      <c r="B34" s="2" t="inlineStr">
        <is>
          <t>u</t>
        </is>
      </c>
      <c r="C34" s="2" t="inlineStr">
        <is>
          <t>Componente comprado</t>
        </is>
      </c>
      <c r="D34" s="2" t="inlineStr">
        <is>
          <t>Astuprint</t>
        </is>
      </c>
      <c r="E34" s="2" t="inlineStr">
        <is>
          <t>MP_SUSTITUTOS</t>
        </is>
      </c>
      <c r="F34" s="21">
        <f>SUMIFS('MP_SUSTITUTOS'!F:F,'MP_SUSTITUTOS'!$A:$A,$A34,'MP_SUSTITUTOS'!$B:$B,$B34)</f>
        <v/>
      </c>
      <c r="G34" s="21">
        <f>SUMIFS('MP_SUSTITUTOS'!G:G,'MP_SUSTITUTOS'!$A:$A,$A34,'MP_SUSTITUTOS'!$B:$B,$B34)</f>
        <v/>
      </c>
      <c r="H34" s="21">
        <f>SUMIFS('MP_SUSTITUTOS'!H:H,'MP_SUSTITUTOS'!$A:$A,$A34,'MP_SUSTITUTOS'!$B:$B,$B34)</f>
        <v/>
      </c>
      <c r="I34" s="21">
        <f>SUMIFS('MP_SUSTITUTOS'!I:I,'MP_SUSTITUTOS'!$A:$A,$A34,'MP_SUSTITUTOS'!$B:$B,$B34)</f>
        <v/>
      </c>
      <c r="J34" s="21">
        <f>SUMIFS('MP_SUSTITUTOS'!J:J,'MP_SUSTITUTOS'!$A:$A,$A34,'MP_SUSTITUTOS'!$B:$B,$B34)</f>
        <v/>
      </c>
      <c r="K34" s="21">
        <f>SUMIFS('MP_SUSTITUTOS'!K:K,'MP_SUSTITUTOS'!$A:$A,$A34,'MP_SUSTITUTOS'!$B:$B,$B34)</f>
        <v/>
      </c>
      <c r="L34" s="21">
        <f>SUMIFS('MP_SUSTITUTOS'!L:L,'MP_SUSTITUTOS'!$A:$A,$A34,'MP_SUSTITUTOS'!$B:$B,$B34)</f>
        <v/>
      </c>
      <c r="M34" s="21">
        <f>SUMIFS('MP_SUSTITUTOS'!M:M,'MP_SUSTITUTOS'!$A:$A,$A34,'MP_SUSTITUTOS'!$B:$B,$B34)</f>
        <v/>
      </c>
      <c r="N34" s="21">
        <f>SUMIFS('MP_SUSTITUTOS'!N:N,'MP_SUSTITUTOS'!$A:$A,$A34,'MP_SUSTITUTOS'!$B:$B,$B34)</f>
        <v/>
      </c>
      <c r="O34" s="21">
        <f>SUMIFS('MP_SUSTITUTOS'!O:O,'MP_SUSTITUTOS'!$A:$A,$A34,'MP_SUSTITUTOS'!$B:$B,$B34)</f>
        <v/>
      </c>
    </row>
    <row r="35">
      <c r="A35" s="2" t="inlineStr">
        <is>
          <t>Faja amarilla de sustituto en la pollera (3 leyendas) — 40 × 460 (alto ≤ 40; perímetro + 20 de solape)</t>
        </is>
      </c>
      <c r="B35" s="2" t="inlineStr">
        <is>
          <t>u</t>
        </is>
      </c>
      <c r="C35" s="2" t="inlineStr">
        <is>
          <t>Componente comprado</t>
        </is>
      </c>
      <c r="D35" s="2" t="inlineStr">
        <is>
          <t>Astuprint</t>
        </is>
      </c>
      <c r="E35" s="2" t="inlineStr">
        <is>
          <t>MP_SUSTITUTOS</t>
        </is>
      </c>
      <c r="F35" s="21">
        <f>SUMIFS('MP_SUSTITUTOS'!F:F,'MP_SUSTITUTOS'!$A:$A,$A35,'MP_SUSTITUTOS'!$B:$B,$B35)</f>
        <v/>
      </c>
      <c r="G35" s="21">
        <f>SUMIFS('MP_SUSTITUTOS'!G:G,'MP_SUSTITUTOS'!$A:$A,$A35,'MP_SUSTITUTOS'!$B:$B,$B35)</f>
        <v/>
      </c>
      <c r="H35" s="21">
        <f>SUMIFS('MP_SUSTITUTOS'!H:H,'MP_SUSTITUTOS'!$A:$A,$A35,'MP_SUSTITUTOS'!$B:$B,$B35)</f>
        <v/>
      </c>
      <c r="I35" s="21">
        <f>SUMIFS('MP_SUSTITUTOS'!I:I,'MP_SUSTITUTOS'!$A:$A,$A35,'MP_SUSTITUTOS'!$B:$B,$B35)</f>
        <v/>
      </c>
      <c r="J35" s="21">
        <f>SUMIFS('MP_SUSTITUTOS'!J:J,'MP_SUSTITUTOS'!$A:$A,$A35,'MP_SUSTITUTOS'!$B:$B,$B35)</f>
        <v/>
      </c>
      <c r="K35" s="21">
        <f>SUMIFS('MP_SUSTITUTOS'!K:K,'MP_SUSTITUTOS'!$A:$A,$A35,'MP_SUSTITUTOS'!$B:$B,$B35)</f>
        <v/>
      </c>
      <c r="L35" s="21">
        <f>SUMIFS('MP_SUSTITUTOS'!L:L,'MP_SUSTITUTOS'!$A:$A,$A35,'MP_SUSTITUTOS'!$B:$B,$B35)</f>
        <v/>
      </c>
      <c r="M35" s="21">
        <f>SUMIFS('MP_SUSTITUTOS'!M:M,'MP_SUSTITUTOS'!$A:$A,$A35,'MP_SUSTITUTOS'!$B:$B,$B35)</f>
        <v/>
      </c>
      <c r="N35" s="21">
        <f>SUMIFS('MP_SUSTITUTOS'!N:N,'MP_SUSTITUTOS'!$A:$A,$A35,'MP_SUSTITUTOS'!$B:$B,$B35)</f>
        <v/>
      </c>
      <c r="O35" s="21">
        <f>SUMIFS('MP_SUSTITUTOS'!O:O,'MP_SUSTITUTOS'!$A:$A,$A35,'MP_SUSTITUTOS'!$B:$B,$B35)</f>
        <v/>
      </c>
    </row>
    <row r="36">
      <c r="A36" s="2" t="inlineStr">
        <is>
          <t>Faja amarilla de sustituto en la pollera (3 leyendas) — 40 × 501 (alto ≤ 40; perímetro + 20 de solape)</t>
        </is>
      </c>
      <c r="B36" s="2" t="inlineStr">
        <is>
          <t>u</t>
        </is>
      </c>
      <c r="C36" s="2" t="inlineStr">
        <is>
          <t>Componente comprado</t>
        </is>
      </c>
      <c r="D36" s="2" t="inlineStr">
        <is>
          <t>Astuprint</t>
        </is>
      </c>
      <c r="E36" s="2" t="inlineStr">
        <is>
          <t>MP_SUSTITUTOS</t>
        </is>
      </c>
      <c r="F36" s="21">
        <f>SUMIFS('MP_SUSTITUTOS'!F:F,'MP_SUSTITUTOS'!$A:$A,$A36,'MP_SUSTITUTOS'!$B:$B,$B36)</f>
        <v/>
      </c>
      <c r="G36" s="21">
        <f>SUMIFS('MP_SUSTITUTOS'!G:G,'MP_SUSTITUTOS'!$A:$A,$A36,'MP_SUSTITUTOS'!$B:$B,$B36)</f>
        <v/>
      </c>
      <c r="H36" s="21">
        <f>SUMIFS('MP_SUSTITUTOS'!H:H,'MP_SUSTITUTOS'!$A:$A,$A36,'MP_SUSTITUTOS'!$B:$B,$B36)</f>
        <v/>
      </c>
      <c r="I36" s="21">
        <f>SUMIFS('MP_SUSTITUTOS'!I:I,'MP_SUSTITUTOS'!$A:$A,$A36,'MP_SUSTITUTOS'!$B:$B,$B36)</f>
        <v/>
      </c>
      <c r="J36" s="21">
        <f>SUMIFS('MP_SUSTITUTOS'!J:J,'MP_SUSTITUTOS'!$A:$A,$A36,'MP_SUSTITUTOS'!$B:$B,$B36)</f>
        <v/>
      </c>
      <c r="K36" s="21">
        <f>SUMIFS('MP_SUSTITUTOS'!K:K,'MP_SUSTITUTOS'!$A:$A,$A36,'MP_SUSTITUTOS'!$B:$B,$B36)</f>
        <v/>
      </c>
      <c r="L36" s="21">
        <f>SUMIFS('MP_SUSTITUTOS'!L:L,'MP_SUSTITUTOS'!$A:$A,$A36,'MP_SUSTITUTOS'!$B:$B,$B36)</f>
        <v/>
      </c>
      <c r="M36" s="21">
        <f>SUMIFS('MP_SUSTITUTOS'!M:M,'MP_SUSTITUTOS'!$A:$A,$A36,'MP_SUSTITUTOS'!$B:$B,$B36)</f>
        <v/>
      </c>
      <c r="N36" s="21">
        <f>SUMIFS('MP_SUSTITUTOS'!N:N,'MP_SUSTITUTOS'!$A:$A,$A36,'MP_SUSTITUTOS'!$B:$B,$B36)</f>
        <v/>
      </c>
      <c r="O36" s="21">
        <f>SUMIFS('MP_SUSTITUTOS'!O:O,'MP_SUSTITUTOS'!$A:$A,$A36,'MP_SUSTITUTOS'!$B:$B,$B36)</f>
        <v/>
      </c>
    </row>
    <row r="37">
      <c r="A37" s="2" t="inlineStr">
        <is>
          <t>Faja amarilla de sustituto en la pollera (3 leyendas) — 40 × 590 (alto ≤ 40; perímetro + 20 de solape)</t>
        </is>
      </c>
      <c r="B37" s="2" t="inlineStr">
        <is>
          <t>u</t>
        </is>
      </c>
      <c r="C37" s="2" t="inlineStr">
        <is>
          <t>Componente comprado</t>
        </is>
      </c>
      <c r="D37" s="2" t="inlineStr">
        <is>
          <t>Astuprint</t>
        </is>
      </c>
      <c r="E37" s="2" t="inlineStr">
        <is>
          <t>MP_SUSTITUTOS</t>
        </is>
      </c>
      <c r="F37" s="21">
        <f>SUMIFS('MP_SUSTITUTOS'!F:F,'MP_SUSTITUTOS'!$A:$A,$A37,'MP_SUSTITUTOS'!$B:$B,$B37)</f>
        <v/>
      </c>
      <c r="G37" s="21">
        <f>SUMIFS('MP_SUSTITUTOS'!G:G,'MP_SUSTITUTOS'!$A:$A,$A37,'MP_SUSTITUTOS'!$B:$B,$B37)</f>
        <v/>
      </c>
      <c r="H37" s="21">
        <f>SUMIFS('MP_SUSTITUTOS'!H:H,'MP_SUSTITUTOS'!$A:$A,$A37,'MP_SUSTITUTOS'!$B:$B,$B37)</f>
        <v/>
      </c>
      <c r="I37" s="21">
        <f>SUMIFS('MP_SUSTITUTOS'!I:I,'MP_SUSTITUTOS'!$A:$A,$A37,'MP_SUSTITUTOS'!$B:$B,$B37)</f>
        <v/>
      </c>
      <c r="J37" s="21">
        <f>SUMIFS('MP_SUSTITUTOS'!J:J,'MP_SUSTITUTOS'!$A:$A,$A37,'MP_SUSTITUTOS'!$B:$B,$B37)</f>
        <v/>
      </c>
      <c r="K37" s="21">
        <f>SUMIFS('MP_SUSTITUTOS'!K:K,'MP_SUSTITUTOS'!$A:$A,$A37,'MP_SUSTITUTOS'!$B:$B,$B37)</f>
        <v/>
      </c>
      <c r="L37" s="21">
        <f>SUMIFS('MP_SUSTITUTOS'!L:L,'MP_SUSTITUTOS'!$A:$A,$A37,'MP_SUSTITUTOS'!$B:$B,$B37)</f>
        <v/>
      </c>
      <c r="M37" s="21">
        <f>SUMIFS('MP_SUSTITUTOS'!M:M,'MP_SUSTITUTOS'!$A:$A,$A37,'MP_SUSTITUTOS'!$B:$B,$B37)</f>
        <v/>
      </c>
      <c r="N37" s="21">
        <f>SUMIFS('MP_SUSTITUTOS'!N:N,'MP_SUSTITUTOS'!$A:$A,$A37,'MP_SUSTITUTOS'!$B:$B,$B37)</f>
        <v/>
      </c>
      <c r="O37" s="21">
        <f>SUMIFS('MP_SUSTITUTOS'!O:O,'MP_SUSTITUTOS'!$A:$A,$A37,'MP_SUSTITUTOS'!$B:$B,$B37)</f>
        <v/>
      </c>
    </row>
    <row r="38">
      <c r="A38" s="2" t="inlineStr">
        <is>
          <t>Faja amarilla de sustituto en la pollera (3 leyendas) — 40 × 617 (alto ≤ 40; perímetro + 20 de solape)</t>
        </is>
      </c>
      <c r="B38" s="2" t="inlineStr">
        <is>
          <t>u</t>
        </is>
      </c>
      <c r="C38" s="2" t="inlineStr">
        <is>
          <t>Componente comprado</t>
        </is>
      </c>
      <c r="D38" s="2" t="inlineStr">
        <is>
          <t>Astuprint</t>
        </is>
      </c>
      <c r="E38" s="2" t="inlineStr">
        <is>
          <t>MP_SUSTITUTOS</t>
        </is>
      </c>
      <c r="F38" s="21">
        <f>SUMIFS('MP_SUSTITUTOS'!F:F,'MP_SUSTITUTOS'!$A:$A,$A38,'MP_SUSTITUTOS'!$B:$B,$B38)</f>
        <v/>
      </c>
      <c r="G38" s="21">
        <f>SUMIFS('MP_SUSTITUTOS'!G:G,'MP_SUSTITUTOS'!$A:$A,$A38,'MP_SUSTITUTOS'!$B:$B,$B38)</f>
        <v/>
      </c>
      <c r="H38" s="21">
        <f>SUMIFS('MP_SUSTITUTOS'!H:H,'MP_SUSTITUTOS'!$A:$A,$A38,'MP_SUSTITUTOS'!$B:$B,$B38)</f>
        <v/>
      </c>
      <c r="I38" s="21">
        <f>SUMIFS('MP_SUSTITUTOS'!I:I,'MP_SUSTITUTOS'!$A:$A,$A38,'MP_SUSTITUTOS'!$B:$B,$B38)</f>
        <v/>
      </c>
      <c r="J38" s="21">
        <f>SUMIFS('MP_SUSTITUTOS'!J:J,'MP_SUSTITUTOS'!$A:$A,$A38,'MP_SUSTITUTOS'!$B:$B,$B38)</f>
        <v/>
      </c>
      <c r="K38" s="21">
        <f>SUMIFS('MP_SUSTITUTOS'!K:K,'MP_SUSTITUTOS'!$A:$A,$A38,'MP_SUSTITUTOS'!$B:$B,$B38)</f>
        <v/>
      </c>
      <c r="L38" s="21">
        <f>SUMIFS('MP_SUSTITUTOS'!L:L,'MP_SUSTITUTOS'!$A:$A,$A38,'MP_SUSTITUTOS'!$B:$B,$B38)</f>
        <v/>
      </c>
      <c r="M38" s="21">
        <f>SUMIFS('MP_SUSTITUTOS'!M:M,'MP_SUSTITUTOS'!$A:$A,$A38,'MP_SUSTITUTOS'!$B:$B,$B38)</f>
        <v/>
      </c>
      <c r="N38" s="21">
        <f>SUMIFS('MP_SUSTITUTOS'!N:N,'MP_SUSTITUTOS'!$A:$A,$A38,'MP_SUSTITUTOS'!$B:$B,$B38)</f>
        <v/>
      </c>
      <c r="O38" s="21">
        <f>SUMIFS('MP_SUSTITUTOS'!O:O,'MP_SUSTITUTOS'!$A:$A,$A38,'MP_SUSTITUTOS'!$B:$B,$B38)</f>
        <v/>
      </c>
    </row>
    <row r="39">
      <c r="A39" s="2" t="inlineStr">
        <is>
          <t>Junta tórica de asiento — Ø24 ext. × cordón 3</t>
        </is>
      </c>
      <c r="B39" s="2" t="inlineStr">
        <is>
          <t>u</t>
        </is>
      </c>
      <c r="C39" s="2" t="inlineStr">
        <is>
          <t>Componente comprado</t>
        </is>
      </c>
      <c r="D39" s="2" t="inlineStr">
        <is>
          <t>Argensold</t>
        </is>
      </c>
      <c r="E39" s="2" t="inlineStr">
        <is>
          <t>MP_MATAFUEGOS_FABRICADOS</t>
        </is>
      </c>
      <c r="F39" s="21">
        <f>SUMIFS('MP_MATAFUEGOS_FABRICADOS'!F:F,'MP_MATAFUEGOS_FABRICADOS'!$A:$A,$A39,'MP_MATAFUEGOS_FABRICADOS'!$B:$B,$B39)</f>
        <v/>
      </c>
      <c r="G39" s="21">
        <f>SUMIFS('MP_MATAFUEGOS_FABRICADOS'!G:G,'MP_MATAFUEGOS_FABRICADOS'!$A:$A,$A39,'MP_MATAFUEGOS_FABRICADOS'!$B:$B,$B39)</f>
        <v/>
      </c>
      <c r="H39" s="21">
        <f>SUMIFS('MP_MATAFUEGOS_FABRICADOS'!H:H,'MP_MATAFUEGOS_FABRICADOS'!$A:$A,$A39,'MP_MATAFUEGOS_FABRICADOS'!$B:$B,$B39)</f>
        <v/>
      </c>
      <c r="I39" s="21">
        <f>SUMIFS('MP_MATAFUEGOS_FABRICADOS'!I:I,'MP_MATAFUEGOS_FABRICADOS'!$A:$A,$A39,'MP_MATAFUEGOS_FABRICADOS'!$B:$B,$B39)</f>
        <v/>
      </c>
      <c r="J39" s="21">
        <f>SUMIFS('MP_MATAFUEGOS_FABRICADOS'!J:J,'MP_MATAFUEGOS_FABRICADOS'!$A:$A,$A39,'MP_MATAFUEGOS_FABRICADOS'!$B:$B,$B39)</f>
        <v/>
      </c>
      <c r="K39" s="21">
        <f>SUMIFS('MP_MATAFUEGOS_FABRICADOS'!K:K,'MP_MATAFUEGOS_FABRICADOS'!$A:$A,$A39,'MP_MATAFUEGOS_FABRICADOS'!$B:$B,$B39)</f>
        <v/>
      </c>
      <c r="L39" s="21">
        <f>SUMIFS('MP_MATAFUEGOS_FABRICADOS'!L:L,'MP_MATAFUEGOS_FABRICADOS'!$A:$A,$A39,'MP_MATAFUEGOS_FABRICADOS'!$B:$B,$B39)</f>
        <v/>
      </c>
      <c r="M39" s="21">
        <f>SUMIFS('MP_MATAFUEGOS_FABRICADOS'!M:M,'MP_MATAFUEGOS_FABRICADOS'!$A:$A,$A39,'MP_MATAFUEGOS_FABRICADOS'!$B:$B,$B39)</f>
        <v/>
      </c>
      <c r="N39" s="21">
        <f>SUMIFS('MP_MATAFUEGOS_FABRICADOS'!N:N,'MP_MATAFUEGOS_FABRICADOS'!$A:$A,$A39,'MP_MATAFUEGOS_FABRICADOS'!$B:$B,$B39)</f>
        <v/>
      </c>
      <c r="O39" s="21">
        <f>SUMIFS('MP_MATAFUEGOS_FABRICADOS'!O:O,'MP_MATAFUEGOS_FABRICADOS'!$A:$A,$A39,'MP_MATAFUEGOS_FABRICADOS'!$B:$B,$B39)</f>
        <v/>
      </c>
    </row>
    <row r="40">
      <c r="A40" s="2" t="inlineStr">
        <is>
          <t>Junta tórica de asiento — Ø32,8 ext. × cordón 3</t>
        </is>
      </c>
      <c r="B40" s="2" t="inlineStr">
        <is>
          <t>u</t>
        </is>
      </c>
      <c r="C40" s="2" t="inlineStr">
        <is>
          <t>Componente comprado</t>
        </is>
      </c>
      <c r="D40" s="2" t="inlineStr">
        <is>
          <t>Argensold</t>
        </is>
      </c>
      <c r="E40" s="2" t="inlineStr">
        <is>
          <t>MP_MATAFUEGOS_FABRICADOS</t>
        </is>
      </c>
      <c r="F40" s="21">
        <f>SUMIFS('MP_MATAFUEGOS_FABRICADOS'!F:F,'MP_MATAFUEGOS_FABRICADOS'!$A:$A,$A40,'MP_MATAFUEGOS_FABRICADOS'!$B:$B,$B40)</f>
        <v/>
      </c>
      <c r="G40" s="21">
        <f>SUMIFS('MP_MATAFUEGOS_FABRICADOS'!G:G,'MP_MATAFUEGOS_FABRICADOS'!$A:$A,$A40,'MP_MATAFUEGOS_FABRICADOS'!$B:$B,$B40)</f>
        <v/>
      </c>
      <c r="H40" s="21">
        <f>SUMIFS('MP_MATAFUEGOS_FABRICADOS'!H:H,'MP_MATAFUEGOS_FABRICADOS'!$A:$A,$A40,'MP_MATAFUEGOS_FABRICADOS'!$B:$B,$B40)</f>
        <v/>
      </c>
      <c r="I40" s="21">
        <f>SUMIFS('MP_MATAFUEGOS_FABRICADOS'!I:I,'MP_MATAFUEGOS_FABRICADOS'!$A:$A,$A40,'MP_MATAFUEGOS_FABRICADOS'!$B:$B,$B40)</f>
        <v/>
      </c>
      <c r="J40" s="21">
        <f>SUMIFS('MP_MATAFUEGOS_FABRICADOS'!J:J,'MP_MATAFUEGOS_FABRICADOS'!$A:$A,$A40,'MP_MATAFUEGOS_FABRICADOS'!$B:$B,$B40)</f>
        <v/>
      </c>
      <c r="K40" s="21">
        <f>SUMIFS('MP_MATAFUEGOS_FABRICADOS'!K:K,'MP_MATAFUEGOS_FABRICADOS'!$A:$A,$A40,'MP_MATAFUEGOS_FABRICADOS'!$B:$B,$B40)</f>
        <v/>
      </c>
      <c r="L40" s="21">
        <f>SUMIFS('MP_MATAFUEGOS_FABRICADOS'!L:L,'MP_MATAFUEGOS_FABRICADOS'!$A:$A,$A40,'MP_MATAFUEGOS_FABRICADOS'!$B:$B,$B40)</f>
        <v/>
      </c>
      <c r="M40" s="21">
        <f>SUMIFS('MP_MATAFUEGOS_FABRICADOS'!M:M,'MP_MATAFUEGOS_FABRICADOS'!$A:$A,$A40,'MP_MATAFUEGOS_FABRICADOS'!$B:$B,$B40)</f>
        <v/>
      </c>
      <c r="N40" s="21">
        <f>SUMIFS('MP_MATAFUEGOS_FABRICADOS'!N:N,'MP_MATAFUEGOS_FABRICADOS'!$A:$A,$A40,'MP_MATAFUEGOS_FABRICADOS'!$B:$B,$B40)</f>
        <v/>
      </c>
      <c r="O40" s="21">
        <f>SUMIFS('MP_MATAFUEGOS_FABRICADOS'!O:O,'MP_MATAFUEGOS_FABRICADOS'!$A:$A,$A40,'MP_MATAFUEGOS_FABRICADOS'!$B:$B,$B40)</f>
        <v/>
      </c>
    </row>
    <row r="41">
      <c r="A41" s="2" t="inlineStr">
        <is>
          <t>Junta tórica de asiento — Ø78 ext. × cordón 3</t>
        </is>
      </c>
      <c r="B41" s="2" t="inlineStr">
        <is>
          <t>u</t>
        </is>
      </c>
      <c r="C41" s="2" t="inlineStr">
        <is>
          <t>Componente comprado</t>
        </is>
      </c>
      <c r="D41" s="2" t="inlineStr">
        <is>
          <t>Argensold</t>
        </is>
      </c>
      <c r="E41" s="2" t="inlineStr">
        <is>
          <t>MP_MATAFUEGOS_FABRICADOS</t>
        </is>
      </c>
      <c r="F41" s="21">
        <f>SUMIFS('MP_MATAFUEGOS_FABRICADOS'!F:F,'MP_MATAFUEGOS_FABRICADOS'!$A:$A,$A41,'MP_MATAFUEGOS_FABRICADOS'!$B:$B,$B41)</f>
        <v/>
      </c>
      <c r="G41" s="21">
        <f>SUMIFS('MP_MATAFUEGOS_FABRICADOS'!G:G,'MP_MATAFUEGOS_FABRICADOS'!$A:$A,$A41,'MP_MATAFUEGOS_FABRICADOS'!$B:$B,$B41)</f>
        <v/>
      </c>
      <c r="H41" s="21">
        <f>SUMIFS('MP_MATAFUEGOS_FABRICADOS'!H:H,'MP_MATAFUEGOS_FABRICADOS'!$A:$A,$A41,'MP_MATAFUEGOS_FABRICADOS'!$B:$B,$B41)</f>
        <v/>
      </c>
      <c r="I41" s="21">
        <f>SUMIFS('MP_MATAFUEGOS_FABRICADOS'!I:I,'MP_MATAFUEGOS_FABRICADOS'!$A:$A,$A41,'MP_MATAFUEGOS_FABRICADOS'!$B:$B,$B41)</f>
        <v/>
      </c>
      <c r="J41" s="21">
        <f>SUMIFS('MP_MATAFUEGOS_FABRICADOS'!J:J,'MP_MATAFUEGOS_FABRICADOS'!$A:$A,$A41,'MP_MATAFUEGOS_FABRICADOS'!$B:$B,$B41)</f>
        <v/>
      </c>
      <c r="K41" s="21">
        <f>SUMIFS('MP_MATAFUEGOS_FABRICADOS'!K:K,'MP_MATAFUEGOS_FABRICADOS'!$A:$A,$A41,'MP_MATAFUEGOS_FABRICADOS'!$B:$B,$B41)</f>
        <v/>
      </c>
      <c r="L41" s="21">
        <f>SUMIFS('MP_MATAFUEGOS_FABRICADOS'!L:L,'MP_MATAFUEGOS_FABRICADOS'!$A:$A,$A41,'MP_MATAFUEGOS_FABRICADOS'!$B:$B,$B41)</f>
        <v/>
      </c>
      <c r="M41" s="21">
        <f>SUMIFS('MP_MATAFUEGOS_FABRICADOS'!M:M,'MP_MATAFUEGOS_FABRICADOS'!$A:$A,$A41,'MP_MATAFUEGOS_FABRICADOS'!$B:$B,$B41)</f>
        <v/>
      </c>
      <c r="N41" s="21">
        <f>SUMIFS('MP_MATAFUEGOS_FABRICADOS'!N:N,'MP_MATAFUEGOS_FABRICADOS'!$A:$A,$A41,'MP_MATAFUEGOS_FABRICADOS'!$B:$B,$B41)</f>
        <v/>
      </c>
      <c r="O41" s="21">
        <f>SUMIFS('MP_MATAFUEGOS_FABRICADOS'!O:O,'MP_MATAFUEGOS_FABRICADOS'!$A:$A,$A41,'MP_MATAFUEGOS_FABRICADOS'!$B:$B,$B41)</f>
        <v/>
      </c>
    </row>
    <row r="42">
      <c r="A42" s="2" t="inlineStr">
        <is>
          <t>Manguera (tramo enrollado) — Ø25 × 1.219 de largo desarrollado</t>
        </is>
      </c>
      <c r="B42" s="2" t="inlineStr">
        <is>
          <t>u</t>
        </is>
      </c>
      <c r="C42" s="2" t="inlineStr">
        <is>
          <t>Componente comprado</t>
        </is>
      </c>
      <c r="D42" s="2" t="inlineStr">
        <is>
          <t>Yukon / MatafuegosYa S.R.L.</t>
        </is>
      </c>
      <c r="E42" s="2" t="inlineStr">
        <is>
          <t>MP_MATAFUEGOS_FABRICADOS</t>
        </is>
      </c>
      <c r="F42" s="21">
        <f>SUMIFS('MP_MATAFUEGOS_FABRICADOS'!F:F,'MP_MATAFUEGOS_FABRICADOS'!$A:$A,$A42,'MP_MATAFUEGOS_FABRICADOS'!$B:$B,$B42)</f>
        <v/>
      </c>
      <c r="G42" s="21">
        <f>SUMIFS('MP_MATAFUEGOS_FABRICADOS'!G:G,'MP_MATAFUEGOS_FABRICADOS'!$A:$A,$A42,'MP_MATAFUEGOS_FABRICADOS'!$B:$B,$B42)</f>
        <v/>
      </c>
      <c r="H42" s="21">
        <f>SUMIFS('MP_MATAFUEGOS_FABRICADOS'!H:H,'MP_MATAFUEGOS_FABRICADOS'!$A:$A,$A42,'MP_MATAFUEGOS_FABRICADOS'!$B:$B,$B42)</f>
        <v/>
      </c>
      <c r="I42" s="21">
        <f>SUMIFS('MP_MATAFUEGOS_FABRICADOS'!I:I,'MP_MATAFUEGOS_FABRICADOS'!$A:$A,$A42,'MP_MATAFUEGOS_FABRICADOS'!$B:$B,$B42)</f>
        <v/>
      </c>
      <c r="J42" s="21">
        <f>SUMIFS('MP_MATAFUEGOS_FABRICADOS'!J:J,'MP_MATAFUEGOS_FABRICADOS'!$A:$A,$A42,'MP_MATAFUEGOS_FABRICADOS'!$B:$B,$B42)</f>
        <v/>
      </c>
      <c r="K42" s="21">
        <f>SUMIFS('MP_MATAFUEGOS_FABRICADOS'!K:K,'MP_MATAFUEGOS_FABRICADOS'!$A:$A,$A42,'MP_MATAFUEGOS_FABRICADOS'!$B:$B,$B42)</f>
        <v/>
      </c>
      <c r="L42" s="21">
        <f>SUMIFS('MP_MATAFUEGOS_FABRICADOS'!L:L,'MP_MATAFUEGOS_FABRICADOS'!$A:$A,$A42,'MP_MATAFUEGOS_FABRICADOS'!$B:$B,$B42)</f>
        <v/>
      </c>
      <c r="M42" s="21">
        <f>SUMIFS('MP_MATAFUEGOS_FABRICADOS'!M:M,'MP_MATAFUEGOS_FABRICADOS'!$A:$A,$A42,'MP_MATAFUEGOS_FABRICADOS'!$B:$B,$B42)</f>
        <v/>
      </c>
      <c r="N42" s="21">
        <f>SUMIFS('MP_MATAFUEGOS_FABRICADOS'!N:N,'MP_MATAFUEGOS_FABRICADOS'!$A:$A,$A42,'MP_MATAFUEGOS_FABRICADOS'!$B:$B,$B42)</f>
        <v/>
      </c>
      <c r="O42" s="21">
        <f>SUMIFS('MP_MATAFUEGOS_FABRICADOS'!O:O,'MP_MATAFUEGOS_FABRICADOS'!$A:$A,$A42,'MP_MATAFUEGOS_FABRICADOS'!$B:$B,$B42)</f>
        <v/>
      </c>
    </row>
    <row r="43">
      <c r="A43" s="2" t="inlineStr">
        <is>
          <t>Manguera (tramo enrollado) — Ø25 × 1.321 de largo desarrollado</t>
        </is>
      </c>
      <c r="B43" s="2" t="inlineStr">
        <is>
          <t>u</t>
        </is>
      </c>
      <c r="C43" s="2" t="inlineStr">
        <is>
          <t>Componente comprado</t>
        </is>
      </c>
      <c r="D43" s="2" t="inlineStr">
        <is>
          <t>Yukon / MatafuegosYa S.R.L.</t>
        </is>
      </c>
      <c r="E43" s="2" t="inlineStr">
        <is>
          <t>MP_MATAFUEGOS_FABRICADOS</t>
        </is>
      </c>
      <c r="F43" s="21">
        <f>SUMIFS('MP_MATAFUEGOS_FABRICADOS'!F:F,'MP_MATAFUEGOS_FABRICADOS'!$A:$A,$A43,'MP_MATAFUEGOS_FABRICADOS'!$B:$B,$B43)</f>
        <v/>
      </c>
      <c r="G43" s="21">
        <f>SUMIFS('MP_MATAFUEGOS_FABRICADOS'!G:G,'MP_MATAFUEGOS_FABRICADOS'!$A:$A,$A43,'MP_MATAFUEGOS_FABRICADOS'!$B:$B,$B43)</f>
        <v/>
      </c>
      <c r="H43" s="21">
        <f>SUMIFS('MP_MATAFUEGOS_FABRICADOS'!H:H,'MP_MATAFUEGOS_FABRICADOS'!$A:$A,$A43,'MP_MATAFUEGOS_FABRICADOS'!$B:$B,$B43)</f>
        <v/>
      </c>
      <c r="I43" s="21">
        <f>SUMIFS('MP_MATAFUEGOS_FABRICADOS'!I:I,'MP_MATAFUEGOS_FABRICADOS'!$A:$A,$A43,'MP_MATAFUEGOS_FABRICADOS'!$B:$B,$B43)</f>
        <v/>
      </c>
      <c r="J43" s="21">
        <f>SUMIFS('MP_MATAFUEGOS_FABRICADOS'!J:J,'MP_MATAFUEGOS_FABRICADOS'!$A:$A,$A43,'MP_MATAFUEGOS_FABRICADOS'!$B:$B,$B43)</f>
        <v/>
      </c>
      <c r="K43" s="21">
        <f>SUMIFS('MP_MATAFUEGOS_FABRICADOS'!K:K,'MP_MATAFUEGOS_FABRICADOS'!$A:$A,$A43,'MP_MATAFUEGOS_FABRICADOS'!$B:$B,$B43)</f>
        <v/>
      </c>
      <c r="L43" s="21">
        <f>SUMIFS('MP_MATAFUEGOS_FABRICADOS'!L:L,'MP_MATAFUEGOS_FABRICADOS'!$A:$A,$A43,'MP_MATAFUEGOS_FABRICADOS'!$B:$B,$B43)</f>
        <v/>
      </c>
      <c r="M43" s="21">
        <f>SUMIFS('MP_MATAFUEGOS_FABRICADOS'!M:M,'MP_MATAFUEGOS_FABRICADOS'!$A:$A,$A43,'MP_MATAFUEGOS_FABRICADOS'!$B:$B,$B43)</f>
        <v/>
      </c>
      <c r="N43" s="21">
        <f>SUMIFS('MP_MATAFUEGOS_FABRICADOS'!N:N,'MP_MATAFUEGOS_FABRICADOS'!$A:$A,$A43,'MP_MATAFUEGOS_FABRICADOS'!$B:$B,$B43)</f>
        <v/>
      </c>
      <c r="O43" s="21">
        <f>SUMIFS('MP_MATAFUEGOS_FABRICADOS'!O:O,'MP_MATAFUEGOS_FABRICADOS'!$A:$A,$A43,'MP_MATAFUEGOS_FABRICADOS'!$B:$B,$B43)</f>
        <v/>
      </c>
    </row>
    <row r="44">
      <c r="A44" s="2" t="inlineStr">
        <is>
          <t>Manguera (tramo enrollado) — Ø25 × 1.664 de largo desarrollado</t>
        </is>
      </c>
      <c r="B44" s="2" t="inlineStr">
        <is>
          <t>u</t>
        </is>
      </c>
      <c r="C44" s="2" t="inlineStr">
        <is>
          <t>Componente comprado</t>
        </is>
      </c>
      <c r="D44" s="2" t="inlineStr">
        <is>
          <t>Yukon / MatafuegosYa S.R.L.</t>
        </is>
      </c>
      <c r="E44" s="2" t="inlineStr">
        <is>
          <t>MP_MATAFUEGOS_FABRICADOS</t>
        </is>
      </c>
      <c r="F44" s="21">
        <f>SUMIFS('MP_MATAFUEGOS_FABRICADOS'!F:F,'MP_MATAFUEGOS_FABRICADOS'!$A:$A,$A44,'MP_MATAFUEGOS_FABRICADOS'!$B:$B,$B44)</f>
        <v/>
      </c>
      <c r="G44" s="21">
        <f>SUMIFS('MP_MATAFUEGOS_FABRICADOS'!G:G,'MP_MATAFUEGOS_FABRICADOS'!$A:$A,$A44,'MP_MATAFUEGOS_FABRICADOS'!$B:$B,$B44)</f>
        <v/>
      </c>
      <c r="H44" s="21">
        <f>SUMIFS('MP_MATAFUEGOS_FABRICADOS'!H:H,'MP_MATAFUEGOS_FABRICADOS'!$A:$A,$A44,'MP_MATAFUEGOS_FABRICADOS'!$B:$B,$B44)</f>
        <v/>
      </c>
      <c r="I44" s="21">
        <f>SUMIFS('MP_MATAFUEGOS_FABRICADOS'!I:I,'MP_MATAFUEGOS_FABRICADOS'!$A:$A,$A44,'MP_MATAFUEGOS_FABRICADOS'!$B:$B,$B44)</f>
        <v/>
      </c>
      <c r="J44" s="21">
        <f>SUMIFS('MP_MATAFUEGOS_FABRICADOS'!J:J,'MP_MATAFUEGOS_FABRICADOS'!$A:$A,$A44,'MP_MATAFUEGOS_FABRICADOS'!$B:$B,$B44)</f>
        <v/>
      </c>
      <c r="K44" s="21">
        <f>SUMIFS('MP_MATAFUEGOS_FABRICADOS'!K:K,'MP_MATAFUEGOS_FABRICADOS'!$A:$A,$A44,'MP_MATAFUEGOS_FABRICADOS'!$B:$B,$B44)</f>
        <v/>
      </c>
      <c r="L44" s="21">
        <f>SUMIFS('MP_MATAFUEGOS_FABRICADOS'!L:L,'MP_MATAFUEGOS_FABRICADOS'!$A:$A,$A44,'MP_MATAFUEGOS_FABRICADOS'!$B:$B,$B44)</f>
        <v/>
      </c>
      <c r="M44" s="21">
        <f>SUMIFS('MP_MATAFUEGOS_FABRICADOS'!M:M,'MP_MATAFUEGOS_FABRICADOS'!$A:$A,$A44,'MP_MATAFUEGOS_FABRICADOS'!$B:$B,$B44)</f>
        <v/>
      </c>
      <c r="N44" s="21">
        <f>SUMIFS('MP_MATAFUEGOS_FABRICADOS'!N:N,'MP_MATAFUEGOS_FABRICADOS'!$A:$A,$A44,'MP_MATAFUEGOS_FABRICADOS'!$B:$B,$B44)</f>
        <v/>
      </c>
      <c r="O44" s="21">
        <f>SUMIFS('MP_MATAFUEGOS_FABRICADOS'!O:O,'MP_MATAFUEGOS_FABRICADOS'!$A:$A,$A44,'MP_MATAFUEGOS_FABRICADOS'!$B:$B,$B44)</f>
        <v/>
      </c>
    </row>
    <row r="45">
      <c r="A45" s="2" t="inlineStr">
        <is>
          <t>Manguera (tramo enrollado) — Ø25 × 968 de largo desarrollado</t>
        </is>
      </c>
      <c r="B45" s="2" t="inlineStr">
        <is>
          <t>u</t>
        </is>
      </c>
      <c r="C45" s="2" t="inlineStr">
        <is>
          <t>Componente comprado</t>
        </is>
      </c>
      <c r="D45" s="2" t="inlineStr">
        <is>
          <t>Yukon / MatafuegosYa S.R.L.</t>
        </is>
      </c>
      <c r="E45" s="2" t="inlineStr">
        <is>
          <t>MP_MATAFUEGOS_FABRICADOS</t>
        </is>
      </c>
      <c r="F45" s="21">
        <f>SUMIFS('MP_MATAFUEGOS_FABRICADOS'!F:F,'MP_MATAFUEGOS_FABRICADOS'!$A:$A,$A45,'MP_MATAFUEGOS_FABRICADOS'!$B:$B,$B45)</f>
        <v/>
      </c>
      <c r="G45" s="21">
        <f>SUMIFS('MP_MATAFUEGOS_FABRICADOS'!G:G,'MP_MATAFUEGOS_FABRICADOS'!$A:$A,$A45,'MP_MATAFUEGOS_FABRICADOS'!$B:$B,$B45)</f>
        <v/>
      </c>
      <c r="H45" s="21">
        <f>SUMIFS('MP_MATAFUEGOS_FABRICADOS'!H:H,'MP_MATAFUEGOS_FABRICADOS'!$A:$A,$A45,'MP_MATAFUEGOS_FABRICADOS'!$B:$B,$B45)</f>
        <v/>
      </c>
      <c r="I45" s="21">
        <f>SUMIFS('MP_MATAFUEGOS_FABRICADOS'!I:I,'MP_MATAFUEGOS_FABRICADOS'!$A:$A,$A45,'MP_MATAFUEGOS_FABRICADOS'!$B:$B,$B45)</f>
        <v/>
      </c>
      <c r="J45" s="21">
        <f>SUMIFS('MP_MATAFUEGOS_FABRICADOS'!J:J,'MP_MATAFUEGOS_FABRICADOS'!$A:$A,$A45,'MP_MATAFUEGOS_FABRICADOS'!$B:$B,$B45)</f>
        <v/>
      </c>
      <c r="K45" s="21">
        <f>SUMIFS('MP_MATAFUEGOS_FABRICADOS'!K:K,'MP_MATAFUEGOS_FABRICADOS'!$A:$A,$A45,'MP_MATAFUEGOS_FABRICADOS'!$B:$B,$B45)</f>
        <v/>
      </c>
      <c r="L45" s="21">
        <f>SUMIFS('MP_MATAFUEGOS_FABRICADOS'!L:L,'MP_MATAFUEGOS_FABRICADOS'!$A:$A,$A45,'MP_MATAFUEGOS_FABRICADOS'!$B:$B,$B45)</f>
        <v/>
      </c>
      <c r="M45" s="21">
        <f>SUMIFS('MP_MATAFUEGOS_FABRICADOS'!M:M,'MP_MATAFUEGOS_FABRICADOS'!$A:$A,$A45,'MP_MATAFUEGOS_FABRICADOS'!$B:$B,$B45)</f>
        <v/>
      </c>
      <c r="N45" s="21">
        <f>SUMIFS('MP_MATAFUEGOS_FABRICADOS'!N:N,'MP_MATAFUEGOS_FABRICADOS'!$A:$A,$A45,'MP_MATAFUEGOS_FABRICADOS'!$B:$B,$B45)</f>
        <v/>
      </c>
      <c r="O45" s="21">
        <f>SUMIFS('MP_MATAFUEGOS_FABRICADOS'!O:O,'MP_MATAFUEGOS_FABRICADOS'!$A:$A,$A45,'MP_MATAFUEGOS_FABRICADOS'!$B:$B,$B45)</f>
        <v/>
      </c>
    </row>
    <row r="46">
      <c r="A46" s="2" t="inlineStr">
        <is>
          <t>Manguera — Ø16 × 1.053 de largo desarrollado</t>
        </is>
      </c>
      <c r="B46" s="2" t="inlineStr">
        <is>
          <t>u</t>
        </is>
      </c>
      <c r="C46" s="2" t="inlineStr">
        <is>
          <t>Componente comprado</t>
        </is>
      </c>
      <c r="D46" s="2" t="inlineStr">
        <is>
          <t>Yukon / MatafuegosYa S.R.L.</t>
        </is>
      </c>
      <c r="E46" s="2" t="inlineStr">
        <is>
          <t>MP_MATAFUEGOS_FABRICADOS</t>
        </is>
      </c>
      <c r="F46" s="21">
        <f>SUMIFS('MP_MATAFUEGOS_FABRICADOS'!F:F,'MP_MATAFUEGOS_FABRICADOS'!$A:$A,$A46,'MP_MATAFUEGOS_FABRICADOS'!$B:$B,$B46)</f>
        <v/>
      </c>
      <c r="G46" s="21">
        <f>SUMIFS('MP_MATAFUEGOS_FABRICADOS'!G:G,'MP_MATAFUEGOS_FABRICADOS'!$A:$A,$A46,'MP_MATAFUEGOS_FABRICADOS'!$B:$B,$B46)</f>
        <v/>
      </c>
      <c r="H46" s="21">
        <f>SUMIFS('MP_MATAFUEGOS_FABRICADOS'!H:H,'MP_MATAFUEGOS_FABRICADOS'!$A:$A,$A46,'MP_MATAFUEGOS_FABRICADOS'!$B:$B,$B46)</f>
        <v/>
      </c>
      <c r="I46" s="21">
        <f>SUMIFS('MP_MATAFUEGOS_FABRICADOS'!I:I,'MP_MATAFUEGOS_FABRICADOS'!$A:$A,$A46,'MP_MATAFUEGOS_FABRICADOS'!$B:$B,$B46)</f>
        <v/>
      </c>
      <c r="J46" s="21">
        <f>SUMIFS('MP_MATAFUEGOS_FABRICADOS'!J:J,'MP_MATAFUEGOS_FABRICADOS'!$A:$A,$A46,'MP_MATAFUEGOS_FABRICADOS'!$B:$B,$B46)</f>
        <v/>
      </c>
      <c r="K46" s="21">
        <f>SUMIFS('MP_MATAFUEGOS_FABRICADOS'!K:K,'MP_MATAFUEGOS_FABRICADOS'!$A:$A,$A46,'MP_MATAFUEGOS_FABRICADOS'!$B:$B,$B46)</f>
        <v/>
      </c>
      <c r="L46" s="21">
        <f>SUMIFS('MP_MATAFUEGOS_FABRICADOS'!L:L,'MP_MATAFUEGOS_FABRICADOS'!$A:$A,$A46,'MP_MATAFUEGOS_FABRICADOS'!$B:$B,$B46)</f>
        <v/>
      </c>
      <c r="M46" s="21">
        <f>SUMIFS('MP_MATAFUEGOS_FABRICADOS'!M:M,'MP_MATAFUEGOS_FABRICADOS'!$A:$A,$A46,'MP_MATAFUEGOS_FABRICADOS'!$B:$B,$B46)</f>
        <v/>
      </c>
      <c r="N46" s="21">
        <f>SUMIFS('MP_MATAFUEGOS_FABRICADOS'!N:N,'MP_MATAFUEGOS_FABRICADOS'!$A:$A,$A46,'MP_MATAFUEGOS_FABRICADOS'!$B:$B,$B46)</f>
        <v/>
      </c>
      <c r="O46" s="21">
        <f>SUMIFS('MP_MATAFUEGOS_FABRICADOS'!O:O,'MP_MATAFUEGOS_FABRICADOS'!$A:$A,$A46,'MP_MATAFUEGOS_FABRICADOS'!$B:$B,$B46)</f>
        <v/>
      </c>
    </row>
    <row r="47">
      <c r="A47" s="2" t="inlineStr">
        <is>
          <t>Manguera — Ø16 × 238 de largo desarrollado</t>
        </is>
      </c>
      <c r="B47" s="2" t="inlineStr">
        <is>
          <t>u</t>
        </is>
      </c>
      <c r="C47" s="2" t="inlineStr">
        <is>
          <t>Componente comprado</t>
        </is>
      </c>
      <c r="D47" s="2" t="inlineStr">
        <is>
          <t>Yukon / MatafuegosYa S.R.L.</t>
        </is>
      </c>
      <c r="E47" s="2" t="inlineStr">
        <is>
          <t>MP_MATAFUEGOS_FABRICADOS</t>
        </is>
      </c>
      <c r="F47" s="21">
        <f>SUMIFS('MP_MATAFUEGOS_FABRICADOS'!F:F,'MP_MATAFUEGOS_FABRICADOS'!$A:$A,$A47,'MP_MATAFUEGOS_FABRICADOS'!$B:$B,$B47)</f>
        <v/>
      </c>
      <c r="G47" s="21">
        <f>SUMIFS('MP_MATAFUEGOS_FABRICADOS'!G:G,'MP_MATAFUEGOS_FABRICADOS'!$A:$A,$A47,'MP_MATAFUEGOS_FABRICADOS'!$B:$B,$B47)</f>
        <v/>
      </c>
      <c r="H47" s="21">
        <f>SUMIFS('MP_MATAFUEGOS_FABRICADOS'!H:H,'MP_MATAFUEGOS_FABRICADOS'!$A:$A,$A47,'MP_MATAFUEGOS_FABRICADOS'!$B:$B,$B47)</f>
        <v/>
      </c>
      <c r="I47" s="21">
        <f>SUMIFS('MP_MATAFUEGOS_FABRICADOS'!I:I,'MP_MATAFUEGOS_FABRICADOS'!$A:$A,$A47,'MP_MATAFUEGOS_FABRICADOS'!$B:$B,$B47)</f>
        <v/>
      </c>
      <c r="J47" s="21">
        <f>SUMIFS('MP_MATAFUEGOS_FABRICADOS'!J:J,'MP_MATAFUEGOS_FABRICADOS'!$A:$A,$A47,'MP_MATAFUEGOS_FABRICADOS'!$B:$B,$B47)</f>
        <v/>
      </c>
      <c r="K47" s="21">
        <f>SUMIFS('MP_MATAFUEGOS_FABRICADOS'!K:K,'MP_MATAFUEGOS_FABRICADOS'!$A:$A,$A47,'MP_MATAFUEGOS_FABRICADOS'!$B:$B,$B47)</f>
        <v/>
      </c>
      <c r="L47" s="21">
        <f>SUMIFS('MP_MATAFUEGOS_FABRICADOS'!L:L,'MP_MATAFUEGOS_FABRICADOS'!$A:$A,$A47,'MP_MATAFUEGOS_FABRICADOS'!$B:$B,$B47)</f>
        <v/>
      </c>
      <c r="M47" s="21">
        <f>SUMIFS('MP_MATAFUEGOS_FABRICADOS'!M:M,'MP_MATAFUEGOS_FABRICADOS'!$A:$A,$A47,'MP_MATAFUEGOS_FABRICADOS'!$B:$B,$B47)</f>
        <v/>
      </c>
      <c r="N47" s="21">
        <f>SUMIFS('MP_MATAFUEGOS_FABRICADOS'!N:N,'MP_MATAFUEGOS_FABRICADOS'!$A:$A,$A47,'MP_MATAFUEGOS_FABRICADOS'!$B:$B,$B47)</f>
        <v/>
      </c>
      <c r="O47" s="21">
        <f>SUMIFS('MP_MATAFUEGOS_FABRICADOS'!O:O,'MP_MATAFUEGOS_FABRICADOS'!$A:$A,$A47,'MP_MATAFUEGOS_FABRICADOS'!$B:$B,$B47)</f>
        <v/>
      </c>
    </row>
    <row r="48">
      <c r="A48" s="2" t="inlineStr">
        <is>
          <t>Manguera — Ø16 × 328 de largo desarrollado</t>
        </is>
      </c>
      <c r="B48" s="2" t="inlineStr">
        <is>
          <t>u</t>
        </is>
      </c>
      <c r="C48" s="2" t="inlineStr">
        <is>
          <t>Componente comprado</t>
        </is>
      </c>
      <c r="D48" s="2" t="inlineStr">
        <is>
          <t>Yukon / MatafuegosYa S.R.L.</t>
        </is>
      </c>
      <c r="E48" s="2" t="inlineStr">
        <is>
          <t>MP_MATAFUEGOS_FABRICADOS</t>
        </is>
      </c>
      <c r="F48" s="21">
        <f>SUMIFS('MP_MATAFUEGOS_FABRICADOS'!F:F,'MP_MATAFUEGOS_FABRICADOS'!$A:$A,$A48,'MP_MATAFUEGOS_FABRICADOS'!$B:$B,$B48)</f>
        <v/>
      </c>
      <c r="G48" s="21">
        <f>SUMIFS('MP_MATAFUEGOS_FABRICADOS'!G:G,'MP_MATAFUEGOS_FABRICADOS'!$A:$A,$A48,'MP_MATAFUEGOS_FABRICADOS'!$B:$B,$B48)</f>
        <v/>
      </c>
      <c r="H48" s="21">
        <f>SUMIFS('MP_MATAFUEGOS_FABRICADOS'!H:H,'MP_MATAFUEGOS_FABRICADOS'!$A:$A,$A48,'MP_MATAFUEGOS_FABRICADOS'!$B:$B,$B48)</f>
        <v/>
      </c>
      <c r="I48" s="21">
        <f>SUMIFS('MP_MATAFUEGOS_FABRICADOS'!I:I,'MP_MATAFUEGOS_FABRICADOS'!$A:$A,$A48,'MP_MATAFUEGOS_FABRICADOS'!$B:$B,$B48)</f>
        <v/>
      </c>
      <c r="J48" s="21">
        <f>SUMIFS('MP_MATAFUEGOS_FABRICADOS'!J:J,'MP_MATAFUEGOS_FABRICADOS'!$A:$A,$A48,'MP_MATAFUEGOS_FABRICADOS'!$B:$B,$B48)</f>
        <v/>
      </c>
      <c r="K48" s="21">
        <f>SUMIFS('MP_MATAFUEGOS_FABRICADOS'!K:K,'MP_MATAFUEGOS_FABRICADOS'!$A:$A,$A48,'MP_MATAFUEGOS_FABRICADOS'!$B:$B,$B48)</f>
        <v/>
      </c>
      <c r="L48" s="21">
        <f>SUMIFS('MP_MATAFUEGOS_FABRICADOS'!L:L,'MP_MATAFUEGOS_FABRICADOS'!$A:$A,$A48,'MP_MATAFUEGOS_FABRICADOS'!$B:$B,$B48)</f>
        <v/>
      </c>
      <c r="M48" s="21">
        <f>SUMIFS('MP_MATAFUEGOS_FABRICADOS'!M:M,'MP_MATAFUEGOS_FABRICADOS'!$A:$A,$A48,'MP_MATAFUEGOS_FABRICADOS'!$B:$B,$B48)</f>
        <v/>
      </c>
      <c r="N48" s="21">
        <f>SUMIFS('MP_MATAFUEGOS_FABRICADOS'!N:N,'MP_MATAFUEGOS_FABRICADOS'!$A:$A,$A48,'MP_MATAFUEGOS_FABRICADOS'!$B:$B,$B48)</f>
        <v/>
      </c>
      <c r="O48" s="21">
        <f>SUMIFS('MP_MATAFUEGOS_FABRICADOS'!O:O,'MP_MATAFUEGOS_FABRICADOS'!$A:$A,$A48,'MP_MATAFUEGOS_FABRICADOS'!$B:$B,$B48)</f>
        <v/>
      </c>
    </row>
    <row r="49">
      <c r="A49" s="2" t="inlineStr">
        <is>
          <t>Manguera — Ø16 × 517 de largo desarrollado</t>
        </is>
      </c>
      <c r="B49" s="2" t="inlineStr">
        <is>
          <t>u</t>
        </is>
      </c>
      <c r="C49" s="2" t="inlineStr">
        <is>
          <t>Componente comprado</t>
        </is>
      </c>
      <c r="D49" s="2" t="inlineStr">
        <is>
          <t>Yukon / MatafuegosYa S.R.L.</t>
        </is>
      </c>
      <c r="E49" s="2" t="inlineStr">
        <is>
          <t>MP_MATAFUEGOS_FABRICADOS</t>
        </is>
      </c>
      <c r="F49" s="21">
        <f>SUMIFS('MP_MATAFUEGOS_FABRICADOS'!F:F,'MP_MATAFUEGOS_FABRICADOS'!$A:$A,$A49,'MP_MATAFUEGOS_FABRICADOS'!$B:$B,$B49)</f>
        <v/>
      </c>
      <c r="G49" s="21">
        <f>SUMIFS('MP_MATAFUEGOS_FABRICADOS'!G:G,'MP_MATAFUEGOS_FABRICADOS'!$A:$A,$A49,'MP_MATAFUEGOS_FABRICADOS'!$B:$B,$B49)</f>
        <v/>
      </c>
      <c r="H49" s="21">
        <f>SUMIFS('MP_MATAFUEGOS_FABRICADOS'!H:H,'MP_MATAFUEGOS_FABRICADOS'!$A:$A,$A49,'MP_MATAFUEGOS_FABRICADOS'!$B:$B,$B49)</f>
        <v/>
      </c>
      <c r="I49" s="21">
        <f>SUMIFS('MP_MATAFUEGOS_FABRICADOS'!I:I,'MP_MATAFUEGOS_FABRICADOS'!$A:$A,$A49,'MP_MATAFUEGOS_FABRICADOS'!$B:$B,$B49)</f>
        <v/>
      </c>
      <c r="J49" s="21">
        <f>SUMIFS('MP_MATAFUEGOS_FABRICADOS'!J:J,'MP_MATAFUEGOS_FABRICADOS'!$A:$A,$A49,'MP_MATAFUEGOS_FABRICADOS'!$B:$B,$B49)</f>
        <v/>
      </c>
      <c r="K49" s="21">
        <f>SUMIFS('MP_MATAFUEGOS_FABRICADOS'!K:K,'MP_MATAFUEGOS_FABRICADOS'!$A:$A,$A49,'MP_MATAFUEGOS_FABRICADOS'!$B:$B,$B49)</f>
        <v/>
      </c>
      <c r="L49" s="21">
        <f>SUMIFS('MP_MATAFUEGOS_FABRICADOS'!L:L,'MP_MATAFUEGOS_FABRICADOS'!$A:$A,$A49,'MP_MATAFUEGOS_FABRICADOS'!$B:$B,$B49)</f>
        <v/>
      </c>
      <c r="M49" s="21">
        <f>SUMIFS('MP_MATAFUEGOS_FABRICADOS'!M:M,'MP_MATAFUEGOS_FABRICADOS'!$A:$A,$A49,'MP_MATAFUEGOS_FABRICADOS'!$B:$B,$B49)</f>
        <v/>
      </c>
      <c r="N49" s="21">
        <f>SUMIFS('MP_MATAFUEGOS_FABRICADOS'!N:N,'MP_MATAFUEGOS_FABRICADOS'!$A:$A,$A49,'MP_MATAFUEGOS_FABRICADOS'!$B:$B,$B49)</f>
        <v/>
      </c>
      <c r="O49" s="21">
        <f>SUMIFS('MP_MATAFUEGOS_FABRICADOS'!O:O,'MP_MATAFUEGOS_FABRICADOS'!$A:$A,$A49,'MP_MATAFUEGOS_FABRICADOS'!$B:$B,$B49)</f>
        <v/>
      </c>
    </row>
    <row r="50">
      <c r="A50" s="2" t="inlineStr">
        <is>
          <t>Manguera — Ø16 × 656 de largo desarrollado</t>
        </is>
      </c>
      <c r="B50" s="2" t="inlineStr">
        <is>
          <t>u</t>
        </is>
      </c>
      <c r="C50" s="2" t="inlineStr">
        <is>
          <t>Componente comprado</t>
        </is>
      </c>
      <c r="D50" s="2" t="inlineStr">
        <is>
          <t>Yukon / MatafuegosYa S.R.L.</t>
        </is>
      </c>
      <c r="E50" s="2" t="inlineStr">
        <is>
          <t>MP_MATAFUEGOS_FABRICADOS</t>
        </is>
      </c>
      <c r="F50" s="21">
        <f>SUMIFS('MP_MATAFUEGOS_FABRICADOS'!F:F,'MP_MATAFUEGOS_FABRICADOS'!$A:$A,$A50,'MP_MATAFUEGOS_FABRICADOS'!$B:$B,$B50)</f>
        <v/>
      </c>
      <c r="G50" s="21">
        <f>SUMIFS('MP_MATAFUEGOS_FABRICADOS'!G:G,'MP_MATAFUEGOS_FABRICADOS'!$A:$A,$A50,'MP_MATAFUEGOS_FABRICADOS'!$B:$B,$B50)</f>
        <v/>
      </c>
      <c r="H50" s="21">
        <f>SUMIFS('MP_MATAFUEGOS_FABRICADOS'!H:H,'MP_MATAFUEGOS_FABRICADOS'!$A:$A,$A50,'MP_MATAFUEGOS_FABRICADOS'!$B:$B,$B50)</f>
        <v/>
      </c>
      <c r="I50" s="21">
        <f>SUMIFS('MP_MATAFUEGOS_FABRICADOS'!I:I,'MP_MATAFUEGOS_FABRICADOS'!$A:$A,$A50,'MP_MATAFUEGOS_FABRICADOS'!$B:$B,$B50)</f>
        <v/>
      </c>
      <c r="J50" s="21">
        <f>SUMIFS('MP_MATAFUEGOS_FABRICADOS'!J:J,'MP_MATAFUEGOS_FABRICADOS'!$A:$A,$A50,'MP_MATAFUEGOS_FABRICADOS'!$B:$B,$B50)</f>
        <v/>
      </c>
      <c r="K50" s="21">
        <f>SUMIFS('MP_MATAFUEGOS_FABRICADOS'!K:K,'MP_MATAFUEGOS_FABRICADOS'!$A:$A,$A50,'MP_MATAFUEGOS_FABRICADOS'!$B:$B,$B50)</f>
        <v/>
      </c>
      <c r="L50" s="21">
        <f>SUMIFS('MP_MATAFUEGOS_FABRICADOS'!L:L,'MP_MATAFUEGOS_FABRICADOS'!$A:$A,$A50,'MP_MATAFUEGOS_FABRICADOS'!$B:$B,$B50)</f>
        <v/>
      </c>
      <c r="M50" s="21">
        <f>SUMIFS('MP_MATAFUEGOS_FABRICADOS'!M:M,'MP_MATAFUEGOS_FABRICADOS'!$A:$A,$A50,'MP_MATAFUEGOS_FABRICADOS'!$B:$B,$B50)</f>
        <v/>
      </c>
      <c r="N50" s="21">
        <f>SUMIFS('MP_MATAFUEGOS_FABRICADOS'!N:N,'MP_MATAFUEGOS_FABRICADOS'!$A:$A,$A50,'MP_MATAFUEGOS_FABRICADOS'!$B:$B,$B50)</f>
        <v/>
      </c>
      <c r="O50" s="21">
        <f>SUMIFS('MP_MATAFUEGOS_FABRICADOS'!O:O,'MP_MATAFUEGOS_FABRICADOS'!$A:$A,$A50,'MP_MATAFUEGOS_FABRICADOS'!$B:$B,$B50)</f>
        <v/>
      </c>
    </row>
    <row r="51">
      <c r="A51" s="2" t="inlineStr">
        <is>
          <t>Manguera — Ø16 × 848 de largo desarrollado</t>
        </is>
      </c>
      <c r="B51" s="2" t="inlineStr">
        <is>
          <t>u</t>
        </is>
      </c>
      <c r="C51" s="2" t="inlineStr">
        <is>
          <t>Componente comprado</t>
        </is>
      </c>
      <c r="D51" s="2" t="inlineStr">
        <is>
          <t>Yukon / MatafuegosYa S.R.L.</t>
        </is>
      </c>
      <c r="E51" s="2" t="inlineStr">
        <is>
          <t>MP_MATAFUEGOS_FABRICADOS</t>
        </is>
      </c>
      <c r="F51" s="21">
        <f>SUMIFS('MP_MATAFUEGOS_FABRICADOS'!F:F,'MP_MATAFUEGOS_FABRICADOS'!$A:$A,$A51,'MP_MATAFUEGOS_FABRICADOS'!$B:$B,$B51)</f>
        <v/>
      </c>
      <c r="G51" s="21">
        <f>SUMIFS('MP_MATAFUEGOS_FABRICADOS'!G:G,'MP_MATAFUEGOS_FABRICADOS'!$A:$A,$A51,'MP_MATAFUEGOS_FABRICADOS'!$B:$B,$B51)</f>
        <v/>
      </c>
      <c r="H51" s="21">
        <f>SUMIFS('MP_MATAFUEGOS_FABRICADOS'!H:H,'MP_MATAFUEGOS_FABRICADOS'!$A:$A,$A51,'MP_MATAFUEGOS_FABRICADOS'!$B:$B,$B51)</f>
        <v/>
      </c>
      <c r="I51" s="21">
        <f>SUMIFS('MP_MATAFUEGOS_FABRICADOS'!I:I,'MP_MATAFUEGOS_FABRICADOS'!$A:$A,$A51,'MP_MATAFUEGOS_FABRICADOS'!$B:$B,$B51)</f>
        <v/>
      </c>
      <c r="J51" s="21">
        <f>SUMIFS('MP_MATAFUEGOS_FABRICADOS'!J:J,'MP_MATAFUEGOS_FABRICADOS'!$A:$A,$A51,'MP_MATAFUEGOS_FABRICADOS'!$B:$B,$B51)</f>
        <v/>
      </c>
      <c r="K51" s="21">
        <f>SUMIFS('MP_MATAFUEGOS_FABRICADOS'!K:K,'MP_MATAFUEGOS_FABRICADOS'!$A:$A,$A51,'MP_MATAFUEGOS_FABRICADOS'!$B:$B,$B51)</f>
        <v/>
      </c>
      <c r="L51" s="21">
        <f>SUMIFS('MP_MATAFUEGOS_FABRICADOS'!L:L,'MP_MATAFUEGOS_FABRICADOS'!$A:$A,$A51,'MP_MATAFUEGOS_FABRICADOS'!$B:$B,$B51)</f>
        <v/>
      </c>
      <c r="M51" s="21">
        <f>SUMIFS('MP_MATAFUEGOS_FABRICADOS'!M:M,'MP_MATAFUEGOS_FABRICADOS'!$A:$A,$A51,'MP_MATAFUEGOS_FABRICADOS'!$B:$B,$B51)</f>
        <v/>
      </c>
      <c r="N51" s="21">
        <f>SUMIFS('MP_MATAFUEGOS_FABRICADOS'!N:N,'MP_MATAFUEGOS_FABRICADOS'!$A:$A,$A51,'MP_MATAFUEGOS_FABRICADOS'!$B:$B,$B51)</f>
        <v/>
      </c>
      <c r="O51" s="21">
        <f>SUMIFS('MP_MATAFUEGOS_FABRICADOS'!O:O,'MP_MATAFUEGOS_FABRICADOS'!$A:$A,$A51,'MP_MATAFUEGOS_FABRICADOS'!$B:$B,$B51)</f>
        <v/>
      </c>
    </row>
    <row r="52">
      <c r="A52" s="2" t="inlineStr">
        <is>
          <t>Manguera — Ø16 × 999 de largo desarrollado</t>
        </is>
      </c>
      <c r="B52" s="2" t="inlineStr">
        <is>
          <t>u</t>
        </is>
      </c>
      <c r="C52" s="2" t="inlineStr">
        <is>
          <t>Componente comprado</t>
        </is>
      </c>
      <c r="D52" s="2" t="inlineStr">
        <is>
          <t>Yukon / MatafuegosYa S.R.L.</t>
        </is>
      </c>
      <c r="E52" s="2" t="inlineStr">
        <is>
          <t>MP_MATAFUEGOS_FABRICADOS</t>
        </is>
      </c>
      <c r="F52" s="21">
        <f>SUMIFS('MP_MATAFUEGOS_FABRICADOS'!F:F,'MP_MATAFUEGOS_FABRICADOS'!$A:$A,$A52,'MP_MATAFUEGOS_FABRICADOS'!$B:$B,$B52)</f>
        <v/>
      </c>
      <c r="G52" s="21">
        <f>SUMIFS('MP_MATAFUEGOS_FABRICADOS'!G:G,'MP_MATAFUEGOS_FABRICADOS'!$A:$A,$A52,'MP_MATAFUEGOS_FABRICADOS'!$B:$B,$B52)</f>
        <v/>
      </c>
      <c r="H52" s="21">
        <f>SUMIFS('MP_MATAFUEGOS_FABRICADOS'!H:H,'MP_MATAFUEGOS_FABRICADOS'!$A:$A,$A52,'MP_MATAFUEGOS_FABRICADOS'!$B:$B,$B52)</f>
        <v/>
      </c>
      <c r="I52" s="21">
        <f>SUMIFS('MP_MATAFUEGOS_FABRICADOS'!I:I,'MP_MATAFUEGOS_FABRICADOS'!$A:$A,$A52,'MP_MATAFUEGOS_FABRICADOS'!$B:$B,$B52)</f>
        <v/>
      </c>
      <c r="J52" s="21">
        <f>SUMIFS('MP_MATAFUEGOS_FABRICADOS'!J:J,'MP_MATAFUEGOS_FABRICADOS'!$A:$A,$A52,'MP_MATAFUEGOS_FABRICADOS'!$B:$B,$B52)</f>
        <v/>
      </c>
      <c r="K52" s="21">
        <f>SUMIFS('MP_MATAFUEGOS_FABRICADOS'!K:K,'MP_MATAFUEGOS_FABRICADOS'!$A:$A,$A52,'MP_MATAFUEGOS_FABRICADOS'!$B:$B,$B52)</f>
        <v/>
      </c>
      <c r="L52" s="21">
        <f>SUMIFS('MP_MATAFUEGOS_FABRICADOS'!L:L,'MP_MATAFUEGOS_FABRICADOS'!$A:$A,$A52,'MP_MATAFUEGOS_FABRICADOS'!$B:$B,$B52)</f>
        <v/>
      </c>
      <c r="M52" s="21">
        <f>SUMIFS('MP_MATAFUEGOS_FABRICADOS'!M:M,'MP_MATAFUEGOS_FABRICADOS'!$A:$A,$A52,'MP_MATAFUEGOS_FABRICADOS'!$B:$B,$B52)</f>
        <v/>
      </c>
      <c r="N52" s="21">
        <f>SUMIFS('MP_MATAFUEGOS_FABRICADOS'!N:N,'MP_MATAFUEGOS_FABRICADOS'!$A:$A,$A52,'MP_MATAFUEGOS_FABRICADOS'!$B:$B,$B52)</f>
        <v/>
      </c>
      <c r="O52" s="21">
        <f>SUMIFS('MP_MATAFUEGOS_FABRICADOS'!O:O,'MP_MATAFUEGOS_FABRICADOS'!$A:$A,$A52,'MP_MATAFUEGOS_FABRICADOS'!$B:$B,$B52)</f>
        <v/>
      </c>
    </row>
    <row r="53">
      <c r="A53" s="2" t="inlineStr">
        <is>
          <t>Manómetro — Ø36 esfera, rango 0-3,5 MPa, sector verde en 1,4</t>
        </is>
      </c>
      <c r="B53" s="2" t="inlineStr">
        <is>
          <t>u</t>
        </is>
      </c>
      <c r="C53" s="2" t="inlineStr">
        <is>
          <t>Componente comprado</t>
        </is>
      </c>
      <c r="D53" s="2" t="inlineStr">
        <is>
          <t>Yukon / MatafuegosYa S.R.L.</t>
        </is>
      </c>
      <c r="E53" s="2" t="inlineStr">
        <is>
          <t>MP_MATAFUEGOS_FABRICADOS</t>
        </is>
      </c>
      <c r="F53" s="21">
        <f>SUMIFS('MP_MATAFUEGOS_FABRICADOS'!F:F,'MP_MATAFUEGOS_FABRICADOS'!$A:$A,$A53,'MP_MATAFUEGOS_FABRICADOS'!$B:$B,$B53)</f>
        <v/>
      </c>
      <c r="G53" s="21">
        <f>SUMIFS('MP_MATAFUEGOS_FABRICADOS'!G:G,'MP_MATAFUEGOS_FABRICADOS'!$A:$A,$A53,'MP_MATAFUEGOS_FABRICADOS'!$B:$B,$B53)</f>
        <v/>
      </c>
      <c r="H53" s="21">
        <f>SUMIFS('MP_MATAFUEGOS_FABRICADOS'!H:H,'MP_MATAFUEGOS_FABRICADOS'!$A:$A,$A53,'MP_MATAFUEGOS_FABRICADOS'!$B:$B,$B53)</f>
        <v/>
      </c>
      <c r="I53" s="21">
        <f>SUMIFS('MP_MATAFUEGOS_FABRICADOS'!I:I,'MP_MATAFUEGOS_FABRICADOS'!$A:$A,$A53,'MP_MATAFUEGOS_FABRICADOS'!$B:$B,$B53)</f>
        <v/>
      </c>
      <c r="J53" s="21">
        <f>SUMIFS('MP_MATAFUEGOS_FABRICADOS'!J:J,'MP_MATAFUEGOS_FABRICADOS'!$A:$A,$A53,'MP_MATAFUEGOS_FABRICADOS'!$B:$B,$B53)</f>
        <v/>
      </c>
      <c r="K53" s="21">
        <f>SUMIFS('MP_MATAFUEGOS_FABRICADOS'!K:K,'MP_MATAFUEGOS_FABRICADOS'!$A:$A,$A53,'MP_MATAFUEGOS_FABRICADOS'!$B:$B,$B53)</f>
        <v/>
      </c>
      <c r="L53" s="21">
        <f>SUMIFS('MP_MATAFUEGOS_FABRICADOS'!L:L,'MP_MATAFUEGOS_FABRICADOS'!$A:$A,$A53,'MP_MATAFUEGOS_FABRICADOS'!$B:$B,$B53)</f>
        <v/>
      </c>
      <c r="M53" s="21">
        <f>SUMIFS('MP_MATAFUEGOS_FABRICADOS'!M:M,'MP_MATAFUEGOS_FABRICADOS'!$A:$A,$A53,'MP_MATAFUEGOS_FABRICADOS'!$B:$B,$B53)</f>
        <v/>
      </c>
      <c r="N53" s="21">
        <f>SUMIFS('MP_MATAFUEGOS_FABRICADOS'!N:N,'MP_MATAFUEGOS_FABRICADOS'!$A:$A,$A53,'MP_MATAFUEGOS_FABRICADOS'!$B:$B,$B53)</f>
        <v/>
      </c>
      <c r="O53" s="21">
        <f>SUMIFS('MP_MATAFUEGOS_FABRICADOS'!O:O,'MP_MATAFUEGOS_FABRICADOS'!$A:$A,$A53,'MP_MATAFUEGOS_FABRICADOS'!$B:$B,$B53)</f>
        <v/>
      </c>
    </row>
    <row r="54">
      <c r="A54" s="2" t="inlineStr">
        <is>
          <t>Manómetro — Ø47 esfera, rango 0-3,5 MPa, sector verde en 1,4</t>
        </is>
      </c>
      <c r="B54" s="2" t="inlineStr">
        <is>
          <t>u</t>
        </is>
      </c>
      <c r="C54" s="2" t="inlineStr">
        <is>
          <t>Componente comprado</t>
        </is>
      </c>
      <c r="D54" s="2" t="inlineStr">
        <is>
          <t>Yukon / MatafuegosYa S.R.L.</t>
        </is>
      </c>
      <c r="E54" s="2" t="inlineStr">
        <is>
          <t>MP_MATAFUEGOS_FABRICADOS</t>
        </is>
      </c>
      <c r="F54" s="21">
        <f>SUMIFS('MP_MATAFUEGOS_FABRICADOS'!F:F,'MP_MATAFUEGOS_FABRICADOS'!$A:$A,$A54,'MP_MATAFUEGOS_FABRICADOS'!$B:$B,$B54)</f>
        <v/>
      </c>
      <c r="G54" s="21">
        <f>SUMIFS('MP_MATAFUEGOS_FABRICADOS'!G:G,'MP_MATAFUEGOS_FABRICADOS'!$A:$A,$A54,'MP_MATAFUEGOS_FABRICADOS'!$B:$B,$B54)</f>
        <v/>
      </c>
      <c r="H54" s="21">
        <f>SUMIFS('MP_MATAFUEGOS_FABRICADOS'!H:H,'MP_MATAFUEGOS_FABRICADOS'!$A:$A,$A54,'MP_MATAFUEGOS_FABRICADOS'!$B:$B,$B54)</f>
        <v/>
      </c>
      <c r="I54" s="21">
        <f>SUMIFS('MP_MATAFUEGOS_FABRICADOS'!I:I,'MP_MATAFUEGOS_FABRICADOS'!$A:$A,$A54,'MP_MATAFUEGOS_FABRICADOS'!$B:$B,$B54)</f>
        <v/>
      </c>
      <c r="J54" s="21">
        <f>SUMIFS('MP_MATAFUEGOS_FABRICADOS'!J:J,'MP_MATAFUEGOS_FABRICADOS'!$A:$A,$A54,'MP_MATAFUEGOS_FABRICADOS'!$B:$B,$B54)</f>
        <v/>
      </c>
      <c r="K54" s="21">
        <f>SUMIFS('MP_MATAFUEGOS_FABRICADOS'!K:K,'MP_MATAFUEGOS_FABRICADOS'!$A:$A,$A54,'MP_MATAFUEGOS_FABRICADOS'!$B:$B,$B54)</f>
        <v/>
      </c>
      <c r="L54" s="21">
        <f>SUMIFS('MP_MATAFUEGOS_FABRICADOS'!L:L,'MP_MATAFUEGOS_FABRICADOS'!$A:$A,$A54,'MP_MATAFUEGOS_FABRICADOS'!$B:$B,$B54)</f>
        <v/>
      </c>
      <c r="M54" s="21">
        <f>SUMIFS('MP_MATAFUEGOS_FABRICADOS'!M:M,'MP_MATAFUEGOS_FABRICADOS'!$A:$A,$A54,'MP_MATAFUEGOS_FABRICADOS'!$B:$B,$B54)</f>
        <v/>
      </c>
      <c r="N54" s="21">
        <f>SUMIFS('MP_MATAFUEGOS_FABRICADOS'!N:N,'MP_MATAFUEGOS_FABRICADOS'!$A:$A,$A54,'MP_MATAFUEGOS_FABRICADOS'!$B:$B,$B54)</f>
        <v/>
      </c>
      <c r="O54" s="21">
        <f>SUMIFS('MP_MATAFUEGOS_FABRICADOS'!O:O,'MP_MATAFUEGOS_FABRICADOS'!$A:$A,$A54,'MP_MATAFUEGOS_FABRICADOS'!$B:$B,$B54)</f>
        <v/>
      </c>
    </row>
    <row r="55">
      <c r="A55" s="2" t="inlineStr">
        <is>
          <t>Neumático macizo — Ø300 × 49 de ancho</t>
        </is>
      </c>
      <c r="B55" s="2" t="inlineStr">
        <is>
          <t>u</t>
        </is>
      </c>
      <c r="C55" s="2" t="inlineStr">
        <is>
          <t>Componente comprado</t>
        </is>
      </c>
      <c r="D55" s="2" t="inlineStr">
        <is>
          <t>Ruedar</t>
        </is>
      </c>
      <c r="E55" s="2" t="inlineStr">
        <is>
          <t>MP_MATAFUEGOS_FABRICADOS</t>
        </is>
      </c>
      <c r="F55" s="21">
        <f>SUMIFS('MP_MATAFUEGOS_FABRICADOS'!F:F,'MP_MATAFUEGOS_FABRICADOS'!$A:$A,$A55,'MP_MATAFUEGOS_FABRICADOS'!$B:$B,$B55)</f>
        <v/>
      </c>
      <c r="G55" s="21">
        <f>SUMIFS('MP_MATAFUEGOS_FABRICADOS'!G:G,'MP_MATAFUEGOS_FABRICADOS'!$A:$A,$A55,'MP_MATAFUEGOS_FABRICADOS'!$B:$B,$B55)</f>
        <v/>
      </c>
      <c r="H55" s="21">
        <f>SUMIFS('MP_MATAFUEGOS_FABRICADOS'!H:H,'MP_MATAFUEGOS_FABRICADOS'!$A:$A,$A55,'MP_MATAFUEGOS_FABRICADOS'!$B:$B,$B55)</f>
        <v/>
      </c>
      <c r="I55" s="21">
        <f>SUMIFS('MP_MATAFUEGOS_FABRICADOS'!I:I,'MP_MATAFUEGOS_FABRICADOS'!$A:$A,$A55,'MP_MATAFUEGOS_FABRICADOS'!$B:$B,$B55)</f>
        <v/>
      </c>
      <c r="J55" s="21">
        <f>SUMIFS('MP_MATAFUEGOS_FABRICADOS'!J:J,'MP_MATAFUEGOS_FABRICADOS'!$A:$A,$A55,'MP_MATAFUEGOS_FABRICADOS'!$B:$B,$B55)</f>
        <v/>
      </c>
      <c r="K55" s="21">
        <f>SUMIFS('MP_MATAFUEGOS_FABRICADOS'!K:K,'MP_MATAFUEGOS_FABRICADOS'!$A:$A,$A55,'MP_MATAFUEGOS_FABRICADOS'!$B:$B,$B55)</f>
        <v/>
      </c>
      <c r="L55" s="21">
        <f>SUMIFS('MP_MATAFUEGOS_FABRICADOS'!L:L,'MP_MATAFUEGOS_FABRICADOS'!$A:$A,$A55,'MP_MATAFUEGOS_FABRICADOS'!$B:$B,$B55)</f>
        <v/>
      </c>
      <c r="M55" s="21">
        <f>SUMIFS('MP_MATAFUEGOS_FABRICADOS'!M:M,'MP_MATAFUEGOS_FABRICADOS'!$A:$A,$A55,'MP_MATAFUEGOS_FABRICADOS'!$B:$B,$B55)</f>
        <v/>
      </c>
      <c r="N55" s="21">
        <f>SUMIFS('MP_MATAFUEGOS_FABRICADOS'!N:N,'MP_MATAFUEGOS_FABRICADOS'!$A:$A,$A55,'MP_MATAFUEGOS_FABRICADOS'!$B:$B,$B55)</f>
        <v/>
      </c>
      <c r="O55" s="21">
        <f>SUMIFS('MP_MATAFUEGOS_FABRICADOS'!O:O,'MP_MATAFUEGOS_FABRICADOS'!$A:$A,$A55,'MP_MATAFUEGOS_FABRICADOS'!$B:$B,$B55)</f>
        <v/>
      </c>
    </row>
    <row r="56">
      <c r="A56" s="2" t="inlineStr">
        <is>
          <t>Neumático macizo — Ø350 × 49 de ancho</t>
        </is>
      </c>
      <c r="B56" s="2" t="inlineStr">
        <is>
          <t>u</t>
        </is>
      </c>
      <c r="C56" s="2" t="inlineStr">
        <is>
          <t>Componente comprado</t>
        </is>
      </c>
      <c r="D56" s="2" t="inlineStr">
        <is>
          <t>Ruedar</t>
        </is>
      </c>
      <c r="E56" s="2" t="inlineStr">
        <is>
          <t>MP_MATAFUEGOS_FABRICADOS</t>
        </is>
      </c>
      <c r="F56" s="21">
        <f>SUMIFS('MP_MATAFUEGOS_FABRICADOS'!F:F,'MP_MATAFUEGOS_FABRICADOS'!$A:$A,$A56,'MP_MATAFUEGOS_FABRICADOS'!$B:$B,$B56)</f>
        <v/>
      </c>
      <c r="G56" s="21">
        <f>SUMIFS('MP_MATAFUEGOS_FABRICADOS'!G:G,'MP_MATAFUEGOS_FABRICADOS'!$A:$A,$A56,'MP_MATAFUEGOS_FABRICADOS'!$B:$B,$B56)</f>
        <v/>
      </c>
      <c r="H56" s="21">
        <f>SUMIFS('MP_MATAFUEGOS_FABRICADOS'!H:H,'MP_MATAFUEGOS_FABRICADOS'!$A:$A,$A56,'MP_MATAFUEGOS_FABRICADOS'!$B:$B,$B56)</f>
        <v/>
      </c>
      <c r="I56" s="21">
        <f>SUMIFS('MP_MATAFUEGOS_FABRICADOS'!I:I,'MP_MATAFUEGOS_FABRICADOS'!$A:$A,$A56,'MP_MATAFUEGOS_FABRICADOS'!$B:$B,$B56)</f>
        <v/>
      </c>
      <c r="J56" s="21">
        <f>SUMIFS('MP_MATAFUEGOS_FABRICADOS'!J:J,'MP_MATAFUEGOS_FABRICADOS'!$A:$A,$A56,'MP_MATAFUEGOS_FABRICADOS'!$B:$B,$B56)</f>
        <v/>
      </c>
      <c r="K56" s="21">
        <f>SUMIFS('MP_MATAFUEGOS_FABRICADOS'!K:K,'MP_MATAFUEGOS_FABRICADOS'!$A:$A,$A56,'MP_MATAFUEGOS_FABRICADOS'!$B:$B,$B56)</f>
        <v/>
      </c>
      <c r="L56" s="21">
        <f>SUMIFS('MP_MATAFUEGOS_FABRICADOS'!L:L,'MP_MATAFUEGOS_FABRICADOS'!$A:$A,$A56,'MP_MATAFUEGOS_FABRICADOS'!$B:$B,$B56)</f>
        <v/>
      </c>
      <c r="M56" s="21">
        <f>SUMIFS('MP_MATAFUEGOS_FABRICADOS'!M:M,'MP_MATAFUEGOS_FABRICADOS'!$A:$A,$A56,'MP_MATAFUEGOS_FABRICADOS'!$B:$B,$B56)</f>
        <v/>
      </c>
      <c r="N56" s="21">
        <f>SUMIFS('MP_MATAFUEGOS_FABRICADOS'!N:N,'MP_MATAFUEGOS_FABRICADOS'!$A:$A,$A56,'MP_MATAFUEGOS_FABRICADOS'!$B:$B,$B56)</f>
        <v/>
      </c>
      <c r="O56" s="21">
        <f>SUMIFS('MP_MATAFUEGOS_FABRICADOS'!O:O,'MP_MATAFUEGOS_FABRICADOS'!$A:$A,$A56,'MP_MATAFUEGOS_FABRICADOS'!$B:$B,$B56)</f>
        <v/>
      </c>
    </row>
    <row r="57">
      <c r="A57" s="2" t="inlineStr">
        <is>
          <t>Neumático macizo — Ø400 × 76 de ancho</t>
        </is>
      </c>
      <c r="B57" s="2" t="inlineStr">
        <is>
          <t>u</t>
        </is>
      </c>
      <c r="C57" s="2" t="inlineStr">
        <is>
          <t>Componente comprado</t>
        </is>
      </c>
      <c r="D57" s="2" t="inlineStr">
        <is>
          <t>Ruedar</t>
        </is>
      </c>
      <c r="E57" s="2" t="inlineStr">
        <is>
          <t>MP_MATAFUEGOS_FABRICADOS</t>
        </is>
      </c>
      <c r="F57" s="21">
        <f>SUMIFS('MP_MATAFUEGOS_FABRICADOS'!F:F,'MP_MATAFUEGOS_FABRICADOS'!$A:$A,$A57,'MP_MATAFUEGOS_FABRICADOS'!$B:$B,$B57)</f>
        <v/>
      </c>
      <c r="G57" s="21">
        <f>SUMIFS('MP_MATAFUEGOS_FABRICADOS'!G:G,'MP_MATAFUEGOS_FABRICADOS'!$A:$A,$A57,'MP_MATAFUEGOS_FABRICADOS'!$B:$B,$B57)</f>
        <v/>
      </c>
      <c r="H57" s="21">
        <f>SUMIFS('MP_MATAFUEGOS_FABRICADOS'!H:H,'MP_MATAFUEGOS_FABRICADOS'!$A:$A,$A57,'MP_MATAFUEGOS_FABRICADOS'!$B:$B,$B57)</f>
        <v/>
      </c>
      <c r="I57" s="21">
        <f>SUMIFS('MP_MATAFUEGOS_FABRICADOS'!I:I,'MP_MATAFUEGOS_FABRICADOS'!$A:$A,$A57,'MP_MATAFUEGOS_FABRICADOS'!$B:$B,$B57)</f>
        <v/>
      </c>
      <c r="J57" s="21">
        <f>SUMIFS('MP_MATAFUEGOS_FABRICADOS'!J:J,'MP_MATAFUEGOS_FABRICADOS'!$A:$A,$A57,'MP_MATAFUEGOS_FABRICADOS'!$B:$B,$B57)</f>
        <v/>
      </c>
      <c r="K57" s="21">
        <f>SUMIFS('MP_MATAFUEGOS_FABRICADOS'!K:K,'MP_MATAFUEGOS_FABRICADOS'!$A:$A,$A57,'MP_MATAFUEGOS_FABRICADOS'!$B:$B,$B57)</f>
        <v/>
      </c>
      <c r="L57" s="21">
        <f>SUMIFS('MP_MATAFUEGOS_FABRICADOS'!L:L,'MP_MATAFUEGOS_FABRICADOS'!$A:$A,$A57,'MP_MATAFUEGOS_FABRICADOS'!$B:$B,$B57)</f>
        <v/>
      </c>
      <c r="M57" s="21">
        <f>SUMIFS('MP_MATAFUEGOS_FABRICADOS'!M:M,'MP_MATAFUEGOS_FABRICADOS'!$A:$A,$A57,'MP_MATAFUEGOS_FABRICADOS'!$B:$B,$B57)</f>
        <v/>
      </c>
      <c r="N57" s="21">
        <f>SUMIFS('MP_MATAFUEGOS_FABRICADOS'!N:N,'MP_MATAFUEGOS_FABRICADOS'!$A:$A,$A57,'MP_MATAFUEGOS_FABRICADOS'!$B:$B,$B57)</f>
        <v/>
      </c>
      <c r="O57" s="21">
        <f>SUMIFS('MP_MATAFUEGOS_FABRICADOS'!O:O,'MP_MATAFUEGOS_FABRICADOS'!$A:$A,$A57,'MP_MATAFUEGOS_FABRICADOS'!$B:$B,$B57)</f>
        <v/>
      </c>
    </row>
    <row r="58">
      <c r="A58" s="2" t="inlineStr">
        <is>
          <t>Racor de manguera — 19,4 × 18,8 × 18,8</t>
        </is>
      </c>
      <c r="B58" s="2" t="inlineStr">
        <is>
          <t>u</t>
        </is>
      </c>
      <c r="C58" s="2" t="inlineStr">
        <is>
          <t>Componente comprado</t>
        </is>
      </c>
      <c r="D58" s="2" t="inlineStr">
        <is>
          <t>Yukon / MatafuegosYa S.R.L.</t>
        </is>
      </c>
      <c r="E58" s="2" t="inlineStr">
        <is>
          <t>MP_MATAFUEGOS_FABRICADOS</t>
        </is>
      </c>
      <c r="F58" s="21">
        <f>SUMIFS('MP_MATAFUEGOS_FABRICADOS'!F:F,'MP_MATAFUEGOS_FABRICADOS'!$A:$A,$A58,'MP_MATAFUEGOS_FABRICADOS'!$B:$B,$B58)</f>
        <v/>
      </c>
      <c r="G58" s="21">
        <f>SUMIFS('MP_MATAFUEGOS_FABRICADOS'!G:G,'MP_MATAFUEGOS_FABRICADOS'!$A:$A,$A58,'MP_MATAFUEGOS_FABRICADOS'!$B:$B,$B58)</f>
        <v/>
      </c>
      <c r="H58" s="21">
        <f>SUMIFS('MP_MATAFUEGOS_FABRICADOS'!H:H,'MP_MATAFUEGOS_FABRICADOS'!$A:$A,$A58,'MP_MATAFUEGOS_FABRICADOS'!$B:$B,$B58)</f>
        <v/>
      </c>
      <c r="I58" s="21">
        <f>SUMIFS('MP_MATAFUEGOS_FABRICADOS'!I:I,'MP_MATAFUEGOS_FABRICADOS'!$A:$A,$A58,'MP_MATAFUEGOS_FABRICADOS'!$B:$B,$B58)</f>
        <v/>
      </c>
      <c r="J58" s="21">
        <f>SUMIFS('MP_MATAFUEGOS_FABRICADOS'!J:J,'MP_MATAFUEGOS_FABRICADOS'!$A:$A,$A58,'MP_MATAFUEGOS_FABRICADOS'!$B:$B,$B58)</f>
        <v/>
      </c>
      <c r="K58" s="21">
        <f>SUMIFS('MP_MATAFUEGOS_FABRICADOS'!K:K,'MP_MATAFUEGOS_FABRICADOS'!$A:$A,$A58,'MP_MATAFUEGOS_FABRICADOS'!$B:$B,$B58)</f>
        <v/>
      </c>
      <c r="L58" s="21">
        <f>SUMIFS('MP_MATAFUEGOS_FABRICADOS'!L:L,'MP_MATAFUEGOS_FABRICADOS'!$A:$A,$A58,'MP_MATAFUEGOS_FABRICADOS'!$B:$B,$B58)</f>
        <v/>
      </c>
      <c r="M58" s="21">
        <f>SUMIFS('MP_MATAFUEGOS_FABRICADOS'!M:M,'MP_MATAFUEGOS_FABRICADOS'!$A:$A,$A58,'MP_MATAFUEGOS_FABRICADOS'!$B:$B,$B58)</f>
        <v/>
      </c>
      <c r="N58" s="21">
        <f>SUMIFS('MP_MATAFUEGOS_FABRICADOS'!N:N,'MP_MATAFUEGOS_FABRICADOS'!$A:$A,$A58,'MP_MATAFUEGOS_FABRICADOS'!$B:$B,$B58)</f>
        <v/>
      </c>
      <c r="O58" s="21">
        <f>SUMIFS('MP_MATAFUEGOS_FABRICADOS'!O:O,'MP_MATAFUEGOS_FABRICADOS'!$A:$A,$A58,'MP_MATAFUEGOS_FABRICADOS'!$B:$B,$B58)</f>
        <v/>
      </c>
    </row>
    <row r="59">
      <c r="A59" s="2" t="inlineStr">
        <is>
          <t>Racor de manguera — 24 × 24 × 16</t>
        </is>
      </c>
      <c r="B59" s="2" t="inlineStr">
        <is>
          <t>u</t>
        </is>
      </c>
      <c r="C59" s="2" t="inlineStr">
        <is>
          <t>Componente comprado</t>
        </is>
      </c>
      <c r="D59" s="2" t="inlineStr">
        <is>
          <t>Yukon / MatafuegosYa S.R.L.</t>
        </is>
      </c>
      <c r="E59" s="2" t="inlineStr">
        <is>
          <t>MP_MATAFUEGOS_FABRICADOS</t>
        </is>
      </c>
      <c r="F59" s="21">
        <f>SUMIFS('MP_MATAFUEGOS_FABRICADOS'!F:F,'MP_MATAFUEGOS_FABRICADOS'!$A:$A,$A59,'MP_MATAFUEGOS_FABRICADOS'!$B:$B,$B59)</f>
        <v/>
      </c>
      <c r="G59" s="21">
        <f>SUMIFS('MP_MATAFUEGOS_FABRICADOS'!G:G,'MP_MATAFUEGOS_FABRICADOS'!$A:$A,$A59,'MP_MATAFUEGOS_FABRICADOS'!$B:$B,$B59)</f>
        <v/>
      </c>
      <c r="H59" s="21">
        <f>SUMIFS('MP_MATAFUEGOS_FABRICADOS'!H:H,'MP_MATAFUEGOS_FABRICADOS'!$A:$A,$A59,'MP_MATAFUEGOS_FABRICADOS'!$B:$B,$B59)</f>
        <v/>
      </c>
      <c r="I59" s="21">
        <f>SUMIFS('MP_MATAFUEGOS_FABRICADOS'!I:I,'MP_MATAFUEGOS_FABRICADOS'!$A:$A,$A59,'MP_MATAFUEGOS_FABRICADOS'!$B:$B,$B59)</f>
        <v/>
      </c>
      <c r="J59" s="21">
        <f>SUMIFS('MP_MATAFUEGOS_FABRICADOS'!J:J,'MP_MATAFUEGOS_FABRICADOS'!$A:$A,$A59,'MP_MATAFUEGOS_FABRICADOS'!$B:$B,$B59)</f>
        <v/>
      </c>
      <c r="K59" s="21">
        <f>SUMIFS('MP_MATAFUEGOS_FABRICADOS'!K:K,'MP_MATAFUEGOS_FABRICADOS'!$A:$A,$A59,'MP_MATAFUEGOS_FABRICADOS'!$B:$B,$B59)</f>
        <v/>
      </c>
      <c r="L59" s="21">
        <f>SUMIFS('MP_MATAFUEGOS_FABRICADOS'!L:L,'MP_MATAFUEGOS_FABRICADOS'!$A:$A,$A59,'MP_MATAFUEGOS_FABRICADOS'!$B:$B,$B59)</f>
        <v/>
      </c>
      <c r="M59" s="21">
        <f>SUMIFS('MP_MATAFUEGOS_FABRICADOS'!M:M,'MP_MATAFUEGOS_FABRICADOS'!$A:$A,$A59,'MP_MATAFUEGOS_FABRICADOS'!$B:$B,$B59)</f>
        <v/>
      </c>
      <c r="N59" s="21">
        <f>SUMIFS('MP_MATAFUEGOS_FABRICADOS'!N:N,'MP_MATAFUEGOS_FABRICADOS'!$A:$A,$A59,'MP_MATAFUEGOS_FABRICADOS'!$B:$B,$B59)</f>
        <v/>
      </c>
      <c r="O59" s="21">
        <f>SUMIFS('MP_MATAFUEGOS_FABRICADOS'!O:O,'MP_MATAFUEGOS_FABRICADOS'!$A:$A,$A59,'MP_MATAFUEGOS_FABRICADOS'!$B:$B,$B59)</f>
        <v/>
      </c>
    </row>
    <row r="60">
      <c r="A60" s="2" t="inlineStr">
        <is>
          <t>Remito de préstamo con membrete (n° de extintor, puesto, equipo retirado, fechas) — A5 duplicado</t>
        </is>
      </c>
      <c r="B60" s="2" t="inlineStr">
        <is>
          <t>u/préstamo</t>
        </is>
      </c>
      <c r="C60" s="2" t="inlineStr">
        <is>
          <t>Componente comprado</t>
        </is>
      </c>
      <c r="D60" s="2" t="inlineStr">
        <is>
          <t>Astuprint</t>
        </is>
      </c>
      <c r="E60" s="2" t="inlineStr">
        <is>
          <t>MP_SUSTITUTOS</t>
        </is>
      </c>
      <c r="F60" s="21">
        <f>SUMIFS('MP_SUSTITUTOS'!F:F,'MP_SUSTITUTOS'!$A:$A,$A60,'MP_SUSTITUTOS'!$B:$B,$B60)</f>
        <v/>
      </c>
      <c r="G60" s="21">
        <f>SUMIFS('MP_SUSTITUTOS'!G:G,'MP_SUSTITUTOS'!$A:$A,$A60,'MP_SUSTITUTOS'!$B:$B,$B60)</f>
        <v/>
      </c>
      <c r="H60" s="21">
        <f>SUMIFS('MP_SUSTITUTOS'!H:H,'MP_SUSTITUTOS'!$A:$A,$A60,'MP_SUSTITUTOS'!$B:$B,$B60)</f>
        <v/>
      </c>
      <c r="I60" s="21">
        <f>SUMIFS('MP_SUSTITUTOS'!I:I,'MP_SUSTITUTOS'!$A:$A,$A60,'MP_SUSTITUTOS'!$B:$B,$B60)</f>
        <v/>
      </c>
      <c r="J60" s="21">
        <f>SUMIFS('MP_SUSTITUTOS'!J:J,'MP_SUSTITUTOS'!$A:$A,$A60,'MP_SUSTITUTOS'!$B:$B,$B60)</f>
        <v/>
      </c>
      <c r="K60" s="21">
        <f>SUMIFS('MP_SUSTITUTOS'!K:K,'MP_SUSTITUTOS'!$A:$A,$A60,'MP_SUSTITUTOS'!$B:$B,$B60)</f>
        <v/>
      </c>
      <c r="L60" s="21">
        <f>SUMIFS('MP_SUSTITUTOS'!L:L,'MP_SUSTITUTOS'!$A:$A,$A60,'MP_SUSTITUTOS'!$B:$B,$B60)</f>
        <v/>
      </c>
      <c r="M60" s="21">
        <f>SUMIFS('MP_SUSTITUTOS'!M:M,'MP_SUSTITUTOS'!$A:$A,$A60,'MP_SUSTITUTOS'!$B:$B,$B60)</f>
        <v/>
      </c>
      <c r="N60" s="21">
        <f>SUMIFS('MP_SUSTITUTOS'!N:N,'MP_SUSTITUTOS'!$A:$A,$A60,'MP_SUSTITUTOS'!$B:$B,$B60)</f>
        <v/>
      </c>
      <c r="O60" s="21">
        <f>SUMIFS('MP_SUSTITUTOS'!O:O,'MP_SUSTITUTOS'!$A:$A,$A60,'MP_SUSTITUTOS'!$B:$B,$B60)</f>
        <v/>
      </c>
    </row>
    <row r="61">
      <c r="A61" s="2" t="inlineStr">
        <is>
          <t>Suncho portatobera — 137,3 × 127 × 14,4</t>
        </is>
      </c>
      <c r="B61" s="2" t="inlineStr">
        <is>
          <t>u</t>
        </is>
      </c>
      <c r="C61" s="2" t="inlineStr">
        <is>
          <t>Componente comprado</t>
        </is>
      </c>
      <c r="D61" s="2" t="inlineStr">
        <is>
          <t>Yukon / MatafuegosYa S.R.L.</t>
        </is>
      </c>
      <c r="E61" s="2" t="inlineStr">
        <is>
          <t>MP_MATAFUEGOS_FABRICADOS</t>
        </is>
      </c>
      <c r="F61" s="21">
        <f>SUMIFS('MP_MATAFUEGOS_FABRICADOS'!F:F,'MP_MATAFUEGOS_FABRICADOS'!$A:$A,$A61,'MP_MATAFUEGOS_FABRICADOS'!$B:$B,$B61)</f>
        <v/>
      </c>
      <c r="G61" s="21">
        <f>SUMIFS('MP_MATAFUEGOS_FABRICADOS'!G:G,'MP_MATAFUEGOS_FABRICADOS'!$A:$A,$A61,'MP_MATAFUEGOS_FABRICADOS'!$B:$B,$B61)</f>
        <v/>
      </c>
      <c r="H61" s="21">
        <f>SUMIFS('MP_MATAFUEGOS_FABRICADOS'!H:H,'MP_MATAFUEGOS_FABRICADOS'!$A:$A,$A61,'MP_MATAFUEGOS_FABRICADOS'!$B:$B,$B61)</f>
        <v/>
      </c>
      <c r="I61" s="21">
        <f>SUMIFS('MP_MATAFUEGOS_FABRICADOS'!I:I,'MP_MATAFUEGOS_FABRICADOS'!$A:$A,$A61,'MP_MATAFUEGOS_FABRICADOS'!$B:$B,$B61)</f>
        <v/>
      </c>
      <c r="J61" s="21">
        <f>SUMIFS('MP_MATAFUEGOS_FABRICADOS'!J:J,'MP_MATAFUEGOS_FABRICADOS'!$A:$A,$A61,'MP_MATAFUEGOS_FABRICADOS'!$B:$B,$B61)</f>
        <v/>
      </c>
      <c r="K61" s="21">
        <f>SUMIFS('MP_MATAFUEGOS_FABRICADOS'!K:K,'MP_MATAFUEGOS_FABRICADOS'!$A:$A,$A61,'MP_MATAFUEGOS_FABRICADOS'!$B:$B,$B61)</f>
        <v/>
      </c>
      <c r="L61" s="21">
        <f>SUMIFS('MP_MATAFUEGOS_FABRICADOS'!L:L,'MP_MATAFUEGOS_FABRICADOS'!$A:$A,$A61,'MP_MATAFUEGOS_FABRICADOS'!$B:$B,$B61)</f>
        <v/>
      </c>
      <c r="M61" s="21">
        <f>SUMIFS('MP_MATAFUEGOS_FABRICADOS'!M:M,'MP_MATAFUEGOS_FABRICADOS'!$A:$A,$A61,'MP_MATAFUEGOS_FABRICADOS'!$B:$B,$B61)</f>
        <v/>
      </c>
      <c r="N61" s="21">
        <f>SUMIFS('MP_MATAFUEGOS_FABRICADOS'!N:N,'MP_MATAFUEGOS_FABRICADOS'!$A:$A,$A61,'MP_MATAFUEGOS_FABRICADOS'!$B:$B,$B61)</f>
        <v/>
      </c>
      <c r="O61" s="21">
        <f>SUMIFS('MP_MATAFUEGOS_FABRICADOS'!O:O,'MP_MATAFUEGOS_FABRICADOS'!$A:$A,$A61,'MP_MATAFUEGOS_FABRICADOS'!$B:$B,$B61)</f>
        <v/>
      </c>
    </row>
    <row r="62">
      <c r="A62" s="2" t="inlineStr">
        <is>
          <t>Suncho portatobera — 166,3 × 156 × 14,4</t>
        </is>
      </c>
      <c r="B62" s="2" t="inlineStr">
        <is>
          <t>u</t>
        </is>
      </c>
      <c r="C62" s="2" t="inlineStr">
        <is>
          <t>Componente comprado</t>
        </is>
      </c>
      <c r="D62" s="2" t="inlineStr">
        <is>
          <t>Yukon / MatafuegosYa S.R.L.</t>
        </is>
      </c>
      <c r="E62" s="2" t="inlineStr">
        <is>
          <t>MP_MATAFUEGOS_FABRICADOS</t>
        </is>
      </c>
      <c r="F62" s="21">
        <f>SUMIFS('MP_MATAFUEGOS_FABRICADOS'!F:F,'MP_MATAFUEGOS_FABRICADOS'!$A:$A,$A62,'MP_MATAFUEGOS_FABRICADOS'!$B:$B,$B62)</f>
        <v/>
      </c>
      <c r="G62" s="21">
        <f>SUMIFS('MP_MATAFUEGOS_FABRICADOS'!G:G,'MP_MATAFUEGOS_FABRICADOS'!$A:$A,$A62,'MP_MATAFUEGOS_FABRICADOS'!$B:$B,$B62)</f>
        <v/>
      </c>
      <c r="H62" s="21">
        <f>SUMIFS('MP_MATAFUEGOS_FABRICADOS'!H:H,'MP_MATAFUEGOS_FABRICADOS'!$A:$A,$A62,'MP_MATAFUEGOS_FABRICADOS'!$B:$B,$B62)</f>
        <v/>
      </c>
      <c r="I62" s="21">
        <f>SUMIFS('MP_MATAFUEGOS_FABRICADOS'!I:I,'MP_MATAFUEGOS_FABRICADOS'!$A:$A,$A62,'MP_MATAFUEGOS_FABRICADOS'!$B:$B,$B62)</f>
        <v/>
      </c>
      <c r="J62" s="21">
        <f>SUMIFS('MP_MATAFUEGOS_FABRICADOS'!J:J,'MP_MATAFUEGOS_FABRICADOS'!$A:$A,$A62,'MP_MATAFUEGOS_FABRICADOS'!$B:$B,$B62)</f>
        <v/>
      </c>
      <c r="K62" s="21">
        <f>SUMIFS('MP_MATAFUEGOS_FABRICADOS'!K:K,'MP_MATAFUEGOS_FABRICADOS'!$A:$A,$A62,'MP_MATAFUEGOS_FABRICADOS'!$B:$B,$B62)</f>
        <v/>
      </c>
      <c r="L62" s="21">
        <f>SUMIFS('MP_MATAFUEGOS_FABRICADOS'!L:L,'MP_MATAFUEGOS_FABRICADOS'!$A:$A,$A62,'MP_MATAFUEGOS_FABRICADOS'!$B:$B,$B62)</f>
        <v/>
      </c>
      <c r="M62" s="21">
        <f>SUMIFS('MP_MATAFUEGOS_FABRICADOS'!M:M,'MP_MATAFUEGOS_FABRICADOS'!$A:$A,$A62,'MP_MATAFUEGOS_FABRICADOS'!$B:$B,$B62)</f>
        <v/>
      </c>
      <c r="N62" s="21">
        <f>SUMIFS('MP_MATAFUEGOS_FABRICADOS'!N:N,'MP_MATAFUEGOS_FABRICADOS'!$A:$A,$A62,'MP_MATAFUEGOS_FABRICADOS'!$B:$B,$B62)</f>
        <v/>
      </c>
      <c r="O62" s="21">
        <f>SUMIFS('MP_MATAFUEGOS_FABRICADOS'!O:O,'MP_MATAFUEGOS_FABRICADOS'!$A:$A,$A62,'MP_MATAFUEGOS_FABRICADOS'!$B:$B,$B62)</f>
        <v/>
      </c>
    </row>
    <row r="63">
      <c r="A63" s="2" t="inlineStr">
        <is>
          <t>Suncho portatobera — 194,8 × 184,5 × 14,4</t>
        </is>
      </c>
      <c r="B63" s="2" t="inlineStr">
        <is>
          <t>u</t>
        </is>
      </c>
      <c r="C63" s="2" t="inlineStr">
        <is>
          <t>Componente comprado</t>
        </is>
      </c>
      <c r="D63" s="2" t="inlineStr">
        <is>
          <t>Yukon / MatafuegosYa S.R.L.</t>
        </is>
      </c>
      <c r="E63" s="2" t="inlineStr">
        <is>
          <t>MP_MATAFUEGOS_FABRICADOS</t>
        </is>
      </c>
      <c r="F63" s="21">
        <f>SUMIFS('MP_MATAFUEGOS_FABRICADOS'!F:F,'MP_MATAFUEGOS_FABRICADOS'!$A:$A,$A63,'MP_MATAFUEGOS_FABRICADOS'!$B:$B,$B63)</f>
        <v/>
      </c>
      <c r="G63" s="21">
        <f>SUMIFS('MP_MATAFUEGOS_FABRICADOS'!G:G,'MP_MATAFUEGOS_FABRICADOS'!$A:$A,$A63,'MP_MATAFUEGOS_FABRICADOS'!$B:$B,$B63)</f>
        <v/>
      </c>
      <c r="H63" s="21">
        <f>SUMIFS('MP_MATAFUEGOS_FABRICADOS'!H:H,'MP_MATAFUEGOS_FABRICADOS'!$A:$A,$A63,'MP_MATAFUEGOS_FABRICADOS'!$B:$B,$B63)</f>
        <v/>
      </c>
      <c r="I63" s="21">
        <f>SUMIFS('MP_MATAFUEGOS_FABRICADOS'!I:I,'MP_MATAFUEGOS_FABRICADOS'!$A:$A,$A63,'MP_MATAFUEGOS_FABRICADOS'!$B:$B,$B63)</f>
        <v/>
      </c>
      <c r="J63" s="21">
        <f>SUMIFS('MP_MATAFUEGOS_FABRICADOS'!J:J,'MP_MATAFUEGOS_FABRICADOS'!$A:$A,$A63,'MP_MATAFUEGOS_FABRICADOS'!$B:$B,$B63)</f>
        <v/>
      </c>
      <c r="K63" s="21">
        <f>SUMIFS('MP_MATAFUEGOS_FABRICADOS'!K:K,'MP_MATAFUEGOS_FABRICADOS'!$A:$A,$A63,'MP_MATAFUEGOS_FABRICADOS'!$B:$B,$B63)</f>
        <v/>
      </c>
      <c r="L63" s="21">
        <f>SUMIFS('MP_MATAFUEGOS_FABRICADOS'!L:L,'MP_MATAFUEGOS_FABRICADOS'!$A:$A,$A63,'MP_MATAFUEGOS_FABRICADOS'!$B:$B,$B63)</f>
        <v/>
      </c>
      <c r="M63" s="21">
        <f>SUMIFS('MP_MATAFUEGOS_FABRICADOS'!M:M,'MP_MATAFUEGOS_FABRICADOS'!$A:$A,$A63,'MP_MATAFUEGOS_FABRICADOS'!$B:$B,$B63)</f>
        <v/>
      </c>
      <c r="N63" s="21">
        <f>SUMIFS('MP_MATAFUEGOS_FABRICADOS'!N:N,'MP_MATAFUEGOS_FABRICADOS'!$A:$A,$A63,'MP_MATAFUEGOS_FABRICADOS'!$B:$B,$B63)</f>
        <v/>
      </c>
      <c r="O63" s="21">
        <f>SUMIFS('MP_MATAFUEGOS_FABRICADOS'!O:O,'MP_MATAFUEGOS_FABRICADOS'!$A:$A,$A63,'MP_MATAFUEGOS_FABRICADOS'!$B:$B,$B63)</f>
        <v/>
      </c>
    </row>
    <row r="64">
      <c r="A64" s="2" t="inlineStr">
        <is>
          <t>Tarjeta AGC con «Es sustituto» (sin domicilio de instalación) — formato oficial</t>
        </is>
      </c>
      <c r="B64" s="2" t="inlineStr">
        <is>
          <t>u</t>
        </is>
      </c>
      <c r="C64" s="2" t="inlineStr">
        <is>
          <t>Componente comprado</t>
        </is>
      </c>
      <c r="D64" s="2" t="inlineStr">
        <is>
          <t>Agencia Gubernamental de Control (CABA)</t>
        </is>
      </c>
      <c r="E64" s="2" t="inlineStr">
        <is>
          <t>MP_SUSTITUTOS</t>
        </is>
      </c>
      <c r="F64" s="21">
        <f>SUMIFS('MP_SUSTITUTOS'!F:F,'MP_SUSTITUTOS'!$A:$A,$A64,'MP_SUSTITUTOS'!$B:$B,$B64)</f>
        <v/>
      </c>
      <c r="G64" s="21">
        <f>SUMIFS('MP_SUSTITUTOS'!G:G,'MP_SUSTITUTOS'!$A:$A,$A64,'MP_SUSTITUTOS'!$B:$B,$B64)</f>
        <v/>
      </c>
      <c r="H64" s="21">
        <f>SUMIFS('MP_SUSTITUTOS'!H:H,'MP_SUSTITUTOS'!$A:$A,$A64,'MP_SUSTITUTOS'!$B:$B,$B64)</f>
        <v/>
      </c>
      <c r="I64" s="21">
        <f>SUMIFS('MP_SUSTITUTOS'!I:I,'MP_SUSTITUTOS'!$A:$A,$A64,'MP_SUSTITUTOS'!$B:$B,$B64)</f>
        <v/>
      </c>
      <c r="J64" s="21">
        <f>SUMIFS('MP_SUSTITUTOS'!J:J,'MP_SUSTITUTOS'!$A:$A,$A64,'MP_SUSTITUTOS'!$B:$B,$B64)</f>
        <v/>
      </c>
      <c r="K64" s="21">
        <f>SUMIFS('MP_SUSTITUTOS'!K:K,'MP_SUSTITUTOS'!$A:$A,$A64,'MP_SUSTITUTOS'!$B:$B,$B64)</f>
        <v/>
      </c>
      <c r="L64" s="21">
        <f>SUMIFS('MP_SUSTITUTOS'!L:L,'MP_SUSTITUTOS'!$A:$A,$A64,'MP_SUSTITUTOS'!$B:$B,$B64)</f>
        <v/>
      </c>
      <c r="M64" s="21">
        <f>SUMIFS('MP_SUSTITUTOS'!M:M,'MP_SUSTITUTOS'!$A:$A,$A64,'MP_SUSTITUTOS'!$B:$B,$B64)</f>
        <v/>
      </c>
      <c r="N64" s="21">
        <f>SUMIFS('MP_SUSTITUTOS'!N:N,'MP_SUSTITUTOS'!$A:$A,$A64,'MP_SUSTITUTOS'!$B:$B,$B64)</f>
        <v/>
      </c>
      <c r="O64" s="21">
        <f>SUMIFS('MP_SUSTITUTOS'!O:O,'MP_SUSTITUTOS'!$A:$A,$A64,'MP_SUSTITUTOS'!$B:$B,$B64)</f>
        <v/>
      </c>
    </row>
    <row r="65">
      <c r="A65" s="2" t="inlineStr">
        <is>
          <t>Tarjeta de identificación DPS con sello «SUSTITUTO HABILITADO» — formato oficial</t>
        </is>
      </c>
      <c r="B65" s="2" t="inlineStr">
        <is>
          <t>u</t>
        </is>
      </c>
      <c r="C65" s="2" t="inlineStr">
        <is>
          <t>Componente comprado</t>
        </is>
      </c>
      <c r="D65" s="2" t="inlineStr">
        <is>
          <t>Ministerio de Ambiente PBA (ex OPDS)</t>
        </is>
      </c>
      <c r="E65" s="2" t="inlineStr">
        <is>
          <t>MP_SUSTITUTOS</t>
        </is>
      </c>
      <c r="F65" s="21">
        <f>SUMIFS('MP_SUSTITUTOS'!F:F,'MP_SUSTITUTOS'!$A:$A,$A65,'MP_SUSTITUTOS'!$B:$B,$B65)</f>
        <v/>
      </c>
      <c r="G65" s="21">
        <f>SUMIFS('MP_SUSTITUTOS'!G:G,'MP_SUSTITUTOS'!$A:$A,$A65,'MP_SUSTITUTOS'!$B:$B,$B65)</f>
        <v/>
      </c>
      <c r="H65" s="21">
        <f>SUMIFS('MP_SUSTITUTOS'!H:H,'MP_SUSTITUTOS'!$A:$A,$A65,'MP_SUSTITUTOS'!$B:$B,$B65)</f>
        <v/>
      </c>
      <c r="I65" s="21">
        <f>SUMIFS('MP_SUSTITUTOS'!I:I,'MP_SUSTITUTOS'!$A:$A,$A65,'MP_SUSTITUTOS'!$B:$B,$B65)</f>
        <v/>
      </c>
      <c r="J65" s="21">
        <f>SUMIFS('MP_SUSTITUTOS'!J:J,'MP_SUSTITUTOS'!$A:$A,$A65,'MP_SUSTITUTOS'!$B:$B,$B65)</f>
        <v/>
      </c>
      <c r="K65" s="21">
        <f>SUMIFS('MP_SUSTITUTOS'!K:K,'MP_SUSTITUTOS'!$A:$A,$A65,'MP_SUSTITUTOS'!$B:$B,$B65)</f>
        <v/>
      </c>
      <c r="L65" s="21">
        <f>SUMIFS('MP_SUSTITUTOS'!L:L,'MP_SUSTITUTOS'!$A:$A,$A65,'MP_SUSTITUTOS'!$B:$B,$B65)</f>
        <v/>
      </c>
      <c r="M65" s="21">
        <f>SUMIFS('MP_SUSTITUTOS'!M:M,'MP_SUSTITUTOS'!$A:$A,$A65,'MP_SUSTITUTOS'!$B:$B,$B65)</f>
        <v/>
      </c>
      <c r="N65" s="21">
        <f>SUMIFS('MP_SUSTITUTOS'!N:N,'MP_SUSTITUTOS'!$A:$A,$A65,'MP_SUSTITUTOS'!$B:$B,$B65)</f>
        <v/>
      </c>
      <c r="O65" s="21">
        <f>SUMIFS('MP_SUSTITUTOS'!O:O,'MP_SUSTITUTOS'!$A:$A,$A65,'MP_SUSTITUTOS'!$B:$B,$B65)</f>
        <v/>
      </c>
    </row>
    <row r="66">
      <c r="A66" s="2" t="inlineStr">
        <is>
          <t>Tobera campana — 200 × 68 × 68</t>
        </is>
      </c>
      <c r="B66" s="2" t="inlineStr">
        <is>
          <t>u</t>
        </is>
      </c>
      <c r="C66" s="2" t="inlineStr">
        <is>
          <t>Componente comprado</t>
        </is>
      </c>
      <c r="D66" s="2" t="inlineStr">
        <is>
          <t>Yukon / MatafuegosYa S.R.L.</t>
        </is>
      </c>
      <c r="E66" s="2" t="inlineStr">
        <is>
          <t>MP_MATAFUEGOS_FABRICADOS</t>
        </is>
      </c>
      <c r="F66" s="21">
        <f>SUMIFS('MP_MATAFUEGOS_FABRICADOS'!F:F,'MP_MATAFUEGOS_FABRICADOS'!$A:$A,$A66,'MP_MATAFUEGOS_FABRICADOS'!$B:$B,$B66)</f>
        <v/>
      </c>
      <c r="G66" s="21">
        <f>SUMIFS('MP_MATAFUEGOS_FABRICADOS'!G:G,'MP_MATAFUEGOS_FABRICADOS'!$A:$A,$A66,'MP_MATAFUEGOS_FABRICADOS'!$B:$B,$B66)</f>
        <v/>
      </c>
      <c r="H66" s="21">
        <f>SUMIFS('MP_MATAFUEGOS_FABRICADOS'!H:H,'MP_MATAFUEGOS_FABRICADOS'!$A:$A,$A66,'MP_MATAFUEGOS_FABRICADOS'!$B:$B,$B66)</f>
        <v/>
      </c>
      <c r="I66" s="21">
        <f>SUMIFS('MP_MATAFUEGOS_FABRICADOS'!I:I,'MP_MATAFUEGOS_FABRICADOS'!$A:$A,$A66,'MP_MATAFUEGOS_FABRICADOS'!$B:$B,$B66)</f>
        <v/>
      </c>
      <c r="J66" s="21">
        <f>SUMIFS('MP_MATAFUEGOS_FABRICADOS'!J:J,'MP_MATAFUEGOS_FABRICADOS'!$A:$A,$A66,'MP_MATAFUEGOS_FABRICADOS'!$B:$B,$B66)</f>
        <v/>
      </c>
      <c r="K66" s="21">
        <f>SUMIFS('MP_MATAFUEGOS_FABRICADOS'!K:K,'MP_MATAFUEGOS_FABRICADOS'!$A:$A,$A66,'MP_MATAFUEGOS_FABRICADOS'!$B:$B,$B66)</f>
        <v/>
      </c>
      <c r="L66" s="21">
        <f>SUMIFS('MP_MATAFUEGOS_FABRICADOS'!L:L,'MP_MATAFUEGOS_FABRICADOS'!$A:$A,$A66,'MP_MATAFUEGOS_FABRICADOS'!$B:$B,$B66)</f>
        <v/>
      </c>
      <c r="M66" s="21">
        <f>SUMIFS('MP_MATAFUEGOS_FABRICADOS'!M:M,'MP_MATAFUEGOS_FABRICADOS'!$A:$A,$A66,'MP_MATAFUEGOS_FABRICADOS'!$B:$B,$B66)</f>
        <v/>
      </c>
      <c r="N66" s="21">
        <f>SUMIFS('MP_MATAFUEGOS_FABRICADOS'!N:N,'MP_MATAFUEGOS_FABRICADOS'!$A:$A,$A66,'MP_MATAFUEGOS_FABRICADOS'!$B:$B,$B66)</f>
        <v/>
      </c>
      <c r="O66" s="21">
        <f>SUMIFS('MP_MATAFUEGOS_FABRICADOS'!O:O,'MP_MATAFUEGOS_FABRICADOS'!$A:$A,$A66,'MP_MATAFUEGOS_FABRICADOS'!$B:$B,$B66)</f>
        <v/>
      </c>
    </row>
    <row r="67">
      <c r="A67" s="2" t="inlineStr">
        <is>
          <t>Tobera con portatobera — 73,5 × 19,9 × 19,9</t>
        </is>
      </c>
      <c r="B67" s="2" t="inlineStr">
        <is>
          <t>u</t>
        </is>
      </c>
      <c r="C67" s="2" t="inlineStr">
        <is>
          <t>Componente comprado</t>
        </is>
      </c>
      <c r="D67" s="2" t="inlineStr">
        <is>
          <t>Yukon / MatafuegosYa S.R.L.</t>
        </is>
      </c>
      <c r="E67" s="2" t="inlineStr">
        <is>
          <t>MP_MATAFUEGOS_FABRICADOS</t>
        </is>
      </c>
      <c r="F67" s="21">
        <f>SUMIFS('MP_MATAFUEGOS_FABRICADOS'!F:F,'MP_MATAFUEGOS_FABRICADOS'!$A:$A,$A67,'MP_MATAFUEGOS_FABRICADOS'!$B:$B,$B67)</f>
        <v/>
      </c>
      <c r="G67" s="21">
        <f>SUMIFS('MP_MATAFUEGOS_FABRICADOS'!G:G,'MP_MATAFUEGOS_FABRICADOS'!$A:$A,$A67,'MP_MATAFUEGOS_FABRICADOS'!$B:$B,$B67)</f>
        <v/>
      </c>
      <c r="H67" s="21">
        <f>SUMIFS('MP_MATAFUEGOS_FABRICADOS'!H:H,'MP_MATAFUEGOS_FABRICADOS'!$A:$A,$A67,'MP_MATAFUEGOS_FABRICADOS'!$B:$B,$B67)</f>
        <v/>
      </c>
      <c r="I67" s="21">
        <f>SUMIFS('MP_MATAFUEGOS_FABRICADOS'!I:I,'MP_MATAFUEGOS_FABRICADOS'!$A:$A,$A67,'MP_MATAFUEGOS_FABRICADOS'!$B:$B,$B67)</f>
        <v/>
      </c>
      <c r="J67" s="21">
        <f>SUMIFS('MP_MATAFUEGOS_FABRICADOS'!J:J,'MP_MATAFUEGOS_FABRICADOS'!$A:$A,$A67,'MP_MATAFUEGOS_FABRICADOS'!$B:$B,$B67)</f>
        <v/>
      </c>
      <c r="K67" s="21">
        <f>SUMIFS('MP_MATAFUEGOS_FABRICADOS'!K:K,'MP_MATAFUEGOS_FABRICADOS'!$A:$A,$A67,'MP_MATAFUEGOS_FABRICADOS'!$B:$B,$B67)</f>
        <v/>
      </c>
      <c r="L67" s="21">
        <f>SUMIFS('MP_MATAFUEGOS_FABRICADOS'!L:L,'MP_MATAFUEGOS_FABRICADOS'!$A:$A,$A67,'MP_MATAFUEGOS_FABRICADOS'!$B:$B,$B67)</f>
        <v/>
      </c>
      <c r="M67" s="21">
        <f>SUMIFS('MP_MATAFUEGOS_FABRICADOS'!M:M,'MP_MATAFUEGOS_FABRICADOS'!$A:$A,$A67,'MP_MATAFUEGOS_FABRICADOS'!$B:$B,$B67)</f>
        <v/>
      </c>
      <c r="N67" s="21">
        <f>SUMIFS('MP_MATAFUEGOS_FABRICADOS'!N:N,'MP_MATAFUEGOS_FABRICADOS'!$A:$A,$A67,'MP_MATAFUEGOS_FABRICADOS'!$B:$B,$B67)</f>
        <v/>
      </c>
      <c r="O67" s="21">
        <f>SUMIFS('MP_MATAFUEGOS_FABRICADOS'!O:O,'MP_MATAFUEGOS_FABRICADOS'!$A:$A,$A67,'MP_MATAFUEGOS_FABRICADOS'!$B:$B,$B67)</f>
        <v/>
      </c>
    </row>
    <row r="68">
      <c r="A68" s="2" t="inlineStr">
        <is>
          <t>Tobera — 12 × 12 × 10</t>
        </is>
      </c>
      <c r="B68" s="2" t="inlineStr">
        <is>
          <t>u</t>
        </is>
      </c>
      <c r="C68" s="2" t="inlineStr">
        <is>
          <t>Componente comprado</t>
        </is>
      </c>
      <c r="D68" s="2" t="inlineStr">
        <is>
          <t>Yukon / MatafuegosYa S.R.L.</t>
        </is>
      </c>
      <c r="E68" s="2" t="inlineStr">
        <is>
          <t>MP_MATAFUEGOS_FABRICADOS</t>
        </is>
      </c>
      <c r="F68" s="21">
        <f>SUMIFS('MP_MATAFUEGOS_FABRICADOS'!F:F,'MP_MATAFUEGOS_FABRICADOS'!$A:$A,$A68,'MP_MATAFUEGOS_FABRICADOS'!$B:$B,$B68)</f>
        <v/>
      </c>
      <c r="G68" s="21">
        <f>SUMIFS('MP_MATAFUEGOS_FABRICADOS'!G:G,'MP_MATAFUEGOS_FABRICADOS'!$A:$A,$A68,'MP_MATAFUEGOS_FABRICADOS'!$B:$B,$B68)</f>
        <v/>
      </c>
      <c r="H68" s="21">
        <f>SUMIFS('MP_MATAFUEGOS_FABRICADOS'!H:H,'MP_MATAFUEGOS_FABRICADOS'!$A:$A,$A68,'MP_MATAFUEGOS_FABRICADOS'!$B:$B,$B68)</f>
        <v/>
      </c>
      <c r="I68" s="21">
        <f>SUMIFS('MP_MATAFUEGOS_FABRICADOS'!I:I,'MP_MATAFUEGOS_FABRICADOS'!$A:$A,$A68,'MP_MATAFUEGOS_FABRICADOS'!$B:$B,$B68)</f>
        <v/>
      </c>
      <c r="J68" s="21">
        <f>SUMIFS('MP_MATAFUEGOS_FABRICADOS'!J:J,'MP_MATAFUEGOS_FABRICADOS'!$A:$A,$A68,'MP_MATAFUEGOS_FABRICADOS'!$B:$B,$B68)</f>
        <v/>
      </c>
      <c r="K68" s="21">
        <f>SUMIFS('MP_MATAFUEGOS_FABRICADOS'!K:K,'MP_MATAFUEGOS_FABRICADOS'!$A:$A,$A68,'MP_MATAFUEGOS_FABRICADOS'!$B:$B,$B68)</f>
        <v/>
      </c>
      <c r="L68" s="21">
        <f>SUMIFS('MP_MATAFUEGOS_FABRICADOS'!L:L,'MP_MATAFUEGOS_FABRICADOS'!$A:$A,$A68,'MP_MATAFUEGOS_FABRICADOS'!$B:$B,$B68)</f>
        <v/>
      </c>
      <c r="M68" s="21">
        <f>SUMIFS('MP_MATAFUEGOS_FABRICADOS'!M:M,'MP_MATAFUEGOS_FABRICADOS'!$A:$A,$A68,'MP_MATAFUEGOS_FABRICADOS'!$B:$B,$B68)</f>
        <v/>
      </c>
      <c r="N68" s="21">
        <f>SUMIFS('MP_MATAFUEGOS_FABRICADOS'!N:N,'MP_MATAFUEGOS_FABRICADOS'!$A:$A,$A68,'MP_MATAFUEGOS_FABRICADOS'!$B:$B,$B68)</f>
        <v/>
      </c>
      <c r="O68" s="21">
        <f>SUMIFS('MP_MATAFUEGOS_FABRICADOS'!O:O,'MP_MATAFUEGOS_FABRICADOS'!$A:$A,$A68,'MP_MATAFUEGOS_FABRICADOS'!$B:$B,$B68)</f>
        <v/>
      </c>
    </row>
    <row r="69">
      <c r="A69" s="2" t="inlineStr">
        <is>
          <t>Válvula HZ armada M-22 1 kg c/tubo de pesca plástico</t>
        </is>
      </c>
      <c r="B69" s="2" t="inlineStr">
        <is>
          <t>u</t>
        </is>
      </c>
      <c r="C69" s="2" t="inlineStr">
        <is>
          <t>Componente comprado</t>
        </is>
      </c>
      <c r="D69" s="2" t="inlineStr">
        <is>
          <t>Polvex S.R.L. / Sancibrao</t>
        </is>
      </c>
      <c r="E69" s="2" t="inlineStr">
        <is>
          <t>MP_MATAFUEGOS_FABRICADOS</t>
        </is>
      </c>
      <c r="F69" s="21">
        <f>SUMIFS('MP_MATAFUEGOS_FABRICADOS'!F:F,'MP_MATAFUEGOS_FABRICADOS'!$A:$A,$A69,'MP_MATAFUEGOS_FABRICADOS'!$B:$B,$B69)</f>
        <v/>
      </c>
      <c r="G69" s="21">
        <f>SUMIFS('MP_MATAFUEGOS_FABRICADOS'!G:G,'MP_MATAFUEGOS_FABRICADOS'!$A:$A,$A69,'MP_MATAFUEGOS_FABRICADOS'!$B:$B,$B69)</f>
        <v/>
      </c>
      <c r="H69" s="21">
        <f>SUMIFS('MP_MATAFUEGOS_FABRICADOS'!H:H,'MP_MATAFUEGOS_FABRICADOS'!$A:$A,$A69,'MP_MATAFUEGOS_FABRICADOS'!$B:$B,$B69)</f>
        <v/>
      </c>
      <c r="I69" s="21">
        <f>SUMIFS('MP_MATAFUEGOS_FABRICADOS'!I:I,'MP_MATAFUEGOS_FABRICADOS'!$A:$A,$A69,'MP_MATAFUEGOS_FABRICADOS'!$B:$B,$B69)</f>
        <v/>
      </c>
      <c r="J69" s="21">
        <f>SUMIFS('MP_MATAFUEGOS_FABRICADOS'!J:J,'MP_MATAFUEGOS_FABRICADOS'!$A:$A,$A69,'MP_MATAFUEGOS_FABRICADOS'!$B:$B,$B69)</f>
        <v/>
      </c>
      <c r="K69" s="21">
        <f>SUMIFS('MP_MATAFUEGOS_FABRICADOS'!K:K,'MP_MATAFUEGOS_FABRICADOS'!$A:$A,$A69,'MP_MATAFUEGOS_FABRICADOS'!$B:$B,$B69)</f>
        <v/>
      </c>
      <c r="L69" s="21">
        <f>SUMIFS('MP_MATAFUEGOS_FABRICADOS'!L:L,'MP_MATAFUEGOS_FABRICADOS'!$A:$A,$A69,'MP_MATAFUEGOS_FABRICADOS'!$B:$B,$B69)</f>
        <v/>
      </c>
      <c r="M69" s="21">
        <f>SUMIFS('MP_MATAFUEGOS_FABRICADOS'!M:M,'MP_MATAFUEGOS_FABRICADOS'!$A:$A,$A69,'MP_MATAFUEGOS_FABRICADOS'!$B:$B,$B69)</f>
        <v/>
      </c>
      <c r="N69" s="21">
        <f>SUMIFS('MP_MATAFUEGOS_FABRICADOS'!N:N,'MP_MATAFUEGOS_FABRICADOS'!$A:$A,$A69,'MP_MATAFUEGOS_FABRICADOS'!$B:$B,$B69)</f>
        <v/>
      </c>
      <c r="O69" s="21">
        <f>SUMIFS('MP_MATAFUEGOS_FABRICADOS'!O:O,'MP_MATAFUEGOS_FABRICADOS'!$A:$A,$A69,'MP_MATAFUEGOS_FABRICADOS'!$B:$B,$B69)</f>
        <v/>
      </c>
    </row>
    <row r="70">
      <c r="A70" s="2" t="inlineStr">
        <is>
          <t>Válvula HZ armada M-30 c/resorte y tubo 7/8</t>
        </is>
      </c>
      <c r="B70" s="2" t="inlineStr">
        <is>
          <t>u</t>
        </is>
      </c>
      <c r="C70" s="2" t="inlineStr">
        <is>
          <t>Componente comprado</t>
        </is>
      </c>
      <c r="D70" s="2" t="inlineStr">
        <is>
          <t>Polvex S.R.L. / Sancibrao</t>
        </is>
      </c>
      <c r="E70" s="2" t="inlineStr">
        <is>
          <t>MP_MATAFUEGOS_FABRICADOS</t>
        </is>
      </c>
      <c r="F70" s="21">
        <f>SUMIFS('MP_MATAFUEGOS_FABRICADOS'!F:F,'MP_MATAFUEGOS_FABRICADOS'!$A:$A,$A70,'MP_MATAFUEGOS_FABRICADOS'!$B:$B,$B70)</f>
        <v/>
      </c>
      <c r="G70" s="21">
        <f>SUMIFS('MP_MATAFUEGOS_FABRICADOS'!G:G,'MP_MATAFUEGOS_FABRICADOS'!$A:$A,$A70,'MP_MATAFUEGOS_FABRICADOS'!$B:$B,$B70)</f>
        <v/>
      </c>
      <c r="H70" s="21">
        <f>SUMIFS('MP_MATAFUEGOS_FABRICADOS'!H:H,'MP_MATAFUEGOS_FABRICADOS'!$A:$A,$A70,'MP_MATAFUEGOS_FABRICADOS'!$B:$B,$B70)</f>
        <v/>
      </c>
      <c r="I70" s="21">
        <f>SUMIFS('MP_MATAFUEGOS_FABRICADOS'!I:I,'MP_MATAFUEGOS_FABRICADOS'!$A:$A,$A70,'MP_MATAFUEGOS_FABRICADOS'!$B:$B,$B70)</f>
        <v/>
      </c>
      <c r="J70" s="21">
        <f>SUMIFS('MP_MATAFUEGOS_FABRICADOS'!J:J,'MP_MATAFUEGOS_FABRICADOS'!$A:$A,$A70,'MP_MATAFUEGOS_FABRICADOS'!$B:$B,$B70)</f>
        <v/>
      </c>
      <c r="K70" s="21">
        <f>SUMIFS('MP_MATAFUEGOS_FABRICADOS'!K:K,'MP_MATAFUEGOS_FABRICADOS'!$A:$A,$A70,'MP_MATAFUEGOS_FABRICADOS'!$B:$B,$B70)</f>
        <v/>
      </c>
      <c r="L70" s="21">
        <f>SUMIFS('MP_MATAFUEGOS_FABRICADOS'!L:L,'MP_MATAFUEGOS_FABRICADOS'!$A:$A,$A70,'MP_MATAFUEGOS_FABRICADOS'!$B:$B,$B70)</f>
        <v/>
      </c>
      <c r="M70" s="21">
        <f>SUMIFS('MP_MATAFUEGOS_FABRICADOS'!M:M,'MP_MATAFUEGOS_FABRICADOS'!$A:$A,$A70,'MP_MATAFUEGOS_FABRICADOS'!$B:$B,$B70)</f>
        <v/>
      </c>
      <c r="N70" s="21">
        <f>SUMIFS('MP_MATAFUEGOS_FABRICADOS'!N:N,'MP_MATAFUEGOS_FABRICADOS'!$A:$A,$A70,'MP_MATAFUEGOS_FABRICADOS'!$B:$B,$B70)</f>
        <v/>
      </c>
      <c r="O70" s="21">
        <f>SUMIFS('MP_MATAFUEGOS_FABRICADOS'!O:O,'MP_MATAFUEGOS_FABRICADOS'!$A:$A,$A70,'MP_MATAFUEGOS_FABRICADOS'!$B:$B,$B70)</f>
        <v/>
      </c>
    </row>
    <row r="71">
      <c r="A71" s="2" t="inlineStr">
        <is>
          <t>Válvula HZ armada de carro 25 kg c/traba, manija y resorte</t>
        </is>
      </c>
      <c r="B71" s="2" t="inlineStr">
        <is>
          <t>u</t>
        </is>
      </c>
      <c r="C71" s="2" t="inlineStr">
        <is>
          <t>Componente comprado</t>
        </is>
      </c>
      <c r="D71" s="2" t="inlineStr">
        <is>
          <t>Polvex S.R.L. / Sancibrao</t>
        </is>
      </c>
      <c r="E71" s="2" t="inlineStr">
        <is>
          <t>MP_MATAFUEGOS_FABRICADOS</t>
        </is>
      </c>
      <c r="F71" s="21">
        <f>SUMIFS('MP_MATAFUEGOS_FABRICADOS'!F:F,'MP_MATAFUEGOS_FABRICADOS'!$A:$A,$A71,'MP_MATAFUEGOS_FABRICADOS'!$B:$B,$B71)</f>
        <v/>
      </c>
      <c r="G71" s="21">
        <f>SUMIFS('MP_MATAFUEGOS_FABRICADOS'!G:G,'MP_MATAFUEGOS_FABRICADOS'!$A:$A,$A71,'MP_MATAFUEGOS_FABRICADOS'!$B:$B,$B71)</f>
        <v/>
      </c>
      <c r="H71" s="21">
        <f>SUMIFS('MP_MATAFUEGOS_FABRICADOS'!H:H,'MP_MATAFUEGOS_FABRICADOS'!$A:$A,$A71,'MP_MATAFUEGOS_FABRICADOS'!$B:$B,$B71)</f>
        <v/>
      </c>
      <c r="I71" s="21">
        <f>SUMIFS('MP_MATAFUEGOS_FABRICADOS'!I:I,'MP_MATAFUEGOS_FABRICADOS'!$A:$A,$A71,'MP_MATAFUEGOS_FABRICADOS'!$B:$B,$B71)</f>
        <v/>
      </c>
      <c r="J71" s="21">
        <f>SUMIFS('MP_MATAFUEGOS_FABRICADOS'!J:J,'MP_MATAFUEGOS_FABRICADOS'!$A:$A,$A71,'MP_MATAFUEGOS_FABRICADOS'!$B:$B,$B71)</f>
        <v/>
      </c>
      <c r="K71" s="21">
        <f>SUMIFS('MP_MATAFUEGOS_FABRICADOS'!K:K,'MP_MATAFUEGOS_FABRICADOS'!$A:$A,$A71,'MP_MATAFUEGOS_FABRICADOS'!$B:$B,$B71)</f>
        <v/>
      </c>
      <c r="L71" s="21">
        <f>SUMIFS('MP_MATAFUEGOS_FABRICADOS'!L:L,'MP_MATAFUEGOS_FABRICADOS'!$A:$A,$A71,'MP_MATAFUEGOS_FABRICADOS'!$B:$B,$B71)</f>
        <v/>
      </c>
      <c r="M71" s="21">
        <f>SUMIFS('MP_MATAFUEGOS_FABRICADOS'!M:M,'MP_MATAFUEGOS_FABRICADOS'!$A:$A,$A71,'MP_MATAFUEGOS_FABRICADOS'!$B:$B,$B71)</f>
        <v/>
      </c>
      <c r="N71" s="21">
        <f>SUMIFS('MP_MATAFUEGOS_FABRICADOS'!N:N,'MP_MATAFUEGOS_FABRICADOS'!$A:$A,$A71,'MP_MATAFUEGOS_FABRICADOS'!$B:$B,$B71)</f>
        <v/>
      </c>
      <c r="O71" s="21">
        <f>SUMIFS('MP_MATAFUEGOS_FABRICADOS'!O:O,'MP_MATAFUEGOS_FABRICADOS'!$A:$A,$A71,'MP_MATAFUEGOS_FABRICADOS'!$B:$B,$B71)</f>
        <v/>
      </c>
    </row>
    <row r="72">
      <c r="A72" s="2" t="inlineStr">
        <is>
          <t>Válvula HZ armada de carro 50-70-100 kg</t>
        </is>
      </c>
      <c r="B72" s="2" t="inlineStr">
        <is>
          <t>u</t>
        </is>
      </c>
      <c r="C72" s="2" t="inlineStr">
        <is>
          <t>Componente comprado</t>
        </is>
      </c>
      <c r="D72" s="2" t="inlineStr">
        <is>
          <t>Polvex S.R.L. / Sancibrao</t>
        </is>
      </c>
      <c r="E72" s="2" t="inlineStr">
        <is>
          <t>MP_MATAFUEGOS_FABRICADOS</t>
        </is>
      </c>
      <c r="F72" s="21">
        <f>SUMIFS('MP_MATAFUEGOS_FABRICADOS'!F:F,'MP_MATAFUEGOS_FABRICADOS'!$A:$A,$A72,'MP_MATAFUEGOS_FABRICADOS'!$B:$B,$B72)</f>
        <v/>
      </c>
      <c r="G72" s="21">
        <f>SUMIFS('MP_MATAFUEGOS_FABRICADOS'!G:G,'MP_MATAFUEGOS_FABRICADOS'!$A:$A,$A72,'MP_MATAFUEGOS_FABRICADOS'!$B:$B,$B72)</f>
        <v/>
      </c>
      <c r="H72" s="21">
        <f>SUMIFS('MP_MATAFUEGOS_FABRICADOS'!H:H,'MP_MATAFUEGOS_FABRICADOS'!$A:$A,$A72,'MP_MATAFUEGOS_FABRICADOS'!$B:$B,$B72)</f>
        <v/>
      </c>
      <c r="I72" s="21">
        <f>SUMIFS('MP_MATAFUEGOS_FABRICADOS'!I:I,'MP_MATAFUEGOS_FABRICADOS'!$A:$A,$A72,'MP_MATAFUEGOS_FABRICADOS'!$B:$B,$B72)</f>
        <v/>
      </c>
      <c r="J72" s="21">
        <f>SUMIFS('MP_MATAFUEGOS_FABRICADOS'!J:J,'MP_MATAFUEGOS_FABRICADOS'!$A:$A,$A72,'MP_MATAFUEGOS_FABRICADOS'!$B:$B,$B72)</f>
        <v/>
      </c>
      <c r="K72" s="21">
        <f>SUMIFS('MP_MATAFUEGOS_FABRICADOS'!K:K,'MP_MATAFUEGOS_FABRICADOS'!$A:$A,$A72,'MP_MATAFUEGOS_FABRICADOS'!$B:$B,$B72)</f>
        <v/>
      </c>
      <c r="L72" s="21">
        <f>SUMIFS('MP_MATAFUEGOS_FABRICADOS'!L:L,'MP_MATAFUEGOS_FABRICADOS'!$A:$A,$A72,'MP_MATAFUEGOS_FABRICADOS'!$B:$B,$B72)</f>
        <v/>
      </c>
      <c r="M72" s="21">
        <f>SUMIFS('MP_MATAFUEGOS_FABRICADOS'!M:M,'MP_MATAFUEGOS_FABRICADOS'!$A:$A,$A72,'MP_MATAFUEGOS_FABRICADOS'!$B:$B,$B72)</f>
        <v/>
      </c>
      <c r="N72" s="21">
        <f>SUMIFS('MP_MATAFUEGOS_FABRICADOS'!N:N,'MP_MATAFUEGOS_FABRICADOS'!$A:$A,$A72,'MP_MATAFUEGOS_FABRICADOS'!$B:$B,$B72)</f>
        <v/>
      </c>
      <c r="O72" s="21">
        <f>SUMIFS('MP_MATAFUEGOS_FABRICADOS'!O:O,'MP_MATAFUEGOS_FABRICADOS'!$A:$A,$A72,'MP_MATAFUEGOS_FABRICADOS'!$B:$B,$B72)</f>
        <v/>
      </c>
    </row>
    <row r="73">
      <c r="A73" s="2" t="inlineStr">
        <is>
          <t>Válvula esférica — 110 × 60 × 40</t>
        </is>
      </c>
      <c r="B73" s="2" t="inlineStr">
        <is>
          <t>u</t>
        </is>
      </c>
      <c r="C73" s="2" t="inlineStr">
        <is>
          <t>Componente comprado</t>
        </is>
      </c>
      <c r="D73" s="2" t="inlineStr">
        <is>
          <t>Yukon / MatafuegosYa S.R.L.</t>
        </is>
      </c>
      <c r="E73" s="2" t="inlineStr">
        <is>
          <t>MP_MATAFUEGOS_FABRICADOS</t>
        </is>
      </c>
      <c r="F73" s="21">
        <f>SUMIFS('MP_MATAFUEGOS_FABRICADOS'!F:F,'MP_MATAFUEGOS_FABRICADOS'!$A:$A,$A73,'MP_MATAFUEGOS_FABRICADOS'!$B:$B,$B73)</f>
        <v/>
      </c>
      <c r="G73" s="21">
        <f>SUMIFS('MP_MATAFUEGOS_FABRICADOS'!G:G,'MP_MATAFUEGOS_FABRICADOS'!$A:$A,$A73,'MP_MATAFUEGOS_FABRICADOS'!$B:$B,$B73)</f>
        <v/>
      </c>
      <c r="H73" s="21">
        <f>SUMIFS('MP_MATAFUEGOS_FABRICADOS'!H:H,'MP_MATAFUEGOS_FABRICADOS'!$A:$A,$A73,'MP_MATAFUEGOS_FABRICADOS'!$B:$B,$B73)</f>
        <v/>
      </c>
      <c r="I73" s="21">
        <f>SUMIFS('MP_MATAFUEGOS_FABRICADOS'!I:I,'MP_MATAFUEGOS_FABRICADOS'!$A:$A,$A73,'MP_MATAFUEGOS_FABRICADOS'!$B:$B,$B73)</f>
        <v/>
      </c>
      <c r="J73" s="21">
        <f>SUMIFS('MP_MATAFUEGOS_FABRICADOS'!J:J,'MP_MATAFUEGOS_FABRICADOS'!$A:$A,$A73,'MP_MATAFUEGOS_FABRICADOS'!$B:$B,$B73)</f>
        <v/>
      </c>
      <c r="K73" s="21">
        <f>SUMIFS('MP_MATAFUEGOS_FABRICADOS'!K:K,'MP_MATAFUEGOS_FABRICADOS'!$A:$A,$A73,'MP_MATAFUEGOS_FABRICADOS'!$B:$B,$B73)</f>
        <v/>
      </c>
      <c r="L73" s="21">
        <f>SUMIFS('MP_MATAFUEGOS_FABRICADOS'!L:L,'MP_MATAFUEGOS_FABRICADOS'!$A:$A,$A73,'MP_MATAFUEGOS_FABRICADOS'!$B:$B,$B73)</f>
        <v/>
      </c>
      <c r="M73" s="21">
        <f>SUMIFS('MP_MATAFUEGOS_FABRICADOS'!M:M,'MP_MATAFUEGOS_FABRICADOS'!$A:$A,$A73,'MP_MATAFUEGOS_FABRICADOS'!$B:$B,$B73)</f>
        <v/>
      </c>
      <c r="N73" s="21">
        <f>SUMIFS('MP_MATAFUEGOS_FABRICADOS'!N:N,'MP_MATAFUEGOS_FABRICADOS'!$A:$A,$A73,'MP_MATAFUEGOS_FABRICADOS'!$B:$B,$B73)</f>
        <v/>
      </c>
      <c r="O73" s="21">
        <f>SUMIFS('MP_MATAFUEGOS_FABRICADOS'!O:O,'MP_MATAFUEGOS_FABRICADOS'!$A:$A,$A73,'MP_MATAFUEGOS_FABRICADOS'!$B:$B,$B73)</f>
        <v/>
      </c>
    </row>
    <row r="74">
      <c r="A74" s="2" t="inlineStr">
        <is>
          <t>Alambre MAG ER70S-6 Ø0,9 (AWS A5.18)</t>
        </is>
      </c>
      <c r="B74" s="2" t="inlineStr">
        <is>
          <t>kg</t>
        </is>
      </c>
      <c r="C74" s="2" t="inlineStr">
        <is>
          <t>Consumible de proceso</t>
        </is>
      </c>
      <c r="D74" s="2" t="inlineStr">
        <is>
          <t>Conarco (ESAB Argentina)</t>
        </is>
      </c>
      <c r="E74" s="2" t="inlineStr">
        <is>
          <t>MP_MATAFUEGOS_FABRICADOS, MP_CILINDROS</t>
        </is>
      </c>
      <c r="F74" s="21">
        <f>SUMIFS('MP_MATAFUEGOS_FABRICADOS'!F:F,'MP_MATAFUEGOS_FABRICADOS'!$A:$A,$A74,'MP_MATAFUEGOS_FABRICADOS'!$B:$B,$B74)+SUMIFS('MP_CILINDROS'!F:F,'MP_CILINDROS'!$A:$A,$A74,'MP_CILINDROS'!$B:$B,$B74)</f>
        <v/>
      </c>
      <c r="G74" s="21">
        <f>SUMIFS('MP_MATAFUEGOS_FABRICADOS'!G:G,'MP_MATAFUEGOS_FABRICADOS'!$A:$A,$A74,'MP_MATAFUEGOS_FABRICADOS'!$B:$B,$B74)+SUMIFS('MP_CILINDROS'!G:G,'MP_CILINDROS'!$A:$A,$A74,'MP_CILINDROS'!$B:$B,$B74)</f>
        <v/>
      </c>
      <c r="H74" s="21">
        <f>SUMIFS('MP_MATAFUEGOS_FABRICADOS'!H:H,'MP_MATAFUEGOS_FABRICADOS'!$A:$A,$A74,'MP_MATAFUEGOS_FABRICADOS'!$B:$B,$B74)+SUMIFS('MP_CILINDROS'!H:H,'MP_CILINDROS'!$A:$A,$A74,'MP_CILINDROS'!$B:$B,$B74)</f>
        <v/>
      </c>
      <c r="I74" s="21">
        <f>SUMIFS('MP_MATAFUEGOS_FABRICADOS'!I:I,'MP_MATAFUEGOS_FABRICADOS'!$A:$A,$A74,'MP_MATAFUEGOS_FABRICADOS'!$B:$B,$B74)+SUMIFS('MP_CILINDROS'!I:I,'MP_CILINDROS'!$A:$A,$A74,'MP_CILINDROS'!$B:$B,$B74)</f>
        <v/>
      </c>
      <c r="J74" s="21">
        <f>SUMIFS('MP_MATAFUEGOS_FABRICADOS'!J:J,'MP_MATAFUEGOS_FABRICADOS'!$A:$A,$A74,'MP_MATAFUEGOS_FABRICADOS'!$B:$B,$B74)+SUMIFS('MP_CILINDROS'!J:J,'MP_CILINDROS'!$A:$A,$A74,'MP_CILINDROS'!$B:$B,$B74)</f>
        <v/>
      </c>
      <c r="K74" s="21">
        <f>SUMIFS('MP_MATAFUEGOS_FABRICADOS'!K:K,'MP_MATAFUEGOS_FABRICADOS'!$A:$A,$A74,'MP_MATAFUEGOS_FABRICADOS'!$B:$B,$B74)+SUMIFS('MP_CILINDROS'!K:K,'MP_CILINDROS'!$A:$A,$A74,'MP_CILINDROS'!$B:$B,$B74)</f>
        <v/>
      </c>
      <c r="L74" s="21">
        <f>SUMIFS('MP_MATAFUEGOS_FABRICADOS'!L:L,'MP_MATAFUEGOS_FABRICADOS'!$A:$A,$A74,'MP_MATAFUEGOS_FABRICADOS'!$B:$B,$B74)+SUMIFS('MP_CILINDROS'!L:L,'MP_CILINDROS'!$A:$A,$A74,'MP_CILINDROS'!$B:$B,$B74)</f>
        <v/>
      </c>
      <c r="M74" s="21">
        <f>SUMIFS('MP_MATAFUEGOS_FABRICADOS'!M:M,'MP_MATAFUEGOS_FABRICADOS'!$A:$A,$A74,'MP_MATAFUEGOS_FABRICADOS'!$B:$B,$B74)+SUMIFS('MP_CILINDROS'!M:M,'MP_CILINDROS'!$A:$A,$A74,'MP_CILINDROS'!$B:$B,$B74)</f>
        <v/>
      </c>
      <c r="N74" s="21">
        <f>SUMIFS('MP_MATAFUEGOS_FABRICADOS'!N:N,'MP_MATAFUEGOS_FABRICADOS'!$A:$A,$A74,'MP_MATAFUEGOS_FABRICADOS'!$B:$B,$B74)+SUMIFS('MP_CILINDROS'!N:N,'MP_CILINDROS'!$A:$A,$A74,'MP_CILINDROS'!$B:$B,$B74)</f>
        <v/>
      </c>
      <c r="O74" s="21">
        <f>SUMIFS('MP_MATAFUEGOS_FABRICADOS'!O:O,'MP_MATAFUEGOS_FABRICADOS'!$A:$A,$A74,'MP_MATAFUEGOS_FABRICADOS'!$B:$B,$B74)+SUMIFS('MP_CILINDROS'!O:O,'MP_CILINDROS'!$A:$A,$A74,'MP_CILINDROS'!$B:$B,$B74)</f>
        <v/>
      </c>
    </row>
    <row r="75">
      <c r="A75" s="2" t="inlineStr">
        <is>
          <t>Alambre MAG ER70S-6 Ø1,2 (AWS A5.18)</t>
        </is>
      </c>
      <c r="B75" s="2" t="inlineStr">
        <is>
          <t>kg</t>
        </is>
      </c>
      <c r="C75" s="2" t="inlineStr">
        <is>
          <t>Consumible de proceso</t>
        </is>
      </c>
      <c r="D75" s="2" t="inlineStr">
        <is>
          <t>Conarco (ESAB Argentina)</t>
        </is>
      </c>
      <c r="E75" s="2" t="inlineStr">
        <is>
          <t>MP_MATAFUEGOS_FABRICADOS, MP_CILINDROS</t>
        </is>
      </c>
      <c r="F75" s="21">
        <f>SUMIFS('MP_MATAFUEGOS_FABRICADOS'!F:F,'MP_MATAFUEGOS_FABRICADOS'!$A:$A,$A75,'MP_MATAFUEGOS_FABRICADOS'!$B:$B,$B75)+SUMIFS('MP_CILINDROS'!F:F,'MP_CILINDROS'!$A:$A,$A75,'MP_CILINDROS'!$B:$B,$B75)</f>
        <v/>
      </c>
      <c r="G75" s="21">
        <f>SUMIFS('MP_MATAFUEGOS_FABRICADOS'!G:G,'MP_MATAFUEGOS_FABRICADOS'!$A:$A,$A75,'MP_MATAFUEGOS_FABRICADOS'!$B:$B,$B75)+SUMIFS('MP_CILINDROS'!G:G,'MP_CILINDROS'!$A:$A,$A75,'MP_CILINDROS'!$B:$B,$B75)</f>
        <v/>
      </c>
      <c r="H75" s="21">
        <f>SUMIFS('MP_MATAFUEGOS_FABRICADOS'!H:H,'MP_MATAFUEGOS_FABRICADOS'!$A:$A,$A75,'MP_MATAFUEGOS_FABRICADOS'!$B:$B,$B75)+SUMIFS('MP_CILINDROS'!H:H,'MP_CILINDROS'!$A:$A,$A75,'MP_CILINDROS'!$B:$B,$B75)</f>
        <v/>
      </c>
      <c r="I75" s="21">
        <f>SUMIFS('MP_MATAFUEGOS_FABRICADOS'!I:I,'MP_MATAFUEGOS_FABRICADOS'!$A:$A,$A75,'MP_MATAFUEGOS_FABRICADOS'!$B:$B,$B75)+SUMIFS('MP_CILINDROS'!I:I,'MP_CILINDROS'!$A:$A,$A75,'MP_CILINDROS'!$B:$B,$B75)</f>
        <v/>
      </c>
      <c r="J75" s="21">
        <f>SUMIFS('MP_MATAFUEGOS_FABRICADOS'!J:J,'MP_MATAFUEGOS_FABRICADOS'!$A:$A,$A75,'MP_MATAFUEGOS_FABRICADOS'!$B:$B,$B75)+SUMIFS('MP_CILINDROS'!J:J,'MP_CILINDROS'!$A:$A,$A75,'MP_CILINDROS'!$B:$B,$B75)</f>
        <v/>
      </c>
      <c r="K75" s="21">
        <f>SUMIFS('MP_MATAFUEGOS_FABRICADOS'!K:K,'MP_MATAFUEGOS_FABRICADOS'!$A:$A,$A75,'MP_MATAFUEGOS_FABRICADOS'!$B:$B,$B75)+SUMIFS('MP_CILINDROS'!K:K,'MP_CILINDROS'!$A:$A,$A75,'MP_CILINDROS'!$B:$B,$B75)</f>
        <v/>
      </c>
      <c r="L75" s="21">
        <f>SUMIFS('MP_MATAFUEGOS_FABRICADOS'!L:L,'MP_MATAFUEGOS_FABRICADOS'!$A:$A,$A75,'MP_MATAFUEGOS_FABRICADOS'!$B:$B,$B75)+SUMIFS('MP_CILINDROS'!L:L,'MP_CILINDROS'!$A:$A,$A75,'MP_CILINDROS'!$B:$B,$B75)</f>
        <v/>
      </c>
      <c r="M75" s="21">
        <f>SUMIFS('MP_MATAFUEGOS_FABRICADOS'!M:M,'MP_MATAFUEGOS_FABRICADOS'!$A:$A,$A75,'MP_MATAFUEGOS_FABRICADOS'!$B:$B,$B75)+SUMIFS('MP_CILINDROS'!M:M,'MP_CILINDROS'!$A:$A,$A75,'MP_CILINDROS'!$B:$B,$B75)</f>
        <v/>
      </c>
      <c r="N75" s="21">
        <f>SUMIFS('MP_MATAFUEGOS_FABRICADOS'!N:N,'MP_MATAFUEGOS_FABRICADOS'!$A:$A,$A75,'MP_MATAFUEGOS_FABRICADOS'!$B:$B,$B75)+SUMIFS('MP_CILINDROS'!N:N,'MP_CILINDROS'!$A:$A,$A75,'MP_CILINDROS'!$B:$B,$B75)</f>
        <v/>
      </c>
      <c r="O75" s="21">
        <f>SUMIFS('MP_MATAFUEGOS_FABRICADOS'!O:O,'MP_MATAFUEGOS_FABRICADOS'!$A:$A,$A75,'MP_MATAFUEGOS_FABRICADOS'!$B:$B,$B75)+SUMIFS('MP_CILINDROS'!O:O,'MP_CILINDROS'!$A:$A,$A75,'MP_CILINDROS'!$B:$B,$B75)</f>
        <v/>
      </c>
    </row>
    <row r="76">
      <c r="A76" s="2" t="inlineStr">
        <is>
          <t>Gas de protección MAG Arcal 21 / ARCAL Speed (Ar + 8 % CO₂, M20)</t>
        </is>
      </c>
      <c r="B76" s="2" t="inlineStr">
        <is>
          <t>L</t>
        </is>
      </c>
      <c r="C76" s="2" t="inlineStr">
        <is>
          <t>Consumible de proceso</t>
        </is>
      </c>
      <c r="D76" s="2" t="inlineStr">
        <is>
          <t>Air Liquide Argentina - sucursal Piñeyro</t>
        </is>
      </c>
      <c r="E76" s="2" t="inlineStr">
        <is>
          <t>MP_MATAFUEGOS_FABRICADOS, MP_CILINDROS</t>
        </is>
      </c>
      <c r="F76" s="21">
        <f>SUMIFS('MP_MATAFUEGOS_FABRICADOS'!F:F,'MP_MATAFUEGOS_FABRICADOS'!$A:$A,$A76,'MP_MATAFUEGOS_FABRICADOS'!$B:$B,$B76)+SUMIFS('MP_CILINDROS'!F:F,'MP_CILINDROS'!$A:$A,$A76,'MP_CILINDROS'!$B:$B,$B76)</f>
        <v/>
      </c>
      <c r="G76" s="21">
        <f>SUMIFS('MP_MATAFUEGOS_FABRICADOS'!G:G,'MP_MATAFUEGOS_FABRICADOS'!$A:$A,$A76,'MP_MATAFUEGOS_FABRICADOS'!$B:$B,$B76)+SUMIFS('MP_CILINDROS'!G:G,'MP_CILINDROS'!$A:$A,$A76,'MP_CILINDROS'!$B:$B,$B76)</f>
        <v/>
      </c>
      <c r="H76" s="21">
        <f>SUMIFS('MP_MATAFUEGOS_FABRICADOS'!H:H,'MP_MATAFUEGOS_FABRICADOS'!$A:$A,$A76,'MP_MATAFUEGOS_FABRICADOS'!$B:$B,$B76)+SUMIFS('MP_CILINDROS'!H:H,'MP_CILINDROS'!$A:$A,$A76,'MP_CILINDROS'!$B:$B,$B76)</f>
        <v/>
      </c>
      <c r="I76" s="21">
        <f>SUMIFS('MP_MATAFUEGOS_FABRICADOS'!I:I,'MP_MATAFUEGOS_FABRICADOS'!$A:$A,$A76,'MP_MATAFUEGOS_FABRICADOS'!$B:$B,$B76)+SUMIFS('MP_CILINDROS'!I:I,'MP_CILINDROS'!$A:$A,$A76,'MP_CILINDROS'!$B:$B,$B76)</f>
        <v/>
      </c>
      <c r="J76" s="21">
        <f>SUMIFS('MP_MATAFUEGOS_FABRICADOS'!J:J,'MP_MATAFUEGOS_FABRICADOS'!$A:$A,$A76,'MP_MATAFUEGOS_FABRICADOS'!$B:$B,$B76)+SUMIFS('MP_CILINDROS'!J:J,'MP_CILINDROS'!$A:$A,$A76,'MP_CILINDROS'!$B:$B,$B76)</f>
        <v/>
      </c>
      <c r="K76" s="21">
        <f>SUMIFS('MP_MATAFUEGOS_FABRICADOS'!K:K,'MP_MATAFUEGOS_FABRICADOS'!$A:$A,$A76,'MP_MATAFUEGOS_FABRICADOS'!$B:$B,$B76)+SUMIFS('MP_CILINDROS'!K:K,'MP_CILINDROS'!$A:$A,$A76,'MP_CILINDROS'!$B:$B,$B76)</f>
        <v/>
      </c>
      <c r="L76" s="21">
        <f>SUMIFS('MP_MATAFUEGOS_FABRICADOS'!L:L,'MP_MATAFUEGOS_FABRICADOS'!$A:$A,$A76,'MP_MATAFUEGOS_FABRICADOS'!$B:$B,$B76)+SUMIFS('MP_CILINDROS'!L:L,'MP_CILINDROS'!$A:$A,$A76,'MP_CILINDROS'!$B:$B,$B76)</f>
        <v/>
      </c>
      <c r="M76" s="21">
        <f>SUMIFS('MP_MATAFUEGOS_FABRICADOS'!M:M,'MP_MATAFUEGOS_FABRICADOS'!$A:$A,$A76,'MP_MATAFUEGOS_FABRICADOS'!$B:$B,$B76)+SUMIFS('MP_CILINDROS'!M:M,'MP_CILINDROS'!$A:$A,$A76,'MP_CILINDROS'!$B:$B,$B76)</f>
        <v/>
      </c>
      <c r="N76" s="21">
        <f>SUMIFS('MP_MATAFUEGOS_FABRICADOS'!N:N,'MP_MATAFUEGOS_FABRICADOS'!$A:$A,$A76,'MP_MATAFUEGOS_FABRICADOS'!$B:$B,$B76)+SUMIFS('MP_CILINDROS'!N:N,'MP_CILINDROS'!$A:$A,$A76,'MP_CILINDROS'!$B:$B,$B76)</f>
        <v/>
      </c>
      <c r="O76" s="21">
        <f>SUMIFS('MP_MATAFUEGOS_FABRICADOS'!O:O,'MP_MATAFUEGOS_FABRICADOS'!$A:$A,$A76,'MP_MATAFUEGOS_FABRICADOS'!$B:$B,$B76)+SUMIFS('MP_CILINDROS'!O:O,'MP_CILINDROS'!$A:$A,$A76,'MP_CILINDROS'!$B:$B,$B76)</f>
        <v/>
      </c>
    </row>
    <row r="77">
      <c r="A77" s="2" t="inlineStr">
        <is>
          <t>Granalla de acero S330 / S390 (ISO 11124-3, SAE J444)</t>
        </is>
      </c>
      <c r="B77" s="2" t="inlineStr">
        <is>
          <t>kg</t>
        </is>
      </c>
      <c r="C77" s="2" t="inlineStr">
        <is>
          <t>Consumible de proceso</t>
        </is>
      </c>
      <c r="D77" s="2" t="inlineStr">
        <is>
          <t>CyM Materiales</t>
        </is>
      </c>
      <c r="E77" s="2" t="inlineStr">
        <is>
          <t>MP_MATAFUEGOS_FABRICADOS, MP_CILINDROS</t>
        </is>
      </c>
      <c r="F77" s="21">
        <f>SUMIFS('MP_MATAFUEGOS_FABRICADOS'!F:F,'MP_MATAFUEGOS_FABRICADOS'!$A:$A,$A77,'MP_MATAFUEGOS_FABRICADOS'!$B:$B,$B77)+SUMIFS('MP_CILINDROS'!F:F,'MP_CILINDROS'!$A:$A,$A77,'MP_CILINDROS'!$B:$B,$B77)</f>
        <v/>
      </c>
      <c r="G77" s="21">
        <f>SUMIFS('MP_MATAFUEGOS_FABRICADOS'!G:G,'MP_MATAFUEGOS_FABRICADOS'!$A:$A,$A77,'MP_MATAFUEGOS_FABRICADOS'!$B:$B,$B77)+SUMIFS('MP_CILINDROS'!G:G,'MP_CILINDROS'!$A:$A,$A77,'MP_CILINDROS'!$B:$B,$B77)</f>
        <v/>
      </c>
      <c r="H77" s="21">
        <f>SUMIFS('MP_MATAFUEGOS_FABRICADOS'!H:H,'MP_MATAFUEGOS_FABRICADOS'!$A:$A,$A77,'MP_MATAFUEGOS_FABRICADOS'!$B:$B,$B77)+SUMIFS('MP_CILINDROS'!H:H,'MP_CILINDROS'!$A:$A,$A77,'MP_CILINDROS'!$B:$B,$B77)</f>
        <v/>
      </c>
      <c r="I77" s="21">
        <f>SUMIFS('MP_MATAFUEGOS_FABRICADOS'!I:I,'MP_MATAFUEGOS_FABRICADOS'!$A:$A,$A77,'MP_MATAFUEGOS_FABRICADOS'!$B:$B,$B77)+SUMIFS('MP_CILINDROS'!I:I,'MP_CILINDROS'!$A:$A,$A77,'MP_CILINDROS'!$B:$B,$B77)</f>
        <v/>
      </c>
      <c r="J77" s="21">
        <f>SUMIFS('MP_MATAFUEGOS_FABRICADOS'!J:J,'MP_MATAFUEGOS_FABRICADOS'!$A:$A,$A77,'MP_MATAFUEGOS_FABRICADOS'!$B:$B,$B77)+SUMIFS('MP_CILINDROS'!J:J,'MP_CILINDROS'!$A:$A,$A77,'MP_CILINDROS'!$B:$B,$B77)</f>
        <v/>
      </c>
      <c r="K77" s="21">
        <f>SUMIFS('MP_MATAFUEGOS_FABRICADOS'!K:K,'MP_MATAFUEGOS_FABRICADOS'!$A:$A,$A77,'MP_MATAFUEGOS_FABRICADOS'!$B:$B,$B77)+SUMIFS('MP_CILINDROS'!K:K,'MP_CILINDROS'!$A:$A,$A77,'MP_CILINDROS'!$B:$B,$B77)</f>
        <v/>
      </c>
      <c r="L77" s="21">
        <f>SUMIFS('MP_MATAFUEGOS_FABRICADOS'!L:L,'MP_MATAFUEGOS_FABRICADOS'!$A:$A,$A77,'MP_MATAFUEGOS_FABRICADOS'!$B:$B,$B77)+SUMIFS('MP_CILINDROS'!L:L,'MP_CILINDROS'!$A:$A,$A77,'MP_CILINDROS'!$B:$B,$B77)</f>
        <v/>
      </c>
      <c r="M77" s="21">
        <f>SUMIFS('MP_MATAFUEGOS_FABRICADOS'!M:M,'MP_MATAFUEGOS_FABRICADOS'!$A:$A,$A77,'MP_MATAFUEGOS_FABRICADOS'!$B:$B,$B77)+SUMIFS('MP_CILINDROS'!M:M,'MP_CILINDROS'!$A:$A,$A77,'MP_CILINDROS'!$B:$B,$B77)</f>
        <v/>
      </c>
      <c r="N77" s="21">
        <f>SUMIFS('MP_MATAFUEGOS_FABRICADOS'!N:N,'MP_MATAFUEGOS_FABRICADOS'!$A:$A,$A77,'MP_MATAFUEGOS_FABRICADOS'!$B:$B,$B77)+SUMIFS('MP_CILINDROS'!N:N,'MP_CILINDROS'!$A:$A,$A77,'MP_CILINDROS'!$B:$B,$B77)</f>
        <v/>
      </c>
      <c r="O77" s="21">
        <f>SUMIFS('MP_MATAFUEGOS_FABRICADOS'!O:O,'MP_MATAFUEGOS_FABRICADOS'!$A:$A,$A77,'MP_MATAFUEGOS_FABRICADOS'!$B:$B,$B77)+SUMIFS('MP_CILINDROS'!O:O,'MP_CILINDROS'!$A:$A,$A77,'MP_CILINDROS'!$B:$B,$B77)</f>
        <v/>
      </c>
    </row>
    <row r="78">
      <c r="A78" s="2" t="inlineStr">
        <is>
          <t>Servicio de pintura en polvo al horno, rojo 03-1-050</t>
        </is>
      </c>
      <c r="B78" s="2" t="inlineStr">
        <is>
          <t>u</t>
        </is>
      </c>
      <c r="C78" s="2" t="inlineStr">
        <is>
          <t>Servicio</t>
        </is>
      </c>
      <c r="D78" s="2" t="inlineStr">
        <is>
          <t>Prymax</t>
        </is>
      </c>
      <c r="E78" s="2" t="inlineStr">
        <is>
          <t>MP_MATAFUEGOS_FABRICADOS, MP_CILINDROS</t>
        </is>
      </c>
      <c r="F78" s="21">
        <f>SUMIFS('MP_MATAFUEGOS_FABRICADOS'!F:F,'MP_MATAFUEGOS_FABRICADOS'!$A:$A,$A78,'MP_MATAFUEGOS_FABRICADOS'!$B:$B,$B78)+SUMIFS('MP_CILINDROS'!F:F,'MP_CILINDROS'!$A:$A,$A78,'MP_CILINDROS'!$B:$B,$B78)</f>
        <v/>
      </c>
      <c r="G78" s="21">
        <f>SUMIFS('MP_MATAFUEGOS_FABRICADOS'!G:G,'MP_MATAFUEGOS_FABRICADOS'!$A:$A,$A78,'MP_MATAFUEGOS_FABRICADOS'!$B:$B,$B78)+SUMIFS('MP_CILINDROS'!G:G,'MP_CILINDROS'!$A:$A,$A78,'MP_CILINDROS'!$B:$B,$B78)</f>
        <v/>
      </c>
      <c r="H78" s="21">
        <f>SUMIFS('MP_MATAFUEGOS_FABRICADOS'!H:H,'MP_MATAFUEGOS_FABRICADOS'!$A:$A,$A78,'MP_MATAFUEGOS_FABRICADOS'!$B:$B,$B78)+SUMIFS('MP_CILINDROS'!H:H,'MP_CILINDROS'!$A:$A,$A78,'MP_CILINDROS'!$B:$B,$B78)</f>
        <v/>
      </c>
      <c r="I78" s="21">
        <f>SUMIFS('MP_MATAFUEGOS_FABRICADOS'!I:I,'MP_MATAFUEGOS_FABRICADOS'!$A:$A,$A78,'MP_MATAFUEGOS_FABRICADOS'!$B:$B,$B78)+SUMIFS('MP_CILINDROS'!I:I,'MP_CILINDROS'!$A:$A,$A78,'MP_CILINDROS'!$B:$B,$B78)</f>
        <v/>
      </c>
      <c r="J78" s="21">
        <f>SUMIFS('MP_MATAFUEGOS_FABRICADOS'!J:J,'MP_MATAFUEGOS_FABRICADOS'!$A:$A,$A78,'MP_MATAFUEGOS_FABRICADOS'!$B:$B,$B78)+SUMIFS('MP_CILINDROS'!J:J,'MP_CILINDROS'!$A:$A,$A78,'MP_CILINDROS'!$B:$B,$B78)</f>
        <v/>
      </c>
      <c r="K78" s="21">
        <f>SUMIFS('MP_MATAFUEGOS_FABRICADOS'!K:K,'MP_MATAFUEGOS_FABRICADOS'!$A:$A,$A78,'MP_MATAFUEGOS_FABRICADOS'!$B:$B,$B78)+SUMIFS('MP_CILINDROS'!K:K,'MP_CILINDROS'!$A:$A,$A78,'MP_CILINDROS'!$B:$B,$B78)</f>
        <v/>
      </c>
      <c r="L78" s="21">
        <f>SUMIFS('MP_MATAFUEGOS_FABRICADOS'!L:L,'MP_MATAFUEGOS_FABRICADOS'!$A:$A,$A78,'MP_MATAFUEGOS_FABRICADOS'!$B:$B,$B78)+SUMIFS('MP_CILINDROS'!L:L,'MP_CILINDROS'!$A:$A,$A78,'MP_CILINDROS'!$B:$B,$B78)</f>
        <v/>
      </c>
      <c r="M78" s="21">
        <f>SUMIFS('MP_MATAFUEGOS_FABRICADOS'!M:M,'MP_MATAFUEGOS_FABRICADOS'!$A:$A,$A78,'MP_MATAFUEGOS_FABRICADOS'!$B:$B,$B78)+SUMIFS('MP_CILINDROS'!M:M,'MP_CILINDROS'!$A:$A,$A78,'MP_CILINDROS'!$B:$B,$B78)</f>
        <v/>
      </c>
      <c r="N78" s="21">
        <f>SUMIFS('MP_MATAFUEGOS_FABRICADOS'!N:N,'MP_MATAFUEGOS_FABRICADOS'!$A:$A,$A78,'MP_MATAFUEGOS_FABRICADOS'!$B:$B,$B78)+SUMIFS('MP_CILINDROS'!N:N,'MP_CILINDROS'!$A:$A,$A78,'MP_CILINDROS'!$B:$B,$B78)</f>
        <v/>
      </c>
      <c r="O78" s="21">
        <f>SUMIFS('MP_MATAFUEGOS_FABRICADOS'!O:O,'MP_MATAFUEGOS_FABRICADOS'!$A:$A,$A78,'MP_MATAFUEGOS_FABRICADOS'!$B:$B,$B78)+SUMIFS('MP_CILINDROS'!O:O,'MP_CILINDROS'!$A:$A,$A78,'MP_CILINDROS'!$B:$B,$B78)</f>
        <v/>
      </c>
    </row>
    <row r="79">
      <c r="A79" s="2" t="inlineStr">
        <is>
          <t>Servicio de pintura en polvo al horno, rojo 03-1-050 (con preparación por quemado)</t>
        </is>
      </c>
      <c r="B79" s="2" t="inlineStr">
        <is>
          <t>u</t>
        </is>
      </c>
      <c r="C79" s="2" t="inlineStr">
        <is>
          <t>Servicio</t>
        </is>
      </c>
      <c r="D79" s="2" t="inlineStr">
        <is>
          <t>Pintor de carros (cotización por mensaje)</t>
        </is>
      </c>
      <c r="E79" s="2" t="inlineStr">
        <is>
          <t>MP_MATAFUEGOS_FABRICADOS, MP_CILINDROS</t>
        </is>
      </c>
      <c r="F79" s="21">
        <f>SUMIFS('MP_MATAFUEGOS_FABRICADOS'!F:F,'MP_MATAFUEGOS_FABRICADOS'!$A:$A,$A79,'MP_MATAFUEGOS_FABRICADOS'!$B:$B,$B79)+SUMIFS('MP_CILINDROS'!F:F,'MP_CILINDROS'!$A:$A,$A79,'MP_CILINDROS'!$B:$B,$B79)</f>
        <v/>
      </c>
      <c r="G79" s="21">
        <f>SUMIFS('MP_MATAFUEGOS_FABRICADOS'!G:G,'MP_MATAFUEGOS_FABRICADOS'!$A:$A,$A79,'MP_MATAFUEGOS_FABRICADOS'!$B:$B,$B79)+SUMIFS('MP_CILINDROS'!G:G,'MP_CILINDROS'!$A:$A,$A79,'MP_CILINDROS'!$B:$B,$B79)</f>
        <v/>
      </c>
      <c r="H79" s="21">
        <f>SUMIFS('MP_MATAFUEGOS_FABRICADOS'!H:H,'MP_MATAFUEGOS_FABRICADOS'!$A:$A,$A79,'MP_MATAFUEGOS_FABRICADOS'!$B:$B,$B79)+SUMIFS('MP_CILINDROS'!H:H,'MP_CILINDROS'!$A:$A,$A79,'MP_CILINDROS'!$B:$B,$B79)</f>
        <v/>
      </c>
      <c r="I79" s="21">
        <f>SUMIFS('MP_MATAFUEGOS_FABRICADOS'!I:I,'MP_MATAFUEGOS_FABRICADOS'!$A:$A,$A79,'MP_MATAFUEGOS_FABRICADOS'!$B:$B,$B79)+SUMIFS('MP_CILINDROS'!I:I,'MP_CILINDROS'!$A:$A,$A79,'MP_CILINDROS'!$B:$B,$B79)</f>
        <v/>
      </c>
      <c r="J79" s="21">
        <f>SUMIFS('MP_MATAFUEGOS_FABRICADOS'!J:J,'MP_MATAFUEGOS_FABRICADOS'!$A:$A,$A79,'MP_MATAFUEGOS_FABRICADOS'!$B:$B,$B79)+SUMIFS('MP_CILINDROS'!J:J,'MP_CILINDROS'!$A:$A,$A79,'MP_CILINDROS'!$B:$B,$B79)</f>
        <v/>
      </c>
      <c r="K79" s="21">
        <f>SUMIFS('MP_MATAFUEGOS_FABRICADOS'!K:K,'MP_MATAFUEGOS_FABRICADOS'!$A:$A,$A79,'MP_MATAFUEGOS_FABRICADOS'!$B:$B,$B79)+SUMIFS('MP_CILINDROS'!K:K,'MP_CILINDROS'!$A:$A,$A79,'MP_CILINDROS'!$B:$B,$B79)</f>
        <v/>
      </c>
      <c r="L79" s="21">
        <f>SUMIFS('MP_MATAFUEGOS_FABRICADOS'!L:L,'MP_MATAFUEGOS_FABRICADOS'!$A:$A,$A79,'MP_MATAFUEGOS_FABRICADOS'!$B:$B,$B79)+SUMIFS('MP_CILINDROS'!L:L,'MP_CILINDROS'!$A:$A,$A79,'MP_CILINDROS'!$B:$B,$B79)</f>
        <v/>
      </c>
      <c r="M79" s="21">
        <f>SUMIFS('MP_MATAFUEGOS_FABRICADOS'!M:M,'MP_MATAFUEGOS_FABRICADOS'!$A:$A,$A79,'MP_MATAFUEGOS_FABRICADOS'!$B:$B,$B79)+SUMIFS('MP_CILINDROS'!M:M,'MP_CILINDROS'!$A:$A,$A79,'MP_CILINDROS'!$B:$B,$B79)</f>
        <v/>
      </c>
      <c r="N79" s="21">
        <f>SUMIFS('MP_MATAFUEGOS_FABRICADOS'!N:N,'MP_MATAFUEGOS_FABRICADOS'!$A:$A,$A79,'MP_MATAFUEGOS_FABRICADOS'!$B:$B,$B79)+SUMIFS('MP_CILINDROS'!N:N,'MP_CILINDROS'!$A:$A,$A79,'MP_CILINDROS'!$B:$B,$B79)</f>
        <v/>
      </c>
      <c r="O79" s="21">
        <f>SUMIFS('MP_MATAFUEGOS_FABRICADOS'!O:O,'MP_MATAFUEGOS_FABRICADOS'!$A:$A,$A79,'MP_MATAFUEGOS_FABRICADOS'!$B:$B,$B79)+SUMIFS('MP_CILINDROS'!O:O,'MP_CILINDROS'!$A:$A,$A79,'MP_CILINDROS'!$B:$B,$B79)</f>
        <v/>
      </c>
    </row>
    <row r="80">
      <c r="A80" s="2" t="inlineStr">
        <is>
          <t>Gas impulsor: N₂</t>
        </is>
      </c>
      <c r="B80" s="2" t="inlineStr">
        <is>
          <t>kg</t>
        </is>
      </c>
      <c r="C80" s="2" t="inlineStr">
        <is>
          <t>Carga (agente y gas)</t>
        </is>
      </c>
      <c r="D80" s="2" t="inlineStr">
        <is>
          <t>Air Liquide Argentina - sucursal Piñeyro</t>
        </is>
      </c>
      <c r="E80" s="2" t="inlineStr">
        <is>
          <t>MP_MATAFUEGOS_FABRICADOS, MP_RECARGAS</t>
        </is>
      </c>
      <c r="F80" s="21">
        <f>SUMIFS('MP_MATAFUEGOS_FABRICADOS'!F:F,'MP_MATAFUEGOS_FABRICADOS'!$A:$A,$A80,'MP_MATAFUEGOS_FABRICADOS'!$B:$B,$B80)+SUMIFS('MP_RECARGAS'!F:F,'MP_RECARGAS'!$A:$A,$A80,'MP_RECARGAS'!$B:$B,$B80)</f>
        <v/>
      </c>
      <c r="G80" s="21">
        <f>SUMIFS('MP_MATAFUEGOS_FABRICADOS'!G:G,'MP_MATAFUEGOS_FABRICADOS'!$A:$A,$A80,'MP_MATAFUEGOS_FABRICADOS'!$B:$B,$B80)+SUMIFS('MP_RECARGAS'!G:G,'MP_RECARGAS'!$A:$A,$A80,'MP_RECARGAS'!$B:$B,$B80)</f>
        <v/>
      </c>
      <c r="H80" s="21">
        <f>SUMIFS('MP_MATAFUEGOS_FABRICADOS'!H:H,'MP_MATAFUEGOS_FABRICADOS'!$A:$A,$A80,'MP_MATAFUEGOS_FABRICADOS'!$B:$B,$B80)+SUMIFS('MP_RECARGAS'!H:H,'MP_RECARGAS'!$A:$A,$A80,'MP_RECARGAS'!$B:$B,$B80)</f>
        <v/>
      </c>
      <c r="I80" s="21">
        <f>SUMIFS('MP_MATAFUEGOS_FABRICADOS'!I:I,'MP_MATAFUEGOS_FABRICADOS'!$A:$A,$A80,'MP_MATAFUEGOS_FABRICADOS'!$B:$B,$B80)+SUMIFS('MP_RECARGAS'!I:I,'MP_RECARGAS'!$A:$A,$A80,'MP_RECARGAS'!$B:$B,$B80)</f>
        <v/>
      </c>
      <c r="J80" s="21">
        <f>SUMIFS('MP_MATAFUEGOS_FABRICADOS'!J:J,'MP_MATAFUEGOS_FABRICADOS'!$A:$A,$A80,'MP_MATAFUEGOS_FABRICADOS'!$B:$B,$B80)+SUMIFS('MP_RECARGAS'!J:J,'MP_RECARGAS'!$A:$A,$A80,'MP_RECARGAS'!$B:$B,$B80)</f>
        <v/>
      </c>
      <c r="K80" s="21">
        <f>SUMIFS('MP_MATAFUEGOS_FABRICADOS'!K:K,'MP_MATAFUEGOS_FABRICADOS'!$A:$A,$A80,'MP_MATAFUEGOS_FABRICADOS'!$B:$B,$B80)+SUMIFS('MP_RECARGAS'!K:K,'MP_RECARGAS'!$A:$A,$A80,'MP_RECARGAS'!$B:$B,$B80)</f>
        <v/>
      </c>
      <c r="L80" s="21">
        <f>SUMIFS('MP_MATAFUEGOS_FABRICADOS'!L:L,'MP_MATAFUEGOS_FABRICADOS'!$A:$A,$A80,'MP_MATAFUEGOS_FABRICADOS'!$B:$B,$B80)+SUMIFS('MP_RECARGAS'!L:L,'MP_RECARGAS'!$A:$A,$A80,'MP_RECARGAS'!$B:$B,$B80)</f>
        <v/>
      </c>
      <c r="M80" s="21">
        <f>SUMIFS('MP_MATAFUEGOS_FABRICADOS'!M:M,'MP_MATAFUEGOS_FABRICADOS'!$A:$A,$A80,'MP_MATAFUEGOS_FABRICADOS'!$B:$B,$B80)+SUMIFS('MP_RECARGAS'!M:M,'MP_RECARGAS'!$A:$A,$A80,'MP_RECARGAS'!$B:$B,$B80)</f>
        <v/>
      </c>
      <c r="N80" s="21">
        <f>SUMIFS('MP_MATAFUEGOS_FABRICADOS'!N:N,'MP_MATAFUEGOS_FABRICADOS'!$A:$A,$A80,'MP_MATAFUEGOS_FABRICADOS'!$B:$B,$B80)+SUMIFS('MP_RECARGAS'!N:N,'MP_RECARGAS'!$A:$A,$A80,'MP_RECARGAS'!$B:$B,$B80)</f>
        <v/>
      </c>
      <c r="O80" s="21">
        <f>SUMIFS('MP_MATAFUEGOS_FABRICADOS'!O:O,'MP_MATAFUEGOS_FABRICADOS'!$A:$A,$A80,'MP_MATAFUEGOS_FABRICADOS'!$B:$B,$B80)+SUMIFS('MP_RECARGAS'!O:O,'MP_RECARGAS'!$A:$A,$A80,'MP_RECARGAS'!$B:$B,$B80)</f>
        <v/>
      </c>
    </row>
    <row r="81">
      <c r="A81" s="2" t="inlineStr">
        <is>
          <t>Polvo químico seco ABC 60 (Sello IRAM 3569)</t>
        </is>
      </c>
      <c r="B81" s="2" t="inlineStr">
        <is>
          <t>kg</t>
        </is>
      </c>
      <c r="C81" s="2" t="inlineStr">
        <is>
          <t>Carga (agente y gas)</t>
        </is>
      </c>
      <c r="D81" s="2" t="inlineStr">
        <is>
          <t>DEM S.A. (DEMSA)</t>
        </is>
      </c>
      <c r="E81" s="2" t="inlineStr">
        <is>
          <t>MP_MATAFUEGOS_FABRICADOS, MP_RECARGAS</t>
        </is>
      </c>
      <c r="F81" s="21">
        <f>SUMIFS('MP_MATAFUEGOS_FABRICADOS'!F:F,'MP_MATAFUEGOS_FABRICADOS'!$A:$A,$A81,'MP_MATAFUEGOS_FABRICADOS'!$B:$B,$B81)+SUMIFS('MP_RECARGAS'!F:F,'MP_RECARGAS'!$A:$A,$A81,'MP_RECARGAS'!$B:$B,$B81)</f>
        <v/>
      </c>
      <c r="G81" s="21">
        <f>SUMIFS('MP_MATAFUEGOS_FABRICADOS'!G:G,'MP_MATAFUEGOS_FABRICADOS'!$A:$A,$A81,'MP_MATAFUEGOS_FABRICADOS'!$B:$B,$B81)+SUMIFS('MP_RECARGAS'!G:G,'MP_RECARGAS'!$A:$A,$A81,'MP_RECARGAS'!$B:$B,$B81)</f>
        <v/>
      </c>
      <c r="H81" s="21">
        <f>SUMIFS('MP_MATAFUEGOS_FABRICADOS'!H:H,'MP_MATAFUEGOS_FABRICADOS'!$A:$A,$A81,'MP_MATAFUEGOS_FABRICADOS'!$B:$B,$B81)+SUMIFS('MP_RECARGAS'!H:H,'MP_RECARGAS'!$A:$A,$A81,'MP_RECARGAS'!$B:$B,$B81)</f>
        <v/>
      </c>
      <c r="I81" s="21">
        <f>SUMIFS('MP_MATAFUEGOS_FABRICADOS'!I:I,'MP_MATAFUEGOS_FABRICADOS'!$A:$A,$A81,'MP_MATAFUEGOS_FABRICADOS'!$B:$B,$B81)+SUMIFS('MP_RECARGAS'!I:I,'MP_RECARGAS'!$A:$A,$A81,'MP_RECARGAS'!$B:$B,$B81)</f>
        <v/>
      </c>
      <c r="J81" s="21">
        <f>SUMIFS('MP_MATAFUEGOS_FABRICADOS'!J:J,'MP_MATAFUEGOS_FABRICADOS'!$A:$A,$A81,'MP_MATAFUEGOS_FABRICADOS'!$B:$B,$B81)+SUMIFS('MP_RECARGAS'!J:J,'MP_RECARGAS'!$A:$A,$A81,'MP_RECARGAS'!$B:$B,$B81)</f>
        <v/>
      </c>
      <c r="K81" s="21">
        <f>SUMIFS('MP_MATAFUEGOS_FABRICADOS'!K:K,'MP_MATAFUEGOS_FABRICADOS'!$A:$A,$A81,'MP_MATAFUEGOS_FABRICADOS'!$B:$B,$B81)+SUMIFS('MP_RECARGAS'!K:K,'MP_RECARGAS'!$A:$A,$A81,'MP_RECARGAS'!$B:$B,$B81)</f>
        <v/>
      </c>
      <c r="L81" s="21">
        <f>SUMIFS('MP_MATAFUEGOS_FABRICADOS'!L:L,'MP_MATAFUEGOS_FABRICADOS'!$A:$A,$A81,'MP_MATAFUEGOS_FABRICADOS'!$B:$B,$B81)+SUMIFS('MP_RECARGAS'!L:L,'MP_RECARGAS'!$A:$A,$A81,'MP_RECARGAS'!$B:$B,$B81)</f>
        <v/>
      </c>
      <c r="M81" s="21">
        <f>SUMIFS('MP_MATAFUEGOS_FABRICADOS'!M:M,'MP_MATAFUEGOS_FABRICADOS'!$A:$A,$A81,'MP_MATAFUEGOS_FABRICADOS'!$B:$B,$B81)+SUMIFS('MP_RECARGAS'!M:M,'MP_RECARGAS'!$A:$A,$A81,'MP_RECARGAS'!$B:$B,$B81)</f>
        <v/>
      </c>
      <c r="N81" s="21">
        <f>SUMIFS('MP_MATAFUEGOS_FABRICADOS'!N:N,'MP_MATAFUEGOS_FABRICADOS'!$A:$A,$A81,'MP_MATAFUEGOS_FABRICADOS'!$B:$B,$B81)+SUMIFS('MP_RECARGAS'!N:N,'MP_RECARGAS'!$A:$A,$A81,'MP_RECARGAS'!$B:$B,$B81)</f>
        <v/>
      </c>
      <c r="O81" s="21">
        <f>SUMIFS('MP_MATAFUEGOS_FABRICADOS'!O:O,'MP_MATAFUEGOS_FABRICADOS'!$A:$A,$A81,'MP_MATAFUEGOS_FABRICADOS'!$B:$B,$B81)+SUMIFS('MP_RECARGAS'!O:O,'MP_RECARGAS'!$A:$A,$A81,'MP_RECARGAS'!$B:$B,$B81)</f>
        <v/>
      </c>
    </row>
    <row r="82">
      <c r="A82" s="2" t="inlineStr">
        <is>
          <t>Polvo químico seco ABC 90 (Sello IRAM 3569)</t>
        </is>
      </c>
      <c r="B82" s="2" t="inlineStr">
        <is>
          <t>kg</t>
        </is>
      </c>
      <c r="C82" s="2" t="inlineStr">
        <is>
          <t>Carga (agente y gas)</t>
        </is>
      </c>
      <c r="D82" s="2" t="inlineStr">
        <is>
          <t>DEM S.A. (DEMSA)</t>
        </is>
      </c>
      <c r="E82" s="2" t="inlineStr">
        <is>
          <t>MP_MATAFUEGOS_FABRICADOS, MP_RECARGAS</t>
        </is>
      </c>
      <c r="F82" s="21">
        <f>SUMIFS('MP_MATAFUEGOS_FABRICADOS'!F:F,'MP_MATAFUEGOS_FABRICADOS'!$A:$A,$A82,'MP_MATAFUEGOS_FABRICADOS'!$B:$B,$B82)+SUMIFS('MP_RECARGAS'!F:F,'MP_RECARGAS'!$A:$A,$A82,'MP_RECARGAS'!$B:$B,$B82)</f>
        <v/>
      </c>
      <c r="G82" s="21">
        <f>SUMIFS('MP_MATAFUEGOS_FABRICADOS'!G:G,'MP_MATAFUEGOS_FABRICADOS'!$A:$A,$A82,'MP_MATAFUEGOS_FABRICADOS'!$B:$B,$B82)+SUMIFS('MP_RECARGAS'!G:G,'MP_RECARGAS'!$A:$A,$A82,'MP_RECARGAS'!$B:$B,$B82)</f>
        <v/>
      </c>
      <c r="H82" s="21">
        <f>SUMIFS('MP_MATAFUEGOS_FABRICADOS'!H:H,'MP_MATAFUEGOS_FABRICADOS'!$A:$A,$A82,'MP_MATAFUEGOS_FABRICADOS'!$B:$B,$B82)+SUMIFS('MP_RECARGAS'!H:H,'MP_RECARGAS'!$A:$A,$A82,'MP_RECARGAS'!$B:$B,$B82)</f>
        <v/>
      </c>
      <c r="I82" s="21">
        <f>SUMIFS('MP_MATAFUEGOS_FABRICADOS'!I:I,'MP_MATAFUEGOS_FABRICADOS'!$A:$A,$A82,'MP_MATAFUEGOS_FABRICADOS'!$B:$B,$B82)+SUMIFS('MP_RECARGAS'!I:I,'MP_RECARGAS'!$A:$A,$A82,'MP_RECARGAS'!$B:$B,$B82)</f>
        <v/>
      </c>
      <c r="J82" s="21">
        <f>SUMIFS('MP_MATAFUEGOS_FABRICADOS'!J:J,'MP_MATAFUEGOS_FABRICADOS'!$A:$A,$A82,'MP_MATAFUEGOS_FABRICADOS'!$B:$B,$B82)+SUMIFS('MP_RECARGAS'!J:J,'MP_RECARGAS'!$A:$A,$A82,'MP_RECARGAS'!$B:$B,$B82)</f>
        <v/>
      </c>
      <c r="K82" s="21">
        <f>SUMIFS('MP_MATAFUEGOS_FABRICADOS'!K:K,'MP_MATAFUEGOS_FABRICADOS'!$A:$A,$A82,'MP_MATAFUEGOS_FABRICADOS'!$B:$B,$B82)+SUMIFS('MP_RECARGAS'!K:K,'MP_RECARGAS'!$A:$A,$A82,'MP_RECARGAS'!$B:$B,$B82)</f>
        <v/>
      </c>
      <c r="L82" s="21">
        <f>SUMIFS('MP_MATAFUEGOS_FABRICADOS'!L:L,'MP_MATAFUEGOS_FABRICADOS'!$A:$A,$A82,'MP_MATAFUEGOS_FABRICADOS'!$B:$B,$B82)+SUMIFS('MP_RECARGAS'!L:L,'MP_RECARGAS'!$A:$A,$A82,'MP_RECARGAS'!$B:$B,$B82)</f>
        <v/>
      </c>
      <c r="M82" s="21">
        <f>SUMIFS('MP_MATAFUEGOS_FABRICADOS'!M:M,'MP_MATAFUEGOS_FABRICADOS'!$A:$A,$A82,'MP_MATAFUEGOS_FABRICADOS'!$B:$B,$B82)+SUMIFS('MP_RECARGAS'!M:M,'MP_RECARGAS'!$A:$A,$A82,'MP_RECARGAS'!$B:$B,$B82)</f>
        <v/>
      </c>
      <c r="N82" s="21">
        <f>SUMIFS('MP_MATAFUEGOS_FABRICADOS'!N:N,'MP_MATAFUEGOS_FABRICADOS'!$A:$A,$A82,'MP_MATAFUEGOS_FABRICADOS'!$B:$B,$B82)+SUMIFS('MP_RECARGAS'!N:N,'MP_RECARGAS'!$A:$A,$A82,'MP_RECARGAS'!$B:$B,$B82)</f>
        <v/>
      </c>
      <c r="O82" s="21">
        <f>SUMIFS('MP_MATAFUEGOS_FABRICADOS'!O:O,'MP_MATAFUEGOS_FABRICADOS'!$A:$A,$A82,'MP_MATAFUEGOS_FABRICADOS'!$B:$B,$B82)+SUMIFS('MP_RECARGAS'!O:O,'MP_RECARGAS'!$A:$A,$A82,'MP_RECARGAS'!$B:$B,$B82)</f>
        <v/>
      </c>
    </row>
    <row r="83">
      <c r="A83" s="2" t="inlineStr">
        <is>
          <t>Estampilla IRAM de conformidad — 60 × 40</t>
        </is>
      </c>
      <c r="B83" s="2" t="inlineStr">
        <is>
          <t>u</t>
        </is>
      </c>
      <c r="C83" s="2" t="inlineStr">
        <is>
          <t>Identificación</t>
        </is>
      </c>
      <c r="D83" s="2" t="inlineStr">
        <is>
          <t>IRAM - Instituto Argentino de Normalización</t>
        </is>
      </c>
      <c r="E83" s="2" t="inlineStr">
        <is>
          <t>MP_MATAFUEGOS_FABRICADOS</t>
        </is>
      </c>
      <c r="F83" s="21">
        <f>SUMIFS('MP_MATAFUEGOS_FABRICADOS'!F:F,'MP_MATAFUEGOS_FABRICADOS'!$A:$A,$A83,'MP_MATAFUEGOS_FABRICADOS'!$B:$B,$B83)</f>
        <v/>
      </c>
      <c r="G83" s="21">
        <f>SUMIFS('MP_MATAFUEGOS_FABRICADOS'!G:G,'MP_MATAFUEGOS_FABRICADOS'!$A:$A,$A83,'MP_MATAFUEGOS_FABRICADOS'!$B:$B,$B83)</f>
        <v/>
      </c>
      <c r="H83" s="21">
        <f>SUMIFS('MP_MATAFUEGOS_FABRICADOS'!H:H,'MP_MATAFUEGOS_FABRICADOS'!$A:$A,$A83,'MP_MATAFUEGOS_FABRICADOS'!$B:$B,$B83)</f>
        <v/>
      </c>
      <c r="I83" s="21">
        <f>SUMIFS('MP_MATAFUEGOS_FABRICADOS'!I:I,'MP_MATAFUEGOS_FABRICADOS'!$A:$A,$A83,'MP_MATAFUEGOS_FABRICADOS'!$B:$B,$B83)</f>
        <v/>
      </c>
      <c r="J83" s="21">
        <f>SUMIFS('MP_MATAFUEGOS_FABRICADOS'!J:J,'MP_MATAFUEGOS_FABRICADOS'!$A:$A,$A83,'MP_MATAFUEGOS_FABRICADOS'!$B:$B,$B83)</f>
        <v/>
      </c>
      <c r="K83" s="21">
        <f>SUMIFS('MP_MATAFUEGOS_FABRICADOS'!K:K,'MP_MATAFUEGOS_FABRICADOS'!$A:$A,$A83,'MP_MATAFUEGOS_FABRICADOS'!$B:$B,$B83)</f>
        <v/>
      </c>
      <c r="L83" s="21">
        <f>SUMIFS('MP_MATAFUEGOS_FABRICADOS'!L:L,'MP_MATAFUEGOS_FABRICADOS'!$A:$A,$A83,'MP_MATAFUEGOS_FABRICADOS'!$B:$B,$B83)</f>
        <v/>
      </c>
      <c r="M83" s="21">
        <f>SUMIFS('MP_MATAFUEGOS_FABRICADOS'!M:M,'MP_MATAFUEGOS_FABRICADOS'!$A:$A,$A83,'MP_MATAFUEGOS_FABRICADOS'!$B:$B,$B83)</f>
        <v/>
      </c>
      <c r="N83" s="21">
        <f>SUMIFS('MP_MATAFUEGOS_FABRICADOS'!N:N,'MP_MATAFUEGOS_FABRICADOS'!$A:$A,$A83,'MP_MATAFUEGOS_FABRICADOS'!$B:$B,$B83)</f>
        <v/>
      </c>
      <c r="O83" s="21">
        <f>SUMIFS('MP_MATAFUEGOS_FABRICADOS'!O:O,'MP_MATAFUEGOS_FABRICADOS'!$A:$A,$A83,'MP_MATAFUEGOS_FABRICADOS'!$B:$B,$B83)</f>
        <v/>
      </c>
    </row>
    <row r="84">
      <c r="A84" s="2" t="inlineStr">
        <is>
          <t>Etiqueta / placa de características — 168 × 136 (desarrollo × alto: panel central 108° + 2 alas laterales), e ≈ 0,3, laminado UV</t>
        </is>
      </c>
      <c r="B84" s="2" t="inlineStr">
        <is>
          <t>u</t>
        </is>
      </c>
      <c r="C84" s="2" t="inlineStr">
        <is>
          <t>Identificación</t>
        </is>
      </c>
      <c r="D84" s="2" t="inlineStr">
        <is>
          <t>Astuprint</t>
        </is>
      </c>
      <c r="E84" s="2" t="inlineStr">
        <is>
          <t>MP_MATAFUEGOS_FABRICADOS</t>
        </is>
      </c>
      <c r="F84" s="21">
        <f>SUMIFS('MP_MATAFUEGOS_FABRICADOS'!F:F,'MP_MATAFUEGOS_FABRICADOS'!$A:$A,$A84,'MP_MATAFUEGOS_FABRICADOS'!$B:$B,$B84)</f>
        <v/>
      </c>
      <c r="G84" s="21">
        <f>SUMIFS('MP_MATAFUEGOS_FABRICADOS'!G:G,'MP_MATAFUEGOS_FABRICADOS'!$A:$A,$A84,'MP_MATAFUEGOS_FABRICADOS'!$B:$B,$B84)</f>
        <v/>
      </c>
      <c r="H84" s="21">
        <f>SUMIFS('MP_MATAFUEGOS_FABRICADOS'!H:H,'MP_MATAFUEGOS_FABRICADOS'!$A:$A,$A84,'MP_MATAFUEGOS_FABRICADOS'!$B:$B,$B84)</f>
        <v/>
      </c>
      <c r="I84" s="21">
        <f>SUMIFS('MP_MATAFUEGOS_FABRICADOS'!I:I,'MP_MATAFUEGOS_FABRICADOS'!$A:$A,$A84,'MP_MATAFUEGOS_FABRICADOS'!$B:$B,$B84)</f>
        <v/>
      </c>
      <c r="J84" s="21">
        <f>SUMIFS('MP_MATAFUEGOS_FABRICADOS'!J:J,'MP_MATAFUEGOS_FABRICADOS'!$A:$A,$A84,'MP_MATAFUEGOS_FABRICADOS'!$B:$B,$B84)</f>
        <v/>
      </c>
      <c r="K84" s="21">
        <f>SUMIFS('MP_MATAFUEGOS_FABRICADOS'!K:K,'MP_MATAFUEGOS_FABRICADOS'!$A:$A,$A84,'MP_MATAFUEGOS_FABRICADOS'!$B:$B,$B84)</f>
        <v/>
      </c>
      <c r="L84" s="21">
        <f>SUMIFS('MP_MATAFUEGOS_FABRICADOS'!L:L,'MP_MATAFUEGOS_FABRICADOS'!$A:$A,$A84,'MP_MATAFUEGOS_FABRICADOS'!$B:$B,$B84)</f>
        <v/>
      </c>
      <c r="M84" s="21">
        <f>SUMIFS('MP_MATAFUEGOS_FABRICADOS'!M:M,'MP_MATAFUEGOS_FABRICADOS'!$A:$A,$A84,'MP_MATAFUEGOS_FABRICADOS'!$B:$B,$B84)</f>
        <v/>
      </c>
      <c r="N84" s="21">
        <f>SUMIFS('MP_MATAFUEGOS_FABRICADOS'!N:N,'MP_MATAFUEGOS_FABRICADOS'!$A:$A,$A84,'MP_MATAFUEGOS_FABRICADOS'!$B:$B,$B84)</f>
        <v/>
      </c>
      <c r="O84" s="21">
        <f>SUMIFS('MP_MATAFUEGOS_FABRICADOS'!O:O,'MP_MATAFUEGOS_FABRICADOS'!$A:$A,$A84,'MP_MATAFUEGOS_FABRICADOS'!$B:$B,$B84)</f>
        <v/>
      </c>
    </row>
    <row r="85">
      <c r="A85" s="2" t="inlineStr">
        <is>
          <t>Etiqueta / placa de características — 234 × 151 (desarrollo × alto: panel central 108° + 2 alas laterales), e ≈ 0,3, laminado UV</t>
        </is>
      </c>
      <c r="B85" s="2" t="inlineStr">
        <is>
          <t>u</t>
        </is>
      </c>
      <c r="C85" s="2" t="inlineStr">
        <is>
          <t>Identificación</t>
        </is>
      </c>
      <c r="D85" s="2" t="inlineStr">
        <is>
          <t>Astuprint</t>
        </is>
      </c>
      <c r="E85" s="2" t="inlineStr">
        <is>
          <t>MP_MATAFUEGOS_FABRICADOS</t>
        </is>
      </c>
      <c r="F85" s="21">
        <f>SUMIFS('MP_MATAFUEGOS_FABRICADOS'!F:F,'MP_MATAFUEGOS_FABRICADOS'!$A:$A,$A85,'MP_MATAFUEGOS_FABRICADOS'!$B:$B,$B85)</f>
        <v/>
      </c>
      <c r="G85" s="21">
        <f>SUMIFS('MP_MATAFUEGOS_FABRICADOS'!G:G,'MP_MATAFUEGOS_FABRICADOS'!$A:$A,$A85,'MP_MATAFUEGOS_FABRICADOS'!$B:$B,$B85)</f>
        <v/>
      </c>
      <c r="H85" s="21">
        <f>SUMIFS('MP_MATAFUEGOS_FABRICADOS'!H:H,'MP_MATAFUEGOS_FABRICADOS'!$A:$A,$A85,'MP_MATAFUEGOS_FABRICADOS'!$B:$B,$B85)</f>
        <v/>
      </c>
      <c r="I85" s="21">
        <f>SUMIFS('MP_MATAFUEGOS_FABRICADOS'!I:I,'MP_MATAFUEGOS_FABRICADOS'!$A:$A,$A85,'MP_MATAFUEGOS_FABRICADOS'!$B:$B,$B85)</f>
        <v/>
      </c>
      <c r="J85" s="21">
        <f>SUMIFS('MP_MATAFUEGOS_FABRICADOS'!J:J,'MP_MATAFUEGOS_FABRICADOS'!$A:$A,$A85,'MP_MATAFUEGOS_FABRICADOS'!$B:$B,$B85)</f>
        <v/>
      </c>
      <c r="K85" s="21">
        <f>SUMIFS('MP_MATAFUEGOS_FABRICADOS'!K:K,'MP_MATAFUEGOS_FABRICADOS'!$A:$A,$A85,'MP_MATAFUEGOS_FABRICADOS'!$B:$B,$B85)</f>
        <v/>
      </c>
      <c r="L85" s="21">
        <f>SUMIFS('MP_MATAFUEGOS_FABRICADOS'!L:L,'MP_MATAFUEGOS_FABRICADOS'!$A:$A,$A85,'MP_MATAFUEGOS_FABRICADOS'!$B:$B,$B85)</f>
        <v/>
      </c>
      <c r="M85" s="21">
        <f>SUMIFS('MP_MATAFUEGOS_FABRICADOS'!M:M,'MP_MATAFUEGOS_FABRICADOS'!$A:$A,$A85,'MP_MATAFUEGOS_FABRICADOS'!$B:$B,$B85)</f>
        <v/>
      </c>
      <c r="N85" s="21">
        <f>SUMIFS('MP_MATAFUEGOS_FABRICADOS'!N:N,'MP_MATAFUEGOS_FABRICADOS'!$A:$A,$A85,'MP_MATAFUEGOS_FABRICADOS'!$B:$B,$B85)</f>
        <v/>
      </c>
      <c r="O85" s="21">
        <f>SUMIFS('MP_MATAFUEGOS_FABRICADOS'!O:O,'MP_MATAFUEGOS_FABRICADOS'!$A:$A,$A85,'MP_MATAFUEGOS_FABRICADOS'!$B:$B,$B85)</f>
        <v/>
      </c>
    </row>
    <row r="86">
      <c r="A86" s="2" t="inlineStr">
        <is>
          <t>Etiqueta / placa de características — 289 × 142 (desarrollo × alto: panel central 108° + 2 alas laterales), e ≈ 0,3, laminado UV</t>
        </is>
      </c>
      <c r="B86" s="2" t="inlineStr">
        <is>
          <t>u</t>
        </is>
      </c>
      <c r="C86" s="2" t="inlineStr">
        <is>
          <t>Identificación</t>
        </is>
      </c>
      <c r="D86" s="2" t="inlineStr">
        <is>
          <t>Astuprint</t>
        </is>
      </c>
      <c r="E86" s="2" t="inlineStr">
        <is>
          <t>MP_MATAFUEGOS_FABRICADOS</t>
        </is>
      </c>
      <c r="F86" s="21">
        <f>SUMIFS('MP_MATAFUEGOS_FABRICADOS'!F:F,'MP_MATAFUEGOS_FABRICADOS'!$A:$A,$A86,'MP_MATAFUEGOS_FABRICADOS'!$B:$B,$B86)</f>
        <v/>
      </c>
      <c r="G86" s="21">
        <f>SUMIFS('MP_MATAFUEGOS_FABRICADOS'!G:G,'MP_MATAFUEGOS_FABRICADOS'!$A:$A,$A86,'MP_MATAFUEGOS_FABRICADOS'!$B:$B,$B86)</f>
        <v/>
      </c>
      <c r="H86" s="21">
        <f>SUMIFS('MP_MATAFUEGOS_FABRICADOS'!H:H,'MP_MATAFUEGOS_FABRICADOS'!$A:$A,$A86,'MP_MATAFUEGOS_FABRICADOS'!$B:$B,$B86)</f>
        <v/>
      </c>
      <c r="I86" s="21">
        <f>SUMIFS('MP_MATAFUEGOS_FABRICADOS'!I:I,'MP_MATAFUEGOS_FABRICADOS'!$A:$A,$A86,'MP_MATAFUEGOS_FABRICADOS'!$B:$B,$B86)</f>
        <v/>
      </c>
      <c r="J86" s="21">
        <f>SUMIFS('MP_MATAFUEGOS_FABRICADOS'!J:J,'MP_MATAFUEGOS_FABRICADOS'!$A:$A,$A86,'MP_MATAFUEGOS_FABRICADOS'!$B:$B,$B86)</f>
        <v/>
      </c>
      <c r="K86" s="21">
        <f>SUMIFS('MP_MATAFUEGOS_FABRICADOS'!K:K,'MP_MATAFUEGOS_FABRICADOS'!$A:$A,$A86,'MP_MATAFUEGOS_FABRICADOS'!$B:$B,$B86)</f>
        <v/>
      </c>
      <c r="L86" s="21">
        <f>SUMIFS('MP_MATAFUEGOS_FABRICADOS'!L:L,'MP_MATAFUEGOS_FABRICADOS'!$A:$A,$A86,'MP_MATAFUEGOS_FABRICADOS'!$B:$B,$B86)</f>
        <v/>
      </c>
      <c r="M86" s="21">
        <f>SUMIFS('MP_MATAFUEGOS_FABRICADOS'!M:M,'MP_MATAFUEGOS_FABRICADOS'!$A:$A,$A86,'MP_MATAFUEGOS_FABRICADOS'!$B:$B,$B86)</f>
        <v/>
      </c>
      <c r="N86" s="21">
        <f>SUMIFS('MP_MATAFUEGOS_FABRICADOS'!N:N,'MP_MATAFUEGOS_FABRICADOS'!$A:$A,$A86,'MP_MATAFUEGOS_FABRICADOS'!$B:$B,$B86)</f>
        <v/>
      </c>
      <c r="O86" s="21">
        <f>SUMIFS('MP_MATAFUEGOS_FABRICADOS'!O:O,'MP_MATAFUEGOS_FABRICADOS'!$A:$A,$A86,'MP_MATAFUEGOS_FABRICADOS'!$B:$B,$B86)</f>
        <v/>
      </c>
    </row>
    <row r="87">
      <c r="A87" s="2" t="inlineStr">
        <is>
          <t>Etiqueta / placa de características — 343 × 221 (desarrollo × alto: panel central 108° + 2 alas laterales), e ≈ 0,3, laminado UV</t>
        </is>
      </c>
      <c r="B87" s="2" t="inlineStr">
        <is>
          <t>u</t>
        </is>
      </c>
      <c r="C87" s="2" t="inlineStr">
        <is>
          <t>Identificación</t>
        </is>
      </c>
      <c r="D87" s="2" t="inlineStr">
        <is>
          <t>Astuprint</t>
        </is>
      </c>
      <c r="E87" s="2" t="inlineStr">
        <is>
          <t>MP_MATAFUEGOS_FABRICADOS</t>
        </is>
      </c>
      <c r="F87" s="21">
        <f>SUMIFS('MP_MATAFUEGOS_FABRICADOS'!F:F,'MP_MATAFUEGOS_FABRICADOS'!$A:$A,$A87,'MP_MATAFUEGOS_FABRICADOS'!$B:$B,$B87)</f>
        <v/>
      </c>
      <c r="G87" s="21">
        <f>SUMIFS('MP_MATAFUEGOS_FABRICADOS'!G:G,'MP_MATAFUEGOS_FABRICADOS'!$A:$A,$A87,'MP_MATAFUEGOS_FABRICADOS'!$B:$B,$B87)</f>
        <v/>
      </c>
      <c r="H87" s="21">
        <f>SUMIFS('MP_MATAFUEGOS_FABRICADOS'!H:H,'MP_MATAFUEGOS_FABRICADOS'!$A:$A,$A87,'MP_MATAFUEGOS_FABRICADOS'!$B:$B,$B87)</f>
        <v/>
      </c>
      <c r="I87" s="21">
        <f>SUMIFS('MP_MATAFUEGOS_FABRICADOS'!I:I,'MP_MATAFUEGOS_FABRICADOS'!$A:$A,$A87,'MP_MATAFUEGOS_FABRICADOS'!$B:$B,$B87)</f>
        <v/>
      </c>
      <c r="J87" s="21">
        <f>SUMIFS('MP_MATAFUEGOS_FABRICADOS'!J:J,'MP_MATAFUEGOS_FABRICADOS'!$A:$A,$A87,'MP_MATAFUEGOS_FABRICADOS'!$B:$B,$B87)</f>
        <v/>
      </c>
      <c r="K87" s="21">
        <f>SUMIFS('MP_MATAFUEGOS_FABRICADOS'!K:K,'MP_MATAFUEGOS_FABRICADOS'!$A:$A,$A87,'MP_MATAFUEGOS_FABRICADOS'!$B:$B,$B87)</f>
        <v/>
      </c>
      <c r="L87" s="21">
        <f>SUMIFS('MP_MATAFUEGOS_FABRICADOS'!L:L,'MP_MATAFUEGOS_FABRICADOS'!$A:$A,$A87,'MP_MATAFUEGOS_FABRICADOS'!$B:$B,$B87)</f>
        <v/>
      </c>
      <c r="M87" s="21">
        <f>SUMIFS('MP_MATAFUEGOS_FABRICADOS'!M:M,'MP_MATAFUEGOS_FABRICADOS'!$A:$A,$A87,'MP_MATAFUEGOS_FABRICADOS'!$B:$B,$B87)</f>
        <v/>
      </c>
      <c r="N87" s="21">
        <f>SUMIFS('MP_MATAFUEGOS_FABRICADOS'!N:N,'MP_MATAFUEGOS_FABRICADOS'!$A:$A,$A87,'MP_MATAFUEGOS_FABRICADOS'!$B:$B,$B87)</f>
        <v/>
      </c>
      <c r="O87" s="21">
        <f>SUMIFS('MP_MATAFUEGOS_FABRICADOS'!O:O,'MP_MATAFUEGOS_FABRICADOS'!$A:$A,$A87,'MP_MATAFUEGOS_FABRICADOS'!$B:$B,$B87)</f>
        <v/>
      </c>
    </row>
    <row r="88">
      <c r="A88" s="2" t="inlineStr">
        <is>
          <t>Etiqueta / placa de características — 522 × 208 (desarrollo × alto: panel central 108° + 2 alas laterales), e ≈ 0,3, laminado UV</t>
        </is>
      </c>
      <c r="B88" s="2" t="inlineStr">
        <is>
          <t>u</t>
        </is>
      </c>
      <c r="C88" s="2" t="inlineStr">
        <is>
          <t>Identificación</t>
        </is>
      </c>
      <c r="D88" s="2" t="inlineStr">
        <is>
          <t>Astuprint</t>
        </is>
      </c>
      <c r="E88" s="2" t="inlineStr">
        <is>
          <t>MP_MATAFUEGOS_FABRICADOS</t>
        </is>
      </c>
      <c r="F88" s="21">
        <f>SUMIFS('MP_MATAFUEGOS_FABRICADOS'!F:F,'MP_MATAFUEGOS_FABRICADOS'!$A:$A,$A88,'MP_MATAFUEGOS_FABRICADOS'!$B:$B,$B88)</f>
        <v/>
      </c>
      <c r="G88" s="21">
        <f>SUMIFS('MP_MATAFUEGOS_FABRICADOS'!G:G,'MP_MATAFUEGOS_FABRICADOS'!$A:$A,$A88,'MP_MATAFUEGOS_FABRICADOS'!$B:$B,$B88)</f>
        <v/>
      </c>
      <c r="H88" s="21">
        <f>SUMIFS('MP_MATAFUEGOS_FABRICADOS'!H:H,'MP_MATAFUEGOS_FABRICADOS'!$A:$A,$A88,'MP_MATAFUEGOS_FABRICADOS'!$B:$B,$B88)</f>
        <v/>
      </c>
      <c r="I88" s="21">
        <f>SUMIFS('MP_MATAFUEGOS_FABRICADOS'!I:I,'MP_MATAFUEGOS_FABRICADOS'!$A:$A,$A88,'MP_MATAFUEGOS_FABRICADOS'!$B:$B,$B88)</f>
        <v/>
      </c>
      <c r="J88" s="21">
        <f>SUMIFS('MP_MATAFUEGOS_FABRICADOS'!J:J,'MP_MATAFUEGOS_FABRICADOS'!$A:$A,$A88,'MP_MATAFUEGOS_FABRICADOS'!$B:$B,$B88)</f>
        <v/>
      </c>
      <c r="K88" s="21">
        <f>SUMIFS('MP_MATAFUEGOS_FABRICADOS'!K:K,'MP_MATAFUEGOS_FABRICADOS'!$A:$A,$A88,'MP_MATAFUEGOS_FABRICADOS'!$B:$B,$B88)</f>
        <v/>
      </c>
      <c r="L88" s="21">
        <f>SUMIFS('MP_MATAFUEGOS_FABRICADOS'!L:L,'MP_MATAFUEGOS_FABRICADOS'!$A:$A,$A88,'MP_MATAFUEGOS_FABRICADOS'!$B:$B,$B88)</f>
        <v/>
      </c>
      <c r="M88" s="21">
        <f>SUMIFS('MP_MATAFUEGOS_FABRICADOS'!M:M,'MP_MATAFUEGOS_FABRICADOS'!$A:$A,$A88,'MP_MATAFUEGOS_FABRICADOS'!$B:$B,$B88)</f>
        <v/>
      </c>
      <c r="N88" s="21">
        <f>SUMIFS('MP_MATAFUEGOS_FABRICADOS'!N:N,'MP_MATAFUEGOS_FABRICADOS'!$A:$A,$A88,'MP_MATAFUEGOS_FABRICADOS'!$B:$B,$B88)</f>
        <v/>
      </c>
      <c r="O88" s="21">
        <f>SUMIFS('MP_MATAFUEGOS_FABRICADOS'!O:O,'MP_MATAFUEGOS_FABRICADOS'!$A:$A,$A88,'MP_MATAFUEGOS_FABRICADOS'!$B:$B,$B88)</f>
        <v/>
      </c>
    </row>
    <row r="89">
      <c r="A89" s="2" t="inlineStr">
        <is>
          <t>Etiqueta / placa de características — 604 × 204 (desarrollo × alto: panel central 108° + 2 alas laterales), e ≈ 0,3, laminado UV</t>
        </is>
      </c>
      <c r="B89" s="2" t="inlineStr">
        <is>
          <t>u</t>
        </is>
      </c>
      <c r="C89" s="2" t="inlineStr">
        <is>
          <t>Identificación</t>
        </is>
      </c>
      <c r="D89" s="2" t="inlineStr">
        <is>
          <t>Astuprint</t>
        </is>
      </c>
      <c r="E89" s="2" t="inlineStr">
        <is>
          <t>MP_MATAFUEGOS_FABRICADOS</t>
        </is>
      </c>
      <c r="F89" s="21">
        <f>SUMIFS('MP_MATAFUEGOS_FABRICADOS'!F:F,'MP_MATAFUEGOS_FABRICADOS'!$A:$A,$A89,'MP_MATAFUEGOS_FABRICADOS'!$B:$B,$B89)</f>
        <v/>
      </c>
      <c r="G89" s="21">
        <f>SUMIFS('MP_MATAFUEGOS_FABRICADOS'!G:G,'MP_MATAFUEGOS_FABRICADOS'!$A:$A,$A89,'MP_MATAFUEGOS_FABRICADOS'!$B:$B,$B89)</f>
        <v/>
      </c>
      <c r="H89" s="21">
        <f>SUMIFS('MP_MATAFUEGOS_FABRICADOS'!H:H,'MP_MATAFUEGOS_FABRICADOS'!$A:$A,$A89,'MP_MATAFUEGOS_FABRICADOS'!$B:$B,$B89)</f>
        <v/>
      </c>
      <c r="I89" s="21">
        <f>SUMIFS('MP_MATAFUEGOS_FABRICADOS'!I:I,'MP_MATAFUEGOS_FABRICADOS'!$A:$A,$A89,'MP_MATAFUEGOS_FABRICADOS'!$B:$B,$B89)</f>
        <v/>
      </c>
      <c r="J89" s="21">
        <f>SUMIFS('MP_MATAFUEGOS_FABRICADOS'!J:J,'MP_MATAFUEGOS_FABRICADOS'!$A:$A,$A89,'MP_MATAFUEGOS_FABRICADOS'!$B:$B,$B89)</f>
        <v/>
      </c>
      <c r="K89" s="21">
        <f>SUMIFS('MP_MATAFUEGOS_FABRICADOS'!K:K,'MP_MATAFUEGOS_FABRICADOS'!$A:$A,$A89,'MP_MATAFUEGOS_FABRICADOS'!$B:$B,$B89)</f>
        <v/>
      </c>
      <c r="L89" s="21">
        <f>SUMIFS('MP_MATAFUEGOS_FABRICADOS'!L:L,'MP_MATAFUEGOS_FABRICADOS'!$A:$A,$A89,'MP_MATAFUEGOS_FABRICADOS'!$B:$B,$B89)</f>
        <v/>
      </c>
      <c r="M89" s="21">
        <f>SUMIFS('MP_MATAFUEGOS_FABRICADOS'!M:M,'MP_MATAFUEGOS_FABRICADOS'!$A:$A,$A89,'MP_MATAFUEGOS_FABRICADOS'!$B:$B,$B89)</f>
        <v/>
      </c>
      <c r="N89" s="21">
        <f>SUMIFS('MP_MATAFUEGOS_FABRICADOS'!N:N,'MP_MATAFUEGOS_FABRICADOS'!$A:$A,$A89,'MP_MATAFUEGOS_FABRICADOS'!$B:$B,$B89)</f>
        <v/>
      </c>
      <c r="O89" s="21">
        <f>SUMIFS('MP_MATAFUEGOS_FABRICADOS'!O:O,'MP_MATAFUEGOS_FABRICADOS'!$A:$A,$A89,'MP_MATAFUEGOS_FABRICADOS'!$B:$B,$B89)</f>
        <v/>
      </c>
    </row>
    <row r="90">
      <c r="A90" s="2" t="inlineStr">
        <is>
          <t>Etiqueta / placa de características — 736 × 211 (desarrollo × alto: panel central 108° + 2 alas laterales), e ≈ 0,3, laminado UV</t>
        </is>
      </c>
      <c r="B90" s="2" t="inlineStr">
        <is>
          <t>u</t>
        </is>
      </c>
      <c r="C90" s="2" t="inlineStr">
        <is>
          <t>Identificación</t>
        </is>
      </c>
      <c r="D90" s="2" t="inlineStr">
        <is>
          <t>Astuprint</t>
        </is>
      </c>
      <c r="E90" s="2" t="inlineStr">
        <is>
          <t>MP_MATAFUEGOS_FABRICADOS</t>
        </is>
      </c>
      <c r="F90" s="21">
        <f>SUMIFS('MP_MATAFUEGOS_FABRICADOS'!F:F,'MP_MATAFUEGOS_FABRICADOS'!$A:$A,$A90,'MP_MATAFUEGOS_FABRICADOS'!$B:$B,$B90)</f>
        <v/>
      </c>
      <c r="G90" s="21">
        <f>SUMIFS('MP_MATAFUEGOS_FABRICADOS'!G:G,'MP_MATAFUEGOS_FABRICADOS'!$A:$A,$A90,'MP_MATAFUEGOS_FABRICADOS'!$B:$B,$B90)</f>
        <v/>
      </c>
      <c r="H90" s="21">
        <f>SUMIFS('MP_MATAFUEGOS_FABRICADOS'!H:H,'MP_MATAFUEGOS_FABRICADOS'!$A:$A,$A90,'MP_MATAFUEGOS_FABRICADOS'!$B:$B,$B90)</f>
        <v/>
      </c>
      <c r="I90" s="21">
        <f>SUMIFS('MP_MATAFUEGOS_FABRICADOS'!I:I,'MP_MATAFUEGOS_FABRICADOS'!$A:$A,$A90,'MP_MATAFUEGOS_FABRICADOS'!$B:$B,$B90)</f>
        <v/>
      </c>
      <c r="J90" s="21">
        <f>SUMIFS('MP_MATAFUEGOS_FABRICADOS'!J:J,'MP_MATAFUEGOS_FABRICADOS'!$A:$A,$A90,'MP_MATAFUEGOS_FABRICADOS'!$B:$B,$B90)</f>
        <v/>
      </c>
      <c r="K90" s="21">
        <f>SUMIFS('MP_MATAFUEGOS_FABRICADOS'!K:K,'MP_MATAFUEGOS_FABRICADOS'!$A:$A,$A90,'MP_MATAFUEGOS_FABRICADOS'!$B:$B,$B90)</f>
        <v/>
      </c>
      <c r="L90" s="21">
        <f>SUMIFS('MP_MATAFUEGOS_FABRICADOS'!L:L,'MP_MATAFUEGOS_FABRICADOS'!$A:$A,$A90,'MP_MATAFUEGOS_FABRICADOS'!$B:$B,$B90)</f>
        <v/>
      </c>
      <c r="M90" s="21">
        <f>SUMIFS('MP_MATAFUEGOS_FABRICADOS'!M:M,'MP_MATAFUEGOS_FABRICADOS'!$A:$A,$A90,'MP_MATAFUEGOS_FABRICADOS'!$B:$B,$B90)</f>
        <v/>
      </c>
      <c r="N90" s="21">
        <f>SUMIFS('MP_MATAFUEGOS_FABRICADOS'!N:N,'MP_MATAFUEGOS_FABRICADOS'!$A:$A,$A90,'MP_MATAFUEGOS_FABRICADOS'!$B:$B,$B90)</f>
        <v/>
      </c>
      <c r="O90" s="21">
        <f>SUMIFS('MP_MATAFUEGOS_FABRICADOS'!O:O,'MP_MATAFUEGOS_FABRICADOS'!$A:$A,$A90,'MP_MATAFUEGOS_FABRICADOS'!$B:$B,$B90)</f>
        <v/>
      </c>
    </row>
    <row r="91">
      <c r="A91" s="2" t="inlineStr">
        <is>
          <t>Etiqueta de identificación del cilindro suelto</t>
        </is>
      </c>
      <c r="B91" s="2" t="inlineStr">
        <is>
          <t>u</t>
        </is>
      </c>
      <c r="C91" s="2" t="inlineStr">
        <is>
          <t>Identificación</t>
        </is>
      </c>
      <c r="D91" s="2" t="inlineStr">
        <is>
          <t>Astuprint</t>
        </is>
      </c>
      <c r="E91" s="2" t="inlineStr">
        <is>
          <t>MP_CILINDROS</t>
        </is>
      </c>
      <c r="F91" s="21">
        <f>SUMIFS('MP_CILINDROS'!F:F,'MP_CILINDROS'!$A:$A,$A91,'MP_CILINDROS'!$B:$B,$B91)</f>
        <v/>
      </c>
      <c r="G91" s="21">
        <f>SUMIFS('MP_CILINDROS'!G:G,'MP_CILINDROS'!$A:$A,$A91,'MP_CILINDROS'!$B:$B,$B91)</f>
        <v/>
      </c>
      <c r="H91" s="21">
        <f>SUMIFS('MP_CILINDROS'!H:H,'MP_CILINDROS'!$A:$A,$A91,'MP_CILINDROS'!$B:$B,$B91)</f>
        <v/>
      </c>
      <c r="I91" s="21">
        <f>SUMIFS('MP_CILINDROS'!I:I,'MP_CILINDROS'!$A:$A,$A91,'MP_CILINDROS'!$B:$B,$B91)</f>
        <v/>
      </c>
      <c r="J91" s="21">
        <f>SUMIFS('MP_CILINDROS'!J:J,'MP_CILINDROS'!$A:$A,$A91,'MP_CILINDROS'!$B:$B,$B91)</f>
        <v/>
      </c>
      <c r="K91" s="21">
        <f>SUMIFS('MP_CILINDROS'!K:K,'MP_CILINDROS'!$A:$A,$A91,'MP_CILINDROS'!$B:$B,$B91)</f>
        <v/>
      </c>
      <c r="L91" s="21">
        <f>SUMIFS('MP_CILINDROS'!L:L,'MP_CILINDROS'!$A:$A,$A91,'MP_CILINDROS'!$B:$B,$B91)</f>
        <v/>
      </c>
      <c r="M91" s="21">
        <f>SUMIFS('MP_CILINDROS'!M:M,'MP_CILINDROS'!$A:$A,$A91,'MP_CILINDROS'!$B:$B,$B91)</f>
        <v/>
      </c>
      <c r="N91" s="21">
        <f>SUMIFS('MP_CILINDROS'!N:N,'MP_CILINDROS'!$A:$A,$A91,'MP_CILINDROS'!$B:$B,$B91)</f>
        <v/>
      </c>
      <c r="O91" s="21">
        <f>SUMIFS('MP_CILINDROS'!O:O,'MP_CILINDROS'!$A:$A,$A91,'MP_CILINDROS'!$B:$B,$B91)</f>
        <v/>
      </c>
    </row>
    <row r="92">
      <c r="A92" s="2" t="inlineStr">
        <is>
          <t>Etiqueta de n° de serie GS1 — 45 × 25</t>
        </is>
      </c>
      <c r="B92" s="2" t="inlineStr">
        <is>
          <t>u</t>
        </is>
      </c>
      <c r="C92" s="2" t="inlineStr">
        <is>
          <t>Identificación</t>
        </is>
      </c>
      <c r="D92" s="2" t="inlineStr">
        <is>
          <t>Astuprint</t>
        </is>
      </c>
      <c r="E92" s="2" t="inlineStr">
        <is>
          <t>MP_MATAFUEGOS_FABRICADOS</t>
        </is>
      </c>
      <c r="F92" s="21">
        <f>SUMIFS('MP_MATAFUEGOS_FABRICADOS'!F:F,'MP_MATAFUEGOS_FABRICADOS'!$A:$A,$A92,'MP_MATAFUEGOS_FABRICADOS'!$B:$B,$B92)</f>
        <v/>
      </c>
      <c r="G92" s="21">
        <f>SUMIFS('MP_MATAFUEGOS_FABRICADOS'!G:G,'MP_MATAFUEGOS_FABRICADOS'!$A:$A,$A92,'MP_MATAFUEGOS_FABRICADOS'!$B:$B,$B92)</f>
        <v/>
      </c>
      <c r="H92" s="21">
        <f>SUMIFS('MP_MATAFUEGOS_FABRICADOS'!H:H,'MP_MATAFUEGOS_FABRICADOS'!$A:$A,$A92,'MP_MATAFUEGOS_FABRICADOS'!$B:$B,$B92)</f>
        <v/>
      </c>
      <c r="I92" s="21">
        <f>SUMIFS('MP_MATAFUEGOS_FABRICADOS'!I:I,'MP_MATAFUEGOS_FABRICADOS'!$A:$A,$A92,'MP_MATAFUEGOS_FABRICADOS'!$B:$B,$B92)</f>
        <v/>
      </c>
      <c r="J92" s="21">
        <f>SUMIFS('MP_MATAFUEGOS_FABRICADOS'!J:J,'MP_MATAFUEGOS_FABRICADOS'!$A:$A,$A92,'MP_MATAFUEGOS_FABRICADOS'!$B:$B,$B92)</f>
        <v/>
      </c>
      <c r="K92" s="21">
        <f>SUMIFS('MP_MATAFUEGOS_FABRICADOS'!K:K,'MP_MATAFUEGOS_FABRICADOS'!$A:$A,$A92,'MP_MATAFUEGOS_FABRICADOS'!$B:$B,$B92)</f>
        <v/>
      </c>
      <c r="L92" s="21">
        <f>SUMIFS('MP_MATAFUEGOS_FABRICADOS'!L:L,'MP_MATAFUEGOS_FABRICADOS'!$A:$A,$A92,'MP_MATAFUEGOS_FABRICADOS'!$B:$B,$B92)</f>
        <v/>
      </c>
      <c r="M92" s="21">
        <f>SUMIFS('MP_MATAFUEGOS_FABRICADOS'!M:M,'MP_MATAFUEGOS_FABRICADOS'!$A:$A,$A92,'MP_MATAFUEGOS_FABRICADOS'!$B:$B,$B92)</f>
        <v/>
      </c>
      <c r="N92" s="21">
        <f>SUMIFS('MP_MATAFUEGOS_FABRICADOS'!N:N,'MP_MATAFUEGOS_FABRICADOS'!$A:$A,$A92,'MP_MATAFUEGOS_FABRICADOS'!$B:$B,$B92)</f>
        <v/>
      </c>
      <c r="O92" s="21">
        <f>SUMIFS('MP_MATAFUEGOS_FABRICADOS'!O:O,'MP_MATAFUEGOS_FABRICADOS'!$A:$A,$A92,'MP_MATAFUEGOS_FABRICADOS'!$B:$B,$B92)</f>
        <v/>
      </c>
    </row>
    <row r="93">
      <c r="A93" s="2" t="inlineStr">
        <is>
          <t>Faja de garantía válvula-cuello — 30 × 40</t>
        </is>
      </c>
      <c r="B93" s="2" t="inlineStr">
        <is>
          <t>u</t>
        </is>
      </c>
      <c r="C93" s="2" t="inlineStr">
        <is>
          <t>Identificación</t>
        </is>
      </c>
      <c r="D93" s="2" t="inlineStr">
        <is>
          <t>Astuprint</t>
        </is>
      </c>
      <c r="E93" s="2" t="inlineStr">
        <is>
          <t>MP_MATAFUEGOS_FABRICADOS</t>
        </is>
      </c>
      <c r="F93" s="21">
        <f>SUMIFS('MP_MATAFUEGOS_FABRICADOS'!F:F,'MP_MATAFUEGOS_FABRICADOS'!$A:$A,$A93,'MP_MATAFUEGOS_FABRICADOS'!$B:$B,$B93)</f>
        <v/>
      </c>
      <c r="G93" s="21">
        <f>SUMIFS('MP_MATAFUEGOS_FABRICADOS'!G:G,'MP_MATAFUEGOS_FABRICADOS'!$A:$A,$A93,'MP_MATAFUEGOS_FABRICADOS'!$B:$B,$B93)</f>
        <v/>
      </c>
      <c r="H93" s="21">
        <f>SUMIFS('MP_MATAFUEGOS_FABRICADOS'!H:H,'MP_MATAFUEGOS_FABRICADOS'!$A:$A,$A93,'MP_MATAFUEGOS_FABRICADOS'!$B:$B,$B93)</f>
        <v/>
      </c>
      <c r="I93" s="21">
        <f>SUMIFS('MP_MATAFUEGOS_FABRICADOS'!I:I,'MP_MATAFUEGOS_FABRICADOS'!$A:$A,$A93,'MP_MATAFUEGOS_FABRICADOS'!$B:$B,$B93)</f>
        <v/>
      </c>
      <c r="J93" s="21">
        <f>SUMIFS('MP_MATAFUEGOS_FABRICADOS'!J:J,'MP_MATAFUEGOS_FABRICADOS'!$A:$A,$A93,'MP_MATAFUEGOS_FABRICADOS'!$B:$B,$B93)</f>
        <v/>
      </c>
      <c r="K93" s="21">
        <f>SUMIFS('MP_MATAFUEGOS_FABRICADOS'!K:K,'MP_MATAFUEGOS_FABRICADOS'!$A:$A,$A93,'MP_MATAFUEGOS_FABRICADOS'!$B:$B,$B93)</f>
        <v/>
      </c>
      <c r="L93" s="21">
        <f>SUMIFS('MP_MATAFUEGOS_FABRICADOS'!L:L,'MP_MATAFUEGOS_FABRICADOS'!$A:$A,$A93,'MP_MATAFUEGOS_FABRICADOS'!$B:$B,$B93)</f>
        <v/>
      </c>
      <c r="M93" s="21">
        <f>SUMIFS('MP_MATAFUEGOS_FABRICADOS'!M:M,'MP_MATAFUEGOS_FABRICADOS'!$A:$A,$A93,'MP_MATAFUEGOS_FABRICADOS'!$B:$B,$B93)</f>
        <v/>
      </c>
      <c r="N93" s="21">
        <f>SUMIFS('MP_MATAFUEGOS_FABRICADOS'!N:N,'MP_MATAFUEGOS_FABRICADOS'!$A:$A,$A93,'MP_MATAFUEGOS_FABRICADOS'!$B:$B,$B93)</f>
        <v/>
      </c>
      <c r="O93" s="21">
        <f>SUMIFS('MP_MATAFUEGOS_FABRICADOS'!O:O,'MP_MATAFUEGOS_FABRICADOS'!$A:$A,$A93,'MP_MATAFUEGOS_FABRICADOS'!$B:$B,$B93)</f>
        <v/>
      </c>
    </row>
    <row r="94">
      <c r="A94" s="2" t="inlineStr">
        <is>
          <t>Oblea de fabricación (PBA) — Ø46 (Res. OPDS 522/07), numerada, autodestructible</t>
        </is>
      </c>
      <c r="B94" s="2" t="inlineStr">
        <is>
          <t>u</t>
        </is>
      </c>
      <c r="C94" s="2" t="inlineStr">
        <is>
          <t>Identificación</t>
        </is>
      </c>
      <c r="D94" s="2" t="inlineStr">
        <is>
          <t>Ministerio de Ambiente PBA (ex OPDS)</t>
        </is>
      </c>
      <c r="E94" s="2" t="inlineStr">
        <is>
          <t>MP_MATAFUEGOS_FABRICADOS</t>
        </is>
      </c>
      <c r="F94" s="21">
        <f>SUMIFS('MP_MATAFUEGOS_FABRICADOS'!F:F,'MP_MATAFUEGOS_FABRICADOS'!$A:$A,$A94,'MP_MATAFUEGOS_FABRICADOS'!$B:$B,$B94)</f>
        <v/>
      </c>
      <c r="G94" s="21">
        <f>SUMIFS('MP_MATAFUEGOS_FABRICADOS'!G:G,'MP_MATAFUEGOS_FABRICADOS'!$A:$A,$A94,'MP_MATAFUEGOS_FABRICADOS'!$B:$B,$B94)</f>
        <v/>
      </c>
      <c r="H94" s="21">
        <f>SUMIFS('MP_MATAFUEGOS_FABRICADOS'!H:H,'MP_MATAFUEGOS_FABRICADOS'!$A:$A,$A94,'MP_MATAFUEGOS_FABRICADOS'!$B:$B,$B94)</f>
        <v/>
      </c>
      <c r="I94" s="21">
        <f>SUMIFS('MP_MATAFUEGOS_FABRICADOS'!I:I,'MP_MATAFUEGOS_FABRICADOS'!$A:$A,$A94,'MP_MATAFUEGOS_FABRICADOS'!$B:$B,$B94)</f>
        <v/>
      </c>
      <c r="J94" s="21">
        <f>SUMIFS('MP_MATAFUEGOS_FABRICADOS'!J:J,'MP_MATAFUEGOS_FABRICADOS'!$A:$A,$A94,'MP_MATAFUEGOS_FABRICADOS'!$B:$B,$B94)</f>
        <v/>
      </c>
      <c r="K94" s="21">
        <f>SUMIFS('MP_MATAFUEGOS_FABRICADOS'!K:K,'MP_MATAFUEGOS_FABRICADOS'!$A:$A,$A94,'MP_MATAFUEGOS_FABRICADOS'!$B:$B,$B94)</f>
        <v/>
      </c>
      <c r="L94" s="21">
        <f>SUMIFS('MP_MATAFUEGOS_FABRICADOS'!L:L,'MP_MATAFUEGOS_FABRICADOS'!$A:$A,$A94,'MP_MATAFUEGOS_FABRICADOS'!$B:$B,$B94)</f>
        <v/>
      </c>
      <c r="M94" s="21">
        <f>SUMIFS('MP_MATAFUEGOS_FABRICADOS'!M:M,'MP_MATAFUEGOS_FABRICADOS'!$A:$A,$A94,'MP_MATAFUEGOS_FABRICADOS'!$B:$B,$B94)</f>
        <v/>
      </c>
      <c r="N94" s="21">
        <f>SUMIFS('MP_MATAFUEGOS_FABRICADOS'!N:N,'MP_MATAFUEGOS_FABRICADOS'!$A:$A,$A94,'MP_MATAFUEGOS_FABRICADOS'!$B:$B,$B94)</f>
        <v/>
      </c>
      <c r="O94" s="21">
        <f>SUMIFS('MP_MATAFUEGOS_FABRICADOS'!O:O,'MP_MATAFUEGOS_FABRICADOS'!$A:$A,$A94,'MP_MATAFUEGOS_FABRICADOS'!$B:$B,$B94)</f>
        <v/>
      </c>
    </row>
    <row r="95">
      <c r="A95" s="2" t="inlineStr">
        <is>
          <t>Precinto de fábrica — Ø5 × 10, numerado, rotura 30-50 N</t>
        </is>
      </c>
      <c r="B95" s="2" t="inlineStr">
        <is>
          <t>u</t>
        </is>
      </c>
      <c r="C95" s="2" t="inlineStr">
        <is>
          <t>Identificación</t>
        </is>
      </c>
      <c r="D95" s="2" t="inlineStr">
        <is>
          <t>SonFuertes (vía Papelera Damián)</t>
        </is>
      </c>
      <c r="E95" s="2" t="inlineStr">
        <is>
          <t>MP_MATAFUEGOS_FABRICADOS</t>
        </is>
      </c>
      <c r="F95" s="21">
        <f>SUMIFS('MP_MATAFUEGOS_FABRICADOS'!F:F,'MP_MATAFUEGOS_FABRICADOS'!$A:$A,$A95,'MP_MATAFUEGOS_FABRICADOS'!$B:$B,$B95)</f>
        <v/>
      </c>
      <c r="G95" s="21">
        <f>SUMIFS('MP_MATAFUEGOS_FABRICADOS'!G:G,'MP_MATAFUEGOS_FABRICADOS'!$A:$A,$A95,'MP_MATAFUEGOS_FABRICADOS'!$B:$B,$B95)</f>
        <v/>
      </c>
      <c r="H95" s="21">
        <f>SUMIFS('MP_MATAFUEGOS_FABRICADOS'!H:H,'MP_MATAFUEGOS_FABRICADOS'!$A:$A,$A95,'MP_MATAFUEGOS_FABRICADOS'!$B:$B,$B95)</f>
        <v/>
      </c>
      <c r="I95" s="21">
        <f>SUMIFS('MP_MATAFUEGOS_FABRICADOS'!I:I,'MP_MATAFUEGOS_FABRICADOS'!$A:$A,$A95,'MP_MATAFUEGOS_FABRICADOS'!$B:$B,$B95)</f>
        <v/>
      </c>
      <c r="J95" s="21">
        <f>SUMIFS('MP_MATAFUEGOS_FABRICADOS'!J:J,'MP_MATAFUEGOS_FABRICADOS'!$A:$A,$A95,'MP_MATAFUEGOS_FABRICADOS'!$B:$B,$B95)</f>
        <v/>
      </c>
      <c r="K95" s="21">
        <f>SUMIFS('MP_MATAFUEGOS_FABRICADOS'!K:K,'MP_MATAFUEGOS_FABRICADOS'!$A:$A,$A95,'MP_MATAFUEGOS_FABRICADOS'!$B:$B,$B95)</f>
        <v/>
      </c>
      <c r="L95" s="21">
        <f>SUMIFS('MP_MATAFUEGOS_FABRICADOS'!L:L,'MP_MATAFUEGOS_FABRICADOS'!$A:$A,$A95,'MP_MATAFUEGOS_FABRICADOS'!$B:$B,$B95)</f>
        <v/>
      </c>
      <c r="M95" s="21">
        <f>SUMIFS('MP_MATAFUEGOS_FABRICADOS'!M:M,'MP_MATAFUEGOS_FABRICADOS'!$A:$A,$A95,'MP_MATAFUEGOS_FABRICADOS'!$B:$B,$B95)</f>
        <v/>
      </c>
      <c r="N95" s="21">
        <f>SUMIFS('MP_MATAFUEGOS_FABRICADOS'!N:N,'MP_MATAFUEGOS_FABRICADOS'!$A:$A,$A95,'MP_MATAFUEGOS_FABRICADOS'!$B:$B,$B95)</f>
        <v/>
      </c>
      <c r="O95" s="21">
        <f>SUMIFS('MP_MATAFUEGOS_FABRICADOS'!O:O,'MP_MATAFUEGOS_FABRICADOS'!$A:$A,$A95,'MP_MATAFUEGOS_FABRICADOS'!$B:$B,$B95)</f>
        <v/>
      </c>
    </row>
    <row r="96">
      <c r="A96" s="2" t="inlineStr">
        <is>
          <t>Tarjeta de identificación AGC (CABA) — 140 × 55</t>
        </is>
      </c>
      <c r="B96" s="2" t="inlineStr">
        <is>
          <t>u</t>
        </is>
      </c>
      <c r="C96" s="2" t="inlineStr">
        <is>
          <t>Identificación</t>
        </is>
      </c>
      <c r="D96" s="2" t="inlineStr">
        <is>
          <t>Agencia Gubernamental de Control (CABA)</t>
        </is>
      </c>
      <c r="E96" s="2" t="inlineStr">
        <is>
          <t>MP_MATAFUEGOS_FABRICADOS, MP_MATAFUEGOS_REVENDIDOS</t>
        </is>
      </c>
      <c r="F96" s="21">
        <f>SUMIFS('MP_MATAFUEGOS_FABRICADOS'!F:F,'MP_MATAFUEGOS_FABRICADOS'!$A:$A,$A96,'MP_MATAFUEGOS_FABRICADOS'!$B:$B,$B96)+SUMIFS('MP_MATAFUEGOS_REVENDIDOS'!F:F,'MP_MATAFUEGOS_REVENDIDOS'!$A:$A,$A96,'MP_MATAFUEGOS_REVENDIDOS'!$B:$B,$B96)</f>
        <v/>
      </c>
      <c r="G96" s="21">
        <f>SUMIFS('MP_MATAFUEGOS_FABRICADOS'!G:G,'MP_MATAFUEGOS_FABRICADOS'!$A:$A,$A96,'MP_MATAFUEGOS_FABRICADOS'!$B:$B,$B96)+SUMIFS('MP_MATAFUEGOS_REVENDIDOS'!G:G,'MP_MATAFUEGOS_REVENDIDOS'!$A:$A,$A96,'MP_MATAFUEGOS_REVENDIDOS'!$B:$B,$B96)</f>
        <v/>
      </c>
      <c r="H96" s="21">
        <f>SUMIFS('MP_MATAFUEGOS_FABRICADOS'!H:H,'MP_MATAFUEGOS_FABRICADOS'!$A:$A,$A96,'MP_MATAFUEGOS_FABRICADOS'!$B:$B,$B96)+SUMIFS('MP_MATAFUEGOS_REVENDIDOS'!H:H,'MP_MATAFUEGOS_REVENDIDOS'!$A:$A,$A96,'MP_MATAFUEGOS_REVENDIDOS'!$B:$B,$B96)</f>
        <v/>
      </c>
      <c r="I96" s="21">
        <f>SUMIFS('MP_MATAFUEGOS_FABRICADOS'!I:I,'MP_MATAFUEGOS_FABRICADOS'!$A:$A,$A96,'MP_MATAFUEGOS_FABRICADOS'!$B:$B,$B96)+SUMIFS('MP_MATAFUEGOS_REVENDIDOS'!I:I,'MP_MATAFUEGOS_REVENDIDOS'!$A:$A,$A96,'MP_MATAFUEGOS_REVENDIDOS'!$B:$B,$B96)</f>
        <v/>
      </c>
      <c r="J96" s="21">
        <f>SUMIFS('MP_MATAFUEGOS_FABRICADOS'!J:J,'MP_MATAFUEGOS_FABRICADOS'!$A:$A,$A96,'MP_MATAFUEGOS_FABRICADOS'!$B:$B,$B96)+SUMIFS('MP_MATAFUEGOS_REVENDIDOS'!J:J,'MP_MATAFUEGOS_REVENDIDOS'!$A:$A,$A96,'MP_MATAFUEGOS_REVENDIDOS'!$B:$B,$B96)</f>
        <v/>
      </c>
      <c r="K96" s="21">
        <f>SUMIFS('MP_MATAFUEGOS_FABRICADOS'!K:K,'MP_MATAFUEGOS_FABRICADOS'!$A:$A,$A96,'MP_MATAFUEGOS_FABRICADOS'!$B:$B,$B96)+SUMIFS('MP_MATAFUEGOS_REVENDIDOS'!K:K,'MP_MATAFUEGOS_REVENDIDOS'!$A:$A,$A96,'MP_MATAFUEGOS_REVENDIDOS'!$B:$B,$B96)</f>
        <v/>
      </c>
      <c r="L96" s="21">
        <f>SUMIFS('MP_MATAFUEGOS_FABRICADOS'!L:L,'MP_MATAFUEGOS_FABRICADOS'!$A:$A,$A96,'MP_MATAFUEGOS_FABRICADOS'!$B:$B,$B96)+SUMIFS('MP_MATAFUEGOS_REVENDIDOS'!L:L,'MP_MATAFUEGOS_REVENDIDOS'!$A:$A,$A96,'MP_MATAFUEGOS_REVENDIDOS'!$B:$B,$B96)</f>
        <v/>
      </c>
      <c r="M96" s="21">
        <f>SUMIFS('MP_MATAFUEGOS_FABRICADOS'!M:M,'MP_MATAFUEGOS_FABRICADOS'!$A:$A,$A96,'MP_MATAFUEGOS_FABRICADOS'!$B:$B,$B96)+SUMIFS('MP_MATAFUEGOS_REVENDIDOS'!M:M,'MP_MATAFUEGOS_REVENDIDOS'!$A:$A,$A96,'MP_MATAFUEGOS_REVENDIDOS'!$B:$B,$B96)</f>
        <v/>
      </c>
      <c r="N96" s="21">
        <f>SUMIFS('MP_MATAFUEGOS_FABRICADOS'!N:N,'MP_MATAFUEGOS_FABRICADOS'!$A:$A,$A96,'MP_MATAFUEGOS_FABRICADOS'!$B:$B,$B96)+SUMIFS('MP_MATAFUEGOS_REVENDIDOS'!N:N,'MP_MATAFUEGOS_REVENDIDOS'!$A:$A,$A96,'MP_MATAFUEGOS_REVENDIDOS'!$B:$B,$B96)</f>
        <v/>
      </c>
      <c r="O96" s="21">
        <f>SUMIFS('MP_MATAFUEGOS_FABRICADOS'!O:O,'MP_MATAFUEGOS_FABRICADOS'!$A:$A,$A96,'MP_MATAFUEGOS_FABRICADOS'!$B:$B,$B96)+SUMIFS('MP_MATAFUEGOS_REVENDIDOS'!O:O,'MP_MATAFUEGOS_REVENDIDOS'!$A:$A,$A96,'MP_MATAFUEGOS_REVENDIDOS'!$B:$B,$B96)</f>
        <v/>
      </c>
    </row>
    <row r="97">
      <c r="A97" s="2" t="inlineStr">
        <is>
          <t>Soporte de pared (FL_ACC_01)</t>
        </is>
      </c>
      <c r="B97" s="2" t="inlineStr">
        <is>
          <t>u</t>
        </is>
      </c>
      <c r="C97" s="2" t="inlineStr">
        <is>
          <t>Soporte</t>
        </is>
      </c>
      <c r="D97" s="2" t="inlineStr">
        <is>
          <t>Maxiseguridad</t>
        </is>
      </c>
      <c r="E97" s="2" t="inlineStr">
        <is>
          <t>MP_MATAFUEGOS_FABRICADOS</t>
        </is>
      </c>
      <c r="F97" s="21">
        <f>SUMIFS('MP_MATAFUEGOS_FABRICADOS'!F:F,'MP_MATAFUEGOS_FABRICADOS'!$A:$A,$A97,'MP_MATAFUEGOS_FABRICADOS'!$B:$B,$B97)</f>
        <v/>
      </c>
      <c r="G97" s="21">
        <f>SUMIFS('MP_MATAFUEGOS_FABRICADOS'!G:G,'MP_MATAFUEGOS_FABRICADOS'!$A:$A,$A97,'MP_MATAFUEGOS_FABRICADOS'!$B:$B,$B97)</f>
        <v/>
      </c>
      <c r="H97" s="21">
        <f>SUMIFS('MP_MATAFUEGOS_FABRICADOS'!H:H,'MP_MATAFUEGOS_FABRICADOS'!$A:$A,$A97,'MP_MATAFUEGOS_FABRICADOS'!$B:$B,$B97)</f>
        <v/>
      </c>
      <c r="I97" s="21">
        <f>SUMIFS('MP_MATAFUEGOS_FABRICADOS'!I:I,'MP_MATAFUEGOS_FABRICADOS'!$A:$A,$A97,'MP_MATAFUEGOS_FABRICADOS'!$B:$B,$B97)</f>
        <v/>
      </c>
      <c r="J97" s="21">
        <f>SUMIFS('MP_MATAFUEGOS_FABRICADOS'!J:J,'MP_MATAFUEGOS_FABRICADOS'!$A:$A,$A97,'MP_MATAFUEGOS_FABRICADOS'!$B:$B,$B97)</f>
        <v/>
      </c>
      <c r="K97" s="21">
        <f>SUMIFS('MP_MATAFUEGOS_FABRICADOS'!K:K,'MP_MATAFUEGOS_FABRICADOS'!$A:$A,$A97,'MP_MATAFUEGOS_FABRICADOS'!$B:$B,$B97)</f>
        <v/>
      </c>
      <c r="L97" s="21">
        <f>SUMIFS('MP_MATAFUEGOS_FABRICADOS'!L:L,'MP_MATAFUEGOS_FABRICADOS'!$A:$A,$A97,'MP_MATAFUEGOS_FABRICADOS'!$B:$B,$B97)</f>
        <v/>
      </c>
      <c r="M97" s="21">
        <f>SUMIFS('MP_MATAFUEGOS_FABRICADOS'!M:M,'MP_MATAFUEGOS_FABRICADOS'!$A:$A,$A97,'MP_MATAFUEGOS_FABRICADOS'!$B:$B,$B97)</f>
        <v/>
      </c>
      <c r="N97" s="21">
        <f>SUMIFS('MP_MATAFUEGOS_FABRICADOS'!N:N,'MP_MATAFUEGOS_FABRICADOS'!$A:$A,$A97,'MP_MATAFUEGOS_FABRICADOS'!$B:$B,$B97)</f>
        <v/>
      </c>
      <c r="O97" s="21">
        <f>SUMIFS('MP_MATAFUEGOS_FABRICADOS'!O:O,'MP_MATAFUEGOS_FABRICADOS'!$A:$A,$A97,'MP_MATAFUEGOS_FABRICADOS'!$B:$B,$B97)</f>
        <v/>
      </c>
    </row>
    <row r="98">
      <c r="A98" s="2" t="inlineStr">
        <is>
          <t>Soporte vehicular con cierre rápido (FL_ACC_02)</t>
        </is>
      </c>
      <c r="B98" s="2" t="inlineStr">
        <is>
          <t>u</t>
        </is>
      </c>
      <c r="C98" s="2" t="inlineStr">
        <is>
          <t>Soporte</t>
        </is>
      </c>
      <c r="D98" s="2" t="inlineStr">
        <is>
          <t>Maxiseguridad</t>
        </is>
      </c>
      <c r="E98" s="2" t="inlineStr">
        <is>
          <t>MP_MATAFUEGOS_FABRICADOS</t>
        </is>
      </c>
      <c r="F98" s="21">
        <f>SUMIFS('MP_MATAFUEGOS_FABRICADOS'!F:F,'MP_MATAFUEGOS_FABRICADOS'!$A:$A,$A98,'MP_MATAFUEGOS_FABRICADOS'!$B:$B,$B98)</f>
        <v/>
      </c>
      <c r="G98" s="21">
        <f>SUMIFS('MP_MATAFUEGOS_FABRICADOS'!G:G,'MP_MATAFUEGOS_FABRICADOS'!$A:$A,$A98,'MP_MATAFUEGOS_FABRICADOS'!$B:$B,$B98)</f>
        <v/>
      </c>
      <c r="H98" s="21">
        <f>SUMIFS('MP_MATAFUEGOS_FABRICADOS'!H:H,'MP_MATAFUEGOS_FABRICADOS'!$A:$A,$A98,'MP_MATAFUEGOS_FABRICADOS'!$B:$B,$B98)</f>
        <v/>
      </c>
      <c r="I98" s="21">
        <f>SUMIFS('MP_MATAFUEGOS_FABRICADOS'!I:I,'MP_MATAFUEGOS_FABRICADOS'!$A:$A,$A98,'MP_MATAFUEGOS_FABRICADOS'!$B:$B,$B98)</f>
        <v/>
      </c>
      <c r="J98" s="21">
        <f>SUMIFS('MP_MATAFUEGOS_FABRICADOS'!J:J,'MP_MATAFUEGOS_FABRICADOS'!$A:$A,$A98,'MP_MATAFUEGOS_FABRICADOS'!$B:$B,$B98)</f>
        <v/>
      </c>
      <c r="K98" s="21">
        <f>SUMIFS('MP_MATAFUEGOS_FABRICADOS'!K:K,'MP_MATAFUEGOS_FABRICADOS'!$A:$A,$A98,'MP_MATAFUEGOS_FABRICADOS'!$B:$B,$B98)</f>
        <v/>
      </c>
      <c r="L98" s="21">
        <f>SUMIFS('MP_MATAFUEGOS_FABRICADOS'!L:L,'MP_MATAFUEGOS_FABRICADOS'!$A:$A,$A98,'MP_MATAFUEGOS_FABRICADOS'!$B:$B,$B98)</f>
        <v/>
      </c>
      <c r="M98" s="21">
        <f>SUMIFS('MP_MATAFUEGOS_FABRICADOS'!M:M,'MP_MATAFUEGOS_FABRICADOS'!$A:$A,$A98,'MP_MATAFUEGOS_FABRICADOS'!$B:$B,$B98)</f>
        <v/>
      </c>
      <c r="N98" s="21">
        <f>SUMIFS('MP_MATAFUEGOS_FABRICADOS'!N:N,'MP_MATAFUEGOS_FABRICADOS'!$A:$A,$A98,'MP_MATAFUEGOS_FABRICADOS'!$B:$B,$B98)</f>
        <v/>
      </c>
      <c r="O98" s="21">
        <f>SUMIFS('MP_MATAFUEGOS_FABRICADOS'!O:O,'MP_MATAFUEGOS_FABRICADOS'!$A:$A,$A98,'MP_MATAFUEGOS_FABRICADOS'!$B:$B,$B98)</f>
        <v/>
      </c>
    </row>
    <row r="99">
      <c r="A99" s="2" t="inlineStr">
        <is>
          <t>Tornillo y tarugo de fijación</t>
        </is>
      </c>
      <c r="B99" s="2" t="inlineStr">
        <is>
          <t>u</t>
        </is>
      </c>
      <c r="C99" s="2" t="inlineStr">
        <is>
          <t>Soporte</t>
        </is>
      </c>
      <c r="D99" s="2" t="inlineStr">
        <is>
          <t>Würth Argentina</t>
        </is>
      </c>
      <c r="E99" s="2" t="inlineStr">
        <is>
          <t>MP_MATAFUEGOS_FABRICADOS</t>
        </is>
      </c>
      <c r="F99" s="21">
        <f>SUMIFS('MP_MATAFUEGOS_FABRICADOS'!F:F,'MP_MATAFUEGOS_FABRICADOS'!$A:$A,$A99,'MP_MATAFUEGOS_FABRICADOS'!$B:$B,$B99)</f>
        <v/>
      </c>
      <c r="G99" s="21">
        <f>SUMIFS('MP_MATAFUEGOS_FABRICADOS'!G:G,'MP_MATAFUEGOS_FABRICADOS'!$A:$A,$A99,'MP_MATAFUEGOS_FABRICADOS'!$B:$B,$B99)</f>
        <v/>
      </c>
      <c r="H99" s="21">
        <f>SUMIFS('MP_MATAFUEGOS_FABRICADOS'!H:H,'MP_MATAFUEGOS_FABRICADOS'!$A:$A,$A99,'MP_MATAFUEGOS_FABRICADOS'!$B:$B,$B99)</f>
        <v/>
      </c>
      <c r="I99" s="21">
        <f>SUMIFS('MP_MATAFUEGOS_FABRICADOS'!I:I,'MP_MATAFUEGOS_FABRICADOS'!$A:$A,$A99,'MP_MATAFUEGOS_FABRICADOS'!$B:$B,$B99)</f>
        <v/>
      </c>
      <c r="J99" s="21">
        <f>SUMIFS('MP_MATAFUEGOS_FABRICADOS'!J:J,'MP_MATAFUEGOS_FABRICADOS'!$A:$A,$A99,'MP_MATAFUEGOS_FABRICADOS'!$B:$B,$B99)</f>
        <v/>
      </c>
      <c r="K99" s="21">
        <f>SUMIFS('MP_MATAFUEGOS_FABRICADOS'!K:K,'MP_MATAFUEGOS_FABRICADOS'!$A:$A,$A99,'MP_MATAFUEGOS_FABRICADOS'!$B:$B,$B99)</f>
        <v/>
      </c>
      <c r="L99" s="21">
        <f>SUMIFS('MP_MATAFUEGOS_FABRICADOS'!L:L,'MP_MATAFUEGOS_FABRICADOS'!$A:$A,$A99,'MP_MATAFUEGOS_FABRICADOS'!$B:$B,$B99)</f>
        <v/>
      </c>
      <c r="M99" s="21">
        <f>SUMIFS('MP_MATAFUEGOS_FABRICADOS'!M:M,'MP_MATAFUEGOS_FABRICADOS'!$A:$A,$A99,'MP_MATAFUEGOS_FABRICADOS'!$B:$B,$B99)</f>
        <v/>
      </c>
      <c r="N99" s="21">
        <f>SUMIFS('MP_MATAFUEGOS_FABRICADOS'!N:N,'MP_MATAFUEGOS_FABRICADOS'!$A:$A,$A99,'MP_MATAFUEGOS_FABRICADOS'!$B:$B,$B99)</f>
        <v/>
      </c>
      <c r="O99" s="21">
        <f>SUMIFS('MP_MATAFUEGOS_FABRICADOS'!O:O,'MP_MATAFUEGOS_FABRICADOS'!$A:$A,$A99,'MP_MATAFUEGOS_FABRICADOS'!$B:$B,$B99)</f>
        <v/>
      </c>
    </row>
    <row r="100">
      <c r="A100" s="2" t="inlineStr">
        <is>
          <t>Caja de cartón corrugado doble — 212 × 212 × 582 interior (envolvente del plano + 15 por lado)</t>
        </is>
      </c>
      <c r="B100" s="2" t="inlineStr">
        <is>
          <t>u</t>
        </is>
      </c>
      <c r="C100" s="2" t="inlineStr">
        <is>
          <t>Embalaje</t>
        </is>
      </c>
      <c r="D100" s="2" t="inlineStr">
        <is>
          <t>Maxipack</t>
        </is>
      </c>
      <c r="E100" s="2" t="inlineStr">
        <is>
          <t>MP_CILINDROS</t>
        </is>
      </c>
      <c r="F100" s="21">
        <f>SUMIFS('MP_CILINDROS'!F:F,'MP_CILINDROS'!$A:$A,$A100,'MP_CILINDROS'!$B:$B,$B100)</f>
        <v/>
      </c>
      <c r="G100" s="21">
        <f>SUMIFS('MP_CILINDROS'!G:G,'MP_CILINDROS'!$A:$A,$A100,'MP_CILINDROS'!$B:$B,$B100)</f>
        <v/>
      </c>
      <c r="H100" s="21">
        <f>SUMIFS('MP_CILINDROS'!H:H,'MP_CILINDROS'!$A:$A,$A100,'MP_CILINDROS'!$B:$B,$B100)</f>
        <v/>
      </c>
      <c r="I100" s="21">
        <f>SUMIFS('MP_CILINDROS'!I:I,'MP_CILINDROS'!$A:$A,$A100,'MP_CILINDROS'!$B:$B,$B100)</f>
        <v/>
      </c>
      <c r="J100" s="21">
        <f>SUMIFS('MP_CILINDROS'!J:J,'MP_CILINDROS'!$A:$A,$A100,'MP_CILINDROS'!$B:$B,$B100)</f>
        <v/>
      </c>
      <c r="K100" s="21">
        <f>SUMIFS('MP_CILINDROS'!K:K,'MP_CILINDROS'!$A:$A,$A100,'MP_CILINDROS'!$B:$B,$B100)</f>
        <v/>
      </c>
      <c r="L100" s="21">
        <f>SUMIFS('MP_CILINDROS'!L:L,'MP_CILINDROS'!$A:$A,$A100,'MP_CILINDROS'!$B:$B,$B100)</f>
        <v/>
      </c>
      <c r="M100" s="21">
        <f>SUMIFS('MP_CILINDROS'!M:M,'MP_CILINDROS'!$A:$A,$A100,'MP_CILINDROS'!$B:$B,$B100)</f>
        <v/>
      </c>
      <c r="N100" s="21">
        <f>SUMIFS('MP_CILINDROS'!N:N,'MP_CILINDROS'!$A:$A,$A100,'MP_CILINDROS'!$B:$B,$B100)</f>
        <v/>
      </c>
      <c r="O100" s="21">
        <f>SUMIFS('MP_CILINDROS'!O:O,'MP_CILINDROS'!$A:$A,$A100,'MP_CILINDROS'!$B:$B,$B100)</f>
        <v/>
      </c>
    </row>
    <row r="101">
      <c r="A101" s="2" t="inlineStr">
        <is>
          <t>Caja de cartón corrugado doble — 261 × 214 × 628 interior (envolvente del plano + 15 por lado)</t>
        </is>
      </c>
      <c r="B101" s="2" t="inlineStr">
        <is>
          <t>u</t>
        </is>
      </c>
      <c r="C101" s="2" t="inlineStr">
        <is>
          <t>Embalaje</t>
        </is>
      </c>
      <c r="D101" s="2" t="inlineStr">
        <is>
          <t>Maxipack</t>
        </is>
      </c>
      <c r="E101" s="2" t="inlineStr">
        <is>
          <t>MP_MATAFUEGOS_FABRICADOS</t>
        </is>
      </c>
      <c r="F101" s="21">
        <f>SUMIFS('MP_MATAFUEGOS_FABRICADOS'!F:F,'MP_MATAFUEGOS_FABRICADOS'!$A:$A,$A101,'MP_MATAFUEGOS_FABRICADOS'!$B:$B,$B101)</f>
        <v/>
      </c>
      <c r="G101" s="21">
        <f>SUMIFS('MP_MATAFUEGOS_FABRICADOS'!G:G,'MP_MATAFUEGOS_FABRICADOS'!$A:$A,$A101,'MP_MATAFUEGOS_FABRICADOS'!$B:$B,$B101)</f>
        <v/>
      </c>
      <c r="H101" s="21">
        <f>SUMIFS('MP_MATAFUEGOS_FABRICADOS'!H:H,'MP_MATAFUEGOS_FABRICADOS'!$A:$A,$A101,'MP_MATAFUEGOS_FABRICADOS'!$B:$B,$B101)</f>
        <v/>
      </c>
      <c r="I101" s="21">
        <f>SUMIFS('MP_MATAFUEGOS_FABRICADOS'!I:I,'MP_MATAFUEGOS_FABRICADOS'!$A:$A,$A101,'MP_MATAFUEGOS_FABRICADOS'!$B:$B,$B101)</f>
        <v/>
      </c>
      <c r="J101" s="21">
        <f>SUMIFS('MP_MATAFUEGOS_FABRICADOS'!J:J,'MP_MATAFUEGOS_FABRICADOS'!$A:$A,$A101,'MP_MATAFUEGOS_FABRICADOS'!$B:$B,$B101)</f>
        <v/>
      </c>
      <c r="K101" s="21">
        <f>SUMIFS('MP_MATAFUEGOS_FABRICADOS'!K:K,'MP_MATAFUEGOS_FABRICADOS'!$A:$A,$A101,'MP_MATAFUEGOS_FABRICADOS'!$B:$B,$B101)</f>
        <v/>
      </c>
      <c r="L101" s="21">
        <f>SUMIFS('MP_MATAFUEGOS_FABRICADOS'!L:L,'MP_MATAFUEGOS_FABRICADOS'!$A:$A,$A101,'MP_MATAFUEGOS_FABRICADOS'!$B:$B,$B101)</f>
        <v/>
      </c>
      <c r="M101" s="21">
        <f>SUMIFS('MP_MATAFUEGOS_FABRICADOS'!M:M,'MP_MATAFUEGOS_FABRICADOS'!$A:$A,$A101,'MP_MATAFUEGOS_FABRICADOS'!$B:$B,$B101)</f>
        <v/>
      </c>
      <c r="N101" s="21">
        <f>SUMIFS('MP_MATAFUEGOS_FABRICADOS'!N:N,'MP_MATAFUEGOS_FABRICADOS'!$A:$A,$A101,'MP_MATAFUEGOS_FABRICADOS'!$B:$B,$B101)</f>
        <v/>
      </c>
      <c r="O101" s="21">
        <f>SUMIFS('MP_MATAFUEGOS_FABRICADOS'!O:O,'MP_MATAFUEGOS_FABRICADOS'!$A:$A,$A101,'MP_MATAFUEGOS_FABRICADOS'!$B:$B,$B101)</f>
        <v/>
      </c>
    </row>
    <row r="102">
      <c r="A102" s="2" t="inlineStr">
        <is>
          <t>Caja de cartón corrugado simple — 106 × 106 × 318 interior (envolvente del plano + 15 por lado)</t>
        </is>
      </c>
      <c r="B102" s="2" t="inlineStr">
        <is>
          <t>u</t>
        </is>
      </c>
      <c r="C102" s="2" t="inlineStr">
        <is>
          <t>Embalaje</t>
        </is>
      </c>
      <c r="D102" s="2" t="inlineStr">
        <is>
          <t>Maxipack</t>
        </is>
      </c>
      <c r="E102" s="2" t="inlineStr">
        <is>
          <t>MP_CILINDROS</t>
        </is>
      </c>
      <c r="F102" s="21">
        <f>SUMIFS('MP_CILINDROS'!F:F,'MP_CILINDROS'!$A:$A,$A102,'MP_CILINDROS'!$B:$B,$B102)</f>
        <v/>
      </c>
      <c r="G102" s="21">
        <f>SUMIFS('MP_CILINDROS'!G:G,'MP_CILINDROS'!$A:$A,$A102,'MP_CILINDROS'!$B:$B,$B102)</f>
        <v/>
      </c>
      <c r="H102" s="21">
        <f>SUMIFS('MP_CILINDROS'!H:H,'MP_CILINDROS'!$A:$A,$A102,'MP_CILINDROS'!$B:$B,$B102)</f>
        <v/>
      </c>
      <c r="I102" s="21">
        <f>SUMIFS('MP_CILINDROS'!I:I,'MP_CILINDROS'!$A:$A,$A102,'MP_CILINDROS'!$B:$B,$B102)</f>
        <v/>
      </c>
      <c r="J102" s="21">
        <f>SUMIFS('MP_CILINDROS'!J:J,'MP_CILINDROS'!$A:$A,$A102,'MP_CILINDROS'!$B:$B,$B102)</f>
        <v/>
      </c>
      <c r="K102" s="21">
        <f>SUMIFS('MP_CILINDROS'!K:K,'MP_CILINDROS'!$A:$A,$A102,'MP_CILINDROS'!$B:$B,$B102)</f>
        <v/>
      </c>
      <c r="L102" s="21">
        <f>SUMIFS('MP_CILINDROS'!L:L,'MP_CILINDROS'!$A:$A,$A102,'MP_CILINDROS'!$B:$B,$B102)</f>
        <v/>
      </c>
      <c r="M102" s="21">
        <f>SUMIFS('MP_CILINDROS'!M:M,'MP_CILINDROS'!$A:$A,$A102,'MP_CILINDROS'!$B:$B,$B102)</f>
        <v/>
      </c>
      <c r="N102" s="21">
        <f>SUMIFS('MP_CILINDROS'!N:N,'MP_CILINDROS'!$A:$A,$A102,'MP_CILINDROS'!$B:$B,$B102)</f>
        <v/>
      </c>
      <c r="O102" s="21">
        <f>SUMIFS('MP_CILINDROS'!O:O,'MP_CILINDROS'!$A:$A,$A102,'MP_CILINDROS'!$B:$B,$B102)</f>
        <v/>
      </c>
    </row>
    <row r="103">
      <c r="A103" s="2" t="inlineStr">
        <is>
          <t>Caja de cartón corrugado simple — 154 × 154 × 334 interior (envolvente del plano + 15 por lado)</t>
        </is>
      </c>
      <c r="B103" s="2" t="inlineStr">
        <is>
          <t>u</t>
        </is>
      </c>
      <c r="C103" s="2" t="inlineStr">
        <is>
          <t>Embalaje</t>
        </is>
      </c>
      <c r="D103" s="2" t="inlineStr">
        <is>
          <t>Maxipack</t>
        </is>
      </c>
      <c r="E103" s="2" t="inlineStr">
        <is>
          <t>MP_CILINDROS</t>
        </is>
      </c>
      <c r="F103" s="21">
        <f>SUMIFS('MP_CILINDROS'!F:F,'MP_CILINDROS'!$A:$A,$A103,'MP_CILINDROS'!$B:$B,$B103)</f>
        <v/>
      </c>
      <c r="G103" s="21">
        <f>SUMIFS('MP_CILINDROS'!G:G,'MP_CILINDROS'!$A:$A,$A103,'MP_CILINDROS'!$B:$B,$B103)</f>
        <v/>
      </c>
      <c r="H103" s="21">
        <f>SUMIFS('MP_CILINDROS'!H:H,'MP_CILINDROS'!$A:$A,$A103,'MP_CILINDROS'!$B:$B,$B103)</f>
        <v/>
      </c>
      <c r="I103" s="21">
        <f>SUMIFS('MP_CILINDROS'!I:I,'MP_CILINDROS'!$A:$A,$A103,'MP_CILINDROS'!$B:$B,$B103)</f>
        <v/>
      </c>
      <c r="J103" s="21">
        <f>SUMIFS('MP_CILINDROS'!J:J,'MP_CILINDROS'!$A:$A,$A103,'MP_CILINDROS'!$B:$B,$B103)</f>
        <v/>
      </c>
      <c r="K103" s="21">
        <f>SUMIFS('MP_CILINDROS'!K:K,'MP_CILINDROS'!$A:$A,$A103,'MP_CILINDROS'!$B:$B,$B103)</f>
        <v/>
      </c>
      <c r="L103" s="21">
        <f>SUMIFS('MP_CILINDROS'!L:L,'MP_CILINDROS'!$A:$A,$A103,'MP_CILINDROS'!$B:$B,$B103)</f>
        <v/>
      </c>
      <c r="M103" s="21">
        <f>SUMIFS('MP_CILINDROS'!M:M,'MP_CILINDROS'!$A:$A,$A103,'MP_CILINDROS'!$B:$B,$B103)</f>
        <v/>
      </c>
      <c r="N103" s="21">
        <f>SUMIFS('MP_CILINDROS'!N:N,'MP_CILINDROS'!$A:$A,$A103,'MP_CILINDROS'!$B:$B,$B103)</f>
        <v/>
      </c>
      <c r="O103" s="21">
        <f>SUMIFS('MP_CILINDROS'!O:O,'MP_CILINDROS'!$A:$A,$A103,'MP_CILINDROS'!$B:$B,$B103)</f>
        <v/>
      </c>
    </row>
    <row r="104">
      <c r="A104" s="2" t="inlineStr">
        <is>
          <t>Caja de cartón corrugado simple — 163 × 107 × 348 interior (envolvente del plano + 15 por lado)</t>
        </is>
      </c>
      <c r="B104" s="2" t="inlineStr">
        <is>
          <t>u</t>
        </is>
      </c>
      <c r="C104" s="2" t="inlineStr">
        <is>
          <t>Embalaje</t>
        </is>
      </c>
      <c r="D104" s="2" t="inlineStr">
        <is>
          <t>Maxipack</t>
        </is>
      </c>
      <c r="E104" s="2" t="inlineStr">
        <is>
          <t>MP_MATAFUEGOS_FABRICADOS</t>
        </is>
      </c>
      <c r="F104" s="21">
        <f>SUMIFS('MP_MATAFUEGOS_FABRICADOS'!F:F,'MP_MATAFUEGOS_FABRICADOS'!$A:$A,$A104,'MP_MATAFUEGOS_FABRICADOS'!$B:$B,$B104)</f>
        <v/>
      </c>
      <c r="G104" s="21">
        <f>SUMIFS('MP_MATAFUEGOS_FABRICADOS'!G:G,'MP_MATAFUEGOS_FABRICADOS'!$A:$A,$A104,'MP_MATAFUEGOS_FABRICADOS'!$B:$B,$B104)</f>
        <v/>
      </c>
      <c r="H104" s="21">
        <f>SUMIFS('MP_MATAFUEGOS_FABRICADOS'!H:H,'MP_MATAFUEGOS_FABRICADOS'!$A:$A,$A104,'MP_MATAFUEGOS_FABRICADOS'!$B:$B,$B104)</f>
        <v/>
      </c>
      <c r="I104" s="21">
        <f>SUMIFS('MP_MATAFUEGOS_FABRICADOS'!I:I,'MP_MATAFUEGOS_FABRICADOS'!$A:$A,$A104,'MP_MATAFUEGOS_FABRICADOS'!$B:$B,$B104)</f>
        <v/>
      </c>
      <c r="J104" s="21">
        <f>SUMIFS('MP_MATAFUEGOS_FABRICADOS'!J:J,'MP_MATAFUEGOS_FABRICADOS'!$A:$A,$A104,'MP_MATAFUEGOS_FABRICADOS'!$B:$B,$B104)</f>
        <v/>
      </c>
      <c r="K104" s="21">
        <f>SUMIFS('MP_MATAFUEGOS_FABRICADOS'!K:K,'MP_MATAFUEGOS_FABRICADOS'!$A:$A,$A104,'MP_MATAFUEGOS_FABRICADOS'!$B:$B,$B104)</f>
        <v/>
      </c>
      <c r="L104" s="21">
        <f>SUMIFS('MP_MATAFUEGOS_FABRICADOS'!L:L,'MP_MATAFUEGOS_FABRICADOS'!$A:$A,$A104,'MP_MATAFUEGOS_FABRICADOS'!$B:$B,$B104)</f>
        <v/>
      </c>
      <c r="M104" s="21">
        <f>SUMIFS('MP_MATAFUEGOS_FABRICADOS'!M:M,'MP_MATAFUEGOS_FABRICADOS'!$A:$A,$A104,'MP_MATAFUEGOS_FABRICADOS'!$B:$B,$B104)</f>
        <v/>
      </c>
      <c r="N104" s="21">
        <f>SUMIFS('MP_MATAFUEGOS_FABRICADOS'!N:N,'MP_MATAFUEGOS_FABRICADOS'!$A:$A,$A104,'MP_MATAFUEGOS_FABRICADOS'!$B:$B,$B104)</f>
        <v/>
      </c>
      <c r="O104" s="21">
        <f>SUMIFS('MP_MATAFUEGOS_FABRICADOS'!O:O,'MP_MATAFUEGOS_FABRICADOS'!$A:$A,$A104,'MP_MATAFUEGOS_FABRICADOS'!$B:$B,$B104)</f>
        <v/>
      </c>
    </row>
    <row r="105">
      <c r="A105" s="2" t="inlineStr">
        <is>
          <t>Caja de cartón corrugado simple — 183 × 183 × 410 interior (envolvente del plano + 15 por lado)</t>
        </is>
      </c>
      <c r="B105" s="2" t="inlineStr">
        <is>
          <t>u</t>
        </is>
      </c>
      <c r="C105" s="2" t="inlineStr">
        <is>
          <t>Embalaje</t>
        </is>
      </c>
      <c r="D105" s="2" t="inlineStr">
        <is>
          <t>Maxipack</t>
        </is>
      </c>
      <c r="E105" s="2" t="inlineStr">
        <is>
          <t>MP_CILINDROS</t>
        </is>
      </c>
      <c r="F105" s="21">
        <f>SUMIFS('MP_CILINDROS'!F:F,'MP_CILINDROS'!$A:$A,$A105,'MP_CILINDROS'!$B:$B,$B105)</f>
        <v/>
      </c>
      <c r="G105" s="21">
        <f>SUMIFS('MP_CILINDROS'!G:G,'MP_CILINDROS'!$A:$A,$A105,'MP_CILINDROS'!$B:$B,$B105)</f>
        <v/>
      </c>
      <c r="H105" s="21">
        <f>SUMIFS('MP_CILINDROS'!H:H,'MP_CILINDROS'!$A:$A,$A105,'MP_CILINDROS'!$B:$B,$B105)</f>
        <v/>
      </c>
      <c r="I105" s="21">
        <f>SUMIFS('MP_CILINDROS'!I:I,'MP_CILINDROS'!$A:$A,$A105,'MP_CILINDROS'!$B:$B,$B105)</f>
        <v/>
      </c>
      <c r="J105" s="21">
        <f>SUMIFS('MP_CILINDROS'!J:J,'MP_CILINDROS'!$A:$A,$A105,'MP_CILINDROS'!$B:$B,$B105)</f>
        <v/>
      </c>
      <c r="K105" s="21">
        <f>SUMIFS('MP_CILINDROS'!K:K,'MP_CILINDROS'!$A:$A,$A105,'MP_CILINDROS'!$B:$B,$B105)</f>
        <v/>
      </c>
      <c r="L105" s="21">
        <f>SUMIFS('MP_CILINDROS'!L:L,'MP_CILINDROS'!$A:$A,$A105,'MP_CILINDROS'!$B:$B,$B105)</f>
        <v/>
      </c>
      <c r="M105" s="21">
        <f>SUMIFS('MP_CILINDROS'!M:M,'MP_CILINDROS'!$A:$A,$A105,'MP_CILINDROS'!$B:$B,$B105)</f>
        <v/>
      </c>
      <c r="N105" s="21">
        <f>SUMIFS('MP_CILINDROS'!N:N,'MP_CILINDROS'!$A:$A,$A105,'MP_CILINDROS'!$B:$B,$B105)</f>
        <v/>
      </c>
      <c r="O105" s="21">
        <f>SUMIFS('MP_CILINDROS'!O:O,'MP_CILINDROS'!$A:$A,$A105,'MP_CILINDROS'!$B:$B,$B105)</f>
        <v/>
      </c>
    </row>
    <row r="106">
      <c r="A106" s="2" t="inlineStr">
        <is>
          <t>Caja de cartón corrugado simple — 232 × 157 × 379 interior (envolvente del plano + 15 por lado)</t>
        </is>
      </c>
      <c r="B106" s="2" t="inlineStr">
        <is>
          <t>u</t>
        </is>
      </c>
      <c r="C106" s="2" t="inlineStr">
        <is>
          <t>Embalaje</t>
        </is>
      </c>
      <c r="D106" s="2" t="inlineStr">
        <is>
          <t>Maxipack</t>
        </is>
      </c>
      <c r="E106" s="2" t="inlineStr">
        <is>
          <t>MP_MATAFUEGOS_FABRICADOS</t>
        </is>
      </c>
      <c r="F106" s="21">
        <f>SUMIFS('MP_MATAFUEGOS_FABRICADOS'!F:F,'MP_MATAFUEGOS_FABRICADOS'!$A:$A,$A106,'MP_MATAFUEGOS_FABRICADOS'!$B:$B,$B106)</f>
        <v/>
      </c>
      <c r="G106" s="21">
        <f>SUMIFS('MP_MATAFUEGOS_FABRICADOS'!G:G,'MP_MATAFUEGOS_FABRICADOS'!$A:$A,$A106,'MP_MATAFUEGOS_FABRICADOS'!$B:$B,$B106)</f>
        <v/>
      </c>
      <c r="H106" s="21">
        <f>SUMIFS('MP_MATAFUEGOS_FABRICADOS'!H:H,'MP_MATAFUEGOS_FABRICADOS'!$A:$A,$A106,'MP_MATAFUEGOS_FABRICADOS'!$B:$B,$B106)</f>
        <v/>
      </c>
      <c r="I106" s="21">
        <f>SUMIFS('MP_MATAFUEGOS_FABRICADOS'!I:I,'MP_MATAFUEGOS_FABRICADOS'!$A:$A,$A106,'MP_MATAFUEGOS_FABRICADOS'!$B:$B,$B106)</f>
        <v/>
      </c>
      <c r="J106" s="21">
        <f>SUMIFS('MP_MATAFUEGOS_FABRICADOS'!J:J,'MP_MATAFUEGOS_FABRICADOS'!$A:$A,$A106,'MP_MATAFUEGOS_FABRICADOS'!$B:$B,$B106)</f>
        <v/>
      </c>
      <c r="K106" s="21">
        <f>SUMIFS('MP_MATAFUEGOS_FABRICADOS'!K:K,'MP_MATAFUEGOS_FABRICADOS'!$A:$A,$A106,'MP_MATAFUEGOS_FABRICADOS'!$B:$B,$B106)</f>
        <v/>
      </c>
      <c r="L106" s="21">
        <f>SUMIFS('MP_MATAFUEGOS_FABRICADOS'!L:L,'MP_MATAFUEGOS_FABRICADOS'!$A:$A,$A106,'MP_MATAFUEGOS_FABRICADOS'!$B:$B,$B106)</f>
        <v/>
      </c>
      <c r="M106" s="21">
        <f>SUMIFS('MP_MATAFUEGOS_FABRICADOS'!M:M,'MP_MATAFUEGOS_FABRICADOS'!$A:$A,$A106,'MP_MATAFUEGOS_FABRICADOS'!$B:$B,$B106)</f>
        <v/>
      </c>
      <c r="N106" s="21">
        <f>SUMIFS('MP_MATAFUEGOS_FABRICADOS'!N:N,'MP_MATAFUEGOS_FABRICADOS'!$A:$A,$A106,'MP_MATAFUEGOS_FABRICADOS'!$B:$B,$B106)</f>
        <v/>
      </c>
      <c r="O106" s="21">
        <f>SUMIFS('MP_MATAFUEGOS_FABRICADOS'!O:O,'MP_MATAFUEGOS_FABRICADOS'!$A:$A,$A106,'MP_MATAFUEGOS_FABRICADOS'!$B:$B,$B106)</f>
        <v/>
      </c>
    </row>
    <row r="107">
      <c r="A107" s="2" t="inlineStr">
        <is>
          <t>Caja de cartón corrugado simple — 247 × 186 × 455 interior (envolvente del plano + 15 por lado)</t>
        </is>
      </c>
      <c r="B107" s="2" t="inlineStr">
        <is>
          <t>u</t>
        </is>
      </c>
      <c r="C107" s="2" t="inlineStr">
        <is>
          <t>Embalaje</t>
        </is>
      </c>
      <c r="D107" s="2" t="inlineStr">
        <is>
          <t>Maxipack</t>
        </is>
      </c>
      <c r="E107" s="2" t="inlineStr">
        <is>
          <t>MP_MATAFUEGOS_FABRICADOS</t>
        </is>
      </c>
      <c r="F107" s="21">
        <f>SUMIFS('MP_MATAFUEGOS_FABRICADOS'!F:F,'MP_MATAFUEGOS_FABRICADOS'!$A:$A,$A107,'MP_MATAFUEGOS_FABRICADOS'!$B:$B,$B107)</f>
        <v/>
      </c>
      <c r="G107" s="21">
        <f>SUMIFS('MP_MATAFUEGOS_FABRICADOS'!G:G,'MP_MATAFUEGOS_FABRICADOS'!$A:$A,$A107,'MP_MATAFUEGOS_FABRICADOS'!$B:$B,$B107)</f>
        <v/>
      </c>
      <c r="H107" s="21">
        <f>SUMIFS('MP_MATAFUEGOS_FABRICADOS'!H:H,'MP_MATAFUEGOS_FABRICADOS'!$A:$A,$A107,'MP_MATAFUEGOS_FABRICADOS'!$B:$B,$B107)</f>
        <v/>
      </c>
      <c r="I107" s="21">
        <f>SUMIFS('MP_MATAFUEGOS_FABRICADOS'!I:I,'MP_MATAFUEGOS_FABRICADOS'!$A:$A,$A107,'MP_MATAFUEGOS_FABRICADOS'!$B:$B,$B107)</f>
        <v/>
      </c>
      <c r="J107" s="21">
        <f>SUMIFS('MP_MATAFUEGOS_FABRICADOS'!J:J,'MP_MATAFUEGOS_FABRICADOS'!$A:$A,$A107,'MP_MATAFUEGOS_FABRICADOS'!$B:$B,$B107)</f>
        <v/>
      </c>
      <c r="K107" s="21">
        <f>SUMIFS('MP_MATAFUEGOS_FABRICADOS'!K:K,'MP_MATAFUEGOS_FABRICADOS'!$A:$A,$A107,'MP_MATAFUEGOS_FABRICADOS'!$B:$B,$B107)</f>
        <v/>
      </c>
      <c r="L107" s="21">
        <f>SUMIFS('MP_MATAFUEGOS_FABRICADOS'!L:L,'MP_MATAFUEGOS_FABRICADOS'!$A:$A,$A107,'MP_MATAFUEGOS_FABRICADOS'!$B:$B,$B107)</f>
        <v/>
      </c>
      <c r="M107" s="21">
        <f>SUMIFS('MP_MATAFUEGOS_FABRICADOS'!M:M,'MP_MATAFUEGOS_FABRICADOS'!$A:$A,$A107,'MP_MATAFUEGOS_FABRICADOS'!$B:$B,$B107)</f>
        <v/>
      </c>
      <c r="N107" s="21">
        <f>SUMIFS('MP_MATAFUEGOS_FABRICADOS'!N:N,'MP_MATAFUEGOS_FABRICADOS'!$A:$A,$A107,'MP_MATAFUEGOS_FABRICADOS'!$B:$B,$B107)</f>
        <v/>
      </c>
      <c r="O107" s="21">
        <f>SUMIFS('MP_MATAFUEGOS_FABRICADOS'!O:O,'MP_MATAFUEGOS_FABRICADOS'!$A:$A,$A107,'MP_MATAFUEGOS_FABRICADOS'!$B:$B,$B107)</f>
        <v/>
      </c>
    </row>
    <row r="108">
      <c r="A108" s="2" t="inlineStr">
        <is>
          <t>Cinta de embalaje PP 48 mm (cierre de la caja)</t>
        </is>
      </c>
      <c r="B108" s="2" t="inlineStr">
        <is>
          <t>m</t>
        </is>
      </c>
      <c r="C108" s="2" t="inlineStr">
        <is>
          <t>Embalaje</t>
        </is>
      </c>
      <c r="D108" s="2" t="inlineStr">
        <is>
          <t>MV Embalajes</t>
        </is>
      </c>
      <c r="E108" s="2" t="inlineStr">
        <is>
          <t>MP_MATAFUEGOS_FABRICADOS, MP_CILINDROS</t>
        </is>
      </c>
      <c r="F108" s="21">
        <f>SUMIFS('MP_MATAFUEGOS_FABRICADOS'!F:F,'MP_MATAFUEGOS_FABRICADOS'!$A:$A,$A108,'MP_MATAFUEGOS_FABRICADOS'!$B:$B,$B108)+SUMIFS('MP_CILINDROS'!F:F,'MP_CILINDROS'!$A:$A,$A108,'MP_CILINDROS'!$B:$B,$B108)</f>
        <v/>
      </c>
      <c r="G108" s="21">
        <f>SUMIFS('MP_MATAFUEGOS_FABRICADOS'!G:G,'MP_MATAFUEGOS_FABRICADOS'!$A:$A,$A108,'MP_MATAFUEGOS_FABRICADOS'!$B:$B,$B108)+SUMIFS('MP_CILINDROS'!G:G,'MP_CILINDROS'!$A:$A,$A108,'MP_CILINDROS'!$B:$B,$B108)</f>
        <v/>
      </c>
      <c r="H108" s="21">
        <f>SUMIFS('MP_MATAFUEGOS_FABRICADOS'!H:H,'MP_MATAFUEGOS_FABRICADOS'!$A:$A,$A108,'MP_MATAFUEGOS_FABRICADOS'!$B:$B,$B108)+SUMIFS('MP_CILINDROS'!H:H,'MP_CILINDROS'!$A:$A,$A108,'MP_CILINDROS'!$B:$B,$B108)</f>
        <v/>
      </c>
      <c r="I108" s="21">
        <f>SUMIFS('MP_MATAFUEGOS_FABRICADOS'!I:I,'MP_MATAFUEGOS_FABRICADOS'!$A:$A,$A108,'MP_MATAFUEGOS_FABRICADOS'!$B:$B,$B108)+SUMIFS('MP_CILINDROS'!I:I,'MP_CILINDROS'!$A:$A,$A108,'MP_CILINDROS'!$B:$B,$B108)</f>
        <v/>
      </c>
      <c r="J108" s="21">
        <f>SUMIFS('MP_MATAFUEGOS_FABRICADOS'!J:J,'MP_MATAFUEGOS_FABRICADOS'!$A:$A,$A108,'MP_MATAFUEGOS_FABRICADOS'!$B:$B,$B108)+SUMIFS('MP_CILINDROS'!J:J,'MP_CILINDROS'!$A:$A,$A108,'MP_CILINDROS'!$B:$B,$B108)</f>
        <v/>
      </c>
      <c r="K108" s="21">
        <f>SUMIFS('MP_MATAFUEGOS_FABRICADOS'!K:K,'MP_MATAFUEGOS_FABRICADOS'!$A:$A,$A108,'MP_MATAFUEGOS_FABRICADOS'!$B:$B,$B108)+SUMIFS('MP_CILINDROS'!K:K,'MP_CILINDROS'!$A:$A,$A108,'MP_CILINDROS'!$B:$B,$B108)</f>
        <v/>
      </c>
      <c r="L108" s="21">
        <f>SUMIFS('MP_MATAFUEGOS_FABRICADOS'!L:L,'MP_MATAFUEGOS_FABRICADOS'!$A:$A,$A108,'MP_MATAFUEGOS_FABRICADOS'!$B:$B,$B108)+SUMIFS('MP_CILINDROS'!L:L,'MP_CILINDROS'!$A:$A,$A108,'MP_CILINDROS'!$B:$B,$B108)</f>
        <v/>
      </c>
      <c r="M108" s="21">
        <f>SUMIFS('MP_MATAFUEGOS_FABRICADOS'!M:M,'MP_MATAFUEGOS_FABRICADOS'!$A:$A,$A108,'MP_MATAFUEGOS_FABRICADOS'!$B:$B,$B108)+SUMIFS('MP_CILINDROS'!M:M,'MP_CILINDROS'!$A:$A,$A108,'MP_CILINDROS'!$B:$B,$B108)</f>
        <v/>
      </c>
      <c r="N108" s="21">
        <f>SUMIFS('MP_MATAFUEGOS_FABRICADOS'!N:N,'MP_MATAFUEGOS_FABRICADOS'!$A:$A,$A108,'MP_MATAFUEGOS_FABRICADOS'!$B:$B,$B108)+SUMIFS('MP_CILINDROS'!N:N,'MP_CILINDROS'!$A:$A,$A108,'MP_CILINDROS'!$B:$B,$B108)</f>
        <v/>
      </c>
      <c r="O108" s="21">
        <f>SUMIFS('MP_MATAFUEGOS_FABRICADOS'!O:O,'MP_MATAFUEGOS_FABRICADOS'!$A:$A,$A108,'MP_MATAFUEGOS_FABRICADOS'!$B:$B,$B108)+SUMIFS('MP_CILINDROS'!O:O,'MP_CILINDROS'!$A:$A,$A108,'MP_CILINDROS'!$B:$B,$B108)</f>
        <v/>
      </c>
    </row>
    <row r="109">
      <c r="A109" s="2" t="inlineStr">
        <is>
          <t>Esquineros de cartón 50 × 50 × 1200 (fracción del pallet)</t>
        </is>
      </c>
      <c r="B109" s="2" t="inlineStr">
        <is>
          <t>u</t>
        </is>
      </c>
      <c r="C109" s="2" t="inlineStr">
        <is>
          <t>Embalaje</t>
        </is>
      </c>
      <c r="D109" s="2" t="inlineStr">
        <is>
          <t>Maxipack</t>
        </is>
      </c>
      <c r="E109" s="2" t="inlineStr">
        <is>
          <t>MP_MATAFUEGOS_FABRICADOS, MP_CILINDROS</t>
        </is>
      </c>
      <c r="F109" s="21">
        <f>SUMIFS('MP_MATAFUEGOS_FABRICADOS'!F:F,'MP_MATAFUEGOS_FABRICADOS'!$A:$A,$A109,'MP_MATAFUEGOS_FABRICADOS'!$B:$B,$B109)+SUMIFS('MP_CILINDROS'!F:F,'MP_CILINDROS'!$A:$A,$A109,'MP_CILINDROS'!$B:$B,$B109)</f>
        <v/>
      </c>
      <c r="G109" s="21">
        <f>SUMIFS('MP_MATAFUEGOS_FABRICADOS'!G:G,'MP_MATAFUEGOS_FABRICADOS'!$A:$A,$A109,'MP_MATAFUEGOS_FABRICADOS'!$B:$B,$B109)+SUMIFS('MP_CILINDROS'!G:G,'MP_CILINDROS'!$A:$A,$A109,'MP_CILINDROS'!$B:$B,$B109)</f>
        <v/>
      </c>
      <c r="H109" s="21">
        <f>SUMIFS('MP_MATAFUEGOS_FABRICADOS'!H:H,'MP_MATAFUEGOS_FABRICADOS'!$A:$A,$A109,'MP_MATAFUEGOS_FABRICADOS'!$B:$B,$B109)+SUMIFS('MP_CILINDROS'!H:H,'MP_CILINDROS'!$A:$A,$A109,'MP_CILINDROS'!$B:$B,$B109)</f>
        <v/>
      </c>
      <c r="I109" s="21">
        <f>SUMIFS('MP_MATAFUEGOS_FABRICADOS'!I:I,'MP_MATAFUEGOS_FABRICADOS'!$A:$A,$A109,'MP_MATAFUEGOS_FABRICADOS'!$B:$B,$B109)+SUMIFS('MP_CILINDROS'!I:I,'MP_CILINDROS'!$A:$A,$A109,'MP_CILINDROS'!$B:$B,$B109)</f>
        <v/>
      </c>
      <c r="J109" s="21">
        <f>SUMIFS('MP_MATAFUEGOS_FABRICADOS'!J:J,'MP_MATAFUEGOS_FABRICADOS'!$A:$A,$A109,'MP_MATAFUEGOS_FABRICADOS'!$B:$B,$B109)+SUMIFS('MP_CILINDROS'!J:J,'MP_CILINDROS'!$A:$A,$A109,'MP_CILINDROS'!$B:$B,$B109)</f>
        <v/>
      </c>
      <c r="K109" s="21">
        <f>SUMIFS('MP_MATAFUEGOS_FABRICADOS'!K:K,'MP_MATAFUEGOS_FABRICADOS'!$A:$A,$A109,'MP_MATAFUEGOS_FABRICADOS'!$B:$B,$B109)+SUMIFS('MP_CILINDROS'!K:K,'MP_CILINDROS'!$A:$A,$A109,'MP_CILINDROS'!$B:$B,$B109)</f>
        <v/>
      </c>
      <c r="L109" s="21">
        <f>SUMIFS('MP_MATAFUEGOS_FABRICADOS'!L:L,'MP_MATAFUEGOS_FABRICADOS'!$A:$A,$A109,'MP_MATAFUEGOS_FABRICADOS'!$B:$B,$B109)+SUMIFS('MP_CILINDROS'!L:L,'MP_CILINDROS'!$A:$A,$A109,'MP_CILINDROS'!$B:$B,$B109)</f>
        <v/>
      </c>
      <c r="M109" s="21">
        <f>SUMIFS('MP_MATAFUEGOS_FABRICADOS'!M:M,'MP_MATAFUEGOS_FABRICADOS'!$A:$A,$A109,'MP_MATAFUEGOS_FABRICADOS'!$B:$B,$B109)+SUMIFS('MP_CILINDROS'!M:M,'MP_CILINDROS'!$A:$A,$A109,'MP_CILINDROS'!$B:$B,$B109)</f>
        <v/>
      </c>
      <c r="N109" s="21">
        <f>SUMIFS('MP_MATAFUEGOS_FABRICADOS'!N:N,'MP_MATAFUEGOS_FABRICADOS'!$A:$A,$A109,'MP_MATAFUEGOS_FABRICADOS'!$B:$B,$B109)+SUMIFS('MP_CILINDROS'!N:N,'MP_CILINDROS'!$A:$A,$A109,'MP_CILINDROS'!$B:$B,$B109)</f>
        <v/>
      </c>
      <c r="O109" s="21">
        <f>SUMIFS('MP_MATAFUEGOS_FABRICADOS'!O:O,'MP_MATAFUEGOS_FABRICADOS'!$A:$A,$A109,'MP_MATAFUEGOS_FABRICADOS'!$B:$B,$B109)+SUMIFS('MP_CILINDROS'!O:O,'MP_CILINDROS'!$A:$A,$A109,'MP_CILINDROS'!$B:$B,$B109)</f>
        <v/>
      </c>
    </row>
    <row r="110">
      <c r="A110" s="2" t="inlineStr">
        <is>
          <t>Esquineros y funda de polietileno — a medida de la envolvente del plano</t>
        </is>
      </c>
      <c r="B110" s="2" t="inlineStr">
        <is>
          <t>jgo</t>
        </is>
      </c>
      <c r="C110" s="2" t="inlineStr">
        <is>
          <t>Embalaje</t>
        </is>
      </c>
      <c r="D110" s="2" t="inlineStr">
        <is>
          <t>MV Embalajes</t>
        </is>
      </c>
      <c r="E110" s="2" t="inlineStr">
        <is>
          <t>MP_MATAFUEGOS_FABRICADOS, MP_CILINDROS</t>
        </is>
      </c>
      <c r="F110" s="21">
        <f>SUMIFS('MP_MATAFUEGOS_FABRICADOS'!F:F,'MP_MATAFUEGOS_FABRICADOS'!$A:$A,$A110,'MP_MATAFUEGOS_FABRICADOS'!$B:$B,$B110)+SUMIFS('MP_CILINDROS'!F:F,'MP_CILINDROS'!$A:$A,$A110,'MP_CILINDROS'!$B:$B,$B110)</f>
        <v/>
      </c>
      <c r="G110" s="21">
        <f>SUMIFS('MP_MATAFUEGOS_FABRICADOS'!G:G,'MP_MATAFUEGOS_FABRICADOS'!$A:$A,$A110,'MP_MATAFUEGOS_FABRICADOS'!$B:$B,$B110)+SUMIFS('MP_CILINDROS'!G:G,'MP_CILINDROS'!$A:$A,$A110,'MP_CILINDROS'!$B:$B,$B110)</f>
        <v/>
      </c>
      <c r="H110" s="21">
        <f>SUMIFS('MP_MATAFUEGOS_FABRICADOS'!H:H,'MP_MATAFUEGOS_FABRICADOS'!$A:$A,$A110,'MP_MATAFUEGOS_FABRICADOS'!$B:$B,$B110)+SUMIFS('MP_CILINDROS'!H:H,'MP_CILINDROS'!$A:$A,$A110,'MP_CILINDROS'!$B:$B,$B110)</f>
        <v/>
      </c>
      <c r="I110" s="21">
        <f>SUMIFS('MP_MATAFUEGOS_FABRICADOS'!I:I,'MP_MATAFUEGOS_FABRICADOS'!$A:$A,$A110,'MP_MATAFUEGOS_FABRICADOS'!$B:$B,$B110)+SUMIFS('MP_CILINDROS'!I:I,'MP_CILINDROS'!$A:$A,$A110,'MP_CILINDROS'!$B:$B,$B110)</f>
        <v/>
      </c>
      <c r="J110" s="21">
        <f>SUMIFS('MP_MATAFUEGOS_FABRICADOS'!J:J,'MP_MATAFUEGOS_FABRICADOS'!$A:$A,$A110,'MP_MATAFUEGOS_FABRICADOS'!$B:$B,$B110)+SUMIFS('MP_CILINDROS'!J:J,'MP_CILINDROS'!$A:$A,$A110,'MP_CILINDROS'!$B:$B,$B110)</f>
        <v/>
      </c>
      <c r="K110" s="21">
        <f>SUMIFS('MP_MATAFUEGOS_FABRICADOS'!K:K,'MP_MATAFUEGOS_FABRICADOS'!$A:$A,$A110,'MP_MATAFUEGOS_FABRICADOS'!$B:$B,$B110)+SUMIFS('MP_CILINDROS'!K:K,'MP_CILINDROS'!$A:$A,$A110,'MP_CILINDROS'!$B:$B,$B110)</f>
        <v/>
      </c>
      <c r="L110" s="21">
        <f>SUMIFS('MP_MATAFUEGOS_FABRICADOS'!L:L,'MP_MATAFUEGOS_FABRICADOS'!$A:$A,$A110,'MP_MATAFUEGOS_FABRICADOS'!$B:$B,$B110)+SUMIFS('MP_CILINDROS'!L:L,'MP_CILINDROS'!$A:$A,$A110,'MP_CILINDROS'!$B:$B,$B110)</f>
        <v/>
      </c>
      <c r="M110" s="21">
        <f>SUMIFS('MP_MATAFUEGOS_FABRICADOS'!M:M,'MP_MATAFUEGOS_FABRICADOS'!$A:$A,$A110,'MP_MATAFUEGOS_FABRICADOS'!$B:$B,$B110)+SUMIFS('MP_CILINDROS'!M:M,'MP_CILINDROS'!$A:$A,$A110,'MP_CILINDROS'!$B:$B,$B110)</f>
        <v/>
      </c>
      <c r="N110" s="21">
        <f>SUMIFS('MP_MATAFUEGOS_FABRICADOS'!N:N,'MP_MATAFUEGOS_FABRICADOS'!$A:$A,$A110,'MP_MATAFUEGOS_FABRICADOS'!$B:$B,$B110)+SUMIFS('MP_CILINDROS'!N:N,'MP_CILINDROS'!$A:$A,$A110,'MP_CILINDROS'!$B:$B,$B110)</f>
        <v/>
      </c>
      <c r="O110" s="21">
        <f>SUMIFS('MP_MATAFUEGOS_FABRICADOS'!O:O,'MP_MATAFUEGOS_FABRICADOS'!$A:$A,$A110,'MP_MATAFUEGOS_FABRICADOS'!$B:$B,$B110)+SUMIFS('MP_CILINDROS'!O:O,'MP_CILINDROS'!$A:$A,$A110,'MP_CILINDROS'!$B:$B,$B110)</f>
        <v/>
      </c>
    </row>
    <row r="111">
      <c r="A111" s="2" t="inlineStr">
        <is>
          <t>Etiqueta de pallet (lote y destino, fracción)</t>
        </is>
      </c>
      <c r="B111" s="2" t="inlineStr">
        <is>
          <t>u</t>
        </is>
      </c>
      <c r="C111" s="2" t="inlineStr">
        <is>
          <t>Embalaje</t>
        </is>
      </c>
      <c r="D111" s="2" t="inlineStr">
        <is>
          <t>Astuprint</t>
        </is>
      </c>
      <c r="E111" s="2" t="inlineStr">
        <is>
          <t>MP_MATAFUEGOS_FABRICADOS, MP_CILINDROS</t>
        </is>
      </c>
      <c r="F111" s="21">
        <f>SUMIFS('MP_MATAFUEGOS_FABRICADOS'!F:F,'MP_MATAFUEGOS_FABRICADOS'!$A:$A,$A111,'MP_MATAFUEGOS_FABRICADOS'!$B:$B,$B111)+SUMIFS('MP_CILINDROS'!F:F,'MP_CILINDROS'!$A:$A,$A111,'MP_CILINDROS'!$B:$B,$B111)</f>
        <v/>
      </c>
      <c r="G111" s="21">
        <f>SUMIFS('MP_MATAFUEGOS_FABRICADOS'!G:G,'MP_MATAFUEGOS_FABRICADOS'!$A:$A,$A111,'MP_MATAFUEGOS_FABRICADOS'!$B:$B,$B111)+SUMIFS('MP_CILINDROS'!G:G,'MP_CILINDROS'!$A:$A,$A111,'MP_CILINDROS'!$B:$B,$B111)</f>
        <v/>
      </c>
      <c r="H111" s="21">
        <f>SUMIFS('MP_MATAFUEGOS_FABRICADOS'!H:H,'MP_MATAFUEGOS_FABRICADOS'!$A:$A,$A111,'MP_MATAFUEGOS_FABRICADOS'!$B:$B,$B111)+SUMIFS('MP_CILINDROS'!H:H,'MP_CILINDROS'!$A:$A,$A111,'MP_CILINDROS'!$B:$B,$B111)</f>
        <v/>
      </c>
      <c r="I111" s="21">
        <f>SUMIFS('MP_MATAFUEGOS_FABRICADOS'!I:I,'MP_MATAFUEGOS_FABRICADOS'!$A:$A,$A111,'MP_MATAFUEGOS_FABRICADOS'!$B:$B,$B111)+SUMIFS('MP_CILINDROS'!I:I,'MP_CILINDROS'!$A:$A,$A111,'MP_CILINDROS'!$B:$B,$B111)</f>
        <v/>
      </c>
      <c r="J111" s="21">
        <f>SUMIFS('MP_MATAFUEGOS_FABRICADOS'!J:J,'MP_MATAFUEGOS_FABRICADOS'!$A:$A,$A111,'MP_MATAFUEGOS_FABRICADOS'!$B:$B,$B111)+SUMIFS('MP_CILINDROS'!J:J,'MP_CILINDROS'!$A:$A,$A111,'MP_CILINDROS'!$B:$B,$B111)</f>
        <v/>
      </c>
      <c r="K111" s="21">
        <f>SUMIFS('MP_MATAFUEGOS_FABRICADOS'!K:K,'MP_MATAFUEGOS_FABRICADOS'!$A:$A,$A111,'MP_MATAFUEGOS_FABRICADOS'!$B:$B,$B111)+SUMIFS('MP_CILINDROS'!K:K,'MP_CILINDROS'!$A:$A,$A111,'MP_CILINDROS'!$B:$B,$B111)</f>
        <v/>
      </c>
      <c r="L111" s="21">
        <f>SUMIFS('MP_MATAFUEGOS_FABRICADOS'!L:L,'MP_MATAFUEGOS_FABRICADOS'!$A:$A,$A111,'MP_MATAFUEGOS_FABRICADOS'!$B:$B,$B111)+SUMIFS('MP_CILINDROS'!L:L,'MP_CILINDROS'!$A:$A,$A111,'MP_CILINDROS'!$B:$B,$B111)</f>
        <v/>
      </c>
      <c r="M111" s="21">
        <f>SUMIFS('MP_MATAFUEGOS_FABRICADOS'!M:M,'MP_MATAFUEGOS_FABRICADOS'!$A:$A,$A111,'MP_MATAFUEGOS_FABRICADOS'!$B:$B,$B111)+SUMIFS('MP_CILINDROS'!M:M,'MP_CILINDROS'!$A:$A,$A111,'MP_CILINDROS'!$B:$B,$B111)</f>
        <v/>
      </c>
      <c r="N111" s="21">
        <f>SUMIFS('MP_MATAFUEGOS_FABRICADOS'!N:N,'MP_MATAFUEGOS_FABRICADOS'!$A:$A,$A111,'MP_MATAFUEGOS_FABRICADOS'!$B:$B,$B111)+SUMIFS('MP_CILINDROS'!N:N,'MP_CILINDROS'!$A:$A,$A111,'MP_CILINDROS'!$B:$B,$B111)</f>
        <v/>
      </c>
      <c r="O111" s="21">
        <f>SUMIFS('MP_MATAFUEGOS_FABRICADOS'!O:O,'MP_MATAFUEGOS_FABRICADOS'!$A:$A,$A111,'MP_MATAFUEGOS_FABRICADOS'!$B:$B,$B111)+SUMIFS('MP_CILINDROS'!O:O,'MP_CILINDROS'!$A:$A,$A111,'MP_CILINDROS'!$B:$B,$B111)</f>
        <v/>
      </c>
    </row>
    <row r="112">
      <c r="A112" s="2" t="inlineStr">
        <is>
          <t>Film stretch (fracción del pallet)</t>
        </is>
      </c>
      <c r="B112" s="2" t="inlineStr">
        <is>
          <t>kg</t>
        </is>
      </c>
      <c r="C112" s="2" t="inlineStr">
        <is>
          <t>Embalaje</t>
        </is>
      </c>
      <c r="D112" s="2" t="inlineStr">
        <is>
          <t>MV Embalajes</t>
        </is>
      </c>
      <c r="E112" s="2" t="inlineStr">
        <is>
          <t>MP_MATAFUEGOS_FABRICADOS, MP_CILINDROS</t>
        </is>
      </c>
      <c r="F112" s="21">
        <f>SUMIFS('MP_MATAFUEGOS_FABRICADOS'!F:F,'MP_MATAFUEGOS_FABRICADOS'!$A:$A,$A112,'MP_MATAFUEGOS_FABRICADOS'!$B:$B,$B112)+SUMIFS('MP_CILINDROS'!F:F,'MP_CILINDROS'!$A:$A,$A112,'MP_CILINDROS'!$B:$B,$B112)</f>
        <v/>
      </c>
      <c r="G112" s="21">
        <f>SUMIFS('MP_MATAFUEGOS_FABRICADOS'!G:G,'MP_MATAFUEGOS_FABRICADOS'!$A:$A,$A112,'MP_MATAFUEGOS_FABRICADOS'!$B:$B,$B112)+SUMIFS('MP_CILINDROS'!G:G,'MP_CILINDROS'!$A:$A,$A112,'MP_CILINDROS'!$B:$B,$B112)</f>
        <v/>
      </c>
      <c r="H112" s="21">
        <f>SUMIFS('MP_MATAFUEGOS_FABRICADOS'!H:H,'MP_MATAFUEGOS_FABRICADOS'!$A:$A,$A112,'MP_MATAFUEGOS_FABRICADOS'!$B:$B,$B112)+SUMIFS('MP_CILINDROS'!H:H,'MP_CILINDROS'!$A:$A,$A112,'MP_CILINDROS'!$B:$B,$B112)</f>
        <v/>
      </c>
      <c r="I112" s="21">
        <f>SUMIFS('MP_MATAFUEGOS_FABRICADOS'!I:I,'MP_MATAFUEGOS_FABRICADOS'!$A:$A,$A112,'MP_MATAFUEGOS_FABRICADOS'!$B:$B,$B112)+SUMIFS('MP_CILINDROS'!I:I,'MP_CILINDROS'!$A:$A,$A112,'MP_CILINDROS'!$B:$B,$B112)</f>
        <v/>
      </c>
      <c r="J112" s="21">
        <f>SUMIFS('MP_MATAFUEGOS_FABRICADOS'!J:J,'MP_MATAFUEGOS_FABRICADOS'!$A:$A,$A112,'MP_MATAFUEGOS_FABRICADOS'!$B:$B,$B112)+SUMIFS('MP_CILINDROS'!J:J,'MP_CILINDROS'!$A:$A,$A112,'MP_CILINDROS'!$B:$B,$B112)</f>
        <v/>
      </c>
      <c r="K112" s="21">
        <f>SUMIFS('MP_MATAFUEGOS_FABRICADOS'!K:K,'MP_MATAFUEGOS_FABRICADOS'!$A:$A,$A112,'MP_MATAFUEGOS_FABRICADOS'!$B:$B,$B112)+SUMIFS('MP_CILINDROS'!K:K,'MP_CILINDROS'!$A:$A,$A112,'MP_CILINDROS'!$B:$B,$B112)</f>
        <v/>
      </c>
      <c r="L112" s="21">
        <f>SUMIFS('MP_MATAFUEGOS_FABRICADOS'!L:L,'MP_MATAFUEGOS_FABRICADOS'!$A:$A,$A112,'MP_MATAFUEGOS_FABRICADOS'!$B:$B,$B112)+SUMIFS('MP_CILINDROS'!L:L,'MP_CILINDROS'!$A:$A,$A112,'MP_CILINDROS'!$B:$B,$B112)</f>
        <v/>
      </c>
      <c r="M112" s="21">
        <f>SUMIFS('MP_MATAFUEGOS_FABRICADOS'!M:M,'MP_MATAFUEGOS_FABRICADOS'!$A:$A,$A112,'MP_MATAFUEGOS_FABRICADOS'!$B:$B,$B112)+SUMIFS('MP_CILINDROS'!M:M,'MP_CILINDROS'!$A:$A,$A112,'MP_CILINDROS'!$B:$B,$B112)</f>
        <v/>
      </c>
      <c r="N112" s="21">
        <f>SUMIFS('MP_MATAFUEGOS_FABRICADOS'!N:N,'MP_MATAFUEGOS_FABRICADOS'!$A:$A,$A112,'MP_MATAFUEGOS_FABRICADOS'!$B:$B,$B112)+SUMIFS('MP_CILINDROS'!N:N,'MP_CILINDROS'!$A:$A,$A112,'MP_CILINDROS'!$B:$B,$B112)</f>
        <v/>
      </c>
      <c r="O112" s="21">
        <f>SUMIFS('MP_MATAFUEGOS_FABRICADOS'!O:O,'MP_MATAFUEGOS_FABRICADOS'!$A:$A,$A112,'MP_MATAFUEGOS_FABRICADOS'!$B:$B,$B112)+SUMIFS('MP_CILINDROS'!O:O,'MP_CILINDROS'!$A:$A,$A112,'MP_CILINDROS'!$B:$B,$B112)</f>
        <v/>
      </c>
    </row>
    <row r="113">
      <c r="A113" s="2" t="inlineStr">
        <is>
          <t>Instructivo de uso y mantenimiento</t>
        </is>
      </c>
      <c r="B113" s="2" t="inlineStr">
        <is>
          <t>u</t>
        </is>
      </c>
      <c r="C113" s="2" t="inlineStr">
        <is>
          <t>Embalaje</t>
        </is>
      </c>
      <c r="D113" s="2" t="inlineStr">
        <is>
          <t>Astuprint</t>
        </is>
      </c>
      <c r="E113" s="2" t="inlineStr">
        <is>
          <t>MP_MATAFUEGOS_FABRICADOS</t>
        </is>
      </c>
      <c r="F113" s="21">
        <f>SUMIFS('MP_MATAFUEGOS_FABRICADOS'!F:F,'MP_MATAFUEGOS_FABRICADOS'!$A:$A,$A113,'MP_MATAFUEGOS_FABRICADOS'!$B:$B,$B113)</f>
        <v/>
      </c>
      <c r="G113" s="21">
        <f>SUMIFS('MP_MATAFUEGOS_FABRICADOS'!G:G,'MP_MATAFUEGOS_FABRICADOS'!$A:$A,$A113,'MP_MATAFUEGOS_FABRICADOS'!$B:$B,$B113)</f>
        <v/>
      </c>
      <c r="H113" s="21">
        <f>SUMIFS('MP_MATAFUEGOS_FABRICADOS'!H:H,'MP_MATAFUEGOS_FABRICADOS'!$A:$A,$A113,'MP_MATAFUEGOS_FABRICADOS'!$B:$B,$B113)</f>
        <v/>
      </c>
      <c r="I113" s="21">
        <f>SUMIFS('MP_MATAFUEGOS_FABRICADOS'!I:I,'MP_MATAFUEGOS_FABRICADOS'!$A:$A,$A113,'MP_MATAFUEGOS_FABRICADOS'!$B:$B,$B113)</f>
        <v/>
      </c>
      <c r="J113" s="21">
        <f>SUMIFS('MP_MATAFUEGOS_FABRICADOS'!J:J,'MP_MATAFUEGOS_FABRICADOS'!$A:$A,$A113,'MP_MATAFUEGOS_FABRICADOS'!$B:$B,$B113)</f>
        <v/>
      </c>
      <c r="K113" s="21">
        <f>SUMIFS('MP_MATAFUEGOS_FABRICADOS'!K:K,'MP_MATAFUEGOS_FABRICADOS'!$A:$A,$A113,'MP_MATAFUEGOS_FABRICADOS'!$B:$B,$B113)</f>
        <v/>
      </c>
      <c r="L113" s="21">
        <f>SUMIFS('MP_MATAFUEGOS_FABRICADOS'!L:L,'MP_MATAFUEGOS_FABRICADOS'!$A:$A,$A113,'MP_MATAFUEGOS_FABRICADOS'!$B:$B,$B113)</f>
        <v/>
      </c>
      <c r="M113" s="21">
        <f>SUMIFS('MP_MATAFUEGOS_FABRICADOS'!M:M,'MP_MATAFUEGOS_FABRICADOS'!$A:$A,$A113,'MP_MATAFUEGOS_FABRICADOS'!$B:$B,$B113)</f>
        <v/>
      </c>
      <c r="N113" s="21">
        <f>SUMIFS('MP_MATAFUEGOS_FABRICADOS'!N:N,'MP_MATAFUEGOS_FABRICADOS'!$A:$A,$A113,'MP_MATAFUEGOS_FABRICADOS'!$B:$B,$B113)</f>
        <v/>
      </c>
      <c r="O113" s="21">
        <f>SUMIFS('MP_MATAFUEGOS_FABRICADOS'!O:O,'MP_MATAFUEGOS_FABRICADOS'!$A:$A,$A113,'MP_MATAFUEGOS_FABRICADOS'!$B:$B,$B113)</f>
        <v/>
      </c>
    </row>
    <row r="114">
      <c r="A114" s="2" t="inlineStr">
        <is>
          <t>Pallet 1200 × 1000 (fracción)</t>
        </is>
      </c>
      <c r="B114" s="2" t="inlineStr">
        <is>
          <t>u</t>
        </is>
      </c>
      <c r="C114" s="2" t="inlineStr">
        <is>
          <t>Embalaje</t>
        </is>
      </c>
      <c r="D114" s="2" t="inlineStr">
        <is>
          <t>IndusPallets</t>
        </is>
      </c>
      <c r="E114" s="2" t="inlineStr">
        <is>
          <t>MP_MATAFUEGOS_FABRICADOS, MP_CILINDROS</t>
        </is>
      </c>
      <c r="F114" s="21">
        <f>SUMIFS('MP_MATAFUEGOS_FABRICADOS'!F:F,'MP_MATAFUEGOS_FABRICADOS'!$A:$A,$A114,'MP_MATAFUEGOS_FABRICADOS'!$B:$B,$B114)+SUMIFS('MP_CILINDROS'!F:F,'MP_CILINDROS'!$A:$A,$A114,'MP_CILINDROS'!$B:$B,$B114)</f>
        <v/>
      </c>
      <c r="G114" s="21">
        <f>SUMIFS('MP_MATAFUEGOS_FABRICADOS'!G:G,'MP_MATAFUEGOS_FABRICADOS'!$A:$A,$A114,'MP_MATAFUEGOS_FABRICADOS'!$B:$B,$B114)+SUMIFS('MP_CILINDROS'!G:G,'MP_CILINDROS'!$A:$A,$A114,'MP_CILINDROS'!$B:$B,$B114)</f>
        <v/>
      </c>
      <c r="H114" s="21">
        <f>SUMIFS('MP_MATAFUEGOS_FABRICADOS'!H:H,'MP_MATAFUEGOS_FABRICADOS'!$A:$A,$A114,'MP_MATAFUEGOS_FABRICADOS'!$B:$B,$B114)+SUMIFS('MP_CILINDROS'!H:H,'MP_CILINDROS'!$A:$A,$A114,'MP_CILINDROS'!$B:$B,$B114)</f>
        <v/>
      </c>
      <c r="I114" s="21">
        <f>SUMIFS('MP_MATAFUEGOS_FABRICADOS'!I:I,'MP_MATAFUEGOS_FABRICADOS'!$A:$A,$A114,'MP_MATAFUEGOS_FABRICADOS'!$B:$B,$B114)+SUMIFS('MP_CILINDROS'!I:I,'MP_CILINDROS'!$A:$A,$A114,'MP_CILINDROS'!$B:$B,$B114)</f>
        <v/>
      </c>
      <c r="J114" s="21">
        <f>SUMIFS('MP_MATAFUEGOS_FABRICADOS'!J:J,'MP_MATAFUEGOS_FABRICADOS'!$A:$A,$A114,'MP_MATAFUEGOS_FABRICADOS'!$B:$B,$B114)+SUMIFS('MP_CILINDROS'!J:J,'MP_CILINDROS'!$A:$A,$A114,'MP_CILINDROS'!$B:$B,$B114)</f>
        <v/>
      </c>
      <c r="K114" s="21">
        <f>SUMIFS('MP_MATAFUEGOS_FABRICADOS'!K:K,'MP_MATAFUEGOS_FABRICADOS'!$A:$A,$A114,'MP_MATAFUEGOS_FABRICADOS'!$B:$B,$B114)+SUMIFS('MP_CILINDROS'!K:K,'MP_CILINDROS'!$A:$A,$A114,'MP_CILINDROS'!$B:$B,$B114)</f>
        <v/>
      </c>
      <c r="L114" s="21">
        <f>SUMIFS('MP_MATAFUEGOS_FABRICADOS'!L:L,'MP_MATAFUEGOS_FABRICADOS'!$A:$A,$A114,'MP_MATAFUEGOS_FABRICADOS'!$B:$B,$B114)+SUMIFS('MP_CILINDROS'!L:L,'MP_CILINDROS'!$A:$A,$A114,'MP_CILINDROS'!$B:$B,$B114)</f>
        <v/>
      </c>
      <c r="M114" s="21">
        <f>SUMIFS('MP_MATAFUEGOS_FABRICADOS'!M:M,'MP_MATAFUEGOS_FABRICADOS'!$A:$A,$A114,'MP_MATAFUEGOS_FABRICADOS'!$B:$B,$B114)+SUMIFS('MP_CILINDROS'!M:M,'MP_CILINDROS'!$A:$A,$A114,'MP_CILINDROS'!$B:$B,$B114)</f>
        <v/>
      </c>
      <c r="N114" s="21">
        <f>SUMIFS('MP_MATAFUEGOS_FABRICADOS'!N:N,'MP_MATAFUEGOS_FABRICADOS'!$A:$A,$A114,'MP_MATAFUEGOS_FABRICADOS'!$B:$B,$B114)+SUMIFS('MP_CILINDROS'!N:N,'MP_CILINDROS'!$A:$A,$A114,'MP_CILINDROS'!$B:$B,$B114)</f>
        <v/>
      </c>
      <c r="O114" s="21">
        <f>SUMIFS('MP_MATAFUEGOS_FABRICADOS'!O:O,'MP_MATAFUEGOS_FABRICADOS'!$A:$A,$A114,'MP_MATAFUEGOS_FABRICADOS'!$B:$B,$B114)+SUMIFS('MP_CILINDROS'!O:O,'MP_CILINDROS'!$A:$A,$A114,'MP_CILINDROS'!$B:$B,$B114)</f>
        <v/>
      </c>
    </row>
    <row r="115">
      <c r="A115" s="2" t="inlineStr">
        <is>
          <t>Separador de capa de cartón 1200 × 1000 (fracción del pallet)</t>
        </is>
      </c>
      <c r="B115" s="2" t="inlineStr">
        <is>
          <t>u</t>
        </is>
      </c>
      <c r="C115" s="2" t="inlineStr">
        <is>
          <t>Embalaje</t>
        </is>
      </c>
      <c r="D115" s="2" t="inlineStr">
        <is>
          <t>Maxipack</t>
        </is>
      </c>
      <c r="E115" s="2" t="inlineStr">
        <is>
          <t>MP_CILINDROS</t>
        </is>
      </c>
      <c r="F115" s="21">
        <f>SUMIFS('MP_CILINDROS'!F:F,'MP_CILINDROS'!$A:$A,$A115,'MP_CILINDROS'!$B:$B,$B115)</f>
        <v/>
      </c>
      <c r="G115" s="21">
        <f>SUMIFS('MP_CILINDROS'!G:G,'MP_CILINDROS'!$A:$A,$A115,'MP_CILINDROS'!$B:$B,$B115)</f>
        <v/>
      </c>
      <c r="H115" s="21">
        <f>SUMIFS('MP_CILINDROS'!H:H,'MP_CILINDROS'!$A:$A,$A115,'MP_CILINDROS'!$B:$B,$B115)</f>
        <v/>
      </c>
      <c r="I115" s="21">
        <f>SUMIFS('MP_CILINDROS'!I:I,'MP_CILINDROS'!$A:$A,$A115,'MP_CILINDROS'!$B:$B,$B115)</f>
        <v/>
      </c>
      <c r="J115" s="21">
        <f>SUMIFS('MP_CILINDROS'!J:J,'MP_CILINDROS'!$A:$A,$A115,'MP_CILINDROS'!$B:$B,$B115)</f>
        <v/>
      </c>
      <c r="K115" s="21">
        <f>SUMIFS('MP_CILINDROS'!K:K,'MP_CILINDROS'!$A:$A,$A115,'MP_CILINDROS'!$B:$B,$B115)</f>
        <v/>
      </c>
      <c r="L115" s="21">
        <f>SUMIFS('MP_CILINDROS'!L:L,'MP_CILINDROS'!$A:$A,$A115,'MP_CILINDROS'!$B:$B,$B115)</f>
        <v/>
      </c>
      <c r="M115" s="21">
        <f>SUMIFS('MP_CILINDROS'!M:M,'MP_CILINDROS'!$A:$A,$A115,'MP_CILINDROS'!$B:$B,$B115)</f>
        <v/>
      </c>
      <c r="N115" s="21">
        <f>SUMIFS('MP_CILINDROS'!N:N,'MP_CILINDROS'!$A:$A,$A115,'MP_CILINDROS'!$B:$B,$B115)</f>
        <v/>
      </c>
      <c r="O115" s="21">
        <f>SUMIFS('MP_CILINDROS'!O:O,'MP_CILINDROS'!$A:$A,$A115,'MP_CILINDROS'!$B:$B,$B115)</f>
        <v/>
      </c>
    </row>
    <row r="116">
      <c r="A116" s="2" t="inlineStr">
        <is>
          <t>Tapón protector de rosca del cuello</t>
        </is>
      </c>
      <c r="B116" s="2" t="inlineStr">
        <is>
          <t>u</t>
        </is>
      </c>
      <c r="C116" s="2" t="inlineStr">
        <is>
          <t>Embalaje</t>
        </is>
      </c>
      <c r="D116" s="2" t="inlineStr">
        <is>
          <t>-</t>
        </is>
      </c>
      <c r="E116" s="2" t="inlineStr">
        <is>
          <t>MP_CILINDROS</t>
        </is>
      </c>
      <c r="F116" s="21">
        <f>SUMIFS('MP_CILINDROS'!F:F,'MP_CILINDROS'!$A:$A,$A116,'MP_CILINDROS'!$B:$B,$B116)</f>
        <v/>
      </c>
      <c r="G116" s="21">
        <f>SUMIFS('MP_CILINDROS'!G:G,'MP_CILINDROS'!$A:$A,$A116,'MP_CILINDROS'!$B:$B,$B116)</f>
        <v/>
      </c>
      <c r="H116" s="21">
        <f>SUMIFS('MP_CILINDROS'!H:H,'MP_CILINDROS'!$A:$A,$A116,'MP_CILINDROS'!$B:$B,$B116)</f>
        <v/>
      </c>
      <c r="I116" s="21">
        <f>SUMIFS('MP_CILINDROS'!I:I,'MP_CILINDROS'!$A:$A,$A116,'MP_CILINDROS'!$B:$B,$B116)</f>
        <v/>
      </c>
      <c r="J116" s="21">
        <f>SUMIFS('MP_CILINDROS'!J:J,'MP_CILINDROS'!$A:$A,$A116,'MP_CILINDROS'!$B:$B,$B116)</f>
        <v/>
      </c>
      <c r="K116" s="21">
        <f>SUMIFS('MP_CILINDROS'!K:K,'MP_CILINDROS'!$A:$A,$A116,'MP_CILINDROS'!$B:$B,$B116)</f>
        <v/>
      </c>
      <c r="L116" s="21">
        <f>SUMIFS('MP_CILINDROS'!L:L,'MP_CILINDROS'!$A:$A,$A116,'MP_CILINDROS'!$B:$B,$B116)</f>
        <v/>
      </c>
      <c r="M116" s="21">
        <f>SUMIFS('MP_CILINDROS'!M:M,'MP_CILINDROS'!$A:$A,$A116,'MP_CILINDROS'!$B:$B,$B116)</f>
        <v/>
      </c>
      <c r="N116" s="21">
        <f>SUMIFS('MP_CILINDROS'!N:N,'MP_CILINDROS'!$A:$A,$A116,'MP_CILINDROS'!$B:$B,$B116)</f>
        <v/>
      </c>
      <c r="O116" s="21">
        <f>SUMIFS('MP_CILINDROS'!O:O,'MP_CILINDROS'!$A:$A,$A116,'MP_CILINDROS'!$B:$B,$B116)</f>
        <v/>
      </c>
    </row>
    <row r="117">
      <c r="A117" s="2" t="inlineStr">
        <is>
          <t>Equipo terminado comprado (fabricante con Sello IRAM): FL_MAT_AFFF_10l</t>
        </is>
      </c>
      <c r="B117" s="2" t="inlineStr">
        <is>
          <t>u</t>
        </is>
      </c>
      <c r="C117" s="2" t="inlineStr">
        <is>
          <t>Equipo terminado comprado</t>
        </is>
      </c>
      <c r="D117" s="2" t="inlineStr">
        <is>
          <t>Matafuegos Georgia - venta mayorista</t>
        </is>
      </c>
      <c r="E117" s="2" t="inlineStr">
        <is>
          <t>MP_MATAFUEGOS_REVENDIDOS</t>
        </is>
      </c>
      <c r="F117" s="21">
        <f>SUMIFS('MP_MATAFUEGOS_REVENDIDOS'!F:F,'MP_MATAFUEGOS_REVENDIDOS'!$A:$A,$A117,'MP_MATAFUEGOS_REVENDIDOS'!$B:$B,$B117)</f>
        <v/>
      </c>
      <c r="G117" s="21">
        <f>SUMIFS('MP_MATAFUEGOS_REVENDIDOS'!G:G,'MP_MATAFUEGOS_REVENDIDOS'!$A:$A,$A117,'MP_MATAFUEGOS_REVENDIDOS'!$B:$B,$B117)</f>
        <v/>
      </c>
      <c r="H117" s="21">
        <f>SUMIFS('MP_MATAFUEGOS_REVENDIDOS'!H:H,'MP_MATAFUEGOS_REVENDIDOS'!$A:$A,$A117,'MP_MATAFUEGOS_REVENDIDOS'!$B:$B,$B117)</f>
        <v/>
      </c>
      <c r="I117" s="21">
        <f>SUMIFS('MP_MATAFUEGOS_REVENDIDOS'!I:I,'MP_MATAFUEGOS_REVENDIDOS'!$A:$A,$A117,'MP_MATAFUEGOS_REVENDIDOS'!$B:$B,$B117)</f>
        <v/>
      </c>
      <c r="J117" s="21">
        <f>SUMIFS('MP_MATAFUEGOS_REVENDIDOS'!J:J,'MP_MATAFUEGOS_REVENDIDOS'!$A:$A,$A117,'MP_MATAFUEGOS_REVENDIDOS'!$B:$B,$B117)</f>
        <v/>
      </c>
      <c r="K117" s="21">
        <f>SUMIFS('MP_MATAFUEGOS_REVENDIDOS'!K:K,'MP_MATAFUEGOS_REVENDIDOS'!$A:$A,$A117,'MP_MATAFUEGOS_REVENDIDOS'!$B:$B,$B117)</f>
        <v/>
      </c>
      <c r="L117" s="21">
        <f>SUMIFS('MP_MATAFUEGOS_REVENDIDOS'!L:L,'MP_MATAFUEGOS_REVENDIDOS'!$A:$A,$A117,'MP_MATAFUEGOS_REVENDIDOS'!$B:$B,$B117)</f>
        <v/>
      </c>
      <c r="M117" s="21">
        <f>SUMIFS('MP_MATAFUEGOS_REVENDIDOS'!M:M,'MP_MATAFUEGOS_REVENDIDOS'!$A:$A,$A117,'MP_MATAFUEGOS_REVENDIDOS'!$B:$B,$B117)</f>
        <v/>
      </c>
      <c r="N117" s="21">
        <f>SUMIFS('MP_MATAFUEGOS_REVENDIDOS'!N:N,'MP_MATAFUEGOS_REVENDIDOS'!$A:$A,$A117,'MP_MATAFUEGOS_REVENDIDOS'!$B:$B,$B117)</f>
        <v/>
      </c>
      <c r="O117" s="21">
        <f>SUMIFS('MP_MATAFUEGOS_REVENDIDOS'!O:O,'MP_MATAFUEGOS_REVENDIDOS'!$A:$A,$A117,'MP_MATAFUEGOS_REVENDIDOS'!$B:$B,$B117)</f>
        <v/>
      </c>
    </row>
    <row r="118">
      <c r="A118" s="2" t="inlineStr">
        <is>
          <t>Equipo terminado comprado (fabricante con Sello IRAM): FL_MAT_AFFF_50l</t>
        </is>
      </c>
      <c r="B118" s="2" t="inlineStr">
        <is>
          <t>u</t>
        </is>
      </c>
      <c r="C118" s="2" t="inlineStr">
        <is>
          <t>Equipo terminado comprado</t>
        </is>
      </c>
      <c r="D118" s="2" t="inlineStr">
        <is>
          <t>Matafuegos Georgia - venta mayorista</t>
        </is>
      </c>
      <c r="E118" s="2" t="inlineStr">
        <is>
          <t>MP_MATAFUEGOS_REVENDIDOS</t>
        </is>
      </c>
      <c r="F118" s="21">
        <f>SUMIFS('MP_MATAFUEGOS_REVENDIDOS'!F:F,'MP_MATAFUEGOS_REVENDIDOS'!$A:$A,$A118,'MP_MATAFUEGOS_REVENDIDOS'!$B:$B,$B118)</f>
        <v/>
      </c>
      <c r="G118" s="21">
        <f>SUMIFS('MP_MATAFUEGOS_REVENDIDOS'!G:G,'MP_MATAFUEGOS_REVENDIDOS'!$A:$A,$A118,'MP_MATAFUEGOS_REVENDIDOS'!$B:$B,$B118)</f>
        <v/>
      </c>
      <c r="H118" s="21">
        <f>SUMIFS('MP_MATAFUEGOS_REVENDIDOS'!H:H,'MP_MATAFUEGOS_REVENDIDOS'!$A:$A,$A118,'MP_MATAFUEGOS_REVENDIDOS'!$B:$B,$B118)</f>
        <v/>
      </c>
      <c r="I118" s="21">
        <f>SUMIFS('MP_MATAFUEGOS_REVENDIDOS'!I:I,'MP_MATAFUEGOS_REVENDIDOS'!$A:$A,$A118,'MP_MATAFUEGOS_REVENDIDOS'!$B:$B,$B118)</f>
        <v/>
      </c>
      <c r="J118" s="21">
        <f>SUMIFS('MP_MATAFUEGOS_REVENDIDOS'!J:J,'MP_MATAFUEGOS_REVENDIDOS'!$A:$A,$A118,'MP_MATAFUEGOS_REVENDIDOS'!$B:$B,$B118)</f>
        <v/>
      </c>
      <c r="K118" s="21">
        <f>SUMIFS('MP_MATAFUEGOS_REVENDIDOS'!K:K,'MP_MATAFUEGOS_REVENDIDOS'!$A:$A,$A118,'MP_MATAFUEGOS_REVENDIDOS'!$B:$B,$B118)</f>
        <v/>
      </c>
      <c r="L118" s="21">
        <f>SUMIFS('MP_MATAFUEGOS_REVENDIDOS'!L:L,'MP_MATAFUEGOS_REVENDIDOS'!$A:$A,$A118,'MP_MATAFUEGOS_REVENDIDOS'!$B:$B,$B118)</f>
        <v/>
      </c>
      <c r="M118" s="21">
        <f>SUMIFS('MP_MATAFUEGOS_REVENDIDOS'!M:M,'MP_MATAFUEGOS_REVENDIDOS'!$A:$A,$A118,'MP_MATAFUEGOS_REVENDIDOS'!$B:$B,$B118)</f>
        <v/>
      </c>
      <c r="N118" s="21">
        <f>SUMIFS('MP_MATAFUEGOS_REVENDIDOS'!N:N,'MP_MATAFUEGOS_REVENDIDOS'!$A:$A,$A118,'MP_MATAFUEGOS_REVENDIDOS'!$B:$B,$B118)</f>
        <v/>
      </c>
      <c r="O118" s="21">
        <f>SUMIFS('MP_MATAFUEGOS_REVENDIDOS'!O:O,'MP_MATAFUEGOS_REVENDIDOS'!$A:$A,$A118,'MP_MATAFUEGOS_REVENDIDOS'!$B:$B,$B118)</f>
        <v/>
      </c>
    </row>
    <row r="119">
      <c r="A119" s="2" t="inlineStr">
        <is>
          <t>Equipo terminado comprado (fabricante con Sello IRAM): FL_MAT_AGUA_10l</t>
        </is>
      </c>
      <c r="B119" s="2" t="inlineStr">
        <is>
          <t>u</t>
        </is>
      </c>
      <c r="C119" s="2" t="inlineStr">
        <is>
          <t>Equipo terminado comprado</t>
        </is>
      </c>
      <c r="D119" s="2" t="inlineStr">
        <is>
          <t>Matafuegos Georgia - venta mayorista</t>
        </is>
      </c>
      <c r="E119" s="2" t="inlineStr">
        <is>
          <t>MP_MATAFUEGOS_REVENDIDOS</t>
        </is>
      </c>
      <c r="F119" s="21">
        <f>SUMIFS('MP_MATAFUEGOS_REVENDIDOS'!F:F,'MP_MATAFUEGOS_REVENDIDOS'!$A:$A,$A119,'MP_MATAFUEGOS_REVENDIDOS'!$B:$B,$B119)</f>
        <v/>
      </c>
      <c r="G119" s="21">
        <f>SUMIFS('MP_MATAFUEGOS_REVENDIDOS'!G:G,'MP_MATAFUEGOS_REVENDIDOS'!$A:$A,$A119,'MP_MATAFUEGOS_REVENDIDOS'!$B:$B,$B119)</f>
        <v/>
      </c>
      <c r="H119" s="21">
        <f>SUMIFS('MP_MATAFUEGOS_REVENDIDOS'!H:H,'MP_MATAFUEGOS_REVENDIDOS'!$A:$A,$A119,'MP_MATAFUEGOS_REVENDIDOS'!$B:$B,$B119)</f>
        <v/>
      </c>
      <c r="I119" s="21">
        <f>SUMIFS('MP_MATAFUEGOS_REVENDIDOS'!I:I,'MP_MATAFUEGOS_REVENDIDOS'!$A:$A,$A119,'MP_MATAFUEGOS_REVENDIDOS'!$B:$B,$B119)</f>
        <v/>
      </c>
      <c r="J119" s="21">
        <f>SUMIFS('MP_MATAFUEGOS_REVENDIDOS'!J:J,'MP_MATAFUEGOS_REVENDIDOS'!$A:$A,$A119,'MP_MATAFUEGOS_REVENDIDOS'!$B:$B,$B119)</f>
        <v/>
      </c>
      <c r="K119" s="21">
        <f>SUMIFS('MP_MATAFUEGOS_REVENDIDOS'!K:K,'MP_MATAFUEGOS_REVENDIDOS'!$A:$A,$A119,'MP_MATAFUEGOS_REVENDIDOS'!$B:$B,$B119)</f>
        <v/>
      </c>
      <c r="L119" s="21">
        <f>SUMIFS('MP_MATAFUEGOS_REVENDIDOS'!L:L,'MP_MATAFUEGOS_REVENDIDOS'!$A:$A,$A119,'MP_MATAFUEGOS_REVENDIDOS'!$B:$B,$B119)</f>
        <v/>
      </c>
      <c r="M119" s="21">
        <f>SUMIFS('MP_MATAFUEGOS_REVENDIDOS'!M:M,'MP_MATAFUEGOS_REVENDIDOS'!$A:$A,$A119,'MP_MATAFUEGOS_REVENDIDOS'!$B:$B,$B119)</f>
        <v/>
      </c>
      <c r="N119" s="21">
        <f>SUMIFS('MP_MATAFUEGOS_REVENDIDOS'!N:N,'MP_MATAFUEGOS_REVENDIDOS'!$A:$A,$A119,'MP_MATAFUEGOS_REVENDIDOS'!$B:$B,$B119)</f>
        <v/>
      </c>
      <c r="O119" s="21">
        <f>SUMIFS('MP_MATAFUEGOS_REVENDIDOS'!O:O,'MP_MATAFUEGOS_REVENDIDOS'!$A:$A,$A119,'MP_MATAFUEGOS_REVENDIDOS'!$B:$B,$B119)</f>
        <v/>
      </c>
    </row>
    <row r="120">
      <c r="A120" s="2" t="inlineStr">
        <is>
          <t>Equipo terminado comprado (fabricante con Sello IRAM): FL_MAT_BC_5kg</t>
        </is>
      </c>
      <c r="B120" s="2" t="inlineStr">
        <is>
          <t>u</t>
        </is>
      </c>
      <c r="C120" s="2" t="inlineStr">
        <is>
          <t>Equipo terminado comprado</t>
        </is>
      </c>
      <c r="D120" s="2" t="inlineStr">
        <is>
          <t>Matafuegos Georgia - venta mayorista</t>
        </is>
      </c>
      <c r="E120" s="2" t="inlineStr">
        <is>
          <t>MP_MATAFUEGOS_REVENDIDOS</t>
        </is>
      </c>
      <c r="F120" s="21">
        <f>SUMIFS('MP_MATAFUEGOS_REVENDIDOS'!F:F,'MP_MATAFUEGOS_REVENDIDOS'!$A:$A,$A120,'MP_MATAFUEGOS_REVENDIDOS'!$B:$B,$B120)</f>
        <v/>
      </c>
      <c r="G120" s="21">
        <f>SUMIFS('MP_MATAFUEGOS_REVENDIDOS'!G:G,'MP_MATAFUEGOS_REVENDIDOS'!$A:$A,$A120,'MP_MATAFUEGOS_REVENDIDOS'!$B:$B,$B120)</f>
        <v/>
      </c>
      <c r="H120" s="21">
        <f>SUMIFS('MP_MATAFUEGOS_REVENDIDOS'!H:H,'MP_MATAFUEGOS_REVENDIDOS'!$A:$A,$A120,'MP_MATAFUEGOS_REVENDIDOS'!$B:$B,$B120)</f>
        <v/>
      </c>
      <c r="I120" s="21">
        <f>SUMIFS('MP_MATAFUEGOS_REVENDIDOS'!I:I,'MP_MATAFUEGOS_REVENDIDOS'!$A:$A,$A120,'MP_MATAFUEGOS_REVENDIDOS'!$B:$B,$B120)</f>
        <v/>
      </c>
      <c r="J120" s="21">
        <f>SUMIFS('MP_MATAFUEGOS_REVENDIDOS'!J:J,'MP_MATAFUEGOS_REVENDIDOS'!$A:$A,$A120,'MP_MATAFUEGOS_REVENDIDOS'!$B:$B,$B120)</f>
        <v/>
      </c>
      <c r="K120" s="21">
        <f>SUMIFS('MP_MATAFUEGOS_REVENDIDOS'!K:K,'MP_MATAFUEGOS_REVENDIDOS'!$A:$A,$A120,'MP_MATAFUEGOS_REVENDIDOS'!$B:$B,$B120)</f>
        <v/>
      </c>
      <c r="L120" s="21">
        <f>SUMIFS('MP_MATAFUEGOS_REVENDIDOS'!L:L,'MP_MATAFUEGOS_REVENDIDOS'!$A:$A,$A120,'MP_MATAFUEGOS_REVENDIDOS'!$B:$B,$B120)</f>
        <v/>
      </c>
      <c r="M120" s="21">
        <f>SUMIFS('MP_MATAFUEGOS_REVENDIDOS'!M:M,'MP_MATAFUEGOS_REVENDIDOS'!$A:$A,$A120,'MP_MATAFUEGOS_REVENDIDOS'!$B:$B,$B120)</f>
        <v/>
      </c>
      <c r="N120" s="21">
        <f>SUMIFS('MP_MATAFUEGOS_REVENDIDOS'!N:N,'MP_MATAFUEGOS_REVENDIDOS'!$A:$A,$A120,'MP_MATAFUEGOS_REVENDIDOS'!$B:$B,$B120)</f>
        <v/>
      </c>
      <c r="O120" s="21">
        <f>SUMIFS('MP_MATAFUEGOS_REVENDIDOS'!O:O,'MP_MATAFUEGOS_REVENDIDOS'!$A:$A,$A120,'MP_MATAFUEGOS_REVENDIDOS'!$B:$B,$B120)</f>
        <v/>
      </c>
    </row>
    <row r="121">
      <c r="A121" s="2" t="inlineStr">
        <is>
          <t>Equipo terminado comprado (fabricante con Sello IRAM): FL_MAT_CLASED_9l</t>
        </is>
      </c>
      <c r="B121" s="2" t="inlineStr">
        <is>
          <t>u</t>
        </is>
      </c>
      <c r="C121" s="2" t="inlineStr">
        <is>
          <t>Equipo terminado comprado</t>
        </is>
      </c>
      <c r="D121" s="2" t="inlineStr">
        <is>
          <t>Matafuegos Georgia - venta mayorista</t>
        </is>
      </c>
      <c r="E121" s="2" t="inlineStr">
        <is>
          <t>MP_MATAFUEGOS_REVENDIDOS</t>
        </is>
      </c>
      <c r="F121" s="21">
        <f>SUMIFS('MP_MATAFUEGOS_REVENDIDOS'!F:F,'MP_MATAFUEGOS_REVENDIDOS'!$A:$A,$A121,'MP_MATAFUEGOS_REVENDIDOS'!$B:$B,$B121)</f>
        <v/>
      </c>
      <c r="G121" s="21">
        <f>SUMIFS('MP_MATAFUEGOS_REVENDIDOS'!G:G,'MP_MATAFUEGOS_REVENDIDOS'!$A:$A,$A121,'MP_MATAFUEGOS_REVENDIDOS'!$B:$B,$B121)</f>
        <v/>
      </c>
      <c r="H121" s="21">
        <f>SUMIFS('MP_MATAFUEGOS_REVENDIDOS'!H:H,'MP_MATAFUEGOS_REVENDIDOS'!$A:$A,$A121,'MP_MATAFUEGOS_REVENDIDOS'!$B:$B,$B121)</f>
        <v/>
      </c>
      <c r="I121" s="21">
        <f>SUMIFS('MP_MATAFUEGOS_REVENDIDOS'!I:I,'MP_MATAFUEGOS_REVENDIDOS'!$A:$A,$A121,'MP_MATAFUEGOS_REVENDIDOS'!$B:$B,$B121)</f>
        <v/>
      </c>
      <c r="J121" s="21">
        <f>SUMIFS('MP_MATAFUEGOS_REVENDIDOS'!J:J,'MP_MATAFUEGOS_REVENDIDOS'!$A:$A,$A121,'MP_MATAFUEGOS_REVENDIDOS'!$B:$B,$B121)</f>
        <v/>
      </c>
      <c r="K121" s="21">
        <f>SUMIFS('MP_MATAFUEGOS_REVENDIDOS'!K:K,'MP_MATAFUEGOS_REVENDIDOS'!$A:$A,$A121,'MP_MATAFUEGOS_REVENDIDOS'!$B:$B,$B121)</f>
        <v/>
      </c>
      <c r="L121" s="21">
        <f>SUMIFS('MP_MATAFUEGOS_REVENDIDOS'!L:L,'MP_MATAFUEGOS_REVENDIDOS'!$A:$A,$A121,'MP_MATAFUEGOS_REVENDIDOS'!$B:$B,$B121)</f>
        <v/>
      </c>
      <c r="M121" s="21">
        <f>SUMIFS('MP_MATAFUEGOS_REVENDIDOS'!M:M,'MP_MATAFUEGOS_REVENDIDOS'!$A:$A,$A121,'MP_MATAFUEGOS_REVENDIDOS'!$B:$B,$B121)</f>
        <v/>
      </c>
      <c r="N121" s="21">
        <f>SUMIFS('MP_MATAFUEGOS_REVENDIDOS'!N:N,'MP_MATAFUEGOS_REVENDIDOS'!$A:$A,$A121,'MP_MATAFUEGOS_REVENDIDOS'!$B:$B,$B121)</f>
        <v/>
      </c>
      <c r="O121" s="21">
        <f>SUMIFS('MP_MATAFUEGOS_REVENDIDOS'!O:O,'MP_MATAFUEGOS_REVENDIDOS'!$A:$A,$A121,'MP_MATAFUEGOS_REVENDIDOS'!$B:$B,$B121)</f>
        <v/>
      </c>
    </row>
    <row r="122">
      <c r="A122" s="2" t="inlineStr">
        <is>
          <t>Equipo terminado comprado (fabricante con Sello IRAM): FL_MAT_CO2_2kg</t>
        </is>
      </c>
      <c r="B122" s="2" t="inlineStr">
        <is>
          <t>u</t>
        </is>
      </c>
      <c r="C122" s="2" t="inlineStr">
        <is>
          <t>Equipo terminado comprado</t>
        </is>
      </c>
      <c r="D122" s="2" t="inlineStr">
        <is>
          <t>Mozart S.R.L.</t>
        </is>
      </c>
      <c r="E122" s="2" t="inlineStr">
        <is>
          <t>MP_MATAFUEGOS_REVENDIDOS</t>
        </is>
      </c>
      <c r="F122" s="21">
        <f>SUMIFS('MP_MATAFUEGOS_REVENDIDOS'!F:F,'MP_MATAFUEGOS_REVENDIDOS'!$A:$A,$A122,'MP_MATAFUEGOS_REVENDIDOS'!$B:$B,$B122)</f>
        <v/>
      </c>
      <c r="G122" s="21">
        <f>SUMIFS('MP_MATAFUEGOS_REVENDIDOS'!G:G,'MP_MATAFUEGOS_REVENDIDOS'!$A:$A,$A122,'MP_MATAFUEGOS_REVENDIDOS'!$B:$B,$B122)</f>
        <v/>
      </c>
      <c r="H122" s="21">
        <f>SUMIFS('MP_MATAFUEGOS_REVENDIDOS'!H:H,'MP_MATAFUEGOS_REVENDIDOS'!$A:$A,$A122,'MP_MATAFUEGOS_REVENDIDOS'!$B:$B,$B122)</f>
        <v/>
      </c>
      <c r="I122" s="21">
        <f>SUMIFS('MP_MATAFUEGOS_REVENDIDOS'!I:I,'MP_MATAFUEGOS_REVENDIDOS'!$A:$A,$A122,'MP_MATAFUEGOS_REVENDIDOS'!$B:$B,$B122)</f>
        <v/>
      </c>
      <c r="J122" s="21">
        <f>SUMIFS('MP_MATAFUEGOS_REVENDIDOS'!J:J,'MP_MATAFUEGOS_REVENDIDOS'!$A:$A,$A122,'MP_MATAFUEGOS_REVENDIDOS'!$B:$B,$B122)</f>
        <v/>
      </c>
      <c r="K122" s="21">
        <f>SUMIFS('MP_MATAFUEGOS_REVENDIDOS'!K:K,'MP_MATAFUEGOS_REVENDIDOS'!$A:$A,$A122,'MP_MATAFUEGOS_REVENDIDOS'!$B:$B,$B122)</f>
        <v/>
      </c>
      <c r="L122" s="21">
        <f>SUMIFS('MP_MATAFUEGOS_REVENDIDOS'!L:L,'MP_MATAFUEGOS_REVENDIDOS'!$A:$A,$A122,'MP_MATAFUEGOS_REVENDIDOS'!$B:$B,$B122)</f>
        <v/>
      </c>
      <c r="M122" s="21">
        <f>SUMIFS('MP_MATAFUEGOS_REVENDIDOS'!M:M,'MP_MATAFUEGOS_REVENDIDOS'!$A:$A,$A122,'MP_MATAFUEGOS_REVENDIDOS'!$B:$B,$B122)</f>
        <v/>
      </c>
      <c r="N122" s="21">
        <f>SUMIFS('MP_MATAFUEGOS_REVENDIDOS'!N:N,'MP_MATAFUEGOS_REVENDIDOS'!$A:$A,$A122,'MP_MATAFUEGOS_REVENDIDOS'!$B:$B,$B122)</f>
        <v/>
      </c>
      <c r="O122" s="21">
        <f>SUMIFS('MP_MATAFUEGOS_REVENDIDOS'!O:O,'MP_MATAFUEGOS_REVENDIDOS'!$A:$A,$A122,'MP_MATAFUEGOS_REVENDIDOS'!$B:$B,$B122)</f>
        <v/>
      </c>
    </row>
    <row r="123">
      <c r="A123" s="2" t="inlineStr">
        <is>
          <t>Equipo terminado comprado (fabricante con Sello IRAM): FL_MAT_CO2_5kg</t>
        </is>
      </c>
      <c r="B123" s="2" t="inlineStr">
        <is>
          <t>u</t>
        </is>
      </c>
      <c r="C123" s="2" t="inlineStr">
        <is>
          <t>Equipo terminado comprado</t>
        </is>
      </c>
      <c r="D123" s="2" t="inlineStr">
        <is>
          <t>Mozart S.R.L.</t>
        </is>
      </c>
      <c r="E123" s="2" t="inlineStr">
        <is>
          <t>MP_MATAFUEGOS_REVENDIDOS</t>
        </is>
      </c>
      <c r="F123" s="21">
        <f>SUMIFS('MP_MATAFUEGOS_REVENDIDOS'!F:F,'MP_MATAFUEGOS_REVENDIDOS'!$A:$A,$A123,'MP_MATAFUEGOS_REVENDIDOS'!$B:$B,$B123)</f>
        <v/>
      </c>
      <c r="G123" s="21">
        <f>SUMIFS('MP_MATAFUEGOS_REVENDIDOS'!G:G,'MP_MATAFUEGOS_REVENDIDOS'!$A:$A,$A123,'MP_MATAFUEGOS_REVENDIDOS'!$B:$B,$B123)</f>
        <v/>
      </c>
      <c r="H123" s="21">
        <f>SUMIFS('MP_MATAFUEGOS_REVENDIDOS'!H:H,'MP_MATAFUEGOS_REVENDIDOS'!$A:$A,$A123,'MP_MATAFUEGOS_REVENDIDOS'!$B:$B,$B123)</f>
        <v/>
      </c>
      <c r="I123" s="21">
        <f>SUMIFS('MP_MATAFUEGOS_REVENDIDOS'!I:I,'MP_MATAFUEGOS_REVENDIDOS'!$A:$A,$A123,'MP_MATAFUEGOS_REVENDIDOS'!$B:$B,$B123)</f>
        <v/>
      </c>
      <c r="J123" s="21">
        <f>SUMIFS('MP_MATAFUEGOS_REVENDIDOS'!J:J,'MP_MATAFUEGOS_REVENDIDOS'!$A:$A,$A123,'MP_MATAFUEGOS_REVENDIDOS'!$B:$B,$B123)</f>
        <v/>
      </c>
      <c r="K123" s="21">
        <f>SUMIFS('MP_MATAFUEGOS_REVENDIDOS'!K:K,'MP_MATAFUEGOS_REVENDIDOS'!$A:$A,$A123,'MP_MATAFUEGOS_REVENDIDOS'!$B:$B,$B123)</f>
        <v/>
      </c>
      <c r="L123" s="21">
        <f>SUMIFS('MP_MATAFUEGOS_REVENDIDOS'!L:L,'MP_MATAFUEGOS_REVENDIDOS'!$A:$A,$A123,'MP_MATAFUEGOS_REVENDIDOS'!$B:$B,$B123)</f>
        <v/>
      </c>
      <c r="M123" s="21">
        <f>SUMIFS('MP_MATAFUEGOS_REVENDIDOS'!M:M,'MP_MATAFUEGOS_REVENDIDOS'!$A:$A,$A123,'MP_MATAFUEGOS_REVENDIDOS'!$B:$B,$B123)</f>
        <v/>
      </c>
      <c r="N123" s="21">
        <f>SUMIFS('MP_MATAFUEGOS_REVENDIDOS'!N:N,'MP_MATAFUEGOS_REVENDIDOS'!$A:$A,$A123,'MP_MATAFUEGOS_REVENDIDOS'!$B:$B,$B123)</f>
        <v/>
      </c>
      <c r="O123" s="21">
        <f>SUMIFS('MP_MATAFUEGOS_REVENDIDOS'!O:O,'MP_MATAFUEGOS_REVENDIDOS'!$A:$A,$A123,'MP_MATAFUEGOS_REVENDIDOS'!$B:$B,$B123)</f>
        <v/>
      </c>
    </row>
    <row r="124">
      <c r="A124" s="2" t="inlineStr">
        <is>
          <t>Equipo terminado comprado (fabricante con Sello IRAM): FL_MAT_HCFC-HFC_5kg</t>
        </is>
      </c>
      <c r="B124" s="2" t="inlineStr">
        <is>
          <t>u</t>
        </is>
      </c>
      <c r="C124" s="2" t="inlineStr">
        <is>
          <t>Equipo terminado comprado</t>
        </is>
      </c>
      <c r="D124" s="2" t="inlineStr">
        <is>
          <t>Matafuegos Georgia - venta mayorista</t>
        </is>
      </c>
      <c r="E124" s="2" t="inlineStr">
        <is>
          <t>MP_MATAFUEGOS_REVENDIDOS</t>
        </is>
      </c>
      <c r="F124" s="21">
        <f>SUMIFS('MP_MATAFUEGOS_REVENDIDOS'!F:F,'MP_MATAFUEGOS_REVENDIDOS'!$A:$A,$A124,'MP_MATAFUEGOS_REVENDIDOS'!$B:$B,$B124)</f>
        <v/>
      </c>
      <c r="G124" s="21">
        <f>SUMIFS('MP_MATAFUEGOS_REVENDIDOS'!G:G,'MP_MATAFUEGOS_REVENDIDOS'!$A:$A,$A124,'MP_MATAFUEGOS_REVENDIDOS'!$B:$B,$B124)</f>
        <v/>
      </c>
      <c r="H124" s="21">
        <f>SUMIFS('MP_MATAFUEGOS_REVENDIDOS'!H:H,'MP_MATAFUEGOS_REVENDIDOS'!$A:$A,$A124,'MP_MATAFUEGOS_REVENDIDOS'!$B:$B,$B124)</f>
        <v/>
      </c>
      <c r="I124" s="21">
        <f>SUMIFS('MP_MATAFUEGOS_REVENDIDOS'!I:I,'MP_MATAFUEGOS_REVENDIDOS'!$A:$A,$A124,'MP_MATAFUEGOS_REVENDIDOS'!$B:$B,$B124)</f>
        <v/>
      </c>
      <c r="J124" s="21">
        <f>SUMIFS('MP_MATAFUEGOS_REVENDIDOS'!J:J,'MP_MATAFUEGOS_REVENDIDOS'!$A:$A,$A124,'MP_MATAFUEGOS_REVENDIDOS'!$B:$B,$B124)</f>
        <v/>
      </c>
      <c r="K124" s="21">
        <f>SUMIFS('MP_MATAFUEGOS_REVENDIDOS'!K:K,'MP_MATAFUEGOS_REVENDIDOS'!$A:$A,$A124,'MP_MATAFUEGOS_REVENDIDOS'!$B:$B,$B124)</f>
        <v/>
      </c>
      <c r="L124" s="21">
        <f>SUMIFS('MP_MATAFUEGOS_REVENDIDOS'!L:L,'MP_MATAFUEGOS_REVENDIDOS'!$A:$A,$A124,'MP_MATAFUEGOS_REVENDIDOS'!$B:$B,$B124)</f>
        <v/>
      </c>
      <c r="M124" s="21">
        <f>SUMIFS('MP_MATAFUEGOS_REVENDIDOS'!M:M,'MP_MATAFUEGOS_REVENDIDOS'!$A:$A,$A124,'MP_MATAFUEGOS_REVENDIDOS'!$B:$B,$B124)</f>
        <v/>
      </c>
      <c r="N124" s="21">
        <f>SUMIFS('MP_MATAFUEGOS_REVENDIDOS'!N:N,'MP_MATAFUEGOS_REVENDIDOS'!$A:$A,$A124,'MP_MATAFUEGOS_REVENDIDOS'!$B:$B,$B124)</f>
        <v/>
      </c>
      <c r="O124" s="21">
        <f>SUMIFS('MP_MATAFUEGOS_REVENDIDOS'!O:O,'MP_MATAFUEGOS_REVENDIDOS'!$A:$A,$A124,'MP_MATAFUEGOS_REVENDIDOS'!$B:$B,$B124)</f>
        <v/>
      </c>
    </row>
    <row r="125">
      <c r="A125" s="2" t="inlineStr">
        <is>
          <t>Equipo terminado comprado (fabricante con Sello IRAM): FL_MAT_SALESK_6l</t>
        </is>
      </c>
      <c r="B125" s="2" t="inlineStr">
        <is>
          <t>u</t>
        </is>
      </c>
      <c r="C125" s="2" t="inlineStr">
        <is>
          <t>Equipo terminado comprado</t>
        </is>
      </c>
      <c r="D125" s="2" t="inlineStr">
        <is>
          <t>Matafuegos Georgia - venta mayorista</t>
        </is>
      </c>
      <c r="E125" s="2" t="inlineStr">
        <is>
          <t>MP_MATAFUEGOS_REVENDIDOS</t>
        </is>
      </c>
      <c r="F125" s="21">
        <f>SUMIFS('MP_MATAFUEGOS_REVENDIDOS'!F:F,'MP_MATAFUEGOS_REVENDIDOS'!$A:$A,$A125,'MP_MATAFUEGOS_REVENDIDOS'!$B:$B,$B125)</f>
        <v/>
      </c>
      <c r="G125" s="21">
        <f>SUMIFS('MP_MATAFUEGOS_REVENDIDOS'!G:G,'MP_MATAFUEGOS_REVENDIDOS'!$A:$A,$A125,'MP_MATAFUEGOS_REVENDIDOS'!$B:$B,$B125)</f>
        <v/>
      </c>
      <c r="H125" s="21">
        <f>SUMIFS('MP_MATAFUEGOS_REVENDIDOS'!H:H,'MP_MATAFUEGOS_REVENDIDOS'!$A:$A,$A125,'MP_MATAFUEGOS_REVENDIDOS'!$B:$B,$B125)</f>
        <v/>
      </c>
      <c r="I125" s="21">
        <f>SUMIFS('MP_MATAFUEGOS_REVENDIDOS'!I:I,'MP_MATAFUEGOS_REVENDIDOS'!$A:$A,$A125,'MP_MATAFUEGOS_REVENDIDOS'!$B:$B,$B125)</f>
        <v/>
      </c>
      <c r="J125" s="21">
        <f>SUMIFS('MP_MATAFUEGOS_REVENDIDOS'!J:J,'MP_MATAFUEGOS_REVENDIDOS'!$A:$A,$A125,'MP_MATAFUEGOS_REVENDIDOS'!$B:$B,$B125)</f>
        <v/>
      </c>
      <c r="K125" s="21">
        <f>SUMIFS('MP_MATAFUEGOS_REVENDIDOS'!K:K,'MP_MATAFUEGOS_REVENDIDOS'!$A:$A,$A125,'MP_MATAFUEGOS_REVENDIDOS'!$B:$B,$B125)</f>
        <v/>
      </c>
      <c r="L125" s="21">
        <f>SUMIFS('MP_MATAFUEGOS_REVENDIDOS'!L:L,'MP_MATAFUEGOS_REVENDIDOS'!$A:$A,$A125,'MP_MATAFUEGOS_REVENDIDOS'!$B:$B,$B125)</f>
        <v/>
      </c>
      <c r="M125" s="21">
        <f>SUMIFS('MP_MATAFUEGOS_REVENDIDOS'!M:M,'MP_MATAFUEGOS_REVENDIDOS'!$A:$A,$A125,'MP_MATAFUEGOS_REVENDIDOS'!$B:$B,$B125)</f>
        <v/>
      </c>
      <c r="N125" s="21">
        <f>SUMIFS('MP_MATAFUEGOS_REVENDIDOS'!N:N,'MP_MATAFUEGOS_REVENDIDOS'!$A:$A,$A125,'MP_MATAFUEGOS_REVENDIDOS'!$B:$B,$B125)</f>
        <v/>
      </c>
      <c r="O125" s="21">
        <f>SUMIFS('MP_MATAFUEGOS_REVENDIDOS'!O:O,'MP_MATAFUEGOS_REVENDIDOS'!$A:$A,$A125,'MP_MATAFUEGOS_REVENDIDOS'!$B:$B,$B125)</f>
        <v/>
      </c>
    </row>
    <row r="126">
      <c r="A126" s="2" t="inlineStr">
        <is>
          <t>Acetato de potasio - DEMSA Kitchen (IRAM 3697)</t>
        </is>
      </c>
      <c r="B126" s="2" t="inlineStr">
        <is>
          <t>L</t>
        </is>
      </c>
      <c r="C126" s="2" t="inlineStr">
        <is>
          <t>Recarga y mantenimiento</t>
        </is>
      </c>
      <c r="D126" s="2" t="inlineStr">
        <is>
          <t>Polvex S.R.L. / Sancibrao</t>
        </is>
      </c>
      <c r="E126" s="2" t="inlineStr">
        <is>
          <t>MP_RECARGAS</t>
        </is>
      </c>
      <c r="F126" s="21">
        <f>SUMIFS('MP_RECARGAS'!F:F,'MP_RECARGAS'!$A:$A,$A126,'MP_RECARGAS'!$B:$B,$B126)</f>
        <v/>
      </c>
      <c r="G126" s="21">
        <f>SUMIFS('MP_RECARGAS'!G:G,'MP_RECARGAS'!$A:$A,$A126,'MP_RECARGAS'!$B:$B,$B126)</f>
        <v/>
      </c>
      <c r="H126" s="21">
        <f>SUMIFS('MP_RECARGAS'!H:H,'MP_RECARGAS'!$A:$A,$A126,'MP_RECARGAS'!$B:$B,$B126)</f>
        <v/>
      </c>
      <c r="I126" s="21">
        <f>SUMIFS('MP_RECARGAS'!I:I,'MP_RECARGAS'!$A:$A,$A126,'MP_RECARGAS'!$B:$B,$B126)</f>
        <v/>
      </c>
      <c r="J126" s="21">
        <f>SUMIFS('MP_RECARGAS'!J:J,'MP_RECARGAS'!$A:$A,$A126,'MP_RECARGAS'!$B:$B,$B126)</f>
        <v/>
      </c>
      <c r="K126" s="21">
        <f>SUMIFS('MP_RECARGAS'!K:K,'MP_RECARGAS'!$A:$A,$A126,'MP_RECARGAS'!$B:$B,$B126)</f>
        <v/>
      </c>
      <c r="L126" s="21">
        <f>SUMIFS('MP_RECARGAS'!L:L,'MP_RECARGAS'!$A:$A,$A126,'MP_RECARGAS'!$B:$B,$B126)</f>
        <v/>
      </c>
      <c r="M126" s="21">
        <f>SUMIFS('MP_RECARGAS'!M:M,'MP_RECARGAS'!$A:$A,$A126,'MP_RECARGAS'!$B:$B,$B126)</f>
        <v/>
      </c>
      <c r="N126" s="21">
        <f>SUMIFS('MP_RECARGAS'!N:N,'MP_RECARGAS'!$A:$A,$A126,'MP_RECARGAS'!$B:$B,$B126)</f>
        <v/>
      </c>
      <c r="O126" s="21">
        <f>SUMIFS('MP_RECARGAS'!O:O,'MP_RECARGAS'!$A:$A,$A126,'MP_RECARGAS'!$B:$B,$B126)</f>
        <v/>
      </c>
    </row>
    <row r="127">
      <c r="A127" s="2" t="inlineStr">
        <is>
          <t>Concentrado espumígeno AFFF 3 % (IRAM 3515)</t>
        </is>
      </c>
      <c r="B127" s="2" t="inlineStr">
        <is>
          <t>L</t>
        </is>
      </c>
      <c r="C127" s="2" t="inlineStr">
        <is>
          <t>Recarga y mantenimiento</t>
        </is>
      </c>
      <c r="D127" s="2" t="inlineStr">
        <is>
          <t>DEM S.A. (DEMSA)</t>
        </is>
      </c>
      <c r="E127" s="2" t="inlineStr">
        <is>
          <t>MP_RECARGAS</t>
        </is>
      </c>
      <c r="F127" s="21">
        <f>SUMIFS('MP_RECARGAS'!F:F,'MP_RECARGAS'!$A:$A,$A127,'MP_RECARGAS'!$B:$B,$B127)</f>
        <v/>
      </c>
      <c r="G127" s="21">
        <f>SUMIFS('MP_RECARGAS'!G:G,'MP_RECARGAS'!$A:$A,$A127,'MP_RECARGAS'!$B:$B,$B127)</f>
        <v/>
      </c>
      <c r="H127" s="21">
        <f>SUMIFS('MP_RECARGAS'!H:H,'MP_RECARGAS'!$A:$A,$A127,'MP_RECARGAS'!$B:$B,$B127)</f>
        <v/>
      </c>
      <c r="I127" s="21">
        <f>SUMIFS('MP_RECARGAS'!I:I,'MP_RECARGAS'!$A:$A,$A127,'MP_RECARGAS'!$B:$B,$B127)</f>
        <v/>
      </c>
      <c r="J127" s="21">
        <f>SUMIFS('MP_RECARGAS'!J:J,'MP_RECARGAS'!$A:$A,$A127,'MP_RECARGAS'!$B:$B,$B127)</f>
        <v/>
      </c>
      <c r="K127" s="21">
        <f>SUMIFS('MP_RECARGAS'!K:K,'MP_RECARGAS'!$A:$A,$A127,'MP_RECARGAS'!$B:$B,$B127)</f>
        <v/>
      </c>
      <c r="L127" s="21">
        <f>SUMIFS('MP_RECARGAS'!L:L,'MP_RECARGAS'!$A:$A,$A127,'MP_RECARGAS'!$B:$B,$B127)</f>
        <v/>
      </c>
      <c r="M127" s="21">
        <f>SUMIFS('MP_RECARGAS'!M:M,'MP_RECARGAS'!$A:$A,$A127,'MP_RECARGAS'!$B:$B,$B127)</f>
        <v/>
      </c>
      <c r="N127" s="21">
        <f>SUMIFS('MP_RECARGAS'!N:N,'MP_RECARGAS'!$A:$A,$A127,'MP_RECARGAS'!$B:$B,$B127)</f>
        <v/>
      </c>
      <c r="O127" s="21">
        <f>SUMIFS('MP_RECARGAS'!O:O,'MP_RECARGAS'!$A:$A,$A127,'MP_RECARGAS'!$B:$B,$B127)</f>
        <v/>
      </c>
    </row>
    <row r="128">
      <c r="A128" s="2" t="inlineStr">
        <is>
          <t>Disco de seguridad</t>
        </is>
      </c>
      <c r="B128" s="2" t="inlineStr">
        <is>
          <t>u</t>
        </is>
      </c>
      <c r="C128" s="2" t="inlineStr">
        <is>
          <t>Recarga y mantenimiento</t>
        </is>
      </c>
      <c r="D128" s="2" t="inlineStr">
        <is>
          <t>Polvex S.R.L. / Sancibrao</t>
        </is>
      </c>
      <c r="E128" s="2" t="inlineStr">
        <is>
          <t>MP_RECARGAS</t>
        </is>
      </c>
      <c r="F128" s="21">
        <f>SUMIFS('MP_RECARGAS'!F:F,'MP_RECARGAS'!$A:$A,$A128,'MP_RECARGAS'!$B:$B,$B128)</f>
        <v/>
      </c>
      <c r="G128" s="21">
        <f>SUMIFS('MP_RECARGAS'!G:G,'MP_RECARGAS'!$A:$A,$A128,'MP_RECARGAS'!$B:$B,$B128)</f>
        <v/>
      </c>
      <c r="H128" s="21">
        <f>SUMIFS('MP_RECARGAS'!H:H,'MP_RECARGAS'!$A:$A,$A128,'MP_RECARGAS'!$B:$B,$B128)</f>
        <v/>
      </c>
      <c r="I128" s="21">
        <f>SUMIFS('MP_RECARGAS'!I:I,'MP_RECARGAS'!$A:$A,$A128,'MP_RECARGAS'!$B:$B,$B128)</f>
        <v/>
      </c>
      <c r="J128" s="21">
        <f>SUMIFS('MP_RECARGAS'!J:J,'MP_RECARGAS'!$A:$A,$A128,'MP_RECARGAS'!$B:$B,$B128)</f>
        <v/>
      </c>
      <c r="K128" s="21">
        <f>SUMIFS('MP_RECARGAS'!K:K,'MP_RECARGAS'!$A:$A,$A128,'MP_RECARGAS'!$B:$B,$B128)</f>
        <v/>
      </c>
      <c r="L128" s="21">
        <f>SUMIFS('MP_RECARGAS'!L:L,'MP_RECARGAS'!$A:$A,$A128,'MP_RECARGAS'!$B:$B,$B128)</f>
        <v/>
      </c>
      <c r="M128" s="21">
        <f>SUMIFS('MP_RECARGAS'!M:M,'MP_RECARGAS'!$A:$A,$A128,'MP_RECARGAS'!$B:$B,$B128)</f>
        <v/>
      </c>
      <c r="N128" s="21">
        <f>SUMIFS('MP_RECARGAS'!N:N,'MP_RECARGAS'!$A:$A,$A128,'MP_RECARGAS'!$B:$B,$B128)</f>
        <v/>
      </c>
      <c r="O128" s="21">
        <f>SUMIFS('MP_RECARGAS'!O:O,'MP_RECARGAS'!$A:$A,$A128,'MP_RECARGAS'!$B:$B,$B128)</f>
        <v/>
      </c>
    </row>
    <row r="129">
      <c r="A129" s="2" t="inlineStr">
        <is>
          <t>Dióxido de carbono (IRAM 41170)</t>
        </is>
      </c>
      <c r="B129" s="2" t="inlineStr">
        <is>
          <t>kg</t>
        </is>
      </c>
      <c r="C129" s="2" t="inlineStr">
        <is>
          <t>Recarga y mantenimiento</t>
        </is>
      </c>
      <c r="D129" s="2" t="inlineStr">
        <is>
          <t>Air Liquide Argentina - sucursal Piñeyro</t>
        </is>
      </c>
      <c r="E129" s="2" t="inlineStr">
        <is>
          <t>MP_RECARGAS</t>
        </is>
      </c>
      <c r="F129" s="21">
        <f>SUMIFS('MP_RECARGAS'!F:F,'MP_RECARGAS'!$A:$A,$A129,'MP_RECARGAS'!$B:$B,$B129)</f>
        <v/>
      </c>
      <c r="G129" s="21">
        <f>SUMIFS('MP_RECARGAS'!G:G,'MP_RECARGAS'!$A:$A,$A129,'MP_RECARGAS'!$B:$B,$B129)</f>
        <v/>
      </c>
      <c r="H129" s="21">
        <f>SUMIFS('MP_RECARGAS'!H:H,'MP_RECARGAS'!$A:$A,$A129,'MP_RECARGAS'!$B:$B,$B129)</f>
        <v/>
      </c>
      <c r="I129" s="21">
        <f>SUMIFS('MP_RECARGAS'!I:I,'MP_RECARGAS'!$A:$A,$A129,'MP_RECARGAS'!$B:$B,$B129)</f>
        <v/>
      </c>
      <c r="J129" s="21">
        <f>SUMIFS('MP_RECARGAS'!J:J,'MP_RECARGAS'!$A:$A,$A129,'MP_RECARGAS'!$B:$B,$B129)</f>
        <v/>
      </c>
      <c r="K129" s="21">
        <f>SUMIFS('MP_RECARGAS'!K:K,'MP_RECARGAS'!$A:$A,$A129,'MP_RECARGAS'!$B:$B,$B129)</f>
        <v/>
      </c>
      <c r="L129" s="21">
        <f>SUMIFS('MP_RECARGAS'!L:L,'MP_RECARGAS'!$A:$A,$A129,'MP_RECARGAS'!$B:$B,$B129)</f>
        <v/>
      </c>
      <c r="M129" s="21">
        <f>SUMIFS('MP_RECARGAS'!M:M,'MP_RECARGAS'!$A:$A,$A129,'MP_RECARGAS'!$B:$B,$B129)</f>
        <v/>
      </c>
      <c r="N129" s="21">
        <f>SUMIFS('MP_RECARGAS'!N:N,'MP_RECARGAS'!$A:$A,$A129,'MP_RECARGAS'!$B:$B,$B129)</f>
        <v/>
      </c>
      <c r="O129" s="21">
        <f>SUMIFS('MP_RECARGAS'!O:O,'MP_RECARGAS'!$A:$A,$A129,'MP_RECARGAS'!$B:$B,$B129)</f>
        <v/>
      </c>
    </row>
    <row r="130">
      <c r="A130" s="2" t="inlineStr">
        <is>
          <t>Etiqueta de servicio del recargador (extintor n°, serie, próxima recarga y PH)</t>
        </is>
      </c>
      <c r="B130" s="2" t="inlineStr">
        <is>
          <t>u</t>
        </is>
      </c>
      <c r="C130" s="2" t="inlineStr">
        <is>
          <t>Recarga y mantenimiento</t>
        </is>
      </c>
      <c r="D130" s="2" t="inlineStr">
        <is>
          <t>Astuprint</t>
        </is>
      </c>
      <c r="E130" s="2" t="inlineStr">
        <is>
          <t>MP_RECARGAS</t>
        </is>
      </c>
      <c r="F130" s="21">
        <f>SUMIFS('MP_RECARGAS'!F:F,'MP_RECARGAS'!$A:$A,$A130,'MP_RECARGAS'!$B:$B,$B130)</f>
        <v/>
      </c>
      <c r="G130" s="21">
        <f>SUMIFS('MP_RECARGAS'!G:G,'MP_RECARGAS'!$A:$A,$A130,'MP_RECARGAS'!$B:$B,$B130)</f>
        <v/>
      </c>
      <c r="H130" s="21">
        <f>SUMIFS('MP_RECARGAS'!H:H,'MP_RECARGAS'!$A:$A,$A130,'MP_RECARGAS'!$B:$B,$B130)</f>
        <v/>
      </c>
      <c r="I130" s="21">
        <f>SUMIFS('MP_RECARGAS'!I:I,'MP_RECARGAS'!$A:$A,$A130,'MP_RECARGAS'!$B:$B,$B130)</f>
        <v/>
      </c>
      <c r="J130" s="21">
        <f>SUMIFS('MP_RECARGAS'!J:J,'MP_RECARGAS'!$A:$A,$A130,'MP_RECARGAS'!$B:$B,$B130)</f>
        <v/>
      </c>
      <c r="K130" s="21">
        <f>SUMIFS('MP_RECARGAS'!K:K,'MP_RECARGAS'!$A:$A,$A130,'MP_RECARGAS'!$B:$B,$B130)</f>
        <v/>
      </c>
      <c r="L130" s="21">
        <f>SUMIFS('MP_RECARGAS'!L:L,'MP_RECARGAS'!$A:$A,$A130,'MP_RECARGAS'!$B:$B,$B130)</f>
        <v/>
      </c>
      <c r="M130" s="21">
        <f>SUMIFS('MP_RECARGAS'!M:M,'MP_RECARGAS'!$A:$A,$A130,'MP_RECARGAS'!$B:$B,$B130)</f>
        <v/>
      </c>
      <c r="N130" s="21">
        <f>SUMIFS('MP_RECARGAS'!N:N,'MP_RECARGAS'!$A:$A,$A130,'MP_RECARGAS'!$B:$B,$B130)</f>
        <v/>
      </c>
      <c r="O130" s="21">
        <f>SUMIFS('MP_RECARGAS'!O:O,'MP_RECARGAS'!$A:$A,$A130,'MP_RECARGAS'!$B:$B,$B130)</f>
        <v/>
      </c>
    </row>
    <row r="131">
      <c r="A131" s="2" t="inlineStr">
        <is>
          <t>Gas impulsor: Argón</t>
        </is>
      </c>
      <c r="B131" s="2" t="inlineStr">
        <is>
          <t>kg</t>
        </is>
      </c>
      <c r="C131" s="2" t="inlineStr">
        <is>
          <t>Recarga y mantenimiento</t>
        </is>
      </c>
      <c r="D131" s="2" t="inlineStr">
        <is>
          <t>Air Liquide Argentina - sucursal Piñeyro</t>
        </is>
      </c>
      <c r="E131" s="2" t="inlineStr">
        <is>
          <t>MP_RECARGAS</t>
        </is>
      </c>
      <c r="F131" s="21">
        <f>SUMIFS('MP_RECARGAS'!F:F,'MP_RECARGAS'!$A:$A,$A131,'MP_RECARGAS'!$B:$B,$B131)</f>
        <v/>
      </c>
      <c r="G131" s="21">
        <f>SUMIFS('MP_RECARGAS'!G:G,'MP_RECARGAS'!$A:$A,$A131,'MP_RECARGAS'!$B:$B,$B131)</f>
        <v/>
      </c>
      <c r="H131" s="21">
        <f>SUMIFS('MP_RECARGAS'!H:H,'MP_RECARGAS'!$A:$A,$A131,'MP_RECARGAS'!$B:$B,$B131)</f>
        <v/>
      </c>
      <c r="I131" s="21">
        <f>SUMIFS('MP_RECARGAS'!I:I,'MP_RECARGAS'!$A:$A,$A131,'MP_RECARGAS'!$B:$B,$B131)</f>
        <v/>
      </c>
      <c r="J131" s="21">
        <f>SUMIFS('MP_RECARGAS'!J:J,'MP_RECARGAS'!$A:$A,$A131,'MP_RECARGAS'!$B:$B,$B131)</f>
        <v/>
      </c>
      <c r="K131" s="21">
        <f>SUMIFS('MP_RECARGAS'!K:K,'MP_RECARGAS'!$A:$A,$A131,'MP_RECARGAS'!$B:$B,$B131)</f>
        <v/>
      </c>
      <c r="L131" s="21">
        <f>SUMIFS('MP_RECARGAS'!L:L,'MP_RECARGAS'!$A:$A,$A131,'MP_RECARGAS'!$B:$B,$B131)</f>
        <v/>
      </c>
      <c r="M131" s="21">
        <f>SUMIFS('MP_RECARGAS'!M:M,'MP_RECARGAS'!$A:$A,$A131,'MP_RECARGAS'!$B:$B,$B131)</f>
        <v/>
      </c>
      <c r="N131" s="21">
        <f>SUMIFS('MP_RECARGAS'!N:N,'MP_RECARGAS'!$A:$A,$A131,'MP_RECARGAS'!$B:$B,$B131)</f>
        <v/>
      </c>
      <c r="O131" s="21">
        <f>SUMIFS('MP_RECARGAS'!O:O,'MP_RECARGAS'!$A:$A,$A131,'MP_RECARGAS'!$B:$B,$B131)</f>
        <v/>
      </c>
    </row>
    <row r="132">
      <c r="A132" s="2" t="inlineStr">
        <is>
          <t>HCFC 123 / HFC 236fa (agente limpio)</t>
        </is>
      </c>
      <c r="B132" s="2" t="inlineStr">
        <is>
          <t>kg</t>
        </is>
      </c>
      <c r="C132" s="2" t="inlineStr">
        <is>
          <t>Recarga y mantenimiento</t>
        </is>
      </c>
      <c r="D132" s="2" t="inlineStr">
        <is>
          <t>-</t>
        </is>
      </c>
      <c r="E132" s="2" t="inlineStr">
        <is>
          <t>MP_RECARGAS</t>
        </is>
      </c>
      <c r="F132" s="21">
        <f>SUMIFS('MP_RECARGAS'!F:F,'MP_RECARGAS'!$A:$A,$A132,'MP_RECARGAS'!$B:$B,$B132)</f>
        <v/>
      </c>
      <c r="G132" s="21">
        <f>SUMIFS('MP_RECARGAS'!G:G,'MP_RECARGAS'!$A:$A,$A132,'MP_RECARGAS'!$B:$B,$B132)</f>
        <v/>
      </c>
      <c r="H132" s="21">
        <f>SUMIFS('MP_RECARGAS'!H:H,'MP_RECARGAS'!$A:$A,$A132,'MP_RECARGAS'!$B:$B,$B132)</f>
        <v/>
      </c>
      <c r="I132" s="21">
        <f>SUMIFS('MP_RECARGAS'!I:I,'MP_RECARGAS'!$A:$A,$A132,'MP_RECARGAS'!$B:$B,$B132)</f>
        <v/>
      </c>
      <c r="J132" s="21">
        <f>SUMIFS('MP_RECARGAS'!J:J,'MP_RECARGAS'!$A:$A,$A132,'MP_RECARGAS'!$B:$B,$B132)</f>
        <v/>
      </c>
      <c r="K132" s="21">
        <f>SUMIFS('MP_RECARGAS'!K:K,'MP_RECARGAS'!$A:$A,$A132,'MP_RECARGAS'!$B:$B,$B132)</f>
        <v/>
      </c>
      <c r="L132" s="21">
        <f>SUMIFS('MP_RECARGAS'!L:L,'MP_RECARGAS'!$A:$A,$A132,'MP_RECARGAS'!$B:$B,$B132)</f>
        <v/>
      </c>
      <c r="M132" s="21">
        <f>SUMIFS('MP_RECARGAS'!M:M,'MP_RECARGAS'!$A:$A,$A132,'MP_RECARGAS'!$B:$B,$B132)</f>
        <v/>
      </c>
      <c r="N132" s="21">
        <f>SUMIFS('MP_RECARGAS'!N:N,'MP_RECARGAS'!$A:$A,$A132,'MP_RECARGAS'!$B:$B,$B132)</f>
        <v/>
      </c>
      <c r="O132" s="21">
        <f>SUMIFS('MP_RECARGAS'!O:O,'MP_RECARGAS'!$A:$A,$A132,'MP_RECARGAS'!$B:$B,$B132)</f>
        <v/>
      </c>
    </row>
    <row r="133">
      <c r="A133" s="2" t="inlineStr">
        <is>
          <t>Junta tórica de asiento del cuello</t>
        </is>
      </c>
      <c r="B133" s="2" t="inlineStr">
        <is>
          <t>u</t>
        </is>
      </c>
      <c r="C133" s="2" t="inlineStr">
        <is>
          <t>Recarga y mantenimiento</t>
        </is>
      </c>
      <c r="D133" s="2" t="inlineStr">
        <is>
          <t>Argensold</t>
        </is>
      </c>
      <c r="E133" s="2" t="inlineStr">
        <is>
          <t>MP_RECARGAS</t>
        </is>
      </c>
      <c r="F133" s="21">
        <f>SUMIFS('MP_RECARGAS'!F:F,'MP_RECARGAS'!$A:$A,$A133,'MP_RECARGAS'!$B:$B,$B133)</f>
        <v/>
      </c>
      <c r="G133" s="21">
        <f>SUMIFS('MP_RECARGAS'!G:G,'MP_RECARGAS'!$A:$A,$A133,'MP_RECARGAS'!$B:$B,$B133)</f>
        <v/>
      </c>
      <c r="H133" s="21">
        <f>SUMIFS('MP_RECARGAS'!H:H,'MP_RECARGAS'!$A:$A,$A133,'MP_RECARGAS'!$B:$B,$B133)</f>
        <v/>
      </c>
      <c r="I133" s="21">
        <f>SUMIFS('MP_RECARGAS'!I:I,'MP_RECARGAS'!$A:$A,$A133,'MP_RECARGAS'!$B:$B,$B133)</f>
        <v/>
      </c>
      <c r="J133" s="21">
        <f>SUMIFS('MP_RECARGAS'!J:J,'MP_RECARGAS'!$A:$A,$A133,'MP_RECARGAS'!$B:$B,$B133)</f>
        <v/>
      </c>
      <c r="K133" s="21">
        <f>SUMIFS('MP_RECARGAS'!K:K,'MP_RECARGAS'!$A:$A,$A133,'MP_RECARGAS'!$B:$B,$B133)</f>
        <v/>
      </c>
      <c r="L133" s="21">
        <f>SUMIFS('MP_RECARGAS'!L:L,'MP_RECARGAS'!$A:$A,$A133,'MP_RECARGAS'!$B:$B,$B133)</f>
        <v/>
      </c>
      <c r="M133" s="21">
        <f>SUMIFS('MP_RECARGAS'!M:M,'MP_RECARGAS'!$A:$A,$A133,'MP_RECARGAS'!$B:$B,$B133)</f>
        <v/>
      </c>
      <c r="N133" s="21">
        <f>SUMIFS('MP_RECARGAS'!N:N,'MP_RECARGAS'!$A:$A,$A133,'MP_RECARGAS'!$B:$B,$B133)</f>
        <v/>
      </c>
      <c r="O133" s="21">
        <f>SUMIFS('MP_RECARGAS'!O:O,'MP_RECARGAS'!$A:$A,$A133,'MP_RECARGAS'!$B:$B,$B133)</f>
        <v/>
      </c>
    </row>
    <row r="134">
      <c r="A134" s="2" t="inlineStr">
        <is>
          <t>Marbete (anillo, color del año)</t>
        </is>
      </c>
      <c r="B134" s="2" t="inlineStr">
        <is>
          <t>u</t>
        </is>
      </c>
      <c r="C134" s="2" t="inlineStr">
        <is>
          <t>Recarga y mantenimiento</t>
        </is>
      </c>
      <c r="D134" s="2" t="inlineStr">
        <is>
          <t>Astuprint</t>
        </is>
      </c>
      <c r="E134" s="2" t="inlineStr">
        <is>
          <t>MP_RECARGAS</t>
        </is>
      </c>
      <c r="F134" s="21">
        <f>SUMIFS('MP_RECARGAS'!F:F,'MP_RECARGAS'!$A:$A,$A134,'MP_RECARGAS'!$B:$B,$B134)</f>
        <v/>
      </c>
      <c r="G134" s="21">
        <f>SUMIFS('MP_RECARGAS'!G:G,'MP_RECARGAS'!$A:$A,$A134,'MP_RECARGAS'!$B:$B,$B134)</f>
        <v/>
      </c>
      <c r="H134" s="21">
        <f>SUMIFS('MP_RECARGAS'!H:H,'MP_RECARGAS'!$A:$A,$A134,'MP_RECARGAS'!$B:$B,$B134)</f>
        <v/>
      </c>
      <c r="I134" s="21">
        <f>SUMIFS('MP_RECARGAS'!I:I,'MP_RECARGAS'!$A:$A,$A134,'MP_RECARGAS'!$B:$B,$B134)</f>
        <v/>
      </c>
      <c r="J134" s="21">
        <f>SUMIFS('MP_RECARGAS'!J:J,'MP_RECARGAS'!$A:$A,$A134,'MP_RECARGAS'!$B:$B,$B134)</f>
        <v/>
      </c>
      <c r="K134" s="21">
        <f>SUMIFS('MP_RECARGAS'!K:K,'MP_RECARGAS'!$A:$A,$A134,'MP_RECARGAS'!$B:$B,$B134)</f>
        <v/>
      </c>
      <c r="L134" s="21">
        <f>SUMIFS('MP_RECARGAS'!L:L,'MP_RECARGAS'!$A:$A,$A134,'MP_RECARGAS'!$B:$B,$B134)</f>
        <v/>
      </c>
      <c r="M134" s="21">
        <f>SUMIFS('MP_RECARGAS'!M:M,'MP_RECARGAS'!$A:$A,$A134,'MP_RECARGAS'!$B:$B,$B134)</f>
        <v/>
      </c>
      <c r="N134" s="21">
        <f>SUMIFS('MP_RECARGAS'!N:N,'MP_RECARGAS'!$A:$A,$A134,'MP_RECARGAS'!$B:$B,$B134)</f>
        <v/>
      </c>
      <c r="O134" s="21">
        <f>SUMIFS('MP_RECARGAS'!O:O,'MP_RECARGAS'!$A:$A,$A134,'MP_RECARGAS'!$B:$B,$B134)</f>
        <v/>
      </c>
    </row>
    <row r="135">
      <c r="A135" s="2" t="inlineStr">
        <is>
          <t>Oblea PBA de recarga Ø46 + estampilla precinto 1" × 200 mm válvula-cuerpo</t>
        </is>
      </c>
      <c r="B135" s="2" t="inlineStr">
        <is>
          <t>u</t>
        </is>
      </c>
      <c r="C135" s="2" t="inlineStr">
        <is>
          <t>Recarga y mantenimiento</t>
        </is>
      </c>
      <c r="D135" s="2" t="inlineStr">
        <is>
          <t>Ministerio de Ambiente PBA (ex OPDS)</t>
        </is>
      </c>
      <c r="E135" s="2" t="inlineStr">
        <is>
          <t>MP_RECARGAS</t>
        </is>
      </c>
      <c r="F135" s="21">
        <f>SUMIFS('MP_RECARGAS'!F:F,'MP_RECARGAS'!$A:$A,$A135,'MP_RECARGAS'!$B:$B,$B135)</f>
        <v/>
      </c>
      <c r="G135" s="21">
        <f>SUMIFS('MP_RECARGAS'!G:G,'MP_RECARGAS'!$A:$A,$A135,'MP_RECARGAS'!$B:$B,$B135)</f>
        <v/>
      </c>
      <c r="H135" s="21">
        <f>SUMIFS('MP_RECARGAS'!H:H,'MP_RECARGAS'!$A:$A,$A135,'MP_RECARGAS'!$B:$B,$B135)</f>
        <v/>
      </c>
      <c r="I135" s="21">
        <f>SUMIFS('MP_RECARGAS'!I:I,'MP_RECARGAS'!$A:$A,$A135,'MP_RECARGAS'!$B:$B,$B135)</f>
        <v/>
      </c>
      <c r="J135" s="21">
        <f>SUMIFS('MP_RECARGAS'!J:J,'MP_RECARGAS'!$A:$A,$A135,'MP_RECARGAS'!$B:$B,$B135)</f>
        <v/>
      </c>
      <c r="K135" s="21">
        <f>SUMIFS('MP_RECARGAS'!K:K,'MP_RECARGAS'!$A:$A,$A135,'MP_RECARGAS'!$B:$B,$B135)</f>
        <v/>
      </c>
      <c r="L135" s="21">
        <f>SUMIFS('MP_RECARGAS'!L:L,'MP_RECARGAS'!$A:$A,$A135,'MP_RECARGAS'!$B:$B,$B135)</f>
        <v/>
      </c>
      <c r="M135" s="21">
        <f>SUMIFS('MP_RECARGAS'!M:M,'MP_RECARGAS'!$A:$A,$A135,'MP_RECARGAS'!$B:$B,$B135)</f>
        <v/>
      </c>
      <c r="N135" s="21">
        <f>SUMIFS('MP_RECARGAS'!N:N,'MP_RECARGAS'!$A:$A,$A135,'MP_RECARGAS'!$B:$B,$B135)</f>
        <v/>
      </c>
      <c r="O135" s="21">
        <f>SUMIFS('MP_RECARGAS'!O:O,'MP_RECARGAS'!$A:$A,$A135,'MP_RECARGAS'!$B:$B,$B135)</f>
        <v/>
      </c>
    </row>
    <row r="136">
      <c r="A136" s="2" t="inlineStr">
        <is>
          <t>Polvo para metales combustibles clase D</t>
        </is>
      </c>
      <c r="B136" s="2" t="inlineStr">
        <is>
          <t>kg</t>
        </is>
      </c>
      <c r="C136" s="2" t="inlineStr">
        <is>
          <t>Recarga y mantenimiento</t>
        </is>
      </c>
      <c r="D136" s="2" t="inlineStr">
        <is>
          <t>DEM S.A. (DEMSA)</t>
        </is>
      </c>
      <c r="E136" s="2" t="inlineStr">
        <is>
          <t>MP_RECARGAS</t>
        </is>
      </c>
      <c r="F136" s="21">
        <f>SUMIFS('MP_RECARGAS'!F:F,'MP_RECARGAS'!$A:$A,$A136,'MP_RECARGAS'!$B:$B,$B136)</f>
        <v/>
      </c>
      <c r="G136" s="21">
        <f>SUMIFS('MP_RECARGAS'!G:G,'MP_RECARGAS'!$A:$A,$A136,'MP_RECARGAS'!$B:$B,$B136)</f>
        <v/>
      </c>
      <c r="H136" s="21">
        <f>SUMIFS('MP_RECARGAS'!H:H,'MP_RECARGAS'!$A:$A,$A136,'MP_RECARGAS'!$B:$B,$B136)</f>
        <v/>
      </c>
      <c r="I136" s="21">
        <f>SUMIFS('MP_RECARGAS'!I:I,'MP_RECARGAS'!$A:$A,$A136,'MP_RECARGAS'!$B:$B,$B136)</f>
        <v/>
      </c>
      <c r="J136" s="21">
        <f>SUMIFS('MP_RECARGAS'!J:J,'MP_RECARGAS'!$A:$A,$A136,'MP_RECARGAS'!$B:$B,$B136)</f>
        <v/>
      </c>
      <c r="K136" s="21">
        <f>SUMIFS('MP_RECARGAS'!K:K,'MP_RECARGAS'!$A:$A,$A136,'MP_RECARGAS'!$B:$B,$B136)</f>
        <v/>
      </c>
      <c r="L136" s="21">
        <f>SUMIFS('MP_RECARGAS'!L:L,'MP_RECARGAS'!$A:$A,$A136,'MP_RECARGAS'!$B:$B,$B136)</f>
        <v/>
      </c>
      <c r="M136" s="21">
        <f>SUMIFS('MP_RECARGAS'!M:M,'MP_RECARGAS'!$A:$A,$A136,'MP_RECARGAS'!$B:$B,$B136)</f>
        <v/>
      </c>
      <c r="N136" s="21">
        <f>SUMIFS('MP_RECARGAS'!N:N,'MP_RECARGAS'!$A:$A,$A136,'MP_RECARGAS'!$B:$B,$B136)</f>
        <v/>
      </c>
      <c r="O136" s="21">
        <f>SUMIFS('MP_RECARGAS'!O:O,'MP_RECARGAS'!$A:$A,$A136,'MP_RECARGAS'!$B:$B,$B136)</f>
        <v/>
      </c>
    </row>
    <row r="137">
      <c r="A137" s="2" t="inlineStr">
        <is>
          <t>Polvo químico seco BC (bicarbonato)</t>
        </is>
      </c>
      <c r="B137" s="2" t="inlineStr">
        <is>
          <t>kg</t>
        </is>
      </c>
      <c r="C137" s="2" t="inlineStr">
        <is>
          <t>Recarga y mantenimiento</t>
        </is>
      </c>
      <c r="D137" s="2" t="inlineStr">
        <is>
          <t>Polvex S.R.L. / Sancibrao</t>
        </is>
      </c>
      <c r="E137" s="2" t="inlineStr">
        <is>
          <t>MP_RECARGAS</t>
        </is>
      </c>
      <c r="F137" s="21">
        <f>SUMIFS('MP_RECARGAS'!F:F,'MP_RECARGAS'!$A:$A,$A137,'MP_RECARGAS'!$B:$B,$B137)</f>
        <v/>
      </c>
      <c r="G137" s="21">
        <f>SUMIFS('MP_RECARGAS'!G:G,'MP_RECARGAS'!$A:$A,$A137,'MP_RECARGAS'!$B:$B,$B137)</f>
        <v/>
      </c>
      <c r="H137" s="21">
        <f>SUMIFS('MP_RECARGAS'!H:H,'MP_RECARGAS'!$A:$A,$A137,'MP_RECARGAS'!$B:$B,$B137)</f>
        <v/>
      </c>
      <c r="I137" s="21">
        <f>SUMIFS('MP_RECARGAS'!I:I,'MP_RECARGAS'!$A:$A,$A137,'MP_RECARGAS'!$B:$B,$B137)</f>
        <v/>
      </c>
      <c r="J137" s="21">
        <f>SUMIFS('MP_RECARGAS'!J:J,'MP_RECARGAS'!$A:$A,$A137,'MP_RECARGAS'!$B:$B,$B137)</f>
        <v/>
      </c>
      <c r="K137" s="21">
        <f>SUMIFS('MP_RECARGAS'!K:K,'MP_RECARGAS'!$A:$A,$A137,'MP_RECARGAS'!$B:$B,$B137)</f>
        <v/>
      </c>
      <c r="L137" s="21">
        <f>SUMIFS('MP_RECARGAS'!L:L,'MP_RECARGAS'!$A:$A,$A137,'MP_RECARGAS'!$B:$B,$B137)</f>
        <v/>
      </c>
      <c r="M137" s="21">
        <f>SUMIFS('MP_RECARGAS'!M:M,'MP_RECARGAS'!$A:$A,$A137,'MP_RECARGAS'!$B:$B,$B137)</f>
        <v/>
      </c>
      <c r="N137" s="21">
        <f>SUMIFS('MP_RECARGAS'!N:N,'MP_RECARGAS'!$A:$A,$A137,'MP_RECARGAS'!$B:$B,$B137)</f>
        <v/>
      </c>
      <c r="O137" s="21">
        <f>SUMIFS('MP_RECARGAS'!O:O,'MP_RECARGAS'!$A:$A,$A137,'MP_RECARGAS'!$B:$B,$B137)</f>
        <v/>
      </c>
    </row>
    <row r="138">
      <c r="A138" s="2" t="inlineStr">
        <is>
          <t>Precinto plástico numerado, color, con nombre del recargador</t>
        </is>
      </c>
      <c r="B138" s="2" t="inlineStr">
        <is>
          <t>u</t>
        </is>
      </c>
      <c r="C138" s="2" t="inlineStr">
        <is>
          <t>Recarga y mantenimiento</t>
        </is>
      </c>
      <c r="D138" s="2" t="inlineStr">
        <is>
          <t>SonFuertes (vía Papelera Damián)</t>
        </is>
      </c>
      <c r="E138" s="2" t="inlineStr">
        <is>
          <t>MP_RECARGAS</t>
        </is>
      </c>
      <c r="F138" s="21">
        <f>SUMIFS('MP_RECARGAS'!F:F,'MP_RECARGAS'!$A:$A,$A138,'MP_RECARGAS'!$B:$B,$B138)</f>
        <v/>
      </c>
      <c r="G138" s="21">
        <f>SUMIFS('MP_RECARGAS'!G:G,'MP_RECARGAS'!$A:$A,$A138,'MP_RECARGAS'!$B:$B,$B138)</f>
        <v/>
      </c>
      <c r="H138" s="21">
        <f>SUMIFS('MP_RECARGAS'!H:H,'MP_RECARGAS'!$A:$A,$A138,'MP_RECARGAS'!$B:$B,$B138)</f>
        <v/>
      </c>
      <c r="I138" s="21">
        <f>SUMIFS('MP_RECARGAS'!I:I,'MP_RECARGAS'!$A:$A,$A138,'MP_RECARGAS'!$B:$B,$B138)</f>
        <v/>
      </c>
      <c r="J138" s="21">
        <f>SUMIFS('MP_RECARGAS'!J:J,'MP_RECARGAS'!$A:$A,$A138,'MP_RECARGAS'!$B:$B,$B138)</f>
        <v/>
      </c>
      <c r="K138" s="21">
        <f>SUMIFS('MP_RECARGAS'!K:K,'MP_RECARGAS'!$A:$A,$A138,'MP_RECARGAS'!$B:$B,$B138)</f>
        <v/>
      </c>
      <c r="L138" s="21">
        <f>SUMIFS('MP_RECARGAS'!L:L,'MP_RECARGAS'!$A:$A,$A138,'MP_RECARGAS'!$B:$B,$B138)</f>
        <v/>
      </c>
      <c r="M138" s="21">
        <f>SUMIFS('MP_RECARGAS'!M:M,'MP_RECARGAS'!$A:$A,$A138,'MP_RECARGAS'!$B:$B,$B138)</f>
        <v/>
      </c>
      <c r="N138" s="21">
        <f>SUMIFS('MP_RECARGAS'!N:N,'MP_RECARGAS'!$A:$A,$A138,'MP_RECARGAS'!$B:$B,$B138)</f>
        <v/>
      </c>
      <c r="O138" s="21">
        <f>SUMIFS('MP_RECARGAS'!O:O,'MP_RECARGAS'!$A:$A,$A138,'MP_RECARGAS'!$B:$B,$B138)</f>
        <v/>
      </c>
    </row>
    <row r="139">
      <c r="A139" s="2" t="inlineStr">
        <is>
          <t>Tarjeta de identificación AGC (módulo papel con QR + etiqueta AGC)</t>
        </is>
      </c>
      <c r="B139" s="2" t="inlineStr">
        <is>
          <t>u</t>
        </is>
      </c>
      <c r="C139" s="2" t="inlineStr">
        <is>
          <t>Recarga y mantenimiento</t>
        </is>
      </c>
      <c r="D139" s="2" t="inlineStr">
        <is>
          <t>Agencia Gubernamental de Control (CABA)</t>
        </is>
      </c>
      <c r="E139" s="2" t="inlineStr">
        <is>
          <t>MP_RECARGAS</t>
        </is>
      </c>
      <c r="F139" s="21">
        <f>SUMIFS('MP_RECARGAS'!F:F,'MP_RECARGAS'!$A:$A,$A139,'MP_RECARGAS'!$B:$B,$B139)</f>
        <v/>
      </c>
      <c r="G139" s="21">
        <f>SUMIFS('MP_RECARGAS'!G:G,'MP_RECARGAS'!$A:$A,$A139,'MP_RECARGAS'!$B:$B,$B139)</f>
        <v/>
      </c>
      <c r="H139" s="21">
        <f>SUMIFS('MP_RECARGAS'!H:H,'MP_RECARGAS'!$A:$A,$A139,'MP_RECARGAS'!$B:$B,$B139)</f>
        <v/>
      </c>
      <c r="I139" s="21">
        <f>SUMIFS('MP_RECARGAS'!I:I,'MP_RECARGAS'!$A:$A,$A139,'MP_RECARGAS'!$B:$B,$B139)</f>
        <v/>
      </c>
      <c r="J139" s="21">
        <f>SUMIFS('MP_RECARGAS'!J:J,'MP_RECARGAS'!$A:$A,$A139,'MP_RECARGAS'!$B:$B,$B139)</f>
        <v/>
      </c>
      <c r="K139" s="21">
        <f>SUMIFS('MP_RECARGAS'!K:K,'MP_RECARGAS'!$A:$A,$A139,'MP_RECARGAS'!$B:$B,$B139)</f>
        <v/>
      </c>
      <c r="L139" s="21">
        <f>SUMIFS('MP_RECARGAS'!L:L,'MP_RECARGAS'!$A:$A,$A139,'MP_RECARGAS'!$B:$B,$B139)</f>
        <v/>
      </c>
      <c r="M139" s="21">
        <f>SUMIFS('MP_RECARGAS'!M:M,'MP_RECARGAS'!$A:$A,$A139,'MP_RECARGAS'!$B:$B,$B139)</f>
        <v/>
      </c>
      <c r="N139" s="21">
        <f>SUMIFS('MP_RECARGAS'!N:N,'MP_RECARGAS'!$A:$A,$A139,'MP_RECARGAS'!$B:$B,$B139)</f>
        <v/>
      </c>
      <c r="O139" s="21">
        <f>SUMIFS('MP_RECARGAS'!O:O,'MP_RECARGAS'!$A:$A,$A139,'MP_RECARGAS'!$B:$B,$B139)</f>
        <v/>
      </c>
    </row>
    <row r="140">
      <c r="A140" s="2" t="inlineStr">
        <is>
          <t>Tarjeta de identificación DPS de revisión / recarga</t>
        </is>
      </c>
      <c r="B140" s="2" t="inlineStr">
        <is>
          <t>u</t>
        </is>
      </c>
      <c r="C140" s="2" t="inlineStr">
        <is>
          <t>Recarga y mantenimiento</t>
        </is>
      </c>
      <c r="D140" s="2" t="inlineStr">
        <is>
          <t>Ministerio de Ambiente PBA (ex OPDS)</t>
        </is>
      </c>
      <c r="E140" s="2" t="inlineStr">
        <is>
          <t>MP_RECARGAS</t>
        </is>
      </c>
      <c r="F140" s="21">
        <f>SUMIFS('MP_RECARGAS'!F:F,'MP_RECARGAS'!$A:$A,$A140,'MP_RECARGAS'!$B:$B,$B140)</f>
        <v/>
      </c>
      <c r="G140" s="21">
        <f>SUMIFS('MP_RECARGAS'!G:G,'MP_RECARGAS'!$A:$A,$A140,'MP_RECARGAS'!$B:$B,$B140)</f>
        <v/>
      </c>
      <c r="H140" s="21">
        <f>SUMIFS('MP_RECARGAS'!H:H,'MP_RECARGAS'!$A:$A,$A140,'MP_RECARGAS'!$B:$B,$B140)</f>
        <v/>
      </c>
      <c r="I140" s="21">
        <f>SUMIFS('MP_RECARGAS'!I:I,'MP_RECARGAS'!$A:$A,$A140,'MP_RECARGAS'!$B:$B,$B140)</f>
        <v/>
      </c>
      <c r="J140" s="21">
        <f>SUMIFS('MP_RECARGAS'!J:J,'MP_RECARGAS'!$A:$A,$A140,'MP_RECARGAS'!$B:$B,$B140)</f>
        <v/>
      </c>
      <c r="K140" s="21">
        <f>SUMIFS('MP_RECARGAS'!K:K,'MP_RECARGAS'!$A:$A,$A140,'MP_RECARGAS'!$B:$B,$B140)</f>
        <v/>
      </c>
      <c r="L140" s="21">
        <f>SUMIFS('MP_RECARGAS'!L:L,'MP_RECARGAS'!$A:$A,$A140,'MP_RECARGAS'!$B:$B,$B140)</f>
        <v/>
      </c>
      <c r="M140" s="21">
        <f>SUMIFS('MP_RECARGAS'!M:M,'MP_RECARGAS'!$A:$A,$A140,'MP_RECARGAS'!$B:$B,$B140)</f>
        <v/>
      </c>
      <c r="N140" s="21">
        <f>SUMIFS('MP_RECARGAS'!N:N,'MP_RECARGAS'!$A:$A,$A140,'MP_RECARGAS'!$B:$B,$B140)</f>
        <v/>
      </c>
      <c r="O140" s="21">
        <f>SUMIFS('MP_RECARGAS'!O:O,'MP_RECARGAS'!$A:$A,$A140,'MP_RECARGAS'!$B:$B,$B140)</f>
        <v/>
      </c>
    </row>
  </sheetData>
  <autoFilter ref="A4:E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2026-10-09T18:54:50Z</dcterms:created>
  <dcterms:modified xmlns:dcterms="http://purl.org/dc/terms/" xmlns:xsi="http://www.w3.org/2001/XMLSchema-instance" xsi:type="dcterms:W3CDTF">2026-10-09T18:54:50Z</dcterms:modified>
</cp:coreProperties>
</file>