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'MP_MATAFUEGOS_FABRICADOS'!$A$16:$E$119</definedName>
    <definedName name="_xlnm._FilterDatabase" localSheetId="5" hidden="1">'MP_MATAFUEGOS_REVENDIDOS'!$A$16:$E$26</definedName>
    <definedName name="_xlnm._FilterDatabase" localSheetId="6" hidden="1">'MP_CILINDROS'!$A$16:$E$63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8B8B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9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0.3448</v>
      </c>
      <c r="AP17" s="22" t="n">
        <v>0.358</v>
      </c>
      <c r="AQ17" s="22" t="n">
        <v>0.415</v>
      </c>
      <c r="AR17" s="22" t="n">
        <v>0.4267</v>
      </c>
    </row>
    <row r="18">
      <c r="A18" s="2" t="inlineStr">
        <is>
          <t>Caño Ø76,2 × 1,25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K18" s="22" t="n">
        <v>0.0435</v>
      </c>
    </row>
    <row r="19">
      <c r="A19" s="2" t="inlineStr">
        <is>
          <t>Chapa LAC 1500 × 3000 e=3,2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O19" s="22" t="n">
        <v>12.558</v>
      </c>
      <c r="AP19" s="22" t="n">
        <v>18.845</v>
      </c>
    </row>
    <row r="20">
      <c r="A20" s="23" t="inlineStr">
        <is>
          <t>Chapa LAC 1500 × 3000 e=4,75</t>
        </is>
      </c>
      <c r="B20" s="23" t="inlineStr">
        <is>
          <t>kg</t>
        </is>
      </c>
      <c r="C20" s="23" t="inlineStr">
        <is>
          <t>Materia prima</t>
        </is>
      </c>
      <c r="D20" s="23" t="inlineStr">
        <is>
          <t>Pradecon S.A.</t>
        </is>
      </c>
      <c r="E20" s="23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Q20" s="22" t="n">
        <v>55.953</v>
      </c>
      <c r="AR20" s="22" t="n">
        <v>55.91</v>
      </c>
    </row>
    <row r="21">
      <c r="A21" s="2" t="inlineStr">
        <is>
          <t>Chapa LAF 1000 × 2000 e=1,6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M21" s="22" t="n">
        <v>2.092</v>
      </c>
    </row>
    <row r="22">
      <c r="A22" s="2" t="inlineStr">
        <is>
          <t>Chapa LAF 1220 × 2440 e=1,25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L22" s="22" t="n">
        <v>1.082</v>
      </c>
    </row>
    <row r="23">
      <c r="A23" s="2" t="inlineStr">
        <is>
          <t>Chapa LAF 1500 × 3000 e=2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N23" s="22" t="n">
        <v>4.71</v>
      </c>
    </row>
    <row r="24">
      <c r="A24" s="2" t="inlineStr">
        <is>
          <t>Fleje e=0,9 × 114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0.111</v>
      </c>
    </row>
    <row r="25">
      <c r="A25" s="2" t="inlineStr">
        <is>
          <t>Fleje e=1,25 × 106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0.103</v>
      </c>
    </row>
    <row r="26">
      <c r="A26" s="2" t="inlineStr">
        <is>
          <t>Fleje e=1,25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L26" s="22" t="n">
        <v>0.333</v>
      </c>
    </row>
    <row r="27">
      <c r="A27" s="2" t="inlineStr">
        <is>
          <t>Fleje e=1,6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0.18</v>
      </c>
    </row>
    <row r="28">
      <c r="A28" s="2" t="inlineStr">
        <is>
          <t>Fleje e=1,6 × 250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0.224</v>
      </c>
    </row>
    <row r="29">
      <c r="A29" s="2" t="inlineStr">
        <is>
          <t>Fleje e=1,6 × 300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0.261</v>
      </c>
    </row>
    <row r="30">
      <c r="A30" s="2" t="inlineStr">
        <is>
          <t>Fleje e=2 × 249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0.208</v>
      </c>
    </row>
    <row r="31">
      <c r="A31" s="24" t="inlineStr">
        <is>
          <t>Planchuela SAE 1010 30 × 3</t>
        </is>
      </c>
      <c r="B31" s="24" t="inlineStr">
        <is>
          <t>barra 6 m</t>
        </is>
      </c>
      <c r="C31" s="24" t="inlineStr">
        <is>
          <t>Materia prima</t>
        </is>
      </c>
      <c r="D31" s="24" t="inlineStr">
        <is>
          <t>Hierros Parrotta</t>
        </is>
      </c>
      <c r="E31" s="24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O31" s="22" t="n">
        <v>0.6933</v>
      </c>
      <c r="AP31" s="22" t="n">
        <v>0.7019</v>
      </c>
      <c r="AQ31" s="22" t="n">
        <v>0.2351</v>
      </c>
      <c r="AR31" s="22" t="n">
        <v>0.2461</v>
      </c>
    </row>
    <row r="32">
      <c r="A32" s="24" t="inlineStr">
        <is>
          <t>Planchuela SAE 1010 40 × 4</t>
        </is>
      </c>
      <c r="B32" s="24" t="inlineStr">
        <is>
          <t>barra 6 m</t>
        </is>
      </c>
      <c r="C32" s="24" t="inlineStr">
        <is>
          <t>Materia prima</t>
        </is>
      </c>
      <c r="D32" s="24" t="inlineStr">
        <is>
          <t>Hierros Parrotta</t>
        </is>
      </c>
      <c r="E32" s="24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Q32" s="22" t="n">
        <v>0.6106</v>
      </c>
      <c r="AR32" s="22" t="n">
        <v>0.6891</v>
      </c>
    </row>
    <row r="33">
      <c r="A33" s="24" t="inlineStr">
        <is>
          <t>Recorte de chapa LAC e=3,2 para el apoyo plegado</t>
        </is>
      </c>
      <c r="B33" s="24" t="inlineStr">
        <is>
          <t>kg</t>
        </is>
      </c>
      <c r="C33" s="24" t="inlineStr">
        <is>
          <t>Materia prima</t>
        </is>
      </c>
      <c r="D33" s="24" t="inlineStr">
        <is>
          <t>Pradecon S.A.</t>
        </is>
      </c>
      <c r="E33" s="24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O33" s="22" t="n">
        <v>0.348</v>
      </c>
      <c r="AP33" s="22" t="n">
        <v>0.348</v>
      </c>
      <c r="AQ33" s="22" t="n">
        <v>0.348</v>
      </c>
      <c r="AR33" s="22" t="n">
        <v>0.348</v>
      </c>
    </row>
    <row r="34">
      <c r="A34" s="2" t="inlineStr">
        <is>
          <t>Redondo SAE 1045 Ø25</t>
        </is>
      </c>
      <c r="B34" s="2" t="inlineStr">
        <is>
          <t>barra 6 m</t>
        </is>
      </c>
      <c r="C34" s="2" t="inlineStr">
        <is>
          <t>Materia prima</t>
        </is>
      </c>
      <c r="D34" s="2" t="inlineStr">
        <is>
          <t>Hierros Parrotta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0.0608</v>
      </c>
      <c r="AP34" s="22" t="n">
        <v>0.0577</v>
      </c>
      <c r="AQ34" s="22" t="n">
        <v>0.07580000000000001</v>
      </c>
      <c r="AR34" s="22" t="n">
        <v>0.08169999999999999</v>
      </c>
    </row>
    <row r="35">
      <c r="A35" s="24" t="inlineStr">
        <is>
          <t>Redondo liso SAE 1010 Ø8</t>
        </is>
      </c>
      <c r="B35" s="24" t="inlineStr">
        <is>
          <t>barra 6 m</t>
        </is>
      </c>
      <c r="C35" s="24" t="inlineStr">
        <is>
          <t>Materia prima</t>
        </is>
      </c>
      <c r="D35" s="24" t="inlineStr">
        <is>
          <t>Hierros Parrotta</t>
        </is>
      </c>
      <c r="E35" s="24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Q35" s="22" t="n">
        <v>0.128</v>
      </c>
      <c r="AR35" s="22" t="n">
        <v>0.1478</v>
      </c>
    </row>
    <row r="36">
      <c r="A36" s="2" t="inlineStr">
        <is>
          <t>Cuello roscado — Ø29 × 12,5 de alto, rosca M22x1,5, asiento Ø26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K36" s="22" t="n">
        <v>1</v>
      </c>
    </row>
    <row r="37">
      <c r="A37" s="2" t="inlineStr">
        <is>
          <t>Cuello roscado — Ø36,8 × 14 de alto, rosca M30x1,5, asiento Ø35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N37" s="22" t="n">
        <v>1</v>
      </c>
    </row>
    <row r="38">
      <c r="A38" s="2" t="inlineStr">
        <is>
          <t>Cuello roscado — Ø37 × 14 de alto, rosca M30x1,5, asiento Ø35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Eli-Met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L38" s="22" t="n">
        <v>1</v>
      </c>
    </row>
    <row r="39">
      <c r="A39" s="2" t="inlineStr">
        <is>
          <t>Cuello roscado — Ø37 × 15 de alto, rosca M30x1,5, asiento Ø35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Eli-Met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M39" s="22" t="n">
        <v>1</v>
      </c>
    </row>
    <row r="40">
      <c r="A40" s="2" t="inlineStr">
        <is>
          <t>Cuello roscado — Ø37 × 35 de alto, rosca M30x1,5, asiento Ø35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Eli-Met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O40" s="22" t="n">
        <v>1</v>
      </c>
    </row>
    <row r="41">
      <c r="A41" s="2" t="inlineStr">
        <is>
          <t>Cuello roscado — Ø88 × 37 de alto, rosca RBSP 2 1/2"-11 h, asiento Ø80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Eli-Met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P41" s="22" t="n">
        <v>1</v>
      </c>
      <c r="AQ41" s="22" t="n">
        <v>1</v>
      </c>
      <c r="AR41" s="22" t="n">
        <v>1</v>
      </c>
    </row>
    <row r="42">
      <c r="A42" s="2" t="inlineStr">
        <is>
          <t>Cúpula — Ø276,5 × e3,2 × 86,3 de alto; disco Ø341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O42" s="22" t="n">
        <v>1</v>
      </c>
    </row>
    <row r="43">
      <c r="A43" s="2" t="inlineStr">
        <is>
          <t>Cúpula — Ø320 × e3,2 × 101,7 de alto; disco Ø393,8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P43" s="22" t="n">
        <v>1</v>
      </c>
    </row>
    <row r="44">
      <c r="A44" s="2" t="inlineStr">
        <is>
          <t>Cúpula — Ø350 × e4,75 × 111,8 de alto; disco Ø430,9</t>
        </is>
      </c>
      <c r="B44" s="2" t="inlineStr">
        <is>
          <t>u</t>
        </is>
      </c>
      <c r="C44" s="2" t="inlineStr">
        <is>
          <t>Semielaborado comprado</t>
        </is>
      </c>
      <c r="D44" s="2" t="inlineStr">
        <is>
          <t>Gockel Ingeniería S.R.L.</t>
        </is>
      </c>
      <c r="E44" s="2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Q44" s="22" t="n">
        <v>1</v>
      </c>
    </row>
    <row r="45">
      <c r="A45" s="2" t="inlineStr">
        <is>
          <t>Cúpula — Ø390 × e4,75 × 125,2 de alto; disco Ø482,2</t>
        </is>
      </c>
      <c r="B45" s="2" t="inlineStr">
        <is>
          <t>u</t>
        </is>
      </c>
      <c r="C45" s="2" t="inlineStr">
        <is>
          <t>Semielaborado comprado</t>
        </is>
      </c>
      <c r="D45" s="2" t="inlineStr">
        <is>
          <t>Gockel Ingeniería S.R.L.</t>
        </is>
      </c>
      <c r="E45" s="2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R45" s="22" t="n">
        <v>1</v>
      </c>
    </row>
    <row r="46">
      <c r="A46" s="2" t="inlineStr">
        <is>
          <t>Fondo — Ø276,5 × e3,2 × 87 de alto; disco Ø347,3</t>
        </is>
      </c>
      <c r="B46" s="2" t="inlineStr">
        <is>
          <t>u</t>
        </is>
      </c>
      <c r="C46" s="2" t="inlineStr">
        <is>
          <t>Semielaborado comprado</t>
        </is>
      </c>
      <c r="D46" s="2" t="inlineStr">
        <is>
          <t>Gockel Ingeniería S.R.L.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O46" s="22" t="n">
        <v>1</v>
      </c>
    </row>
    <row r="47">
      <c r="A47" s="2" t="inlineStr">
        <is>
          <t>Fondo — Ø320 × e3,2 × 105 de alto; disco Ø408,5</t>
        </is>
      </c>
      <c r="B47" s="2" t="inlineStr">
        <is>
          <t>u</t>
        </is>
      </c>
      <c r="C47" s="2" t="inlineStr">
        <is>
          <t>Semielaborado comprado</t>
        </is>
      </c>
      <c r="D47" s="2" t="inlineStr">
        <is>
          <t>Gockel Ingeniería S.R.L.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P47" s="22" t="n">
        <v>1</v>
      </c>
    </row>
    <row r="48">
      <c r="A48" s="2" t="inlineStr">
        <is>
          <t>Fondo — Ø350 × e4,75 × 114,8 de alto; disco Ø443,7</t>
        </is>
      </c>
      <c r="B48" s="2" t="inlineStr">
        <is>
          <t>u</t>
        </is>
      </c>
      <c r="C48" s="2" t="inlineStr">
        <is>
          <t>Semielaborado comprado</t>
        </is>
      </c>
      <c r="D48" s="2" t="inlineStr">
        <is>
          <t>Gockel Ingeniería S.R.L.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Q48" s="22" t="n">
        <v>1</v>
      </c>
    </row>
    <row r="49">
      <c r="A49" s="2" t="inlineStr">
        <is>
          <t>Fondo — Ø390 × e4,75 × 127,9 de alto; disco Ø495,6</t>
        </is>
      </c>
      <c r="B49" s="2" t="inlineStr">
        <is>
          <t>u</t>
        </is>
      </c>
      <c r="C49" s="2" t="inlineStr">
        <is>
          <t>Semielaborado comprado</t>
        </is>
      </c>
      <c r="D49" s="2" t="inlineStr">
        <is>
          <t>Gockel Ingeniería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R49" s="22" t="n">
        <v>1</v>
      </c>
    </row>
    <row r="50">
      <c r="A50" s="2" t="inlineStr">
        <is>
          <t>Junta tórica de asiento — Ø23,4 ext. × cordón 3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Argensold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Junta tórica de asiento — Ø31,4 ext. × cordón 3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Argensold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  <c r="AM51" s="22" t="n">
        <v>1</v>
      </c>
      <c r="AN51" s="22" t="n">
        <v>1</v>
      </c>
      <c r="AO51" s="22" t="n">
        <v>1</v>
      </c>
    </row>
    <row r="52">
      <c r="A52" s="2" t="inlineStr">
        <is>
          <t>Junta tórica de asiento — Ø75,2 ext. × cordón 3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Argensold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P52" s="22" t="n">
        <v>1</v>
      </c>
      <c r="AQ52" s="22" t="n">
        <v>1</v>
      </c>
      <c r="AR52" s="22" t="n">
        <v>1</v>
      </c>
    </row>
    <row r="53">
      <c r="A53" s="2" t="inlineStr">
        <is>
          <t>Manguera (tramo enrollado) — Ø25 × 1.263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P53" s="22" t="n">
        <v>1</v>
      </c>
    </row>
    <row r="54">
      <c r="A54" s="2" t="inlineStr">
        <is>
          <t>Manguera (tramo enrollado) — Ø25 × 1.544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Q54" s="22" t="n">
        <v>1</v>
      </c>
    </row>
    <row r="55">
      <c r="A55" s="2" t="inlineStr">
        <is>
          <t>Manguera (tramo enrollado) — Ø25 × 1.767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R55" s="22" t="n">
        <v>1</v>
      </c>
    </row>
    <row r="56">
      <c r="A56" s="2" t="inlineStr">
        <is>
          <t>Manguera (tramo enrollado) — Ø25 × 992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O56" s="22" t="n">
        <v>1</v>
      </c>
    </row>
    <row r="57">
      <c r="A57" s="2" t="inlineStr">
        <is>
          <t>Manguera — Ø16 × 1.107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O57" s="22" t="n">
        <v>1</v>
      </c>
    </row>
    <row r="58">
      <c r="A58" s="2" t="inlineStr">
        <is>
          <t>Manguera — Ø16 × 1.400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P58" s="22" t="n">
        <v>1</v>
      </c>
    </row>
    <row r="59">
      <c r="A59" s="2" t="inlineStr">
        <is>
          <t>Manguera — Ø16 × 1.674 de largo desarrollado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Q59" s="22" t="n">
        <v>1</v>
      </c>
    </row>
    <row r="60">
      <c r="A60" s="2" t="inlineStr">
        <is>
          <t>Manguera — Ø16 × 1.915 de largo desarrollado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Yukon / MatafuegosYa S.R.L.</t>
        </is>
      </c>
      <c r="E60" s="2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R60" s="22" t="n">
        <v>1</v>
      </c>
    </row>
    <row r="61">
      <c r="A61" s="2" t="inlineStr">
        <is>
          <t>Manguera — Ø16 × 224 de largo desarrollado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Yukon / MatafuegosYa S.R.L.</t>
        </is>
      </c>
      <c r="E61" s="2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L61" s="22" t="n">
        <v>1</v>
      </c>
    </row>
    <row r="62">
      <c r="A62" s="2" t="inlineStr">
        <is>
          <t>Manguera — Ø16 × 298 de largo desarrollado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M62" s="22" t="n">
        <v>1</v>
      </c>
    </row>
    <row r="63">
      <c r="A63" s="2" t="inlineStr">
        <is>
          <t>Manguera — Ø16 × 458 de largo desarrollado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N63" s="22" t="n">
        <v>1</v>
      </c>
    </row>
    <row r="64">
      <c r="A64" s="25" t="inlineStr">
        <is>
          <t>Manómetro — Ø28 esfera, rango 0-3,5 MPa, sector verde en 1,4</t>
        </is>
      </c>
      <c r="B64" s="25" t="inlineStr">
        <is>
          <t>u</t>
        </is>
      </c>
      <c r="C64" s="25" t="inlineStr">
        <is>
          <t>Componente comprado</t>
        </is>
      </c>
      <c r="D64" s="25" t="inlineStr">
        <is>
          <t>Yukon / MatafuegosYa S.R.L.</t>
        </is>
      </c>
      <c r="E64" s="25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K64" s="22" t="n">
        <v>1</v>
      </c>
    </row>
    <row r="65">
      <c r="A65" s="25" t="inlineStr">
        <is>
          <t>Manómetro — Ø38 esfera, rango 0-3,5 MPa, sector verde en 1,4</t>
        </is>
      </c>
      <c r="B65" s="25" t="inlineStr">
        <is>
          <t>u</t>
        </is>
      </c>
      <c r="C65" s="25" t="inlineStr">
        <is>
          <t>Componente comprado</t>
        </is>
      </c>
      <c r="D65" s="25" t="inlineStr">
        <is>
          <t>Yukon / MatafuegosYa S.R.L.</t>
        </is>
      </c>
      <c r="E65" s="25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L65" s="22" t="n">
        <v>1</v>
      </c>
      <c r="AM65" s="22" t="n">
        <v>1</v>
      </c>
      <c r="AN65" s="22" t="n">
        <v>1</v>
      </c>
    </row>
    <row r="66">
      <c r="A66" s="25" t="inlineStr">
        <is>
          <t>Manómetro — Ø50 esfera, rango 0-3,5 MPa, sector verde en 1,4</t>
        </is>
      </c>
      <c r="B66" s="25" t="inlineStr">
        <is>
          <t>u</t>
        </is>
      </c>
      <c r="C66" s="25" t="inlineStr">
        <is>
          <t>Componente comprado</t>
        </is>
      </c>
      <c r="D66" s="25" t="inlineStr">
        <is>
          <t>Yukon / MatafuegosYa S.R.L.</t>
        </is>
      </c>
      <c r="E66" s="25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O66" s="22" t="n">
        <v>1</v>
      </c>
      <c r="AP66" s="22" t="n">
        <v>1</v>
      </c>
      <c r="AQ66" s="22" t="n">
        <v>1</v>
      </c>
      <c r="AR66" s="22" t="n">
        <v>1</v>
      </c>
    </row>
    <row r="67">
      <c r="A67" s="25" t="inlineStr">
        <is>
          <t>Neumático macizo — Ø300 × 55 de ancho</t>
        </is>
      </c>
      <c r="B67" s="25" t="inlineStr">
        <is>
          <t>u</t>
        </is>
      </c>
      <c r="C67" s="25" t="inlineStr">
        <is>
          <t>Componente comprado</t>
        </is>
      </c>
      <c r="D67" s="25" t="inlineStr">
        <is>
          <t>Ruedar</t>
        </is>
      </c>
      <c r="E67" s="25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O67" s="22" t="n">
        <v>2</v>
      </c>
    </row>
    <row r="68">
      <c r="A68" s="2" t="inlineStr">
        <is>
          <t>Neumático macizo — Ø350 × 70 de ancho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Ruedar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P68" s="22" t="n">
        <v>2</v>
      </c>
      <c r="AQ68" s="22" t="n">
        <v>2</v>
      </c>
    </row>
    <row r="69">
      <c r="A69" s="23" t="inlineStr">
        <is>
          <t>Neumático macizo — Ø400 × 80 de ancho</t>
        </is>
      </c>
      <c r="B69" s="23" t="inlineStr">
        <is>
          <t>u</t>
        </is>
      </c>
      <c r="C69" s="23" t="inlineStr">
        <is>
          <t>Componente comprado</t>
        </is>
      </c>
      <c r="D69" s="23" t="inlineStr">
        <is>
          <t>Ruedar</t>
        </is>
      </c>
      <c r="E69" s="23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R69" s="22" t="n">
        <v>2</v>
      </c>
    </row>
    <row r="70">
      <c r="A70" s="2" t="inlineStr">
        <is>
          <t>Racor de manguera — 18 × 18 × 12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L70" s="22" t="n">
        <v>1</v>
      </c>
      <c r="AM70" s="22" t="n">
        <v>1</v>
      </c>
      <c r="AN70" s="22" t="n">
        <v>1</v>
      </c>
    </row>
    <row r="71">
      <c r="A71" s="2" t="inlineStr">
        <is>
          <t>Racor de manguera — 24 × 24 × 16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O71" s="22" t="n">
        <v>1</v>
      </c>
      <c r="AP71" s="22" t="n">
        <v>1</v>
      </c>
      <c r="AQ71" s="22" t="n">
        <v>1</v>
      </c>
      <c r="AR71" s="22" t="n">
        <v>1</v>
      </c>
    </row>
    <row r="72">
      <c r="A72" s="2" t="inlineStr">
        <is>
          <t>Suncho portatobera — 130,9 × 127 × 18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Yukon / MatafuegosYa S.R.L.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L72" s="22" t="n">
        <v>1</v>
      </c>
    </row>
    <row r="73">
      <c r="A73" s="2" t="inlineStr">
        <is>
          <t>Suncho portatobera — 159,9 × 156 × 18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M73" s="22" t="n">
        <v>1</v>
      </c>
    </row>
    <row r="74">
      <c r="A74" s="2" t="inlineStr">
        <is>
          <t>Suncho portatobera — 188,4 × 184,5 × 18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Yukon / MatafuegosYa S.R.L.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N74" s="22" t="n">
        <v>1</v>
      </c>
    </row>
    <row r="75">
      <c r="A75" s="2" t="inlineStr">
        <is>
          <t>Tobera campana — 200 × 68 × 68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Yukon / MatafuegosYa S.R.L.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O75" s="22" t="n">
        <v>1</v>
      </c>
      <c r="AP75" s="22" t="n">
        <v>1</v>
      </c>
      <c r="AQ75" s="22" t="n">
        <v>1</v>
      </c>
      <c r="AR75" s="22" t="n">
        <v>1</v>
      </c>
    </row>
    <row r="76">
      <c r="A76" s="2" t="inlineStr">
        <is>
          <t>Tobera con portatobera — 75 × 24 × 24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Yukon / MatafuegosYa S.R.L.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L76" s="22" t="n">
        <v>1</v>
      </c>
      <c r="AM76" s="22" t="n">
        <v>1</v>
      </c>
      <c r="AN76" s="22" t="n">
        <v>1</v>
      </c>
    </row>
    <row r="77">
      <c r="A77" s="2" t="inlineStr">
        <is>
          <t>Tobera — 26 × 9,6 × 9,6</t>
        </is>
      </c>
      <c r="B77" s="2" t="inlineStr">
        <is>
          <t>u</t>
        </is>
      </c>
      <c r="C77" s="2" t="inlineStr">
        <is>
          <t>Componente comprado</t>
        </is>
      </c>
      <c r="D77" s="2" t="inlineStr">
        <is>
          <t>Yukon / MatafuegosYa S.R.L.</t>
        </is>
      </c>
      <c r="E77" s="2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K77" s="22" t="n">
        <v>1</v>
      </c>
    </row>
    <row r="78">
      <c r="A78" s="2" t="inlineStr">
        <is>
          <t>Válvula HZ armada M-22 1 kg c/tubo de pesca plástico</t>
        </is>
      </c>
      <c r="B78" s="2" t="inlineStr">
        <is>
          <t>u</t>
        </is>
      </c>
      <c r="C78" s="2" t="inlineStr">
        <is>
          <t>Componente comprado</t>
        </is>
      </c>
      <c r="D78" s="2" t="inlineStr">
        <is>
          <t>Polvex S.R.L. / Sancibrao</t>
        </is>
      </c>
      <c r="E78" s="2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K78" s="22" t="n">
        <v>1</v>
      </c>
    </row>
    <row r="79">
      <c r="A79" s="2" t="inlineStr">
        <is>
          <t>Válvula HZ armada M-30 c/resorte y tubo 7/8</t>
        </is>
      </c>
      <c r="B79" s="2" t="inlineStr">
        <is>
          <t>u</t>
        </is>
      </c>
      <c r="C79" s="2" t="inlineStr">
        <is>
          <t>Componente comprado</t>
        </is>
      </c>
      <c r="D79" s="2" t="inlineStr">
        <is>
          <t>Polvex S.R.L. / Sancibrao</t>
        </is>
      </c>
      <c r="E79" s="2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L79" s="22" t="n">
        <v>1</v>
      </c>
      <c r="AM79" s="22" t="n">
        <v>1</v>
      </c>
      <c r="AN79" s="22" t="n">
        <v>1</v>
      </c>
    </row>
    <row r="80">
      <c r="A80" s="2" t="inlineStr">
        <is>
          <t>Válvula HZ armada de carro 25 kg c/traba, manija y resorte</t>
        </is>
      </c>
      <c r="B80" s="2" t="inlineStr">
        <is>
          <t>u</t>
        </is>
      </c>
      <c r="C80" s="2" t="inlineStr">
        <is>
          <t>Componente comprado</t>
        </is>
      </c>
      <c r="D80" s="2" t="inlineStr">
        <is>
          <t>Polvex S.R.L. / Sancibrao</t>
        </is>
      </c>
      <c r="E80" s="2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O80" s="22" t="n">
        <v>1</v>
      </c>
    </row>
    <row r="81">
      <c r="A81" s="2" t="inlineStr">
        <is>
          <t>Válvula HZ armada de carro 50-70-100 kg</t>
        </is>
      </c>
      <c r="B81" s="2" t="inlineStr">
        <is>
          <t>u</t>
        </is>
      </c>
      <c r="C81" s="2" t="inlineStr">
        <is>
          <t>Componente comprado</t>
        </is>
      </c>
      <c r="D81" s="2" t="inlineStr">
        <is>
          <t>Polvex S.R.L. / Sancibrao</t>
        </is>
      </c>
      <c r="E81" s="2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P81" s="22" t="n">
        <v>1</v>
      </c>
      <c r="AQ81" s="22" t="n">
        <v>1</v>
      </c>
      <c r="AR81" s="22" t="n">
        <v>1</v>
      </c>
    </row>
    <row r="82">
      <c r="A82" s="2" t="inlineStr">
        <is>
          <t>Válvula esférica — 130 × 60 × 40</t>
        </is>
      </c>
      <c r="B82" s="2" t="inlineStr">
        <is>
          <t>u</t>
        </is>
      </c>
      <c r="C82" s="2" t="inlineStr">
        <is>
          <t>Componente comprado</t>
        </is>
      </c>
      <c r="D82" s="2" t="inlineStr">
        <is>
          <t>Yukon / MatafuegosYa S.R.L.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O82" s="22" t="n">
        <v>1</v>
      </c>
      <c r="AP82" s="22" t="n">
        <v>1</v>
      </c>
      <c r="AQ82" s="22" t="n">
        <v>1</v>
      </c>
      <c r="AR82" s="22" t="n">
        <v>1</v>
      </c>
    </row>
    <row r="83">
      <c r="A83" s="24" t="inlineStr">
        <is>
          <t>Alambre MAG ER70S-6 Ø0,9 (AWS A5.18)</t>
        </is>
      </c>
      <c r="B83" s="24" t="inlineStr">
        <is>
          <t>kg</t>
        </is>
      </c>
      <c r="C83" s="24" t="inlineStr">
        <is>
          <t>Consumible de proceso</t>
        </is>
      </c>
      <c r="D83" s="24" t="inlineStr">
        <is>
          <t>Conarco (ESAB Argentina)</t>
        </is>
      </c>
      <c r="E83" s="24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K83" s="22" t="n">
        <v>0.0208</v>
      </c>
      <c r="AL83" s="22" t="n">
        <v>0.0294</v>
      </c>
      <c r="AM83" s="22" t="n">
        <v>0.0553</v>
      </c>
      <c r="AN83" s="22" t="n">
        <v>0.0987</v>
      </c>
    </row>
    <row r="84">
      <c r="A84" s="24" t="inlineStr">
        <is>
          <t>Alambre MAG ER70S-6 Ø1,2 (AWS A5.18)</t>
        </is>
      </c>
      <c r="B84" s="24" t="inlineStr">
        <is>
          <t>kg</t>
        </is>
      </c>
      <c r="C84" s="24" t="inlineStr">
        <is>
          <t>Consumible de proceso</t>
        </is>
      </c>
      <c r="D84" s="24" t="inlineStr">
        <is>
          <t>Conarco (ESAB Argentina)</t>
        </is>
      </c>
      <c r="E84" s="24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O84" s="22" t="n">
        <v>0.3429</v>
      </c>
      <c r="AP84" s="22" t="n">
        <v>0.426</v>
      </c>
      <c r="AQ84" s="22" t="n">
        <v>0.9913999999999999</v>
      </c>
      <c r="AR84" s="22" t="n">
        <v>1.0968</v>
      </c>
    </row>
    <row r="85">
      <c r="A85" s="24" t="inlineStr">
        <is>
          <t>Gas de protección MAG Arcal 21 / ARCAL Speed (Ar + 8 % CO₂, M20)</t>
        </is>
      </c>
      <c r="B85" s="24" t="inlineStr">
        <is>
          <t>L</t>
        </is>
      </c>
      <c r="C85" s="24" t="inlineStr">
        <is>
          <t>Consumible de proceso</t>
        </is>
      </c>
      <c r="D85" s="24" t="inlineStr">
        <is>
          <t>Air Liquide Argentina - sucursal Piñeyro</t>
        </is>
      </c>
      <c r="E85" s="24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K85" s="22" t="n">
        <v>13.3</v>
      </c>
      <c r="AL85" s="22" t="n">
        <v>27</v>
      </c>
      <c r="AM85" s="22" t="n">
        <v>32.6</v>
      </c>
      <c r="AN85" s="22" t="n">
        <v>40.7</v>
      </c>
      <c r="AO85" s="22" t="n">
        <v>54.8</v>
      </c>
      <c r="AP85" s="22" t="n">
        <v>68.3</v>
      </c>
      <c r="AQ85" s="22" t="n">
        <v>76.40000000000001</v>
      </c>
      <c r="AR85" s="22" t="n">
        <v>85</v>
      </c>
    </row>
    <row r="86">
      <c r="A86" s="23" t="inlineStr">
        <is>
          <t>Granalla de acero S330 / S390 (ISO 11124-3, SAE J444)</t>
        </is>
      </c>
      <c r="B86" s="23" t="inlineStr">
        <is>
          <t>kg</t>
        </is>
      </c>
      <c r="C86" s="23" t="inlineStr">
        <is>
          <t>Consumible de proceso</t>
        </is>
      </c>
      <c r="D86" s="23" t="inlineStr">
        <is>
          <t>CyM Materiales</t>
        </is>
      </c>
      <c r="E86" s="23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K86" s="22" t="n">
        <v>0.08</v>
      </c>
      <c r="AL86" s="22" t="n">
        <v>0.08</v>
      </c>
      <c r="AM86" s="22" t="n">
        <v>0.08</v>
      </c>
      <c r="AN86" s="22" t="n">
        <v>0.08</v>
      </c>
    </row>
    <row r="87">
      <c r="A87" s="2" t="inlineStr">
        <is>
          <t>Servicio de pintura en polvo al horno, rojo 03-1-050</t>
        </is>
      </c>
      <c r="B87" s="2" t="inlineStr">
        <is>
          <t>u</t>
        </is>
      </c>
      <c r="C87" s="2" t="inlineStr">
        <is>
          <t>Servicio</t>
        </is>
      </c>
      <c r="D87" s="2" t="inlineStr">
        <is>
          <t>Prymax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  <c r="AL87" s="22" t="n">
        <v>1</v>
      </c>
      <c r="AM87" s="22" t="n">
        <v>1</v>
      </c>
      <c r="AN87" s="22" t="n">
        <v>1</v>
      </c>
    </row>
    <row r="88">
      <c r="A88" s="2" t="inlineStr">
        <is>
          <t>Servicio de pintura en polvo al horno, rojo 03-1-050 (con preparación por quemado)</t>
        </is>
      </c>
      <c r="B88" s="2" t="inlineStr">
        <is>
          <t>u</t>
        </is>
      </c>
      <c r="C88" s="2" t="inlineStr">
        <is>
          <t>Servicio</t>
        </is>
      </c>
      <c r="D88" s="2" t="inlineStr">
        <is>
          <t>Pintor de carros (cotización por mensaje)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O88" s="22" t="n">
        <v>1</v>
      </c>
      <c r="AP88" s="22" t="n">
        <v>1</v>
      </c>
      <c r="AQ88" s="22" t="n">
        <v>1</v>
      </c>
      <c r="AR88" s="22" t="n">
        <v>1</v>
      </c>
    </row>
    <row r="89">
      <c r="A89" s="24" t="inlineStr">
        <is>
          <t>Gas impulsor: N₂</t>
        </is>
      </c>
      <c r="B89" s="24" t="inlineStr">
        <is>
          <t>kg</t>
        </is>
      </c>
      <c r="C89" s="24" t="inlineStr">
        <is>
          <t>Carga (agente y gas)</t>
        </is>
      </c>
      <c r="D89" s="24" t="inlineStr">
        <is>
          <t>Air Liquide Argentina - sucursal Piñeyro</t>
        </is>
      </c>
      <c r="E89" s="24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K89" s="22" t="n">
        <v>0.0047</v>
      </c>
      <c r="AL89" s="22" t="n">
        <v>0.0212</v>
      </c>
      <c r="AM89" s="22" t="n">
        <v>0.0251</v>
      </c>
      <c r="AN89" s="22" t="n">
        <v>0.0588</v>
      </c>
      <c r="AO89" s="22" t="n">
        <v>0.2013</v>
      </c>
      <c r="AP89" s="22" t="n">
        <v>0.2819</v>
      </c>
      <c r="AQ89" s="22" t="n">
        <v>0.3856</v>
      </c>
      <c r="AR89" s="22" t="n">
        <v>0.5534</v>
      </c>
    </row>
    <row r="90">
      <c r="A90" s="24" t="inlineStr">
        <is>
          <t>Polvo químico seco ABC 60 (Sello IRAM 3569)</t>
        </is>
      </c>
      <c r="B90" s="24" t="inlineStr">
        <is>
          <t>kg</t>
        </is>
      </c>
      <c r="C90" s="24" t="inlineStr">
        <is>
          <t>Carga (agente y gas)</t>
        </is>
      </c>
      <c r="D90" s="24" t="inlineStr">
        <is>
          <t>DEM S.A. (DEMSA)</t>
        </is>
      </c>
      <c r="E90" s="24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K90" s="22" t="n">
        <v>1.05</v>
      </c>
      <c r="AL90" s="22" t="n">
        <v>2.55</v>
      </c>
      <c r="AM90" s="22" t="n">
        <v>5.15</v>
      </c>
      <c r="AN90" s="22" t="n">
        <v>10.15</v>
      </c>
    </row>
    <row r="91">
      <c r="A91" s="24" t="inlineStr">
        <is>
          <t>Polvo químico seco ABC 90 (Sello IRAM 3569)</t>
        </is>
      </c>
      <c r="B91" s="24" t="inlineStr">
        <is>
          <t>kg</t>
        </is>
      </c>
      <c r="C91" s="24" t="inlineStr">
        <is>
          <t>Carga (agente y gas)</t>
        </is>
      </c>
      <c r="D91" s="24" t="inlineStr">
        <is>
          <t>DEM S.A. (DEMSA)</t>
        </is>
      </c>
      <c r="E91" s="24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O91" s="22" t="n">
        <v>25</v>
      </c>
      <c r="AP91" s="22" t="n">
        <v>50</v>
      </c>
      <c r="AQ91" s="22" t="n">
        <v>70</v>
      </c>
      <c r="AR91" s="22" t="n">
        <v>100</v>
      </c>
    </row>
    <row r="92">
      <c r="A92" s="2" t="inlineStr">
        <is>
          <t>Estampilla IRAM de conformidad — 60 × 40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IRAM - Instituto Argentino de Normalización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K92" s="22" t="n">
        <v>1</v>
      </c>
      <c r="AL92" s="22" t="n">
        <v>1</v>
      </c>
      <c r="AM92" s="22" t="n">
        <v>1</v>
      </c>
      <c r="AN92" s="22" t="n">
        <v>1</v>
      </c>
      <c r="AO92" s="22" t="n">
        <v>1</v>
      </c>
      <c r="AP92" s="22" t="n">
        <v>1</v>
      </c>
      <c r="AQ92" s="22" t="n">
        <v>1</v>
      </c>
      <c r="AR92" s="22" t="n">
        <v>1</v>
      </c>
    </row>
    <row r="93">
      <c r="A93" s="2" t="inlineStr">
        <is>
          <t>Etiqueta / placa de características — 168 × 136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K93" s="22" t="n">
        <v>1</v>
      </c>
    </row>
    <row r="94">
      <c r="A94" s="2" t="inlineStr">
        <is>
          <t>Etiqueta / placa de características — 234 × 151 (desarrollo × alto: panel central 108° + 2 alas laterales), e ≈ 0,3, laminado UV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L94" s="22" t="n">
        <v>1</v>
      </c>
    </row>
    <row r="95">
      <c r="A95" s="2" t="inlineStr">
        <is>
          <t>Etiqueta / placa de características — 289 × 142 (desarrollo × alto: panel central 108° + 2 alas laterales), e ≈ 0,3, laminado UV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M95" s="22" t="n">
        <v>1</v>
      </c>
    </row>
    <row r="96">
      <c r="A96" s="2" t="inlineStr">
        <is>
          <t>Etiqueta / placa de características — 343 × 221 (desarrollo × alto: panel central 108° + 2 alas laterales), e ≈ 0,3, laminado UV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Todos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N96" s="22" t="n">
        <v>1</v>
      </c>
    </row>
    <row r="97">
      <c r="A97" s="2" t="inlineStr">
        <is>
          <t>Etiqueta / placa de características — 522 × 208 (desarrollo × alto: panel central 108° + 2 alas laterales), e ≈ 0,3, laminado UV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Astuprint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O97" s="22" t="n">
        <v>1</v>
      </c>
    </row>
    <row r="98">
      <c r="A98" s="2" t="inlineStr">
        <is>
          <t>Etiqueta / placa de características — 604 × 204 (desarrollo × alto: panel central 108° + 2 alas laterales), e ≈ 0,3, laminado UV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Astuprint</t>
        </is>
      </c>
      <c r="E98" s="2" t="inlineStr">
        <is>
          <t>Todos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P98" s="22" t="n">
        <v>1</v>
      </c>
    </row>
    <row r="99">
      <c r="A99" s="2" t="inlineStr">
        <is>
          <t>Etiqueta / placa de características — 660 × 205 (desarrollo × alto: panel central 108° + 2 alas laterales), e ≈ 0,3, laminado UV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Astuprint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Q99" s="22" t="n">
        <v>1</v>
      </c>
    </row>
    <row r="100">
      <c r="A100" s="2" t="inlineStr">
        <is>
          <t>Etiqueta / placa de características — 736 × 211 (desarrollo × alto: panel central 108° + 2 alas laterales), e ≈ 0,3, laminado UV</t>
        </is>
      </c>
      <c r="B100" s="2" t="inlineStr">
        <is>
          <t>u</t>
        </is>
      </c>
      <c r="C100" s="2" t="inlineStr">
        <is>
          <t>Identificación</t>
        </is>
      </c>
      <c r="D100" s="2" t="inlineStr">
        <is>
          <t>Astuprint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R100" s="22" t="n">
        <v>1</v>
      </c>
    </row>
    <row r="101">
      <c r="A101" s="2" t="inlineStr">
        <is>
          <t>Etiqueta de n° de serie GS1 — 45 × 25</t>
        </is>
      </c>
      <c r="B101" s="2" t="inlineStr">
        <is>
          <t>u</t>
        </is>
      </c>
      <c r="C101" s="2" t="inlineStr">
        <is>
          <t>Identificación</t>
        </is>
      </c>
      <c r="D101" s="2" t="inlineStr">
        <is>
          <t>Astuprint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K101" s="22" t="n">
        <v>1</v>
      </c>
      <c r="AL101" s="22" t="n">
        <v>1</v>
      </c>
      <c r="AM101" s="22" t="n">
        <v>1</v>
      </c>
      <c r="AN101" s="22" t="n">
        <v>1</v>
      </c>
      <c r="AO101" s="22" t="n">
        <v>1</v>
      </c>
      <c r="AP101" s="22" t="n">
        <v>1</v>
      </c>
      <c r="AQ101" s="22" t="n">
        <v>1</v>
      </c>
      <c r="AR101" s="22" t="n">
        <v>1</v>
      </c>
    </row>
    <row r="102">
      <c r="A102" s="2" t="inlineStr">
        <is>
          <t>Faja de garantía válvula-cuello — 30 × 40</t>
        </is>
      </c>
      <c r="B102" s="2" t="inlineStr">
        <is>
          <t>u</t>
        </is>
      </c>
      <c r="C102" s="2" t="inlineStr">
        <is>
          <t>Identificación</t>
        </is>
      </c>
      <c r="D102" s="2" t="inlineStr">
        <is>
          <t>Astuprint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K102" s="22" t="n">
        <v>1</v>
      </c>
      <c r="AL102" s="22" t="n">
        <v>1</v>
      </c>
      <c r="AM102" s="22" t="n">
        <v>1</v>
      </c>
      <c r="AN102" s="22" t="n">
        <v>1</v>
      </c>
      <c r="AO102" s="22" t="n">
        <v>1</v>
      </c>
      <c r="AP102" s="22" t="n">
        <v>1</v>
      </c>
      <c r="AQ102" s="22" t="n">
        <v>1</v>
      </c>
      <c r="AR102" s="22" t="n">
        <v>1</v>
      </c>
    </row>
    <row r="103">
      <c r="A103" s="2" t="inlineStr">
        <is>
          <t>Oblea de fabricación (PBA) — Ø46 (Res. OPDS 522/07), numerada, autodestructible</t>
        </is>
      </c>
      <c r="B103" s="2" t="inlineStr">
        <is>
          <t>u</t>
        </is>
      </c>
      <c r="C103" s="2" t="inlineStr">
        <is>
          <t>Identificación</t>
        </is>
      </c>
      <c r="D103" s="2" t="inlineStr">
        <is>
          <t>Ministerio de Ambiente PBA (ex OPDS)</t>
        </is>
      </c>
      <c r="E103" s="2" t="inlineStr">
        <is>
          <t>PBA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K103" s="22" t="n">
        <v>1</v>
      </c>
      <c r="AL103" s="22" t="n">
        <v>1</v>
      </c>
      <c r="AM103" s="22" t="n">
        <v>1</v>
      </c>
      <c r="AN103" s="22" t="n">
        <v>1</v>
      </c>
      <c r="AO103" s="22" t="n">
        <v>1</v>
      </c>
      <c r="AP103" s="22" t="n">
        <v>1</v>
      </c>
      <c r="AQ103" s="22" t="n">
        <v>1</v>
      </c>
      <c r="AR103" s="22" t="n">
        <v>1</v>
      </c>
    </row>
    <row r="104">
      <c r="A104" s="2" t="inlineStr">
        <is>
          <t>Precinto de fábrica — Ø5 × 10, numerado, rotura 30-50 N</t>
        </is>
      </c>
      <c r="B104" s="2" t="inlineStr">
        <is>
          <t>u</t>
        </is>
      </c>
      <c r="C104" s="2" t="inlineStr">
        <is>
          <t>Identificación</t>
        </is>
      </c>
      <c r="D104" s="2" t="inlineStr">
        <is>
          <t>SonFuertes (vía Papelera Damián)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K104" s="22" t="n">
        <v>1</v>
      </c>
      <c r="AL104" s="22" t="n">
        <v>1</v>
      </c>
      <c r="AM104" s="22" t="n">
        <v>1</v>
      </c>
      <c r="AN104" s="22" t="n">
        <v>1</v>
      </c>
      <c r="AO104" s="22" t="n">
        <v>1</v>
      </c>
      <c r="AP104" s="22" t="n">
        <v>1</v>
      </c>
      <c r="AQ104" s="22" t="n">
        <v>1</v>
      </c>
      <c r="AR104" s="22" t="n">
        <v>1</v>
      </c>
    </row>
    <row r="105">
      <c r="A105" s="2" t="inlineStr">
        <is>
          <t>Tarjeta de identificación AGC (CABA) — 140 × 55</t>
        </is>
      </c>
      <c r="B105" s="2" t="inlineStr">
        <is>
          <t>u</t>
        </is>
      </c>
      <c r="C105" s="2" t="inlineStr">
        <is>
          <t>Identificación</t>
        </is>
      </c>
      <c r="D105" s="2" t="inlineStr">
        <is>
          <t>Agencia Gubernamental de Control (CABA)</t>
        </is>
      </c>
      <c r="E105" s="2" t="inlineStr">
        <is>
          <t>CABA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L105" s="22" t="n">
        <v>1</v>
      </c>
      <c r="AM105" s="22" t="n">
        <v>1</v>
      </c>
      <c r="AN105" s="22" t="n">
        <v>1</v>
      </c>
      <c r="AO105" s="22" t="n">
        <v>1</v>
      </c>
      <c r="AP105" s="22" t="n">
        <v>1</v>
      </c>
      <c r="AQ105" s="22" t="n">
        <v>1</v>
      </c>
      <c r="AR105" s="22" t="n">
        <v>1</v>
      </c>
    </row>
    <row r="106">
      <c r="A106" s="2" t="inlineStr">
        <is>
          <t>Soporte de pared (FL_ACC_01)</t>
        </is>
      </c>
      <c r="B106" s="2" t="inlineStr">
        <is>
          <t>u</t>
        </is>
      </c>
      <c r="C106" s="2" t="inlineStr">
        <is>
          <t>Soporte</t>
        </is>
      </c>
      <c r="D106" s="2" t="inlineStr">
        <is>
          <t>Maxiseguridad</t>
        </is>
      </c>
      <c r="E106" s="2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L106" s="22" t="n">
        <v>1</v>
      </c>
      <c r="AM106" s="22" t="n">
        <v>1</v>
      </c>
      <c r="AN106" s="22" t="n">
        <v>1</v>
      </c>
    </row>
    <row r="107">
      <c r="A107" s="2" t="inlineStr">
        <is>
          <t>Soporte vehicular con cierre rápido (FL_ACC_02)</t>
        </is>
      </c>
      <c r="B107" s="2" t="inlineStr">
        <is>
          <t>u</t>
        </is>
      </c>
      <c r="C107" s="2" t="inlineStr">
        <is>
          <t>Soporte</t>
        </is>
      </c>
      <c r="D107" s="2" t="inlineStr">
        <is>
          <t>Maxiseguridad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1</v>
      </c>
    </row>
    <row r="108">
      <c r="A108" s="2" t="inlineStr">
        <is>
          <t>Tornillo y tarugo de fijación</t>
        </is>
      </c>
      <c r="B108" s="2" t="inlineStr">
        <is>
          <t>u</t>
        </is>
      </c>
      <c r="C108" s="2" t="inlineStr">
        <is>
          <t>Soporte</t>
        </is>
      </c>
      <c r="D108" s="2" t="inlineStr">
        <is>
          <t>Würth Argentina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L108" s="22" t="n">
        <v>2</v>
      </c>
      <c r="AM108" s="22" t="n">
        <v>2</v>
      </c>
      <c r="AN108" s="22" t="n">
        <v>2</v>
      </c>
    </row>
    <row r="109">
      <c r="A109" s="2" t="inlineStr">
        <is>
          <t>Caja de cartón corrugado doble — 260 × 214 × 675 interior (envolvente del plano + 15 por lado)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N109" s="22" t="n">
        <v>1</v>
      </c>
    </row>
    <row r="110">
      <c r="A110" s="2" t="inlineStr">
        <is>
          <t>Caja de cartón corrugado simple — 122 × 107 × 360 interior (envolvente del plano + 15 por lado)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1</v>
      </c>
    </row>
    <row r="111">
      <c r="A111" s="2" t="inlineStr">
        <is>
          <t>Caja de cartón corrugado simple — 250 × 157 × 435 interior (envolvente del plano + 15 por lado)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Maxipack</t>
        </is>
      </c>
      <c r="E111" s="2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L111" s="22" t="n">
        <v>1</v>
      </c>
    </row>
    <row r="112">
      <c r="A112" s="2" t="inlineStr">
        <is>
          <t>Caja de cartón corrugado simple — 255 × 186 × 500 interior (envolvente del plano + 15 por lado)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Maxipack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M112" s="22" t="n">
        <v>1</v>
      </c>
    </row>
    <row r="113">
      <c r="A113" s="24" t="inlineStr">
        <is>
          <t>Cinta de embalaje PP 48 mm (cierre de la caja)</t>
        </is>
      </c>
      <c r="B113" s="24" t="inlineStr">
        <is>
          <t>m</t>
        </is>
      </c>
      <c r="C113" s="24" t="inlineStr">
        <is>
          <t>Embalaje</t>
        </is>
      </c>
      <c r="D113" s="24" t="inlineStr">
        <is>
          <t>MV Embalajes</t>
        </is>
      </c>
      <c r="E113" s="24" t="inlineStr">
        <is>
          <t>Todos</t>
        </is>
      </c>
      <c r="F113" s="21">
        <f>SUMPRODUCT($AK113:$AR113,$AK$5:$AR$5)*IF($E113="CABA",'Parametros'!B$7,IF($E113="PBA",1-'Parametros'!B$7,1))</f>
        <v/>
      </c>
      <c r="G113" s="21">
        <f>SUMPRODUCT($AK113:$AR113,$AK$6:$AR$6)*IF($E113="CABA",'Parametros'!C$7,IF($E113="PBA",1-'Parametros'!C$7,1))</f>
        <v/>
      </c>
      <c r="H113" s="21">
        <f>SUMPRODUCT($AK113:$AR113,$AK$7:$AR$7)*IF($E113="CABA",'Parametros'!D$7,IF($E113="PBA",1-'Parametros'!D$7,1))</f>
        <v/>
      </c>
      <c r="I113" s="21">
        <f>SUMPRODUCT($AK113:$AR113,$AK$8:$AR$8)*IF($E113="CABA",'Parametros'!E$7,IF($E113="PBA",1-'Parametros'!E$7,1))</f>
        <v/>
      </c>
      <c r="J113" s="21">
        <f>SUMPRODUCT($AK113:$AR113,$AK$9:$AR$9)*IF($E113="CABA",'Parametros'!F$7,IF($E113="PBA",1-'Parametros'!F$7,1))</f>
        <v/>
      </c>
      <c r="K113" s="21">
        <f>SUMPRODUCT($AK113:$AR113,$AK$10:$AR$10)*IF($E113="CABA",'Parametros'!G$7,IF($E113="PBA",1-'Parametros'!G$7,1))</f>
        <v/>
      </c>
      <c r="L113" s="21">
        <f>SUMPRODUCT($AK113:$AR113,$AK$11:$AR$11)*IF($E113="CABA",'Parametros'!H$7,IF($E113="PBA",1-'Parametros'!H$7,1))</f>
        <v/>
      </c>
      <c r="M113" s="21">
        <f>SUMPRODUCT($AK113:$AR113,$AK$12:$AR$12)*IF($E113="CABA",'Parametros'!I$7,IF($E113="PBA",1-'Parametros'!I$7,1))</f>
        <v/>
      </c>
      <c r="N113" s="21">
        <f>SUMPRODUCT($AK113:$AR113,$AK$13:$AR$13)*IF($E113="CABA",'Parametros'!J$7,IF($E113="PBA",1-'Parametros'!J$7,1))</f>
        <v/>
      </c>
      <c r="O113" s="21">
        <f>SUMPRODUCT($AK113:$AR113,$AK$14:$AR$14)*IF($E113="CABA",'Parametros'!K$7,IF($E113="PBA",1-'Parametros'!K$7,1))</f>
        <v/>
      </c>
      <c r="AK113" s="22" t="n">
        <v>0.524</v>
      </c>
      <c r="AL113" s="22" t="n">
        <v>0.78</v>
      </c>
      <c r="AM113" s="22" t="n">
        <v>0.79</v>
      </c>
      <c r="AN113" s="22" t="n">
        <v>0.8</v>
      </c>
    </row>
    <row r="114">
      <c r="A114" s="2" t="inlineStr">
        <is>
          <t>Esquineros de cartón 50 × 50 × 1200 (fracción del pallet)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Maxipack</t>
        </is>
      </c>
      <c r="E114" s="2" t="inlineStr">
        <is>
          <t>Todos</t>
        </is>
      </c>
      <c r="F114" s="21">
        <f>SUMPRODUCT($AK114:$AR114,$AK$5:$AR$5)*IF($E114="CABA",'Parametros'!B$7,IF($E114="PBA",1-'Parametros'!B$7,1))</f>
        <v/>
      </c>
      <c r="G114" s="21">
        <f>SUMPRODUCT($AK114:$AR114,$AK$6:$AR$6)*IF($E114="CABA",'Parametros'!C$7,IF($E114="PBA",1-'Parametros'!C$7,1))</f>
        <v/>
      </c>
      <c r="H114" s="21">
        <f>SUMPRODUCT($AK114:$AR114,$AK$7:$AR$7)*IF($E114="CABA",'Parametros'!D$7,IF($E114="PBA",1-'Parametros'!D$7,1))</f>
        <v/>
      </c>
      <c r="I114" s="21">
        <f>SUMPRODUCT($AK114:$AR114,$AK$8:$AR$8)*IF($E114="CABA",'Parametros'!E$7,IF($E114="PBA",1-'Parametros'!E$7,1))</f>
        <v/>
      </c>
      <c r="J114" s="21">
        <f>SUMPRODUCT($AK114:$AR114,$AK$9:$AR$9)*IF($E114="CABA",'Parametros'!F$7,IF($E114="PBA",1-'Parametros'!F$7,1))</f>
        <v/>
      </c>
      <c r="K114" s="21">
        <f>SUMPRODUCT($AK114:$AR114,$AK$10:$AR$10)*IF($E114="CABA",'Parametros'!G$7,IF($E114="PBA",1-'Parametros'!G$7,1))</f>
        <v/>
      </c>
      <c r="L114" s="21">
        <f>SUMPRODUCT($AK114:$AR114,$AK$11:$AR$11)*IF($E114="CABA",'Parametros'!H$7,IF($E114="PBA",1-'Parametros'!H$7,1))</f>
        <v/>
      </c>
      <c r="M114" s="21">
        <f>SUMPRODUCT($AK114:$AR114,$AK$12:$AR$12)*IF($E114="CABA",'Parametros'!I$7,IF($E114="PBA",1-'Parametros'!I$7,1))</f>
        <v/>
      </c>
      <c r="N114" s="21">
        <f>SUMPRODUCT($AK114:$AR114,$AK$13:$AR$13)*IF($E114="CABA",'Parametros'!J$7,IF($E114="PBA",1-'Parametros'!J$7,1))</f>
        <v/>
      </c>
      <c r="O114" s="21">
        <f>SUMPRODUCT($AK114:$AR114,$AK$14:$AR$14)*IF($E114="CABA",'Parametros'!K$7,IF($E114="PBA",1-'Parametros'!K$7,1))</f>
        <v/>
      </c>
      <c r="AK114" s="22" t="n">
        <v>0.0114</v>
      </c>
      <c r="AL114" s="22" t="n">
        <v>0.0476</v>
      </c>
      <c r="AM114" s="22" t="n">
        <v>0.1</v>
      </c>
      <c r="AN114" s="22" t="n">
        <v>0.125</v>
      </c>
    </row>
    <row r="115">
      <c r="A115" s="2" t="inlineStr">
        <is>
          <t>Esquineros y funda de polietileno — a medida de la envolvente del plano</t>
        </is>
      </c>
      <c r="B115" s="2" t="inlineStr">
        <is>
          <t>jgo</t>
        </is>
      </c>
      <c r="C115" s="2" t="inlineStr">
        <is>
          <t>Embalaje</t>
        </is>
      </c>
      <c r="D115" s="2" t="inlineStr">
        <is>
          <t>MV Embalajes</t>
        </is>
      </c>
      <c r="E115" s="2" t="inlineStr">
        <is>
          <t>Todos</t>
        </is>
      </c>
      <c r="F115" s="21">
        <f>SUMPRODUCT($AK115:$AR115,$AK$5:$AR$5)*IF($E115="CABA",'Parametros'!B$7,IF($E115="PBA",1-'Parametros'!B$7,1))</f>
        <v/>
      </c>
      <c r="G115" s="21">
        <f>SUMPRODUCT($AK115:$AR115,$AK$6:$AR$6)*IF($E115="CABA",'Parametros'!C$7,IF($E115="PBA",1-'Parametros'!C$7,1))</f>
        <v/>
      </c>
      <c r="H115" s="21">
        <f>SUMPRODUCT($AK115:$AR115,$AK$7:$AR$7)*IF($E115="CABA",'Parametros'!D$7,IF($E115="PBA",1-'Parametros'!D$7,1))</f>
        <v/>
      </c>
      <c r="I115" s="21">
        <f>SUMPRODUCT($AK115:$AR115,$AK$8:$AR$8)*IF($E115="CABA",'Parametros'!E$7,IF($E115="PBA",1-'Parametros'!E$7,1))</f>
        <v/>
      </c>
      <c r="J115" s="21">
        <f>SUMPRODUCT($AK115:$AR115,$AK$9:$AR$9)*IF($E115="CABA",'Parametros'!F$7,IF($E115="PBA",1-'Parametros'!F$7,1))</f>
        <v/>
      </c>
      <c r="K115" s="21">
        <f>SUMPRODUCT($AK115:$AR115,$AK$10:$AR$10)*IF($E115="CABA",'Parametros'!G$7,IF($E115="PBA",1-'Parametros'!G$7,1))</f>
        <v/>
      </c>
      <c r="L115" s="21">
        <f>SUMPRODUCT($AK115:$AR115,$AK$11:$AR$11)*IF($E115="CABA",'Parametros'!H$7,IF($E115="PBA",1-'Parametros'!H$7,1))</f>
        <v/>
      </c>
      <c r="M115" s="21">
        <f>SUMPRODUCT($AK115:$AR115,$AK$12:$AR$12)*IF($E115="CABA",'Parametros'!I$7,IF($E115="PBA",1-'Parametros'!I$7,1))</f>
        <v/>
      </c>
      <c r="N115" s="21">
        <f>SUMPRODUCT($AK115:$AR115,$AK$13:$AR$13)*IF($E115="CABA",'Parametros'!J$7,IF($E115="PBA",1-'Parametros'!J$7,1))</f>
        <v/>
      </c>
      <c r="O115" s="21">
        <f>SUMPRODUCT($AK115:$AR115,$AK$14:$AR$14)*IF($E115="CABA",'Parametros'!K$7,IF($E115="PBA",1-'Parametros'!K$7,1))</f>
        <v/>
      </c>
      <c r="AO115" s="22" t="n">
        <v>1</v>
      </c>
      <c r="AP115" s="22" t="n">
        <v>1</v>
      </c>
      <c r="AQ115" s="22" t="n">
        <v>1</v>
      </c>
      <c r="AR115" s="22" t="n">
        <v>1</v>
      </c>
    </row>
    <row r="116">
      <c r="A116" s="2" t="inlineStr">
        <is>
          <t>Etiqueta de pallet (lote y destino, fracción)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Astuprint</t>
        </is>
      </c>
      <c r="E116" s="2" t="inlineStr">
        <is>
          <t>Todos</t>
        </is>
      </c>
      <c r="F116" s="21">
        <f>SUMPRODUCT($AK116:$AR116,$AK$5:$AR$5)*IF($E116="CABA",'Parametros'!B$7,IF($E116="PBA",1-'Parametros'!B$7,1))</f>
        <v/>
      </c>
      <c r="G116" s="21">
        <f>SUMPRODUCT($AK116:$AR116,$AK$6:$AR$6)*IF($E116="CABA",'Parametros'!C$7,IF($E116="PBA",1-'Parametros'!C$7,1))</f>
        <v/>
      </c>
      <c r="H116" s="21">
        <f>SUMPRODUCT($AK116:$AR116,$AK$7:$AR$7)*IF($E116="CABA",'Parametros'!D$7,IF($E116="PBA",1-'Parametros'!D$7,1))</f>
        <v/>
      </c>
      <c r="I116" s="21">
        <f>SUMPRODUCT($AK116:$AR116,$AK$8:$AR$8)*IF($E116="CABA",'Parametros'!E$7,IF($E116="PBA",1-'Parametros'!E$7,1))</f>
        <v/>
      </c>
      <c r="J116" s="21">
        <f>SUMPRODUCT($AK116:$AR116,$AK$9:$AR$9)*IF($E116="CABA",'Parametros'!F$7,IF($E116="PBA",1-'Parametros'!F$7,1))</f>
        <v/>
      </c>
      <c r="K116" s="21">
        <f>SUMPRODUCT($AK116:$AR116,$AK$10:$AR$10)*IF($E116="CABA",'Parametros'!G$7,IF($E116="PBA",1-'Parametros'!G$7,1))</f>
        <v/>
      </c>
      <c r="L116" s="21">
        <f>SUMPRODUCT($AK116:$AR116,$AK$11:$AR$11)*IF($E116="CABA",'Parametros'!H$7,IF($E116="PBA",1-'Parametros'!H$7,1))</f>
        <v/>
      </c>
      <c r="M116" s="21">
        <f>SUMPRODUCT($AK116:$AR116,$AK$12:$AR$12)*IF($E116="CABA",'Parametros'!I$7,IF($E116="PBA",1-'Parametros'!I$7,1))</f>
        <v/>
      </c>
      <c r="N116" s="21">
        <f>SUMPRODUCT($AK116:$AR116,$AK$13:$AR$13)*IF($E116="CABA",'Parametros'!J$7,IF($E116="PBA",1-'Parametros'!J$7,1))</f>
        <v/>
      </c>
      <c r="O116" s="21">
        <f>SUMPRODUCT($AK116:$AR116,$AK$14:$AR$14)*IF($E116="CABA",'Parametros'!K$7,IF($E116="PBA",1-'Parametros'!K$7,1))</f>
        <v/>
      </c>
      <c r="AK116" s="22" t="n">
        <v>0.0028</v>
      </c>
      <c r="AL116" s="22" t="n">
        <v>0.0119</v>
      </c>
      <c r="AM116" s="22" t="n">
        <v>0.025</v>
      </c>
      <c r="AN116" s="22" t="n">
        <v>0.0312</v>
      </c>
      <c r="AO116" s="22" t="n">
        <v>0.5</v>
      </c>
      <c r="AP116" s="22" t="n">
        <v>0.5</v>
      </c>
      <c r="AQ116" s="22" t="n">
        <v>0.5</v>
      </c>
      <c r="AR116" s="22" t="n">
        <v>1</v>
      </c>
    </row>
    <row r="117">
      <c r="A117" s="24" t="inlineStr">
        <is>
          <t>Film stretch (fracción del pallet)</t>
        </is>
      </c>
      <c r="B117" s="24" t="inlineStr">
        <is>
          <t>kg</t>
        </is>
      </c>
      <c r="C117" s="24" t="inlineStr">
        <is>
          <t>Embalaje</t>
        </is>
      </c>
      <c r="D117" s="24" t="inlineStr">
        <is>
          <t>MV Embalajes</t>
        </is>
      </c>
      <c r="E117" s="24" t="inlineStr">
        <is>
          <t>Todos</t>
        </is>
      </c>
      <c r="F117" s="21">
        <f>SUMPRODUCT($AK117:$AR117,$AK$5:$AR$5)*IF($E117="CABA",'Parametros'!B$7,IF($E117="PBA",1-'Parametros'!B$7,1))</f>
        <v/>
      </c>
      <c r="G117" s="21">
        <f>SUMPRODUCT($AK117:$AR117,$AK$6:$AR$6)*IF($E117="CABA",'Parametros'!C$7,IF($E117="PBA",1-'Parametros'!C$7,1))</f>
        <v/>
      </c>
      <c r="H117" s="21">
        <f>SUMPRODUCT($AK117:$AR117,$AK$7:$AR$7)*IF($E117="CABA",'Parametros'!D$7,IF($E117="PBA",1-'Parametros'!D$7,1))</f>
        <v/>
      </c>
      <c r="I117" s="21">
        <f>SUMPRODUCT($AK117:$AR117,$AK$8:$AR$8)*IF($E117="CABA",'Parametros'!E$7,IF($E117="PBA",1-'Parametros'!E$7,1))</f>
        <v/>
      </c>
      <c r="J117" s="21">
        <f>SUMPRODUCT($AK117:$AR117,$AK$9:$AR$9)*IF($E117="CABA",'Parametros'!F$7,IF($E117="PBA",1-'Parametros'!F$7,1))</f>
        <v/>
      </c>
      <c r="K117" s="21">
        <f>SUMPRODUCT($AK117:$AR117,$AK$10:$AR$10)*IF($E117="CABA",'Parametros'!G$7,IF($E117="PBA",1-'Parametros'!G$7,1))</f>
        <v/>
      </c>
      <c r="L117" s="21">
        <f>SUMPRODUCT($AK117:$AR117,$AK$11:$AR$11)*IF($E117="CABA",'Parametros'!H$7,IF($E117="PBA",1-'Parametros'!H$7,1))</f>
        <v/>
      </c>
      <c r="M117" s="21">
        <f>SUMPRODUCT($AK117:$AR117,$AK$12:$AR$12)*IF($E117="CABA",'Parametros'!I$7,IF($E117="PBA",1-'Parametros'!I$7,1))</f>
        <v/>
      </c>
      <c r="N117" s="21">
        <f>SUMPRODUCT($AK117:$AR117,$AK$13:$AR$13)*IF($E117="CABA",'Parametros'!J$7,IF($E117="PBA",1-'Parametros'!J$7,1))</f>
        <v/>
      </c>
      <c r="O117" s="21">
        <f>SUMPRODUCT($AK117:$AR117,$AK$14:$AR$14)*IF($E117="CABA",'Parametros'!K$7,IF($E117="PBA",1-'Parametros'!K$7,1))</f>
        <v/>
      </c>
      <c r="AK117" s="22" t="n">
        <v>0.0003</v>
      </c>
      <c r="AL117" s="22" t="n">
        <v>0.0014</v>
      </c>
      <c r="AM117" s="22" t="n">
        <v>0.003</v>
      </c>
      <c r="AN117" s="22" t="n">
        <v>0.0037</v>
      </c>
      <c r="AO117" s="22" t="n">
        <v>0.06</v>
      </c>
      <c r="AP117" s="22" t="n">
        <v>0.06</v>
      </c>
      <c r="AQ117" s="22" t="n">
        <v>0.06</v>
      </c>
      <c r="AR117" s="22" t="n">
        <v>0.12</v>
      </c>
    </row>
    <row r="118">
      <c r="A118" s="2" t="inlineStr">
        <is>
          <t>Instructivo de uso y mantenimiento</t>
        </is>
      </c>
      <c r="B118" s="2" t="inlineStr">
        <is>
          <t>u</t>
        </is>
      </c>
      <c r="C118" s="2" t="inlineStr">
        <is>
          <t>Embalaje</t>
        </is>
      </c>
      <c r="D118" s="2" t="inlineStr">
        <is>
          <t>Astuprint</t>
        </is>
      </c>
      <c r="E118" s="2" t="inlineStr">
        <is>
          <t>Todos</t>
        </is>
      </c>
      <c r="F118" s="21">
        <f>SUMPRODUCT($AK118:$AR118,$AK$5:$AR$5)*IF($E118="CABA",'Parametros'!B$7,IF($E118="PBA",1-'Parametros'!B$7,1))</f>
        <v/>
      </c>
      <c r="G118" s="21">
        <f>SUMPRODUCT($AK118:$AR118,$AK$6:$AR$6)*IF($E118="CABA",'Parametros'!C$7,IF($E118="PBA",1-'Parametros'!C$7,1))</f>
        <v/>
      </c>
      <c r="H118" s="21">
        <f>SUMPRODUCT($AK118:$AR118,$AK$7:$AR$7)*IF($E118="CABA",'Parametros'!D$7,IF($E118="PBA",1-'Parametros'!D$7,1))</f>
        <v/>
      </c>
      <c r="I118" s="21">
        <f>SUMPRODUCT($AK118:$AR118,$AK$8:$AR$8)*IF($E118="CABA",'Parametros'!E$7,IF($E118="PBA",1-'Parametros'!E$7,1))</f>
        <v/>
      </c>
      <c r="J118" s="21">
        <f>SUMPRODUCT($AK118:$AR118,$AK$9:$AR$9)*IF($E118="CABA",'Parametros'!F$7,IF($E118="PBA",1-'Parametros'!F$7,1))</f>
        <v/>
      </c>
      <c r="K118" s="21">
        <f>SUMPRODUCT($AK118:$AR118,$AK$10:$AR$10)*IF($E118="CABA",'Parametros'!G$7,IF($E118="PBA",1-'Parametros'!G$7,1))</f>
        <v/>
      </c>
      <c r="L118" s="21">
        <f>SUMPRODUCT($AK118:$AR118,$AK$11:$AR$11)*IF($E118="CABA",'Parametros'!H$7,IF($E118="PBA",1-'Parametros'!H$7,1))</f>
        <v/>
      </c>
      <c r="M118" s="21">
        <f>SUMPRODUCT($AK118:$AR118,$AK$12:$AR$12)*IF($E118="CABA",'Parametros'!I$7,IF($E118="PBA",1-'Parametros'!I$7,1))</f>
        <v/>
      </c>
      <c r="N118" s="21">
        <f>SUMPRODUCT($AK118:$AR118,$AK$13:$AR$13)*IF($E118="CABA",'Parametros'!J$7,IF($E118="PBA",1-'Parametros'!J$7,1))</f>
        <v/>
      </c>
      <c r="O118" s="21">
        <f>SUMPRODUCT($AK118:$AR118,$AK$14:$AR$14)*IF($E118="CABA",'Parametros'!K$7,IF($E118="PBA",1-'Parametros'!K$7,1))</f>
        <v/>
      </c>
      <c r="AK118" s="22" t="n">
        <v>1</v>
      </c>
      <c r="AL118" s="22" t="n">
        <v>1</v>
      </c>
      <c r="AM118" s="22" t="n">
        <v>1</v>
      </c>
      <c r="AN118" s="22" t="n">
        <v>1</v>
      </c>
    </row>
    <row r="119">
      <c r="A119" s="2" t="inlineStr">
        <is>
          <t>Pallet 1200 × 1000 (fracción)</t>
        </is>
      </c>
      <c r="B119" s="2" t="inlineStr">
        <is>
          <t>u</t>
        </is>
      </c>
      <c r="C119" s="2" t="inlineStr">
        <is>
          <t>Embalaje</t>
        </is>
      </c>
      <c r="D119" s="2" t="inlineStr">
        <is>
          <t>IndusPallets</t>
        </is>
      </c>
      <c r="E119" s="2" t="inlineStr">
        <is>
          <t>Todos</t>
        </is>
      </c>
      <c r="F119" s="21">
        <f>SUMPRODUCT($AK119:$AR119,$AK$5:$AR$5)*IF($E119="CABA",'Parametros'!B$7,IF($E119="PBA",1-'Parametros'!B$7,1))</f>
        <v/>
      </c>
      <c r="G119" s="21">
        <f>SUMPRODUCT($AK119:$AR119,$AK$6:$AR$6)*IF($E119="CABA",'Parametros'!C$7,IF($E119="PBA",1-'Parametros'!C$7,1))</f>
        <v/>
      </c>
      <c r="H119" s="21">
        <f>SUMPRODUCT($AK119:$AR119,$AK$7:$AR$7)*IF($E119="CABA",'Parametros'!D$7,IF($E119="PBA",1-'Parametros'!D$7,1))</f>
        <v/>
      </c>
      <c r="I119" s="21">
        <f>SUMPRODUCT($AK119:$AR119,$AK$8:$AR$8)*IF($E119="CABA",'Parametros'!E$7,IF($E119="PBA",1-'Parametros'!E$7,1))</f>
        <v/>
      </c>
      <c r="J119" s="21">
        <f>SUMPRODUCT($AK119:$AR119,$AK$9:$AR$9)*IF($E119="CABA",'Parametros'!F$7,IF($E119="PBA",1-'Parametros'!F$7,1))</f>
        <v/>
      </c>
      <c r="K119" s="21">
        <f>SUMPRODUCT($AK119:$AR119,$AK$10:$AR$10)*IF($E119="CABA",'Parametros'!G$7,IF($E119="PBA",1-'Parametros'!G$7,1))</f>
        <v/>
      </c>
      <c r="L119" s="21">
        <f>SUMPRODUCT($AK119:$AR119,$AK$11:$AR$11)*IF($E119="CABA",'Parametros'!H$7,IF($E119="PBA",1-'Parametros'!H$7,1))</f>
        <v/>
      </c>
      <c r="M119" s="21">
        <f>SUMPRODUCT($AK119:$AR119,$AK$12:$AR$12)*IF($E119="CABA",'Parametros'!I$7,IF($E119="PBA",1-'Parametros'!I$7,1))</f>
        <v/>
      </c>
      <c r="N119" s="21">
        <f>SUMPRODUCT($AK119:$AR119,$AK$13:$AR$13)*IF($E119="CABA",'Parametros'!J$7,IF($E119="PBA",1-'Parametros'!J$7,1))</f>
        <v/>
      </c>
      <c r="O119" s="21">
        <f>SUMPRODUCT($AK119:$AR119,$AK$14:$AR$14)*IF($E119="CABA",'Parametros'!K$7,IF($E119="PBA",1-'Parametros'!K$7,1))</f>
        <v/>
      </c>
      <c r="AK119" s="22" t="n">
        <v>0.0028</v>
      </c>
      <c r="AL119" s="22" t="n">
        <v>0.0119</v>
      </c>
      <c r="AM119" s="22" t="n">
        <v>0.025</v>
      </c>
      <c r="AN119" s="22" t="n">
        <v>0.0312</v>
      </c>
      <c r="AO119" s="22" t="n">
        <v>0.5</v>
      </c>
      <c r="AP119" s="22" t="n">
        <v>0.5</v>
      </c>
      <c r="AQ119" s="22" t="n">
        <v>0.5</v>
      </c>
      <c r="AR119" s="22" t="n">
        <v>1</v>
      </c>
    </row>
  </sheetData>
  <autoFilter ref="A16:E1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5" t="inlineStr">
        <is>
          <t>Equipo terminado comprado (fabricante con Sello IRAM): FL_MAT_CLASED_9l</t>
        </is>
      </c>
      <c r="B22" s="25" t="inlineStr">
        <is>
          <t>u</t>
        </is>
      </c>
      <c r="C22" s="25" t="inlineStr">
        <is>
          <t>Equipo terminado comprado</t>
        </is>
      </c>
      <c r="D22" s="25" t="inlineStr">
        <is>
          <t>Matafuegos Georgia - venta mayorista</t>
        </is>
      </c>
      <c r="E22" s="25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3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3" t="inlineStr">
        <is>
          <t>Chapa LAC 1500 × 3000 e=4,75</t>
        </is>
      </c>
      <c r="B19" s="23" t="inlineStr">
        <is>
          <t>kg</t>
        </is>
      </c>
      <c r="C19" s="23" t="inlineStr">
        <is>
          <t>Materia prima</t>
        </is>
      </c>
      <c r="D19" s="23" t="inlineStr">
        <is>
          <t>Pradecon S.A.</t>
        </is>
      </c>
      <c r="E19" s="23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55.953</v>
      </c>
      <c r="AR19" s="22" t="n">
        <v>55.91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4" t="inlineStr">
        <is>
          <t>Redondo liso SAE 1010 Ø8</t>
        </is>
      </c>
      <c r="B30" s="24" t="inlineStr">
        <is>
          <t>barra 6 m</t>
        </is>
      </c>
      <c r="C30" s="24" t="inlineStr">
        <is>
          <t>Materia prima</t>
        </is>
      </c>
      <c r="D30" s="24" t="inlineStr">
        <is>
          <t>Hierros Parrotta</t>
        </is>
      </c>
      <c r="E30" s="24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Q30" s="22" t="n">
        <v>0.128</v>
      </c>
      <c r="AR30" s="22" t="n">
        <v>0.1478</v>
      </c>
    </row>
    <row r="31">
      <c r="A31" s="2" t="inlineStr">
        <is>
          <t>Cuello roscado — Ø29 × 12,5 de alto, rosca M22x1,5, asiento Ø26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K31" s="22" t="n">
        <v>1</v>
      </c>
    </row>
    <row r="32">
      <c r="A32" s="2" t="inlineStr">
        <is>
          <t>Cuello roscado — Ø36,8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N32" s="22" t="n">
        <v>1</v>
      </c>
    </row>
    <row r="33">
      <c r="A33" s="2" t="inlineStr">
        <is>
          <t>Cuello roscado — Ø37 × 14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L33" s="22" t="n">
        <v>1</v>
      </c>
    </row>
    <row r="34">
      <c r="A34" s="2" t="inlineStr">
        <is>
          <t>Cuello roscado — Ø37 × 15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M34" s="22" t="n">
        <v>1</v>
      </c>
    </row>
    <row r="35">
      <c r="A35" s="2" t="inlineStr">
        <is>
          <t>Cuello roscado — Ø37 × 35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O35" s="22" t="n">
        <v>1</v>
      </c>
    </row>
    <row r="36">
      <c r="A36" s="2" t="inlineStr">
        <is>
          <t>Cuello roscado — Ø88 × 37 de alto, rosca RBSP 2 1/2"-11 h, asiento Ø80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P36" s="22" t="n">
        <v>1</v>
      </c>
      <c r="AQ36" s="22" t="n">
        <v>1</v>
      </c>
      <c r="AR36" s="22" t="n">
        <v>1</v>
      </c>
    </row>
    <row r="37">
      <c r="A37" s="2" t="inlineStr">
        <is>
          <t>Cúpula — Ø276,5 × e3,2 × 86,3 de alto; disco Ø341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O37" s="22" t="n">
        <v>1</v>
      </c>
    </row>
    <row r="38">
      <c r="A38" s="2" t="inlineStr">
        <is>
          <t>Cúpula — Ø320 × e3,2 × 101,7 de alto; disco Ø393,8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P38" s="22" t="n">
        <v>1</v>
      </c>
    </row>
    <row r="39">
      <c r="A39" s="2" t="inlineStr">
        <is>
          <t>Cúpula — Ø350 × e4,75 × 111,8 de alto; disco Ø430,9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Q39" s="22" t="n">
        <v>1</v>
      </c>
    </row>
    <row r="40">
      <c r="A40" s="2" t="inlineStr">
        <is>
          <t>Cúpula — Ø390 × e4,75 × 125,2 de alto; disco Ø482,2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R40" s="22" t="n">
        <v>1</v>
      </c>
    </row>
    <row r="41">
      <c r="A41" s="2" t="inlineStr">
        <is>
          <t>Fondo — Ø276,5 × e3,2 × 87 de alto; disco Ø347,3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O41" s="22" t="n">
        <v>1</v>
      </c>
    </row>
    <row r="42">
      <c r="A42" s="2" t="inlineStr">
        <is>
          <t>Fondo — Ø320 × e3,2 × 105 de alto; disco Ø408,5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P42" s="22" t="n">
        <v>1</v>
      </c>
    </row>
    <row r="43">
      <c r="A43" s="2" t="inlineStr">
        <is>
          <t>Fondo — Ø350 × e4,75 × 114,8 de alto; disco Ø443,7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Q43" s="22" t="n">
        <v>1</v>
      </c>
    </row>
    <row r="44">
      <c r="A44" s="2" t="inlineStr">
        <is>
          <t>Fondo — Ø390 × e4,75 × 127,9 de alto; disco Ø495,6</t>
        </is>
      </c>
      <c r="B44" s="2" t="inlineStr">
        <is>
          <t>u</t>
        </is>
      </c>
      <c r="C44" s="2" t="inlineStr">
        <is>
          <t>Semielaborado comprado</t>
        </is>
      </c>
      <c r="D44" s="2" t="inlineStr">
        <is>
          <t>Gockel Ingeniería S.R.L.</t>
        </is>
      </c>
      <c r="E44" s="2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R44" s="22" t="n">
        <v>1</v>
      </c>
    </row>
    <row r="45">
      <c r="A45" s="24" t="inlineStr">
        <is>
          <t>Alambre MAG ER70S-6 Ø0,9 (AWS A5.18)</t>
        </is>
      </c>
      <c r="B45" s="24" t="inlineStr">
        <is>
          <t>kg</t>
        </is>
      </c>
      <c r="C45" s="24" t="inlineStr">
        <is>
          <t>Consumible de proceso</t>
        </is>
      </c>
      <c r="D45" s="24" t="inlineStr">
        <is>
          <t>Conarco (ESAB Argentina)</t>
        </is>
      </c>
      <c r="E45" s="24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0.0208</v>
      </c>
      <c r="AL45" s="22" t="n">
        <v>0.0294</v>
      </c>
      <c r="AM45" s="22" t="n">
        <v>0.0553</v>
      </c>
      <c r="AN45" s="22" t="n">
        <v>0.0987</v>
      </c>
    </row>
    <row r="46">
      <c r="A46" s="24" t="inlineStr">
        <is>
          <t>Alambre MAG ER70S-6 Ø1,2 (AWS A5.18)</t>
        </is>
      </c>
      <c r="B46" s="24" t="inlineStr">
        <is>
          <t>kg</t>
        </is>
      </c>
      <c r="C46" s="24" t="inlineStr">
        <is>
          <t>Consumible de proceso</t>
        </is>
      </c>
      <c r="D46" s="24" t="inlineStr">
        <is>
          <t>Conarco (ESAB Argentina)</t>
        </is>
      </c>
      <c r="E46" s="24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O46" s="22" t="n">
        <v>0.3429</v>
      </c>
      <c r="AP46" s="22" t="n">
        <v>0.426</v>
      </c>
      <c r="AQ46" s="22" t="n">
        <v>0.9913999999999999</v>
      </c>
      <c r="AR46" s="22" t="n">
        <v>1.0968</v>
      </c>
    </row>
    <row r="47">
      <c r="A47" s="24" t="inlineStr">
        <is>
          <t>Gas de protección MAG Arcal 21 / ARCAL Speed (Ar + 8 % CO₂, M20)</t>
        </is>
      </c>
      <c r="B47" s="24" t="inlineStr">
        <is>
          <t>L</t>
        </is>
      </c>
      <c r="C47" s="24" t="inlineStr">
        <is>
          <t>Consumible de proceso</t>
        </is>
      </c>
      <c r="D47" s="24" t="inlineStr">
        <is>
          <t>Air Liquide Argentina - sucursal Piñeyro</t>
        </is>
      </c>
      <c r="E47" s="24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K47" s="22" t="n">
        <v>13.3</v>
      </c>
      <c r="AL47" s="22" t="n">
        <v>27</v>
      </c>
      <c r="AM47" s="22" t="n">
        <v>32.6</v>
      </c>
      <c r="AN47" s="22" t="n">
        <v>40.7</v>
      </c>
      <c r="AO47" s="22" t="n">
        <v>54.8</v>
      </c>
      <c r="AP47" s="22" t="n">
        <v>68.3</v>
      </c>
      <c r="AQ47" s="22" t="n">
        <v>76.40000000000001</v>
      </c>
      <c r="AR47" s="22" t="n">
        <v>85</v>
      </c>
    </row>
    <row r="48">
      <c r="A48" s="23" t="inlineStr">
        <is>
          <t>Granalla de acero S330 / S390 (ISO 11124-3, SAE J444)</t>
        </is>
      </c>
      <c r="B48" s="23" t="inlineStr">
        <is>
          <t>kg</t>
        </is>
      </c>
      <c r="C48" s="23" t="inlineStr">
        <is>
          <t>Consumible de proceso</t>
        </is>
      </c>
      <c r="D48" s="23" t="inlineStr">
        <is>
          <t>CyM Materiales</t>
        </is>
      </c>
      <c r="E48" s="23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0.08</v>
      </c>
      <c r="AL48" s="22" t="n">
        <v>0.08</v>
      </c>
      <c r="AM48" s="22" t="n">
        <v>0.08</v>
      </c>
      <c r="AN48" s="22" t="n">
        <v>0.08</v>
      </c>
    </row>
    <row r="49">
      <c r="A49" s="2" t="inlineStr">
        <is>
          <t>Servicio de pintura en polvo al horno, rojo 03-1-050</t>
        </is>
      </c>
      <c r="B49" s="2" t="inlineStr">
        <is>
          <t>u</t>
        </is>
      </c>
      <c r="C49" s="2" t="inlineStr">
        <is>
          <t>Servicio</t>
        </is>
      </c>
      <c r="D49" s="2" t="inlineStr">
        <is>
          <t>Prymax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K49" s="22" t="n">
        <v>1</v>
      </c>
      <c r="AL49" s="22" t="n">
        <v>1</v>
      </c>
      <c r="AM49" s="22" t="n">
        <v>1</v>
      </c>
      <c r="AN49" s="22" t="n">
        <v>1</v>
      </c>
    </row>
    <row r="50">
      <c r="A50" s="2" t="inlineStr">
        <is>
          <t>Servicio de pintura en polvo al horno, rojo 03-1-050 (con preparación por quemado)</t>
        </is>
      </c>
      <c r="B50" s="2" t="inlineStr">
        <is>
          <t>u</t>
        </is>
      </c>
      <c r="C50" s="2" t="inlineStr">
        <is>
          <t>Servicio</t>
        </is>
      </c>
      <c r="D50" s="2" t="inlineStr">
        <is>
          <t>Pintor de carros (cotización por mensaje)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O50" s="22" t="n">
        <v>1</v>
      </c>
      <c r="AP50" s="22" t="n">
        <v>1</v>
      </c>
      <c r="AQ50" s="22" t="n">
        <v>1</v>
      </c>
      <c r="AR50" s="22" t="n">
        <v>1</v>
      </c>
    </row>
    <row r="51">
      <c r="A51" s="2" t="inlineStr">
        <is>
          <t>Etiqueta de identificación del cilindro suelto</t>
        </is>
      </c>
      <c r="B51" s="2" t="inlineStr">
        <is>
          <t>u</t>
        </is>
      </c>
      <c r="C51" s="2" t="inlineStr">
        <is>
          <t>Identificación</t>
        </is>
      </c>
      <c r="D51" s="2" t="inlineStr">
        <is>
          <t>Astuprint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K51" s="22" t="n">
        <v>1</v>
      </c>
      <c r="AL51" s="22" t="n">
        <v>1</v>
      </c>
      <c r="AM51" s="22" t="n">
        <v>1</v>
      </c>
      <c r="AN51" s="22" t="n">
        <v>1</v>
      </c>
      <c r="AO51" s="22" t="n">
        <v>1</v>
      </c>
      <c r="AP51" s="22" t="n">
        <v>1</v>
      </c>
      <c r="AQ51" s="22" t="n">
        <v>1</v>
      </c>
      <c r="AR51" s="22" t="n">
        <v>1</v>
      </c>
    </row>
    <row r="52">
      <c r="A52" s="2" t="inlineStr">
        <is>
          <t>Caja de cartón corrugado doble — 212 × 212 × 582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N52" s="22" t="n">
        <v>1</v>
      </c>
    </row>
    <row r="53">
      <c r="A53" s="2" t="inlineStr">
        <is>
          <t>Caja de cartón corrugado simple — 106 × 106 × 318 interior (envolvente del plano + 15 por lado)</t>
        </is>
      </c>
      <c r="B53" s="2" t="inlineStr">
        <is>
          <t>u</t>
        </is>
      </c>
      <c r="C53" s="2" t="inlineStr">
        <is>
          <t>Embalaje</t>
        </is>
      </c>
      <c r="D53" s="2" t="inlineStr">
        <is>
          <t>Maxipack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1</v>
      </c>
    </row>
    <row r="54">
      <c r="A54" s="2" t="inlineStr">
        <is>
          <t>Caja de cartón corrugado simple — 154 × 154 × 334 interior (envolvente del plano + 15 por lado)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L54" s="22" t="n">
        <v>1</v>
      </c>
    </row>
    <row r="55">
      <c r="A55" s="2" t="inlineStr">
        <is>
          <t>Caja de cartón corrugado simple — 183 × 183 × 410 interior (envolvente del plano + 15 por lado)</t>
        </is>
      </c>
      <c r="B55" s="2" t="inlineStr">
        <is>
          <t>u</t>
        </is>
      </c>
      <c r="C55" s="2" t="inlineStr">
        <is>
          <t>Embalaje</t>
        </is>
      </c>
      <c r="D55" s="2" t="inlineStr">
        <is>
          <t>Maxipack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M55" s="22" t="n">
        <v>1</v>
      </c>
    </row>
    <row r="56">
      <c r="A56" s="24" t="inlineStr">
        <is>
          <t>Cinta de embalaje PP 48 mm (cierre de la caja)</t>
        </is>
      </c>
      <c r="B56" s="24" t="inlineStr">
        <is>
          <t>m</t>
        </is>
      </c>
      <c r="C56" s="24" t="inlineStr">
        <is>
          <t>Embalaje</t>
        </is>
      </c>
      <c r="D56" s="24" t="inlineStr">
        <is>
          <t>MV Embalajes</t>
        </is>
      </c>
      <c r="E56" s="24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0.492</v>
      </c>
      <c r="AL56" s="22" t="n">
        <v>0.588</v>
      </c>
      <c r="AM56" s="22" t="n">
        <v>0.646</v>
      </c>
      <c r="AN56" s="22" t="n">
        <v>0.703</v>
      </c>
    </row>
    <row r="57">
      <c r="A57" s="2" t="inlineStr">
        <is>
          <t>Esquineros de cartón 50 × 50 × 1200 (fracción del pallet)</t>
        </is>
      </c>
      <c r="B57" s="2" t="inlineStr">
        <is>
          <t>u</t>
        </is>
      </c>
      <c r="C57" s="2" t="inlineStr">
        <is>
          <t>Embalaje</t>
        </is>
      </c>
      <c r="D57" s="2" t="inlineStr">
        <is>
          <t>Maxipack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0.0101</v>
      </c>
      <c r="AL57" s="22" t="n">
        <v>0.0238</v>
      </c>
      <c r="AM57" s="22" t="n">
        <v>0.0444</v>
      </c>
      <c r="AN57" s="22" t="n">
        <v>0.1</v>
      </c>
    </row>
    <row r="58">
      <c r="A58" s="2" t="inlineStr">
        <is>
          <t>Esquineros y funda de polietileno — a medida de la envolvente del plano</t>
        </is>
      </c>
      <c r="B58" s="2" t="inlineStr">
        <is>
          <t>jgo</t>
        </is>
      </c>
      <c r="C58" s="2" t="inlineStr">
        <is>
          <t>Embalaje</t>
        </is>
      </c>
      <c r="D58" s="2" t="inlineStr">
        <is>
          <t>MV Embalajes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O58" s="22" t="n">
        <v>1</v>
      </c>
      <c r="AP58" s="22" t="n">
        <v>1</v>
      </c>
      <c r="AQ58" s="22" t="n">
        <v>1</v>
      </c>
      <c r="AR58" s="22" t="n">
        <v>1</v>
      </c>
    </row>
    <row r="59">
      <c r="A59" s="2" t="inlineStr">
        <is>
          <t>Etiqueta de pallet (lote y destino, fracción)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Astuprint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0.0025</v>
      </c>
      <c r="AL59" s="22" t="n">
        <v>0.006</v>
      </c>
      <c r="AM59" s="22" t="n">
        <v>0.0111</v>
      </c>
      <c r="AN59" s="22" t="n">
        <v>0.025</v>
      </c>
      <c r="AO59" s="22" t="n">
        <v>0.0833</v>
      </c>
      <c r="AP59" s="22" t="n">
        <v>0.1111</v>
      </c>
      <c r="AQ59" s="22" t="n">
        <v>0.1667</v>
      </c>
      <c r="AR59" s="22" t="n">
        <v>0.1667</v>
      </c>
    </row>
    <row r="60">
      <c r="A60" s="24" t="inlineStr">
        <is>
          <t>Film stretch (fracción del pallet)</t>
        </is>
      </c>
      <c r="B60" s="24" t="inlineStr">
        <is>
          <t>kg</t>
        </is>
      </c>
      <c r="C60" s="24" t="inlineStr">
        <is>
          <t>Embalaje</t>
        </is>
      </c>
      <c r="D60" s="24" t="inlineStr">
        <is>
          <t>MV Embalajes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0.0003</v>
      </c>
      <c r="AL60" s="22" t="n">
        <v>0.0007</v>
      </c>
      <c r="AM60" s="22" t="n">
        <v>0.0013</v>
      </c>
      <c r="AN60" s="22" t="n">
        <v>0.003</v>
      </c>
      <c r="AO60" s="22" t="n">
        <v>0.01</v>
      </c>
      <c r="AP60" s="22" t="n">
        <v>0.0133</v>
      </c>
      <c r="AQ60" s="22" t="n">
        <v>0.02</v>
      </c>
      <c r="AR60" s="22" t="n">
        <v>0.02</v>
      </c>
    </row>
    <row r="61">
      <c r="A61" s="2" t="inlineStr">
        <is>
          <t>Pallet 1200 × 1000 (fracción)</t>
        </is>
      </c>
      <c r="B61" s="2" t="inlineStr">
        <is>
          <t>u</t>
        </is>
      </c>
      <c r="C61" s="2" t="inlineStr">
        <is>
          <t>Embalaje</t>
        </is>
      </c>
      <c r="D61" s="2" t="inlineStr">
        <is>
          <t>IndusPallets</t>
        </is>
      </c>
      <c r="E61" s="2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K61" s="22" t="n">
        <v>0.0025</v>
      </c>
      <c r="AL61" s="22" t="n">
        <v>0.006</v>
      </c>
      <c r="AM61" s="22" t="n">
        <v>0.0111</v>
      </c>
      <c r="AN61" s="22" t="n">
        <v>0.025</v>
      </c>
      <c r="AO61" s="22" t="n">
        <v>0.0833</v>
      </c>
      <c r="AP61" s="22" t="n">
        <v>0.1111</v>
      </c>
      <c r="AQ61" s="22" t="n">
        <v>0.1667</v>
      </c>
      <c r="AR61" s="22" t="n">
        <v>0.1667</v>
      </c>
    </row>
    <row r="62">
      <c r="A62" s="2" t="inlineStr">
        <is>
          <t>Separador de capa de cartón 1200 × 1000 (fracción del pallet)</t>
        </is>
      </c>
      <c r="B62" s="2" t="inlineStr">
        <is>
          <t>u</t>
        </is>
      </c>
      <c r="C62" s="2" t="inlineStr">
        <is>
          <t>Embalaje</t>
        </is>
      </c>
      <c r="D62" s="2" t="inlineStr">
        <is>
          <t>Maxipack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K62" s="22" t="n">
        <v>0.0076</v>
      </c>
      <c r="AL62" s="22" t="n">
        <v>0.0179</v>
      </c>
      <c r="AM62" s="22" t="n">
        <v>0.0222</v>
      </c>
      <c r="AN62" s="22" t="n">
        <v>0.025</v>
      </c>
    </row>
    <row r="63">
      <c r="A63" s="23" t="inlineStr">
        <is>
          <t>Tapón protector de rosca del cuello</t>
        </is>
      </c>
      <c r="B63" s="23" t="inlineStr">
        <is>
          <t>u</t>
        </is>
      </c>
      <c r="C63" s="23" t="inlineStr">
        <is>
          <t>Embalaje</t>
        </is>
      </c>
      <c r="D63" s="23" t="inlineStr">
        <is>
          <t>-</t>
        </is>
      </c>
      <c r="E63" s="23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K63" s="22" t="n">
        <v>1</v>
      </c>
      <c r="AL63" s="22" t="n">
        <v>1</v>
      </c>
      <c r="AM63" s="22" t="n">
        <v>1</v>
      </c>
      <c r="AN63" s="22" t="n">
        <v>1</v>
      </c>
      <c r="AO63" s="22" t="n">
        <v>1</v>
      </c>
      <c r="AP63" s="22" t="n">
        <v>1</v>
      </c>
      <c r="AQ63" s="22" t="n">
        <v>1</v>
      </c>
      <c r="AR63" s="22" t="n">
        <v>1</v>
      </c>
    </row>
  </sheetData>
  <autoFilter ref="A16:E6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4" t="inlineStr">
        <is>
          <t>Gas impulsor: N₂</t>
        </is>
      </c>
      <c r="B17" s="24" t="inlineStr">
        <is>
          <t>kg</t>
        </is>
      </c>
      <c r="C17" s="24" t="inlineStr">
        <is>
          <t>Carga (agente y gas)</t>
        </is>
      </c>
      <c r="D17" s="24" t="inlineStr">
        <is>
          <t>Air Liquide Argentina - sucursal Piñeyro</t>
        </is>
      </c>
      <c r="E17" s="24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'Parametros'!$B$3*0.3856+(1-'Parametros'!$B$3)*0.3856</f>
        <v/>
      </c>
      <c r="BA17" s="26">
        <f>'Parametros'!$B$3*0.5534+(1-'Parametros'!$B$3)*0.5534</f>
        <v/>
      </c>
    </row>
    <row r="18">
      <c r="A18" s="24" t="inlineStr">
        <is>
          <t>Polvo químico seco ABC 60 (Sello IRAM 3569)</t>
        </is>
      </c>
      <c r="B18" s="24" t="inlineStr">
        <is>
          <t>kg</t>
        </is>
      </c>
      <c r="C18" s="24" t="inlineStr">
        <is>
          <t>Carga (agente y gas)</t>
        </is>
      </c>
      <c r="D18" s="24" t="inlineStr">
        <is>
          <t>DEM S.A. (DEMSA)</t>
        </is>
      </c>
      <c r="E18" s="24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4" t="inlineStr">
        <is>
          <t>Polvo químico seco ABC 90 (Sello IRAM 3569)</t>
        </is>
      </c>
      <c r="B19" s="24" t="inlineStr">
        <is>
          <t>kg</t>
        </is>
      </c>
      <c r="C19" s="24" t="inlineStr">
        <is>
          <t>Carga (agente y gas)</t>
        </is>
      </c>
      <c r="D19" s="24" t="inlineStr">
        <is>
          <t>DEM S.A. (DEMSA)</t>
        </is>
      </c>
      <c r="E19" s="24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4" t="inlineStr">
        <is>
          <t>Acetato de potasio - DEMSA Kitchen (IRAM 3697)</t>
        </is>
      </c>
      <c r="B20" s="24" t="inlineStr">
        <is>
          <t>L</t>
        </is>
      </c>
      <c r="C20" s="24" t="inlineStr">
        <is>
          <t>Recarga y mantenimiento</t>
        </is>
      </c>
      <c r="D20" s="24" t="inlineStr">
        <is>
          <t>Polvex S.R.L. / Sancibrao</t>
        </is>
      </c>
      <c r="E20" s="24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4" t="inlineStr">
        <is>
          <t>Concentrado espumígeno AFFF 3 % (IRAM 3515)</t>
        </is>
      </c>
      <c r="B21" s="24" t="inlineStr">
        <is>
          <t>L</t>
        </is>
      </c>
      <c r="C21" s="24" t="inlineStr">
        <is>
          <t>Recarga y mantenimiento</t>
        </is>
      </c>
      <c r="D21" s="24" t="inlineStr">
        <is>
          <t>DEM S.A. (DEMSA)</t>
        </is>
      </c>
      <c r="E21" s="24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3" t="inlineStr">
        <is>
          <t>HCFC 123 / HFC 236fa (agente limpio)</t>
        </is>
      </c>
      <c r="B26" s="23" t="inlineStr">
        <is>
          <t>kg</t>
        </is>
      </c>
      <c r="C26" s="23" t="inlineStr">
        <is>
          <t>Recarga y mantenimiento</t>
        </is>
      </c>
      <c r="D26" s="23" t="inlineStr">
        <is>
          <t>-</t>
        </is>
      </c>
      <c r="E26" s="23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4" t="inlineStr">
        <is>
          <t>Junta tórica de asiento del cuello</t>
        </is>
      </c>
      <c r="B27" s="24" t="inlineStr">
        <is>
          <t>u</t>
        </is>
      </c>
      <c r="C27" s="24" t="inlineStr">
        <is>
          <t>Recarga y mantenimiento</t>
        </is>
      </c>
      <c r="D27" s="24" t="inlineStr">
        <is>
          <t>Argensold</t>
        </is>
      </c>
      <c r="E27" s="24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5" t="inlineStr">
        <is>
          <t>Polvo para metales combustibles clase D</t>
        </is>
      </c>
      <c r="B30" s="25" t="inlineStr">
        <is>
          <t>kg</t>
        </is>
      </c>
      <c r="C30" s="25" t="inlineStr">
        <is>
          <t>Recarga y mantenimiento</t>
        </is>
      </c>
      <c r="D30" s="25" t="inlineStr">
        <is>
          <t>DEM S.A. (DEMSA)</t>
        </is>
      </c>
      <c r="E30" s="25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4" t="inlineStr">
        <is>
          <t>Polvo químico seco BC (bicarbonato)</t>
        </is>
      </c>
      <c r="B31" s="24" t="inlineStr">
        <is>
          <t>kg</t>
        </is>
      </c>
      <c r="C31" s="24" t="inlineStr">
        <is>
          <t>Recarga y mantenimiento</t>
        </is>
      </c>
      <c r="D31" s="24" t="inlineStr">
        <is>
          <t>Polvex S.R.L. / Sancibrao</t>
        </is>
      </c>
      <c r="E31" s="24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1.929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2.329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2.907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5.457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6.071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1.929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2.329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2.907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5.457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6.071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Ø76,2 × 1,25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MP_MATAFUEGOS_FABRICADOS, MP_CILINDROS</t>
        </is>
      </c>
      <c r="F6" s="21">
        <f>SUMIFS('MP_MATAFUEGOS_FABRICADOS'!F:F,'MP_MATAFUEGOS_FABRICADOS'!$A:$A,$A6,'MP_MATAFUEGOS_FABRICADOS'!$B:$B,$B6)+SUMIFS('MP_CILINDROS'!F:F,'MP_CILINDROS'!$A:$A,$A6,'MP_CILINDROS'!$B:$B,$B6)</f>
        <v/>
      </c>
      <c r="G6" s="21">
        <f>SUMIFS('MP_MATAFUEGOS_FABRICADOS'!G:G,'MP_MATAFUEGOS_FABRICADOS'!$A:$A,$A6,'MP_MATAFUEGOS_FABRICADOS'!$B:$B,$B6)+SUMIFS('MP_CILINDROS'!G:G,'MP_CILINDROS'!$A:$A,$A6,'MP_CILINDROS'!$B:$B,$B6)</f>
        <v/>
      </c>
      <c r="H6" s="21">
        <f>SUMIFS('MP_MATAFUEGOS_FABRICADOS'!H:H,'MP_MATAFUEGOS_FABRICADOS'!$A:$A,$A6,'MP_MATAFUEGOS_FABRICADOS'!$B:$B,$B6)+SUMIFS('MP_CILINDROS'!H:H,'MP_CILINDROS'!$A:$A,$A6,'MP_CILINDROS'!$B:$B,$B6)</f>
        <v/>
      </c>
      <c r="I6" s="21">
        <f>SUMIFS('MP_MATAFUEGOS_FABRICADOS'!I:I,'MP_MATAFUEGOS_FABRICADOS'!$A:$A,$A6,'MP_MATAFUEGOS_FABRICADOS'!$B:$B,$B6)+SUMIFS('MP_CILINDROS'!I:I,'MP_CILINDROS'!$A:$A,$A6,'MP_CILINDROS'!$B:$B,$B6)</f>
        <v/>
      </c>
      <c r="J6" s="21">
        <f>SUMIFS('MP_MATAFUEGOS_FABRICADOS'!J:J,'MP_MATAFUEGOS_FABRICADOS'!$A:$A,$A6,'MP_MATAFUEGOS_FABRICADOS'!$B:$B,$B6)+SUMIFS('MP_CILINDROS'!J:J,'MP_CILINDROS'!$A:$A,$A6,'MP_CILINDROS'!$B:$B,$B6)</f>
        <v/>
      </c>
      <c r="K6" s="21">
        <f>SUMIFS('MP_MATAFUEGOS_FABRICADOS'!K:K,'MP_MATAFUEGOS_FABRICADOS'!$A:$A,$A6,'MP_MATAFUEGOS_FABRICADOS'!$B:$B,$B6)+SUMIFS('MP_CILINDROS'!K:K,'MP_CILINDROS'!$A:$A,$A6,'MP_CILINDROS'!$B:$B,$B6)</f>
        <v/>
      </c>
      <c r="L6" s="21">
        <f>SUMIFS('MP_MATAFUEGOS_FABRICADOS'!L:L,'MP_MATAFUEGOS_FABRICADOS'!$A:$A,$A6,'MP_MATAFUEGOS_FABRICADOS'!$B:$B,$B6)+SUMIFS('MP_CILINDROS'!L:L,'MP_CILINDROS'!$A:$A,$A6,'MP_CILINDROS'!$B:$B,$B6)</f>
        <v/>
      </c>
      <c r="M6" s="21">
        <f>SUMIFS('MP_MATAFUEGOS_FABRICADOS'!M:M,'MP_MATAFUEGOS_FABRICADOS'!$A:$A,$A6,'MP_MATAFUEGOS_FABRICADOS'!$B:$B,$B6)+SUMIFS('MP_CILINDROS'!M:M,'MP_CILINDROS'!$A:$A,$A6,'MP_CILINDROS'!$B:$B,$B6)</f>
        <v/>
      </c>
      <c r="N6" s="21">
        <f>SUMIFS('MP_MATAFUEGOS_FABRICADOS'!N:N,'MP_MATAFUEGOS_FABRICADOS'!$A:$A,$A6,'MP_MATAFUEGOS_FABRICADOS'!$B:$B,$B6)+SUMIFS('MP_CILINDROS'!N:N,'MP_CILINDROS'!$A:$A,$A6,'MP_CILINDROS'!$B:$B,$B6)</f>
        <v/>
      </c>
      <c r="O6" s="21">
        <f>SUMIFS('MP_MATAFUEGOS_FABRICADOS'!O:O,'MP_MATAFUEGOS_FABRICADOS'!$A:$A,$A6,'MP_MATAFUEGOS_FABRICADOS'!$B:$B,$B6)+SUMIFS('MP_CILINDROS'!O:O,'MP_CILINDROS'!$A:$A,$A6,'MP_CILINDROS'!$B:$B,$B6)</f>
        <v/>
      </c>
    </row>
    <row r="7">
      <c r="A7" s="2" t="inlineStr">
        <is>
          <t>Chapa LAC 1500 × 3000 e=3,2</t>
        </is>
      </c>
      <c r="B7" s="2" t="inlineStr">
        <is>
          <t>kg</t>
        </is>
      </c>
      <c r="C7" s="2" t="inlineStr">
        <is>
          <t>Materia prima</t>
        </is>
      </c>
      <c r="D7" s="2" t="inlineStr">
        <is>
          <t>Pradecon S.A.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e=4,75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LAF 1000 × 2000 e=1,6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1220 × 2440 e=1,25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1500 × 3000 e=2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Fleje e=0,9 × 114</t>
        </is>
      </c>
      <c r="B12" s="2" t="inlineStr">
        <is>
          <t>m</t>
        </is>
      </c>
      <c r="C12" s="2" t="inlineStr">
        <is>
          <t>Materia prima</t>
        </is>
      </c>
      <c r="D12" s="2" t="inlineStr">
        <is>
          <t>Pacheco Chapas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e=1,25 × 106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200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e=1,6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250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300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e=2 × 249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Planchuela SAE 1010 30 × 3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Hierros Parrotta</t>
        </is>
      </c>
      <c r="E19" s="2" t="inlineStr">
        <is>
          <t>MP_MATAFUEGOS_FABRICADOS</t>
        </is>
      </c>
      <c r="F19" s="21">
        <f>SUMIFS('MP_MATAFUEGOS_FABRICADOS'!F:F,'MP_MATAFUEGOS_FABRICADOS'!$A:$A,$A19,'MP_MATAFUEGOS_FABRICADOS'!$B:$B,$B19)</f>
        <v/>
      </c>
      <c r="G19" s="21">
        <f>SUMIFS('MP_MATAFUEGOS_FABRICADOS'!G:G,'MP_MATAFUEGOS_FABRICADOS'!$A:$A,$A19,'MP_MATAFUEGOS_FABRICADOS'!$B:$B,$B19)</f>
        <v/>
      </c>
      <c r="H19" s="21">
        <f>SUMIFS('MP_MATAFUEGOS_FABRICADOS'!H:H,'MP_MATAFUEGOS_FABRICADOS'!$A:$A,$A19,'MP_MATAFUEGOS_FABRICADOS'!$B:$B,$B19)</f>
        <v/>
      </c>
      <c r="I19" s="21">
        <f>SUMIFS('MP_MATAFUEGOS_FABRICADOS'!I:I,'MP_MATAFUEGOS_FABRICADOS'!$A:$A,$A19,'MP_MATAFUEGOS_FABRICADOS'!$B:$B,$B19)</f>
        <v/>
      </c>
      <c r="J19" s="21">
        <f>SUMIFS('MP_MATAFUEGOS_FABRICADOS'!J:J,'MP_MATAFUEGOS_FABRICADOS'!$A:$A,$A19,'MP_MATAFUEGOS_FABRICADOS'!$B:$B,$B19)</f>
        <v/>
      </c>
      <c r="K19" s="21">
        <f>SUMIFS('MP_MATAFUEGOS_FABRICADOS'!K:K,'MP_MATAFUEGOS_FABRICADOS'!$A:$A,$A19,'MP_MATAFUEGOS_FABRICADOS'!$B:$B,$B19)</f>
        <v/>
      </c>
      <c r="L19" s="21">
        <f>SUMIFS('MP_MATAFUEGOS_FABRICADOS'!L:L,'MP_MATAFUEGOS_FABRICADOS'!$A:$A,$A19,'MP_MATAFUEGOS_FABRICADOS'!$B:$B,$B19)</f>
        <v/>
      </c>
      <c r="M19" s="21">
        <f>SUMIFS('MP_MATAFUEGOS_FABRICADOS'!M:M,'MP_MATAFUEGOS_FABRICADOS'!$A:$A,$A19,'MP_MATAFUEGOS_FABRICADOS'!$B:$B,$B19)</f>
        <v/>
      </c>
      <c r="N19" s="21">
        <f>SUMIFS('MP_MATAFUEGOS_FABRICADOS'!N:N,'MP_MATAFUEGOS_FABRICADOS'!$A:$A,$A19,'MP_MATAFUEGOS_FABRICADOS'!$B:$B,$B19)</f>
        <v/>
      </c>
      <c r="O19" s="21">
        <f>SUMIFS('MP_MATAFUEGOS_FABRICADOS'!O:O,'MP_MATAFUEGOS_FABRICADOS'!$A:$A,$A19,'MP_MATAFUEGOS_FABRICADOS'!$B:$B,$B19)</f>
        <v/>
      </c>
    </row>
    <row r="20">
      <c r="A20" s="2" t="inlineStr">
        <is>
          <t>Planchuela SAE 1010 40 × 4</t>
        </is>
      </c>
      <c r="B20" s="2" t="inlineStr">
        <is>
          <t>barra 6 m</t>
        </is>
      </c>
      <c r="C20" s="2" t="inlineStr">
        <is>
          <t>Materia prima</t>
        </is>
      </c>
      <c r="D20" s="2" t="inlineStr">
        <is>
          <t>Hierros Parrotta</t>
        </is>
      </c>
      <c r="E20" s="2" t="inlineStr">
        <is>
          <t>MP_MATAFUEGOS_FABRICADOS</t>
        </is>
      </c>
      <c r="F20" s="21">
        <f>SUMIFS('MP_MATAFUEGOS_FABRICADOS'!F:F,'MP_MATAFUEGOS_FABRICADOS'!$A:$A,$A20,'MP_MATAFUEGOS_FABRICADOS'!$B:$B,$B20)</f>
        <v/>
      </c>
      <c r="G20" s="21">
        <f>SUMIFS('MP_MATAFUEGOS_FABRICADOS'!G:G,'MP_MATAFUEGOS_FABRICADOS'!$A:$A,$A20,'MP_MATAFUEGOS_FABRICADOS'!$B:$B,$B20)</f>
        <v/>
      </c>
      <c r="H20" s="21">
        <f>SUMIFS('MP_MATAFUEGOS_FABRICADOS'!H:H,'MP_MATAFUEGOS_FABRICADOS'!$A:$A,$A20,'MP_MATAFUEGOS_FABRICADOS'!$B:$B,$B20)</f>
        <v/>
      </c>
      <c r="I20" s="21">
        <f>SUMIFS('MP_MATAFUEGOS_FABRICADOS'!I:I,'MP_MATAFUEGOS_FABRICADOS'!$A:$A,$A20,'MP_MATAFUEGOS_FABRICADOS'!$B:$B,$B20)</f>
        <v/>
      </c>
      <c r="J20" s="21">
        <f>SUMIFS('MP_MATAFUEGOS_FABRICADOS'!J:J,'MP_MATAFUEGOS_FABRICADOS'!$A:$A,$A20,'MP_MATAFUEGOS_FABRICADOS'!$B:$B,$B20)</f>
        <v/>
      </c>
      <c r="K20" s="21">
        <f>SUMIFS('MP_MATAFUEGOS_FABRICADOS'!K:K,'MP_MATAFUEGOS_FABRICADOS'!$A:$A,$A20,'MP_MATAFUEGOS_FABRICADOS'!$B:$B,$B20)</f>
        <v/>
      </c>
      <c r="L20" s="21">
        <f>SUMIFS('MP_MATAFUEGOS_FABRICADOS'!L:L,'MP_MATAFUEGOS_FABRICADOS'!$A:$A,$A20,'MP_MATAFUEGOS_FABRICADOS'!$B:$B,$B20)</f>
        <v/>
      </c>
      <c r="M20" s="21">
        <f>SUMIFS('MP_MATAFUEGOS_FABRICADOS'!M:M,'MP_MATAFUEGOS_FABRICADOS'!$A:$A,$A20,'MP_MATAFUEGOS_FABRICADOS'!$B:$B,$B20)</f>
        <v/>
      </c>
      <c r="N20" s="21">
        <f>SUMIFS('MP_MATAFUEGOS_FABRICADOS'!N:N,'MP_MATAFUEGOS_FABRICADOS'!$A:$A,$A20,'MP_MATAFUEGOS_FABRICADOS'!$B:$B,$B20)</f>
        <v/>
      </c>
      <c r="O20" s="21">
        <f>SUMIFS('MP_MATAFUEGOS_FABRICADOS'!O:O,'MP_MATAFUEGOS_FABRICADOS'!$A:$A,$A20,'MP_MATAFUEGOS_FABRICADOS'!$B:$B,$B20)</f>
        <v/>
      </c>
    </row>
    <row r="21">
      <c r="A21" s="2" t="inlineStr">
        <is>
          <t>Recorte de chapa LAC e=3,2 para el apoyo plegado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MP_MATAFUEGOS_FABRICADOS</t>
        </is>
      </c>
      <c r="F21" s="21">
        <f>SUMIFS('MP_MATAFUEGOS_FABRICADOS'!F:F,'MP_MATAFUEGOS_FABRICADOS'!$A:$A,$A21,'MP_MATAFUEGOS_FABRICADOS'!$B:$B,$B21)</f>
        <v/>
      </c>
      <c r="G21" s="21">
        <f>SUMIFS('MP_MATAFUEGOS_FABRICADOS'!G:G,'MP_MATAFUEGOS_FABRICADOS'!$A:$A,$A21,'MP_MATAFUEGOS_FABRICADOS'!$B:$B,$B21)</f>
        <v/>
      </c>
      <c r="H21" s="21">
        <f>SUMIFS('MP_MATAFUEGOS_FABRICADOS'!H:H,'MP_MATAFUEGOS_FABRICADOS'!$A:$A,$A21,'MP_MATAFUEGOS_FABRICADOS'!$B:$B,$B21)</f>
        <v/>
      </c>
      <c r="I21" s="21">
        <f>SUMIFS('MP_MATAFUEGOS_FABRICADOS'!I:I,'MP_MATAFUEGOS_FABRICADOS'!$A:$A,$A21,'MP_MATAFUEGOS_FABRICADOS'!$B:$B,$B21)</f>
        <v/>
      </c>
      <c r="J21" s="21">
        <f>SUMIFS('MP_MATAFUEGOS_FABRICADOS'!J:J,'MP_MATAFUEGOS_FABRICADOS'!$A:$A,$A21,'MP_MATAFUEGOS_FABRICADOS'!$B:$B,$B21)</f>
        <v/>
      </c>
      <c r="K21" s="21">
        <f>SUMIFS('MP_MATAFUEGOS_FABRICADOS'!K:K,'MP_MATAFUEGOS_FABRICADOS'!$A:$A,$A21,'MP_MATAFUEGOS_FABRICADOS'!$B:$B,$B21)</f>
        <v/>
      </c>
      <c r="L21" s="21">
        <f>SUMIFS('MP_MATAFUEGOS_FABRICADOS'!L:L,'MP_MATAFUEGOS_FABRICADOS'!$A:$A,$A21,'MP_MATAFUEGOS_FABRICADOS'!$B:$B,$B21)</f>
        <v/>
      </c>
      <c r="M21" s="21">
        <f>SUMIFS('MP_MATAFUEGOS_FABRICADOS'!M:M,'MP_MATAFUEGOS_FABRICADOS'!$A:$A,$A21,'MP_MATAFUEGOS_FABRICADOS'!$B:$B,$B21)</f>
        <v/>
      </c>
      <c r="N21" s="21">
        <f>SUMIFS('MP_MATAFUEGOS_FABRICADOS'!N:N,'MP_MATAFUEGOS_FABRICADOS'!$A:$A,$A21,'MP_MATAFUEGOS_FABRICADOS'!$B:$B,$B21)</f>
        <v/>
      </c>
      <c r="O21" s="21">
        <f>SUMIFS('MP_MATAFUEGOS_FABRICADOS'!O:O,'MP_MATAFUEGOS_FABRICADOS'!$A:$A,$A21,'MP_MATAFUEGOS_FABRICADOS'!$B:$B,$B21)</f>
        <v/>
      </c>
    </row>
    <row r="22">
      <c r="A22" s="2" t="inlineStr">
        <is>
          <t>Redondo SAE 1045 Ø25</t>
        </is>
      </c>
      <c r="B22" s="2" t="inlineStr">
        <is>
          <t>barra 6 m</t>
        </is>
      </c>
      <c r="C22" s="2" t="inlineStr">
        <is>
          <t>Materia prima</t>
        </is>
      </c>
      <c r="D22" s="2" t="inlineStr">
        <is>
          <t>Hierros Parrotta</t>
        </is>
      </c>
      <c r="E22" s="2" t="inlineStr">
        <is>
          <t>MP_MATAFUEGOS_FABRICADOS</t>
        </is>
      </c>
      <c r="F22" s="21">
        <f>SUMIFS('MP_MATAFUEGOS_FABRICADOS'!F:F,'MP_MATAFUEGOS_FABRICADOS'!$A:$A,$A22,'MP_MATAFUEGOS_FABRICADOS'!$B:$B,$B22)</f>
        <v/>
      </c>
      <c r="G22" s="21">
        <f>SUMIFS('MP_MATAFUEGOS_FABRICADOS'!G:G,'MP_MATAFUEGOS_FABRICADOS'!$A:$A,$A22,'MP_MATAFUEGOS_FABRICADOS'!$B:$B,$B22)</f>
        <v/>
      </c>
      <c r="H22" s="21">
        <f>SUMIFS('MP_MATAFUEGOS_FABRICADOS'!H:H,'MP_MATAFUEGOS_FABRICADOS'!$A:$A,$A22,'MP_MATAFUEGOS_FABRICADOS'!$B:$B,$B22)</f>
        <v/>
      </c>
      <c r="I22" s="21">
        <f>SUMIFS('MP_MATAFUEGOS_FABRICADOS'!I:I,'MP_MATAFUEGOS_FABRICADOS'!$A:$A,$A22,'MP_MATAFUEGOS_FABRICADOS'!$B:$B,$B22)</f>
        <v/>
      </c>
      <c r="J22" s="21">
        <f>SUMIFS('MP_MATAFUEGOS_FABRICADOS'!J:J,'MP_MATAFUEGOS_FABRICADOS'!$A:$A,$A22,'MP_MATAFUEGOS_FABRICADOS'!$B:$B,$B22)</f>
        <v/>
      </c>
      <c r="K22" s="21">
        <f>SUMIFS('MP_MATAFUEGOS_FABRICADOS'!K:K,'MP_MATAFUEGOS_FABRICADOS'!$A:$A,$A22,'MP_MATAFUEGOS_FABRICADOS'!$B:$B,$B22)</f>
        <v/>
      </c>
      <c r="L22" s="21">
        <f>SUMIFS('MP_MATAFUEGOS_FABRICADOS'!L:L,'MP_MATAFUEGOS_FABRICADOS'!$A:$A,$A22,'MP_MATAFUEGOS_FABRICADOS'!$B:$B,$B22)</f>
        <v/>
      </c>
      <c r="M22" s="21">
        <f>SUMIFS('MP_MATAFUEGOS_FABRICADOS'!M:M,'MP_MATAFUEGOS_FABRICADOS'!$A:$A,$A22,'MP_MATAFUEGOS_FABRICADOS'!$B:$B,$B22)</f>
        <v/>
      </c>
      <c r="N22" s="21">
        <f>SUMIFS('MP_MATAFUEGOS_FABRICADOS'!N:N,'MP_MATAFUEGOS_FABRICADOS'!$A:$A,$A22,'MP_MATAFUEGOS_FABRICADOS'!$B:$B,$B22)</f>
        <v/>
      </c>
      <c r="O22" s="21">
        <f>SUMIFS('MP_MATAFUEGOS_FABRICADOS'!O:O,'MP_MATAFUEGOS_FABRICADOS'!$A:$A,$A22,'MP_MATAFUEGOS_FABRICADOS'!$B:$B,$B22)</f>
        <v/>
      </c>
    </row>
    <row r="23">
      <c r="A23" s="2" t="inlineStr">
        <is>
          <t>Redondo liso SAE 1010 Ø8</t>
        </is>
      </c>
      <c r="B23" s="2" t="inlineStr">
        <is>
          <t>barra 6 m</t>
        </is>
      </c>
      <c r="C23" s="2" t="inlineStr">
        <is>
          <t>Materia prima</t>
        </is>
      </c>
      <c r="D23" s="2" t="inlineStr">
        <is>
          <t>Hierros Parrotta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Ø29 × 12,5 de alto, rosca M22x1,5, asiento Ø26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Ø36,8 × 14 de alto, rosca M30x1,5, asiento Ø35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Cuello roscado — Ø37 × 14 de alto, rosca M30x1,5, asiento Ø35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Eli-Met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Cuello roscado — Ø37 × 15 de alto, rosca M30x1,5, asiento Ø35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Eli-Met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Cuello roscado — Ø37 × 35 de alto, rosca M30x1,5, asiento Ø35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Eli-Met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Cuello roscado — Ø88 × 37 de alto, rosca RBSP 2 1/2"-11 h, asiento Ø80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Eli-Met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Cúpula — Ø276,5 × e3,2 × 86,3 de alto; disco Ø341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Cúpula — Ø320 × e3,2 × 101,7 de alto; disco Ø393,8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Cúpula — Ø350 × e4,75 × 111,8 de alto; disco Ø430,9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Gockel Ingeniería S.R.L.</t>
        </is>
      </c>
      <c r="E32" s="2" t="inlineStr">
        <is>
          <t>MP_MATAFUEGOS_FABRICADOS, MP_CILINDROS</t>
        </is>
      </c>
      <c r="F32" s="21">
        <f>SUMIFS('MP_MATAFUEGOS_FABRICADOS'!F:F,'MP_MATAFUEGOS_FABRICADOS'!$A:$A,$A32,'MP_MATAFUEGOS_FABRICADOS'!$B:$B,$B32)+SUMIFS('MP_CILINDROS'!F:F,'MP_CILINDROS'!$A:$A,$A32,'MP_CILINDROS'!$B:$B,$B32)</f>
        <v/>
      </c>
      <c r="G32" s="21">
        <f>SUMIFS('MP_MATAFUEGOS_FABRICADOS'!G:G,'MP_MATAFUEGOS_FABRICADOS'!$A:$A,$A32,'MP_MATAFUEGOS_FABRICADOS'!$B:$B,$B32)+SUMIFS('MP_CILINDROS'!G:G,'MP_CILINDROS'!$A:$A,$A32,'MP_CILINDROS'!$B:$B,$B32)</f>
        <v/>
      </c>
      <c r="H32" s="21">
        <f>SUMIFS('MP_MATAFUEGOS_FABRICADOS'!H:H,'MP_MATAFUEGOS_FABRICADOS'!$A:$A,$A32,'MP_MATAFUEGOS_FABRICADOS'!$B:$B,$B32)+SUMIFS('MP_CILINDROS'!H:H,'MP_CILINDROS'!$A:$A,$A32,'MP_CILINDROS'!$B:$B,$B32)</f>
        <v/>
      </c>
      <c r="I32" s="21">
        <f>SUMIFS('MP_MATAFUEGOS_FABRICADOS'!I:I,'MP_MATAFUEGOS_FABRICADOS'!$A:$A,$A32,'MP_MATAFUEGOS_FABRICADOS'!$B:$B,$B32)+SUMIFS('MP_CILINDROS'!I:I,'MP_CILINDROS'!$A:$A,$A32,'MP_CILINDROS'!$B:$B,$B32)</f>
        <v/>
      </c>
      <c r="J32" s="21">
        <f>SUMIFS('MP_MATAFUEGOS_FABRICADOS'!J:J,'MP_MATAFUEGOS_FABRICADOS'!$A:$A,$A32,'MP_MATAFUEGOS_FABRICADOS'!$B:$B,$B32)+SUMIFS('MP_CILINDROS'!J:J,'MP_CILINDROS'!$A:$A,$A32,'MP_CILINDROS'!$B:$B,$B32)</f>
        <v/>
      </c>
      <c r="K32" s="21">
        <f>SUMIFS('MP_MATAFUEGOS_FABRICADOS'!K:K,'MP_MATAFUEGOS_FABRICADOS'!$A:$A,$A32,'MP_MATAFUEGOS_FABRICADOS'!$B:$B,$B32)+SUMIFS('MP_CILINDROS'!K:K,'MP_CILINDROS'!$A:$A,$A32,'MP_CILINDROS'!$B:$B,$B32)</f>
        <v/>
      </c>
      <c r="L32" s="21">
        <f>SUMIFS('MP_MATAFUEGOS_FABRICADOS'!L:L,'MP_MATAFUEGOS_FABRICADOS'!$A:$A,$A32,'MP_MATAFUEGOS_FABRICADOS'!$B:$B,$B32)+SUMIFS('MP_CILINDROS'!L:L,'MP_CILINDROS'!$A:$A,$A32,'MP_CILINDROS'!$B:$B,$B32)</f>
        <v/>
      </c>
      <c r="M32" s="21">
        <f>SUMIFS('MP_MATAFUEGOS_FABRICADOS'!M:M,'MP_MATAFUEGOS_FABRICADOS'!$A:$A,$A32,'MP_MATAFUEGOS_FABRICADOS'!$B:$B,$B32)+SUMIFS('MP_CILINDROS'!M:M,'MP_CILINDROS'!$A:$A,$A32,'MP_CILINDROS'!$B:$B,$B32)</f>
        <v/>
      </c>
      <c r="N32" s="21">
        <f>SUMIFS('MP_MATAFUEGOS_FABRICADOS'!N:N,'MP_MATAFUEGOS_FABRICADOS'!$A:$A,$A32,'MP_MATAFUEGOS_FABRICADOS'!$B:$B,$B32)+SUMIFS('MP_CILINDROS'!N:N,'MP_CILINDROS'!$A:$A,$A32,'MP_CILINDROS'!$B:$B,$B32)</f>
        <v/>
      </c>
      <c r="O32" s="21">
        <f>SUMIFS('MP_MATAFUEGOS_FABRICADOS'!O:O,'MP_MATAFUEGOS_FABRICADOS'!$A:$A,$A32,'MP_MATAFUEGOS_FABRICADOS'!$B:$B,$B32)+SUMIFS('MP_CILINDROS'!O:O,'MP_CILINDROS'!$A:$A,$A32,'MP_CILINDROS'!$B:$B,$B32)</f>
        <v/>
      </c>
    </row>
    <row r="33">
      <c r="A33" s="2" t="inlineStr">
        <is>
          <t>Cúpula — Ø390 × e4,75 × 125,2 de alto; disco Ø482,2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Gockel Ingeniería S.R.L.</t>
        </is>
      </c>
      <c r="E33" s="2" t="inlineStr">
        <is>
          <t>MP_MATAFUEGOS_FABRICADOS, MP_CILINDROS</t>
        </is>
      </c>
      <c r="F33" s="21">
        <f>SUMIFS('MP_MATAFUEGOS_FABRICADOS'!F:F,'MP_MATAFUEGOS_FABRICADOS'!$A:$A,$A33,'MP_MATAFUEGOS_FABRICADOS'!$B:$B,$B33)+SUMIFS('MP_CILINDROS'!F:F,'MP_CILINDROS'!$A:$A,$A33,'MP_CILINDROS'!$B:$B,$B33)</f>
        <v/>
      </c>
      <c r="G33" s="21">
        <f>SUMIFS('MP_MATAFUEGOS_FABRICADOS'!G:G,'MP_MATAFUEGOS_FABRICADOS'!$A:$A,$A33,'MP_MATAFUEGOS_FABRICADOS'!$B:$B,$B33)+SUMIFS('MP_CILINDROS'!G:G,'MP_CILINDROS'!$A:$A,$A33,'MP_CILINDROS'!$B:$B,$B33)</f>
        <v/>
      </c>
      <c r="H33" s="21">
        <f>SUMIFS('MP_MATAFUEGOS_FABRICADOS'!H:H,'MP_MATAFUEGOS_FABRICADOS'!$A:$A,$A33,'MP_MATAFUEGOS_FABRICADOS'!$B:$B,$B33)+SUMIFS('MP_CILINDROS'!H:H,'MP_CILINDROS'!$A:$A,$A33,'MP_CILINDROS'!$B:$B,$B33)</f>
        <v/>
      </c>
      <c r="I33" s="21">
        <f>SUMIFS('MP_MATAFUEGOS_FABRICADOS'!I:I,'MP_MATAFUEGOS_FABRICADOS'!$A:$A,$A33,'MP_MATAFUEGOS_FABRICADOS'!$B:$B,$B33)+SUMIFS('MP_CILINDROS'!I:I,'MP_CILINDROS'!$A:$A,$A33,'MP_CILINDROS'!$B:$B,$B33)</f>
        <v/>
      </c>
      <c r="J33" s="21">
        <f>SUMIFS('MP_MATAFUEGOS_FABRICADOS'!J:J,'MP_MATAFUEGOS_FABRICADOS'!$A:$A,$A33,'MP_MATAFUEGOS_FABRICADOS'!$B:$B,$B33)+SUMIFS('MP_CILINDROS'!J:J,'MP_CILINDROS'!$A:$A,$A33,'MP_CILINDROS'!$B:$B,$B33)</f>
        <v/>
      </c>
      <c r="K33" s="21">
        <f>SUMIFS('MP_MATAFUEGOS_FABRICADOS'!K:K,'MP_MATAFUEGOS_FABRICADOS'!$A:$A,$A33,'MP_MATAFUEGOS_FABRICADOS'!$B:$B,$B33)+SUMIFS('MP_CILINDROS'!K:K,'MP_CILINDROS'!$A:$A,$A33,'MP_CILINDROS'!$B:$B,$B33)</f>
        <v/>
      </c>
      <c r="L33" s="21">
        <f>SUMIFS('MP_MATAFUEGOS_FABRICADOS'!L:L,'MP_MATAFUEGOS_FABRICADOS'!$A:$A,$A33,'MP_MATAFUEGOS_FABRICADOS'!$B:$B,$B33)+SUMIFS('MP_CILINDROS'!L:L,'MP_CILINDROS'!$A:$A,$A33,'MP_CILINDROS'!$B:$B,$B33)</f>
        <v/>
      </c>
      <c r="M33" s="21">
        <f>SUMIFS('MP_MATAFUEGOS_FABRICADOS'!M:M,'MP_MATAFUEGOS_FABRICADOS'!$A:$A,$A33,'MP_MATAFUEGOS_FABRICADOS'!$B:$B,$B33)+SUMIFS('MP_CILINDROS'!M:M,'MP_CILINDROS'!$A:$A,$A33,'MP_CILINDROS'!$B:$B,$B33)</f>
        <v/>
      </c>
      <c r="N33" s="21">
        <f>SUMIFS('MP_MATAFUEGOS_FABRICADOS'!N:N,'MP_MATAFUEGOS_FABRICADOS'!$A:$A,$A33,'MP_MATAFUEGOS_FABRICADOS'!$B:$B,$B33)+SUMIFS('MP_CILINDROS'!N:N,'MP_CILINDROS'!$A:$A,$A33,'MP_CILINDROS'!$B:$B,$B33)</f>
        <v/>
      </c>
      <c r="O33" s="21">
        <f>SUMIFS('MP_MATAFUEGOS_FABRICADOS'!O:O,'MP_MATAFUEGOS_FABRICADOS'!$A:$A,$A33,'MP_MATAFUEGOS_FABRICADOS'!$B:$B,$B33)+SUMIFS('MP_CILINDROS'!O:O,'MP_CILINDROS'!$A:$A,$A33,'MP_CILINDROS'!$B:$B,$B33)</f>
        <v/>
      </c>
    </row>
    <row r="34">
      <c r="A34" s="2" t="inlineStr">
        <is>
          <t>Fondo — Ø276,5 × e3,2 × 87 de alto; disco Ø347,3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Gockel Ingeniería S.R.L.</t>
        </is>
      </c>
      <c r="E34" s="2" t="inlineStr">
        <is>
          <t>MP_MATAFUEGOS_FABRICADOS, MP_CILINDROS</t>
        </is>
      </c>
      <c r="F34" s="21">
        <f>SUMIFS('MP_MATAFUEGOS_FABRICADOS'!F:F,'MP_MATAFUEGOS_FABRICADOS'!$A:$A,$A34,'MP_MATAFUEGOS_FABRICADOS'!$B:$B,$B34)+SUMIFS('MP_CILINDROS'!F:F,'MP_CILINDROS'!$A:$A,$A34,'MP_CILINDROS'!$B:$B,$B34)</f>
        <v/>
      </c>
      <c r="G34" s="21">
        <f>SUMIFS('MP_MATAFUEGOS_FABRICADOS'!G:G,'MP_MATAFUEGOS_FABRICADOS'!$A:$A,$A34,'MP_MATAFUEGOS_FABRICADOS'!$B:$B,$B34)+SUMIFS('MP_CILINDROS'!G:G,'MP_CILINDROS'!$A:$A,$A34,'MP_CILINDROS'!$B:$B,$B34)</f>
        <v/>
      </c>
      <c r="H34" s="21">
        <f>SUMIFS('MP_MATAFUEGOS_FABRICADOS'!H:H,'MP_MATAFUEGOS_FABRICADOS'!$A:$A,$A34,'MP_MATAFUEGOS_FABRICADOS'!$B:$B,$B34)+SUMIFS('MP_CILINDROS'!H:H,'MP_CILINDROS'!$A:$A,$A34,'MP_CILINDROS'!$B:$B,$B34)</f>
        <v/>
      </c>
      <c r="I34" s="21">
        <f>SUMIFS('MP_MATAFUEGOS_FABRICADOS'!I:I,'MP_MATAFUEGOS_FABRICADOS'!$A:$A,$A34,'MP_MATAFUEGOS_FABRICADOS'!$B:$B,$B34)+SUMIFS('MP_CILINDROS'!I:I,'MP_CILINDROS'!$A:$A,$A34,'MP_CILINDROS'!$B:$B,$B34)</f>
        <v/>
      </c>
      <c r="J34" s="21">
        <f>SUMIFS('MP_MATAFUEGOS_FABRICADOS'!J:J,'MP_MATAFUEGOS_FABRICADOS'!$A:$A,$A34,'MP_MATAFUEGOS_FABRICADOS'!$B:$B,$B34)+SUMIFS('MP_CILINDROS'!J:J,'MP_CILINDROS'!$A:$A,$A34,'MP_CILINDROS'!$B:$B,$B34)</f>
        <v/>
      </c>
      <c r="K34" s="21">
        <f>SUMIFS('MP_MATAFUEGOS_FABRICADOS'!K:K,'MP_MATAFUEGOS_FABRICADOS'!$A:$A,$A34,'MP_MATAFUEGOS_FABRICADOS'!$B:$B,$B34)+SUMIFS('MP_CILINDROS'!K:K,'MP_CILINDROS'!$A:$A,$A34,'MP_CILINDROS'!$B:$B,$B34)</f>
        <v/>
      </c>
      <c r="L34" s="21">
        <f>SUMIFS('MP_MATAFUEGOS_FABRICADOS'!L:L,'MP_MATAFUEGOS_FABRICADOS'!$A:$A,$A34,'MP_MATAFUEGOS_FABRICADOS'!$B:$B,$B34)+SUMIFS('MP_CILINDROS'!L:L,'MP_CILINDROS'!$A:$A,$A34,'MP_CILINDROS'!$B:$B,$B34)</f>
        <v/>
      </c>
      <c r="M34" s="21">
        <f>SUMIFS('MP_MATAFUEGOS_FABRICADOS'!M:M,'MP_MATAFUEGOS_FABRICADOS'!$A:$A,$A34,'MP_MATAFUEGOS_FABRICADOS'!$B:$B,$B34)+SUMIFS('MP_CILINDROS'!M:M,'MP_CILINDROS'!$A:$A,$A34,'MP_CILINDROS'!$B:$B,$B34)</f>
        <v/>
      </c>
      <c r="N34" s="21">
        <f>SUMIFS('MP_MATAFUEGOS_FABRICADOS'!N:N,'MP_MATAFUEGOS_FABRICADOS'!$A:$A,$A34,'MP_MATAFUEGOS_FABRICADOS'!$B:$B,$B34)+SUMIFS('MP_CILINDROS'!N:N,'MP_CILINDROS'!$A:$A,$A34,'MP_CILINDROS'!$B:$B,$B34)</f>
        <v/>
      </c>
      <c r="O34" s="21">
        <f>SUMIFS('MP_MATAFUEGOS_FABRICADOS'!O:O,'MP_MATAFUEGOS_FABRICADOS'!$A:$A,$A34,'MP_MATAFUEGOS_FABRICADOS'!$B:$B,$B34)+SUMIFS('MP_CILINDROS'!O:O,'MP_CILINDROS'!$A:$A,$A34,'MP_CILINDROS'!$B:$B,$B34)</f>
        <v/>
      </c>
    </row>
    <row r="35">
      <c r="A35" s="2" t="inlineStr">
        <is>
          <t>Fondo — Ø320 × e3,2 × 105 de alto; disco Ø408,5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Gockel Ingeniería S.R.L.</t>
        </is>
      </c>
      <c r="E35" s="2" t="inlineStr">
        <is>
          <t>MP_MATAFUEGOS_FABRICADOS, MP_CILINDROS</t>
        </is>
      </c>
      <c r="F35" s="21">
        <f>SUMIFS('MP_MATAFUEGOS_FABRICADOS'!F:F,'MP_MATAFUEGOS_FABRICADOS'!$A:$A,$A35,'MP_MATAFUEGOS_FABRICADOS'!$B:$B,$B35)+SUMIFS('MP_CILINDROS'!F:F,'MP_CILINDROS'!$A:$A,$A35,'MP_CILINDROS'!$B:$B,$B35)</f>
        <v/>
      </c>
      <c r="G35" s="21">
        <f>SUMIFS('MP_MATAFUEGOS_FABRICADOS'!G:G,'MP_MATAFUEGOS_FABRICADOS'!$A:$A,$A35,'MP_MATAFUEGOS_FABRICADOS'!$B:$B,$B35)+SUMIFS('MP_CILINDROS'!G:G,'MP_CILINDROS'!$A:$A,$A35,'MP_CILINDROS'!$B:$B,$B35)</f>
        <v/>
      </c>
      <c r="H35" s="21">
        <f>SUMIFS('MP_MATAFUEGOS_FABRICADOS'!H:H,'MP_MATAFUEGOS_FABRICADOS'!$A:$A,$A35,'MP_MATAFUEGOS_FABRICADOS'!$B:$B,$B35)+SUMIFS('MP_CILINDROS'!H:H,'MP_CILINDROS'!$A:$A,$A35,'MP_CILINDROS'!$B:$B,$B35)</f>
        <v/>
      </c>
      <c r="I35" s="21">
        <f>SUMIFS('MP_MATAFUEGOS_FABRICADOS'!I:I,'MP_MATAFUEGOS_FABRICADOS'!$A:$A,$A35,'MP_MATAFUEGOS_FABRICADOS'!$B:$B,$B35)+SUMIFS('MP_CILINDROS'!I:I,'MP_CILINDROS'!$A:$A,$A35,'MP_CILINDROS'!$B:$B,$B35)</f>
        <v/>
      </c>
      <c r="J35" s="21">
        <f>SUMIFS('MP_MATAFUEGOS_FABRICADOS'!J:J,'MP_MATAFUEGOS_FABRICADOS'!$A:$A,$A35,'MP_MATAFUEGOS_FABRICADOS'!$B:$B,$B35)+SUMIFS('MP_CILINDROS'!J:J,'MP_CILINDROS'!$A:$A,$A35,'MP_CILINDROS'!$B:$B,$B35)</f>
        <v/>
      </c>
      <c r="K35" s="21">
        <f>SUMIFS('MP_MATAFUEGOS_FABRICADOS'!K:K,'MP_MATAFUEGOS_FABRICADOS'!$A:$A,$A35,'MP_MATAFUEGOS_FABRICADOS'!$B:$B,$B35)+SUMIFS('MP_CILINDROS'!K:K,'MP_CILINDROS'!$A:$A,$A35,'MP_CILINDROS'!$B:$B,$B35)</f>
        <v/>
      </c>
      <c r="L35" s="21">
        <f>SUMIFS('MP_MATAFUEGOS_FABRICADOS'!L:L,'MP_MATAFUEGOS_FABRICADOS'!$A:$A,$A35,'MP_MATAFUEGOS_FABRICADOS'!$B:$B,$B35)+SUMIFS('MP_CILINDROS'!L:L,'MP_CILINDROS'!$A:$A,$A35,'MP_CILINDROS'!$B:$B,$B35)</f>
        <v/>
      </c>
      <c r="M35" s="21">
        <f>SUMIFS('MP_MATAFUEGOS_FABRICADOS'!M:M,'MP_MATAFUEGOS_FABRICADOS'!$A:$A,$A35,'MP_MATAFUEGOS_FABRICADOS'!$B:$B,$B35)+SUMIFS('MP_CILINDROS'!M:M,'MP_CILINDROS'!$A:$A,$A35,'MP_CILINDROS'!$B:$B,$B35)</f>
        <v/>
      </c>
      <c r="N35" s="21">
        <f>SUMIFS('MP_MATAFUEGOS_FABRICADOS'!N:N,'MP_MATAFUEGOS_FABRICADOS'!$A:$A,$A35,'MP_MATAFUEGOS_FABRICADOS'!$B:$B,$B35)+SUMIFS('MP_CILINDROS'!N:N,'MP_CILINDROS'!$A:$A,$A35,'MP_CILINDROS'!$B:$B,$B35)</f>
        <v/>
      </c>
      <c r="O35" s="21">
        <f>SUMIFS('MP_MATAFUEGOS_FABRICADOS'!O:O,'MP_MATAFUEGOS_FABRICADOS'!$A:$A,$A35,'MP_MATAFUEGOS_FABRICADOS'!$B:$B,$B35)+SUMIFS('MP_CILINDROS'!O:O,'MP_CILINDROS'!$A:$A,$A35,'MP_CILINDROS'!$B:$B,$B35)</f>
        <v/>
      </c>
    </row>
    <row r="36">
      <c r="A36" s="2" t="inlineStr">
        <is>
          <t>Fondo — Ø350 × e4,75 × 114,8 de alto; disco Ø443,7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MP_MATAFUEGOS_FABRICADOS, MP_CILINDROS</t>
        </is>
      </c>
      <c r="F36" s="21">
        <f>SUMIFS('MP_MATAFUEGOS_FABRICADOS'!F:F,'MP_MATAFUEGOS_FABRICADOS'!$A:$A,$A36,'MP_MATAFUEGOS_FABRICADOS'!$B:$B,$B36)+SUMIFS('MP_CILINDROS'!F:F,'MP_CILINDROS'!$A:$A,$A36,'MP_CILINDROS'!$B:$B,$B36)</f>
        <v/>
      </c>
      <c r="G36" s="21">
        <f>SUMIFS('MP_MATAFUEGOS_FABRICADOS'!G:G,'MP_MATAFUEGOS_FABRICADOS'!$A:$A,$A36,'MP_MATAFUEGOS_FABRICADOS'!$B:$B,$B36)+SUMIFS('MP_CILINDROS'!G:G,'MP_CILINDROS'!$A:$A,$A36,'MP_CILINDROS'!$B:$B,$B36)</f>
        <v/>
      </c>
      <c r="H36" s="21">
        <f>SUMIFS('MP_MATAFUEGOS_FABRICADOS'!H:H,'MP_MATAFUEGOS_FABRICADOS'!$A:$A,$A36,'MP_MATAFUEGOS_FABRICADOS'!$B:$B,$B36)+SUMIFS('MP_CILINDROS'!H:H,'MP_CILINDROS'!$A:$A,$A36,'MP_CILINDROS'!$B:$B,$B36)</f>
        <v/>
      </c>
      <c r="I36" s="21">
        <f>SUMIFS('MP_MATAFUEGOS_FABRICADOS'!I:I,'MP_MATAFUEGOS_FABRICADOS'!$A:$A,$A36,'MP_MATAFUEGOS_FABRICADOS'!$B:$B,$B36)+SUMIFS('MP_CILINDROS'!I:I,'MP_CILINDROS'!$A:$A,$A36,'MP_CILINDROS'!$B:$B,$B36)</f>
        <v/>
      </c>
      <c r="J36" s="21">
        <f>SUMIFS('MP_MATAFUEGOS_FABRICADOS'!J:J,'MP_MATAFUEGOS_FABRICADOS'!$A:$A,$A36,'MP_MATAFUEGOS_FABRICADOS'!$B:$B,$B36)+SUMIFS('MP_CILINDROS'!J:J,'MP_CILINDROS'!$A:$A,$A36,'MP_CILINDROS'!$B:$B,$B36)</f>
        <v/>
      </c>
      <c r="K36" s="21">
        <f>SUMIFS('MP_MATAFUEGOS_FABRICADOS'!K:K,'MP_MATAFUEGOS_FABRICADOS'!$A:$A,$A36,'MP_MATAFUEGOS_FABRICADOS'!$B:$B,$B36)+SUMIFS('MP_CILINDROS'!K:K,'MP_CILINDROS'!$A:$A,$A36,'MP_CILINDROS'!$B:$B,$B36)</f>
        <v/>
      </c>
      <c r="L36" s="21">
        <f>SUMIFS('MP_MATAFUEGOS_FABRICADOS'!L:L,'MP_MATAFUEGOS_FABRICADOS'!$A:$A,$A36,'MP_MATAFUEGOS_FABRICADOS'!$B:$B,$B36)+SUMIFS('MP_CILINDROS'!L:L,'MP_CILINDROS'!$A:$A,$A36,'MP_CILINDROS'!$B:$B,$B36)</f>
        <v/>
      </c>
      <c r="M36" s="21">
        <f>SUMIFS('MP_MATAFUEGOS_FABRICADOS'!M:M,'MP_MATAFUEGOS_FABRICADOS'!$A:$A,$A36,'MP_MATAFUEGOS_FABRICADOS'!$B:$B,$B36)+SUMIFS('MP_CILINDROS'!M:M,'MP_CILINDROS'!$A:$A,$A36,'MP_CILINDROS'!$B:$B,$B36)</f>
        <v/>
      </c>
      <c r="N36" s="21">
        <f>SUMIFS('MP_MATAFUEGOS_FABRICADOS'!N:N,'MP_MATAFUEGOS_FABRICADOS'!$A:$A,$A36,'MP_MATAFUEGOS_FABRICADOS'!$B:$B,$B36)+SUMIFS('MP_CILINDROS'!N:N,'MP_CILINDROS'!$A:$A,$A36,'MP_CILINDROS'!$B:$B,$B36)</f>
        <v/>
      </c>
      <c r="O36" s="21">
        <f>SUMIFS('MP_MATAFUEGOS_FABRICADOS'!O:O,'MP_MATAFUEGOS_FABRICADOS'!$A:$A,$A36,'MP_MATAFUEGOS_FABRICADOS'!$B:$B,$B36)+SUMIFS('MP_CILINDROS'!O:O,'MP_CILINDROS'!$A:$A,$A36,'MP_CILINDROS'!$B:$B,$B36)</f>
        <v/>
      </c>
    </row>
    <row r="37">
      <c r="A37" s="2" t="inlineStr">
        <is>
          <t>Fondo — Ø390 × e4,75 × 127,9 de alto; disco Ø495,6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MP_MATAFUEGOS_FABRICADOS, MP_CILINDROS</t>
        </is>
      </c>
      <c r="F37" s="21">
        <f>SUMIFS('MP_MATAFUEGOS_FABRICADOS'!F:F,'MP_MATAFUEGOS_FABRICADOS'!$A:$A,$A37,'MP_MATAFUEGOS_FABRICADOS'!$B:$B,$B37)+SUMIFS('MP_CILINDROS'!F:F,'MP_CILINDROS'!$A:$A,$A37,'MP_CILINDROS'!$B:$B,$B37)</f>
        <v/>
      </c>
      <c r="G37" s="21">
        <f>SUMIFS('MP_MATAFUEGOS_FABRICADOS'!G:G,'MP_MATAFUEGOS_FABRICADOS'!$A:$A,$A37,'MP_MATAFUEGOS_FABRICADOS'!$B:$B,$B37)+SUMIFS('MP_CILINDROS'!G:G,'MP_CILINDROS'!$A:$A,$A37,'MP_CILINDROS'!$B:$B,$B37)</f>
        <v/>
      </c>
      <c r="H37" s="21">
        <f>SUMIFS('MP_MATAFUEGOS_FABRICADOS'!H:H,'MP_MATAFUEGOS_FABRICADOS'!$A:$A,$A37,'MP_MATAFUEGOS_FABRICADOS'!$B:$B,$B37)+SUMIFS('MP_CILINDROS'!H:H,'MP_CILINDROS'!$A:$A,$A37,'MP_CILINDROS'!$B:$B,$B37)</f>
        <v/>
      </c>
      <c r="I37" s="21">
        <f>SUMIFS('MP_MATAFUEGOS_FABRICADOS'!I:I,'MP_MATAFUEGOS_FABRICADOS'!$A:$A,$A37,'MP_MATAFUEGOS_FABRICADOS'!$B:$B,$B37)+SUMIFS('MP_CILINDROS'!I:I,'MP_CILINDROS'!$A:$A,$A37,'MP_CILINDROS'!$B:$B,$B37)</f>
        <v/>
      </c>
      <c r="J37" s="21">
        <f>SUMIFS('MP_MATAFUEGOS_FABRICADOS'!J:J,'MP_MATAFUEGOS_FABRICADOS'!$A:$A,$A37,'MP_MATAFUEGOS_FABRICADOS'!$B:$B,$B37)+SUMIFS('MP_CILINDROS'!J:J,'MP_CILINDROS'!$A:$A,$A37,'MP_CILINDROS'!$B:$B,$B37)</f>
        <v/>
      </c>
      <c r="K37" s="21">
        <f>SUMIFS('MP_MATAFUEGOS_FABRICADOS'!K:K,'MP_MATAFUEGOS_FABRICADOS'!$A:$A,$A37,'MP_MATAFUEGOS_FABRICADOS'!$B:$B,$B37)+SUMIFS('MP_CILINDROS'!K:K,'MP_CILINDROS'!$A:$A,$A37,'MP_CILINDROS'!$B:$B,$B37)</f>
        <v/>
      </c>
      <c r="L37" s="21">
        <f>SUMIFS('MP_MATAFUEGOS_FABRICADOS'!L:L,'MP_MATAFUEGOS_FABRICADOS'!$A:$A,$A37,'MP_MATAFUEGOS_FABRICADOS'!$B:$B,$B37)+SUMIFS('MP_CILINDROS'!L:L,'MP_CILINDROS'!$A:$A,$A37,'MP_CILINDROS'!$B:$B,$B37)</f>
        <v/>
      </c>
      <c r="M37" s="21">
        <f>SUMIFS('MP_MATAFUEGOS_FABRICADOS'!M:M,'MP_MATAFUEGOS_FABRICADOS'!$A:$A,$A37,'MP_MATAFUEGOS_FABRICADOS'!$B:$B,$B37)+SUMIFS('MP_CILINDROS'!M:M,'MP_CILINDROS'!$A:$A,$A37,'MP_CILINDROS'!$B:$B,$B37)</f>
        <v/>
      </c>
      <c r="N37" s="21">
        <f>SUMIFS('MP_MATAFUEGOS_FABRICADOS'!N:N,'MP_MATAFUEGOS_FABRICADOS'!$A:$A,$A37,'MP_MATAFUEGOS_FABRICADOS'!$B:$B,$B37)+SUMIFS('MP_CILINDROS'!N:N,'MP_CILINDROS'!$A:$A,$A37,'MP_CILINDROS'!$B:$B,$B37)</f>
        <v/>
      </c>
      <c r="O37" s="21">
        <f>SUMIFS('MP_MATAFUEGOS_FABRICADOS'!O:O,'MP_MATAFUEGOS_FABRICADOS'!$A:$A,$A37,'MP_MATAFUEGOS_FABRICADOS'!$B:$B,$B37)+SUMIFS('MP_CILINDROS'!O:O,'MP_CILINDROS'!$A:$A,$A37,'MP_CILINDROS'!$B:$B,$B37)</f>
        <v/>
      </c>
    </row>
    <row r="38">
      <c r="A38" s="2" t="inlineStr">
        <is>
          <t>Faja amarilla de sustituto en la pollera (3 leyendas) — 40 × 1025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Faja amarilla de sustituto en la pollera (3 leyendas) — 40 × 1245 (alto ≤ 40; perímetro + 20 de solape)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Astuprint</t>
        </is>
      </c>
      <c r="E39" s="2" t="inlineStr">
        <is>
          <t>MP_SUSTITUTOS</t>
        </is>
      </c>
      <c r="F39" s="21">
        <f>SUMIFS('MP_SUSTITUTOS'!F:F,'MP_SUSTITUTOS'!$A:$A,$A39,'MP_SUSTITUTOS'!$B:$B,$B39)</f>
        <v/>
      </c>
      <c r="G39" s="21">
        <f>SUMIFS('MP_SUSTITUTOS'!G:G,'MP_SUSTITUTOS'!$A:$A,$A39,'MP_SUSTITUTOS'!$B:$B,$B39)</f>
        <v/>
      </c>
      <c r="H39" s="21">
        <f>SUMIFS('MP_SUSTITUTOS'!H:H,'MP_SUSTITUTOS'!$A:$A,$A39,'MP_SUSTITUTOS'!$B:$B,$B39)</f>
        <v/>
      </c>
      <c r="I39" s="21">
        <f>SUMIFS('MP_SUSTITUTOS'!I:I,'MP_SUSTITUTOS'!$A:$A,$A39,'MP_SUSTITUTOS'!$B:$B,$B39)</f>
        <v/>
      </c>
      <c r="J39" s="21">
        <f>SUMIFS('MP_SUSTITUTOS'!J:J,'MP_SUSTITUTOS'!$A:$A,$A39,'MP_SUSTITUTOS'!$B:$B,$B39)</f>
        <v/>
      </c>
      <c r="K39" s="21">
        <f>SUMIFS('MP_SUSTITUTOS'!K:K,'MP_SUSTITUTOS'!$A:$A,$A39,'MP_SUSTITUTOS'!$B:$B,$B39)</f>
        <v/>
      </c>
      <c r="L39" s="21">
        <f>SUMIFS('MP_SUSTITUTOS'!L:L,'MP_SUSTITUTOS'!$A:$A,$A39,'MP_SUSTITUTOS'!$B:$B,$B39)</f>
        <v/>
      </c>
      <c r="M39" s="21">
        <f>SUMIFS('MP_SUSTITUTOS'!M:M,'MP_SUSTITUTOS'!$A:$A,$A39,'MP_SUSTITUTOS'!$B:$B,$B39)</f>
        <v/>
      </c>
      <c r="N39" s="21">
        <f>SUMIFS('MP_SUSTITUTOS'!N:N,'MP_SUSTITUTOS'!$A:$A,$A39,'MP_SUSTITUTOS'!$B:$B,$B39)</f>
        <v/>
      </c>
      <c r="O39" s="21">
        <f>SUMIFS('MP_SUSTITUTOS'!O:O,'MP_SUSTITUTOS'!$A:$A,$A39,'MP_SUSTITUTOS'!$B:$B,$B39)</f>
        <v/>
      </c>
    </row>
    <row r="40">
      <c r="A40" s="2" t="inlineStr">
        <is>
          <t>Faja amarilla de sustituto en la pollera (3 leyendas) — 40 × 460 (alto ≤ 40; perímetro + 20 de solape)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Astuprint</t>
        </is>
      </c>
      <c r="E40" s="2" t="inlineStr">
        <is>
          <t>MP_SUSTITUTOS</t>
        </is>
      </c>
      <c r="F40" s="21">
        <f>SUMIFS('MP_SUSTITUTOS'!F:F,'MP_SUSTITUTOS'!$A:$A,$A40,'MP_SUSTITUTOS'!$B:$B,$B40)</f>
        <v/>
      </c>
      <c r="G40" s="21">
        <f>SUMIFS('MP_SUSTITUTOS'!G:G,'MP_SUSTITUTOS'!$A:$A,$A40,'MP_SUSTITUTOS'!$B:$B,$B40)</f>
        <v/>
      </c>
      <c r="H40" s="21">
        <f>SUMIFS('MP_SUSTITUTOS'!H:H,'MP_SUSTITUTOS'!$A:$A,$A40,'MP_SUSTITUTOS'!$B:$B,$B40)</f>
        <v/>
      </c>
      <c r="I40" s="21">
        <f>SUMIFS('MP_SUSTITUTOS'!I:I,'MP_SUSTITUTOS'!$A:$A,$A40,'MP_SUSTITUTOS'!$B:$B,$B40)</f>
        <v/>
      </c>
      <c r="J40" s="21">
        <f>SUMIFS('MP_SUSTITUTOS'!J:J,'MP_SUSTITUTOS'!$A:$A,$A40,'MP_SUSTITUTOS'!$B:$B,$B40)</f>
        <v/>
      </c>
      <c r="K40" s="21">
        <f>SUMIFS('MP_SUSTITUTOS'!K:K,'MP_SUSTITUTOS'!$A:$A,$A40,'MP_SUSTITUTOS'!$B:$B,$B40)</f>
        <v/>
      </c>
      <c r="L40" s="21">
        <f>SUMIFS('MP_SUSTITUTOS'!L:L,'MP_SUSTITUTOS'!$A:$A,$A40,'MP_SUSTITUTOS'!$B:$B,$B40)</f>
        <v/>
      </c>
      <c r="M40" s="21">
        <f>SUMIFS('MP_SUSTITUTOS'!M:M,'MP_SUSTITUTOS'!$A:$A,$A40,'MP_SUSTITUTOS'!$B:$B,$B40)</f>
        <v/>
      </c>
      <c r="N40" s="21">
        <f>SUMIFS('MP_SUSTITUTOS'!N:N,'MP_SUSTITUTOS'!$A:$A,$A40,'MP_SUSTITUTOS'!$B:$B,$B40)</f>
        <v/>
      </c>
      <c r="O40" s="21">
        <f>SUMIFS('MP_SUSTITUTOS'!O:O,'MP_SUSTITUTOS'!$A:$A,$A40,'MP_SUSTITUTOS'!$B:$B,$B40)</f>
        <v/>
      </c>
    </row>
    <row r="41">
      <c r="A41" s="2" t="inlineStr">
        <is>
          <t>Faja amarilla de sustituto en la pollera (3 leyendas) — 40 × 501 (alto ≤ 40; perímetro + 20 de solape)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Astuprint</t>
        </is>
      </c>
      <c r="E41" s="2" t="inlineStr">
        <is>
          <t>MP_SUSTITUTOS</t>
        </is>
      </c>
      <c r="F41" s="21">
        <f>SUMIFS('MP_SUSTITUTOS'!F:F,'MP_SUSTITUTOS'!$A:$A,$A41,'MP_SUSTITUTOS'!$B:$B,$B41)</f>
        <v/>
      </c>
      <c r="G41" s="21">
        <f>SUMIFS('MP_SUSTITUTOS'!G:G,'MP_SUSTITUTOS'!$A:$A,$A41,'MP_SUSTITUTOS'!$B:$B,$B41)</f>
        <v/>
      </c>
      <c r="H41" s="21">
        <f>SUMIFS('MP_SUSTITUTOS'!H:H,'MP_SUSTITUTOS'!$A:$A,$A41,'MP_SUSTITUTOS'!$B:$B,$B41)</f>
        <v/>
      </c>
      <c r="I41" s="21">
        <f>SUMIFS('MP_SUSTITUTOS'!I:I,'MP_SUSTITUTOS'!$A:$A,$A41,'MP_SUSTITUTOS'!$B:$B,$B41)</f>
        <v/>
      </c>
      <c r="J41" s="21">
        <f>SUMIFS('MP_SUSTITUTOS'!J:J,'MP_SUSTITUTOS'!$A:$A,$A41,'MP_SUSTITUTOS'!$B:$B,$B41)</f>
        <v/>
      </c>
      <c r="K41" s="21">
        <f>SUMIFS('MP_SUSTITUTOS'!K:K,'MP_SUSTITUTOS'!$A:$A,$A41,'MP_SUSTITUTOS'!$B:$B,$B41)</f>
        <v/>
      </c>
      <c r="L41" s="21">
        <f>SUMIFS('MP_SUSTITUTOS'!L:L,'MP_SUSTITUTOS'!$A:$A,$A41,'MP_SUSTITUTOS'!$B:$B,$B41)</f>
        <v/>
      </c>
      <c r="M41" s="21">
        <f>SUMIFS('MP_SUSTITUTOS'!M:M,'MP_SUSTITUTOS'!$A:$A,$A41,'MP_SUSTITUTOS'!$B:$B,$B41)</f>
        <v/>
      </c>
      <c r="N41" s="21">
        <f>SUMIFS('MP_SUSTITUTOS'!N:N,'MP_SUSTITUTOS'!$A:$A,$A41,'MP_SUSTITUTOS'!$B:$B,$B41)</f>
        <v/>
      </c>
      <c r="O41" s="21">
        <f>SUMIFS('MP_SUSTITUTOS'!O:O,'MP_SUSTITUTOS'!$A:$A,$A41,'MP_SUSTITUTOS'!$B:$B,$B41)</f>
        <v/>
      </c>
    </row>
    <row r="42">
      <c r="A42" s="2" t="inlineStr">
        <is>
          <t>Faja amarilla de sustituto en la pollera (3 leyendas) — 40 × 590 (alto ≤ 40; perímetro + 20 de solape)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Astuprint</t>
        </is>
      </c>
      <c r="E42" s="2" t="inlineStr">
        <is>
          <t>MP_SUSTITUTOS</t>
        </is>
      </c>
      <c r="F42" s="21">
        <f>SUMIFS('MP_SUSTITUTOS'!F:F,'MP_SUSTITUTOS'!$A:$A,$A42,'MP_SUSTITUTOS'!$B:$B,$B42)</f>
        <v/>
      </c>
      <c r="G42" s="21">
        <f>SUMIFS('MP_SUSTITUTOS'!G:G,'MP_SUSTITUTOS'!$A:$A,$A42,'MP_SUSTITUTOS'!$B:$B,$B42)</f>
        <v/>
      </c>
      <c r="H42" s="21">
        <f>SUMIFS('MP_SUSTITUTOS'!H:H,'MP_SUSTITUTOS'!$A:$A,$A42,'MP_SUSTITUTOS'!$B:$B,$B42)</f>
        <v/>
      </c>
      <c r="I42" s="21">
        <f>SUMIFS('MP_SUSTITUTOS'!I:I,'MP_SUSTITUTOS'!$A:$A,$A42,'MP_SUSTITUTOS'!$B:$B,$B42)</f>
        <v/>
      </c>
      <c r="J42" s="21">
        <f>SUMIFS('MP_SUSTITUTOS'!J:J,'MP_SUSTITUTOS'!$A:$A,$A42,'MP_SUSTITUTOS'!$B:$B,$B42)</f>
        <v/>
      </c>
      <c r="K42" s="21">
        <f>SUMIFS('MP_SUSTITUTOS'!K:K,'MP_SUSTITUTOS'!$A:$A,$A42,'MP_SUSTITUTOS'!$B:$B,$B42)</f>
        <v/>
      </c>
      <c r="L42" s="21">
        <f>SUMIFS('MP_SUSTITUTOS'!L:L,'MP_SUSTITUTOS'!$A:$A,$A42,'MP_SUSTITUTOS'!$B:$B,$B42)</f>
        <v/>
      </c>
      <c r="M42" s="21">
        <f>SUMIFS('MP_SUSTITUTOS'!M:M,'MP_SUSTITUTOS'!$A:$A,$A42,'MP_SUSTITUTOS'!$B:$B,$B42)</f>
        <v/>
      </c>
      <c r="N42" s="21">
        <f>SUMIFS('MP_SUSTITUTOS'!N:N,'MP_SUSTITUTOS'!$A:$A,$A42,'MP_SUSTITUTOS'!$B:$B,$B42)</f>
        <v/>
      </c>
      <c r="O42" s="21">
        <f>SUMIFS('MP_SUSTITUTOS'!O:O,'MP_SUSTITUTOS'!$A:$A,$A42,'MP_SUSTITUTOS'!$B:$B,$B42)</f>
        <v/>
      </c>
    </row>
    <row r="43">
      <c r="A43" s="2" t="inlineStr">
        <is>
          <t>Faja amarilla de sustituto en la pollera (3 leyendas) — 40 × 617 (alto ≤ 40; perímetro + 20 de solape)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Astuprint</t>
        </is>
      </c>
      <c r="E43" s="2" t="inlineStr">
        <is>
          <t>MP_SUSTITUTOS</t>
        </is>
      </c>
      <c r="F43" s="21">
        <f>SUMIFS('MP_SUSTITUTOS'!F:F,'MP_SUSTITUTOS'!$A:$A,$A43,'MP_SUSTITUTOS'!$B:$B,$B43)</f>
        <v/>
      </c>
      <c r="G43" s="21">
        <f>SUMIFS('MP_SUSTITUTOS'!G:G,'MP_SUSTITUTOS'!$A:$A,$A43,'MP_SUSTITUTOS'!$B:$B,$B43)</f>
        <v/>
      </c>
      <c r="H43" s="21">
        <f>SUMIFS('MP_SUSTITUTOS'!H:H,'MP_SUSTITUTOS'!$A:$A,$A43,'MP_SUSTITUTOS'!$B:$B,$B43)</f>
        <v/>
      </c>
      <c r="I43" s="21">
        <f>SUMIFS('MP_SUSTITUTOS'!I:I,'MP_SUSTITUTOS'!$A:$A,$A43,'MP_SUSTITUTOS'!$B:$B,$B43)</f>
        <v/>
      </c>
      <c r="J43" s="21">
        <f>SUMIFS('MP_SUSTITUTOS'!J:J,'MP_SUSTITUTOS'!$A:$A,$A43,'MP_SUSTITUTOS'!$B:$B,$B43)</f>
        <v/>
      </c>
      <c r="K43" s="21">
        <f>SUMIFS('MP_SUSTITUTOS'!K:K,'MP_SUSTITUTOS'!$A:$A,$A43,'MP_SUSTITUTOS'!$B:$B,$B43)</f>
        <v/>
      </c>
      <c r="L43" s="21">
        <f>SUMIFS('MP_SUSTITUTOS'!L:L,'MP_SUSTITUTOS'!$A:$A,$A43,'MP_SUSTITUTOS'!$B:$B,$B43)</f>
        <v/>
      </c>
      <c r="M43" s="21">
        <f>SUMIFS('MP_SUSTITUTOS'!M:M,'MP_SUSTITUTOS'!$A:$A,$A43,'MP_SUSTITUTOS'!$B:$B,$B43)</f>
        <v/>
      </c>
      <c r="N43" s="21">
        <f>SUMIFS('MP_SUSTITUTOS'!N:N,'MP_SUSTITUTOS'!$A:$A,$A43,'MP_SUSTITUTOS'!$B:$B,$B43)</f>
        <v/>
      </c>
      <c r="O43" s="21">
        <f>SUMIFS('MP_SUSTITUTOS'!O:O,'MP_SUSTITUTOS'!$A:$A,$A43,'MP_SUSTITUTOS'!$B:$B,$B43)</f>
        <v/>
      </c>
    </row>
    <row r="44">
      <c r="A44" s="2" t="inlineStr">
        <is>
          <t>Junta tórica de asiento — Ø23,4 ext. × cordón 3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Argensold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Junta tórica de asiento — Ø31,4 ext. × cordón 3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Argensold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Junta tórica de asiento — Ø75,2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(tramo enrollado) — Ø25 × 1.263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(tramo enrollado) — Ø25 × 1.544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(tramo enrollado) — Ø25 × 1.767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(tramo enrollado) — Ø25 × 992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1.107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1.400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Manguera — Ø16 × 1.674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Manguera — Ø16 × 1.915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Manguera — Ø16 × 224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Manguera — Ø16 × 298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Manguera — Ø16 × 458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Manómetro — Ø28 esfera, rango 0-3,5 MPa, sector verde en 1,4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Manómetro — Ø38 esfera, rango 0-3,5 MPa, sector verde en 1,4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MP_MATAFUEGOS_FABRICADOS</t>
        </is>
      </c>
      <c r="F59" s="21">
        <f>SUMIFS('MP_MATAFUEGOS_FABRICADOS'!F:F,'MP_MATAFUEGOS_FABRICADOS'!$A:$A,$A59,'MP_MATAFUEGOS_FABRICADOS'!$B:$B,$B59)</f>
        <v/>
      </c>
      <c r="G59" s="21">
        <f>SUMIFS('MP_MATAFUEGOS_FABRICADOS'!G:G,'MP_MATAFUEGOS_FABRICADOS'!$A:$A,$A59,'MP_MATAFUEGOS_FABRICADOS'!$B:$B,$B59)</f>
        <v/>
      </c>
      <c r="H59" s="21">
        <f>SUMIFS('MP_MATAFUEGOS_FABRICADOS'!H:H,'MP_MATAFUEGOS_FABRICADOS'!$A:$A,$A59,'MP_MATAFUEGOS_FABRICADOS'!$B:$B,$B59)</f>
        <v/>
      </c>
      <c r="I59" s="21">
        <f>SUMIFS('MP_MATAFUEGOS_FABRICADOS'!I:I,'MP_MATAFUEGOS_FABRICADOS'!$A:$A,$A59,'MP_MATAFUEGOS_FABRICADOS'!$B:$B,$B59)</f>
        <v/>
      </c>
      <c r="J59" s="21">
        <f>SUMIFS('MP_MATAFUEGOS_FABRICADOS'!J:J,'MP_MATAFUEGOS_FABRICADOS'!$A:$A,$A59,'MP_MATAFUEGOS_FABRICADOS'!$B:$B,$B59)</f>
        <v/>
      </c>
      <c r="K59" s="21">
        <f>SUMIFS('MP_MATAFUEGOS_FABRICADOS'!K:K,'MP_MATAFUEGOS_FABRICADOS'!$A:$A,$A59,'MP_MATAFUEGOS_FABRICADOS'!$B:$B,$B59)</f>
        <v/>
      </c>
      <c r="L59" s="21">
        <f>SUMIFS('MP_MATAFUEGOS_FABRICADOS'!L:L,'MP_MATAFUEGOS_FABRICADOS'!$A:$A,$A59,'MP_MATAFUEGOS_FABRICADOS'!$B:$B,$B59)</f>
        <v/>
      </c>
      <c r="M59" s="21">
        <f>SUMIFS('MP_MATAFUEGOS_FABRICADOS'!M:M,'MP_MATAFUEGOS_FABRICADOS'!$A:$A,$A59,'MP_MATAFUEGOS_FABRICADOS'!$B:$B,$B59)</f>
        <v/>
      </c>
      <c r="N59" s="21">
        <f>SUMIFS('MP_MATAFUEGOS_FABRICADOS'!N:N,'MP_MATAFUEGOS_FABRICADOS'!$A:$A,$A59,'MP_MATAFUEGOS_FABRICADOS'!$B:$B,$B59)</f>
        <v/>
      </c>
      <c r="O59" s="21">
        <f>SUMIFS('MP_MATAFUEGOS_FABRICADOS'!O:O,'MP_MATAFUEGOS_FABRICADOS'!$A:$A,$A59,'MP_MATAFUEGOS_FABRICADOS'!$B:$B,$B59)</f>
        <v/>
      </c>
    </row>
    <row r="60">
      <c r="A60" s="2" t="inlineStr">
        <is>
          <t>Manómetro — Ø50 esfera, rango 0-3,5 MPa, sector verde en 1,4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Yukon / MatafuegosYa S.R.L.</t>
        </is>
      </c>
      <c r="E60" s="2" t="inlineStr">
        <is>
          <t>MP_MATAFUEGOS_FABRICADOS</t>
        </is>
      </c>
      <c r="F60" s="21">
        <f>SUMIFS('MP_MATAFUEGOS_FABRICADOS'!F:F,'MP_MATAFUEGOS_FABRICADOS'!$A:$A,$A60,'MP_MATAFUEGOS_FABRICADOS'!$B:$B,$B60)</f>
        <v/>
      </c>
      <c r="G60" s="21">
        <f>SUMIFS('MP_MATAFUEGOS_FABRICADOS'!G:G,'MP_MATAFUEGOS_FABRICADOS'!$A:$A,$A60,'MP_MATAFUEGOS_FABRICADOS'!$B:$B,$B60)</f>
        <v/>
      </c>
      <c r="H60" s="21">
        <f>SUMIFS('MP_MATAFUEGOS_FABRICADOS'!H:H,'MP_MATAFUEGOS_FABRICADOS'!$A:$A,$A60,'MP_MATAFUEGOS_FABRICADOS'!$B:$B,$B60)</f>
        <v/>
      </c>
      <c r="I60" s="21">
        <f>SUMIFS('MP_MATAFUEGOS_FABRICADOS'!I:I,'MP_MATAFUEGOS_FABRICADOS'!$A:$A,$A60,'MP_MATAFUEGOS_FABRICADOS'!$B:$B,$B60)</f>
        <v/>
      </c>
      <c r="J60" s="21">
        <f>SUMIFS('MP_MATAFUEGOS_FABRICADOS'!J:J,'MP_MATAFUEGOS_FABRICADOS'!$A:$A,$A60,'MP_MATAFUEGOS_FABRICADOS'!$B:$B,$B60)</f>
        <v/>
      </c>
      <c r="K60" s="21">
        <f>SUMIFS('MP_MATAFUEGOS_FABRICADOS'!K:K,'MP_MATAFUEGOS_FABRICADOS'!$A:$A,$A60,'MP_MATAFUEGOS_FABRICADOS'!$B:$B,$B60)</f>
        <v/>
      </c>
      <c r="L60" s="21">
        <f>SUMIFS('MP_MATAFUEGOS_FABRICADOS'!L:L,'MP_MATAFUEGOS_FABRICADOS'!$A:$A,$A60,'MP_MATAFUEGOS_FABRICADOS'!$B:$B,$B60)</f>
        <v/>
      </c>
      <c r="M60" s="21">
        <f>SUMIFS('MP_MATAFUEGOS_FABRICADOS'!M:M,'MP_MATAFUEGOS_FABRICADOS'!$A:$A,$A60,'MP_MATAFUEGOS_FABRICADOS'!$B:$B,$B60)</f>
        <v/>
      </c>
      <c r="N60" s="21">
        <f>SUMIFS('MP_MATAFUEGOS_FABRICADOS'!N:N,'MP_MATAFUEGOS_FABRICADOS'!$A:$A,$A60,'MP_MATAFUEGOS_FABRICADOS'!$B:$B,$B60)</f>
        <v/>
      </c>
      <c r="O60" s="21">
        <f>SUMIFS('MP_MATAFUEGOS_FABRICADOS'!O:O,'MP_MATAFUEGOS_FABRICADOS'!$A:$A,$A60,'MP_MATAFUEGOS_FABRICADOS'!$B:$B,$B60)</f>
        <v/>
      </c>
    </row>
    <row r="61">
      <c r="A61" s="2" t="inlineStr">
        <is>
          <t>Neumático macizo — Ø300 × 55 de ancho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Ruedar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Neumático macizo — Ø350 × 70 de ancho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Ruedar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Neumático macizo — Ø400 × 80 de ancho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Ruedar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Racor de manguera — 18 × 18 × 12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MP_MATAFUEGOS_FABRICADOS</t>
        </is>
      </c>
      <c r="F64" s="21">
        <f>SUMIFS('MP_MATAFUEGOS_FABRICADOS'!F:F,'MP_MATAFUEGOS_FABRICADOS'!$A:$A,$A64,'MP_MATAFUEGOS_FABRICADOS'!$B:$B,$B64)</f>
        <v/>
      </c>
      <c r="G64" s="21">
        <f>SUMIFS('MP_MATAFUEGOS_FABRICADOS'!G:G,'MP_MATAFUEGOS_FABRICADOS'!$A:$A,$A64,'MP_MATAFUEGOS_FABRICADOS'!$B:$B,$B64)</f>
        <v/>
      </c>
      <c r="H64" s="21">
        <f>SUMIFS('MP_MATAFUEGOS_FABRICADOS'!H:H,'MP_MATAFUEGOS_FABRICADOS'!$A:$A,$A64,'MP_MATAFUEGOS_FABRICADOS'!$B:$B,$B64)</f>
        <v/>
      </c>
      <c r="I64" s="21">
        <f>SUMIFS('MP_MATAFUEGOS_FABRICADOS'!I:I,'MP_MATAFUEGOS_FABRICADOS'!$A:$A,$A64,'MP_MATAFUEGOS_FABRICADOS'!$B:$B,$B64)</f>
        <v/>
      </c>
      <c r="J64" s="21">
        <f>SUMIFS('MP_MATAFUEGOS_FABRICADOS'!J:J,'MP_MATAFUEGOS_FABRICADOS'!$A:$A,$A64,'MP_MATAFUEGOS_FABRICADOS'!$B:$B,$B64)</f>
        <v/>
      </c>
      <c r="K64" s="21">
        <f>SUMIFS('MP_MATAFUEGOS_FABRICADOS'!K:K,'MP_MATAFUEGOS_FABRICADOS'!$A:$A,$A64,'MP_MATAFUEGOS_FABRICADOS'!$B:$B,$B64)</f>
        <v/>
      </c>
      <c r="L64" s="21">
        <f>SUMIFS('MP_MATAFUEGOS_FABRICADOS'!L:L,'MP_MATAFUEGOS_FABRICADOS'!$A:$A,$A64,'MP_MATAFUEGOS_FABRICADOS'!$B:$B,$B64)</f>
        <v/>
      </c>
      <c r="M64" s="21">
        <f>SUMIFS('MP_MATAFUEGOS_FABRICADOS'!M:M,'MP_MATAFUEGOS_FABRICADOS'!$A:$A,$A64,'MP_MATAFUEGOS_FABRICADOS'!$B:$B,$B64)</f>
        <v/>
      </c>
      <c r="N64" s="21">
        <f>SUMIFS('MP_MATAFUEGOS_FABRICADOS'!N:N,'MP_MATAFUEGOS_FABRICADOS'!$A:$A,$A64,'MP_MATAFUEGOS_FABRICADOS'!$B:$B,$B64)</f>
        <v/>
      </c>
      <c r="O64" s="21">
        <f>SUMIFS('MP_MATAFUEGOS_FABRICADOS'!O:O,'MP_MATAFUEGOS_FABRICADOS'!$A:$A,$A64,'MP_MATAFUEGOS_FABRICADOS'!$B:$B,$B64)</f>
        <v/>
      </c>
    </row>
    <row r="65">
      <c r="A65" s="2" t="inlineStr">
        <is>
          <t>Racor de manguera — 24 × 24 × 16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Yukon / MatafuegosYa S.R.L.</t>
        </is>
      </c>
      <c r="E65" s="2" t="inlineStr">
        <is>
          <t>MP_MATAFUEGOS_FABRICADOS</t>
        </is>
      </c>
      <c r="F65" s="21">
        <f>SUMIFS('MP_MATAFUEGOS_FABRICADOS'!F:F,'MP_MATAFUEGOS_FABRICADOS'!$A:$A,$A65,'MP_MATAFUEGOS_FABRICADOS'!$B:$B,$B65)</f>
        <v/>
      </c>
      <c r="G65" s="21">
        <f>SUMIFS('MP_MATAFUEGOS_FABRICADOS'!G:G,'MP_MATAFUEGOS_FABRICADOS'!$A:$A,$A65,'MP_MATAFUEGOS_FABRICADOS'!$B:$B,$B65)</f>
        <v/>
      </c>
      <c r="H65" s="21">
        <f>SUMIFS('MP_MATAFUEGOS_FABRICADOS'!H:H,'MP_MATAFUEGOS_FABRICADOS'!$A:$A,$A65,'MP_MATAFUEGOS_FABRICADOS'!$B:$B,$B65)</f>
        <v/>
      </c>
      <c r="I65" s="21">
        <f>SUMIFS('MP_MATAFUEGOS_FABRICADOS'!I:I,'MP_MATAFUEGOS_FABRICADOS'!$A:$A,$A65,'MP_MATAFUEGOS_FABRICADOS'!$B:$B,$B65)</f>
        <v/>
      </c>
      <c r="J65" s="21">
        <f>SUMIFS('MP_MATAFUEGOS_FABRICADOS'!J:J,'MP_MATAFUEGOS_FABRICADOS'!$A:$A,$A65,'MP_MATAFUEGOS_FABRICADOS'!$B:$B,$B65)</f>
        <v/>
      </c>
      <c r="K65" s="21">
        <f>SUMIFS('MP_MATAFUEGOS_FABRICADOS'!K:K,'MP_MATAFUEGOS_FABRICADOS'!$A:$A,$A65,'MP_MATAFUEGOS_FABRICADOS'!$B:$B,$B65)</f>
        <v/>
      </c>
      <c r="L65" s="21">
        <f>SUMIFS('MP_MATAFUEGOS_FABRICADOS'!L:L,'MP_MATAFUEGOS_FABRICADOS'!$A:$A,$A65,'MP_MATAFUEGOS_FABRICADOS'!$B:$B,$B65)</f>
        <v/>
      </c>
      <c r="M65" s="21">
        <f>SUMIFS('MP_MATAFUEGOS_FABRICADOS'!M:M,'MP_MATAFUEGOS_FABRICADOS'!$A:$A,$A65,'MP_MATAFUEGOS_FABRICADOS'!$B:$B,$B65)</f>
        <v/>
      </c>
      <c r="N65" s="21">
        <f>SUMIFS('MP_MATAFUEGOS_FABRICADOS'!N:N,'MP_MATAFUEGOS_FABRICADOS'!$A:$A,$A65,'MP_MATAFUEGOS_FABRICADOS'!$B:$B,$B65)</f>
        <v/>
      </c>
      <c r="O65" s="21">
        <f>SUMIFS('MP_MATAFUEGOS_FABRICADOS'!O:O,'MP_MATAFUEGOS_FABRICADOS'!$A:$A,$A65,'MP_MATAFUEGOS_FABRICADOS'!$B:$B,$B65)</f>
        <v/>
      </c>
    </row>
    <row r="66">
      <c r="A66" s="2" t="inlineStr">
        <is>
          <t>Remito de préstamo con membrete (n° de extintor, puesto, equipo retirado, fechas) — A5 duplicado</t>
        </is>
      </c>
      <c r="B66" s="2" t="inlineStr">
        <is>
          <t>u/préstamo</t>
        </is>
      </c>
      <c r="C66" s="2" t="inlineStr">
        <is>
          <t>Componente comprado</t>
        </is>
      </c>
      <c r="D66" s="2" t="inlineStr">
        <is>
          <t>Astuprint</t>
        </is>
      </c>
      <c r="E66" s="2" t="inlineStr">
        <is>
          <t>MP_SUSTITUTOS</t>
        </is>
      </c>
      <c r="F66" s="21">
        <f>SUMIFS('MP_SUSTITUTOS'!F:F,'MP_SUSTITUTOS'!$A:$A,$A66,'MP_SUSTITUTOS'!$B:$B,$B66)</f>
        <v/>
      </c>
      <c r="G66" s="21">
        <f>SUMIFS('MP_SUSTITUTOS'!G:G,'MP_SUSTITUTOS'!$A:$A,$A66,'MP_SUSTITUTOS'!$B:$B,$B66)</f>
        <v/>
      </c>
      <c r="H66" s="21">
        <f>SUMIFS('MP_SUSTITUTOS'!H:H,'MP_SUSTITUTOS'!$A:$A,$A66,'MP_SUSTITUTOS'!$B:$B,$B66)</f>
        <v/>
      </c>
      <c r="I66" s="21">
        <f>SUMIFS('MP_SUSTITUTOS'!I:I,'MP_SUSTITUTOS'!$A:$A,$A66,'MP_SUSTITUTOS'!$B:$B,$B66)</f>
        <v/>
      </c>
      <c r="J66" s="21">
        <f>SUMIFS('MP_SUSTITUTOS'!J:J,'MP_SUSTITUTOS'!$A:$A,$A66,'MP_SUSTITUTOS'!$B:$B,$B66)</f>
        <v/>
      </c>
      <c r="K66" s="21">
        <f>SUMIFS('MP_SUSTITUTOS'!K:K,'MP_SUSTITUTOS'!$A:$A,$A66,'MP_SUSTITUTOS'!$B:$B,$B66)</f>
        <v/>
      </c>
      <c r="L66" s="21">
        <f>SUMIFS('MP_SUSTITUTOS'!L:L,'MP_SUSTITUTOS'!$A:$A,$A66,'MP_SUSTITUTOS'!$B:$B,$B66)</f>
        <v/>
      </c>
      <c r="M66" s="21">
        <f>SUMIFS('MP_SUSTITUTOS'!M:M,'MP_SUSTITUTOS'!$A:$A,$A66,'MP_SUSTITUTOS'!$B:$B,$B66)</f>
        <v/>
      </c>
      <c r="N66" s="21">
        <f>SUMIFS('MP_SUSTITUTOS'!N:N,'MP_SUSTITUTOS'!$A:$A,$A66,'MP_SUSTITUTOS'!$B:$B,$B66)</f>
        <v/>
      </c>
      <c r="O66" s="21">
        <f>SUMIFS('MP_SUSTITUTOS'!O:O,'MP_SUSTITUTOS'!$A:$A,$A66,'MP_SUSTITUTOS'!$B:$B,$B66)</f>
        <v/>
      </c>
    </row>
    <row r="67">
      <c r="A67" s="2" t="inlineStr">
        <is>
          <t>Suncho portatobera — 130,9 × 127 × 18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Suncho portatobera — 159,9 × 156 × 18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Suncho portatobera — 188,4 × 184,5 × 18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Tarjeta AGC con «Es sustituto» (sin domicilio de instalación) — formato oficial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Agencia Gubernamental de Control (CABA)</t>
        </is>
      </c>
      <c r="E70" s="2" t="inlineStr">
        <is>
          <t>MP_SUSTITUTOS</t>
        </is>
      </c>
      <c r="F70" s="21">
        <f>SUMIFS('MP_SUSTITUTOS'!F:F,'MP_SUSTITUTOS'!$A:$A,$A70,'MP_SUSTITUTOS'!$B:$B,$B70)</f>
        <v/>
      </c>
      <c r="G70" s="21">
        <f>SUMIFS('MP_SUSTITUTOS'!G:G,'MP_SUSTITUTOS'!$A:$A,$A70,'MP_SUSTITUTOS'!$B:$B,$B70)</f>
        <v/>
      </c>
      <c r="H70" s="21">
        <f>SUMIFS('MP_SUSTITUTOS'!H:H,'MP_SUSTITUTOS'!$A:$A,$A70,'MP_SUSTITUTOS'!$B:$B,$B70)</f>
        <v/>
      </c>
      <c r="I70" s="21">
        <f>SUMIFS('MP_SUSTITUTOS'!I:I,'MP_SUSTITUTOS'!$A:$A,$A70,'MP_SUSTITUTOS'!$B:$B,$B70)</f>
        <v/>
      </c>
      <c r="J70" s="21">
        <f>SUMIFS('MP_SUSTITUTOS'!J:J,'MP_SUSTITUTOS'!$A:$A,$A70,'MP_SUSTITUTOS'!$B:$B,$B70)</f>
        <v/>
      </c>
      <c r="K70" s="21">
        <f>SUMIFS('MP_SUSTITUTOS'!K:K,'MP_SUSTITUTOS'!$A:$A,$A70,'MP_SUSTITUTOS'!$B:$B,$B70)</f>
        <v/>
      </c>
      <c r="L70" s="21">
        <f>SUMIFS('MP_SUSTITUTOS'!L:L,'MP_SUSTITUTOS'!$A:$A,$A70,'MP_SUSTITUTOS'!$B:$B,$B70)</f>
        <v/>
      </c>
      <c r="M70" s="21">
        <f>SUMIFS('MP_SUSTITUTOS'!M:M,'MP_SUSTITUTOS'!$A:$A,$A70,'MP_SUSTITUTOS'!$B:$B,$B70)</f>
        <v/>
      </c>
      <c r="N70" s="21">
        <f>SUMIFS('MP_SUSTITUTOS'!N:N,'MP_SUSTITUTOS'!$A:$A,$A70,'MP_SUSTITUTOS'!$B:$B,$B70)</f>
        <v/>
      </c>
      <c r="O70" s="21">
        <f>SUMIFS('MP_SUSTITUTOS'!O:O,'MP_SUSTITUTOS'!$A:$A,$A70,'MP_SUSTITUTOS'!$B:$B,$B70)</f>
        <v/>
      </c>
    </row>
    <row r="71">
      <c r="A71" s="2" t="inlineStr">
        <is>
          <t>Tarjeta de identificación DPS con sello «SUSTITUTO HABILITADO» — formato oficial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Ministerio de Ambiente PBA (ex OPDS)</t>
        </is>
      </c>
      <c r="E71" s="2" t="inlineStr">
        <is>
          <t>MP_SUSTITUTOS</t>
        </is>
      </c>
      <c r="F71" s="21">
        <f>SUMIFS('MP_SUSTITUTOS'!F:F,'MP_SUSTITUTOS'!$A:$A,$A71,'MP_SUSTITUTOS'!$B:$B,$B71)</f>
        <v/>
      </c>
      <c r="G71" s="21">
        <f>SUMIFS('MP_SUSTITUTOS'!G:G,'MP_SUSTITUTOS'!$A:$A,$A71,'MP_SUSTITUTOS'!$B:$B,$B71)</f>
        <v/>
      </c>
      <c r="H71" s="21">
        <f>SUMIFS('MP_SUSTITUTOS'!H:H,'MP_SUSTITUTOS'!$A:$A,$A71,'MP_SUSTITUTOS'!$B:$B,$B71)</f>
        <v/>
      </c>
      <c r="I71" s="21">
        <f>SUMIFS('MP_SUSTITUTOS'!I:I,'MP_SUSTITUTOS'!$A:$A,$A71,'MP_SUSTITUTOS'!$B:$B,$B71)</f>
        <v/>
      </c>
      <c r="J71" s="21">
        <f>SUMIFS('MP_SUSTITUTOS'!J:J,'MP_SUSTITUTOS'!$A:$A,$A71,'MP_SUSTITUTOS'!$B:$B,$B71)</f>
        <v/>
      </c>
      <c r="K71" s="21">
        <f>SUMIFS('MP_SUSTITUTOS'!K:K,'MP_SUSTITUTOS'!$A:$A,$A71,'MP_SUSTITUTOS'!$B:$B,$B71)</f>
        <v/>
      </c>
      <c r="L71" s="21">
        <f>SUMIFS('MP_SUSTITUTOS'!L:L,'MP_SUSTITUTOS'!$A:$A,$A71,'MP_SUSTITUTOS'!$B:$B,$B71)</f>
        <v/>
      </c>
      <c r="M71" s="21">
        <f>SUMIFS('MP_SUSTITUTOS'!M:M,'MP_SUSTITUTOS'!$A:$A,$A71,'MP_SUSTITUTOS'!$B:$B,$B71)</f>
        <v/>
      </c>
      <c r="N71" s="21">
        <f>SUMIFS('MP_SUSTITUTOS'!N:N,'MP_SUSTITUTOS'!$A:$A,$A71,'MP_SUSTITUTOS'!$B:$B,$B71)</f>
        <v/>
      </c>
      <c r="O71" s="21">
        <f>SUMIFS('MP_SUSTITUTOS'!O:O,'MP_SUSTITUTOS'!$A:$A,$A71,'MP_SUSTITUTOS'!$B:$B,$B71)</f>
        <v/>
      </c>
    </row>
    <row r="72">
      <c r="A72" s="2" t="inlineStr">
        <is>
          <t>Tobera campana — 200 × 68 × 68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Yukon / MatafuegosYa S.R.L.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Tobera con portatobera — 75 × 24 × 24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Tobera — 26 × 9,6 × 9,6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Yukon / MatafuegosYa S.R.L.</t>
        </is>
      </c>
      <c r="E74" s="2" t="inlineStr">
        <is>
          <t>MP_MATAFUEGOS_FABRICADOS</t>
        </is>
      </c>
      <c r="F74" s="21">
        <f>SUMIFS('MP_MATAFUEGOS_FABRICADOS'!F:F,'MP_MATAFUEGOS_FABRICADOS'!$A:$A,$A74,'MP_MATAFUEGOS_FABRICADOS'!$B:$B,$B74)</f>
        <v/>
      </c>
      <c r="G74" s="21">
        <f>SUMIFS('MP_MATAFUEGOS_FABRICADOS'!G:G,'MP_MATAFUEGOS_FABRICADOS'!$A:$A,$A74,'MP_MATAFUEGOS_FABRICADOS'!$B:$B,$B74)</f>
        <v/>
      </c>
      <c r="H74" s="21">
        <f>SUMIFS('MP_MATAFUEGOS_FABRICADOS'!H:H,'MP_MATAFUEGOS_FABRICADOS'!$A:$A,$A74,'MP_MATAFUEGOS_FABRICADOS'!$B:$B,$B74)</f>
        <v/>
      </c>
      <c r="I74" s="21">
        <f>SUMIFS('MP_MATAFUEGOS_FABRICADOS'!I:I,'MP_MATAFUEGOS_FABRICADOS'!$A:$A,$A74,'MP_MATAFUEGOS_FABRICADOS'!$B:$B,$B74)</f>
        <v/>
      </c>
      <c r="J74" s="21">
        <f>SUMIFS('MP_MATAFUEGOS_FABRICADOS'!J:J,'MP_MATAFUEGOS_FABRICADOS'!$A:$A,$A74,'MP_MATAFUEGOS_FABRICADOS'!$B:$B,$B74)</f>
        <v/>
      </c>
      <c r="K74" s="21">
        <f>SUMIFS('MP_MATAFUEGOS_FABRICADOS'!K:K,'MP_MATAFUEGOS_FABRICADOS'!$A:$A,$A74,'MP_MATAFUEGOS_FABRICADOS'!$B:$B,$B74)</f>
        <v/>
      </c>
      <c r="L74" s="21">
        <f>SUMIFS('MP_MATAFUEGOS_FABRICADOS'!L:L,'MP_MATAFUEGOS_FABRICADOS'!$A:$A,$A74,'MP_MATAFUEGOS_FABRICADOS'!$B:$B,$B74)</f>
        <v/>
      </c>
      <c r="M74" s="21">
        <f>SUMIFS('MP_MATAFUEGOS_FABRICADOS'!M:M,'MP_MATAFUEGOS_FABRICADOS'!$A:$A,$A74,'MP_MATAFUEGOS_FABRICADOS'!$B:$B,$B74)</f>
        <v/>
      </c>
      <c r="N74" s="21">
        <f>SUMIFS('MP_MATAFUEGOS_FABRICADOS'!N:N,'MP_MATAFUEGOS_FABRICADOS'!$A:$A,$A74,'MP_MATAFUEGOS_FABRICADOS'!$B:$B,$B74)</f>
        <v/>
      </c>
      <c r="O74" s="21">
        <f>SUMIFS('MP_MATAFUEGOS_FABRICADOS'!O:O,'MP_MATAFUEGOS_FABRICADOS'!$A:$A,$A74,'MP_MATAFUEGOS_FABRICADOS'!$B:$B,$B74)</f>
        <v/>
      </c>
    </row>
    <row r="75">
      <c r="A75" s="2" t="inlineStr">
        <is>
          <t>Válvula HZ armada M-22 1 kg c/tubo de pesca plástico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MP_MATAFUEGOS_FABRICADOS</t>
        </is>
      </c>
      <c r="F75" s="21">
        <f>SUMIFS('MP_MATAFUEGOS_FABRICADOS'!F:F,'MP_MATAFUEGOS_FABRICADOS'!$A:$A,$A75,'MP_MATAFUEGOS_FABRICADOS'!$B:$B,$B75)</f>
        <v/>
      </c>
      <c r="G75" s="21">
        <f>SUMIFS('MP_MATAFUEGOS_FABRICADOS'!G:G,'MP_MATAFUEGOS_FABRICADOS'!$A:$A,$A75,'MP_MATAFUEGOS_FABRICADOS'!$B:$B,$B75)</f>
        <v/>
      </c>
      <c r="H75" s="21">
        <f>SUMIFS('MP_MATAFUEGOS_FABRICADOS'!H:H,'MP_MATAFUEGOS_FABRICADOS'!$A:$A,$A75,'MP_MATAFUEGOS_FABRICADOS'!$B:$B,$B75)</f>
        <v/>
      </c>
      <c r="I75" s="21">
        <f>SUMIFS('MP_MATAFUEGOS_FABRICADOS'!I:I,'MP_MATAFUEGOS_FABRICADOS'!$A:$A,$A75,'MP_MATAFUEGOS_FABRICADOS'!$B:$B,$B75)</f>
        <v/>
      </c>
      <c r="J75" s="21">
        <f>SUMIFS('MP_MATAFUEGOS_FABRICADOS'!J:J,'MP_MATAFUEGOS_FABRICADOS'!$A:$A,$A75,'MP_MATAFUEGOS_FABRICADOS'!$B:$B,$B75)</f>
        <v/>
      </c>
      <c r="K75" s="21">
        <f>SUMIFS('MP_MATAFUEGOS_FABRICADOS'!K:K,'MP_MATAFUEGOS_FABRICADOS'!$A:$A,$A75,'MP_MATAFUEGOS_FABRICADOS'!$B:$B,$B75)</f>
        <v/>
      </c>
      <c r="L75" s="21">
        <f>SUMIFS('MP_MATAFUEGOS_FABRICADOS'!L:L,'MP_MATAFUEGOS_FABRICADOS'!$A:$A,$A75,'MP_MATAFUEGOS_FABRICADOS'!$B:$B,$B75)</f>
        <v/>
      </c>
      <c r="M75" s="21">
        <f>SUMIFS('MP_MATAFUEGOS_FABRICADOS'!M:M,'MP_MATAFUEGOS_FABRICADOS'!$A:$A,$A75,'MP_MATAFUEGOS_FABRICADOS'!$B:$B,$B75)</f>
        <v/>
      </c>
      <c r="N75" s="21">
        <f>SUMIFS('MP_MATAFUEGOS_FABRICADOS'!N:N,'MP_MATAFUEGOS_FABRICADOS'!$A:$A,$A75,'MP_MATAFUEGOS_FABRICADOS'!$B:$B,$B75)</f>
        <v/>
      </c>
      <c r="O75" s="21">
        <f>SUMIFS('MP_MATAFUEGOS_FABRICADOS'!O:O,'MP_MATAFUEGOS_FABRICADOS'!$A:$A,$A75,'MP_MATAFUEGOS_FABRICADOS'!$B:$B,$B75)</f>
        <v/>
      </c>
    </row>
    <row r="76">
      <c r="A76" s="2" t="inlineStr">
        <is>
          <t>Válvula HZ armada M-30 c/resorte y tubo 7/8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Polvex S.R.L. / Sancibrao</t>
        </is>
      </c>
      <c r="E76" s="2" t="inlineStr">
        <is>
          <t>MP_MATAFUEGOS_FABRICADOS</t>
        </is>
      </c>
      <c r="F76" s="21">
        <f>SUMIFS('MP_MATAFUEGOS_FABRICADOS'!F:F,'MP_MATAFUEGOS_FABRICADOS'!$A:$A,$A76,'MP_MATAFUEGOS_FABRICADOS'!$B:$B,$B76)</f>
        <v/>
      </c>
      <c r="G76" s="21">
        <f>SUMIFS('MP_MATAFUEGOS_FABRICADOS'!G:G,'MP_MATAFUEGOS_FABRICADOS'!$A:$A,$A76,'MP_MATAFUEGOS_FABRICADOS'!$B:$B,$B76)</f>
        <v/>
      </c>
      <c r="H76" s="21">
        <f>SUMIFS('MP_MATAFUEGOS_FABRICADOS'!H:H,'MP_MATAFUEGOS_FABRICADOS'!$A:$A,$A76,'MP_MATAFUEGOS_FABRICADOS'!$B:$B,$B76)</f>
        <v/>
      </c>
      <c r="I76" s="21">
        <f>SUMIFS('MP_MATAFUEGOS_FABRICADOS'!I:I,'MP_MATAFUEGOS_FABRICADOS'!$A:$A,$A76,'MP_MATAFUEGOS_FABRICADOS'!$B:$B,$B76)</f>
        <v/>
      </c>
      <c r="J76" s="21">
        <f>SUMIFS('MP_MATAFUEGOS_FABRICADOS'!J:J,'MP_MATAFUEGOS_FABRICADOS'!$A:$A,$A76,'MP_MATAFUEGOS_FABRICADOS'!$B:$B,$B76)</f>
        <v/>
      </c>
      <c r="K76" s="21">
        <f>SUMIFS('MP_MATAFUEGOS_FABRICADOS'!K:K,'MP_MATAFUEGOS_FABRICADOS'!$A:$A,$A76,'MP_MATAFUEGOS_FABRICADOS'!$B:$B,$B76)</f>
        <v/>
      </c>
      <c r="L76" s="21">
        <f>SUMIFS('MP_MATAFUEGOS_FABRICADOS'!L:L,'MP_MATAFUEGOS_FABRICADOS'!$A:$A,$A76,'MP_MATAFUEGOS_FABRICADOS'!$B:$B,$B76)</f>
        <v/>
      </c>
      <c r="M76" s="21">
        <f>SUMIFS('MP_MATAFUEGOS_FABRICADOS'!M:M,'MP_MATAFUEGOS_FABRICADOS'!$A:$A,$A76,'MP_MATAFUEGOS_FABRICADOS'!$B:$B,$B76)</f>
        <v/>
      </c>
      <c r="N76" s="21">
        <f>SUMIFS('MP_MATAFUEGOS_FABRICADOS'!N:N,'MP_MATAFUEGOS_FABRICADOS'!$A:$A,$A76,'MP_MATAFUEGOS_FABRICADOS'!$B:$B,$B76)</f>
        <v/>
      </c>
      <c r="O76" s="21">
        <f>SUMIFS('MP_MATAFUEGOS_FABRICADOS'!O:O,'MP_MATAFUEGOS_FABRICADOS'!$A:$A,$A76,'MP_MATAFUEGOS_FABRICADOS'!$B:$B,$B76)</f>
        <v/>
      </c>
    </row>
    <row r="77">
      <c r="A77" s="2" t="inlineStr">
        <is>
          <t>Válvula HZ armada de carro 25 kg c/traba, manija y resorte</t>
        </is>
      </c>
      <c r="B77" s="2" t="inlineStr">
        <is>
          <t>u</t>
        </is>
      </c>
      <c r="C77" s="2" t="inlineStr">
        <is>
          <t>Componente comprado</t>
        </is>
      </c>
      <c r="D77" s="2" t="inlineStr">
        <is>
          <t>Polvex S.R.L. / Sancibrao</t>
        </is>
      </c>
      <c r="E77" s="2" t="inlineStr">
        <is>
          <t>MP_MATAFUEGOS_FABRICADOS</t>
        </is>
      </c>
      <c r="F77" s="21">
        <f>SUMIFS('MP_MATAFUEGOS_FABRICADOS'!F:F,'MP_MATAFUEGOS_FABRICADOS'!$A:$A,$A77,'MP_MATAFUEGOS_FABRICADOS'!$B:$B,$B77)</f>
        <v/>
      </c>
      <c r="G77" s="21">
        <f>SUMIFS('MP_MATAFUEGOS_FABRICADOS'!G:G,'MP_MATAFUEGOS_FABRICADOS'!$A:$A,$A77,'MP_MATAFUEGOS_FABRICADOS'!$B:$B,$B77)</f>
        <v/>
      </c>
      <c r="H77" s="21">
        <f>SUMIFS('MP_MATAFUEGOS_FABRICADOS'!H:H,'MP_MATAFUEGOS_FABRICADOS'!$A:$A,$A77,'MP_MATAFUEGOS_FABRICADOS'!$B:$B,$B77)</f>
        <v/>
      </c>
      <c r="I77" s="21">
        <f>SUMIFS('MP_MATAFUEGOS_FABRICADOS'!I:I,'MP_MATAFUEGOS_FABRICADOS'!$A:$A,$A77,'MP_MATAFUEGOS_FABRICADOS'!$B:$B,$B77)</f>
        <v/>
      </c>
      <c r="J77" s="21">
        <f>SUMIFS('MP_MATAFUEGOS_FABRICADOS'!J:J,'MP_MATAFUEGOS_FABRICADOS'!$A:$A,$A77,'MP_MATAFUEGOS_FABRICADOS'!$B:$B,$B77)</f>
        <v/>
      </c>
      <c r="K77" s="21">
        <f>SUMIFS('MP_MATAFUEGOS_FABRICADOS'!K:K,'MP_MATAFUEGOS_FABRICADOS'!$A:$A,$A77,'MP_MATAFUEGOS_FABRICADOS'!$B:$B,$B77)</f>
        <v/>
      </c>
      <c r="L77" s="21">
        <f>SUMIFS('MP_MATAFUEGOS_FABRICADOS'!L:L,'MP_MATAFUEGOS_FABRICADOS'!$A:$A,$A77,'MP_MATAFUEGOS_FABRICADOS'!$B:$B,$B77)</f>
        <v/>
      </c>
      <c r="M77" s="21">
        <f>SUMIFS('MP_MATAFUEGOS_FABRICADOS'!M:M,'MP_MATAFUEGOS_FABRICADOS'!$A:$A,$A77,'MP_MATAFUEGOS_FABRICADOS'!$B:$B,$B77)</f>
        <v/>
      </c>
      <c r="N77" s="21">
        <f>SUMIFS('MP_MATAFUEGOS_FABRICADOS'!N:N,'MP_MATAFUEGOS_FABRICADOS'!$A:$A,$A77,'MP_MATAFUEGOS_FABRICADOS'!$B:$B,$B77)</f>
        <v/>
      </c>
      <c r="O77" s="21">
        <f>SUMIFS('MP_MATAFUEGOS_FABRICADOS'!O:O,'MP_MATAFUEGOS_FABRICADOS'!$A:$A,$A77,'MP_MATAFUEGOS_FABRICADOS'!$B:$B,$B77)</f>
        <v/>
      </c>
    </row>
    <row r="78">
      <c r="A78" s="2" t="inlineStr">
        <is>
          <t>Válvula HZ armada de carro 50-70-100 kg</t>
        </is>
      </c>
      <c r="B78" s="2" t="inlineStr">
        <is>
          <t>u</t>
        </is>
      </c>
      <c r="C78" s="2" t="inlineStr">
        <is>
          <t>Componente comprado</t>
        </is>
      </c>
      <c r="D78" s="2" t="inlineStr">
        <is>
          <t>Polvex S.R.L. / Sancibrao</t>
        </is>
      </c>
      <c r="E78" s="2" t="inlineStr">
        <is>
          <t>MP_MATAFUEGOS_FABRICADOS</t>
        </is>
      </c>
      <c r="F78" s="21">
        <f>SUMIFS('MP_MATAFUEGOS_FABRICADOS'!F:F,'MP_MATAFUEGOS_FABRICADOS'!$A:$A,$A78,'MP_MATAFUEGOS_FABRICADOS'!$B:$B,$B78)</f>
        <v/>
      </c>
      <c r="G78" s="21">
        <f>SUMIFS('MP_MATAFUEGOS_FABRICADOS'!G:G,'MP_MATAFUEGOS_FABRICADOS'!$A:$A,$A78,'MP_MATAFUEGOS_FABRICADOS'!$B:$B,$B78)</f>
        <v/>
      </c>
      <c r="H78" s="21">
        <f>SUMIFS('MP_MATAFUEGOS_FABRICADOS'!H:H,'MP_MATAFUEGOS_FABRICADOS'!$A:$A,$A78,'MP_MATAFUEGOS_FABRICADOS'!$B:$B,$B78)</f>
        <v/>
      </c>
      <c r="I78" s="21">
        <f>SUMIFS('MP_MATAFUEGOS_FABRICADOS'!I:I,'MP_MATAFUEGOS_FABRICADOS'!$A:$A,$A78,'MP_MATAFUEGOS_FABRICADOS'!$B:$B,$B78)</f>
        <v/>
      </c>
      <c r="J78" s="21">
        <f>SUMIFS('MP_MATAFUEGOS_FABRICADOS'!J:J,'MP_MATAFUEGOS_FABRICADOS'!$A:$A,$A78,'MP_MATAFUEGOS_FABRICADOS'!$B:$B,$B78)</f>
        <v/>
      </c>
      <c r="K78" s="21">
        <f>SUMIFS('MP_MATAFUEGOS_FABRICADOS'!K:K,'MP_MATAFUEGOS_FABRICADOS'!$A:$A,$A78,'MP_MATAFUEGOS_FABRICADOS'!$B:$B,$B78)</f>
        <v/>
      </c>
      <c r="L78" s="21">
        <f>SUMIFS('MP_MATAFUEGOS_FABRICADOS'!L:L,'MP_MATAFUEGOS_FABRICADOS'!$A:$A,$A78,'MP_MATAFUEGOS_FABRICADOS'!$B:$B,$B78)</f>
        <v/>
      </c>
      <c r="M78" s="21">
        <f>SUMIFS('MP_MATAFUEGOS_FABRICADOS'!M:M,'MP_MATAFUEGOS_FABRICADOS'!$A:$A,$A78,'MP_MATAFUEGOS_FABRICADOS'!$B:$B,$B78)</f>
        <v/>
      </c>
      <c r="N78" s="21">
        <f>SUMIFS('MP_MATAFUEGOS_FABRICADOS'!N:N,'MP_MATAFUEGOS_FABRICADOS'!$A:$A,$A78,'MP_MATAFUEGOS_FABRICADOS'!$B:$B,$B78)</f>
        <v/>
      </c>
      <c r="O78" s="21">
        <f>SUMIFS('MP_MATAFUEGOS_FABRICADOS'!O:O,'MP_MATAFUEGOS_FABRICADOS'!$A:$A,$A78,'MP_MATAFUEGOS_FABRICADOS'!$B:$B,$B78)</f>
        <v/>
      </c>
    </row>
    <row r="79">
      <c r="A79" s="2" t="inlineStr">
        <is>
          <t>Válvula esférica — 130 × 60 × 40</t>
        </is>
      </c>
      <c r="B79" s="2" t="inlineStr">
        <is>
          <t>u</t>
        </is>
      </c>
      <c r="C79" s="2" t="inlineStr">
        <is>
          <t>Componente comprado</t>
        </is>
      </c>
      <c r="D79" s="2" t="inlineStr">
        <is>
          <t>Yukon / MatafuegosYa S.R.L.</t>
        </is>
      </c>
      <c r="E79" s="2" t="inlineStr">
        <is>
          <t>MP_MATAFUEGOS_FABRICADOS</t>
        </is>
      </c>
      <c r="F79" s="21">
        <f>SUMIFS('MP_MATAFUEGOS_FABRICADOS'!F:F,'MP_MATAFUEGOS_FABRICADOS'!$A:$A,$A79,'MP_MATAFUEGOS_FABRICADOS'!$B:$B,$B79)</f>
        <v/>
      </c>
      <c r="G79" s="21">
        <f>SUMIFS('MP_MATAFUEGOS_FABRICADOS'!G:G,'MP_MATAFUEGOS_FABRICADOS'!$A:$A,$A79,'MP_MATAFUEGOS_FABRICADOS'!$B:$B,$B79)</f>
        <v/>
      </c>
      <c r="H79" s="21">
        <f>SUMIFS('MP_MATAFUEGOS_FABRICADOS'!H:H,'MP_MATAFUEGOS_FABRICADOS'!$A:$A,$A79,'MP_MATAFUEGOS_FABRICADOS'!$B:$B,$B79)</f>
        <v/>
      </c>
      <c r="I79" s="21">
        <f>SUMIFS('MP_MATAFUEGOS_FABRICADOS'!I:I,'MP_MATAFUEGOS_FABRICADOS'!$A:$A,$A79,'MP_MATAFUEGOS_FABRICADOS'!$B:$B,$B79)</f>
        <v/>
      </c>
      <c r="J79" s="21">
        <f>SUMIFS('MP_MATAFUEGOS_FABRICADOS'!J:J,'MP_MATAFUEGOS_FABRICADOS'!$A:$A,$A79,'MP_MATAFUEGOS_FABRICADOS'!$B:$B,$B79)</f>
        <v/>
      </c>
      <c r="K79" s="21">
        <f>SUMIFS('MP_MATAFUEGOS_FABRICADOS'!K:K,'MP_MATAFUEGOS_FABRICADOS'!$A:$A,$A79,'MP_MATAFUEGOS_FABRICADOS'!$B:$B,$B79)</f>
        <v/>
      </c>
      <c r="L79" s="21">
        <f>SUMIFS('MP_MATAFUEGOS_FABRICADOS'!L:L,'MP_MATAFUEGOS_FABRICADOS'!$A:$A,$A79,'MP_MATAFUEGOS_FABRICADOS'!$B:$B,$B79)</f>
        <v/>
      </c>
      <c r="M79" s="21">
        <f>SUMIFS('MP_MATAFUEGOS_FABRICADOS'!M:M,'MP_MATAFUEGOS_FABRICADOS'!$A:$A,$A79,'MP_MATAFUEGOS_FABRICADOS'!$B:$B,$B79)</f>
        <v/>
      </c>
      <c r="N79" s="21">
        <f>SUMIFS('MP_MATAFUEGOS_FABRICADOS'!N:N,'MP_MATAFUEGOS_FABRICADOS'!$A:$A,$A79,'MP_MATAFUEGOS_FABRICADOS'!$B:$B,$B79)</f>
        <v/>
      </c>
      <c r="O79" s="21">
        <f>SUMIFS('MP_MATAFUEGOS_FABRICADOS'!O:O,'MP_MATAFUEGOS_FABRICADOS'!$A:$A,$A79,'MP_MATAFUEGOS_FABRICADOS'!$B:$B,$B79)</f>
        <v/>
      </c>
    </row>
    <row r="80">
      <c r="A80" s="2" t="inlineStr">
        <is>
          <t>Alambre MAG ER70S-6 Ø0,9 (AWS A5.18)</t>
        </is>
      </c>
      <c r="B80" s="2" t="inlineStr">
        <is>
          <t>kg</t>
        </is>
      </c>
      <c r="C80" s="2" t="inlineStr">
        <is>
          <t>Consumible de proceso</t>
        </is>
      </c>
      <c r="D80" s="2" t="inlineStr">
        <is>
          <t>Conarco (ESAB Argentina)</t>
        </is>
      </c>
      <c r="E80" s="2" t="inlineStr">
        <is>
          <t>MP_MATAFUEGOS_FABRICADOS, MP_CILINDROS</t>
        </is>
      </c>
      <c r="F80" s="21">
        <f>SUMIFS('MP_MATAFUEGOS_FABRICADOS'!F:F,'MP_MATAFUEGOS_FABRICADOS'!$A:$A,$A80,'MP_MATAFUEGOS_FABRICADOS'!$B:$B,$B80)+SUMIFS('MP_CILINDROS'!F:F,'MP_CILINDROS'!$A:$A,$A80,'MP_CILINDROS'!$B:$B,$B80)</f>
        <v/>
      </c>
      <c r="G80" s="21">
        <f>SUMIFS('MP_MATAFUEGOS_FABRICADOS'!G:G,'MP_MATAFUEGOS_FABRICADOS'!$A:$A,$A80,'MP_MATAFUEGOS_FABRICADOS'!$B:$B,$B80)+SUMIFS('MP_CILINDROS'!G:G,'MP_CILINDROS'!$A:$A,$A80,'MP_CILINDROS'!$B:$B,$B80)</f>
        <v/>
      </c>
      <c r="H80" s="21">
        <f>SUMIFS('MP_MATAFUEGOS_FABRICADOS'!H:H,'MP_MATAFUEGOS_FABRICADOS'!$A:$A,$A80,'MP_MATAFUEGOS_FABRICADOS'!$B:$B,$B80)+SUMIFS('MP_CILINDROS'!H:H,'MP_CILINDROS'!$A:$A,$A80,'MP_CILINDROS'!$B:$B,$B80)</f>
        <v/>
      </c>
      <c r="I80" s="21">
        <f>SUMIFS('MP_MATAFUEGOS_FABRICADOS'!I:I,'MP_MATAFUEGOS_FABRICADOS'!$A:$A,$A80,'MP_MATAFUEGOS_FABRICADOS'!$B:$B,$B80)+SUMIFS('MP_CILINDROS'!I:I,'MP_CILINDROS'!$A:$A,$A80,'MP_CILINDROS'!$B:$B,$B80)</f>
        <v/>
      </c>
      <c r="J80" s="21">
        <f>SUMIFS('MP_MATAFUEGOS_FABRICADOS'!J:J,'MP_MATAFUEGOS_FABRICADOS'!$A:$A,$A80,'MP_MATAFUEGOS_FABRICADOS'!$B:$B,$B80)+SUMIFS('MP_CILINDROS'!J:J,'MP_CILINDROS'!$A:$A,$A80,'MP_CILINDROS'!$B:$B,$B80)</f>
        <v/>
      </c>
      <c r="K80" s="21">
        <f>SUMIFS('MP_MATAFUEGOS_FABRICADOS'!K:K,'MP_MATAFUEGOS_FABRICADOS'!$A:$A,$A80,'MP_MATAFUEGOS_FABRICADOS'!$B:$B,$B80)+SUMIFS('MP_CILINDROS'!K:K,'MP_CILINDROS'!$A:$A,$A80,'MP_CILINDROS'!$B:$B,$B80)</f>
        <v/>
      </c>
      <c r="L80" s="21">
        <f>SUMIFS('MP_MATAFUEGOS_FABRICADOS'!L:L,'MP_MATAFUEGOS_FABRICADOS'!$A:$A,$A80,'MP_MATAFUEGOS_FABRICADOS'!$B:$B,$B80)+SUMIFS('MP_CILINDROS'!L:L,'MP_CILINDROS'!$A:$A,$A80,'MP_CILINDROS'!$B:$B,$B80)</f>
        <v/>
      </c>
      <c r="M80" s="21">
        <f>SUMIFS('MP_MATAFUEGOS_FABRICADOS'!M:M,'MP_MATAFUEGOS_FABRICADOS'!$A:$A,$A80,'MP_MATAFUEGOS_FABRICADOS'!$B:$B,$B80)+SUMIFS('MP_CILINDROS'!M:M,'MP_CILINDROS'!$A:$A,$A80,'MP_CILINDROS'!$B:$B,$B80)</f>
        <v/>
      </c>
      <c r="N80" s="21">
        <f>SUMIFS('MP_MATAFUEGOS_FABRICADOS'!N:N,'MP_MATAFUEGOS_FABRICADOS'!$A:$A,$A80,'MP_MATAFUEGOS_FABRICADOS'!$B:$B,$B80)+SUMIFS('MP_CILINDROS'!N:N,'MP_CILINDROS'!$A:$A,$A80,'MP_CILINDROS'!$B:$B,$B80)</f>
        <v/>
      </c>
      <c r="O80" s="21">
        <f>SUMIFS('MP_MATAFUEGOS_FABRICADOS'!O:O,'MP_MATAFUEGOS_FABRICADOS'!$A:$A,$A80,'MP_MATAFUEGOS_FABRICADOS'!$B:$B,$B80)+SUMIFS('MP_CILINDROS'!O:O,'MP_CILINDROS'!$A:$A,$A80,'MP_CILINDROS'!$B:$B,$B80)</f>
        <v/>
      </c>
    </row>
    <row r="81">
      <c r="A81" s="2" t="inlineStr">
        <is>
          <t>Alambre MAG ER70S-6 Ø1,2 (AWS A5.18)</t>
        </is>
      </c>
      <c r="B81" s="2" t="inlineStr">
        <is>
          <t>kg</t>
        </is>
      </c>
      <c r="C81" s="2" t="inlineStr">
        <is>
          <t>Consumible de proceso</t>
        </is>
      </c>
      <c r="D81" s="2" t="inlineStr">
        <is>
          <t>Conarco (ESAB Argentina)</t>
        </is>
      </c>
      <c r="E81" s="2" t="inlineStr">
        <is>
          <t>MP_MATAFUEGOS_FABRICADOS, MP_CILINDROS</t>
        </is>
      </c>
      <c r="F81" s="21">
        <f>SUMIFS('MP_MATAFUEGOS_FABRICADOS'!F:F,'MP_MATAFUEGOS_FABRICADOS'!$A:$A,$A81,'MP_MATAFUEGOS_FABRICADOS'!$B:$B,$B81)+SUMIFS('MP_CILINDROS'!F:F,'MP_CILINDROS'!$A:$A,$A81,'MP_CILINDROS'!$B:$B,$B81)</f>
        <v/>
      </c>
      <c r="G81" s="21">
        <f>SUMIFS('MP_MATAFUEGOS_FABRICADOS'!G:G,'MP_MATAFUEGOS_FABRICADOS'!$A:$A,$A81,'MP_MATAFUEGOS_FABRICADOS'!$B:$B,$B81)+SUMIFS('MP_CILINDROS'!G:G,'MP_CILINDROS'!$A:$A,$A81,'MP_CILINDROS'!$B:$B,$B81)</f>
        <v/>
      </c>
      <c r="H81" s="21">
        <f>SUMIFS('MP_MATAFUEGOS_FABRICADOS'!H:H,'MP_MATAFUEGOS_FABRICADOS'!$A:$A,$A81,'MP_MATAFUEGOS_FABRICADOS'!$B:$B,$B81)+SUMIFS('MP_CILINDROS'!H:H,'MP_CILINDROS'!$A:$A,$A81,'MP_CILINDROS'!$B:$B,$B81)</f>
        <v/>
      </c>
      <c r="I81" s="21">
        <f>SUMIFS('MP_MATAFUEGOS_FABRICADOS'!I:I,'MP_MATAFUEGOS_FABRICADOS'!$A:$A,$A81,'MP_MATAFUEGOS_FABRICADOS'!$B:$B,$B81)+SUMIFS('MP_CILINDROS'!I:I,'MP_CILINDROS'!$A:$A,$A81,'MP_CILINDROS'!$B:$B,$B81)</f>
        <v/>
      </c>
      <c r="J81" s="21">
        <f>SUMIFS('MP_MATAFUEGOS_FABRICADOS'!J:J,'MP_MATAFUEGOS_FABRICADOS'!$A:$A,$A81,'MP_MATAFUEGOS_FABRICADOS'!$B:$B,$B81)+SUMIFS('MP_CILINDROS'!J:J,'MP_CILINDROS'!$A:$A,$A81,'MP_CILINDROS'!$B:$B,$B81)</f>
        <v/>
      </c>
      <c r="K81" s="21">
        <f>SUMIFS('MP_MATAFUEGOS_FABRICADOS'!K:K,'MP_MATAFUEGOS_FABRICADOS'!$A:$A,$A81,'MP_MATAFUEGOS_FABRICADOS'!$B:$B,$B81)+SUMIFS('MP_CILINDROS'!K:K,'MP_CILINDROS'!$A:$A,$A81,'MP_CILINDROS'!$B:$B,$B81)</f>
        <v/>
      </c>
      <c r="L81" s="21">
        <f>SUMIFS('MP_MATAFUEGOS_FABRICADOS'!L:L,'MP_MATAFUEGOS_FABRICADOS'!$A:$A,$A81,'MP_MATAFUEGOS_FABRICADOS'!$B:$B,$B81)+SUMIFS('MP_CILINDROS'!L:L,'MP_CILINDROS'!$A:$A,$A81,'MP_CILINDROS'!$B:$B,$B81)</f>
        <v/>
      </c>
      <c r="M81" s="21">
        <f>SUMIFS('MP_MATAFUEGOS_FABRICADOS'!M:M,'MP_MATAFUEGOS_FABRICADOS'!$A:$A,$A81,'MP_MATAFUEGOS_FABRICADOS'!$B:$B,$B81)+SUMIFS('MP_CILINDROS'!M:M,'MP_CILINDROS'!$A:$A,$A81,'MP_CILINDROS'!$B:$B,$B81)</f>
        <v/>
      </c>
      <c r="N81" s="21">
        <f>SUMIFS('MP_MATAFUEGOS_FABRICADOS'!N:N,'MP_MATAFUEGOS_FABRICADOS'!$A:$A,$A81,'MP_MATAFUEGOS_FABRICADOS'!$B:$B,$B81)+SUMIFS('MP_CILINDROS'!N:N,'MP_CILINDROS'!$A:$A,$A81,'MP_CILINDROS'!$B:$B,$B81)</f>
        <v/>
      </c>
      <c r="O81" s="21">
        <f>SUMIFS('MP_MATAFUEGOS_FABRICADOS'!O:O,'MP_MATAFUEGOS_FABRICADOS'!$A:$A,$A81,'MP_MATAFUEGOS_FABRICADOS'!$B:$B,$B81)+SUMIFS('MP_CILINDROS'!O:O,'MP_CILINDROS'!$A:$A,$A81,'MP_CILINDROS'!$B:$B,$B81)</f>
        <v/>
      </c>
    </row>
    <row r="82">
      <c r="A82" s="2" t="inlineStr">
        <is>
          <t>Gas de protección MAG Arcal 21 / ARCAL Speed (Ar + 8 % CO₂, M20)</t>
        </is>
      </c>
      <c r="B82" s="2" t="inlineStr">
        <is>
          <t>L</t>
        </is>
      </c>
      <c r="C82" s="2" t="inlineStr">
        <is>
          <t>Consumible de proceso</t>
        </is>
      </c>
      <c r="D82" s="2" t="inlineStr">
        <is>
          <t>Air Liquide Argentina - sucursal Piñeyro</t>
        </is>
      </c>
      <c r="E82" s="2" t="inlineStr">
        <is>
          <t>MP_MATAFUEGOS_FABRICADOS, MP_CILINDROS</t>
        </is>
      </c>
      <c r="F82" s="21">
        <f>SUMIFS('MP_MATAFUEGOS_FABRICADOS'!F:F,'MP_MATAFUEGOS_FABRICADOS'!$A:$A,$A82,'MP_MATAFUEGOS_FABRICADOS'!$B:$B,$B82)+SUMIFS('MP_CILINDROS'!F:F,'MP_CILINDROS'!$A:$A,$A82,'MP_CILINDROS'!$B:$B,$B82)</f>
        <v/>
      </c>
      <c r="G82" s="21">
        <f>SUMIFS('MP_MATAFUEGOS_FABRICADOS'!G:G,'MP_MATAFUEGOS_FABRICADOS'!$A:$A,$A82,'MP_MATAFUEGOS_FABRICADOS'!$B:$B,$B82)+SUMIFS('MP_CILINDROS'!G:G,'MP_CILINDROS'!$A:$A,$A82,'MP_CILINDROS'!$B:$B,$B82)</f>
        <v/>
      </c>
      <c r="H82" s="21">
        <f>SUMIFS('MP_MATAFUEGOS_FABRICADOS'!H:H,'MP_MATAFUEGOS_FABRICADOS'!$A:$A,$A82,'MP_MATAFUEGOS_FABRICADOS'!$B:$B,$B82)+SUMIFS('MP_CILINDROS'!H:H,'MP_CILINDROS'!$A:$A,$A82,'MP_CILINDROS'!$B:$B,$B82)</f>
        <v/>
      </c>
      <c r="I82" s="21">
        <f>SUMIFS('MP_MATAFUEGOS_FABRICADOS'!I:I,'MP_MATAFUEGOS_FABRICADOS'!$A:$A,$A82,'MP_MATAFUEGOS_FABRICADOS'!$B:$B,$B82)+SUMIFS('MP_CILINDROS'!I:I,'MP_CILINDROS'!$A:$A,$A82,'MP_CILINDROS'!$B:$B,$B82)</f>
        <v/>
      </c>
      <c r="J82" s="21">
        <f>SUMIFS('MP_MATAFUEGOS_FABRICADOS'!J:J,'MP_MATAFUEGOS_FABRICADOS'!$A:$A,$A82,'MP_MATAFUEGOS_FABRICADOS'!$B:$B,$B82)+SUMIFS('MP_CILINDROS'!J:J,'MP_CILINDROS'!$A:$A,$A82,'MP_CILINDROS'!$B:$B,$B82)</f>
        <v/>
      </c>
      <c r="K82" s="21">
        <f>SUMIFS('MP_MATAFUEGOS_FABRICADOS'!K:K,'MP_MATAFUEGOS_FABRICADOS'!$A:$A,$A82,'MP_MATAFUEGOS_FABRICADOS'!$B:$B,$B82)+SUMIFS('MP_CILINDROS'!K:K,'MP_CILINDROS'!$A:$A,$A82,'MP_CILINDROS'!$B:$B,$B82)</f>
        <v/>
      </c>
      <c r="L82" s="21">
        <f>SUMIFS('MP_MATAFUEGOS_FABRICADOS'!L:L,'MP_MATAFUEGOS_FABRICADOS'!$A:$A,$A82,'MP_MATAFUEGOS_FABRICADOS'!$B:$B,$B82)+SUMIFS('MP_CILINDROS'!L:L,'MP_CILINDROS'!$A:$A,$A82,'MP_CILINDROS'!$B:$B,$B82)</f>
        <v/>
      </c>
      <c r="M82" s="21">
        <f>SUMIFS('MP_MATAFUEGOS_FABRICADOS'!M:M,'MP_MATAFUEGOS_FABRICADOS'!$A:$A,$A82,'MP_MATAFUEGOS_FABRICADOS'!$B:$B,$B82)+SUMIFS('MP_CILINDROS'!M:M,'MP_CILINDROS'!$A:$A,$A82,'MP_CILINDROS'!$B:$B,$B82)</f>
        <v/>
      </c>
      <c r="N82" s="21">
        <f>SUMIFS('MP_MATAFUEGOS_FABRICADOS'!N:N,'MP_MATAFUEGOS_FABRICADOS'!$A:$A,$A82,'MP_MATAFUEGOS_FABRICADOS'!$B:$B,$B82)+SUMIFS('MP_CILINDROS'!N:N,'MP_CILINDROS'!$A:$A,$A82,'MP_CILINDROS'!$B:$B,$B82)</f>
        <v/>
      </c>
      <c r="O82" s="21">
        <f>SUMIFS('MP_MATAFUEGOS_FABRICADOS'!O:O,'MP_MATAFUEGOS_FABRICADOS'!$A:$A,$A82,'MP_MATAFUEGOS_FABRICADOS'!$B:$B,$B82)+SUMIFS('MP_CILINDROS'!O:O,'MP_CILINDROS'!$A:$A,$A82,'MP_CILINDROS'!$B:$B,$B82)</f>
        <v/>
      </c>
    </row>
    <row r="83">
      <c r="A83" s="2" t="inlineStr">
        <is>
          <t>Granalla de acero S330 / S390 (ISO 11124-3, SAE J444)</t>
        </is>
      </c>
      <c r="B83" s="2" t="inlineStr">
        <is>
          <t>kg</t>
        </is>
      </c>
      <c r="C83" s="2" t="inlineStr">
        <is>
          <t>Consumible de proceso</t>
        </is>
      </c>
      <c r="D83" s="2" t="inlineStr">
        <is>
          <t>CyM Materiales</t>
        </is>
      </c>
      <c r="E83" s="2" t="inlineStr">
        <is>
          <t>MP_MATAFUEGOS_FABRICADOS, MP_CILINDROS</t>
        </is>
      </c>
      <c r="F83" s="21">
        <f>SUMIFS('MP_MATAFUEGOS_FABRICADOS'!F:F,'MP_MATAFUEGOS_FABRICADOS'!$A:$A,$A83,'MP_MATAFUEGOS_FABRICADOS'!$B:$B,$B83)+SUMIFS('MP_CILINDROS'!F:F,'MP_CILINDROS'!$A:$A,$A83,'MP_CILINDROS'!$B:$B,$B83)</f>
        <v/>
      </c>
      <c r="G83" s="21">
        <f>SUMIFS('MP_MATAFUEGOS_FABRICADOS'!G:G,'MP_MATAFUEGOS_FABRICADOS'!$A:$A,$A83,'MP_MATAFUEGOS_FABRICADOS'!$B:$B,$B83)+SUMIFS('MP_CILINDROS'!G:G,'MP_CILINDROS'!$A:$A,$A83,'MP_CILINDROS'!$B:$B,$B83)</f>
        <v/>
      </c>
      <c r="H83" s="21">
        <f>SUMIFS('MP_MATAFUEGOS_FABRICADOS'!H:H,'MP_MATAFUEGOS_FABRICADOS'!$A:$A,$A83,'MP_MATAFUEGOS_FABRICADOS'!$B:$B,$B83)+SUMIFS('MP_CILINDROS'!H:H,'MP_CILINDROS'!$A:$A,$A83,'MP_CILINDROS'!$B:$B,$B83)</f>
        <v/>
      </c>
      <c r="I83" s="21">
        <f>SUMIFS('MP_MATAFUEGOS_FABRICADOS'!I:I,'MP_MATAFUEGOS_FABRICADOS'!$A:$A,$A83,'MP_MATAFUEGOS_FABRICADOS'!$B:$B,$B83)+SUMIFS('MP_CILINDROS'!I:I,'MP_CILINDROS'!$A:$A,$A83,'MP_CILINDROS'!$B:$B,$B83)</f>
        <v/>
      </c>
      <c r="J83" s="21">
        <f>SUMIFS('MP_MATAFUEGOS_FABRICADOS'!J:J,'MP_MATAFUEGOS_FABRICADOS'!$A:$A,$A83,'MP_MATAFUEGOS_FABRICADOS'!$B:$B,$B83)+SUMIFS('MP_CILINDROS'!J:J,'MP_CILINDROS'!$A:$A,$A83,'MP_CILINDROS'!$B:$B,$B83)</f>
        <v/>
      </c>
      <c r="K83" s="21">
        <f>SUMIFS('MP_MATAFUEGOS_FABRICADOS'!K:K,'MP_MATAFUEGOS_FABRICADOS'!$A:$A,$A83,'MP_MATAFUEGOS_FABRICADOS'!$B:$B,$B83)+SUMIFS('MP_CILINDROS'!K:K,'MP_CILINDROS'!$A:$A,$A83,'MP_CILINDROS'!$B:$B,$B83)</f>
        <v/>
      </c>
      <c r="L83" s="21">
        <f>SUMIFS('MP_MATAFUEGOS_FABRICADOS'!L:L,'MP_MATAFUEGOS_FABRICADOS'!$A:$A,$A83,'MP_MATAFUEGOS_FABRICADOS'!$B:$B,$B83)+SUMIFS('MP_CILINDROS'!L:L,'MP_CILINDROS'!$A:$A,$A83,'MP_CILINDROS'!$B:$B,$B83)</f>
        <v/>
      </c>
      <c r="M83" s="21">
        <f>SUMIFS('MP_MATAFUEGOS_FABRICADOS'!M:M,'MP_MATAFUEGOS_FABRICADOS'!$A:$A,$A83,'MP_MATAFUEGOS_FABRICADOS'!$B:$B,$B83)+SUMIFS('MP_CILINDROS'!M:M,'MP_CILINDROS'!$A:$A,$A83,'MP_CILINDROS'!$B:$B,$B83)</f>
        <v/>
      </c>
      <c r="N83" s="21">
        <f>SUMIFS('MP_MATAFUEGOS_FABRICADOS'!N:N,'MP_MATAFUEGOS_FABRICADOS'!$A:$A,$A83,'MP_MATAFUEGOS_FABRICADOS'!$B:$B,$B83)+SUMIFS('MP_CILINDROS'!N:N,'MP_CILINDROS'!$A:$A,$A83,'MP_CILINDROS'!$B:$B,$B83)</f>
        <v/>
      </c>
      <c r="O83" s="21">
        <f>SUMIFS('MP_MATAFUEGOS_FABRICADOS'!O:O,'MP_MATAFUEGOS_FABRICADOS'!$A:$A,$A83,'MP_MATAFUEGOS_FABRICADOS'!$B:$B,$B83)+SUMIFS('MP_CILINDROS'!O:O,'MP_CILINDROS'!$A:$A,$A83,'MP_CILINDROS'!$B:$B,$B83)</f>
        <v/>
      </c>
    </row>
    <row r="84">
      <c r="A84" s="2" t="inlineStr">
        <is>
          <t>Servicio de pintura en polvo al horno, rojo 03-1-050</t>
        </is>
      </c>
      <c r="B84" s="2" t="inlineStr">
        <is>
          <t>u</t>
        </is>
      </c>
      <c r="C84" s="2" t="inlineStr">
        <is>
          <t>Servicio</t>
        </is>
      </c>
      <c r="D84" s="2" t="inlineStr">
        <is>
          <t>Prymax</t>
        </is>
      </c>
      <c r="E84" s="2" t="inlineStr">
        <is>
          <t>MP_MATAFUEGOS_FABRICADOS, MP_CILINDROS</t>
        </is>
      </c>
      <c r="F84" s="21">
        <f>SUMIFS('MP_MATAFUEGOS_FABRICADOS'!F:F,'MP_MATAFUEGOS_FABRICADOS'!$A:$A,$A84,'MP_MATAFUEGOS_FABRICADOS'!$B:$B,$B84)+SUMIFS('MP_CILINDROS'!F:F,'MP_CILINDROS'!$A:$A,$A84,'MP_CILINDROS'!$B:$B,$B84)</f>
        <v/>
      </c>
      <c r="G84" s="21">
        <f>SUMIFS('MP_MATAFUEGOS_FABRICADOS'!G:G,'MP_MATAFUEGOS_FABRICADOS'!$A:$A,$A84,'MP_MATAFUEGOS_FABRICADOS'!$B:$B,$B84)+SUMIFS('MP_CILINDROS'!G:G,'MP_CILINDROS'!$A:$A,$A84,'MP_CILINDROS'!$B:$B,$B84)</f>
        <v/>
      </c>
      <c r="H84" s="21">
        <f>SUMIFS('MP_MATAFUEGOS_FABRICADOS'!H:H,'MP_MATAFUEGOS_FABRICADOS'!$A:$A,$A84,'MP_MATAFUEGOS_FABRICADOS'!$B:$B,$B84)+SUMIFS('MP_CILINDROS'!H:H,'MP_CILINDROS'!$A:$A,$A84,'MP_CILINDROS'!$B:$B,$B84)</f>
        <v/>
      </c>
      <c r="I84" s="21">
        <f>SUMIFS('MP_MATAFUEGOS_FABRICADOS'!I:I,'MP_MATAFUEGOS_FABRICADOS'!$A:$A,$A84,'MP_MATAFUEGOS_FABRICADOS'!$B:$B,$B84)+SUMIFS('MP_CILINDROS'!I:I,'MP_CILINDROS'!$A:$A,$A84,'MP_CILINDROS'!$B:$B,$B84)</f>
        <v/>
      </c>
      <c r="J84" s="21">
        <f>SUMIFS('MP_MATAFUEGOS_FABRICADOS'!J:J,'MP_MATAFUEGOS_FABRICADOS'!$A:$A,$A84,'MP_MATAFUEGOS_FABRICADOS'!$B:$B,$B84)+SUMIFS('MP_CILINDROS'!J:J,'MP_CILINDROS'!$A:$A,$A84,'MP_CILINDROS'!$B:$B,$B84)</f>
        <v/>
      </c>
      <c r="K84" s="21">
        <f>SUMIFS('MP_MATAFUEGOS_FABRICADOS'!K:K,'MP_MATAFUEGOS_FABRICADOS'!$A:$A,$A84,'MP_MATAFUEGOS_FABRICADOS'!$B:$B,$B84)+SUMIFS('MP_CILINDROS'!K:K,'MP_CILINDROS'!$A:$A,$A84,'MP_CILINDROS'!$B:$B,$B84)</f>
        <v/>
      </c>
      <c r="L84" s="21">
        <f>SUMIFS('MP_MATAFUEGOS_FABRICADOS'!L:L,'MP_MATAFUEGOS_FABRICADOS'!$A:$A,$A84,'MP_MATAFUEGOS_FABRICADOS'!$B:$B,$B84)+SUMIFS('MP_CILINDROS'!L:L,'MP_CILINDROS'!$A:$A,$A84,'MP_CILINDROS'!$B:$B,$B84)</f>
        <v/>
      </c>
      <c r="M84" s="21">
        <f>SUMIFS('MP_MATAFUEGOS_FABRICADOS'!M:M,'MP_MATAFUEGOS_FABRICADOS'!$A:$A,$A84,'MP_MATAFUEGOS_FABRICADOS'!$B:$B,$B84)+SUMIFS('MP_CILINDROS'!M:M,'MP_CILINDROS'!$A:$A,$A84,'MP_CILINDROS'!$B:$B,$B84)</f>
        <v/>
      </c>
      <c r="N84" s="21">
        <f>SUMIFS('MP_MATAFUEGOS_FABRICADOS'!N:N,'MP_MATAFUEGOS_FABRICADOS'!$A:$A,$A84,'MP_MATAFUEGOS_FABRICADOS'!$B:$B,$B84)+SUMIFS('MP_CILINDROS'!N:N,'MP_CILINDROS'!$A:$A,$A84,'MP_CILINDROS'!$B:$B,$B84)</f>
        <v/>
      </c>
      <c r="O84" s="21">
        <f>SUMIFS('MP_MATAFUEGOS_FABRICADOS'!O:O,'MP_MATAFUEGOS_FABRICADOS'!$A:$A,$A84,'MP_MATAFUEGOS_FABRICADOS'!$B:$B,$B84)+SUMIFS('MP_CILINDROS'!O:O,'MP_CILINDROS'!$A:$A,$A84,'MP_CILINDROS'!$B:$B,$B84)</f>
        <v/>
      </c>
    </row>
    <row r="85">
      <c r="A85" s="2" t="inlineStr">
        <is>
          <t>Servicio de pintura en polvo al horno, rojo 03-1-050 (con preparación por quemado)</t>
        </is>
      </c>
      <c r="B85" s="2" t="inlineStr">
        <is>
          <t>u</t>
        </is>
      </c>
      <c r="C85" s="2" t="inlineStr">
        <is>
          <t>Servicio</t>
        </is>
      </c>
      <c r="D85" s="2" t="inlineStr">
        <is>
          <t>Pintor de carros (cotización por mensaje)</t>
        </is>
      </c>
      <c r="E85" s="2" t="inlineStr">
        <is>
          <t>MP_MATAFUEGOS_FABRICADOS, MP_CILINDROS</t>
        </is>
      </c>
      <c r="F85" s="21">
        <f>SUMIFS('MP_MATAFUEGOS_FABRICADOS'!F:F,'MP_MATAFUEGOS_FABRICADOS'!$A:$A,$A85,'MP_MATAFUEGOS_FABRICADOS'!$B:$B,$B85)+SUMIFS('MP_CILINDROS'!F:F,'MP_CILINDROS'!$A:$A,$A85,'MP_CILINDROS'!$B:$B,$B85)</f>
        <v/>
      </c>
      <c r="G85" s="21">
        <f>SUMIFS('MP_MATAFUEGOS_FABRICADOS'!G:G,'MP_MATAFUEGOS_FABRICADOS'!$A:$A,$A85,'MP_MATAFUEGOS_FABRICADOS'!$B:$B,$B85)+SUMIFS('MP_CILINDROS'!G:G,'MP_CILINDROS'!$A:$A,$A85,'MP_CILINDROS'!$B:$B,$B85)</f>
        <v/>
      </c>
      <c r="H85" s="21">
        <f>SUMIFS('MP_MATAFUEGOS_FABRICADOS'!H:H,'MP_MATAFUEGOS_FABRICADOS'!$A:$A,$A85,'MP_MATAFUEGOS_FABRICADOS'!$B:$B,$B85)+SUMIFS('MP_CILINDROS'!H:H,'MP_CILINDROS'!$A:$A,$A85,'MP_CILINDROS'!$B:$B,$B85)</f>
        <v/>
      </c>
      <c r="I85" s="21">
        <f>SUMIFS('MP_MATAFUEGOS_FABRICADOS'!I:I,'MP_MATAFUEGOS_FABRICADOS'!$A:$A,$A85,'MP_MATAFUEGOS_FABRICADOS'!$B:$B,$B85)+SUMIFS('MP_CILINDROS'!I:I,'MP_CILINDROS'!$A:$A,$A85,'MP_CILINDROS'!$B:$B,$B85)</f>
        <v/>
      </c>
      <c r="J85" s="21">
        <f>SUMIFS('MP_MATAFUEGOS_FABRICADOS'!J:J,'MP_MATAFUEGOS_FABRICADOS'!$A:$A,$A85,'MP_MATAFUEGOS_FABRICADOS'!$B:$B,$B85)+SUMIFS('MP_CILINDROS'!J:J,'MP_CILINDROS'!$A:$A,$A85,'MP_CILINDROS'!$B:$B,$B85)</f>
        <v/>
      </c>
      <c r="K85" s="21">
        <f>SUMIFS('MP_MATAFUEGOS_FABRICADOS'!K:K,'MP_MATAFUEGOS_FABRICADOS'!$A:$A,$A85,'MP_MATAFUEGOS_FABRICADOS'!$B:$B,$B85)+SUMIFS('MP_CILINDROS'!K:K,'MP_CILINDROS'!$A:$A,$A85,'MP_CILINDROS'!$B:$B,$B85)</f>
        <v/>
      </c>
      <c r="L85" s="21">
        <f>SUMIFS('MP_MATAFUEGOS_FABRICADOS'!L:L,'MP_MATAFUEGOS_FABRICADOS'!$A:$A,$A85,'MP_MATAFUEGOS_FABRICADOS'!$B:$B,$B85)+SUMIFS('MP_CILINDROS'!L:L,'MP_CILINDROS'!$A:$A,$A85,'MP_CILINDROS'!$B:$B,$B85)</f>
        <v/>
      </c>
      <c r="M85" s="21">
        <f>SUMIFS('MP_MATAFUEGOS_FABRICADOS'!M:M,'MP_MATAFUEGOS_FABRICADOS'!$A:$A,$A85,'MP_MATAFUEGOS_FABRICADOS'!$B:$B,$B85)+SUMIFS('MP_CILINDROS'!M:M,'MP_CILINDROS'!$A:$A,$A85,'MP_CILINDROS'!$B:$B,$B85)</f>
        <v/>
      </c>
      <c r="N85" s="21">
        <f>SUMIFS('MP_MATAFUEGOS_FABRICADOS'!N:N,'MP_MATAFUEGOS_FABRICADOS'!$A:$A,$A85,'MP_MATAFUEGOS_FABRICADOS'!$B:$B,$B85)+SUMIFS('MP_CILINDROS'!N:N,'MP_CILINDROS'!$A:$A,$A85,'MP_CILINDROS'!$B:$B,$B85)</f>
        <v/>
      </c>
      <c r="O85" s="21">
        <f>SUMIFS('MP_MATAFUEGOS_FABRICADOS'!O:O,'MP_MATAFUEGOS_FABRICADOS'!$A:$A,$A85,'MP_MATAFUEGOS_FABRICADOS'!$B:$B,$B85)+SUMIFS('MP_CILINDROS'!O:O,'MP_CILINDROS'!$A:$A,$A85,'MP_CILINDROS'!$B:$B,$B85)</f>
        <v/>
      </c>
    </row>
    <row r="86">
      <c r="A86" s="2" t="inlineStr">
        <is>
          <t>Gas impulsor: N₂</t>
        </is>
      </c>
      <c r="B86" s="2" t="inlineStr">
        <is>
          <t>kg</t>
        </is>
      </c>
      <c r="C86" s="2" t="inlineStr">
        <is>
          <t>Carga (agente y gas)</t>
        </is>
      </c>
      <c r="D86" s="2" t="inlineStr">
        <is>
          <t>Air Liquide Argentina - sucursal Piñeyro</t>
        </is>
      </c>
      <c r="E86" s="2" t="inlineStr">
        <is>
          <t>MP_MATAFUEGOS_FABRICADOS, MP_RECARGAS</t>
        </is>
      </c>
      <c r="F86" s="21">
        <f>SUMIFS('MP_MATAFUEGOS_FABRICADOS'!F:F,'MP_MATAFUEGOS_FABRICADOS'!$A:$A,$A86,'MP_MATAFUEGOS_FABRICADOS'!$B:$B,$B86)+SUMIFS('MP_RECARGAS'!F:F,'MP_RECARGAS'!$A:$A,$A86,'MP_RECARGAS'!$B:$B,$B86)</f>
        <v/>
      </c>
      <c r="G86" s="21">
        <f>SUMIFS('MP_MATAFUEGOS_FABRICADOS'!G:G,'MP_MATAFUEGOS_FABRICADOS'!$A:$A,$A86,'MP_MATAFUEGOS_FABRICADOS'!$B:$B,$B86)+SUMIFS('MP_RECARGAS'!G:G,'MP_RECARGAS'!$A:$A,$A86,'MP_RECARGAS'!$B:$B,$B86)</f>
        <v/>
      </c>
      <c r="H86" s="21">
        <f>SUMIFS('MP_MATAFUEGOS_FABRICADOS'!H:H,'MP_MATAFUEGOS_FABRICADOS'!$A:$A,$A86,'MP_MATAFUEGOS_FABRICADOS'!$B:$B,$B86)+SUMIFS('MP_RECARGAS'!H:H,'MP_RECARGAS'!$A:$A,$A86,'MP_RECARGAS'!$B:$B,$B86)</f>
        <v/>
      </c>
      <c r="I86" s="21">
        <f>SUMIFS('MP_MATAFUEGOS_FABRICADOS'!I:I,'MP_MATAFUEGOS_FABRICADOS'!$A:$A,$A86,'MP_MATAFUEGOS_FABRICADOS'!$B:$B,$B86)+SUMIFS('MP_RECARGAS'!I:I,'MP_RECARGAS'!$A:$A,$A86,'MP_RECARGAS'!$B:$B,$B86)</f>
        <v/>
      </c>
      <c r="J86" s="21">
        <f>SUMIFS('MP_MATAFUEGOS_FABRICADOS'!J:J,'MP_MATAFUEGOS_FABRICADOS'!$A:$A,$A86,'MP_MATAFUEGOS_FABRICADOS'!$B:$B,$B86)+SUMIFS('MP_RECARGAS'!J:J,'MP_RECARGAS'!$A:$A,$A86,'MP_RECARGAS'!$B:$B,$B86)</f>
        <v/>
      </c>
      <c r="K86" s="21">
        <f>SUMIFS('MP_MATAFUEGOS_FABRICADOS'!K:K,'MP_MATAFUEGOS_FABRICADOS'!$A:$A,$A86,'MP_MATAFUEGOS_FABRICADOS'!$B:$B,$B86)+SUMIFS('MP_RECARGAS'!K:K,'MP_RECARGAS'!$A:$A,$A86,'MP_RECARGAS'!$B:$B,$B86)</f>
        <v/>
      </c>
      <c r="L86" s="21">
        <f>SUMIFS('MP_MATAFUEGOS_FABRICADOS'!L:L,'MP_MATAFUEGOS_FABRICADOS'!$A:$A,$A86,'MP_MATAFUEGOS_FABRICADOS'!$B:$B,$B86)+SUMIFS('MP_RECARGAS'!L:L,'MP_RECARGAS'!$A:$A,$A86,'MP_RECARGAS'!$B:$B,$B86)</f>
        <v/>
      </c>
      <c r="M86" s="21">
        <f>SUMIFS('MP_MATAFUEGOS_FABRICADOS'!M:M,'MP_MATAFUEGOS_FABRICADOS'!$A:$A,$A86,'MP_MATAFUEGOS_FABRICADOS'!$B:$B,$B86)+SUMIFS('MP_RECARGAS'!M:M,'MP_RECARGAS'!$A:$A,$A86,'MP_RECARGAS'!$B:$B,$B86)</f>
        <v/>
      </c>
      <c r="N86" s="21">
        <f>SUMIFS('MP_MATAFUEGOS_FABRICADOS'!N:N,'MP_MATAFUEGOS_FABRICADOS'!$A:$A,$A86,'MP_MATAFUEGOS_FABRICADOS'!$B:$B,$B86)+SUMIFS('MP_RECARGAS'!N:N,'MP_RECARGAS'!$A:$A,$A86,'MP_RECARGAS'!$B:$B,$B86)</f>
        <v/>
      </c>
      <c r="O86" s="21">
        <f>SUMIFS('MP_MATAFUEGOS_FABRICADOS'!O:O,'MP_MATAFUEGOS_FABRICADOS'!$A:$A,$A86,'MP_MATAFUEGOS_FABRICADOS'!$B:$B,$B86)+SUMIFS('MP_RECARGAS'!O:O,'MP_RECARGAS'!$A:$A,$A86,'MP_RECARGAS'!$B:$B,$B86)</f>
        <v/>
      </c>
    </row>
    <row r="87">
      <c r="A87" s="2" t="inlineStr">
        <is>
          <t>Polvo químico seco ABC 60 (Sello IRAM 3569)</t>
        </is>
      </c>
      <c r="B87" s="2" t="inlineStr">
        <is>
          <t>kg</t>
        </is>
      </c>
      <c r="C87" s="2" t="inlineStr">
        <is>
          <t>Carga (agente y gas)</t>
        </is>
      </c>
      <c r="D87" s="2" t="inlineStr">
        <is>
          <t>DEM S.A. (DEMSA)</t>
        </is>
      </c>
      <c r="E87" s="2" t="inlineStr">
        <is>
          <t>MP_MATAFUEGOS_FABRICADOS, MP_RECARGAS</t>
        </is>
      </c>
      <c r="F87" s="21">
        <f>SUMIFS('MP_MATAFUEGOS_FABRICADOS'!F:F,'MP_MATAFUEGOS_FABRICADOS'!$A:$A,$A87,'MP_MATAFUEGOS_FABRICADOS'!$B:$B,$B87)+SUMIFS('MP_RECARGAS'!F:F,'MP_RECARGAS'!$A:$A,$A87,'MP_RECARGAS'!$B:$B,$B87)</f>
        <v/>
      </c>
      <c r="G87" s="21">
        <f>SUMIFS('MP_MATAFUEGOS_FABRICADOS'!G:G,'MP_MATAFUEGOS_FABRICADOS'!$A:$A,$A87,'MP_MATAFUEGOS_FABRICADOS'!$B:$B,$B87)+SUMIFS('MP_RECARGAS'!G:G,'MP_RECARGAS'!$A:$A,$A87,'MP_RECARGAS'!$B:$B,$B87)</f>
        <v/>
      </c>
      <c r="H87" s="21">
        <f>SUMIFS('MP_MATAFUEGOS_FABRICADOS'!H:H,'MP_MATAFUEGOS_FABRICADOS'!$A:$A,$A87,'MP_MATAFUEGOS_FABRICADOS'!$B:$B,$B87)+SUMIFS('MP_RECARGAS'!H:H,'MP_RECARGAS'!$A:$A,$A87,'MP_RECARGAS'!$B:$B,$B87)</f>
        <v/>
      </c>
      <c r="I87" s="21">
        <f>SUMIFS('MP_MATAFUEGOS_FABRICADOS'!I:I,'MP_MATAFUEGOS_FABRICADOS'!$A:$A,$A87,'MP_MATAFUEGOS_FABRICADOS'!$B:$B,$B87)+SUMIFS('MP_RECARGAS'!I:I,'MP_RECARGAS'!$A:$A,$A87,'MP_RECARGAS'!$B:$B,$B87)</f>
        <v/>
      </c>
      <c r="J87" s="21">
        <f>SUMIFS('MP_MATAFUEGOS_FABRICADOS'!J:J,'MP_MATAFUEGOS_FABRICADOS'!$A:$A,$A87,'MP_MATAFUEGOS_FABRICADOS'!$B:$B,$B87)+SUMIFS('MP_RECARGAS'!J:J,'MP_RECARGAS'!$A:$A,$A87,'MP_RECARGAS'!$B:$B,$B87)</f>
        <v/>
      </c>
      <c r="K87" s="21">
        <f>SUMIFS('MP_MATAFUEGOS_FABRICADOS'!K:K,'MP_MATAFUEGOS_FABRICADOS'!$A:$A,$A87,'MP_MATAFUEGOS_FABRICADOS'!$B:$B,$B87)+SUMIFS('MP_RECARGAS'!K:K,'MP_RECARGAS'!$A:$A,$A87,'MP_RECARGAS'!$B:$B,$B87)</f>
        <v/>
      </c>
      <c r="L87" s="21">
        <f>SUMIFS('MP_MATAFUEGOS_FABRICADOS'!L:L,'MP_MATAFUEGOS_FABRICADOS'!$A:$A,$A87,'MP_MATAFUEGOS_FABRICADOS'!$B:$B,$B87)+SUMIFS('MP_RECARGAS'!L:L,'MP_RECARGAS'!$A:$A,$A87,'MP_RECARGAS'!$B:$B,$B87)</f>
        <v/>
      </c>
      <c r="M87" s="21">
        <f>SUMIFS('MP_MATAFUEGOS_FABRICADOS'!M:M,'MP_MATAFUEGOS_FABRICADOS'!$A:$A,$A87,'MP_MATAFUEGOS_FABRICADOS'!$B:$B,$B87)+SUMIFS('MP_RECARGAS'!M:M,'MP_RECARGAS'!$A:$A,$A87,'MP_RECARGAS'!$B:$B,$B87)</f>
        <v/>
      </c>
      <c r="N87" s="21">
        <f>SUMIFS('MP_MATAFUEGOS_FABRICADOS'!N:N,'MP_MATAFUEGOS_FABRICADOS'!$A:$A,$A87,'MP_MATAFUEGOS_FABRICADOS'!$B:$B,$B87)+SUMIFS('MP_RECARGAS'!N:N,'MP_RECARGAS'!$A:$A,$A87,'MP_RECARGAS'!$B:$B,$B87)</f>
        <v/>
      </c>
      <c r="O87" s="21">
        <f>SUMIFS('MP_MATAFUEGOS_FABRICADOS'!O:O,'MP_MATAFUEGOS_FABRICADOS'!$A:$A,$A87,'MP_MATAFUEGOS_FABRICADOS'!$B:$B,$B87)+SUMIFS('MP_RECARGAS'!O:O,'MP_RECARGAS'!$A:$A,$A87,'MP_RECARGAS'!$B:$B,$B87)</f>
        <v/>
      </c>
    </row>
    <row r="88">
      <c r="A88" s="2" t="inlineStr">
        <is>
          <t>Polvo químico seco ABC 90 (Sello IRAM 3569)</t>
        </is>
      </c>
      <c r="B88" s="2" t="inlineStr">
        <is>
          <t>kg</t>
        </is>
      </c>
      <c r="C88" s="2" t="inlineStr">
        <is>
          <t>Carga (agente y gas)</t>
        </is>
      </c>
      <c r="D88" s="2" t="inlineStr">
        <is>
          <t>DEM S.A. (DEMSA)</t>
        </is>
      </c>
      <c r="E88" s="2" t="inlineStr">
        <is>
          <t>MP_MATAFUEGOS_FABRICADOS, MP_RECARGAS</t>
        </is>
      </c>
      <c r="F88" s="21">
        <f>SUMIFS('MP_MATAFUEGOS_FABRICADOS'!F:F,'MP_MATAFUEGOS_FABRICADOS'!$A:$A,$A88,'MP_MATAFUEGOS_FABRICADOS'!$B:$B,$B88)+SUMIFS('MP_RECARGAS'!F:F,'MP_RECARGAS'!$A:$A,$A88,'MP_RECARGAS'!$B:$B,$B88)</f>
        <v/>
      </c>
      <c r="G88" s="21">
        <f>SUMIFS('MP_MATAFUEGOS_FABRICADOS'!G:G,'MP_MATAFUEGOS_FABRICADOS'!$A:$A,$A88,'MP_MATAFUEGOS_FABRICADOS'!$B:$B,$B88)+SUMIFS('MP_RECARGAS'!G:G,'MP_RECARGAS'!$A:$A,$A88,'MP_RECARGAS'!$B:$B,$B88)</f>
        <v/>
      </c>
      <c r="H88" s="21">
        <f>SUMIFS('MP_MATAFUEGOS_FABRICADOS'!H:H,'MP_MATAFUEGOS_FABRICADOS'!$A:$A,$A88,'MP_MATAFUEGOS_FABRICADOS'!$B:$B,$B88)+SUMIFS('MP_RECARGAS'!H:H,'MP_RECARGAS'!$A:$A,$A88,'MP_RECARGAS'!$B:$B,$B88)</f>
        <v/>
      </c>
      <c r="I88" s="21">
        <f>SUMIFS('MP_MATAFUEGOS_FABRICADOS'!I:I,'MP_MATAFUEGOS_FABRICADOS'!$A:$A,$A88,'MP_MATAFUEGOS_FABRICADOS'!$B:$B,$B88)+SUMIFS('MP_RECARGAS'!I:I,'MP_RECARGAS'!$A:$A,$A88,'MP_RECARGAS'!$B:$B,$B88)</f>
        <v/>
      </c>
      <c r="J88" s="21">
        <f>SUMIFS('MP_MATAFUEGOS_FABRICADOS'!J:J,'MP_MATAFUEGOS_FABRICADOS'!$A:$A,$A88,'MP_MATAFUEGOS_FABRICADOS'!$B:$B,$B88)+SUMIFS('MP_RECARGAS'!J:J,'MP_RECARGAS'!$A:$A,$A88,'MP_RECARGAS'!$B:$B,$B88)</f>
        <v/>
      </c>
      <c r="K88" s="21">
        <f>SUMIFS('MP_MATAFUEGOS_FABRICADOS'!K:K,'MP_MATAFUEGOS_FABRICADOS'!$A:$A,$A88,'MP_MATAFUEGOS_FABRICADOS'!$B:$B,$B88)+SUMIFS('MP_RECARGAS'!K:K,'MP_RECARGAS'!$A:$A,$A88,'MP_RECARGAS'!$B:$B,$B88)</f>
        <v/>
      </c>
      <c r="L88" s="21">
        <f>SUMIFS('MP_MATAFUEGOS_FABRICADOS'!L:L,'MP_MATAFUEGOS_FABRICADOS'!$A:$A,$A88,'MP_MATAFUEGOS_FABRICADOS'!$B:$B,$B88)+SUMIFS('MP_RECARGAS'!L:L,'MP_RECARGAS'!$A:$A,$A88,'MP_RECARGAS'!$B:$B,$B88)</f>
        <v/>
      </c>
      <c r="M88" s="21">
        <f>SUMIFS('MP_MATAFUEGOS_FABRICADOS'!M:M,'MP_MATAFUEGOS_FABRICADOS'!$A:$A,$A88,'MP_MATAFUEGOS_FABRICADOS'!$B:$B,$B88)+SUMIFS('MP_RECARGAS'!M:M,'MP_RECARGAS'!$A:$A,$A88,'MP_RECARGAS'!$B:$B,$B88)</f>
        <v/>
      </c>
      <c r="N88" s="21">
        <f>SUMIFS('MP_MATAFUEGOS_FABRICADOS'!N:N,'MP_MATAFUEGOS_FABRICADOS'!$A:$A,$A88,'MP_MATAFUEGOS_FABRICADOS'!$B:$B,$B88)+SUMIFS('MP_RECARGAS'!N:N,'MP_RECARGAS'!$A:$A,$A88,'MP_RECARGAS'!$B:$B,$B88)</f>
        <v/>
      </c>
      <c r="O88" s="21">
        <f>SUMIFS('MP_MATAFUEGOS_FABRICADOS'!O:O,'MP_MATAFUEGOS_FABRICADOS'!$A:$A,$A88,'MP_MATAFUEGOS_FABRICADOS'!$B:$B,$B88)+SUMIFS('MP_RECARGAS'!O:O,'MP_RECARGAS'!$A:$A,$A88,'MP_RECARGAS'!$B:$B,$B88)</f>
        <v/>
      </c>
    </row>
    <row r="89">
      <c r="A89" s="2" t="inlineStr">
        <is>
          <t>Estampilla IRAM de conformidad — 60 × 40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IRAM - Instituto Argentino de Normalización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168 × 136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/ placa de características — 234 × 151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MP_MATAFUEGOS_FABRICADOS</t>
        </is>
      </c>
      <c r="F91" s="21">
        <f>SUMIFS('MP_MATAFUEGOS_FABRICADOS'!F:F,'MP_MATAFUEGOS_FABRICADOS'!$A:$A,$A91,'MP_MATAFUEGOS_FABRICADOS'!$B:$B,$B91)</f>
        <v/>
      </c>
      <c r="G91" s="21">
        <f>SUMIFS('MP_MATAFUEGOS_FABRICADOS'!G:G,'MP_MATAFUEGOS_FABRICADOS'!$A:$A,$A91,'MP_MATAFUEGOS_FABRICADOS'!$B:$B,$B91)</f>
        <v/>
      </c>
      <c r="H91" s="21">
        <f>SUMIFS('MP_MATAFUEGOS_FABRICADOS'!H:H,'MP_MATAFUEGOS_FABRICADOS'!$A:$A,$A91,'MP_MATAFUEGOS_FABRICADOS'!$B:$B,$B91)</f>
        <v/>
      </c>
      <c r="I91" s="21">
        <f>SUMIFS('MP_MATAFUEGOS_FABRICADOS'!I:I,'MP_MATAFUEGOS_FABRICADOS'!$A:$A,$A91,'MP_MATAFUEGOS_FABRICADOS'!$B:$B,$B91)</f>
        <v/>
      </c>
      <c r="J91" s="21">
        <f>SUMIFS('MP_MATAFUEGOS_FABRICADOS'!J:J,'MP_MATAFUEGOS_FABRICADOS'!$A:$A,$A91,'MP_MATAFUEGOS_FABRICADOS'!$B:$B,$B91)</f>
        <v/>
      </c>
      <c r="K91" s="21">
        <f>SUMIFS('MP_MATAFUEGOS_FABRICADOS'!K:K,'MP_MATAFUEGOS_FABRICADOS'!$A:$A,$A91,'MP_MATAFUEGOS_FABRICADOS'!$B:$B,$B91)</f>
        <v/>
      </c>
      <c r="L91" s="21">
        <f>SUMIFS('MP_MATAFUEGOS_FABRICADOS'!L:L,'MP_MATAFUEGOS_FABRICADOS'!$A:$A,$A91,'MP_MATAFUEGOS_FABRICADOS'!$B:$B,$B91)</f>
        <v/>
      </c>
      <c r="M91" s="21">
        <f>SUMIFS('MP_MATAFUEGOS_FABRICADOS'!M:M,'MP_MATAFUEGOS_FABRICADOS'!$A:$A,$A91,'MP_MATAFUEGOS_FABRICADOS'!$B:$B,$B91)</f>
        <v/>
      </c>
      <c r="N91" s="21">
        <f>SUMIFS('MP_MATAFUEGOS_FABRICADOS'!N:N,'MP_MATAFUEGOS_FABRICADOS'!$A:$A,$A91,'MP_MATAFUEGOS_FABRICADOS'!$B:$B,$B91)</f>
        <v/>
      </c>
      <c r="O91" s="21">
        <f>SUMIFS('MP_MATAFUEGOS_FABRICADOS'!O:O,'MP_MATAFUEGOS_FABRICADOS'!$A:$A,$A91,'MP_MATAFUEGOS_FABRICADOS'!$B:$B,$B91)</f>
        <v/>
      </c>
    </row>
    <row r="92">
      <c r="A92" s="2" t="inlineStr">
        <is>
          <t>Etiqueta / placa de características — 289 × 142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MP_MATAFUEGOS_FABRICADOS</t>
        </is>
      </c>
      <c r="F92" s="21">
        <f>SUMIFS('MP_MATAFUEGOS_FABRICADOS'!F:F,'MP_MATAFUEGOS_FABRICADOS'!$A:$A,$A92,'MP_MATAFUEGOS_FABRICADOS'!$B:$B,$B92)</f>
        <v/>
      </c>
      <c r="G92" s="21">
        <f>SUMIFS('MP_MATAFUEGOS_FABRICADOS'!G:G,'MP_MATAFUEGOS_FABRICADOS'!$A:$A,$A92,'MP_MATAFUEGOS_FABRICADOS'!$B:$B,$B92)</f>
        <v/>
      </c>
      <c r="H92" s="21">
        <f>SUMIFS('MP_MATAFUEGOS_FABRICADOS'!H:H,'MP_MATAFUEGOS_FABRICADOS'!$A:$A,$A92,'MP_MATAFUEGOS_FABRICADOS'!$B:$B,$B92)</f>
        <v/>
      </c>
      <c r="I92" s="21">
        <f>SUMIFS('MP_MATAFUEGOS_FABRICADOS'!I:I,'MP_MATAFUEGOS_FABRICADOS'!$A:$A,$A92,'MP_MATAFUEGOS_FABRICADOS'!$B:$B,$B92)</f>
        <v/>
      </c>
      <c r="J92" s="21">
        <f>SUMIFS('MP_MATAFUEGOS_FABRICADOS'!J:J,'MP_MATAFUEGOS_FABRICADOS'!$A:$A,$A92,'MP_MATAFUEGOS_FABRICADOS'!$B:$B,$B92)</f>
        <v/>
      </c>
      <c r="K92" s="21">
        <f>SUMIFS('MP_MATAFUEGOS_FABRICADOS'!K:K,'MP_MATAFUEGOS_FABRICADOS'!$A:$A,$A92,'MP_MATAFUEGOS_FABRICADOS'!$B:$B,$B92)</f>
        <v/>
      </c>
      <c r="L92" s="21">
        <f>SUMIFS('MP_MATAFUEGOS_FABRICADOS'!L:L,'MP_MATAFUEGOS_FABRICADOS'!$A:$A,$A92,'MP_MATAFUEGOS_FABRICADOS'!$B:$B,$B92)</f>
        <v/>
      </c>
      <c r="M92" s="21">
        <f>SUMIFS('MP_MATAFUEGOS_FABRICADOS'!M:M,'MP_MATAFUEGOS_FABRICADOS'!$A:$A,$A92,'MP_MATAFUEGOS_FABRICADOS'!$B:$B,$B92)</f>
        <v/>
      </c>
      <c r="N92" s="21">
        <f>SUMIFS('MP_MATAFUEGOS_FABRICADOS'!N:N,'MP_MATAFUEGOS_FABRICADOS'!$A:$A,$A92,'MP_MATAFUEGOS_FABRICADOS'!$B:$B,$B92)</f>
        <v/>
      </c>
      <c r="O92" s="21">
        <f>SUMIFS('MP_MATAFUEGOS_FABRICADOS'!O:O,'MP_MATAFUEGOS_FABRICADOS'!$A:$A,$A92,'MP_MATAFUEGOS_FABRICADOS'!$B:$B,$B92)</f>
        <v/>
      </c>
    </row>
    <row r="93">
      <c r="A93" s="2" t="inlineStr">
        <is>
          <t>Etiqueta / placa de características — 343 × 221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Etiqueta / placa de características — 522 × 208 (desarrollo × alto: panel central 108° + 2 alas laterales), e ≈ 0,3, laminado UV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Etiqueta / placa de características — 604 × 204 (desarrollo × alto: panel central 108° + 2 alas laterales), e ≈ 0,3, laminado UV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Etiqueta / placa de características — 660 × 205 (desarrollo × alto: panel central 108° + 2 alas laterales), e ≈ 0,3, laminado UV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MP_MATAFUEGOS_FABRICADOS</t>
        </is>
      </c>
      <c r="F96" s="21">
        <f>SUMIFS('MP_MATAFUEGOS_FABRICADOS'!F:F,'MP_MATAFUEGOS_FABRICADOS'!$A:$A,$A96,'MP_MATAFUEGOS_FABRICADOS'!$B:$B,$B96)</f>
        <v/>
      </c>
      <c r="G96" s="21">
        <f>SUMIFS('MP_MATAFUEGOS_FABRICADOS'!G:G,'MP_MATAFUEGOS_FABRICADOS'!$A:$A,$A96,'MP_MATAFUEGOS_FABRICADOS'!$B:$B,$B96)</f>
        <v/>
      </c>
      <c r="H96" s="21">
        <f>SUMIFS('MP_MATAFUEGOS_FABRICADOS'!H:H,'MP_MATAFUEGOS_FABRICADOS'!$A:$A,$A96,'MP_MATAFUEGOS_FABRICADOS'!$B:$B,$B96)</f>
        <v/>
      </c>
      <c r="I96" s="21">
        <f>SUMIFS('MP_MATAFUEGOS_FABRICADOS'!I:I,'MP_MATAFUEGOS_FABRICADOS'!$A:$A,$A96,'MP_MATAFUEGOS_FABRICADOS'!$B:$B,$B96)</f>
        <v/>
      </c>
      <c r="J96" s="21">
        <f>SUMIFS('MP_MATAFUEGOS_FABRICADOS'!J:J,'MP_MATAFUEGOS_FABRICADOS'!$A:$A,$A96,'MP_MATAFUEGOS_FABRICADOS'!$B:$B,$B96)</f>
        <v/>
      </c>
      <c r="K96" s="21">
        <f>SUMIFS('MP_MATAFUEGOS_FABRICADOS'!K:K,'MP_MATAFUEGOS_FABRICADOS'!$A:$A,$A96,'MP_MATAFUEGOS_FABRICADOS'!$B:$B,$B96)</f>
        <v/>
      </c>
      <c r="L96" s="21">
        <f>SUMIFS('MP_MATAFUEGOS_FABRICADOS'!L:L,'MP_MATAFUEGOS_FABRICADOS'!$A:$A,$A96,'MP_MATAFUEGOS_FABRICADOS'!$B:$B,$B96)</f>
        <v/>
      </c>
      <c r="M96" s="21">
        <f>SUMIFS('MP_MATAFUEGOS_FABRICADOS'!M:M,'MP_MATAFUEGOS_FABRICADOS'!$A:$A,$A96,'MP_MATAFUEGOS_FABRICADOS'!$B:$B,$B96)</f>
        <v/>
      </c>
      <c r="N96" s="21">
        <f>SUMIFS('MP_MATAFUEGOS_FABRICADOS'!N:N,'MP_MATAFUEGOS_FABRICADOS'!$A:$A,$A96,'MP_MATAFUEGOS_FABRICADOS'!$B:$B,$B96)</f>
        <v/>
      </c>
      <c r="O96" s="21">
        <f>SUMIFS('MP_MATAFUEGOS_FABRICADOS'!O:O,'MP_MATAFUEGOS_FABRICADOS'!$A:$A,$A96,'MP_MATAFUEGOS_FABRICADOS'!$B:$B,$B96)</f>
        <v/>
      </c>
    </row>
    <row r="97">
      <c r="A97" s="2" t="inlineStr">
        <is>
          <t>Etiqueta / placa de características — 736 × 211 (desarrollo × alto: panel central 108° + 2 alas laterales), e ≈ 0,3, laminado UV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Astuprint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Etiqueta de identificación del cilindro suelto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Astuprint</t>
        </is>
      </c>
      <c r="E98" s="2" t="inlineStr">
        <is>
          <t>MP_CILINDROS</t>
        </is>
      </c>
      <c r="F98" s="21">
        <f>SUMIFS('MP_CILINDROS'!F:F,'MP_CILINDROS'!$A:$A,$A98,'MP_CILINDROS'!$B:$B,$B98)</f>
        <v/>
      </c>
      <c r="G98" s="21">
        <f>SUMIFS('MP_CILINDROS'!G:G,'MP_CILINDROS'!$A:$A,$A98,'MP_CILINDROS'!$B:$B,$B98)</f>
        <v/>
      </c>
      <c r="H98" s="21">
        <f>SUMIFS('MP_CILINDROS'!H:H,'MP_CILINDROS'!$A:$A,$A98,'MP_CILINDROS'!$B:$B,$B98)</f>
        <v/>
      </c>
      <c r="I98" s="21">
        <f>SUMIFS('MP_CILINDROS'!I:I,'MP_CILINDROS'!$A:$A,$A98,'MP_CILINDROS'!$B:$B,$B98)</f>
        <v/>
      </c>
      <c r="J98" s="21">
        <f>SUMIFS('MP_CILINDROS'!J:J,'MP_CILINDROS'!$A:$A,$A98,'MP_CILINDROS'!$B:$B,$B98)</f>
        <v/>
      </c>
      <c r="K98" s="21">
        <f>SUMIFS('MP_CILINDROS'!K:K,'MP_CILINDROS'!$A:$A,$A98,'MP_CILINDROS'!$B:$B,$B98)</f>
        <v/>
      </c>
      <c r="L98" s="21">
        <f>SUMIFS('MP_CILINDROS'!L:L,'MP_CILINDROS'!$A:$A,$A98,'MP_CILINDROS'!$B:$B,$B98)</f>
        <v/>
      </c>
      <c r="M98" s="21">
        <f>SUMIFS('MP_CILINDROS'!M:M,'MP_CILINDROS'!$A:$A,$A98,'MP_CILINDROS'!$B:$B,$B98)</f>
        <v/>
      </c>
      <c r="N98" s="21">
        <f>SUMIFS('MP_CILINDROS'!N:N,'MP_CILINDROS'!$A:$A,$A98,'MP_CILINDROS'!$B:$B,$B98)</f>
        <v/>
      </c>
      <c r="O98" s="21">
        <f>SUMIFS('MP_CILINDROS'!O:O,'MP_CILINDROS'!$A:$A,$A98,'MP_CILINDROS'!$B:$B,$B98)</f>
        <v/>
      </c>
    </row>
    <row r="99">
      <c r="A99" s="2" t="inlineStr">
        <is>
          <t>Etiqueta de n° de serie GS1 — 45 × 25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Astuprint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Faja de garantía válvula-cuello — 30 × 40</t>
        </is>
      </c>
      <c r="B100" s="2" t="inlineStr">
        <is>
          <t>u</t>
        </is>
      </c>
      <c r="C100" s="2" t="inlineStr">
        <is>
          <t>Identificación</t>
        </is>
      </c>
      <c r="D100" s="2" t="inlineStr">
        <is>
          <t>Astuprint</t>
        </is>
      </c>
      <c r="E100" s="2" t="inlineStr">
        <is>
          <t>MP_MATAFUEGOS_FABRICADOS</t>
        </is>
      </c>
      <c r="F100" s="21">
        <f>SUMIFS('MP_MATAFUEGOS_FABRICADOS'!F:F,'MP_MATAFUEGOS_FABRICADOS'!$A:$A,$A100,'MP_MATAFUEGOS_FABRICADOS'!$B:$B,$B100)</f>
        <v/>
      </c>
      <c r="G100" s="21">
        <f>SUMIFS('MP_MATAFUEGOS_FABRICADOS'!G:G,'MP_MATAFUEGOS_FABRICADOS'!$A:$A,$A100,'MP_MATAFUEGOS_FABRICADOS'!$B:$B,$B100)</f>
        <v/>
      </c>
      <c r="H100" s="21">
        <f>SUMIFS('MP_MATAFUEGOS_FABRICADOS'!H:H,'MP_MATAFUEGOS_FABRICADOS'!$A:$A,$A100,'MP_MATAFUEGOS_FABRICADOS'!$B:$B,$B100)</f>
        <v/>
      </c>
      <c r="I100" s="21">
        <f>SUMIFS('MP_MATAFUEGOS_FABRICADOS'!I:I,'MP_MATAFUEGOS_FABRICADOS'!$A:$A,$A100,'MP_MATAFUEGOS_FABRICADOS'!$B:$B,$B100)</f>
        <v/>
      </c>
      <c r="J100" s="21">
        <f>SUMIFS('MP_MATAFUEGOS_FABRICADOS'!J:J,'MP_MATAFUEGOS_FABRICADOS'!$A:$A,$A100,'MP_MATAFUEGOS_FABRICADOS'!$B:$B,$B100)</f>
        <v/>
      </c>
      <c r="K100" s="21">
        <f>SUMIFS('MP_MATAFUEGOS_FABRICADOS'!K:K,'MP_MATAFUEGOS_FABRICADOS'!$A:$A,$A100,'MP_MATAFUEGOS_FABRICADOS'!$B:$B,$B100)</f>
        <v/>
      </c>
      <c r="L100" s="21">
        <f>SUMIFS('MP_MATAFUEGOS_FABRICADOS'!L:L,'MP_MATAFUEGOS_FABRICADOS'!$A:$A,$A100,'MP_MATAFUEGOS_FABRICADOS'!$B:$B,$B100)</f>
        <v/>
      </c>
      <c r="M100" s="21">
        <f>SUMIFS('MP_MATAFUEGOS_FABRICADOS'!M:M,'MP_MATAFUEGOS_FABRICADOS'!$A:$A,$A100,'MP_MATAFUEGOS_FABRICADOS'!$B:$B,$B100)</f>
        <v/>
      </c>
      <c r="N100" s="21">
        <f>SUMIFS('MP_MATAFUEGOS_FABRICADOS'!N:N,'MP_MATAFUEGOS_FABRICADOS'!$A:$A,$A100,'MP_MATAFUEGOS_FABRICADOS'!$B:$B,$B100)</f>
        <v/>
      </c>
      <c r="O100" s="21">
        <f>SUMIFS('MP_MATAFUEGOS_FABRICADOS'!O:O,'MP_MATAFUEGOS_FABRICADOS'!$A:$A,$A100,'MP_MATAFUEGOS_FABRICADOS'!$B:$B,$B100)</f>
        <v/>
      </c>
    </row>
    <row r="101">
      <c r="A101" s="2" t="inlineStr">
        <is>
          <t>Oblea de fabricación (PBA) — Ø46 (Res. OPDS 522/07), numerada, autodestructible</t>
        </is>
      </c>
      <c r="B101" s="2" t="inlineStr">
        <is>
          <t>u</t>
        </is>
      </c>
      <c r="C101" s="2" t="inlineStr">
        <is>
          <t>Identificación</t>
        </is>
      </c>
      <c r="D101" s="2" t="inlineStr">
        <is>
          <t>Ministerio de Ambiente PBA (ex OPDS)</t>
        </is>
      </c>
      <c r="E101" s="2" t="inlineStr">
        <is>
          <t>MP_MATAFUEGOS_FABRICADOS</t>
        </is>
      </c>
      <c r="F101" s="21">
        <f>SUMIFS('MP_MATAFUEGOS_FABRICADOS'!F:F,'MP_MATAFUEGOS_FABRICADOS'!$A:$A,$A101,'MP_MATAFUEGOS_FABRICADOS'!$B:$B,$B101)</f>
        <v/>
      </c>
      <c r="G101" s="21">
        <f>SUMIFS('MP_MATAFUEGOS_FABRICADOS'!G:G,'MP_MATAFUEGOS_FABRICADOS'!$A:$A,$A101,'MP_MATAFUEGOS_FABRICADOS'!$B:$B,$B101)</f>
        <v/>
      </c>
      <c r="H101" s="21">
        <f>SUMIFS('MP_MATAFUEGOS_FABRICADOS'!H:H,'MP_MATAFUEGOS_FABRICADOS'!$A:$A,$A101,'MP_MATAFUEGOS_FABRICADOS'!$B:$B,$B101)</f>
        <v/>
      </c>
      <c r="I101" s="21">
        <f>SUMIFS('MP_MATAFUEGOS_FABRICADOS'!I:I,'MP_MATAFUEGOS_FABRICADOS'!$A:$A,$A101,'MP_MATAFUEGOS_FABRICADOS'!$B:$B,$B101)</f>
        <v/>
      </c>
      <c r="J101" s="21">
        <f>SUMIFS('MP_MATAFUEGOS_FABRICADOS'!J:J,'MP_MATAFUEGOS_FABRICADOS'!$A:$A,$A101,'MP_MATAFUEGOS_FABRICADOS'!$B:$B,$B101)</f>
        <v/>
      </c>
      <c r="K101" s="21">
        <f>SUMIFS('MP_MATAFUEGOS_FABRICADOS'!K:K,'MP_MATAFUEGOS_FABRICADOS'!$A:$A,$A101,'MP_MATAFUEGOS_FABRICADOS'!$B:$B,$B101)</f>
        <v/>
      </c>
      <c r="L101" s="21">
        <f>SUMIFS('MP_MATAFUEGOS_FABRICADOS'!L:L,'MP_MATAFUEGOS_FABRICADOS'!$A:$A,$A101,'MP_MATAFUEGOS_FABRICADOS'!$B:$B,$B101)</f>
        <v/>
      </c>
      <c r="M101" s="21">
        <f>SUMIFS('MP_MATAFUEGOS_FABRICADOS'!M:M,'MP_MATAFUEGOS_FABRICADOS'!$A:$A,$A101,'MP_MATAFUEGOS_FABRICADOS'!$B:$B,$B101)</f>
        <v/>
      </c>
      <c r="N101" s="21">
        <f>SUMIFS('MP_MATAFUEGOS_FABRICADOS'!N:N,'MP_MATAFUEGOS_FABRICADOS'!$A:$A,$A101,'MP_MATAFUEGOS_FABRICADOS'!$B:$B,$B101)</f>
        <v/>
      </c>
      <c r="O101" s="21">
        <f>SUMIFS('MP_MATAFUEGOS_FABRICADOS'!O:O,'MP_MATAFUEGOS_FABRICADOS'!$A:$A,$A101,'MP_MATAFUEGOS_FABRICADOS'!$B:$B,$B101)</f>
        <v/>
      </c>
    </row>
    <row r="102">
      <c r="A102" s="2" t="inlineStr">
        <is>
          <t>Precinto de fábrica — Ø5 × 10, numerado, rotura 30-50 N</t>
        </is>
      </c>
      <c r="B102" s="2" t="inlineStr">
        <is>
          <t>u</t>
        </is>
      </c>
      <c r="C102" s="2" t="inlineStr">
        <is>
          <t>Identificación</t>
        </is>
      </c>
      <c r="D102" s="2" t="inlineStr">
        <is>
          <t>SonFuertes (vía Papelera Damián)</t>
        </is>
      </c>
      <c r="E102" s="2" t="inlineStr">
        <is>
          <t>MP_MATAFUEGOS_FABRICADOS</t>
        </is>
      </c>
      <c r="F102" s="21">
        <f>SUMIFS('MP_MATAFUEGOS_FABRICADOS'!F:F,'MP_MATAFUEGOS_FABRICADOS'!$A:$A,$A102,'MP_MATAFUEGOS_FABRICADOS'!$B:$B,$B102)</f>
        <v/>
      </c>
      <c r="G102" s="21">
        <f>SUMIFS('MP_MATAFUEGOS_FABRICADOS'!G:G,'MP_MATAFUEGOS_FABRICADOS'!$A:$A,$A102,'MP_MATAFUEGOS_FABRICADOS'!$B:$B,$B102)</f>
        <v/>
      </c>
      <c r="H102" s="21">
        <f>SUMIFS('MP_MATAFUEGOS_FABRICADOS'!H:H,'MP_MATAFUEGOS_FABRICADOS'!$A:$A,$A102,'MP_MATAFUEGOS_FABRICADOS'!$B:$B,$B102)</f>
        <v/>
      </c>
      <c r="I102" s="21">
        <f>SUMIFS('MP_MATAFUEGOS_FABRICADOS'!I:I,'MP_MATAFUEGOS_FABRICADOS'!$A:$A,$A102,'MP_MATAFUEGOS_FABRICADOS'!$B:$B,$B102)</f>
        <v/>
      </c>
      <c r="J102" s="21">
        <f>SUMIFS('MP_MATAFUEGOS_FABRICADOS'!J:J,'MP_MATAFUEGOS_FABRICADOS'!$A:$A,$A102,'MP_MATAFUEGOS_FABRICADOS'!$B:$B,$B102)</f>
        <v/>
      </c>
      <c r="K102" s="21">
        <f>SUMIFS('MP_MATAFUEGOS_FABRICADOS'!K:K,'MP_MATAFUEGOS_FABRICADOS'!$A:$A,$A102,'MP_MATAFUEGOS_FABRICADOS'!$B:$B,$B102)</f>
        <v/>
      </c>
      <c r="L102" s="21">
        <f>SUMIFS('MP_MATAFUEGOS_FABRICADOS'!L:L,'MP_MATAFUEGOS_FABRICADOS'!$A:$A,$A102,'MP_MATAFUEGOS_FABRICADOS'!$B:$B,$B102)</f>
        <v/>
      </c>
      <c r="M102" s="21">
        <f>SUMIFS('MP_MATAFUEGOS_FABRICADOS'!M:M,'MP_MATAFUEGOS_FABRICADOS'!$A:$A,$A102,'MP_MATAFUEGOS_FABRICADOS'!$B:$B,$B102)</f>
        <v/>
      </c>
      <c r="N102" s="21">
        <f>SUMIFS('MP_MATAFUEGOS_FABRICADOS'!N:N,'MP_MATAFUEGOS_FABRICADOS'!$A:$A,$A102,'MP_MATAFUEGOS_FABRICADOS'!$B:$B,$B102)</f>
        <v/>
      </c>
      <c r="O102" s="21">
        <f>SUMIFS('MP_MATAFUEGOS_FABRICADOS'!O:O,'MP_MATAFUEGOS_FABRICADOS'!$A:$A,$A102,'MP_MATAFUEGOS_FABRICADOS'!$B:$B,$B102)</f>
        <v/>
      </c>
    </row>
    <row r="103">
      <c r="A103" s="2" t="inlineStr">
        <is>
          <t>Tarjeta de identificación AGC (CABA) — 140 × 55</t>
        </is>
      </c>
      <c r="B103" s="2" t="inlineStr">
        <is>
          <t>u</t>
        </is>
      </c>
      <c r="C103" s="2" t="inlineStr">
        <is>
          <t>Identificación</t>
        </is>
      </c>
      <c r="D103" s="2" t="inlineStr">
        <is>
          <t>Agencia Gubernamental de Control (CABA)</t>
        </is>
      </c>
      <c r="E103" s="2" t="inlineStr">
        <is>
          <t>MP_MATAFUEGOS_FABRICADOS, MP_MATAFUEGOS_REVENDIDOS</t>
        </is>
      </c>
      <c r="F103" s="21">
        <f>SUMIFS('MP_MATAFUEGOS_FABRICADOS'!F:F,'MP_MATAFUEGOS_FABRICADOS'!$A:$A,$A103,'MP_MATAFUEGOS_FABRICADOS'!$B:$B,$B103)+SUMIFS('MP_MATAFUEGOS_REVENDIDOS'!F:F,'MP_MATAFUEGOS_REVENDIDOS'!$A:$A,$A103,'MP_MATAFUEGOS_REVENDIDOS'!$B:$B,$B103)</f>
        <v/>
      </c>
      <c r="G103" s="21">
        <f>SUMIFS('MP_MATAFUEGOS_FABRICADOS'!G:G,'MP_MATAFUEGOS_FABRICADOS'!$A:$A,$A103,'MP_MATAFUEGOS_FABRICADOS'!$B:$B,$B103)+SUMIFS('MP_MATAFUEGOS_REVENDIDOS'!G:G,'MP_MATAFUEGOS_REVENDIDOS'!$A:$A,$A103,'MP_MATAFUEGOS_REVENDIDOS'!$B:$B,$B103)</f>
        <v/>
      </c>
      <c r="H103" s="21">
        <f>SUMIFS('MP_MATAFUEGOS_FABRICADOS'!H:H,'MP_MATAFUEGOS_FABRICADOS'!$A:$A,$A103,'MP_MATAFUEGOS_FABRICADOS'!$B:$B,$B103)+SUMIFS('MP_MATAFUEGOS_REVENDIDOS'!H:H,'MP_MATAFUEGOS_REVENDIDOS'!$A:$A,$A103,'MP_MATAFUEGOS_REVENDIDOS'!$B:$B,$B103)</f>
        <v/>
      </c>
      <c r="I103" s="21">
        <f>SUMIFS('MP_MATAFUEGOS_FABRICADOS'!I:I,'MP_MATAFUEGOS_FABRICADOS'!$A:$A,$A103,'MP_MATAFUEGOS_FABRICADOS'!$B:$B,$B103)+SUMIFS('MP_MATAFUEGOS_REVENDIDOS'!I:I,'MP_MATAFUEGOS_REVENDIDOS'!$A:$A,$A103,'MP_MATAFUEGOS_REVENDIDOS'!$B:$B,$B103)</f>
        <v/>
      </c>
      <c r="J103" s="21">
        <f>SUMIFS('MP_MATAFUEGOS_FABRICADOS'!J:J,'MP_MATAFUEGOS_FABRICADOS'!$A:$A,$A103,'MP_MATAFUEGOS_FABRICADOS'!$B:$B,$B103)+SUMIFS('MP_MATAFUEGOS_REVENDIDOS'!J:J,'MP_MATAFUEGOS_REVENDIDOS'!$A:$A,$A103,'MP_MATAFUEGOS_REVENDIDOS'!$B:$B,$B103)</f>
        <v/>
      </c>
      <c r="K103" s="21">
        <f>SUMIFS('MP_MATAFUEGOS_FABRICADOS'!K:K,'MP_MATAFUEGOS_FABRICADOS'!$A:$A,$A103,'MP_MATAFUEGOS_FABRICADOS'!$B:$B,$B103)+SUMIFS('MP_MATAFUEGOS_REVENDIDOS'!K:K,'MP_MATAFUEGOS_REVENDIDOS'!$A:$A,$A103,'MP_MATAFUEGOS_REVENDIDOS'!$B:$B,$B103)</f>
        <v/>
      </c>
      <c r="L103" s="21">
        <f>SUMIFS('MP_MATAFUEGOS_FABRICADOS'!L:L,'MP_MATAFUEGOS_FABRICADOS'!$A:$A,$A103,'MP_MATAFUEGOS_FABRICADOS'!$B:$B,$B103)+SUMIFS('MP_MATAFUEGOS_REVENDIDOS'!L:L,'MP_MATAFUEGOS_REVENDIDOS'!$A:$A,$A103,'MP_MATAFUEGOS_REVENDIDOS'!$B:$B,$B103)</f>
        <v/>
      </c>
      <c r="M103" s="21">
        <f>SUMIFS('MP_MATAFUEGOS_FABRICADOS'!M:M,'MP_MATAFUEGOS_FABRICADOS'!$A:$A,$A103,'MP_MATAFUEGOS_FABRICADOS'!$B:$B,$B103)+SUMIFS('MP_MATAFUEGOS_REVENDIDOS'!M:M,'MP_MATAFUEGOS_REVENDIDOS'!$A:$A,$A103,'MP_MATAFUEGOS_REVENDIDOS'!$B:$B,$B103)</f>
        <v/>
      </c>
      <c r="N103" s="21">
        <f>SUMIFS('MP_MATAFUEGOS_FABRICADOS'!N:N,'MP_MATAFUEGOS_FABRICADOS'!$A:$A,$A103,'MP_MATAFUEGOS_FABRICADOS'!$B:$B,$B103)+SUMIFS('MP_MATAFUEGOS_REVENDIDOS'!N:N,'MP_MATAFUEGOS_REVENDIDOS'!$A:$A,$A103,'MP_MATAFUEGOS_REVENDIDOS'!$B:$B,$B103)</f>
        <v/>
      </c>
      <c r="O103" s="21">
        <f>SUMIFS('MP_MATAFUEGOS_FABRICADOS'!O:O,'MP_MATAFUEGOS_FABRICADOS'!$A:$A,$A103,'MP_MATAFUEGOS_FABRICADOS'!$B:$B,$B103)+SUMIFS('MP_MATAFUEGOS_REVENDIDOS'!O:O,'MP_MATAFUEGOS_REVENDIDOS'!$A:$A,$A103,'MP_MATAFUEGOS_REVENDIDOS'!$B:$B,$B103)</f>
        <v/>
      </c>
    </row>
    <row r="104">
      <c r="A104" s="2" t="inlineStr">
        <is>
          <t>Soporte de pared (FL_ACC_01)</t>
        </is>
      </c>
      <c r="B104" s="2" t="inlineStr">
        <is>
          <t>u</t>
        </is>
      </c>
      <c r="C104" s="2" t="inlineStr">
        <is>
          <t>Soporte</t>
        </is>
      </c>
      <c r="D104" s="2" t="inlineStr">
        <is>
          <t>Maxiseguridad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Soporte vehicular con cierre rápido (FL_ACC_02)</t>
        </is>
      </c>
      <c r="B105" s="2" t="inlineStr">
        <is>
          <t>u</t>
        </is>
      </c>
      <c r="C105" s="2" t="inlineStr">
        <is>
          <t>Soporte</t>
        </is>
      </c>
      <c r="D105" s="2" t="inlineStr">
        <is>
          <t>Maxiseguridad</t>
        </is>
      </c>
      <c r="E105" s="2" t="inlineStr">
        <is>
          <t>MP_MATAFUEGOS_FABRICADOS</t>
        </is>
      </c>
      <c r="F105" s="21">
        <f>SUMIFS('MP_MATAFUEGOS_FABRICADOS'!F:F,'MP_MATAFUEGOS_FABRICADOS'!$A:$A,$A105,'MP_MATAFUEGOS_FABRICADOS'!$B:$B,$B105)</f>
        <v/>
      </c>
      <c r="G105" s="21">
        <f>SUMIFS('MP_MATAFUEGOS_FABRICADOS'!G:G,'MP_MATAFUEGOS_FABRICADOS'!$A:$A,$A105,'MP_MATAFUEGOS_FABRICADOS'!$B:$B,$B105)</f>
        <v/>
      </c>
      <c r="H105" s="21">
        <f>SUMIFS('MP_MATAFUEGOS_FABRICADOS'!H:H,'MP_MATAFUEGOS_FABRICADOS'!$A:$A,$A105,'MP_MATAFUEGOS_FABRICADOS'!$B:$B,$B105)</f>
        <v/>
      </c>
      <c r="I105" s="21">
        <f>SUMIFS('MP_MATAFUEGOS_FABRICADOS'!I:I,'MP_MATAFUEGOS_FABRICADOS'!$A:$A,$A105,'MP_MATAFUEGOS_FABRICADOS'!$B:$B,$B105)</f>
        <v/>
      </c>
      <c r="J105" s="21">
        <f>SUMIFS('MP_MATAFUEGOS_FABRICADOS'!J:J,'MP_MATAFUEGOS_FABRICADOS'!$A:$A,$A105,'MP_MATAFUEGOS_FABRICADOS'!$B:$B,$B105)</f>
        <v/>
      </c>
      <c r="K105" s="21">
        <f>SUMIFS('MP_MATAFUEGOS_FABRICADOS'!K:K,'MP_MATAFUEGOS_FABRICADOS'!$A:$A,$A105,'MP_MATAFUEGOS_FABRICADOS'!$B:$B,$B105)</f>
        <v/>
      </c>
      <c r="L105" s="21">
        <f>SUMIFS('MP_MATAFUEGOS_FABRICADOS'!L:L,'MP_MATAFUEGOS_FABRICADOS'!$A:$A,$A105,'MP_MATAFUEGOS_FABRICADOS'!$B:$B,$B105)</f>
        <v/>
      </c>
      <c r="M105" s="21">
        <f>SUMIFS('MP_MATAFUEGOS_FABRICADOS'!M:M,'MP_MATAFUEGOS_FABRICADOS'!$A:$A,$A105,'MP_MATAFUEGOS_FABRICADOS'!$B:$B,$B105)</f>
        <v/>
      </c>
      <c r="N105" s="21">
        <f>SUMIFS('MP_MATAFUEGOS_FABRICADOS'!N:N,'MP_MATAFUEGOS_FABRICADOS'!$A:$A,$A105,'MP_MATAFUEGOS_FABRICADOS'!$B:$B,$B105)</f>
        <v/>
      </c>
      <c r="O105" s="21">
        <f>SUMIFS('MP_MATAFUEGOS_FABRICADOS'!O:O,'MP_MATAFUEGOS_FABRICADOS'!$A:$A,$A105,'MP_MATAFUEGOS_FABRICADOS'!$B:$B,$B105)</f>
        <v/>
      </c>
    </row>
    <row r="106">
      <c r="A106" s="2" t="inlineStr">
        <is>
          <t>Tornillo y tarugo de fijación</t>
        </is>
      </c>
      <c r="B106" s="2" t="inlineStr">
        <is>
          <t>u</t>
        </is>
      </c>
      <c r="C106" s="2" t="inlineStr">
        <is>
          <t>Soporte</t>
        </is>
      </c>
      <c r="D106" s="2" t="inlineStr">
        <is>
          <t>Würth Argentina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doble — 212 × 212 × 582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MP_CILINDROS</t>
        </is>
      </c>
      <c r="F107" s="21">
        <f>SUMIFS('MP_CILINDROS'!F:F,'MP_CILINDROS'!$A:$A,$A107,'MP_CILINDROS'!$B:$B,$B107)</f>
        <v/>
      </c>
      <c r="G107" s="21">
        <f>SUMIFS('MP_CILINDROS'!G:G,'MP_CILINDROS'!$A:$A,$A107,'MP_CILINDROS'!$B:$B,$B107)</f>
        <v/>
      </c>
      <c r="H107" s="21">
        <f>SUMIFS('MP_CILINDROS'!H:H,'MP_CILINDROS'!$A:$A,$A107,'MP_CILINDROS'!$B:$B,$B107)</f>
        <v/>
      </c>
      <c r="I107" s="21">
        <f>SUMIFS('MP_CILINDROS'!I:I,'MP_CILINDROS'!$A:$A,$A107,'MP_CILINDROS'!$B:$B,$B107)</f>
        <v/>
      </c>
      <c r="J107" s="21">
        <f>SUMIFS('MP_CILINDROS'!J:J,'MP_CILINDROS'!$A:$A,$A107,'MP_CILINDROS'!$B:$B,$B107)</f>
        <v/>
      </c>
      <c r="K107" s="21">
        <f>SUMIFS('MP_CILINDROS'!K:K,'MP_CILINDROS'!$A:$A,$A107,'MP_CILINDROS'!$B:$B,$B107)</f>
        <v/>
      </c>
      <c r="L107" s="21">
        <f>SUMIFS('MP_CILINDROS'!L:L,'MP_CILINDROS'!$A:$A,$A107,'MP_CILINDROS'!$B:$B,$B107)</f>
        <v/>
      </c>
      <c r="M107" s="21">
        <f>SUMIFS('MP_CILINDROS'!M:M,'MP_CILINDROS'!$A:$A,$A107,'MP_CILINDROS'!$B:$B,$B107)</f>
        <v/>
      </c>
      <c r="N107" s="21">
        <f>SUMIFS('MP_CILINDROS'!N:N,'MP_CILINDROS'!$A:$A,$A107,'MP_CILINDROS'!$B:$B,$B107)</f>
        <v/>
      </c>
      <c r="O107" s="21">
        <f>SUMIFS('MP_CILINDROS'!O:O,'MP_CILINDROS'!$A:$A,$A107,'MP_CILINDROS'!$B:$B,$B107)</f>
        <v/>
      </c>
    </row>
    <row r="108">
      <c r="A108" s="2" t="inlineStr">
        <is>
          <t>Caja de cartón corrugado doble — 260 × 214 × 675 interior (envolvente del plano + 15 por lado)</t>
        </is>
      </c>
      <c r="B108" s="2" t="inlineStr">
        <is>
          <t>u</t>
        </is>
      </c>
      <c r="C108" s="2" t="inlineStr">
        <is>
          <t>Embalaje</t>
        </is>
      </c>
      <c r="D108" s="2" t="inlineStr">
        <is>
          <t>Maxipack</t>
        </is>
      </c>
      <c r="E108" s="2" t="inlineStr">
        <is>
          <t>MP_MATAFUEGOS_FABRICADOS</t>
        </is>
      </c>
      <c r="F108" s="21">
        <f>SUMIFS('MP_MATAFUEGOS_FABRICADOS'!F:F,'MP_MATAFUEGOS_FABRICADOS'!$A:$A,$A108,'MP_MATAFUEGOS_FABRICADOS'!$B:$B,$B108)</f>
        <v/>
      </c>
      <c r="G108" s="21">
        <f>SUMIFS('MP_MATAFUEGOS_FABRICADOS'!G:G,'MP_MATAFUEGOS_FABRICADOS'!$A:$A,$A108,'MP_MATAFUEGOS_FABRICADOS'!$B:$B,$B108)</f>
        <v/>
      </c>
      <c r="H108" s="21">
        <f>SUMIFS('MP_MATAFUEGOS_FABRICADOS'!H:H,'MP_MATAFUEGOS_FABRICADOS'!$A:$A,$A108,'MP_MATAFUEGOS_FABRICADOS'!$B:$B,$B108)</f>
        <v/>
      </c>
      <c r="I108" s="21">
        <f>SUMIFS('MP_MATAFUEGOS_FABRICADOS'!I:I,'MP_MATAFUEGOS_FABRICADOS'!$A:$A,$A108,'MP_MATAFUEGOS_FABRICADOS'!$B:$B,$B108)</f>
        <v/>
      </c>
      <c r="J108" s="21">
        <f>SUMIFS('MP_MATAFUEGOS_FABRICADOS'!J:J,'MP_MATAFUEGOS_FABRICADOS'!$A:$A,$A108,'MP_MATAFUEGOS_FABRICADOS'!$B:$B,$B108)</f>
        <v/>
      </c>
      <c r="K108" s="21">
        <f>SUMIFS('MP_MATAFUEGOS_FABRICADOS'!K:K,'MP_MATAFUEGOS_FABRICADOS'!$A:$A,$A108,'MP_MATAFUEGOS_FABRICADOS'!$B:$B,$B108)</f>
        <v/>
      </c>
      <c r="L108" s="21">
        <f>SUMIFS('MP_MATAFUEGOS_FABRICADOS'!L:L,'MP_MATAFUEGOS_FABRICADOS'!$A:$A,$A108,'MP_MATAFUEGOS_FABRICADOS'!$B:$B,$B108)</f>
        <v/>
      </c>
      <c r="M108" s="21">
        <f>SUMIFS('MP_MATAFUEGOS_FABRICADOS'!M:M,'MP_MATAFUEGOS_FABRICADOS'!$A:$A,$A108,'MP_MATAFUEGOS_FABRICADOS'!$B:$B,$B108)</f>
        <v/>
      </c>
      <c r="N108" s="21">
        <f>SUMIFS('MP_MATAFUEGOS_FABRICADOS'!N:N,'MP_MATAFUEGOS_FABRICADOS'!$A:$A,$A108,'MP_MATAFUEGOS_FABRICADOS'!$B:$B,$B108)</f>
        <v/>
      </c>
      <c r="O108" s="21">
        <f>SUMIFS('MP_MATAFUEGOS_FABRICADOS'!O:O,'MP_MATAFUEGOS_FABRICADOS'!$A:$A,$A108,'MP_MATAFUEGOS_FABRICADOS'!$B:$B,$B108)</f>
        <v/>
      </c>
    </row>
    <row r="109">
      <c r="A109" s="2" t="inlineStr">
        <is>
          <t>Caja de cartón corrugado simple — 106 × 106 × 318 interior (envolvente del plano + 15 por lado)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MP_CILINDROS</t>
        </is>
      </c>
      <c r="F109" s="21">
        <f>SUMIFS('MP_CILINDROS'!F:F,'MP_CILINDROS'!$A:$A,$A109,'MP_CILINDROS'!$B:$B,$B109)</f>
        <v/>
      </c>
      <c r="G109" s="21">
        <f>SUMIFS('MP_CILINDROS'!G:G,'MP_CILINDROS'!$A:$A,$A109,'MP_CILINDROS'!$B:$B,$B109)</f>
        <v/>
      </c>
      <c r="H109" s="21">
        <f>SUMIFS('MP_CILINDROS'!H:H,'MP_CILINDROS'!$A:$A,$A109,'MP_CILINDROS'!$B:$B,$B109)</f>
        <v/>
      </c>
      <c r="I109" s="21">
        <f>SUMIFS('MP_CILINDROS'!I:I,'MP_CILINDROS'!$A:$A,$A109,'MP_CILINDROS'!$B:$B,$B109)</f>
        <v/>
      </c>
      <c r="J109" s="21">
        <f>SUMIFS('MP_CILINDROS'!J:J,'MP_CILINDROS'!$A:$A,$A109,'MP_CILINDROS'!$B:$B,$B109)</f>
        <v/>
      </c>
      <c r="K109" s="21">
        <f>SUMIFS('MP_CILINDROS'!K:K,'MP_CILINDROS'!$A:$A,$A109,'MP_CILINDROS'!$B:$B,$B109)</f>
        <v/>
      </c>
      <c r="L109" s="21">
        <f>SUMIFS('MP_CILINDROS'!L:L,'MP_CILINDROS'!$A:$A,$A109,'MP_CILINDROS'!$B:$B,$B109)</f>
        <v/>
      </c>
      <c r="M109" s="21">
        <f>SUMIFS('MP_CILINDROS'!M:M,'MP_CILINDROS'!$A:$A,$A109,'MP_CILINDROS'!$B:$B,$B109)</f>
        <v/>
      </c>
      <c r="N109" s="21">
        <f>SUMIFS('MP_CILINDROS'!N:N,'MP_CILINDROS'!$A:$A,$A109,'MP_CILINDROS'!$B:$B,$B109)</f>
        <v/>
      </c>
      <c r="O109" s="21">
        <f>SUMIFS('MP_CILINDROS'!O:O,'MP_CILINDROS'!$A:$A,$A109,'MP_CILINDROS'!$B:$B,$B109)</f>
        <v/>
      </c>
    </row>
    <row r="110">
      <c r="A110" s="2" t="inlineStr">
        <is>
          <t>Caja de cartón corrugado simple — 122 × 107 × 360 interior (envolvente del plano + 15 por lado)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MP_MATAFUEGOS_FABRICADOS</t>
        </is>
      </c>
      <c r="F110" s="21">
        <f>SUMIFS('MP_MATAFUEGOS_FABRICADOS'!F:F,'MP_MATAFUEGOS_FABRICADOS'!$A:$A,$A110,'MP_MATAFUEGOS_FABRICADOS'!$B:$B,$B110)</f>
        <v/>
      </c>
      <c r="G110" s="21">
        <f>SUMIFS('MP_MATAFUEGOS_FABRICADOS'!G:G,'MP_MATAFUEGOS_FABRICADOS'!$A:$A,$A110,'MP_MATAFUEGOS_FABRICADOS'!$B:$B,$B110)</f>
        <v/>
      </c>
      <c r="H110" s="21">
        <f>SUMIFS('MP_MATAFUEGOS_FABRICADOS'!H:H,'MP_MATAFUEGOS_FABRICADOS'!$A:$A,$A110,'MP_MATAFUEGOS_FABRICADOS'!$B:$B,$B110)</f>
        <v/>
      </c>
      <c r="I110" s="21">
        <f>SUMIFS('MP_MATAFUEGOS_FABRICADOS'!I:I,'MP_MATAFUEGOS_FABRICADOS'!$A:$A,$A110,'MP_MATAFUEGOS_FABRICADOS'!$B:$B,$B110)</f>
        <v/>
      </c>
      <c r="J110" s="21">
        <f>SUMIFS('MP_MATAFUEGOS_FABRICADOS'!J:J,'MP_MATAFUEGOS_FABRICADOS'!$A:$A,$A110,'MP_MATAFUEGOS_FABRICADOS'!$B:$B,$B110)</f>
        <v/>
      </c>
      <c r="K110" s="21">
        <f>SUMIFS('MP_MATAFUEGOS_FABRICADOS'!K:K,'MP_MATAFUEGOS_FABRICADOS'!$A:$A,$A110,'MP_MATAFUEGOS_FABRICADOS'!$B:$B,$B110)</f>
        <v/>
      </c>
      <c r="L110" s="21">
        <f>SUMIFS('MP_MATAFUEGOS_FABRICADOS'!L:L,'MP_MATAFUEGOS_FABRICADOS'!$A:$A,$A110,'MP_MATAFUEGOS_FABRICADOS'!$B:$B,$B110)</f>
        <v/>
      </c>
      <c r="M110" s="21">
        <f>SUMIFS('MP_MATAFUEGOS_FABRICADOS'!M:M,'MP_MATAFUEGOS_FABRICADOS'!$A:$A,$A110,'MP_MATAFUEGOS_FABRICADOS'!$B:$B,$B110)</f>
        <v/>
      </c>
      <c r="N110" s="21">
        <f>SUMIFS('MP_MATAFUEGOS_FABRICADOS'!N:N,'MP_MATAFUEGOS_FABRICADOS'!$A:$A,$A110,'MP_MATAFUEGOS_FABRICADOS'!$B:$B,$B110)</f>
        <v/>
      </c>
      <c r="O110" s="21">
        <f>SUMIFS('MP_MATAFUEGOS_FABRICADOS'!O:O,'MP_MATAFUEGOS_FABRICADOS'!$A:$A,$A110,'MP_MATAFUEGOS_FABRICADOS'!$B:$B,$B110)</f>
        <v/>
      </c>
    </row>
    <row r="111">
      <c r="A111" s="2" t="inlineStr">
        <is>
          <t>Caja de cartón corrugado simple — 154 × 154 × 334 interior (envolvente del plano + 15 por lado)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Maxipack</t>
        </is>
      </c>
      <c r="E111" s="2" t="inlineStr">
        <is>
          <t>MP_CILINDROS</t>
        </is>
      </c>
      <c r="F111" s="21">
        <f>SUMIFS('MP_CILINDROS'!F:F,'MP_CILINDROS'!$A:$A,$A111,'MP_CILINDROS'!$B:$B,$B111)</f>
        <v/>
      </c>
      <c r="G111" s="21">
        <f>SUMIFS('MP_CILINDROS'!G:G,'MP_CILINDROS'!$A:$A,$A111,'MP_CILINDROS'!$B:$B,$B111)</f>
        <v/>
      </c>
      <c r="H111" s="21">
        <f>SUMIFS('MP_CILINDROS'!H:H,'MP_CILINDROS'!$A:$A,$A111,'MP_CILINDROS'!$B:$B,$B111)</f>
        <v/>
      </c>
      <c r="I111" s="21">
        <f>SUMIFS('MP_CILINDROS'!I:I,'MP_CILINDROS'!$A:$A,$A111,'MP_CILINDROS'!$B:$B,$B111)</f>
        <v/>
      </c>
      <c r="J111" s="21">
        <f>SUMIFS('MP_CILINDROS'!J:J,'MP_CILINDROS'!$A:$A,$A111,'MP_CILINDROS'!$B:$B,$B111)</f>
        <v/>
      </c>
      <c r="K111" s="21">
        <f>SUMIFS('MP_CILINDROS'!K:K,'MP_CILINDROS'!$A:$A,$A111,'MP_CILINDROS'!$B:$B,$B111)</f>
        <v/>
      </c>
      <c r="L111" s="21">
        <f>SUMIFS('MP_CILINDROS'!L:L,'MP_CILINDROS'!$A:$A,$A111,'MP_CILINDROS'!$B:$B,$B111)</f>
        <v/>
      </c>
      <c r="M111" s="21">
        <f>SUMIFS('MP_CILINDROS'!M:M,'MP_CILINDROS'!$A:$A,$A111,'MP_CILINDROS'!$B:$B,$B111)</f>
        <v/>
      </c>
      <c r="N111" s="21">
        <f>SUMIFS('MP_CILINDROS'!N:N,'MP_CILINDROS'!$A:$A,$A111,'MP_CILINDROS'!$B:$B,$B111)</f>
        <v/>
      </c>
      <c r="O111" s="21">
        <f>SUMIFS('MP_CILINDROS'!O:O,'MP_CILINDROS'!$A:$A,$A111,'MP_CILINDROS'!$B:$B,$B111)</f>
        <v/>
      </c>
    </row>
    <row r="112">
      <c r="A112" s="2" t="inlineStr">
        <is>
          <t>Caja de cartón corrugado simple — 183 × 183 × 410 interior (envolvente del plano + 15 por lado)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Maxipack</t>
        </is>
      </c>
      <c r="E112" s="2" t="inlineStr">
        <is>
          <t>MP_CILINDROS</t>
        </is>
      </c>
      <c r="F112" s="21">
        <f>SUMIFS('MP_CILINDROS'!F:F,'MP_CILINDROS'!$A:$A,$A112,'MP_CILINDROS'!$B:$B,$B112)</f>
        <v/>
      </c>
      <c r="G112" s="21">
        <f>SUMIFS('MP_CILINDROS'!G:G,'MP_CILINDROS'!$A:$A,$A112,'MP_CILINDROS'!$B:$B,$B112)</f>
        <v/>
      </c>
      <c r="H112" s="21">
        <f>SUMIFS('MP_CILINDROS'!H:H,'MP_CILINDROS'!$A:$A,$A112,'MP_CILINDROS'!$B:$B,$B112)</f>
        <v/>
      </c>
      <c r="I112" s="21">
        <f>SUMIFS('MP_CILINDROS'!I:I,'MP_CILINDROS'!$A:$A,$A112,'MP_CILINDROS'!$B:$B,$B112)</f>
        <v/>
      </c>
      <c r="J112" s="21">
        <f>SUMIFS('MP_CILINDROS'!J:J,'MP_CILINDROS'!$A:$A,$A112,'MP_CILINDROS'!$B:$B,$B112)</f>
        <v/>
      </c>
      <c r="K112" s="21">
        <f>SUMIFS('MP_CILINDROS'!K:K,'MP_CILINDROS'!$A:$A,$A112,'MP_CILINDROS'!$B:$B,$B112)</f>
        <v/>
      </c>
      <c r="L112" s="21">
        <f>SUMIFS('MP_CILINDROS'!L:L,'MP_CILINDROS'!$A:$A,$A112,'MP_CILINDROS'!$B:$B,$B112)</f>
        <v/>
      </c>
      <c r="M112" s="21">
        <f>SUMIFS('MP_CILINDROS'!M:M,'MP_CILINDROS'!$A:$A,$A112,'MP_CILINDROS'!$B:$B,$B112)</f>
        <v/>
      </c>
      <c r="N112" s="21">
        <f>SUMIFS('MP_CILINDROS'!N:N,'MP_CILINDROS'!$A:$A,$A112,'MP_CILINDROS'!$B:$B,$B112)</f>
        <v/>
      </c>
      <c r="O112" s="21">
        <f>SUMIFS('MP_CILINDROS'!O:O,'MP_CILINDROS'!$A:$A,$A112,'MP_CILINDROS'!$B:$B,$B112)</f>
        <v/>
      </c>
    </row>
    <row r="113">
      <c r="A113" s="2" t="inlineStr">
        <is>
          <t>Caja de cartón corrugado simple — 250 × 157 × 435 interior (envolvente del plano + 15 por lado)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Maxipack</t>
        </is>
      </c>
      <c r="E113" s="2" t="inlineStr">
        <is>
          <t>MP_MATAFUEGOS_FABRICADOS</t>
        </is>
      </c>
      <c r="F113" s="21">
        <f>SUMIFS('MP_MATAFUEGOS_FABRICADOS'!F:F,'MP_MATAFUEGOS_FABRICADOS'!$A:$A,$A113,'MP_MATAFUEGOS_FABRICADOS'!$B:$B,$B113)</f>
        <v/>
      </c>
      <c r="G113" s="21">
        <f>SUMIFS('MP_MATAFUEGOS_FABRICADOS'!G:G,'MP_MATAFUEGOS_FABRICADOS'!$A:$A,$A113,'MP_MATAFUEGOS_FABRICADOS'!$B:$B,$B113)</f>
        <v/>
      </c>
      <c r="H113" s="21">
        <f>SUMIFS('MP_MATAFUEGOS_FABRICADOS'!H:H,'MP_MATAFUEGOS_FABRICADOS'!$A:$A,$A113,'MP_MATAFUEGOS_FABRICADOS'!$B:$B,$B113)</f>
        <v/>
      </c>
      <c r="I113" s="21">
        <f>SUMIFS('MP_MATAFUEGOS_FABRICADOS'!I:I,'MP_MATAFUEGOS_FABRICADOS'!$A:$A,$A113,'MP_MATAFUEGOS_FABRICADOS'!$B:$B,$B113)</f>
        <v/>
      </c>
      <c r="J113" s="21">
        <f>SUMIFS('MP_MATAFUEGOS_FABRICADOS'!J:J,'MP_MATAFUEGOS_FABRICADOS'!$A:$A,$A113,'MP_MATAFUEGOS_FABRICADOS'!$B:$B,$B113)</f>
        <v/>
      </c>
      <c r="K113" s="21">
        <f>SUMIFS('MP_MATAFUEGOS_FABRICADOS'!K:K,'MP_MATAFUEGOS_FABRICADOS'!$A:$A,$A113,'MP_MATAFUEGOS_FABRICADOS'!$B:$B,$B113)</f>
        <v/>
      </c>
      <c r="L113" s="21">
        <f>SUMIFS('MP_MATAFUEGOS_FABRICADOS'!L:L,'MP_MATAFUEGOS_FABRICADOS'!$A:$A,$A113,'MP_MATAFUEGOS_FABRICADOS'!$B:$B,$B113)</f>
        <v/>
      </c>
      <c r="M113" s="21">
        <f>SUMIFS('MP_MATAFUEGOS_FABRICADOS'!M:M,'MP_MATAFUEGOS_FABRICADOS'!$A:$A,$A113,'MP_MATAFUEGOS_FABRICADOS'!$B:$B,$B113)</f>
        <v/>
      </c>
      <c r="N113" s="21">
        <f>SUMIFS('MP_MATAFUEGOS_FABRICADOS'!N:N,'MP_MATAFUEGOS_FABRICADOS'!$A:$A,$A113,'MP_MATAFUEGOS_FABRICADOS'!$B:$B,$B113)</f>
        <v/>
      </c>
      <c r="O113" s="21">
        <f>SUMIFS('MP_MATAFUEGOS_FABRICADOS'!O:O,'MP_MATAFUEGOS_FABRICADOS'!$A:$A,$A113,'MP_MATAFUEGOS_FABRICADOS'!$B:$B,$B113)</f>
        <v/>
      </c>
    </row>
    <row r="114">
      <c r="A114" s="2" t="inlineStr">
        <is>
          <t>Caja de cartón corrugado simple — 255 × 186 × 500 interior (envolvente del plano + 15 por lado)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Maxipack</t>
        </is>
      </c>
      <c r="E114" s="2" t="inlineStr">
        <is>
          <t>MP_MATAFUEGOS_FABRICADOS</t>
        </is>
      </c>
      <c r="F114" s="21">
        <f>SUMIFS('MP_MATAFUEGOS_FABRICADOS'!F:F,'MP_MATAFUEGOS_FABRICADOS'!$A:$A,$A114,'MP_MATAFUEGOS_FABRICADOS'!$B:$B,$B114)</f>
        <v/>
      </c>
      <c r="G114" s="21">
        <f>SUMIFS('MP_MATAFUEGOS_FABRICADOS'!G:G,'MP_MATAFUEGOS_FABRICADOS'!$A:$A,$A114,'MP_MATAFUEGOS_FABRICADOS'!$B:$B,$B114)</f>
        <v/>
      </c>
      <c r="H114" s="21">
        <f>SUMIFS('MP_MATAFUEGOS_FABRICADOS'!H:H,'MP_MATAFUEGOS_FABRICADOS'!$A:$A,$A114,'MP_MATAFUEGOS_FABRICADOS'!$B:$B,$B114)</f>
        <v/>
      </c>
      <c r="I114" s="21">
        <f>SUMIFS('MP_MATAFUEGOS_FABRICADOS'!I:I,'MP_MATAFUEGOS_FABRICADOS'!$A:$A,$A114,'MP_MATAFUEGOS_FABRICADOS'!$B:$B,$B114)</f>
        <v/>
      </c>
      <c r="J114" s="21">
        <f>SUMIFS('MP_MATAFUEGOS_FABRICADOS'!J:J,'MP_MATAFUEGOS_FABRICADOS'!$A:$A,$A114,'MP_MATAFUEGOS_FABRICADOS'!$B:$B,$B114)</f>
        <v/>
      </c>
      <c r="K114" s="21">
        <f>SUMIFS('MP_MATAFUEGOS_FABRICADOS'!K:K,'MP_MATAFUEGOS_FABRICADOS'!$A:$A,$A114,'MP_MATAFUEGOS_FABRICADOS'!$B:$B,$B114)</f>
        <v/>
      </c>
      <c r="L114" s="21">
        <f>SUMIFS('MP_MATAFUEGOS_FABRICADOS'!L:L,'MP_MATAFUEGOS_FABRICADOS'!$A:$A,$A114,'MP_MATAFUEGOS_FABRICADOS'!$B:$B,$B114)</f>
        <v/>
      </c>
      <c r="M114" s="21">
        <f>SUMIFS('MP_MATAFUEGOS_FABRICADOS'!M:M,'MP_MATAFUEGOS_FABRICADOS'!$A:$A,$A114,'MP_MATAFUEGOS_FABRICADOS'!$B:$B,$B114)</f>
        <v/>
      </c>
      <c r="N114" s="21">
        <f>SUMIFS('MP_MATAFUEGOS_FABRICADOS'!N:N,'MP_MATAFUEGOS_FABRICADOS'!$A:$A,$A114,'MP_MATAFUEGOS_FABRICADOS'!$B:$B,$B114)</f>
        <v/>
      </c>
      <c r="O114" s="21">
        <f>SUMIFS('MP_MATAFUEGOS_FABRICADOS'!O:O,'MP_MATAFUEGOS_FABRICADOS'!$A:$A,$A114,'MP_MATAFUEGOS_FABRICADOS'!$B:$B,$B114)</f>
        <v/>
      </c>
    </row>
    <row r="115">
      <c r="A115" s="2" t="inlineStr">
        <is>
          <t>Cinta de embalaje PP 48 mm (cierre de la caja)</t>
        </is>
      </c>
      <c r="B115" s="2" t="inlineStr">
        <is>
          <t>m</t>
        </is>
      </c>
      <c r="C115" s="2" t="inlineStr">
        <is>
          <t>Embalaje</t>
        </is>
      </c>
      <c r="D115" s="2" t="inlineStr">
        <is>
          <t>MV Embalajes</t>
        </is>
      </c>
      <c r="E115" s="2" t="inlineStr">
        <is>
          <t>MP_MATAFUEGOS_FABRICADOS, MP_CILINDROS</t>
        </is>
      </c>
      <c r="F115" s="21">
        <f>SUMIFS('MP_MATAFUEGOS_FABRICADOS'!F:F,'MP_MATAFUEGOS_FABRICADOS'!$A:$A,$A115,'MP_MATAFUEGOS_FABRICADOS'!$B:$B,$B115)+SUMIFS('MP_CILINDROS'!F:F,'MP_CILINDROS'!$A:$A,$A115,'MP_CILINDROS'!$B:$B,$B115)</f>
        <v/>
      </c>
      <c r="G115" s="21">
        <f>SUMIFS('MP_MATAFUEGOS_FABRICADOS'!G:G,'MP_MATAFUEGOS_FABRICADOS'!$A:$A,$A115,'MP_MATAFUEGOS_FABRICADOS'!$B:$B,$B115)+SUMIFS('MP_CILINDROS'!G:G,'MP_CILINDROS'!$A:$A,$A115,'MP_CILINDROS'!$B:$B,$B115)</f>
        <v/>
      </c>
      <c r="H115" s="21">
        <f>SUMIFS('MP_MATAFUEGOS_FABRICADOS'!H:H,'MP_MATAFUEGOS_FABRICADOS'!$A:$A,$A115,'MP_MATAFUEGOS_FABRICADOS'!$B:$B,$B115)+SUMIFS('MP_CILINDROS'!H:H,'MP_CILINDROS'!$A:$A,$A115,'MP_CILINDROS'!$B:$B,$B115)</f>
        <v/>
      </c>
      <c r="I115" s="21">
        <f>SUMIFS('MP_MATAFUEGOS_FABRICADOS'!I:I,'MP_MATAFUEGOS_FABRICADOS'!$A:$A,$A115,'MP_MATAFUEGOS_FABRICADOS'!$B:$B,$B115)+SUMIFS('MP_CILINDROS'!I:I,'MP_CILINDROS'!$A:$A,$A115,'MP_CILINDROS'!$B:$B,$B115)</f>
        <v/>
      </c>
      <c r="J115" s="21">
        <f>SUMIFS('MP_MATAFUEGOS_FABRICADOS'!J:J,'MP_MATAFUEGOS_FABRICADOS'!$A:$A,$A115,'MP_MATAFUEGOS_FABRICADOS'!$B:$B,$B115)+SUMIFS('MP_CILINDROS'!J:J,'MP_CILINDROS'!$A:$A,$A115,'MP_CILINDROS'!$B:$B,$B115)</f>
        <v/>
      </c>
      <c r="K115" s="21">
        <f>SUMIFS('MP_MATAFUEGOS_FABRICADOS'!K:K,'MP_MATAFUEGOS_FABRICADOS'!$A:$A,$A115,'MP_MATAFUEGOS_FABRICADOS'!$B:$B,$B115)+SUMIFS('MP_CILINDROS'!K:K,'MP_CILINDROS'!$A:$A,$A115,'MP_CILINDROS'!$B:$B,$B115)</f>
        <v/>
      </c>
      <c r="L115" s="21">
        <f>SUMIFS('MP_MATAFUEGOS_FABRICADOS'!L:L,'MP_MATAFUEGOS_FABRICADOS'!$A:$A,$A115,'MP_MATAFUEGOS_FABRICADOS'!$B:$B,$B115)+SUMIFS('MP_CILINDROS'!L:L,'MP_CILINDROS'!$A:$A,$A115,'MP_CILINDROS'!$B:$B,$B115)</f>
        <v/>
      </c>
      <c r="M115" s="21">
        <f>SUMIFS('MP_MATAFUEGOS_FABRICADOS'!M:M,'MP_MATAFUEGOS_FABRICADOS'!$A:$A,$A115,'MP_MATAFUEGOS_FABRICADOS'!$B:$B,$B115)+SUMIFS('MP_CILINDROS'!M:M,'MP_CILINDROS'!$A:$A,$A115,'MP_CILINDROS'!$B:$B,$B115)</f>
        <v/>
      </c>
      <c r="N115" s="21">
        <f>SUMIFS('MP_MATAFUEGOS_FABRICADOS'!N:N,'MP_MATAFUEGOS_FABRICADOS'!$A:$A,$A115,'MP_MATAFUEGOS_FABRICADOS'!$B:$B,$B115)+SUMIFS('MP_CILINDROS'!N:N,'MP_CILINDROS'!$A:$A,$A115,'MP_CILINDROS'!$B:$B,$B115)</f>
        <v/>
      </c>
      <c r="O115" s="21">
        <f>SUMIFS('MP_MATAFUEGOS_FABRICADOS'!O:O,'MP_MATAFUEGOS_FABRICADOS'!$A:$A,$A115,'MP_MATAFUEGOS_FABRICADOS'!$B:$B,$B115)+SUMIFS('MP_CILINDROS'!O:O,'MP_CILINDROS'!$A:$A,$A115,'MP_CILINDROS'!$B:$B,$B115)</f>
        <v/>
      </c>
    </row>
    <row r="116">
      <c r="A116" s="2" t="inlineStr">
        <is>
          <t>Esquineros de cartón 50 × 50 × 1200 (fracción del pallet)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Maxipack</t>
        </is>
      </c>
      <c r="E116" s="2" t="inlineStr">
        <is>
          <t>MP_MATAFUEGOS_FABRICADOS, MP_CILINDROS</t>
        </is>
      </c>
      <c r="F116" s="21">
        <f>SUMIFS('MP_MATAFUEGOS_FABRICADOS'!F:F,'MP_MATAFUEGOS_FABRICADOS'!$A:$A,$A116,'MP_MATAFUEGOS_FABRICADOS'!$B:$B,$B116)+SUMIFS('MP_CILINDROS'!F:F,'MP_CILINDROS'!$A:$A,$A116,'MP_CILINDROS'!$B:$B,$B116)</f>
        <v/>
      </c>
      <c r="G116" s="21">
        <f>SUMIFS('MP_MATAFUEGOS_FABRICADOS'!G:G,'MP_MATAFUEGOS_FABRICADOS'!$A:$A,$A116,'MP_MATAFUEGOS_FABRICADOS'!$B:$B,$B116)+SUMIFS('MP_CILINDROS'!G:G,'MP_CILINDROS'!$A:$A,$A116,'MP_CILINDROS'!$B:$B,$B116)</f>
        <v/>
      </c>
      <c r="H116" s="21">
        <f>SUMIFS('MP_MATAFUEGOS_FABRICADOS'!H:H,'MP_MATAFUEGOS_FABRICADOS'!$A:$A,$A116,'MP_MATAFUEGOS_FABRICADOS'!$B:$B,$B116)+SUMIFS('MP_CILINDROS'!H:H,'MP_CILINDROS'!$A:$A,$A116,'MP_CILINDROS'!$B:$B,$B116)</f>
        <v/>
      </c>
      <c r="I116" s="21">
        <f>SUMIFS('MP_MATAFUEGOS_FABRICADOS'!I:I,'MP_MATAFUEGOS_FABRICADOS'!$A:$A,$A116,'MP_MATAFUEGOS_FABRICADOS'!$B:$B,$B116)+SUMIFS('MP_CILINDROS'!I:I,'MP_CILINDROS'!$A:$A,$A116,'MP_CILINDROS'!$B:$B,$B116)</f>
        <v/>
      </c>
      <c r="J116" s="21">
        <f>SUMIFS('MP_MATAFUEGOS_FABRICADOS'!J:J,'MP_MATAFUEGOS_FABRICADOS'!$A:$A,$A116,'MP_MATAFUEGOS_FABRICADOS'!$B:$B,$B116)+SUMIFS('MP_CILINDROS'!J:J,'MP_CILINDROS'!$A:$A,$A116,'MP_CILINDROS'!$B:$B,$B116)</f>
        <v/>
      </c>
      <c r="K116" s="21">
        <f>SUMIFS('MP_MATAFUEGOS_FABRICADOS'!K:K,'MP_MATAFUEGOS_FABRICADOS'!$A:$A,$A116,'MP_MATAFUEGOS_FABRICADOS'!$B:$B,$B116)+SUMIFS('MP_CILINDROS'!K:K,'MP_CILINDROS'!$A:$A,$A116,'MP_CILINDROS'!$B:$B,$B116)</f>
        <v/>
      </c>
      <c r="L116" s="21">
        <f>SUMIFS('MP_MATAFUEGOS_FABRICADOS'!L:L,'MP_MATAFUEGOS_FABRICADOS'!$A:$A,$A116,'MP_MATAFUEGOS_FABRICADOS'!$B:$B,$B116)+SUMIFS('MP_CILINDROS'!L:L,'MP_CILINDROS'!$A:$A,$A116,'MP_CILINDROS'!$B:$B,$B116)</f>
        <v/>
      </c>
      <c r="M116" s="21">
        <f>SUMIFS('MP_MATAFUEGOS_FABRICADOS'!M:M,'MP_MATAFUEGOS_FABRICADOS'!$A:$A,$A116,'MP_MATAFUEGOS_FABRICADOS'!$B:$B,$B116)+SUMIFS('MP_CILINDROS'!M:M,'MP_CILINDROS'!$A:$A,$A116,'MP_CILINDROS'!$B:$B,$B116)</f>
        <v/>
      </c>
      <c r="N116" s="21">
        <f>SUMIFS('MP_MATAFUEGOS_FABRICADOS'!N:N,'MP_MATAFUEGOS_FABRICADOS'!$A:$A,$A116,'MP_MATAFUEGOS_FABRICADOS'!$B:$B,$B116)+SUMIFS('MP_CILINDROS'!N:N,'MP_CILINDROS'!$A:$A,$A116,'MP_CILINDROS'!$B:$B,$B116)</f>
        <v/>
      </c>
      <c r="O116" s="21">
        <f>SUMIFS('MP_MATAFUEGOS_FABRICADOS'!O:O,'MP_MATAFUEGOS_FABRICADOS'!$A:$A,$A116,'MP_MATAFUEGOS_FABRICADOS'!$B:$B,$B116)+SUMIFS('MP_CILINDROS'!O:O,'MP_CILINDROS'!$A:$A,$A116,'MP_CILINDROS'!$B:$B,$B116)</f>
        <v/>
      </c>
    </row>
    <row r="117">
      <c r="A117" s="2" t="inlineStr">
        <is>
          <t>Esquineros y funda de polietileno — a medida de la envolvente del plano</t>
        </is>
      </c>
      <c r="B117" s="2" t="inlineStr">
        <is>
          <t>jgo</t>
        </is>
      </c>
      <c r="C117" s="2" t="inlineStr">
        <is>
          <t>Embalaje</t>
        </is>
      </c>
      <c r="D117" s="2" t="inlineStr">
        <is>
          <t>MV Embalajes</t>
        </is>
      </c>
      <c r="E117" s="2" t="inlineStr">
        <is>
          <t>MP_MATAFUEGOS_FABRICADOS, MP_CILINDROS</t>
        </is>
      </c>
      <c r="F117" s="21">
        <f>SUMIFS('MP_MATAFUEGOS_FABRICADOS'!F:F,'MP_MATAFUEGOS_FABRICADOS'!$A:$A,$A117,'MP_MATAFUEGOS_FABRICADOS'!$B:$B,$B117)+SUMIFS('MP_CILINDROS'!F:F,'MP_CILINDROS'!$A:$A,$A117,'MP_CILINDROS'!$B:$B,$B117)</f>
        <v/>
      </c>
      <c r="G117" s="21">
        <f>SUMIFS('MP_MATAFUEGOS_FABRICADOS'!G:G,'MP_MATAFUEGOS_FABRICADOS'!$A:$A,$A117,'MP_MATAFUEGOS_FABRICADOS'!$B:$B,$B117)+SUMIFS('MP_CILINDROS'!G:G,'MP_CILINDROS'!$A:$A,$A117,'MP_CILINDROS'!$B:$B,$B117)</f>
        <v/>
      </c>
      <c r="H117" s="21">
        <f>SUMIFS('MP_MATAFUEGOS_FABRICADOS'!H:H,'MP_MATAFUEGOS_FABRICADOS'!$A:$A,$A117,'MP_MATAFUEGOS_FABRICADOS'!$B:$B,$B117)+SUMIFS('MP_CILINDROS'!H:H,'MP_CILINDROS'!$A:$A,$A117,'MP_CILINDROS'!$B:$B,$B117)</f>
        <v/>
      </c>
      <c r="I117" s="21">
        <f>SUMIFS('MP_MATAFUEGOS_FABRICADOS'!I:I,'MP_MATAFUEGOS_FABRICADOS'!$A:$A,$A117,'MP_MATAFUEGOS_FABRICADOS'!$B:$B,$B117)+SUMIFS('MP_CILINDROS'!I:I,'MP_CILINDROS'!$A:$A,$A117,'MP_CILINDROS'!$B:$B,$B117)</f>
        <v/>
      </c>
      <c r="J117" s="21">
        <f>SUMIFS('MP_MATAFUEGOS_FABRICADOS'!J:J,'MP_MATAFUEGOS_FABRICADOS'!$A:$A,$A117,'MP_MATAFUEGOS_FABRICADOS'!$B:$B,$B117)+SUMIFS('MP_CILINDROS'!J:J,'MP_CILINDROS'!$A:$A,$A117,'MP_CILINDROS'!$B:$B,$B117)</f>
        <v/>
      </c>
      <c r="K117" s="21">
        <f>SUMIFS('MP_MATAFUEGOS_FABRICADOS'!K:K,'MP_MATAFUEGOS_FABRICADOS'!$A:$A,$A117,'MP_MATAFUEGOS_FABRICADOS'!$B:$B,$B117)+SUMIFS('MP_CILINDROS'!K:K,'MP_CILINDROS'!$A:$A,$A117,'MP_CILINDROS'!$B:$B,$B117)</f>
        <v/>
      </c>
      <c r="L117" s="21">
        <f>SUMIFS('MP_MATAFUEGOS_FABRICADOS'!L:L,'MP_MATAFUEGOS_FABRICADOS'!$A:$A,$A117,'MP_MATAFUEGOS_FABRICADOS'!$B:$B,$B117)+SUMIFS('MP_CILINDROS'!L:L,'MP_CILINDROS'!$A:$A,$A117,'MP_CILINDROS'!$B:$B,$B117)</f>
        <v/>
      </c>
      <c r="M117" s="21">
        <f>SUMIFS('MP_MATAFUEGOS_FABRICADOS'!M:M,'MP_MATAFUEGOS_FABRICADOS'!$A:$A,$A117,'MP_MATAFUEGOS_FABRICADOS'!$B:$B,$B117)+SUMIFS('MP_CILINDROS'!M:M,'MP_CILINDROS'!$A:$A,$A117,'MP_CILINDROS'!$B:$B,$B117)</f>
        <v/>
      </c>
      <c r="N117" s="21">
        <f>SUMIFS('MP_MATAFUEGOS_FABRICADOS'!N:N,'MP_MATAFUEGOS_FABRICADOS'!$A:$A,$A117,'MP_MATAFUEGOS_FABRICADOS'!$B:$B,$B117)+SUMIFS('MP_CILINDROS'!N:N,'MP_CILINDROS'!$A:$A,$A117,'MP_CILINDROS'!$B:$B,$B117)</f>
        <v/>
      </c>
      <c r="O117" s="21">
        <f>SUMIFS('MP_MATAFUEGOS_FABRICADOS'!O:O,'MP_MATAFUEGOS_FABRICADOS'!$A:$A,$A117,'MP_MATAFUEGOS_FABRICADOS'!$B:$B,$B117)+SUMIFS('MP_CILINDROS'!O:O,'MP_CILINDROS'!$A:$A,$A117,'MP_CILINDROS'!$B:$B,$B117)</f>
        <v/>
      </c>
    </row>
    <row r="118">
      <c r="A118" s="2" t="inlineStr">
        <is>
          <t>Etiqueta de pallet (lote y destino, fracción)</t>
        </is>
      </c>
      <c r="B118" s="2" t="inlineStr">
        <is>
          <t>u</t>
        </is>
      </c>
      <c r="C118" s="2" t="inlineStr">
        <is>
          <t>Embalaje</t>
        </is>
      </c>
      <c r="D118" s="2" t="inlineStr">
        <is>
          <t>Astuprint</t>
        </is>
      </c>
      <c r="E118" s="2" t="inlineStr">
        <is>
          <t>MP_MATAFUEGOS_FABRICADOS, MP_CILINDROS</t>
        </is>
      </c>
      <c r="F118" s="21">
        <f>SUMIFS('MP_MATAFUEGOS_FABRICADOS'!F:F,'MP_MATAFUEGOS_FABRICADOS'!$A:$A,$A118,'MP_MATAFUEGOS_FABRICADOS'!$B:$B,$B118)+SUMIFS('MP_CILINDROS'!F:F,'MP_CILINDROS'!$A:$A,$A118,'MP_CILINDROS'!$B:$B,$B118)</f>
        <v/>
      </c>
      <c r="G118" s="21">
        <f>SUMIFS('MP_MATAFUEGOS_FABRICADOS'!G:G,'MP_MATAFUEGOS_FABRICADOS'!$A:$A,$A118,'MP_MATAFUEGOS_FABRICADOS'!$B:$B,$B118)+SUMIFS('MP_CILINDROS'!G:G,'MP_CILINDROS'!$A:$A,$A118,'MP_CILINDROS'!$B:$B,$B118)</f>
        <v/>
      </c>
      <c r="H118" s="21">
        <f>SUMIFS('MP_MATAFUEGOS_FABRICADOS'!H:H,'MP_MATAFUEGOS_FABRICADOS'!$A:$A,$A118,'MP_MATAFUEGOS_FABRICADOS'!$B:$B,$B118)+SUMIFS('MP_CILINDROS'!H:H,'MP_CILINDROS'!$A:$A,$A118,'MP_CILINDROS'!$B:$B,$B118)</f>
        <v/>
      </c>
      <c r="I118" s="21">
        <f>SUMIFS('MP_MATAFUEGOS_FABRICADOS'!I:I,'MP_MATAFUEGOS_FABRICADOS'!$A:$A,$A118,'MP_MATAFUEGOS_FABRICADOS'!$B:$B,$B118)+SUMIFS('MP_CILINDROS'!I:I,'MP_CILINDROS'!$A:$A,$A118,'MP_CILINDROS'!$B:$B,$B118)</f>
        <v/>
      </c>
      <c r="J118" s="21">
        <f>SUMIFS('MP_MATAFUEGOS_FABRICADOS'!J:J,'MP_MATAFUEGOS_FABRICADOS'!$A:$A,$A118,'MP_MATAFUEGOS_FABRICADOS'!$B:$B,$B118)+SUMIFS('MP_CILINDROS'!J:J,'MP_CILINDROS'!$A:$A,$A118,'MP_CILINDROS'!$B:$B,$B118)</f>
        <v/>
      </c>
      <c r="K118" s="21">
        <f>SUMIFS('MP_MATAFUEGOS_FABRICADOS'!K:K,'MP_MATAFUEGOS_FABRICADOS'!$A:$A,$A118,'MP_MATAFUEGOS_FABRICADOS'!$B:$B,$B118)+SUMIFS('MP_CILINDROS'!K:K,'MP_CILINDROS'!$A:$A,$A118,'MP_CILINDROS'!$B:$B,$B118)</f>
        <v/>
      </c>
      <c r="L118" s="21">
        <f>SUMIFS('MP_MATAFUEGOS_FABRICADOS'!L:L,'MP_MATAFUEGOS_FABRICADOS'!$A:$A,$A118,'MP_MATAFUEGOS_FABRICADOS'!$B:$B,$B118)+SUMIFS('MP_CILINDROS'!L:L,'MP_CILINDROS'!$A:$A,$A118,'MP_CILINDROS'!$B:$B,$B118)</f>
        <v/>
      </c>
      <c r="M118" s="21">
        <f>SUMIFS('MP_MATAFUEGOS_FABRICADOS'!M:M,'MP_MATAFUEGOS_FABRICADOS'!$A:$A,$A118,'MP_MATAFUEGOS_FABRICADOS'!$B:$B,$B118)+SUMIFS('MP_CILINDROS'!M:M,'MP_CILINDROS'!$A:$A,$A118,'MP_CILINDROS'!$B:$B,$B118)</f>
        <v/>
      </c>
      <c r="N118" s="21">
        <f>SUMIFS('MP_MATAFUEGOS_FABRICADOS'!N:N,'MP_MATAFUEGOS_FABRICADOS'!$A:$A,$A118,'MP_MATAFUEGOS_FABRICADOS'!$B:$B,$B118)+SUMIFS('MP_CILINDROS'!N:N,'MP_CILINDROS'!$A:$A,$A118,'MP_CILINDROS'!$B:$B,$B118)</f>
        <v/>
      </c>
      <c r="O118" s="21">
        <f>SUMIFS('MP_MATAFUEGOS_FABRICADOS'!O:O,'MP_MATAFUEGOS_FABRICADOS'!$A:$A,$A118,'MP_MATAFUEGOS_FABRICADOS'!$B:$B,$B118)+SUMIFS('MP_CILINDROS'!O:O,'MP_CILINDROS'!$A:$A,$A118,'MP_CILINDROS'!$B:$B,$B118)</f>
        <v/>
      </c>
    </row>
    <row r="119">
      <c r="A119" s="2" t="inlineStr">
        <is>
          <t>Film stretch (fracción del pallet)</t>
        </is>
      </c>
      <c r="B119" s="2" t="inlineStr">
        <is>
          <t>kg</t>
        </is>
      </c>
      <c r="C119" s="2" t="inlineStr">
        <is>
          <t>Embalaje</t>
        </is>
      </c>
      <c r="D119" s="2" t="inlineStr">
        <is>
          <t>MV Embalajes</t>
        </is>
      </c>
      <c r="E119" s="2" t="inlineStr">
        <is>
          <t>MP_MATAFUEGOS_FABRICADOS, MP_CILINDROS</t>
        </is>
      </c>
      <c r="F119" s="21">
        <f>SUMIFS('MP_MATAFUEGOS_FABRICADOS'!F:F,'MP_MATAFUEGOS_FABRICADOS'!$A:$A,$A119,'MP_MATAFUEGOS_FABRICADOS'!$B:$B,$B119)+SUMIFS('MP_CILINDROS'!F:F,'MP_CILINDROS'!$A:$A,$A119,'MP_CILINDROS'!$B:$B,$B119)</f>
        <v/>
      </c>
      <c r="G119" s="21">
        <f>SUMIFS('MP_MATAFUEGOS_FABRICADOS'!G:G,'MP_MATAFUEGOS_FABRICADOS'!$A:$A,$A119,'MP_MATAFUEGOS_FABRICADOS'!$B:$B,$B119)+SUMIFS('MP_CILINDROS'!G:G,'MP_CILINDROS'!$A:$A,$A119,'MP_CILINDROS'!$B:$B,$B119)</f>
        <v/>
      </c>
      <c r="H119" s="21">
        <f>SUMIFS('MP_MATAFUEGOS_FABRICADOS'!H:H,'MP_MATAFUEGOS_FABRICADOS'!$A:$A,$A119,'MP_MATAFUEGOS_FABRICADOS'!$B:$B,$B119)+SUMIFS('MP_CILINDROS'!H:H,'MP_CILINDROS'!$A:$A,$A119,'MP_CILINDROS'!$B:$B,$B119)</f>
        <v/>
      </c>
      <c r="I119" s="21">
        <f>SUMIFS('MP_MATAFUEGOS_FABRICADOS'!I:I,'MP_MATAFUEGOS_FABRICADOS'!$A:$A,$A119,'MP_MATAFUEGOS_FABRICADOS'!$B:$B,$B119)+SUMIFS('MP_CILINDROS'!I:I,'MP_CILINDROS'!$A:$A,$A119,'MP_CILINDROS'!$B:$B,$B119)</f>
        <v/>
      </c>
      <c r="J119" s="21">
        <f>SUMIFS('MP_MATAFUEGOS_FABRICADOS'!J:J,'MP_MATAFUEGOS_FABRICADOS'!$A:$A,$A119,'MP_MATAFUEGOS_FABRICADOS'!$B:$B,$B119)+SUMIFS('MP_CILINDROS'!J:J,'MP_CILINDROS'!$A:$A,$A119,'MP_CILINDROS'!$B:$B,$B119)</f>
        <v/>
      </c>
      <c r="K119" s="21">
        <f>SUMIFS('MP_MATAFUEGOS_FABRICADOS'!K:K,'MP_MATAFUEGOS_FABRICADOS'!$A:$A,$A119,'MP_MATAFUEGOS_FABRICADOS'!$B:$B,$B119)+SUMIFS('MP_CILINDROS'!K:K,'MP_CILINDROS'!$A:$A,$A119,'MP_CILINDROS'!$B:$B,$B119)</f>
        <v/>
      </c>
      <c r="L119" s="21">
        <f>SUMIFS('MP_MATAFUEGOS_FABRICADOS'!L:L,'MP_MATAFUEGOS_FABRICADOS'!$A:$A,$A119,'MP_MATAFUEGOS_FABRICADOS'!$B:$B,$B119)+SUMIFS('MP_CILINDROS'!L:L,'MP_CILINDROS'!$A:$A,$A119,'MP_CILINDROS'!$B:$B,$B119)</f>
        <v/>
      </c>
      <c r="M119" s="21">
        <f>SUMIFS('MP_MATAFUEGOS_FABRICADOS'!M:M,'MP_MATAFUEGOS_FABRICADOS'!$A:$A,$A119,'MP_MATAFUEGOS_FABRICADOS'!$B:$B,$B119)+SUMIFS('MP_CILINDROS'!M:M,'MP_CILINDROS'!$A:$A,$A119,'MP_CILINDROS'!$B:$B,$B119)</f>
        <v/>
      </c>
      <c r="N119" s="21">
        <f>SUMIFS('MP_MATAFUEGOS_FABRICADOS'!N:N,'MP_MATAFUEGOS_FABRICADOS'!$A:$A,$A119,'MP_MATAFUEGOS_FABRICADOS'!$B:$B,$B119)+SUMIFS('MP_CILINDROS'!N:N,'MP_CILINDROS'!$A:$A,$A119,'MP_CILINDROS'!$B:$B,$B119)</f>
        <v/>
      </c>
      <c r="O119" s="21">
        <f>SUMIFS('MP_MATAFUEGOS_FABRICADOS'!O:O,'MP_MATAFUEGOS_FABRICADOS'!$A:$A,$A119,'MP_MATAFUEGOS_FABRICADOS'!$B:$B,$B119)+SUMIFS('MP_CILINDROS'!O:O,'MP_CILINDROS'!$A:$A,$A119,'MP_CILINDROS'!$B:$B,$B119)</f>
        <v/>
      </c>
    </row>
    <row r="120">
      <c r="A120" s="2" t="inlineStr">
        <is>
          <t>Instructivo de uso y mantenimiento</t>
        </is>
      </c>
      <c r="B120" s="2" t="inlineStr">
        <is>
          <t>u</t>
        </is>
      </c>
      <c r="C120" s="2" t="inlineStr">
        <is>
          <t>Embalaje</t>
        </is>
      </c>
      <c r="D120" s="2" t="inlineStr">
        <is>
          <t>Astuprint</t>
        </is>
      </c>
      <c r="E120" s="2" t="inlineStr">
        <is>
          <t>MP_MATAFUEGOS_FABRICADOS</t>
        </is>
      </c>
      <c r="F120" s="21">
        <f>SUMIFS('MP_MATAFUEGOS_FABRICADOS'!F:F,'MP_MATAFUEGOS_FABRICADOS'!$A:$A,$A120,'MP_MATAFUEGOS_FABRICADOS'!$B:$B,$B120)</f>
        <v/>
      </c>
      <c r="G120" s="21">
        <f>SUMIFS('MP_MATAFUEGOS_FABRICADOS'!G:G,'MP_MATAFUEGOS_FABRICADOS'!$A:$A,$A120,'MP_MATAFUEGOS_FABRICADOS'!$B:$B,$B120)</f>
        <v/>
      </c>
      <c r="H120" s="21">
        <f>SUMIFS('MP_MATAFUEGOS_FABRICADOS'!H:H,'MP_MATAFUEGOS_FABRICADOS'!$A:$A,$A120,'MP_MATAFUEGOS_FABRICADOS'!$B:$B,$B120)</f>
        <v/>
      </c>
      <c r="I120" s="21">
        <f>SUMIFS('MP_MATAFUEGOS_FABRICADOS'!I:I,'MP_MATAFUEGOS_FABRICADOS'!$A:$A,$A120,'MP_MATAFUEGOS_FABRICADOS'!$B:$B,$B120)</f>
        <v/>
      </c>
      <c r="J120" s="21">
        <f>SUMIFS('MP_MATAFUEGOS_FABRICADOS'!J:J,'MP_MATAFUEGOS_FABRICADOS'!$A:$A,$A120,'MP_MATAFUEGOS_FABRICADOS'!$B:$B,$B120)</f>
        <v/>
      </c>
      <c r="K120" s="21">
        <f>SUMIFS('MP_MATAFUEGOS_FABRICADOS'!K:K,'MP_MATAFUEGOS_FABRICADOS'!$A:$A,$A120,'MP_MATAFUEGOS_FABRICADOS'!$B:$B,$B120)</f>
        <v/>
      </c>
      <c r="L120" s="21">
        <f>SUMIFS('MP_MATAFUEGOS_FABRICADOS'!L:L,'MP_MATAFUEGOS_FABRICADOS'!$A:$A,$A120,'MP_MATAFUEGOS_FABRICADOS'!$B:$B,$B120)</f>
        <v/>
      </c>
      <c r="M120" s="21">
        <f>SUMIFS('MP_MATAFUEGOS_FABRICADOS'!M:M,'MP_MATAFUEGOS_FABRICADOS'!$A:$A,$A120,'MP_MATAFUEGOS_FABRICADOS'!$B:$B,$B120)</f>
        <v/>
      </c>
      <c r="N120" s="21">
        <f>SUMIFS('MP_MATAFUEGOS_FABRICADOS'!N:N,'MP_MATAFUEGOS_FABRICADOS'!$A:$A,$A120,'MP_MATAFUEGOS_FABRICADOS'!$B:$B,$B120)</f>
        <v/>
      </c>
      <c r="O120" s="21">
        <f>SUMIFS('MP_MATAFUEGOS_FABRICADOS'!O:O,'MP_MATAFUEGOS_FABRICADOS'!$A:$A,$A120,'MP_MATAFUEGOS_FABRICADOS'!$B:$B,$B120)</f>
        <v/>
      </c>
    </row>
    <row r="121">
      <c r="A121" s="2" t="inlineStr">
        <is>
          <t>Pallet 1200 × 1000 (fracción)</t>
        </is>
      </c>
      <c r="B121" s="2" t="inlineStr">
        <is>
          <t>u</t>
        </is>
      </c>
      <c r="C121" s="2" t="inlineStr">
        <is>
          <t>Embalaje</t>
        </is>
      </c>
      <c r="D121" s="2" t="inlineStr">
        <is>
          <t>IndusPallets</t>
        </is>
      </c>
      <c r="E121" s="2" t="inlineStr">
        <is>
          <t>MP_MATAFUEGOS_FABRICADOS, MP_CILINDROS</t>
        </is>
      </c>
      <c r="F121" s="21">
        <f>SUMIFS('MP_MATAFUEGOS_FABRICADOS'!F:F,'MP_MATAFUEGOS_FABRICADOS'!$A:$A,$A121,'MP_MATAFUEGOS_FABRICADOS'!$B:$B,$B121)+SUMIFS('MP_CILINDROS'!F:F,'MP_CILINDROS'!$A:$A,$A121,'MP_CILINDROS'!$B:$B,$B121)</f>
        <v/>
      </c>
      <c r="G121" s="21">
        <f>SUMIFS('MP_MATAFUEGOS_FABRICADOS'!G:G,'MP_MATAFUEGOS_FABRICADOS'!$A:$A,$A121,'MP_MATAFUEGOS_FABRICADOS'!$B:$B,$B121)+SUMIFS('MP_CILINDROS'!G:G,'MP_CILINDROS'!$A:$A,$A121,'MP_CILINDROS'!$B:$B,$B121)</f>
        <v/>
      </c>
      <c r="H121" s="21">
        <f>SUMIFS('MP_MATAFUEGOS_FABRICADOS'!H:H,'MP_MATAFUEGOS_FABRICADOS'!$A:$A,$A121,'MP_MATAFUEGOS_FABRICADOS'!$B:$B,$B121)+SUMIFS('MP_CILINDROS'!H:H,'MP_CILINDROS'!$A:$A,$A121,'MP_CILINDROS'!$B:$B,$B121)</f>
        <v/>
      </c>
      <c r="I121" s="21">
        <f>SUMIFS('MP_MATAFUEGOS_FABRICADOS'!I:I,'MP_MATAFUEGOS_FABRICADOS'!$A:$A,$A121,'MP_MATAFUEGOS_FABRICADOS'!$B:$B,$B121)+SUMIFS('MP_CILINDROS'!I:I,'MP_CILINDROS'!$A:$A,$A121,'MP_CILINDROS'!$B:$B,$B121)</f>
        <v/>
      </c>
      <c r="J121" s="21">
        <f>SUMIFS('MP_MATAFUEGOS_FABRICADOS'!J:J,'MP_MATAFUEGOS_FABRICADOS'!$A:$A,$A121,'MP_MATAFUEGOS_FABRICADOS'!$B:$B,$B121)+SUMIFS('MP_CILINDROS'!J:J,'MP_CILINDROS'!$A:$A,$A121,'MP_CILINDROS'!$B:$B,$B121)</f>
        <v/>
      </c>
      <c r="K121" s="21">
        <f>SUMIFS('MP_MATAFUEGOS_FABRICADOS'!K:K,'MP_MATAFUEGOS_FABRICADOS'!$A:$A,$A121,'MP_MATAFUEGOS_FABRICADOS'!$B:$B,$B121)+SUMIFS('MP_CILINDROS'!K:K,'MP_CILINDROS'!$A:$A,$A121,'MP_CILINDROS'!$B:$B,$B121)</f>
        <v/>
      </c>
      <c r="L121" s="21">
        <f>SUMIFS('MP_MATAFUEGOS_FABRICADOS'!L:L,'MP_MATAFUEGOS_FABRICADOS'!$A:$A,$A121,'MP_MATAFUEGOS_FABRICADOS'!$B:$B,$B121)+SUMIFS('MP_CILINDROS'!L:L,'MP_CILINDROS'!$A:$A,$A121,'MP_CILINDROS'!$B:$B,$B121)</f>
        <v/>
      </c>
      <c r="M121" s="21">
        <f>SUMIFS('MP_MATAFUEGOS_FABRICADOS'!M:M,'MP_MATAFUEGOS_FABRICADOS'!$A:$A,$A121,'MP_MATAFUEGOS_FABRICADOS'!$B:$B,$B121)+SUMIFS('MP_CILINDROS'!M:M,'MP_CILINDROS'!$A:$A,$A121,'MP_CILINDROS'!$B:$B,$B121)</f>
        <v/>
      </c>
      <c r="N121" s="21">
        <f>SUMIFS('MP_MATAFUEGOS_FABRICADOS'!N:N,'MP_MATAFUEGOS_FABRICADOS'!$A:$A,$A121,'MP_MATAFUEGOS_FABRICADOS'!$B:$B,$B121)+SUMIFS('MP_CILINDROS'!N:N,'MP_CILINDROS'!$A:$A,$A121,'MP_CILINDROS'!$B:$B,$B121)</f>
        <v/>
      </c>
      <c r="O121" s="21">
        <f>SUMIFS('MP_MATAFUEGOS_FABRICADOS'!O:O,'MP_MATAFUEGOS_FABRICADOS'!$A:$A,$A121,'MP_MATAFUEGOS_FABRICADOS'!$B:$B,$B121)+SUMIFS('MP_CILINDROS'!O:O,'MP_CILINDROS'!$A:$A,$A121,'MP_CILINDROS'!$B:$B,$B121)</f>
        <v/>
      </c>
    </row>
    <row r="122">
      <c r="A122" s="2" t="inlineStr">
        <is>
          <t>Separador de capa de cartón 1200 × 1000 (fracción del pallet)</t>
        </is>
      </c>
      <c r="B122" s="2" t="inlineStr">
        <is>
          <t>u</t>
        </is>
      </c>
      <c r="C122" s="2" t="inlineStr">
        <is>
          <t>Embalaje</t>
        </is>
      </c>
      <c r="D122" s="2" t="inlineStr">
        <is>
          <t>Maxipack</t>
        </is>
      </c>
      <c r="E122" s="2" t="inlineStr">
        <is>
          <t>MP_CILINDROS</t>
        </is>
      </c>
      <c r="F122" s="21">
        <f>SUMIFS('MP_CILINDROS'!F:F,'MP_CILINDROS'!$A:$A,$A122,'MP_CILINDROS'!$B:$B,$B122)</f>
        <v/>
      </c>
      <c r="G122" s="21">
        <f>SUMIFS('MP_CILINDROS'!G:G,'MP_CILINDROS'!$A:$A,$A122,'MP_CILINDROS'!$B:$B,$B122)</f>
        <v/>
      </c>
      <c r="H122" s="21">
        <f>SUMIFS('MP_CILINDROS'!H:H,'MP_CILINDROS'!$A:$A,$A122,'MP_CILINDROS'!$B:$B,$B122)</f>
        <v/>
      </c>
      <c r="I122" s="21">
        <f>SUMIFS('MP_CILINDROS'!I:I,'MP_CILINDROS'!$A:$A,$A122,'MP_CILINDROS'!$B:$B,$B122)</f>
        <v/>
      </c>
      <c r="J122" s="21">
        <f>SUMIFS('MP_CILINDROS'!J:J,'MP_CILINDROS'!$A:$A,$A122,'MP_CILINDROS'!$B:$B,$B122)</f>
        <v/>
      </c>
      <c r="K122" s="21">
        <f>SUMIFS('MP_CILINDROS'!K:K,'MP_CILINDROS'!$A:$A,$A122,'MP_CILINDROS'!$B:$B,$B122)</f>
        <v/>
      </c>
      <c r="L122" s="21">
        <f>SUMIFS('MP_CILINDROS'!L:L,'MP_CILINDROS'!$A:$A,$A122,'MP_CILINDROS'!$B:$B,$B122)</f>
        <v/>
      </c>
      <c r="M122" s="21">
        <f>SUMIFS('MP_CILINDROS'!M:M,'MP_CILINDROS'!$A:$A,$A122,'MP_CILINDROS'!$B:$B,$B122)</f>
        <v/>
      </c>
      <c r="N122" s="21">
        <f>SUMIFS('MP_CILINDROS'!N:N,'MP_CILINDROS'!$A:$A,$A122,'MP_CILINDROS'!$B:$B,$B122)</f>
        <v/>
      </c>
      <c r="O122" s="21">
        <f>SUMIFS('MP_CILINDROS'!O:O,'MP_CILINDROS'!$A:$A,$A122,'MP_CILINDROS'!$B:$B,$B122)</f>
        <v/>
      </c>
    </row>
    <row r="123">
      <c r="A123" s="2" t="inlineStr">
        <is>
          <t>Tapón protector de rosca del cuello</t>
        </is>
      </c>
      <c r="B123" s="2" t="inlineStr">
        <is>
          <t>u</t>
        </is>
      </c>
      <c r="C123" s="2" t="inlineStr">
        <is>
          <t>Embalaje</t>
        </is>
      </c>
      <c r="D123" s="2" t="inlineStr">
        <is>
          <t>-</t>
        </is>
      </c>
      <c r="E123" s="2" t="inlineStr">
        <is>
          <t>MP_CILINDROS</t>
        </is>
      </c>
      <c r="F123" s="21">
        <f>SUMIFS('MP_CILINDROS'!F:F,'MP_CILINDROS'!$A:$A,$A123,'MP_CILINDROS'!$B:$B,$B123)</f>
        <v/>
      </c>
      <c r="G123" s="21">
        <f>SUMIFS('MP_CILINDROS'!G:G,'MP_CILINDROS'!$A:$A,$A123,'MP_CILINDROS'!$B:$B,$B123)</f>
        <v/>
      </c>
      <c r="H123" s="21">
        <f>SUMIFS('MP_CILINDROS'!H:H,'MP_CILINDROS'!$A:$A,$A123,'MP_CILINDROS'!$B:$B,$B123)</f>
        <v/>
      </c>
      <c r="I123" s="21">
        <f>SUMIFS('MP_CILINDROS'!I:I,'MP_CILINDROS'!$A:$A,$A123,'MP_CILINDROS'!$B:$B,$B123)</f>
        <v/>
      </c>
      <c r="J123" s="21">
        <f>SUMIFS('MP_CILINDROS'!J:J,'MP_CILINDROS'!$A:$A,$A123,'MP_CILINDROS'!$B:$B,$B123)</f>
        <v/>
      </c>
      <c r="K123" s="21">
        <f>SUMIFS('MP_CILINDROS'!K:K,'MP_CILINDROS'!$A:$A,$A123,'MP_CILINDROS'!$B:$B,$B123)</f>
        <v/>
      </c>
      <c r="L123" s="21">
        <f>SUMIFS('MP_CILINDROS'!L:L,'MP_CILINDROS'!$A:$A,$A123,'MP_CILINDROS'!$B:$B,$B123)</f>
        <v/>
      </c>
      <c r="M123" s="21">
        <f>SUMIFS('MP_CILINDROS'!M:M,'MP_CILINDROS'!$A:$A,$A123,'MP_CILINDROS'!$B:$B,$B123)</f>
        <v/>
      </c>
      <c r="N123" s="21">
        <f>SUMIFS('MP_CILINDROS'!N:N,'MP_CILINDROS'!$A:$A,$A123,'MP_CILINDROS'!$B:$B,$B123)</f>
        <v/>
      </c>
      <c r="O123" s="21">
        <f>SUMIFS('MP_CILINDROS'!O:O,'MP_CILINDROS'!$A:$A,$A123,'MP_CILINDROS'!$B:$B,$B123)</f>
        <v/>
      </c>
    </row>
    <row r="124">
      <c r="A124" s="2" t="inlineStr">
        <is>
          <t>Equipo terminado comprado (fabricante con Sello IRAM): FL_MAT_AFFF_10l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FL_MAT_AFFF_50l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Equipo terminado comprado (fabricante con Sello IRAM): FL_MAT_AGUA_10l</t>
        </is>
      </c>
      <c r="B126" s="2" t="inlineStr">
        <is>
          <t>u</t>
        </is>
      </c>
      <c r="C126" s="2" t="inlineStr">
        <is>
          <t>Equipo terminado comprado</t>
        </is>
      </c>
      <c r="D126" s="2" t="inlineStr">
        <is>
          <t>Matafuegos Georgia - venta mayorista</t>
        </is>
      </c>
      <c r="E126" s="2" t="inlineStr">
        <is>
          <t>MP_MATAFUEGOS_REVENDIDOS</t>
        </is>
      </c>
      <c r="F126" s="21">
        <f>SUMIFS('MP_MATAFUEGOS_REVENDIDOS'!F:F,'MP_MATAFUEGOS_REVENDIDOS'!$A:$A,$A126,'MP_MATAFUEGOS_REVENDIDOS'!$B:$B,$B126)</f>
        <v/>
      </c>
      <c r="G126" s="21">
        <f>SUMIFS('MP_MATAFUEGOS_REVENDIDOS'!G:G,'MP_MATAFUEGOS_REVENDIDOS'!$A:$A,$A126,'MP_MATAFUEGOS_REVENDIDOS'!$B:$B,$B126)</f>
        <v/>
      </c>
      <c r="H126" s="21">
        <f>SUMIFS('MP_MATAFUEGOS_REVENDIDOS'!H:H,'MP_MATAFUEGOS_REVENDIDOS'!$A:$A,$A126,'MP_MATAFUEGOS_REVENDIDOS'!$B:$B,$B126)</f>
        <v/>
      </c>
      <c r="I126" s="21">
        <f>SUMIFS('MP_MATAFUEGOS_REVENDIDOS'!I:I,'MP_MATAFUEGOS_REVENDIDOS'!$A:$A,$A126,'MP_MATAFUEGOS_REVENDIDOS'!$B:$B,$B126)</f>
        <v/>
      </c>
      <c r="J126" s="21">
        <f>SUMIFS('MP_MATAFUEGOS_REVENDIDOS'!J:J,'MP_MATAFUEGOS_REVENDIDOS'!$A:$A,$A126,'MP_MATAFUEGOS_REVENDIDOS'!$B:$B,$B126)</f>
        <v/>
      </c>
      <c r="K126" s="21">
        <f>SUMIFS('MP_MATAFUEGOS_REVENDIDOS'!K:K,'MP_MATAFUEGOS_REVENDIDOS'!$A:$A,$A126,'MP_MATAFUEGOS_REVENDIDOS'!$B:$B,$B126)</f>
        <v/>
      </c>
      <c r="L126" s="21">
        <f>SUMIFS('MP_MATAFUEGOS_REVENDIDOS'!L:L,'MP_MATAFUEGOS_REVENDIDOS'!$A:$A,$A126,'MP_MATAFUEGOS_REVENDIDOS'!$B:$B,$B126)</f>
        <v/>
      </c>
      <c r="M126" s="21">
        <f>SUMIFS('MP_MATAFUEGOS_REVENDIDOS'!M:M,'MP_MATAFUEGOS_REVENDIDOS'!$A:$A,$A126,'MP_MATAFUEGOS_REVENDIDOS'!$B:$B,$B126)</f>
        <v/>
      </c>
      <c r="N126" s="21">
        <f>SUMIFS('MP_MATAFUEGOS_REVENDIDOS'!N:N,'MP_MATAFUEGOS_REVENDIDOS'!$A:$A,$A126,'MP_MATAFUEGOS_REVENDIDOS'!$B:$B,$B126)</f>
        <v/>
      </c>
      <c r="O126" s="21">
        <f>SUMIFS('MP_MATAFUEGOS_REVENDIDOS'!O:O,'MP_MATAFUEGOS_REVENDIDOS'!$A:$A,$A126,'MP_MATAFUEGOS_REVENDIDOS'!$B:$B,$B126)</f>
        <v/>
      </c>
    </row>
    <row r="127">
      <c r="A127" s="2" t="inlineStr">
        <is>
          <t>Equipo terminado comprado (fabricante con Sello IRAM): FL_MAT_BC_5kg</t>
        </is>
      </c>
      <c r="B127" s="2" t="inlineStr">
        <is>
          <t>u</t>
        </is>
      </c>
      <c r="C127" s="2" t="inlineStr">
        <is>
          <t>Equipo terminado comprado</t>
        </is>
      </c>
      <c r="D127" s="2" t="inlineStr">
        <is>
          <t>Matafuegos Georgia - venta mayorista</t>
        </is>
      </c>
      <c r="E127" s="2" t="inlineStr">
        <is>
          <t>MP_MATAFUEGOS_REVENDIDOS</t>
        </is>
      </c>
      <c r="F127" s="21">
        <f>SUMIFS('MP_MATAFUEGOS_REVENDIDOS'!F:F,'MP_MATAFUEGOS_REVENDIDOS'!$A:$A,$A127,'MP_MATAFUEGOS_REVENDIDOS'!$B:$B,$B127)</f>
        <v/>
      </c>
      <c r="G127" s="21">
        <f>SUMIFS('MP_MATAFUEGOS_REVENDIDOS'!G:G,'MP_MATAFUEGOS_REVENDIDOS'!$A:$A,$A127,'MP_MATAFUEGOS_REVENDIDOS'!$B:$B,$B127)</f>
        <v/>
      </c>
      <c r="H127" s="21">
        <f>SUMIFS('MP_MATAFUEGOS_REVENDIDOS'!H:H,'MP_MATAFUEGOS_REVENDIDOS'!$A:$A,$A127,'MP_MATAFUEGOS_REVENDIDOS'!$B:$B,$B127)</f>
        <v/>
      </c>
      <c r="I127" s="21">
        <f>SUMIFS('MP_MATAFUEGOS_REVENDIDOS'!I:I,'MP_MATAFUEGOS_REVENDIDOS'!$A:$A,$A127,'MP_MATAFUEGOS_REVENDIDOS'!$B:$B,$B127)</f>
        <v/>
      </c>
      <c r="J127" s="21">
        <f>SUMIFS('MP_MATAFUEGOS_REVENDIDOS'!J:J,'MP_MATAFUEGOS_REVENDIDOS'!$A:$A,$A127,'MP_MATAFUEGOS_REVENDIDOS'!$B:$B,$B127)</f>
        <v/>
      </c>
      <c r="K127" s="21">
        <f>SUMIFS('MP_MATAFUEGOS_REVENDIDOS'!K:K,'MP_MATAFUEGOS_REVENDIDOS'!$A:$A,$A127,'MP_MATAFUEGOS_REVENDIDOS'!$B:$B,$B127)</f>
        <v/>
      </c>
      <c r="L127" s="21">
        <f>SUMIFS('MP_MATAFUEGOS_REVENDIDOS'!L:L,'MP_MATAFUEGOS_REVENDIDOS'!$A:$A,$A127,'MP_MATAFUEGOS_REVENDIDOS'!$B:$B,$B127)</f>
        <v/>
      </c>
      <c r="M127" s="21">
        <f>SUMIFS('MP_MATAFUEGOS_REVENDIDOS'!M:M,'MP_MATAFUEGOS_REVENDIDOS'!$A:$A,$A127,'MP_MATAFUEGOS_REVENDIDOS'!$B:$B,$B127)</f>
        <v/>
      </c>
      <c r="N127" s="21">
        <f>SUMIFS('MP_MATAFUEGOS_REVENDIDOS'!N:N,'MP_MATAFUEGOS_REVENDIDOS'!$A:$A,$A127,'MP_MATAFUEGOS_REVENDIDOS'!$B:$B,$B127)</f>
        <v/>
      </c>
      <c r="O127" s="21">
        <f>SUMIFS('MP_MATAFUEGOS_REVENDIDOS'!O:O,'MP_MATAFUEGOS_REVENDIDOS'!$A:$A,$A127,'MP_MATAFUEGOS_REVENDIDOS'!$B:$B,$B127)</f>
        <v/>
      </c>
    </row>
    <row r="128">
      <c r="A128" s="2" t="inlineStr">
        <is>
          <t>Equipo terminado comprado (fabricante con Sello IRAM): FL_MAT_CLASED_9l</t>
        </is>
      </c>
      <c r="B128" s="2" t="inlineStr">
        <is>
          <t>u</t>
        </is>
      </c>
      <c r="C128" s="2" t="inlineStr">
        <is>
          <t>Equipo terminado comprado</t>
        </is>
      </c>
      <c r="D128" s="2" t="inlineStr">
        <is>
          <t>Matafuegos Georgia - venta mayorista</t>
        </is>
      </c>
      <c r="E128" s="2" t="inlineStr">
        <is>
          <t>MP_MATAFUEGOS_REVENDIDOS</t>
        </is>
      </c>
      <c r="F128" s="21">
        <f>SUMIFS('MP_MATAFUEGOS_REVENDIDOS'!F:F,'MP_MATAFUEGOS_REVENDIDOS'!$A:$A,$A128,'MP_MATAFUEGOS_REVENDIDOS'!$B:$B,$B128)</f>
        <v/>
      </c>
      <c r="G128" s="21">
        <f>SUMIFS('MP_MATAFUEGOS_REVENDIDOS'!G:G,'MP_MATAFUEGOS_REVENDIDOS'!$A:$A,$A128,'MP_MATAFUEGOS_REVENDIDOS'!$B:$B,$B128)</f>
        <v/>
      </c>
      <c r="H128" s="21">
        <f>SUMIFS('MP_MATAFUEGOS_REVENDIDOS'!H:H,'MP_MATAFUEGOS_REVENDIDOS'!$A:$A,$A128,'MP_MATAFUEGOS_REVENDIDOS'!$B:$B,$B128)</f>
        <v/>
      </c>
      <c r="I128" s="21">
        <f>SUMIFS('MP_MATAFUEGOS_REVENDIDOS'!I:I,'MP_MATAFUEGOS_REVENDIDOS'!$A:$A,$A128,'MP_MATAFUEGOS_REVENDIDOS'!$B:$B,$B128)</f>
        <v/>
      </c>
      <c r="J128" s="21">
        <f>SUMIFS('MP_MATAFUEGOS_REVENDIDOS'!J:J,'MP_MATAFUEGOS_REVENDIDOS'!$A:$A,$A128,'MP_MATAFUEGOS_REVENDIDOS'!$B:$B,$B128)</f>
        <v/>
      </c>
      <c r="K128" s="21">
        <f>SUMIFS('MP_MATAFUEGOS_REVENDIDOS'!K:K,'MP_MATAFUEGOS_REVENDIDOS'!$A:$A,$A128,'MP_MATAFUEGOS_REVENDIDOS'!$B:$B,$B128)</f>
        <v/>
      </c>
      <c r="L128" s="21">
        <f>SUMIFS('MP_MATAFUEGOS_REVENDIDOS'!L:L,'MP_MATAFUEGOS_REVENDIDOS'!$A:$A,$A128,'MP_MATAFUEGOS_REVENDIDOS'!$B:$B,$B128)</f>
        <v/>
      </c>
      <c r="M128" s="21">
        <f>SUMIFS('MP_MATAFUEGOS_REVENDIDOS'!M:M,'MP_MATAFUEGOS_REVENDIDOS'!$A:$A,$A128,'MP_MATAFUEGOS_REVENDIDOS'!$B:$B,$B128)</f>
        <v/>
      </c>
      <c r="N128" s="21">
        <f>SUMIFS('MP_MATAFUEGOS_REVENDIDOS'!N:N,'MP_MATAFUEGOS_REVENDIDOS'!$A:$A,$A128,'MP_MATAFUEGOS_REVENDIDOS'!$B:$B,$B128)</f>
        <v/>
      </c>
      <c r="O128" s="21">
        <f>SUMIFS('MP_MATAFUEGOS_REVENDIDOS'!O:O,'MP_MATAFUEGOS_REVENDIDOS'!$A:$A,$A128,'MP_MATAFUEGOS_REVENDIDOS'!$B:$B,$B128)</f>
        <v/>
      </c>
    </row>
    <row r="129">
      <c r="A129" s="2" t="inlineStr">
        <is>
          <t>Equipo terminado comprado (fabricante con Sello IRAM): FL_MAT_CO2_2kg</t>
        </is>
      </c>
      <c r="B129" s="2" t="inlineStr">
        <is>
          <t>u</t>
        </is>
      </c>
      <c r="C129" s="2" t="inlineStr">
        <is>
          <t>Equipo terminado comprado</t>
        </is>
      </c>
      <c r="D129" s="2" t="inlineStr">
        <is>
          <t>Mozart S.R.L.</t>
        </is>
      </c>
      <c r="E129" s="2" t="inlineStr">
        <is>
          <t>MP_MATAFUEGOS_REVENDIDOS</t>
        </is>
      </c>
      <c r="F129" s="21">
        <f>SUMIFS('MP_MATAFUEGOS_REVENDIDOS'!F:F,'MP_MATAFUEGOS_REVENDIDOS'!$A:$A,$A129,'MP_MATAFUEGOS_REVENDIDOS'!$B:$B,$B129)</f>
        <v/>
      </c>
      <c r="G129" s="21">
        <f>SUMIFS('MP_MATAFUEGOS_REVENDIDOS'!G:G,'MP_MATAFUEGOS_REVENDIDOS'!$A:$A,$A129,'MP_MATAFUEGOS_REVENDIDOS'!$B:$B,$B129)</f>
        <v/>
      </c>
      <c r="H129" s="21">
        <f>SUMIFS('MP_MATAFUEGOS_REVENDIDOS'!H:H,'MP_MATAFUEGOS_REVENDIDOS'!$A:$A,$A129,'MP_MATAFUEGOS_REVENDIDOS'!$B:$B,$B129)</f>
        <v/>
      </c>
      <c r="I129" s="21">
        <f>SUMIFS('MP_MATAFUEGOS_REVENDIDOS'!I:I,'MP_MATAFUEGOS_REVENDIDOS'!$A:$A,$A129,'MP_MATAFUEGOS_REVENDIDOS'!$B:$B,$B129)</f>
        <v/>
      </c>
      <c r="J129" s="21">
        <f>SUMIFS('MP_MATAFUEGOS_REVENDIDOS'!J:J,'MP_MATAFUEGOS_REVENDIDOS'!$A:$A,$A129,'MP_MATAFUEGOS_REVENDIDOS'!$B:$B,$B129)</f>
        <v/>
      </c>
      <c r="K129" s="21">
        <f>SUMIFS('MP_MATAFUEGOS_REVENDIDOS'!K:K,'MP_MATAFUEGOS_REVENDIDOS'!$A:$A,$A129,'MP_MATAFUEGOS_REVENDIDOS'!$B:$B,$B129)</f>
        <v/>
      </c>
      <c r="L129" s="21">
        <f>SUMIFS('MP_MATAFUEGOS_REVENDIDOS'!L:L,'MP_MATAFUEGOS_REVENDIDOS'!$A:$A,$A129,'MP_MATAFUEGOS_REVENDIDOS'!$B:$B,$B129)</f>
        <v/>
      </c>
      <c r="M129" s="21">
        <f>SUMIFS('MP_MATAFUEGOS_REVENDIDOS'!M:M,'MP_MATAFUEGOS_REVENDIDOS'!$A:$A,$A129,'MP_MATAFUEGOS_REVENDIDOS'!$B:$B,$B129)</f>
        <v/>
      </c>
      <c r="N129" s="21">
        <f>SUMIFS('MP_MATAFUEGOS_REVENDIDOS'!N:N,'MP_MATAFUEGOS_REVENDIDOS'!$A:$A,$A129,'MP_MATAFUEGOS_REVENDIDOS'!$B:$B,$B129)</f>
        <v/>
      </c>
      <c r="O129" s="21">
        <f>SUMIFS('MP_MATAFUEGOS_REVENDIDOS'!O:O,'MP_MATAFUEGOS_REVENDIDOS'!$A:$A,$A129,'MP_MATAFUEGOS_REVENDIDOS'!$B:$B,$B129)</f>
        <v/>
      </c>
    </row>
    <row r="130">
      <c r="A130" s="2" t="inlineStr">
        <is>
          <t>Equipo terminado comprado (fabricante con Sello IRAM): FL_MAT_CO2_5kg</t>
        </is>
      </c>
      <c r="B130" s="2" t="inlineStr">
        <is>
          <t>u</t>
        </is>
      </c>
      <c r="C130" s="2" t="inlineStr">
        <is>
          <t>Equipo terminado comprado</t>
        </is>
      </c>
      <c r="D130" s="2" t="inlineStr">
        <is>
          <t>Mozart S.R.L.</t>
        </is>
      </c>
      <c r="E130" s="2" t="inlineStr">
        <is>
          <t>MP_MATAFUEGOS_REVENDIDOS</t>
        </is>
      </c>
      <c r="F130" s="21">
        <f>SUMIFS('MP_MATAFUEGOS_REVENDIDOS'!F:F,'MP_MATAFUEGOS_REVENDIDOS'!$A:$A,$A130,'MP_MATAFUEGOS_REVENDIDOS'!$B:$B,$B130)</f>
        <v/>
      </c>
      <c r="G130" s="21">
        <f>SUMIFS('MP_MATAFUEGOS_REVENDIDOS'!G:G,'MP_MATAFUEGOS_REVENDIDOS'!$A:$A,$A130,'MP_MATAFUEGOS_REVENDIDOS'!$B:$B,$B130)</f>
        <v/>
      </c>
      <c r="H130" s="21">
        <f>SUMIFS('MP_MATAFUEGOS_REVENDIDOS'!H:H,'MP_MATAFUEGOS_REVENDIDOS'!$A:$A,$A130,'MP_MATAFUEGOS_REVENDIDOS'!$B:$B,$B130)</f>
        <v/>
      </c>
      <c r="I130" s="21">
        <f>SUMIFS('MP_MATAFUEGOS_REVENDIDOS'!I:I,'MP_MATAFUEGOS_REVENDIDOS'!$A:$A,$A130,'MP_MATAFUEGOS_REVENDIDOS'!$B:$B,$B130)</f>
        <v/>
      </c>
      <c r="J130" s="21">
        <f>SUMIFS('MP_MATAFUEGOS_REVENDIDOS'!J:J,'MP_MATAFUEGOS_REVENDIDOS'!$A:$A,$A130,'MP_MATAFUEGOS_REVENDIDOS'!$B:$B,$B130)</f>
        <v/>
      </c>
      <c r="K130" s="21">
        <f>SUMIFS('MP_MATAFUEGOS_REVENDIDOS'!K:K,'MP_MATAFUEGOS_REVENDIDOS'!$A:$A,$A130,'MP_MATAFUEGOS_REVENDIDOS'!$B:$B,$B130)</f>
        <v/>
      </c>
      <c r="L130" s="21">
        <f>SUMIFS('MP_MATAFUEGOS_REVENDIDOS'!L:L,'MP_MATAFUEGOS_REVENDIDOS'!$A:$A,$A130,'MP_MATAFUEGOS_REVENDIDOS'!$B:$B,$B130)</f>
        <v/>
      </c>
      <c r="M130" s="21">
        <f>SUMIFS('MP_MATAFUEGOS_REVENDIDOS'!M:M,'MP_MATAFUEGOS_REVENDIDOS'!$A:$A,$A130,'MP_MATAFUEGOS_REVENDIDOS'!$B:$B,$B130)</f>
        <v/>
      </c>
      <c r="N130" s="21">
        <f>SUMIFS('MP_MATAFUEGOS_REVENDIDOS'!N:N,'MP_MATAFUEGOS_REVENDIDOS'!$A:$A,$A130,'MP_MATAFUEGOS_REVENDIDOS'!$B:$B,$B130)</f>
        <v/>
      </c>
      <c r="O130" s="21">
        <f>SUMIFS('MP_MATAFUEGOS_REVENDIDOS'!O:O,'MP_MATAFUEGOS_REVENDIDOS'!$A:$A,$A130,'MP_MATAFUEGOS_REVENDIDOS'!$B:$B,$B130)</f>
        <v/>
      </c>
    </row>
    <row r="131">
      <c r="A131" s="2" t="inlineStr">
        <is>
          <t>Equipo terminado comprado (fabricante con Sello IRAM): FL_MAT_HCFC-HFC_5kg</t>
        </is>
      </c>
      <c r="B131" s="2" t="inlineStr">
        <is>
          <t>u</t>
        </is>
      </c>
      <c r="C131" s="2" t="inlineStr">
        <is>
          <t>Equipo terminado comprado</t>
        </is>
      </c>
      <c r="D131" s="2" t="inlineStr">
        <is>
          <t>Matafuegos Georgia - venta mayorista</t>
        </is>
      </c>
      <c r="E131" s="2" t="inlineStr">
        <is>
          <t>MP_MATAFUEGOS_REVENDIDOS</t>
        </is>
      </c>
      <c r="F131" s="21">
        <f>SUMIFS('MP_MATAFUEGOS_REVENDIDOS'!F:F,'MP_MATAFUEGOS_REVENDIDOS'!$A:$A,$A131,'MP_MATAFUEGOS_REVENDIDOS'!$B:$B,$B131)</f>
        <v/>
      </c>
      <c r="G131" s="21">
        <f>SUMIFS('MP_MATAFUEGOS_REVENDIDOS'!G:G,'MP_MATAFUEGOS_REVENDIDOS'!$A:$A,$A131,'MP_MATAFUEGOS_REVENDIDOS'!$B:$B,$B131)</f>
        <v/>
      </c>
      <c r="H131" s="21">
        <f>SUMIFS('MP_MATAFUEGOS_REVENDIDOS'!H:H,'MP_MATAFUEGOS_REVENDIDOS'!$A:$A,$A131,'MP_MATAFUEGOS_REVENDIDOS'!$B:$B,$B131)</f>
        <v/>
      </c>
      <c r="I131" s="21">
        <f>SUMIFS('MP_MATAFUEGOS_REVENDIDOS'!I:I,'MP_MATAFUEGOS_REVENDIDOS'!$A:$A,$A131,'MP_MATAFUEGOS_REVENDIDOS'!$B:$B,$B131)</f>
        <v/>
      </c>
      <c r="J131" s="21">
        <f>SUMIFS('MP_MATAFUEGOS_REVENDIDOS'!J:J,'MP_MATAFUEGOS_REVENDIDOS'!$A:$A,$A131,'MP_MATAFUEGOS_REVENDIDOS'!$B:$B,$B131)</f>
        <v/>
      </c>
      <c r="K131" s="21">
        <f>SUMIFS('MP_MATAFUEGOS_REVENDIDOS'!K:K,'MP_MATAFUEGOS_REVENDIDOS'!$A:$A,$A131,'MP_MATAFUEGOS_REVENDIDOS'!$B:$B,$B131)</f>
        <v/>
      </c>
      <c r="L131" s="21">
        <f>SUMIFS('MP_MATAFUEGOS_REVENDIDOS'!L:L,'MP_MATAFUEGOS_REVENDIDOS'!$A:$A,$A131,'MP_MATAFUEGOS_REVENDIDOS'!$B:$B,$B131)</f>
        <v/>
      </c>
      <c r="M131" s="21">
        <f>SUMIFS('MP_MATAFUEGOS_REVENDIDOS'!M:M,'MP_MATAFUEGOS_REVENDIDOS'!$A:$A,$A131,'MP_MATAFUEGOS_REVENDIDOS'!$B:$B,$B131)</f>
        <v/>
      </c>
      <c r="N131" s="21">
        <f>SUMIFS('MP_MATAFUEGOS_REVENDIDOS'!N:N,'MP_MATAFUEGOS_REVENDIDOS'!$A:$A,$A131,'MP_MATAFUEGOS_REVENDIDOS'!$B:$B,$B131)</f>
        <v/>
      </c>
      <c r="O131" s="21">
        <f>SUMIFS('MP_MATAFUEGOS_REVENDIDOS'!O:O,'MP_MATAFUEGOS_REVENDIDOS'!$A:$A,$A131,'MP_MATAFUEGOS_REVENDIDOS'!$B:$B,$B131)</f>
        <v/>
      </c>
    </row>
    <row r="132">
      <c r="A132" s="2" t="inlineStr">
        <is>
          <t>Equipo terminado comprado (fabricante con Sello IRAM): FL_MAT_SALESK_6l</t>
        </is>
      </c>
      <c r="B132" s="2" t="inlineStr">
        <is>
          <t>u</t>
        </is>
      </c>
      <c r="C132" s="2" t="inlineStr">
        <is>
          <t>Equipo terminado comprado</t>
        </is>
      </c>
      <c r="D132" s="2" t="inlineStr">
        <is>
          <t>Matafuegos Georgia - venta mayorista</t>
        </is>
      </c>
      <c r="E132" s="2" t="inlineStr">
        <is>
          <t>MP_MATAFUEGOS_REVENDIDOS</t>
        </is>
      </c>
      <c r="F132" s="21">
        <f>SUMIFS('MP_MATAFUEGOS_REVENDIDOS'!F:F,'MP_MATAFUEGOS_REVENDIDOS'!$A:$A,$A132,'MP_MATAFUEGOS_REVENDIDOS'!$B:$B,$B132)</f>
        <v/>
      </c>
      <c r="G132" s="21">
        <f>SUMIFS('MP_MATAFUEGOS_REVENDIDOS'!G:G,'MP_MATAFUEGOS_REVENDIDOS'!$A:$A,$A132,'MP_MATAFUEGOS_REVENDIDOS'!$B:$B,$B132)</f>
        <v/>
      </c>
      <c r="H132" s="21">
        <f>SUMIFS('MP_MATAFUEGOS_REVENDIDOS'!H:H,'MP_MATAFUEGOS_REVENDIDOS'!$A:$A,$A132,'MP_MATAFUEGOS_REVENDIDOS'!$B:$B,$B132)</f>
        <v/>
      </c>
      <c r="I132" s="21">
        <f>SUMIFS('MP_MATAFUEGOS_REVENDIDOS'!I:I,'MP_MATAFUEGOS_REVENDIDOS'!$A:$A,$A132,'MP_MATAFUEGOS_REVENDIDOS'!$B:$B,$B132)</f>
        <v/>
      </c>
      <c r="J132" s="21">
        <f>SUMIFS('MP_MATAFUEGOS_REVENDIDOS'!J:J,'MP_MATAFUEGOS_REVENDIDOS'!$A:$A,$A132,'MP_MATAFUEGOS_REVENDIDOS'!$B:$B,$B132)</f>
        <v/>
      </c>
      <c r="K132" s="21">
        <f>SUMIFS('MP_MATAFUEGOS_REVENDIDOS'!K:K,'MP_MATAFUEGOS_REVENDIDOS'!$A:$A,$A132,'MP_MATAFUEGOS_REVENDIDOS'!$B:$B,$B132)</f>
        <v/>
      </c>
      <c r="L132" s="21">
        <f>SUMIFS('MP_MATAFUEGOS_REVENDIDOS'!L:L,'MP_MATAFUEGOS_REVENDIDOS'!$A:$A,$A132,'MP_MATAFUEGOS_REVENDIDOS'!$B:$B,$B132)</f>
        <v/>
      </c>
      <c r="M132" s="21">
        <f>SUMIFS('MP_MATAFUEGOS_REVENDIDOS'!M:M,'MP_MATAFUEGOS_REVENDIDOS'!$A:$A,$A132,'MP_MATAFUEGOS_REVENDIDOS'!$B:$B,$B132)</f>
        <v/>
      </c>
      <c r="N132" s="21">
        <f>SUMIFS('MP_MATAFUEGOS_REVENDIDOS'!N:N,'MP_MATAFUEGOS_REVENDIDOS'!$A:$A,$A132,'MP_MATAFUEGOS_REVENDIDOS'!$B:$B,$B132)</f>
        <v/>
      </c>
      <c r="O132" s="21">
        <f>SUMIFS('MP_MATAFUEGOS_REVENDIDOS'!O:O,'MP_MATAFUEGOS_REVENDIDOS'!$A:$A,$A132,'MP_MATAFUEGOS_REVENDIDOS'!$B:$B,$B132)</f>
        <v/>
      </c>
    </row>
    <row r="133">
      <c r="A133" s="2" t="inlineStr">
        <is>
          <t>Acetato de potasio - DEMSA Kitchen (IRAM 3697)</t>
        </is>
      </c>
      <c r="B133" s="2" t="inlineStr">
        <is>
          <t>L</t>
        </is>
      </c>
      <c r="C133" s="2" t="inlineStr">
        <is>
          <t>Recarga y mantenimiento</t>
        </is>
      </c>
      <c r="D133" s="2" t="inlineStr">
        <is>
          <t>Polvex S.R.L. / Sancibrao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Concentrado espumígeno AFFF 3 % (IRAM 3515)</t>
        </is>
      </c>
      <c r="B134" s="2" t="inlineStr">
        <is>
          <t>L</t>
        </is>
      </c>
      <c r="C134" s="2" t="inlineStr">
        <is>
          <t>Recarga y mantenimiento</t>
        </is>
      </c>
      <c r="D134" s="2" t="inlineStr">
        <is>
          <t>DEM S.A. (DEMSA)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Disco de seguridad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Polvex S.R.L. / Sancibrao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Dióxido de carbono (IRAM 41170)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Air Liquide Argentina - sucursal Piñeyro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Etiqueta de servicio del recargador (extintor n°, serie, próxima recarga y PH)</t>
        </is>
      </c>
      <c r="B137" s="2" t="inlineStr">
        <is>
          <t>u</t>
        </is>
      </c>
      <c r="C137" s="2" t="inlineStr">
        <is>
          <t>Recarga y mantenimiento</t>
        </is>
      </c>
      <c r="D137" s="2" t="inlineStr">
        <is>
          <t>Astuprint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Gas impulsor: Argón</t>
        </is>
      </c>
      <c r="B138" s="2" t="inlineStr">
        <is>
          <t>kg</t>
        </is>
      </c>
      <c r="C138" s="2" t="inlineStr">
        <is>
          <t>Recarga y mantenimiento</t>
        </is>
      </c>
      <c r="D138" s="2" t="inlineStr">
        <is>
          <t>Air Liquide Argentina - sucursal Piñeyro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HCFC 123 / HFC 236fa (agente limpio)</t>
        </is>
      </c>
      <c r="B139" s="2" t="inlineStr">
        <is>
          <t>kg</t>
        </is>
      </c>
      <c r="C139" s="2" t="inlineStr">
        <is>
          <t>Recarga y mantenimiento</t>
        </is>
      </c>
      <c r="D139" s="2" t="inlineStr">
        <is>
          <t>-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Junta tórica de asiento del cuello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Argensold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  <row r="141">
      <c r="A141" s="2" t="inlineStr">
        <is>
          <t>Marbete (anillo, color del año)</t>
        </is>
      </c>
      <c r="B141" s="2" t="inlineStr">
        <is>
          <t>u</t>
        </is>
      </c>
      <c r="C141" s="2" t="inlineStr">
        <is>
          <t>Recarga y mantenimiento</t>
        </is>
      </c>
      <c r="D141" s="2" t="inlineStr">
        <is>
          <t>Astuprint</t>
        </is>
      </c>
      <c r="E141" s="2" t="inlineStr">
        <is>
          <t>MP_RECARGAS</t>
        </is>
      </c>
      <c r="F141" s="21">
        <f>SUMIFS('MP_RECARGAS'!F:F,'MP_RECARGAS'!$A:$A,$A141,'MP_RECARGAS'!$B:$B,$B141)</f>
        <v/>
      </c>
      <c r="G141" s="21">
        <f>SUMIFS('MP_RECARGAS'!G:G,'MP_RECARGAS'!$A:$A,$A141,'MP_RECARGAS'!$B:$B,$B141)</f>
        <v/>
      </c>
      <c r="H141" s="21">
        <f>SUMIFS('MP_RECARGAS'!H:H,'MP_RECARGAS'!$A:$A,$A141,'MP_RECARGAS'!$B:$B,$B141)</f>
        <v/>
      </c>
      <c r="I141" s="21">
        <f>SUMIFS('MP_RECARGAS'!I:I,'MP_RECARGAS'!$A:$A,$A141,'MP_RECARGAS'!$B:$B,$B141)</f>
        <v/>
      </c>
      <c r="J141" s="21">
        <f>SUMIFS('MP_RECARGAS'!J:J,'MP_RECARGAS'!$A:$A,$A141,'MP_RECARGAS'!$B:$B,$B141)</f>
        <v/>
      </c>
      <c r="K141" s="21">
        <f>SUMIFS('MP_RECARGAS'!K:K,'MP_RECARGAS'!$A:$A,$A141,'MP_RECARGAS'!$B:$B,$B141)</f>
        <v/>
      </c>
      <c r="L141" s="21">
        <f>SUMIFS('MP_RECARGAS'!L:L,'MP_RECARGAS'!$A:$A,$A141,'MP_RECARGAS'!$B:$B,$B141)</f>
        <v/>
      </c>
      <c r="M141" s="21">
        <f>SUMIFS('MP_RECARGAS'!M:M,'MP_RECARGAS'!$A:$A,$A141,'MP_RECARGAS'!$B:$B,$B141)</f>
        <v/>
      </c>
      <c r="N141" s="21">
        <f>SUMIFS('MP_RECARGAS'!N:N,'MP_RECARGAS'!$A:$A,$A141,'MP_RECARGAS'!$B:$B,$B141)</f>
        <v/>
      </c>
      <c r="O141" s="21">
        <f>SUMIFS('MP_RECARGAS'!O:O,'MP_RECARGAS'!$A:$A,$A141,'MP_RECARGAS'!$B:$B,$B141)</f>
        <v/>
      </c>
    </row>
    <row r="142">
      <c r="A142" s="2" t="inlineStr">
        <is>
          <t>Oblea PBA de recarga Ø46 + estampilla precinto 1" × 200 mm válvula-cuerpo</t>
        </is>
      </c>
      <c r="B142" s="2" t="inlineStr">
        <is>
          <t>u</t>
        </is>
      </c>
      <c r="C142" s="2" t="inlineStr">
        <is>
          <t>Recarga y mantenimiento</t>
        </is>
      </c>
      <c r="D142" s="2" t="inlineStr">
        <is>
          <t>Ministerio de Ambiente PBA (ex OPDS)</t>
        </is>
      </c>
      <c r="E142" s="2" t="inlineStr">
        <is>
          <t>MP_RECARGAS</t>
        </is>
      </c>
      <c r="F142" s="21">
        <f>SUMIFS('MP_RECARGAS'!F:F,'MP_RECARGAS'!$A:$A,$A142,'MP_RECARGAS'!$B:$B,$B142)</f>
        <v/>
      </c>
      <c r="G142" s="21">
        <f>SUMIFS('MP_RECARGAS'!G:G,'MP_RECARGAS'!$A:$A,$A142,'MP_RECARGAS'!$B:$B,$B142)</f>
        <v/>
      </c>
      <c r="H142" s="21">
        <f>SUMIFS('MP_RECARGAS'!H:H,'MP_RECARGAS'!$A:$A,$A142,'MP_RECARGAS'!$B:$B,$B142)</f>
        <v/>
      </c>
      <c r="I142" s="21">
        <f>SUMIFS('MP_RECARGAS'!I:I,'MP_RECARGAS'!$A:$A,$A142,'MP_RECARGAS'!$B:$B,$B142)</f>
        <v/>
      </c>
      <c r="J142" s="21">
        <f>SUMIFS('MP_RECARGAS'!J:J,'MP_RECARGAS'!$A:$A,$A142,'MP_RECARGAS'!$B:$B,$B142)</f>
        <v/>
      </c>
      <c r="K142" s="21">
        <f>SUMIFS('MP_RECARGAS'!K:K,'MP_RECARGAS'!$A:$A,$A142,'MP_RECARGAS'!$B:$B,$B142)</f>
        <v/>
      </c>
      <c r="L142" s="21">
        <f>SUMIFS('MP_RECARGAS'!L:L,'MP_RECARGAS'!$A:$A,$A142,'MP_RECARGAS'!$B:$B,$B142)</f>
        <v/>
      </c>
      <c r="M142" s="21">
        <f>SUMIFS('MP_RECARGAS'!M:M,'MP_RECARGAS'!$A:$A,$A142,'MP_RECARGAS'!$B:$B,$B142)</f>
        <v/>
      </c>
      <c r="N142" s="21">
        <f>SUMIFS('MP_RECARGAS'!N:N,'MP_RECARGAS'!$A:$A,$A142,'MP_RECARGAS'!$B:$B,$B142)</f>
        <v/>
      </c>
      <c r="O142" s="21">
        <f>SUMIFS('MP_RECARGAS'!O:O,'MP_RECARGAS'!$A:$A,$A142,'MP_RECARGAS'!$B:$B,$B142)</f>
        <v/>
      </c>
    </row>
    <row r="143">
      <c r="A143" s="2" t="inlineStr">
        <is>
          <t>Polvo para metales combustibles clase D</t>
        </is>
      </c>
      <c r="B143" s="2" t="inlineStr">
        <is>
          <t>kg</t>
        </is>
      </c>
      <c r="C143" s="2" t="inlineStr">
        <is>
          <t>Recarga y mantenimiento</t>
        </is>
      </c>
      <c r="D143" s="2" t="inlineStr">
        <is>
          <t>DEM S.A. (DEMSA)</t>
        </is>
      </c>
      <c r="E143" s="2" t="inlineStr">
        <is>
          <t>MP_RECARGAS</t>
        </is>
      </c>
      <c r="F143" s="21">
        <f>SUMIFS('MP_RECARGAS'!F:F,'MP_RECARGAS'!$A:$A,$A143,'MP_RECARGAS'!$B:$B,$B143)</f>
        <v/>
      </c>
      <c r="G143" s="21">
        <f>SUMIFS('MP_RECARGAS'!G:G,'MP_RECARGAS'!$A:$A,$A143,'MP_RECARGAS'!$B:$B,$B143)</f>
        <v/>
      </c>
      <c r="H143" s="21">
        <f>SUMIFS('MP_RECARGAS'!H:H,'MP_RECARGAS'!$A:$A,$A143,'MP_RECARGAS'!$B:$B,$B143)</f>
        <v/>
      </c>
      <c r="I143" s="21">
        <f>SUMIFS('MP_RECARGAS'!I:I,'MP_RECARGAS'!$A:$A,$A143,'MP_RECARGAS'!$B:$B,$B143)</f>
        <v/>
      </c>
      <c r="J143" s="21">
        <f>SUMIFS('MP_RECARGAS'!J:J,'MP_RECARGAS'!$A:$A,$A143,'MP_RECARGAS'!$B:$B,$B143)</f>
        <v/>
      </c>
      <c r="K143" s="21">
        <f>SUMIFS('MP_RECARGAS'!K:K,'MP_RECARGAS'!$A:$A,$A143,'MP_RECARGAS'!$B:$B,$B143)</f>
        <v/>
      </c>
      <c r="L143" s="21">
        <f>SUMIFS('MP_RECARGAS'!L:L,'MP_RECARGAS'!$A:$A,$A143,'MP_RECARGAS'!$B:$B,$B143)</f>
        <v/>
      </c>
      <c r="M143" s="21">
        <f>SUMIFS('MP_RECARGAS'!M:M,'MP_RECARGAS'!$A:$A,$A143,'MP_RECARGAS'!$B:$B,$B143)</f>
        <v/>
      </c>
      <c r="N143" s="21">
        <f>SUMIFS('MP_RECARGAS'!N:N,'MP_RECARGAS'!$A:$A,$A143,'MP_RECARGAS'!$B:$B,$B143)</f>
        <v/>
      </c>
      <c r="O143" s="21">
        <f>SUMIFS('MP_RECARGAS'!O:O,'MP_RECARGAS'!$A:$A,$A143,'MP_RECARGAS'!$B:$B,$B143)</f>
        <v/>
      </c>
    </row>
    <row r="144">
      <c r="A144" s="2" t="inlineStr">
        <is>
          <t>Polvo químico seco BC (bicarbonato)</t>
        </is>
      </c>
      <c r="B144" s="2" t="inlineStr">
        <is>
          <t>kg</t>
        </is>
      </c>
      <c r="C144" s="2" t="inlineStr">
        <is>
          <t>Recarga y mantenimiento</t>
        </is>
      </c>
      <c r="D144" s="2" t="inlineStr">
        <is>
          <t>Polvex S.R.L. / Sancibrao</t>
        </is>
      </c>
      <c r="E144" s="2" t="inlineStr">
        <is>
          <t>MP_RECARGAS</t>
        </is>
      </c>
      <c r="F144" s="21">
        <f>SUMIFS('MP_RECARGAS'!F:F,'MP_RECARGAS'!$A:$A,$A144,'MP_RECARGAS'!$B:$B,$B144)</f>
        <v/>
      </c>
      <c r="G144" s="21">
        <f>SUMIFS('MP_RECARGAS'!G:G,'MP_RECARGAS'!$A:$A,$A144,'MP_RECARGAS'!$B:$B,$B144)</f>
        <v/>
      </c>
      <c r="H144" s="21">
        <f>SUMIFS('MP_RECARGAS'!H:H,'MP_RECARGAS'!$A:$A,$A144,'MP_RECARGAS'!$B:$B,$B144)</f>
        <v/>
      </c>
      <c r="I144" s="21">
        <f>SUMIFS('MP_RECARGAS'!I:I,'MP_RECARGAS'!$A:$A,$A144,'MP_RECARGAS'!$B:$B,$B144)</f>
        <v/>
      </c>
      <c r="J144" s="21">
        <f>SUMIFS('MP_RECARGAS'!J:J,'MP_RECARGAS'!$A:$A,$A144,'MP_RECARGAS'!$B:$B,$B144)</f>
        <v/>
      </c>
      <c r="K144" s="21">
        <f>SUMIFS('MP_RECARGAS'!K:K,'MP_RECARGAS'!$A:$A,$A144,'MP_RECARGAS'!$B:$B,$B144)</f>
        <v/>
      </c>
      <c r="L144" s="21">
        <f>SUMIFS('MP_RECARGAS'!L:L,'MP_RECARGAS'!$A:$A,$A144,'MP_RECARGAS'!$B:$B,$B144)</f>
        <v/>
      </c>
      <c r="M144" s="21">
        <f>SUMIFS('MP_RECARGAS'!M:M,'MP_RECARGAS'!$A:$A,$A144,'MP_RECARGAS'!$B:$B,$B144)</f>
        <v/>
      </c>
      <c r="N144" s="21">
        <f>SUMIFS('MP_RECARGAS'!N:N,'MP_RECARGAS'!$A:$A,$A144,'MP_RECARGAS'!$B:$B,$B144)</f>
        <v/>
      </c>
      <c r="O144" s="21">
        <f>SUMIFS('MP_RECARGAS'!O:O,'MP_RECARGAS'!$A:$A,$A144,'MP_RECARGAS'!$B:$B,$B144)</f>
        <v/>
      </c>
    </row>
    <row r="145">
      <c r="A145" s="2" t="inlineStr">
        <is>
          <t>Precinto plástico numerado, color, con nombre del recargador</t>
        </is>
      </c>
      <c r="B145" s="2" t="inlineStr">
        <is>
          <t>u</t>
        </is>
      </c>
      <c r="C145" s="2" t="inlineStr">
        <is>
          <t>Recarga y mantenimiento</t>
        </is>
      </c>
      <c r="D145" s="2" t="inlineStr">
        <is>
          <t>SonFuertes (vía Papelera Damián)</t>
        </is>
      </c>
      <c r="E145" s="2" t="inlineStr">
        <is>
          <t>MP_RECARGAS</t>
        </is>
      </c>
      <c r="F145" s="21">
        <f>SUMIFS('MP_RECARGAS'!F:F,'MP_RECARGAS'!$A:$A,$A145,'MP_RECARGAS'!$B:$B,$B145)</f>
        <v/>
      </c>
      <c r="G145" s="21">
        <f>SUMIFS('MP_RECARGAS'!G:G,'MP_RECARGAS'!$A:$A,$A145,'MP_RECARGAS'!$B:$B,$B145)</f>
        <v/>
      </c>
      <c r="H145" s="21">
        <f>SUMIFS('MP_RECARGAS'!H:H,'MP_RECARGAS'!$A:$A,$A145,'MP_RECARGAS'!$B:$B,$B145)</f>
        <v/>
      </c>
      <c r="I145" s="21">
        <f>SUMIFS('MP_RECARGAS'!I:I,'MP_RECARGAS'!$A:$A,$A145,'MP_RECARGAS'!$B:$B,$B145)</f>
        <v/>
      </c>
      <c r="J145" s="21">
        <f>SUMIFS('MP_RECARGAS'!J:J,'MP_RECARGAS'!$A:$A,$A145,'MP_RECARGAS'!$B:$B,$B145)</f>
        <v/>
      </c>
      <c r="K145" s="21">
        <f>SUMIFS('MP_RECARGAS'!K:K,'MP_RECARGAS'!$A:$A,$A145,'MP_RECARGAS'!$B:$B,$B145)</f>
        <v/>
      </c>
      <c r="L145" s="21">
        <f>SUMIFS('MP_RECARGAS'!L:L,'MP_RECARGAS'!$A:$A,$A145,'MP_RECARGAS'!$B:$B,$B145)</f>
        <v/>
      </c>
      <c r="M145" s="21">
        <f>SUMIFS('MP_RECARGAS'!M:M,'MP_RECARGAS'!$A:$A,$A145,'MP_RECARGAS'!$B:$B,$B145)</f>
        <v/>
      </c>
      <c r="N145" s="21">
        <f>SUMIFS('MP_RECARGAS'!N:N,'MP_RECARGAS'!$A:$A,$A145,'MP_RECARGAS'!$B:$B,$B145)</f>
        <v/>
      </c>
      <c r="O145" s="21">
        <f>SUMIFS('MP_RECARGAS'!O:O,'MP_RECARGAS'!$A:$A,$A145,'MP_RECARGAS'!$B:$B,$B145)</f>
        <v/>
      </c>
    </row>
    <row r="146">
      <c r="A146" s="2" t="inlineStr">
        <is>
          <t>Tarjeta de identificación AGC (módulo papel con QR + etiqueta AGC)</t>
        </is>
      </c>
      <c r="B146" s="2" t="inlineStr">
        <is>
          <t>u</t>
        </is>
      </c>
      <c r="C146" s="2" t="inlineStr">
        <is>
          <t>Recarga y mantenimiento</t>
        </is>
      </c>
      <c r="D146" s="2" t="inlineStr">
        <is>
          <t>Agencia Gubernamental de Control (CABA)</t>
        </is>
      </c>
      <c r="E146" s="2" t="inlineStr">
        <is>
          <t>MP_RECARGAS</t>
        </is>
      </c>
      <c r="F146" s="21">
        <f>SUMIFS('MP_RECARGAS'!F:F,'MP_RECARGAS'!$A:$A,$A146,'MP_RECARGAS'!$B:$B,$B146)</f>
        <v/>
      </c>
      <c r="G146" s="21">
        <f>SUMIFS('MP_RECARGAS'!G:G,'MP_RECARGAS'!$A:$A,$A146,'MP_RECARGAS'!$B:$B,$B146)</f>
        <v/>
      </c>
      <c r="H146" s="21">
        <f>SUMIFS('MP_RECARGAS'!H:H,'MP_RECARGAS'!$A:$A,$A146,'MP_RECARGAS'!$B:$B,$B146)</f>
        <v/>
      </c>
      <c r="I146" s="21">
        <f>SUMIFS('MP_RECARGAS'!I:I,'MP_RECARGAS'!$A:$A,$A146,'MP_RECARGAS'!$B:$B,$B146)</f>
        <v/>
      </c>
      <c r="J146" s="21">
        <f>SUMIFS('MP_RECARGAS'!J:J,'MP_RECARGAS'!$A:$A,$A146,'MP_RECARGAS'!$B:$B,$B146)</f>
        <v/>
      </c>
      <c r="K146" s="21">
        <f>SUMIFS('MP_RECARGAS'!K:K,'MP_RECARGAS'!$A:$A,$A146,'MP_RECARGAS'!$B:$B,$B146)</f>
        <v/>
      </c>
      <c r="L146" s="21">
        <f>SUMIFS('MP_RECARGAS'!L:L,'MP_RECARGAS'!$A:$A,$A146,'MP_RECARGAS'!$B:$B,$B146)</f>
        <v/>
      </c>
      <c r="M146" s="21">
        <f>SUMIFS('MP_RECARGAS'!M:M,'MP_RECARGAS'!$A:$A,$A146,'MP_RECARGAS'!$B:$B,$B146)</f>
        <v/>
      </c>
      <c r="N146" s="21">
        <f>SUMIFS('MP_RECARGAS'!N:N,'MP_RECARGAS'!$A:$A,$A146,'MP_RECARGAS'!$B:$B,$B146)</f>
        <v/>
      </c>
      <c r="O146" s="21">
        <f>SUMIFS('MP_RECARGAS'!O:O,'MP_RECARGAS'!$A:$A,$A146,'MP_RECARGAS'!$B:$B,$B146)</f>
        <v/>
      </c>
    </row>
    <row r="147">
      <c r="A147" s="2" t="inlineStr">
        <is>
          <t>Tarjeta de identificación DPS de revisión / recarga</t>
        </is>
      </c>
      <c r="B147" s="2" t="inlineStr">
        <is>
          <t>u</t>
        </is>
      </c>
      <c r="C147" s="2" t="inlineStr">
        <is>
          <t>Recarga y mantenimiento</t>
        </is>
      </c>
      <c r="D147" s="2" t="inlineStr">
        <is>
          <t>Ministerio de Ambiente PBA (ex OPDS)</t>
        </is>
      </c>
      <c r="E147" s="2" t="inlineStr">
        <is>
          <t>MP_RECARGAS</t>
        </is>
      </c>
      <c r="F147" s="21">
        <f>SUMIFS('MP_RECARGAS'!F:F,'MP_RECARGAS'!$A:$A,$A147,'MP_RECARGAS'!$B:$B,$B147)</f>
        <v/>
      </c>
      <c r="G147" s="21">
        <f>SUMIFS('MP_RECARGAS'!G:G,'MP_RECARGAS'!$A:$A,$A147,'MP_RECARGAS'!$B:$B,$B147)</f>
        <v/>
      </c>
      <c r="H147" s="21">
        <f>SUMIFS('MP_RECARGAS'!H:H,'MP_RECARGAS'!$A:$A,$A147,'MP_RECARGAS'!$B:$B,$B147)</f>
        <v/>
      </c>
      <c r="I147" s="21">
        <f>SUMIFS('MP_RECARGAS'!I:I,'MP_RECARGAS'!$A:$A,$A147,'MP_RECARGAS'!$B:$B,$B147)</f>
        <v/>
      </c>
      <c r="J147" s="21">
        <f>SUMIFS('MP_RECARGAS'!J:J,'MP_RECARGAS'!$A:$A,$A147,'MP_RECARGAS'!$B:$B,$B147)</f>
        <v/>
      </c>
      <c r="K147" s="21">
        <f>SUMIFS('MP_RECARGAS'!K:K,'MP_RECARGAS'!$A:$A,$A147,'MP_RECARGAS'!$B:$B,$B147)</f>
        <v/>
      </c>
      <c r="L147" s="21">
        <f>SUMIFS('MP_RECARGAS'!L:L,'MP_RECARGAS'!$A:$A,$A147,'MP_RECARGAS'!$B:$B,$B147)</f>
        <v/>
      </c>
      <c r="M147" s="21">
        <f>SUMIFS('MP_RECARGAS'!M:M,'MP_RECARGAS'!$A:$A,$A147,'MP_RECARGAS'!$B:$B,$B147)</f>
        <v/>
      </c>
      <c r="N147" s="21">
        <f>SUMIFS('MP_RECARGAS'!N:N,'MP_RECARGAS'!$A:$A,$A147,'MP_RECARGAS'!$B:$B,$B147)</f>
        <v/>
      </c>
      <c r="O147" s="21">
        <f>SUMIFS('MP_RECARGAS'!O:O,'MP_RECARGAS'!$A:$A,$A147,'MP_RECARGAS'!$B:$B,$B147)</f>
        <v/>
      </c>
    </row>
  </sheetData>
  <autoFilter ref="A4:E1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2026-10-08T01:24:16Z</dcterms:created>
  <dcterms:modified xmlns:dcterms="http://purl.org/dc/terms/" xmlns:xsi="http://www.w3.org/2001/XMLSchema-instance" xsi:type="dcterms:W3CDTF">2026-10-08T01:24:16Z</dcterms:modified>
</cp:coreProperties>
</file>