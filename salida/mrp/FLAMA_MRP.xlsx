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<sst xmlns="http://schemas.openxmlformats.org/spreadsheetml/2006/main" count="6046" uniqueCount="982">
  <si>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</si>
  <si>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</si>
  <si>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</si>
  <si>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</si>
  <si>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</si>
  <si>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</si>
  <si>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</si>
  <si>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</si>
  <si>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</si>
  <si>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</si>
  <si>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</si>
  <si>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</si>
  <si>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</si>
  <si>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</si>
  <si>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</si>
  <si>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</si>
  <si>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</si>
  <si>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</si>
  <si>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</si>
  <si>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</si>
  <si>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</si>
  <si>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</si>
  <si>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</si>
  <si>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</si>
  <si>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</si>
  <si>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</si>
  <si>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</si>
  <si>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</si>
  <si>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</si>
  <si>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</si>
  <si>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</si>
  <si>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</si>
  <si>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</si>
  <si>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</si>
  <si>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</si>
  <si>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</si>
  <si>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</si>
  <si>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</si>
  <si>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</si>
  <si>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</si>
  <si>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</si>
  <si>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</si>
  <si>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</si>
  <si>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</si>
  <si>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</si>
  <si>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</si>
  <si>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</si>
  <si>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</si>
  <si>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</si>
  <si>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</si>
  <si>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</si>
  <si>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</si>
  <si>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</si>
  <si>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</si>
  <si>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</si>
  <si>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</si>
  <si>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</si>
  <si>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</si>
  <si>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</si>
  <si>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</si>
  <si>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</si>
  <si>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</si>
  <si>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</si>
  <si>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</si>
  <si>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</si>
  <si>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</si>
  <si>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</si>
  <si>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</si>
  <si>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</si>
  <si>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</si>
  <si>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</si>
  <si>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</si>
  <si>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</si>
  <si>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</si>
  <si>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</si>
  <si>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</si>
  <si>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</si>
  <si>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</si>
  <si>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</si>
  <si>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</si>
  <si>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</si>
  <si>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</si>
  <si>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</si>
  <si>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</si>
  <si>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</si>
  <si>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</si>
  <si>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</si>
  <si>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</si>
  <si>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</si>
  <si>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</si>
  <si>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</si>
  <si>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</si>
  <si>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</si>
  <si>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</si>
  <si>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</si>
  <si>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</si>
  <si>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</si>
  <si>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</si>
  <si>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</si>
  <si>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</si>
  <si>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</si>
  <si>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</si>
  <si>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</si>
  <si>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</si>
  <si>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</si>
  <si>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</si>
  <si>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</si>
  <si>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</si>
  <si>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</si>
  <si>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</si>
  <si>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</si>
  <si>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</si>
  <si>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</si>
  <si>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</si>
  <si>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</si>
  <si>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</si>
  <si>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</si>
  <si>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</si>
  <si>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</si>
  <si>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</si>
  <si>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</si>
  <si>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</si>
  <si>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</si>
  <si>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</si>
  <si>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</si>
  <si>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</si>
  <si>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</si>
  <si>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</si>
  <si>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</si>
  <si>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</si>
  <si>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</si>
  <si>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</si>
  <si>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</si>
  <si>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</si>
  <si>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</si>
  <si>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</si>
  <si>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</si>
  <si>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</si>
  <si>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</si>
  <si>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</si>
  <si>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</si>
  <si>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</si>
  <si>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</si>
  <si>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</si>
  <si>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</si>
  <si>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</si>
  <si>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</si>
  <si>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</si>
  <si>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</si>
  <si>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</si>
  <si>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</si>
  <si>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</si>
  <si>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</si>
  <si>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</si>
  <si>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</si>
  <si>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</si>
  <si>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</si>
  <si>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</si>
  <si>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</si>
  <si>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</si>
  <si>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</si>
  <si>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</si>
  <si>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</si>
  <si>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</si>
  <si>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</si>
  <si>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</si>
  <si>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</si>
  <si>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</si>
  <si>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</si>
  <si>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</si>
  <si>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</si>
  <si>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</si>
  <si>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</si>
  <si>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</si>
  <si>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</si>
  <si>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</si>
  <si>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</si>
  <si>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</si>
  <si>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</si>
  <si>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</si>
  <si>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</si>
  <si>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</si>
  <si>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</si>
  <si>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</si>
  <si>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</si>
  <si>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</si>
  <si>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</si>
  <si>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</si>
  <si>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</si>
  <si>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</si>
  <si>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</si>
  <si>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</si>
  <si>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</si>
  <si>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</si>
  <si>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</si>
  <si>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</si>
  <si>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</si>
  <si>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</si>
  <si>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</si>
  <si>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</si>
  <si>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</si>
  <si>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</si>
  <si>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</si>
  <si>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</si>
  <si>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</si>
  <si>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</si>
  <si>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</si>
  <si>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</si>
  <si>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</si>
  <si>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</si>
  <si>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</si>
  <si>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</si>
  <si>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</si>
  <si>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</si>
  <si>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</si>
  <si>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</si>
  <si>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</si>
  <si>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</si>
  <si>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</si>
  <si>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</si>
  <si>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</si>
  <si>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</si>
  <si>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</si>
  <si>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</si>
  <si>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</si>
  <si>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</si>
  <si>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</si>
  <si>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</si>
  <si>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</si>
  <si>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</si>
  <si>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</si>
  <si>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</si>
  <si>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</si>
  <si>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</si>
  <si>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</si>
  <si>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</si>
  <si>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</si>
  <si>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</si>
  <si>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</si>
  <si>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</si>
  <si>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</si>
  <si>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</si>
  <si>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</si>
  <si>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</si>
  <si>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</si>
  <si>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</si>
  <si>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</si>
  <si>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</si>
  <si>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</si>
  <si>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</si>
  <si>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</si>
  <si>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</si>
  <si>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</si>
  <si>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</si>
  <si>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</si>
  <si>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</si>
  <si>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</si>
  <si>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</si>
  <si>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</si>
  <si>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</si>
  <si>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</si>
  <si>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</si>
  <si>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</si>
  <si>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</si>
  <si>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</si>
  <si>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</si>
  <si>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</si>
  <si>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</si>
  <si>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</si>
  <si>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</si>
  <si>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</si>
  <si>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</si>
  <si>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</si>
  <si>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</si>
  <si>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</si>
  <si>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</si>
  <si>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</si>
  <si>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</si>
  <si>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</si>
  <si>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</si>
  <si>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</si>
  <si>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</si>
  <si>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</si>
  <si>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</si>
  <si>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</si>
  <si>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</si>
  <si>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</si>
  <si>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</si>
  <si>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</si>
  <si>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</si>
  <si>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</si>
  <si>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</si>
  <si>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</si>
  <si>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</si>
  <si>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</si>
  <si>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</si>
  <si>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</si>
  <si>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</si>
  <si>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</si>
  <si>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</si>
  <si>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</si>
  <si>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</si>
  <si>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</si>
  <si>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</si>
  <si>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</si>
  <si>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</si>
  <si>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</si>
  <si>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</si>
  <si>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</si>
  <si>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</si>
  <si>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</si>
  <si>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</si>
  <si>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</si>
  <si>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</si>
  <si>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</si>
  <si>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</si>
  <si>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</si>
  <si>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</si>
  <si>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</si>
  <si>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</si>
  <si>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</si>
  <si>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</si>
  <si>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</si>
  <si>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</si>
  <si>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</si>
  <si>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</si>
  <si>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</si>
  <si>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</si>
  <si>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</si>
  <si>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</si>
  <si>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</si>
  <si>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</si>
  <si>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</si>
  <si>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</si>
  <si>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</si>
  <si>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</si>
  <si>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</si>
  <si>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</si>
  <si>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</si>
  <si>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</si>
  <si>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</si>
  <si>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</si>
  <si>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</si>
  <si>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</si>
  <si>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</si>
  <si>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</si>
  <si>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</si>
  <si>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</si>
  <si>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</si>
  <si>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</si>
  <si>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</si>
  <si>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</si>
  <si>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</si>
  <si>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</si>
  <si>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</si>
  <si>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</si>
  <si>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</si>
  <si>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</si>
  <si>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</si>
  <si>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</si>
  <si>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</si>
  <si>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</si>
  <si>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</si>
  <si>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</si>
  <si>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</si>
  <si>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</si>
  <si>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</si>
  <si>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</si>
  <si>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</si>
  <si>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</si>
  <si>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</si>
  <si>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</si>
  <si>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</si>
  <si>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</si>
  <si>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</si>
  <si>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</si>
  <si>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</si>
  <si>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</si>
  <si>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</si>
  <si>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</si>
  <si>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</si>
  <si>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</si>
  <si>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</si>
  <si>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</si>
  <si>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</si>
  <si>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</si>
  <si>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</si>
  <si>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</si>
  <si>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</si>
  <si>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</si>
  <si>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</si>
  <si>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</si>
  <si>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</si>
  <si>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</si>
  <si>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</si>
  <si>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</si>
  <si>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</si>
  <si>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</si>
  <si>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</si>
  <si>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</si>
  <si>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</si>
  <si>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</si>
  <si>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</si>
  <si>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</si>
  <si>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</si>
  <si>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</si>
  <si>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</si>
  <si>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</si>
  <si>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</si>
  <si>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</si>
  <si>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</si>
  <si>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</si>
  <si>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</si>
  <si>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</si>
  <si>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</si>
  <si>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</si>
  <si>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</si>
  <si>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</si>
  <si>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</si>
  <si>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</si>
  <si>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</si>
  <si>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</si>
  <si>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</si>
  <si>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</si>
  <si>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</si>
  <si>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</si>
  <si>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</si>
  <si>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</si>
  <si>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</si>
  <si>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</si>
  <si>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</si>
  <si>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</si>
  <si>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</si>
  <si>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</si>
  <si>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</si>
  <si>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</si>
  <si>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</si>
  <si>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</si>
  <si>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</si>
  <si>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</si>
  <si>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</si>
  <si>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</si>
  <si>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</si>
  <si>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</si>
  <si>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</si>
  <si>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</si>
  <si>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</si>
  <si>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</si>
  <si>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</si>
  <si>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</si>
  <si>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</si>
  <si>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</si>
  <si>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</si>
  <si>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</si>
  <si>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</si>
  <si>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</si>
  <si>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</si>
  <si>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</si>
  <si>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</si>
  <si>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</si>
  <si>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</si>
  <si>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</si>
  <si>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</si>
  <si>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</si>
  <si>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</si>
  <si>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</si>
  <si>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</si>
  <si>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</si>
  <si>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</si>
  <si>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</si>
  <si>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</si>
  <si>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</si>
  <si>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</si>
  <si>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</si>
  <si>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</si>
  <si>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</si>
  <si>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</si>
  <si>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</si>
  <si>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</si>
  <si>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</si>
  <si>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</si>
  <si>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</si>
  <si>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</si>
  <si>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</si>
  <si>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</si>
  <si>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</si>
  <si>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</si>
  <si>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</si>
  <si>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</si>
  <si>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</si>
  <si>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</si>
  <si>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</si>
  <si>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</si>
  <si>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</si>
  <si>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</si>
  <si>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</si>
  <si>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</si>
  <si>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</si>
  <si>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</si>
  <si>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</si>
  <si>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</si>
  <si>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</si>
  <si>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</si>
  <si>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</si>
  <si>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</si>
  <si>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</si>
  <si>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</si>
  <si>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</si>
  <si>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</si>
  <si>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</si>
  <si>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</si>
  <si>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</si>
  <si>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</si>
  <si>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</si>
  <si>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</si>
  <si>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</si>
  <si>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</si>
  <si>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</si>
  <si>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</si>
  <si>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</si>
  <si>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</si>
  <si>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</si>
  <si>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</si>
  <si>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</si>
  <si>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</si>
  <si>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</si>
  <si>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</si>
  <si>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</si>
  <si>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</si>
  <si>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</si>
  <si>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</si>
  <si>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</si>
  <si>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</si>
  <si>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</si>
  <si>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</si>
  <si>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</si>
  <si>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</si>
  <si>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</si>
  <si>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</si>
  <si>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</si>
  <si>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</si>
  <si>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</si>
  <si>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</si>
  <si>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</si>
  <si>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</si>
  <si>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</si>
  <si>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</si>
  <si>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</si>
  <si>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</si>
  <si>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</si>
  <si>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</si>
  <si>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</si>
  <si>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</si>
  <si>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</si>
  <si>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</si>
  <si>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</si>
  <si>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</si>
  <si>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</si>
  <si>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</si>
  <si>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</si>
  <si>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</si>
  <si>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</si>
  <si>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</si>
  <si>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</si>
  <si>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</si>
  <si>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</si>
  <si>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</si>
  <si>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</si>
  <si>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</si>
  <si>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</si>
  <si>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</si>
  <si>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</si>
  <si>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</si>
  <si>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</si>
  <si>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</si>
  <si>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</si>
  <si>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</si>
  <si>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</si>
  <si>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</si>
  <si>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</si>
  <si>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</si>
  <si>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</si>
  <si>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</si>
  <si>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</si>
  <si>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</si>
  <si>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</si>
  <si>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</si>
  <si>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</si>
  <si>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</si>
  <si>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</si>
  <si>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</si>
  <si>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</si>
  <si>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</si>
  <si>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</si>
  <si>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</si>
  <si>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</si>
  <si>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</si>
  <si>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</si>
  <si>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</si>
  <si>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</si>
  <si>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</si>
  <si>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</si>
  <si>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</si>
  <si>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</si>
  <si>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</si>
  <si>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</si>
  <si>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</si>
  <si>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</si>
  <si>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</si>
  <si>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</si>
  <si>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</si>
  <si>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</si>
  <si>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</si>
  <si>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</si>
  <si>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</si>
  <si>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</si>
  <si>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</si>
  <si>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</si>
  <si>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</si>
  <si>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</si>
  <si>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</si>
  <si>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</si>
  <si>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</si>
  <si>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</si>
  <si>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</si>
  <si>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</si>
  <si>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</si>
  <si>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</si>
  <si>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</si>
  <si>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</si>
  <si>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</si>
  <si>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</si>
  <si>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</si>
  <si>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</si>
  <si>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Sin plazo publicado: el de la planilla de MP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</si>
  <si>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</si>
  <si>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</si>
  <si>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</si>
  <si>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</si>
  <si>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</si>
  <si>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</si>
  <si>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</si>
  <si>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</si>
  <si>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</si>
  <si>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</si>
  <si>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</si>
  <si>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</si>
  <si>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</si>
  <si>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</si>
  <si>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</si>
  <si>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</si>
  <si>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</si>
  <si>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</si>
  <si>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</si>
  <si>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</si>
  <si>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</si>
  <si>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</si>
  <si>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</si>
  <si>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</si>
  <si>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</si>
  <si>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</si>
  <si>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</si>
  <si>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</si>
  <si>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</si>
  <si>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</si>
  <si>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</si>
  <si>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</si>
  <si>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</si>
  <si>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</si>
  <si>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</si>
  <si>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</si>
  <si>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</si>
  <si>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</si>
  <si>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</si>
  <si>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</si>
  <si>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</si>
  <si>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</si>
  <si>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</si>
  <si>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</si>
  <si>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</si>
  <si>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</si>
  <si>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</si>
  <si>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</si>
  <si>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</si>
  <si>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</si>
  <si>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</si>
  <si>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</si>
  <si>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</si>
  <si>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</si>
  <si>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</si>
  <si>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</si>
  <si>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</si>
  <si>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</si>
  <si>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</si>
  <si>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</si>
  <si>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</si>
  <si>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</si>
  <si>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</si>
  <si>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</si>
  <si>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</si>
  <si>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</si>
  <si>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Sin plazo publicado: el del proceso de carros (de la planilla de MP)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</si>
  <si>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</si>
  <si>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</si>
  <si>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</si>
  <si>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</si>
  <si>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</si>
  <si>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</si>
  <si>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</si>
  <si>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</si>
  <si>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</si>
  <si>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</si>
  <si>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</si>
  <si>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</si>
  <si>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</si>
  <si>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</si>
  <si>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</si>
  <si>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</si>
  <si>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</si>
  <si>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</si>
  <si>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</si>
  <si>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</si>
  <si>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</si>
  <si>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</si>
  <si>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</si>
  <si>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</si>
  <si>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</si>
  <si>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Pallet de 1.000 kg</t>
  </si>
  <si>
    <t xml:space="preserve">P39</t>
  </si>
  <si>
    <t xml:space="preserve">Sinteplast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</si>
  <si>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</si>
  <si>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</si>
  <si>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</si>
  <si>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</si>
  <si>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</si>
  <si>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</si>
  <si>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</si>
  <si>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</si>
  <si>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</si>
  <si>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</si>
  <si>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</si>
  <si>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</si>
  <si>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</si>
  <si>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</si>
  <si>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</si>
  <si>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</si>
  <si>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</si>
  <si>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</si>
  <si>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</si>
  <si>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</si>
  <si>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</si>
  <si>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</si>
  <si>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</si>
  <si>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</si>
  <si>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</si>
  <si>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</si>
  <si>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</si>
  <si>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</si>
  <si>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</si>
  <si>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</si>
  <si>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</si>
  <si>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</si>
  <si>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</si>
  <si>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</si>
  <si>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</si>
  <si>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</si>
  <si>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</si>
  <si>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</si>
  <si>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</si>
  <si>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</si>
  <si>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</si>
  <si>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</si>
  <si>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</si>
  <si>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</si>
  <si>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</si>
  <si>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</si>
  <si>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</si>
  <si>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</si>
  <si>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</si>
  <si>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</si>
  <si>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</si>
  <si>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</si>
  <si>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</si>
  <si>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</t>
  </si>
  <si>
    <t xml:space="preserve">P70</t>
  </si>
  <si>
    <t xml:space="preserve">P71</t>
  </si>
  <si>
    <t xml:space="preserve">P72</t>
  </si>
  <si>
    <t xml:space="preserve">P73</t>
  </si>
  <si>
    <t xml:space="preserve">Maxiseguridad (Munro)</t>
  </si>
  <si>
    <t xml:space="preserve">Web Maxiseguridad (Munro): entrega a domicilio a las 48 h del pedido por la web (nota antigua); su catálogo tiene soportes, agua y AFFF 10 l, AFFF 50 l y CO₂ 2 kg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</si>
  <si>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</si>
  <si>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</si>
  <si>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</si>
  <si>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</si>
  <si>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</si>
  <si>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</si>
  <si>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</si>
  <si>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</si>
  <si>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</si>
  <si>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</si>
  <si>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</si>
  <si>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</si>
  <si>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</si>
  <si>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</si>
  <si>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</si>
  <si>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</si>
  <si>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</si>
  <si>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</si>
  <si>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</si>
  <si>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</si>
  <si>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</si>
  <si>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</si>
  <si>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</si>
  <si>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Paquete de 500 u</t>
  </si>
  <si>
    <t xml:space="preserve">P88</t>
  </si>
  <si>
    <t xml:space="preserve">IRAM</t>
  </si>
  <si>
    <t xml:space="preserve">P89</t>
  </si>
  <si>
    <t xml:space="preserve">AGC (CABA)</t>
  </si>
  <si>
    <t xml:space="preserve">Trámite AGC: FLAMA genera e imprime las tarjetas en el sistema de la AGC al pagar la boleta; no espera a un proveedor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</si>
  <si>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</si>
  <si>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</si>
  <si>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</si>
  <si>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</si>
  <si>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</t>
  </si>
  <si>
    <t xml:space="preserve">P93</t>
  </si>
  <si>
    <t xml:space="preserve">P94</t>
  </si>
  <si>
    <t xml:space="preserve">A definir (inyectora)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</si>
  <si>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</si>
  <si>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</si>
  <si>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</si>
  <si>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</si>
  <si>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</si>
  <si>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</si>
  <si>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</si>
  <si>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</si>
  <si>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</si>
  <si>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</si>
  <si>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</si>
  <si>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</si>
  <si>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</si>
  <si>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</si>
  <si>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</si>
  <si>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</si>
  <si>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</si>
  <si>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</si>
  <si>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</si>
  <si>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</si>
  <si>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</si>
  <si>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</si>
  <si>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</si>
  <si>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</si>
  <si>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</si>
  <si>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</si>
  <si>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</si>
  <si>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</si>
  <si>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Web Depallet, pallets: entrega en 24 a 72 h (IndusPallets no lo publica)</t>
  </si>
  <si>
    <t xml:space="preserve">Pila de 15 u</t>
  </si>
  <si>
    <t xml:space="preserve">P113</t>
  </si>
  <si>
    <t xml:space="preserve">P114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</si>
  <si>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</si>
  <si>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</si>
  <si>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</si>
  <si>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</si>
  <si>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</si>
  <si>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Fabricante nacional</t>
  </si>
  <si>
    <t xml:space="preserve">P118</t>
  </si>
  <si>
    <t xml:space="preserve">Matafuegos Rodo</t>
  </si>
  <si>
    <t xml:space="preserve">Web Matafuegos Rodo: entrega en 24/48 h en CABA y GBA (ABC, CO₂ 3,5 y 5 kg, K 6 l y HCFC 5 kg)</t>
  </si>
  <si>
    <t xml:space="preserve">P119</t>
  </si>
  <si>
    <t xml:space="preserve">P120</t>
  </si>
  <si>
    <t xml:space="preserve">P121</t>
  </si>
  <si>
    <t xml:space="preserve">P122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</si>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</sst>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3458.43909506662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279.348843561067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5.17598699676593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22.6138746036402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47.7803224258779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88.7021002793217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129.144616556441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173.663966306653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214.400598483594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241.251861852126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260.130212458213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279.348843561067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23.2790702967556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33.3146677196667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10</v>
      </c>
      <c r="J25" s="3" t="n">
        <v>10</v>
      </c>
      <c r="K25" s="3" t="s">
        <v>634</v>
      </c>
      <c r="L25" s="13" t="n">
        <f aca="false">G25*(I25+J25)/2</f>
        <v>21.252109209933</v>
      </c>
      <c r="M25" s="13" t="n">
        <f aca="false">H25*J25-L25</f>
        <v>1.70016873679464</v>
      </c>
      <c r="N25" s="13" t="n">
        <f aca="false">L25+M25</f>
        <v>22.9522779467276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139.700168736795</v>
      </c>
      <c r="U25" s="3" t="s">
        <v>636</v>
      </c>
      <c r="V25" s="16" t="n">
        <v>60</v>
      </c>
      <c r="W25" s="17" t="n">
        <f aca="false">T25/V25</f>
        <v>2.32833614561324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10</v>
      </c>
      <c r="J26" s="3" t="n">
        <v>10</v>
      </c>
      <c r="K26" s="3" t="s">
        <v>634</v>
      </c>
      <c r="L26" s="13" t="n">
        <f aca="false">G26*(I26+J26)/2</f>
        <v>3.73403338997716</v>
      </c>
      <c r="M26" s="13" t="n">
        <f aca="false">H26*J26-L26</f>
        <v>0.298722671198173</v>
      </c>
      <c r="N26" s="13" t="n">
        <f aca="false">L26+M26</f>
        <v>4.03275606117534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25.2987226711982</v>
      </c>
      <c r="U26" s="3" t="s">
        <v>636</v>
      </c>
      <c r="V26" s="16" t="n">
        <v>60</v>
      </c>
      <c r="W26" s="17" t="n">
        <f aca="false">T26/V26</f>
        <v>0.421645377853303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15</v>
      </c>
      <c r="J31" s="3" t="n">
        <v>15</v>
      </c>
      <c r="K31" s="3" t="s">
        <v>701</v>
      </c>
      <c r="L31" s="13" t="n">
        <f aca="false">G31*(I31+J31)/2</f>
        <v>56.65881665</v>
      </c>
      <c r="M31" s="13" t="n">
        <f aca="false">H31*J31-L31</f>
        <v>4.53270533199999</v>
      </c>
      <c r="N31" s="13" t="n">
        <f aca="false">L31+M31</f>
        <v>61.191521982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148.532705332</v>
      </c>
      <c r="U31" s="3" t="s">
        <v>697</v>
      </c>
      <c r="V31" s="16" t="n">
        <v>144</v>
      </c>
      <c r="W31" s="17" t="n">
        <f aca="false">T31/V31</f>
        <v>1.03147712036111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15</v>
      </c>
      <c r="J32" s="3" t="n">
        <v>15</v>
      </c>
      <c r="K32" s="3" t="s">
        <v>701</v>
      </c>
      <c r="L32" s="13" t="n">
        <f aca="false">G32*(I32+J32)/2</f>
        <v>124.782497852551</v>
      </c>
      <c r="M32" s="13" t="n">
        <f aca="false">H32*J32-L32</f>
        <v>9.98259982820406</v>
      </c>
      <c r="N32" s="13" t="n">
        <f aca="false">L32+M32</f>
        <v>134.765097680755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225.982599828204</v>
      </c>
      <c r="U32" s="3" t="s">
        <v>697</v>
      </c>
      <c r="V32" s="16" t="n">
        <v>144</v>
      </c>
      <c r="W32" s="17" t="n">
        <f aca="false">T32/V32</f>
        <v>1.56932360991808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15</v>
      </c>
      <c r="J33" s="3" t="n">
        <v>15</v>
      </c>
      <c r="K33" s="3" t="s">
        <v>701</v>
      </c>
      <c r="L33" s="13" t="n">
        <f aca="false">G33*(I33+J33)/2</f>
        <v>45.3432413106142</v>
      </c>
      <c r="M33" s="13" t="n">
        <f aca="false">H33*J33-L33</f>
        <v>3.62745930484914</v>
      </c>
      <c r="N33" s="13" t="n">
        <f aca="false">L33+M33</f>
        <v>48.9707006154634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75.6274593048491</v>
      </c>
      <c r="U33" s="3" t="s">
        <v>697</v>
      </c>
      <c r="V33" s="16" t="n">
        <v>144</v>
      </c>
      <c r="W33" s="17" t="n">
        <f aca="false">T33/V33</f>
        <v>0.525190689617008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7</v>
      </c>
      <c r="J42" s="3" t="n">
        <v>7</v>
      </c>
      <c r="K42" s="3" t="s">
        <v>634</v>
      </c>
      <c r="L42" s="13" t="n">
        <f aca="false">G42*(I42+J42)/2</f>
        <v>667.128338878051</v>
      </c>
      <c r="M42" s="13" t="n">
        <f aca="false">H42*J42-L42</f>
        <v>270.214847397376</v>
      </c>
      <c r="N42" s="13" t="n">
        <f aca="false">L42+M42</f>
        <v>937.343186275428</v>
      </c>
      <c r="O42" s="3" t="s">
        <v>727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9270.21484739738</v>
      </c>
      <c r="U42" s="3" t="s">
        <v>710</v>
      </c>
      <c r="V42" s="16" t="n">
        <v>1000</v>
      </c>
      <c r="W42" s="17" t="n">
        <f aca="false">T42/V42</f>
        <v>9.27021484739738</v>
      </c>
    </row>
    <row r="43" customFormat="false" ht="15" hidden="false" customHeight="false" outlineLevel="0" collapsed="false">
      <c r="A43" s="3" t="s">
        <v>728</v>
      </c>
      <c r="B43" s="3" t="s">
        <v>229</v>
      </c>
      <c r="C43" s="3" t="s">
        <v>230</v>
      </c>
      <c r="D43" s="3" t="s">
        <v>192</v>
      </c>
      <c r="E43" s="3" t="s">
        <v>729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10</v>
      </c>
      <c r="J43" s="3" t="n">
        <v>10</v>
      </c>
      <c r="K43" s="3" t="s">
        <v>634</v>
      </c>
      <c r="L43" s="13" t="n">
        <f aca="false">G43*(I43+J43)/2</f>
        <v>150.375614933004</v>
      </c>
      <c r="M43" s="13" t="n">
        <f aca="false">H43*J43-L43</f>
        <v>56.7327576050507</v>
      </c>
      <c r="N43" s="13" t="n">
        <f aca="false">L43+M43</f>
        <v>207.108372538055</v>
      </c>
      <c r="O43" s="3" t="s">
        <v>730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656.732757605051</v>
      </c>
      <c r="U43" s="3" t="s">
        <v>731</v>
      </c>
      <c r="V43" s="16" t="n">
        <v>600</v>
      </c>
      <c r="W43" s="17" t="n">
        <f aca="false">T43/V43</f>
        <v>1.09455459600842</v>
      </c>
    </row>
    <row r="44" customFormat="false" ht="15" hidden="false" customHeight="false" outlineLevel="0" collapsed="false">
      <c r="A44" s="3" t="s">
        <v>732</v>
      </c>
      <c r="B44" s="3" t="s">
        <v>232</v>
      </c>
      <c r="C44" s="3" t="s">
        <v>233</v>
      </c>
      <c r="D44" s="3" t="s">
        <v>192</v>
      </c>
      <c r="E44" s="3" t="s">
        <v>733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7</v>
      </c>
      <c r="J44" s="3" t="n">
        <v>7</v>
      </c>
      <c r="K44" s="3" t="s">
        <v>701</v>
      </c>
      <c r="L44" s="13" t="n">
        <f aca="false">G44*(I44+J44)/2</f>
        <v>8196.69674162613</v>
      </c>
      <c r="M44" s="13" t="n">
        <f aca="false">H44*J44-L44</f>
        <v>2342.21523282407</v>
      </c>
      <c r="N44" s="13" t="n">
        <f aca="false">L44+M44</f>
        <v>10538.9119744502</v>
      </c>
      <c r="O44" s="3" t="s">
        <v>734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10342.2152328241</v>
      </c>
      <c r="U44" s="3" t="s">
        <v>731</v>
      </c>
      <c r="V44" s="16" t="n">
        <v>2000</v>
      </c>
      <c r="W44" s="17" t="n">
        <f aca="false">T44/V44</f>
        <v>5.17110761641204</v>
      </c>
    </row>
    <row r="45" customFormat="false" ht="15" hidden="false" customHeight="false" outlineLevel="0" collapsed="false">
      <c r="A45" s="3" t="s">
        <v>735</v>
      </c>
      <c r="B45" s="3" t="s">
        <v>427</v>
      </c>
      <c r="C45" s="3" t="s">
        <v>428</v>
      </c>
      <c r="D45" s="3" t="s">
        <v>192</v>
      </c>
      <c r="E45" s="3" t="s">
        <v>733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7</v>
      </c>
      <c r="J45" s="3" t="n">
        <v>7</v>
      </c>
      <c r="K45" s="3" t="s">
        <v>701</v>
      </c>
      <c r="L45" s="13" t="n">
        <f aca="false">G45*(I45+J45)/2</f>
        <v>2988.27662288059</v>
      </c>
      <c r="M45" s="13" t="n">
        <f aca="false">H45*J45-L45</f>
        <v>214.438425688449</v>
      </c>
      <c r="N45" s="13" t="n">
        <f aca="false">L45+M45</f>
        <v>3202.71504856904</v>
      </c>
      <c r="O45" s="3" t="s">
        <v>734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3214.43842568845</v>
      </c>
      <c r="U45" s="3" t="s">
        <v>731</v>
      </c>
      <c r="V45" s="16" t="n">
        <v>2000</v>
      </c>
      <c r="W45" s="17" t="n">
        <f aca="false">T45/V45</f>
        <v>1.60721921284422</v>
      </c>
    </row>
    <row r="46" customFormat="false" ht="15" hidden="false" customHeight="false" outlineLevel="0" collapsed="false">
      <c r="A46" s="3" t="s">
        <v>736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737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738</v>
      </c>
      <c r="B47" s="3" t="s">
        <v>510</v>
      </c>
      <c r="C47" s="3" t="s">
        <v>511</v>
      </c>
      <c r="D47" s="3" t="s">
        <v>192</v>
      </c>
      <c r="E47" s="3" t="s">
        <v>739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7</v>
      </c>
      <c r="J47" s="3" t="n">
        <v>7</v>
      </c>
      <c r="K47" s="3" t="s">
        <v>634</v>
      </c>
      <c r="L47" s="13" t="n">
        <f aca="false">G47*(I47+J47)/2</f>
        <v>21.1591664464672</v>
      </c>
      <c r="M47" s="13" t="n">
        <f aca="false">H47*J47-L47</f>
        <v>0</v>
      </c>
      <c r="N47" s="13" t="n">
        <f aca="false">L47+M47</f>
        <v>21.1591664464672</v>
      </c>
      <c r="O47" s="3" t="s">
        <v>740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200</v>
      </c>
      <c r="U47" s="3" t="s">
        <v>731</v>
      </c>
      <c r="V47" s="16" t="n">
        <v>1000</v>
      </c>
      <c r="W47" s="17" t="n">
        <f aca="false">T47/V47</f>
        <v>0.2</v>
      </c>
    </row>
    <row r="48" customFormat="false" ht="15" hidden="false" customHeight="false" outlineLevel="0" collapsed="false">
      <c r="A48" s="3" t="s">
        <v>741</v>
      </c>
      <c r="B48" s="3" t="s">
        <v>513</v>
      </c>
      <c r="C48" s="3" t="s">
        <v>514</v>
      </c>
      <c r="D48" s="3" t="s">
        <v>192</v>
      </c>
      <c r="E48" s="3" t="s">
        <v>733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15</v>
      </c>
      <c r="J48" s="3" t="n">
        <v>15</v>
      </c>
      <c r="K48" s="3" t="s">
        <v>634</v>
      </c>
      <c r="L48" s="13" t="n">
        <f aca="false">G48*(I48+J48)/2</f>
        <v>72.6918626584284</v>
      </c>
      <c r="M48" s="13" t="n">
        <f aca="false">H48*J48-L48</f>
        <v>0</v>
      </c>
      <c r="N48" s="13" t="n">
        <f aca="false">L48+M48</f>
        <v>72.6918626584284</v>
      </c>
      <c r="O48" s="3" t="s">
        <v>740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600</v>
      </c>
      <c r="U48" s="3" t="s">
        <v>731</v>
      </c>
      <c r="V48" s="16" t="n">
        <v>1000</v>
      </c>
      <c r="W48" s="17" t="n">
        <f aca="false">T48/V48</f>
        <v>0.6</v>
      </c>
    </row>
    <row r="49" customFormat="false" ht="15" hidden="false" customHeight="false" outlineLevel="0" collapsed="false">
      <c r="A49" s="3" t="s">
        <v>742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743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744</v>
      </c>
      <c r="B50" s="3" t="s">
        <v>519</v>
      </c>
      <c r="C50" s="3" t="s">
        <v>520</v>
      </c>
      <c r="D50" s="3" t="s">
        <v>192</v>
      </c>
      <c r="E50" s="3" t="s">
        <v>745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30</v>
      </c>
      <c r="J50" s="3" t="n">
        <v>30</v>
      </c>
      <c r="K50" s="3" t="s">
        <v>634</v>
      </c>
      <c r="L50" s="13" t="n">
        <f aca="false">G50*(I50+J50)/2</f>
        <v>23.1297733459878</v>
      </c>
      <c r="M50" s="13" t="n">
        <f aca="false">H50*J50-L50</f>
        <v>0</v>
      </c>
      <c r="N50" s="13" t="n">
        <f aca="false">L50+M50</f>
        <v>23.1297733459878</v>
      </c>
      <c r="O50" s="3" t="s">
        <v>746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50</v>
      </c>
      <c r="U50" s="3" t="s">
        <v>747</v>
      </c>
      <c r="V50" s="16" t="n">
        <v>50</v>
      </c>
      <c r="W50" s="17" t="n">
        <f aca="false">T50/V50</f>
        <v>1</v>
      </c>
    </row>
    <row r="51" customFormat="false" ht="15" hidden="false" customHeight="false" outlineLevel="0" collapsed="false">
      <c r="A51" s="3" t="s">
        <v>748</v>
      </c>
      <c r="B51" s="3" t="s">
        <v>522</v>
      </c>
      <c r="C51" s="3" t="s">
        <v>523</v>
      </c>
      <c r="D51" s="3" t="s">
        <v>524</v>
      </c>
      <c r="E51" s="3" t="s">
        <v>739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7</v>
      </c>
      <c r="J51" s="3" t="n">
        <v>7</v>
      </c>
      <c r="K51" s="3" t="s">
        <v>634</v>
      </c>
      <c r="L51" s="13" t="n">
        <f aca="false">G51*(I51+J51)/2</f>
        <v>14.7416315957799</v>
      </c>
      <c r="M51" s="13" t="n">
        <f aca="false">H51*J51-L51</f>
        <v>0</v>
      </c>
      <c r="N51" s="13" t="n">
        <f aca="false">L51+M51</f>
        <v>14.7416315957799</v>
      </c>
      <c r="O51" s="3" t="s">
        <v>749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747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750</v>
      </c>
      <c r="B52" s="3" t="s">
        <v>526</v>
      </c>
      <c r="C52" s="3" t="s">
        <v>527</v>
      </c>
      <c r="D52" s="3" t="s">
        <v>524</v>
      </c>
      <c r="E52" s="3" t="s">
        <v>739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7</v>
      </c>
      <c r="J52" s="3" t="n">
        <v>7</v>
      </c>
      <c r="K52" s="3" t="s">
        <v>634</v>
      </c>
      <c r="L52" s="13" t="n">
        <f aca="false">G52*(I52+J52)/2</f>
        <v>215.337880733179</v>
      </c>
      <c r="M52" s="13" t="n">
        <f aca="false">H52*J52-L52</f>
        <v>0</v>
      </c>
      <c r="N52" s="13" t="n">
        <f aca="false">L52+M52</f>
        <v>215.337880733179</v>
      </c>
      <c r="O52" s="3" t="s">
        <v>749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620</v>
      </c>
      <c r="U52" s="3" t="s">
        <v>747</v>
      </c>
      <c r="V52" s="16" t="n">
        <v>480</v>
      </c>
      <c r="W52" s="17" t="n">
        <f aca="false">T52/V52</f>
        <v>1.29166666666667</v>
      </c>
    </row>
    <row r="53" customFormat="false" ht="15" hidden="false" customHeight="false" outlineLevel="0" collapsed="false">
      <c r="A53" s="3" t="s">
        <v>751</v>
      </c>
      <c r="B53" s="3" t="s">
        <v>238</v>
      </c>
      <c r="C53" s="3" t="s">
        <v>239</v>
      </c>
      <c r="D53" s="3" t="s">
        <v>214</v>
      </c>
      <c r="E53" s="3" t="s">
        <v>752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20</v>
      </c>
      <c r="J53" s="3" t="n">
        <v>20</v>
      </c>
      <c r="K53" s="3" t="s">
        <v>634</v>
      </c>
      <c r="L53" s="13" t="n">
        <f aca="false">G53*(I53+J53)/2</f>
        <v>2672.7199275</v>
      </c>
      <c r="M53" s="13" t="n">
        <f aca="false">H53*J53-L53</f>
        <v>1175.9967681</v>
      </c>
      <c r="N53" s="13" t="n">
        <f aca="false">L53+M53</f>
        <v>3848.7166956</v>
      </c>
      <c r="O53" s="3" t="s">
        <v>753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7175.9967681</v>
      </c>
      <c r="U53" s="3" t="s">
        <v>678</v>
      </c>
      <c r="V53" s="16" t="n">
        <v>3000</v>
      </c>
      <c r="W53" s="17" t="n">
        <f aca="false">T53/V53</f>
        <v>2.3919989227</v>
      </c>
    </row>
    <row r="54" customFormat="false" ht="15" hidden="false" customHeight="false" outlineLevel="0" collapsed="false">
      <c r="A54" s="3" t="s">
        <v>754</v>
      </c>
      <c r="B54" s="3" t="s">
        <v>241</v>
      </c>
      <c r="C54" s="3" t="s">
        <v>242</v>
      </c>
      <c r="D54" s="3" t="s">
        <v>214</v>
      </c>
      <c r="E54" s="3" t="s">
        <v>752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20</v>
      </c>
      <c r="J54" s="3" t="n">
        <v>20</v>
      </c>
      <c r="K54" s="3" t="s">
        <v>634</v>
      </c>
      <c r="L54" s="13" t="n">
        <f aca="false">G54*(I54+J54)/2</f>
        <v>3474.70884195422</v>
      </c>
      <c r="M54" s="13" t="n">
        <f aca="false">H54*J54-L54</f>
        <v>1111.90682942535</v>
      </c>
      <c r="N54" s="13" t="n">
        <f aca="false">L54+M54</f>
        <v>4586.61567137957</v>
      </c>
      <c r="O54" s="3" t="s">
        <v>755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7111.90682942535</v>
      </c>
      <c r="U54" s="3" t="s">
        <v>678</v>
      </c>
      <c r="V54" s="16" t="n">
        <v>1500</v>
      </c>
      <c r="W54" s="17" t="n">
        <f aca="false">T54/V54</f>
        <v>4.7412712196169</v>
      </c>
    </row>
    <row r="55" customFormat="false" ht="15" hidden="false" customHeight="false" outlineLevel="0" collapsed="false">
      <c r="A55" s="3" t="s">
        <v>756</v>
      </c>
      <c r="B55" s="3" t="s">
        <v>446</v>
      </c>
      <c r="C55" s="3" t="s">
        <v>447</v>
      </c>
      <c r="D55" s="3" t="s">
        <v>214</v>
      </c>
      <c r="E55" s="3" t="s">
        <v>752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20</v>
      </c>
      <c r="J55" s="3" t="n">
        <v>20</v>
      </c>
      <c r="K55" s="3" t="s">
        <v>701</v>
      </c>
      <c r="L55" s="13" t="n">
        <f aca="false">G55*(I55+J55)/2</f>
        <v>37.7725444333333</v>
      </c>
      <c r="M55" s="13" t="n">
        <f aca="false">H55*J55-L55</f>
        <v>3.02180355466667</v>
      </c>
      <c r="N55" s="13" t="n">
        <f aca="false">L55+M55</f>
        <v>40.794347988</v>
      </c>
      <c r="O55" s="3" t="s">
        <v>757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53.0218035546667</v>
      </c>
      <c r="U55" s="3" t="s">
        <v>697</v>
      </c>
      <c r="V55" s="16" t="n">
        <v>200</v>
      </c>
      <c r="W55" s="17" t="n">
        <f aca="false">T55/V55</f>
        <v>0.265109017773333</v>
      </c>
    </row>
    <row r="56" customFormat="false" ht="15" hidden="false" customHeight="false" outlineLevel="0" collapsed="false">
      <c r="A56" s="3" t="s">
        <v>758</v>
      </c>
      <c r="B56" s="3" t="s">
        <v>449</v>
      </c>
      <c r="C56" s="3" t="s">
        <v>450</v>
      </c>
      <c r="D56" s="3" t="s">
        <v>214</v>
      </c>
      <c r="E56" s="3" t="s">
        <v>752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20</v>
      </c>
      <c r="J56" s="3" t="n">
        <v>20</v>
      </c>
      <c r="K56" s="3" t="s">
        <v>701</v>
      </c>
      <c r="L56" s="13" t="n">
        <f aca="false">G56*(I56+J56)/2</f>
        <v>113.41715944211</v>
      </c>
      <c r="M56" s="13" t="n">
        <f aca="false">H56*J56-L56</f>
        <v>9.07337275536878</v>
      </c>
      <c r="N56" s="13" t="n">
        <f aca="false">L56+M56</f>
        <v>122.490532197479</v>
      </c>
      <c r="O56" s="3" t="s">
        <v>757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139.073372755369</v>
      </c>
      <c r="U56" s="3" t="s">
        <v>697</v>
      </c>
      <c r="V56" s="16" t="n">
        <v>200</v>
      </c>
      <c r="W56" s="17" t="n">
        <f aca="false">T56/V56</f>
        <v>0.695366863776844</v>
      </c>
    </row>
    <row r="57" customFormat="false" ht="15" hidden="false" customHeight="false" outlineLevel="0" collapsed="false">
      <c r="A57" s="3" t="s">
        <v>759</v>
      </c>
      <c r="B57" s="3" t="s">
        <v>244</v>
      </c>
      <c r="C57" s="3" t="s">
        <v>245</v>
      </c>
      <c r="D57" s="3" t="s">
        <v>214</v>
      </c>
      <c r="E57" s="3" t="s">
        <v>760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20</v>
      </c>
      <c r="J57" s="3" t="n">
        <v>20</v>
      </c>
      <c r="K57" s="3" t="s">
        <v>701</v>
      </c>
      <c r="L57" s="13" t="n">
        <f aca="false">G57*(I57+J57)/2</f>
        <v>6298.61847332966</v>
      </c>
      <c r="M57" s="13" t="n">
        <f aca="false">H57*J57-L57</f>
        <v>2299.99877383539</v>
      </c>
      <c r="N57" s="13" t="n">
        <f aca="false">L57+M57</f>
        <v>8598.61724716505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10899.9987738354</v>
      </c>
      <c r="U57" s="3" t="s">
        <v>678</v>
      </c>
      <c r="V57" s="16" t="n">
        <v>3000</v>
      </c>
      <c r="W57" s="17" t="n">
        <f aca="false">T57/V57</f>
        <v>3.6333329246118</v>
      </c>
    </row>
    <row r="58" customFormat="false" ht="15" hidden="false" customHeight="false" outlineLevel="0" collapsed="false">
      <c r="A58" s="3" t="s">
        <v>761</v>
      </c>
      <c r="B58" s="3" t="s">
        <v>247</v>
      </c>
      <c r="C58" s="3" t="s">
        <v>248</v>
      </c>
      <c r="D58" s="3" t="s">
        <v>214</v>
      </c>
      <c r="E58" s="3" t="s">
        <v>762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15</v>
      </c>
      <c r="J58" s="3" t="n">
        <v>15</v>
      </c>
      <c r="K58" s="3" t="s">
        <v>634</v>
      </c>
      <c r="L58" s="13" t="n">
        <f aca="false">G58*(I58+J58)/2</f>
        <v>464.05365275</v>
      </c>
      <c r="M58" s="13" t="n">
        <f aca="false">H58*J58-L58</f>
        <v>148.49716888</v>
      </c>
      <c r="N58" s="13" t="n">
        <f aca="false">L58+M58</f>
        <v>612.55082163</v>
      </c>
      <c r="O58" s="3" t="s">
        <v>763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1148.49716888</v>
      </c>
      <c r="U58" s="3" t="s">
        <v>678</v>
      </c>
      <c r="V58" s="16" t="n">
        <v>6000</v>
      </c>
      <c r="W58" s="17" t="n">
        <f aca="false">T58/V58</f>
        <v>0.191416194813333</v>
      </c>
    </row>
    <row r="59" customFormat="false" ht="15" hidden="false" customHeight="false" outlineLevel="0" collapsed="false">
      <c r="A59" s="3" t="s">
        <v>764</v>
      </c>
      <c r="B59" s="3" t="s">
        <v>250</v>
      </c>
      <c r="C59" s="3" t="s">
        <v>251</v>
      </c>
      <c r="D59" s="3" t="s">
        <v>214</v>
      </c>
      <c r="E59" s="3" t="s">
        <v>762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15</v>
      </c>
      <c r="J59" s="3" t="n">
        <v>15</v>
      </c>
      <c r="K59" s="3" t="s">
        <v>634</v>
      </c>
      <c r="L59" s="13" t="n">
        <f aca="false">G59*(I59+J59)/2</f>
        <v>2026.79816789085</v>
      </c>
      <c r="M59" s="13" t="n">
        <f aca="false">H59*J59-L59</f>
        <v>648.575413725073</v>
      </c>
      <c r="N59" s="13" t="n">
        <f aca="false">L59+M59</f>
        <v>2675.37358161593</v>
      </c>
      <c r="O59" s="3" t="s">
        <v>763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4248.57541372507</v>
      </c>
      <c r="U59" s="3" t="s">
        <v>678</v>
      </c>
      <c r="V59" s="16" t="n">
        <v>6000</v>
      </c>
      <c r="W59" s="17" t="n">
        <f aca="false">T59/V59</f>
        <v>0.708095902287512</v>
      </c>
    </row>
    <row r="60" customFormat="false" ht="15" hidden="false" customHeight="false" outlineLevel="0" collapsed="false">
      <c r="A60" s="3" t="s">
        <v>765</v>
      </c>
      <c r="B60" s="3" t="s">
        <v>253</v>
      </c>
      <c r="C60" s="3" t="s">
        <v>254</v>
      </c>
      <c r="D60" s="3" t="s">
        <v>214</v>
      </c>
      <c r="E60" s="3" t="s">
        <v>762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15</v>
      </c>
      <c r="J60" s="3" t="n">
        <v>15</v>
      </c>
      <c r="K60" s="3" t="s">
        <v>634</v>
      </c>
      <c r="L60" s="13" t="n">
        <f aca="false">G60*(I60+J60)/2</f>
        <v>115.179810824812</v>
      </c>
      <c r="M60" s="13" t="n">
        <f aca="false">H60*J60-L60</f>
        <v>36.8575394639397</v>
      </c>
      <c r="N60" s="13" t="n">
        <f aca="false">L60+M60</f>
        <v>152.037350288751</v>
      </c>
      <c r="O60" s="3" t="s">
        <v>763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436.85753946394</v>
      </c>
      <c r="U60" s="3" t="s">
        <v>678</v>
      </c>
      <c r="V60" s="16" t="n">
        <v>6000</v>
      </c>
      <c r="W60" s="17" t="n">
        <f aca="false">T60/V60</f>
        <v>0.0728095899106566</v>
      </c>
    </row>
    <row r="61" customFormat="false" ht="15" hidden="false" customHeight="false" outlineLevel="0" collapsed="false">
      <c r="A61" s="3" t="s">
        <v>766</v>
      </c>
      <c r="B61" s="3" t="s">
        <v>453</v>
      </c>
      <c r="C61" s="3" t="s">
        <v>454</v>
      </c>
      <c r="D61" s="3" t="s">
        <v>214</v>
      </c>
      <c r="E61" s="3" t="s">
        <v>767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15</v>
      </c>
      <c r="J61" s="3" t="n">
        <v>15</v>
      </c>
      <c r="K61" s="3" t="s">
        <v>634</v>
      </c>
      <c r="L61" s="13" t="n">
        <f aca="false">G61*(I61+J61)/2</f>
        <v>28.329408325</v>
      </c>
      <c r="M61" s="13" t="n">
        <f aca="false">H61*J61-L61</f>
        <v>2.266352666</v>
      </c>
      <c r="N61" s="13" t="n">
        <f aca="false">L61+M61</f>
        <v>30.595760991</v>
      </c>
      <c r="O61" s="3" t="s">
        <v>768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62.266352666</v>
      </c>
      <c r="U61" s="3" t="s">
        <v>697</v>
      </c>
      <c r="V61" s="16" t="n">
        <v>200</v>
      </c>
      <c r="W61" s="17" t="n">
        <f aca="false">T61/V61</f>
        <v>0.31133176333</v>
      </c>
    </row>
    <row r="62" customFormat="false" ht="15" hidden="false" customHeight="false" outlineLevel="0" collapsed="false">
      <c r="A62" s="3" t="s">
        <v>769</v>
      </c>
      <c r="B62" s="3" t="s">
        <v>456</v>
      </c>
      <c r="C62" s="3" t="s">
        <v>457</v>
      </c>
      <c r="D62" s="3" t="s">
        <v>214</v>
      </c>
      <c r="E62" s="3" t="s">
        <v>767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15</v>
      </c>
      <c r="J62" s="3" t="n">
        <v>15</v>
      </c>
      <c r="K62" s="3" t="s">
        <v>634</v>
      </c>
      <c r="L62" s="13" t="n">
        <f aca="false">G62*(I62+J62)/2</f>
        <v>62.3912489262753</v>
      </c>
      <c r="M62" s="13" t="n">
        <f aca="false">H62*J62-L62</f>
        <v>4.99129991410203</v>
      </c>
      <c r="N62" s="13" t="n">
        <f aca="false">L62+M62</f>
        <v>67.3825488403773</v>
      </c>
      <c r="O62" s="3" t="s">
        <v>768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104.991299914102</v>
      </c>
      <c r="U62" s="3" t="s">
        <v>697</v>
      </c>
      <c r="V62" s="16" t="n">
        <v>200</v>
      </c>
      <c r="W62" s="17" t="n">
        <f aca="false">T62/V62</f>
        <v>0.52495649957051</v>
      </c>
    </row>
    <row r="63" customFormat="false" ht="15" hidden="false" customHeight="false" outlineLevel="0" collapsed="false">
      <c r="A63" s="3" t="s">
        <v>770</v>
      </c>
      <c r="B63" s="3" t="s">
        <v>459</v>
      </c>
      <c r="C63" s="3" t="s">
        <v>460</v>
      </c>
      <c r="D63" s="3" t="s">
        <v>214</v>
      </c>
      <c r="E63" s="3" t="s">
        <v>767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15</v>
      </c>
      <c r="J63" s="3" t="n">
        <v>15</v>
      </c>
      <c r="K63" s="3" t="s">
        <v>634</v>
      </c>
      <c r="L63" s="13" t="n">
        <f aca="false">G63*(I63+J63)/2</f>
        <v>13.598116</v>
      </c>
      <c r="M63" s="13" t="n">
        <f aca="false">H63*J63-L63</f>
        <v>1.08784928</v>
      </c>
      <c r="N63" s="13" t="n">
        <f aca="false">L63+M63</f>
        <v>14.68596528</v>
      </c>
      <c r="O63" s="3" t="s">
        <v>768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21.08784928</v>
      </c>
      <c r="U63" s="3" t="s">
        <v>697</v>
      </c>
      <c r="V63" s="16" t="n">
        <v>200</v>
      </c>
      <c r="W63" s="17" t="n">
        <f aca="false">T63/V63</f>
        <v>0.1054392464</v>
      </c>
    </row>
    <row r="64" customFormat="false" ht="15" hidden="false" customHeight="false" outlineLevel="0" collapsed="false">
      <c r="A64" s="3" t="s">
        <v>771</v>
      </c>
      <c r="B64" s="3" t="s">
        <v>462</v>
      </c>
      <c r="C64" s="3" t="s">
        <v>463</v>
      </c>
      <c r="D64" s="3" t="s">
        <v>214</v>
      </c>
      <c r="E64" s="3" t="s">
        <v>767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15</v>
      </c>
      <c r="J64" s="3" t="n">
        <v>15</v>
      </c>
      <c r="K64" s="3" t="s">
        <v>634</v>
      </c>
      <c r="L64" s="13" t="n">
        <f aca="false">G64*(I64+J64)/2</f>
        <v>9.07350465530713</v>
      </c>
      <c r="M64" s="13" t="n">
        <f aca="false">H64*J64-L64</f>
        <v>0.725880372424568</v>
      </c>
      <c r="N64" s="13" t="n">
        <f aca="false">L64+M64</f>
        <v>9.79938502773169</v>
      </c>
      <c r="O64" s="3" t="s">
        <v>768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20.7258803724246</v>
      </c>
      <c r="U64" s="3" t="s">
        <v>697</v>
      </c>
      <c r="V64" s="16" t="n">
        <v>200</v>
      </c>
      <c r="W64" s="17" t="n">
        <f aca="false">T64/V64</f>
        <v>0.103629401862123</v>
      </c>
    </row>
    <row r="65" customFormat="false" ht="15" hidden="false" customHeight="false" outlineLevel="0" collapsed="false">
      <c r="A65" s="3" t="s">
        <v>772</v>
      </c>
      <c r="B65" s="3" t="s">
        <v>256</v>
      </c>
      <c r="C65" s="3" t="s">
        <v>257</v>
      </c>
      <c r="D65" s="3" t="s">
        <v>214</v>
      </c>
      <c r="E65" s="3" t="s">
        <v>760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15</v>
      </c>
      <c r="J65" s="3" t="n">
        <v>15</v>
      </c>
      <c r="K65" s="3" t="s">
        <v>634</v>
      </c>
      <c r="L65" s="13" t="n">
        <f aca="false">G65*(I65+J65)/2</f>
        <v>2004.539945625</v>
      </c>
      <c r="M65" s="13" t="n">
        <f aca="false">H65*J65-L65</f>
        <v>881.997576075</v>
      </c>
      <c r="N65" s="13" t="n">
        <f aca="false">L65+M65</f>
        <v>2886.5375217</v>
      </c>
      <c r="O65" s="3" t="s">
        <v>773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4731.997576075</v>
      </c>
      <c r="U65" s="3" t="s">
        <v>678</v>
      </c>
      <c r="V65" s="16" t="n">
        <v>1500</v>
      </c>
      <c r="W65" s="17" t="n">
        <f aca="false">T65/V65</f>
        <v>3.15466505071667</v>
      </c>
    </row>
    <row r="66" customFormat="false" ht="15" hidden="false" customHeight="false" outlineLevel="0" collapsed="false">
      <c r="A66" s="3" t="s">
        <v>774</v>
      </c>
      <c r="B66" s="3" t="s">
        <v>259</v>
      </c>
      <c r="C66" s="3" t="s">
        <v>260</v>
      </c>
      <c r="D66" s="3" t="s">
        <v>214</v>
      </c>
      <c r="E66" s="3" t="s">
        <v>760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15</v>
      </c>
      <c r="J66" s="3" t="n">
        <v>15</v>
      </c>
      <c r="K66" s="3" t="s">
        <v>634</v>
      </c>
      <c r="L66" s="13" t="n">
        <f aca="false">G66*(I66+J66)/2</f>
        <v>464.05365275</v>
      </c>
      <c r="M66" s="13" t="n">
        <f aca="false">H66*J66-L66</f>
        <v>148.49716888</v>
      </c>
      <c r="N66" s="13" t="n">
        <f aca="false">L66+M66</f>
        <v>612.55082163</v>
      </c>
      <c r="O66" s="3" t="s">
        <v>773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998.49716888</v>
      </c>
      <c r="U66" s="3" t="s">
        <v>678</v>
      </c>
      <c r="V66" s="16" t="n">
        <v>1500</v>
      </c>
      <c r="W66" s="17" t="n">
        <f aca="false">T66/V66</f>
        <v>0.665664779253333</v>
      </c>
    </row>
    <row r="67" customFormat="false" ht="15" hidden="false" customHeight="false" outlineLevel="0" collapsed="false">
      <c r="A67" s="3" t="s">
        <v>775</v>
      </c>
      <c r="B67" s="3" t="s">
        <v>262</v>
      </c>
      <c r="C67" s="3" t="s">
        <v>263</v>
      </c>
      <c r="D67" s="3" t="s">
        <v>214</v>
      </c>
      <c r="E67" s="3" t="s">
        <v>760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15</v>
      </c>
      <c r="J67" s="3" t="n">
        <v>15</v>
      </c>
      <c r="K67" s="3" t="s">
        <v>634</v>
      </c>
      <c r="L67" s="13" t="n">
        <f aca="false">G67*(I67+J67)/2</f>
        <v>2026.79816789085</v>
      </c>
      <c r="M67" s="13" t="n">
        <f aca="false">H67*J67-L67</f>
        <v>648.575413725073</v>
      </c>
      <c r="N67" s="13" t="n">
        <f aca="false">L67+M67</f>
        <v>2675.37358161593</v>
      </c>
      <c r="O67" s="3" t="s">
        <v>773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4248.57541372507</v>
      </c>
      <c r="U67" s="3" t="s">
        <v>678</v>
      </c>
      <c r="V67" s="16" t="n">
        <v>1500</v>
      </c>
      <c r="W67" s="17" t="n">
        <f aca="false">T67/V67</f>
        <v>2.83238360915005</v>
      </c>
    </row>
    <row r="68" customFormat="false" ht="15" hidden="false" customHeight="false" outlineLevel="0" collapsed="false">
      <c r="A68" s="3" t="s">
        <v>776</v>
      </c>
      <c r="B68" s="3" t="s">
        <v>265</v>
      </c>
      <c r="C68" s="3" t="s">
        <v>266</v>
      </c>
      <c r="D68" s="3" t="s">
        <v>214</v>
      </c>
      <c r="E68" s="3" t="s">
        <v>760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15</v>
      </c>
      <c r="J68" s="3" t="n">
        <v>15</v>
      </c>
      <c r="K68" s="3" t="s">
        <v>634</v>
      </c>
      <c r="L68" s="13" t="n">
        <f aca="false">G68*(I68+J68)/2</f>
        <v>115.179810824812</v>
      </c>
      <c r="M68" s="13" t="n">
        <f aca="false">H68*J68-L68</f>
        <v>36.8575394639397</v>
      </c>
      <c r="N68" s="13" t="n">
        <f aca="false">L68+M68</f>
        <v>152.037350288751</v>
      </c>
      <c r="O68" s="3" t="s">
        <v>773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286.85753946394</v>
      </c>
      <c r="U68" s="3" t="s">
        <v>678</v>
      </c>
      <c r="V68" s="16" t="n">
        <v>1500</v>
      </c>
      <c r="W68" s="17" t="n">
        <f aca="false">T68/V68</f>
        <v>0.191238359642626</v>
      </c>
    </row>
    <row r="69" customFormat="false" ht="15" hidden="false" customHeight="false" outlineLevel="0" collapsed="false">
      <c r="A69" s="3" t="s">
        <v>777</v>
      </c>
      <c r="B69" s="3" t="s">
        <v>465</v>
      </c>
      <c r="C69" s="3" t="s">
        <v>466</v>
      </c>
      <c r="D69" s="3" t="s">
        <v>214</v>
      </c>
      <c r="E69" s="3" t="s">
        <v>760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15</v>
      </c>
      <c r="J69" s="3" t="n">
        <v>15</v>
      </c>
      <c r="K69" s="3" t="s">
        <v>701</v>
      </c>
      <c r="L69" s="13" t="n">
        <f aca="false">G69*(I69+J69)/2</f>
        <v>28.329408325</v>
      </c>
      <c r="M69" s="13" t="n">
        <f aca="false">H69*J69-L69</f>
        <v>2.266352666</v>
      </c>
      <c r="N69" s="13" t="n">
        <f aca="false">L69+M69</f>
        <v>30.595760991</v>
      </c>
      <c r="O69" s="3" t="s">
        <v>757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52.266352666</v>
      </c>
      <c r="U69" s="3" t="s">
        <v>697</v>
      </c>
      <c r="V69" s="16" t="n">
        <v>120</v>
      </c>
      <c r="W69" s="17" t="n">
        <f aca="false">T69/V69</f>
        <v>0.435552938883333</v>
      </c>
    </row>
    <row r="70" customFormat="false" ht="15" hidden="false" customHeight="false" outlineLevel="0" collapsed="false">
      <c r="A70" s="3" t="s">
        <v>778</v>
      </c>
      <c r="B70" s="3" t="s">
        <v>468</v>
      </c>
      <c r="C70" s="3" t="s">
        <v>469</v>
      </c>
      <c r="D70" s="3" t="s">
        <v>214</v>
      </c>
      <c r="E70" s="3" t="s">
        <v>760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15</v>
      </c>
      <c r="J70" s="3" t="n">
        <v>15</v>
      </c>
      <c r="K70" s="3" t="s">
        <v>701</v>
      </c>
      <c r="L70" s="13" t="n">
        <f aca="false">G70*(I70+J70)/2</f>
        <v>62.3912489262753</v>
      </c>
      <c r="M70" s="13" t="n">
        <f aca="false">H70*J70-L70</f>
        <v>4.99129991410203</v>
      </c>
      <c r="N70" s="13" t="n">
        <f aca="false">L70+M70</f>
        <v>67.3825488403773</v>
      </c>
      <c r="O70" s="3" t="s">
        <v>757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94.991299914102</v>
      </c>
      <c r="U70" s="3" t="s">
        <v>697</v>
      </c>
      <c r="V70" s="16" t="n">
        <v>120</v>
      </c>
      <c r="W70" s="17" t="n">
        <f aca="false">T70/V70</f>
        <v>0.79159416595085</v>
      </c>
    </row>
    <row r="71" customFormat="false" ht="15" hidden="false" customHeight="false" outlineLevel="0" collapsed="false">
      <c r="A71" s="3" t="s">
        <v>779</v>
      </c>
      <c r="B71" s="3" t="s">
        <v>471</v>
      </c>
      <c r="C71" s="3" t="s">
        <v>472</v>
      </c>
      <c r="D71" s="3" t="s">
        <v>214</v>
      </c>
      <c r="E71" s="3" t="s">
        <v>760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15</v>
      </c>
      <c r="J71" s="3" t="n">
        <v>15</v>
      </c>
      <c r="K71" s="3" t="s">
        <v>701</v>
      </c>
      <c r="L71" s="13" t="n">
        <f aca="false">G71*(I71+J71)/2</f>
        <v>13.598116</v>
      </c>
      <c r="M71" s="13" t="n">
        <f aca="false">H71*J71-L71</f>
        <v>1.08784928</v>
      </c>
      <c r="N71" s="13" t="n">
        <f aca="false">L71+M71</f>
        <v>14.68596528</v>
      </c>
      <c r="O71" s="3" t="s">
        <v>757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21.08784928</v>
      </c>
      <c r="U71" s="3" t="s">
        <v>697</v>
      </c>
      <c r="V71" s="16" t="n">
        <v>120</v>
      </c>
      <c r="W71" s="17" t="n">
        <f aca="false">T71/V71</f>
        <v>0.175732077333333</v>
      </c>
    </row>
    <row r="72" customFormat="false" ht="15" hidden="false" customHeight="false" outlineLevel="0" collapsed="false">
      <c r="A72" s="3" t="s">
        <v>780</v>
      </c>
      <c r="B72" s="3" t="s">
        <v>474</v>
      </c>
      <c r="C72" s="3" t="s">
        <v>475</v>
      </c>
      <c r="D72" s="3" t="s">
        <v>214</v>
      </c>
      <c r="E72" s="3" t="s">
        <v>760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15</v>
      </c>
      <c r="J72" s="3" t="n">
        <v>15</v>
      </c>
      <c r="K72" s="3" t="s">
        <v>701</v>
      </c>
      <c r="L72" s="13" t="n">
        <f aca="false">G72*(I72+J72)/2</f>
        <v>9.07350465530713</v>
      </c>
      <c r="M72" s="13" t="n">
        <f aca="false">H72*J72-L72</f>
        <v>0.725880372424568</v>
      </c>
      <c r="N72" s="13" t="n">
        <f aca="false">L72+M72</f>
        <v>9.79938502773169</v>
      </c>
      <c r="O72" s="3" t="s">
        <v>757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20.7258803724246</v>
      </c>
      <c r="U72" s="3" t="s">
        <v>697</v>
      </c>
      <c r="V72" s="16" t="n">
        <v>120</v>
      </c>
      <c r="W72" s="17" t="n">
        <f aca="false">T72/V72</f>
        <v>0.172715669770205</v>
      </c>
    </row>
    <row r="73" customFormat="false" ht="15" hidden="false" customHeight="false" outlineLevel="0" collapsed="false">
      <c r="A73" s="3" t="s">
        <v>781</v>
      </c>
      <c r="B73" s="3" t="s">
        <v>268</v>
      </c>
      <c r="C73" s="3" t="s">
        <v>269</v>
      </c>
      <c r="D73" s="3" t="s">
        <v>214</v>
      </c>
      <c r="E73" s="3" t="s">
        <v>782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783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784</v>
      </c>
      <c r="B74" s="3" t="s">
        <v>271</v>
      </c>
      <c r="C74" s="3" t="s">
        <v>272</v>
      </c>
      <c r="D74" s="3" t="s">
        <v>214</v>
      </c>
      <c r="E74" s="3" t="s">
        <v>782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783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785</v>
      </c>
      <c r="B75" s="3" t="s">
        <v>478</v>
      </c>
      <c r="C75" s="3" t="s">
        <v>479</v>
      </c>
      <c r="D75" s="3" t="s">
        <v>214</v>
      </c>
      <c r="E75" s="3" t="s">
        <v>782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783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786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747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787</v>
      </c>
      <c r="B77" s="3" t="s">
        <v>274</v>
      </c>
      <c r="C77" s="3" t="s">
        <v>275</v>
      </c>
      <c r="D77" s="3" t="s">
        <v>214</v>
      </c>
      <c r="E77" s="3" t="s">
        <v>788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2</v>
      </c>
      <c r="J77" s="3" t="n">
        <v>2</v>
      </c>
      <c r="K77" s="3" t="s">
        <v>789</v>
      </c>
      <c r="L77" s="13" t="n">
        <f aca="false">G77*(I77+J77)/2</f>
        <v>61.8738203666667</v>
      </c>
      <c r="M77" s="13" t="n">
        <f aca="false">H77*J77-L77</f>
        <v>19.7996225173333</v>
      </c>
      <c r="N77" s="13" t="n">
        <f aca="false">L77+M77</f>
        <v>81.673442884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919.799622517333</v>
      </c>
      <c r="U77" s="3" t="s">
        <v>678</v>
      </c>
      <c r="V77" s="16" t="n">
        <v>3000</v>
      </c>
      <c r="W77" s="17" t="n">
        <f aca="false">T77/V77</f>
        <v>0.306599874172444</v>
      </c>
    </row>
    <row r="78" customFormat="false" ht="15" hidden="false" customHeight="false" outlineLevel="0" collapsed="false">
      <c r="A78" s="3" t="s">
        <v>790</v>
      </c>
      <c r="B78" s="3" t="s">
        <v>277</v>
      </c>
      <c r="C78" s="3" t="s">
        <v>278</v>
      </c>
      <c r="D78" s="3" t="s">
        <v>214</v>
      </c>
      <c r="E78" s="3" t="s">
        <v>788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2</v>
      </c>
      <c r="J78" s="3" t="n">
        <v>2</v>
      </c>
      <c r="K78" s="3" t="s">
        <v>789</v>
      </c>
      <c r="L78" s="13" t="n">
        <f aca="false">G78*(I78+J78)/2</f>
        <v>270.23975571878</v>
      </c>
      <c r="M78" s="13" t="n">
        <f aca="false">H78*J78-L78</f>
        <v>86.4767218300097</v>
      </c>
      <c r="N78" s="13" t="n">
        <f aca="false">L78+M78</f>
        <v>356.71647754879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3686.47672183001</v>
      </c>
      <c r="U78" s="3" t="s">
        <v>678</v>
      </c>
      <c r="V78" s="16" t="n">
        <v>3000</v>
      </c>
      <c r="W78" s="17" t="n">
        <f aca="false">T78/V78</f>
        <v>1.22882557394334</v>
      </c>
    </row>
    <row r="79" customFormat="false" ht="15" hidden="false" customHeight="false" outlineLevel="0" collapsed="false">
      <c r="A79" s="3" t="s">
        <v>791</v>
      </c>
      <c r="B79" s="3" t="s">
        <v>280</v>
      </c>
      <c r="C79" s="3" t="s">
        <v>281</v>
      </c>
      <c r="D79" s="3" t="s">
        <v>214</v>
      </c>
      <c r="E79" s="3" t="s">
        <v>788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2</v>
      </c>
      <c r="J79" s="3" t="n">
        <v>2</v>
      </c>
      <c r="K79" s="3" t="s">
        <v>789</v>
      </c>
      <c r="L79" s="13" t="n">
        <f aca="false">G79*(I79+J79)/2</f>
        <v>15.3573081099749</v>
      </c>
      <c r="M79" s="13" t="n">
        <f aca="false">H79*J79-L79</f>
        <v>4.91433859519196</v>
      </c>
      <c r="N79" s="13" t="n">
        <f aca="false">L79+M79</f>
        <v>20.2716467051669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304.914338595192</v>
      </c>
      <c r="U79" s="3" t="s">
        <v>678</v>
      </c>
      <c r="V79" s="16" t="n">
        <v>3000</v>
      </c>
      <c r="W79" s="17" t="n">
        <f aca="false">T79/V79</f>
        <v>0.101638112865064</v>
      </c>
    </row>
    <row r="80" customFormat="false" ht="15" hidden="false" customHeight="false" outlineLevel="0" collapsed="false">
      <c r="A80" s="3" t="s">
        <v>792</v>
      </c>
      <c r="B80" s="3" t="s">
        <v>283</v>
      </c>
      <c r="C80" s="3" t="s">
        <v>284</v>
      </c>
      <c r="D80" s="3" t="s">
        <v>214</v>
      </c>
      <c r="E80" s="3" t="s">
        <v>788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2</v>
      </c>
      <c r="J80" s="3" t="n">
        <v>2</v>
      </c>
      <c r="K80" s="3" t="s">
        <v>789</v>
      </c>
      <c r="L80" s="13" t="n">
        <f aca="false">G80*(I80+J80)/2</f>
        <v>267.27199275</v>
      </c>
      <c r="M80" s="13" t="n">
        <f aca="false">H80*J80-L80</f>
        <v>117.59967681</v>
      </c>
      <c r="N80" s="13" t="n">
        <f aca="false">L80+M80</f>
        <v>384.87166956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4017.59967681</v>
      </c>
      <c r="U80" s="3" t="s">
        <v>678</v>
      </c>
      <c r="V80" s="16" t="n">
        <v>3000</v>
      </c>
      <c r="W80" s="17" t="n">
        <f aca="false">T80/V80</f>
        <v>1.33919989227</v>
      </c>
    </row>
    <row r="81" customFormat="false" ht="15" hidden="false" customHeight="false" outlineLevel="0" collapsed="false">
      <c r="A81" s="3" t="s">
        <v>793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794</v>
      </c>
      <c r="B82" s="3" t="s">
        <v>533</v>
      </c>
      <c r="C82" s="3" t="s">
        <v>534</v>
      </c>
      <c r="D82" s="3" t="s">
        <v>214</v>
      </c>
      <c r="E82" s="3" t="s">
        <v>795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15</v>
      </c>
      <c r="J82" s="3" t="n">
        <v>15</v>
      </c>
      <c r="K82" s="3" t="s">
        <v>634</v>
      </c>
      <c r="L82" s="13" t="n">
        <f aca="false">G82*(I82+J82)/2</f>
        <v>194.110631805263</v>
      </c>
      <c r="M82" s="13" t="n">
        <f aca="false">H82*J82-L82</f>
        <v>0</v>
      </c>
      <c r="N82" s="13" t="n">
        <f aca="false">L82+M82</f>
        <v>194.110631805263</v>
      </c>
      <c r="O82" s="3" t="s">
        <v>796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800</v>
      </c>
      <c r="U82" s="3" t="s">
        <v>747</v>
      </c>
      <c r="V82" s="16" t="n">
        <v>2000</v>
      </c>
      <c r="W82" s="17" t="n">
        <f aca="false">T82/V82</f>
        <v>0.4</v>
      </c>
    </row>
    <row r="83" customFormat="false" ht="15" hidden="false" customHeight="false" outlineLevel="0" collapsed="false">
      <c r="A83" s="3" t="s">
        <v>797</v>
      </c>
      <c r="B83" s="3" t="s">
        <v>289</v>
      </c>
      <c r="C83" s="3" t="s">
        <v>290</v>
      </c>
      <c r="D83" s="3" t="s">
        <v>214</v>
      </c>
      <c r="E83" s="3" t="s">
        <v>798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799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800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801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802</v>
      </c>
      <c r="B84" s="3" t="s">
        <v>292</v>
      </c>
      <c r="C84" s="3" t="s">
        <v>293</v>
      </c>
      <c r="D84" s="3" t="s">
        <v>214</v>
      </c>
      <c r="E84" s="3" t="s">
        <v>798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799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800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801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803</v>
      </c>
      <c r="B85" s="3" t="s">
        <v>295</v>
      </c>
      <c r="C85" s="3" t="s">
        <v>296</v>
      </c>
      <c r="D85" s="3" t="s">
        <v>214</v>
      </c>
      <c r="E85" s="3" t="s">
        <v>798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799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800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801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804</v>
      </c>
      <c r="B86" s="3" t="s">
        <v>298</v>
      </c>
      <c r="C86" s="3" t="s">
        <v>299</v>
      </c>
      <c r="D86" s="3" t="s">
        <v>214</v>
      </c>
      <c r="E86" s="3" t="s">
        <v>805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806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800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801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807</v>
      </c>
      <c r="B87" s="3" t="s">
        <v>481</v>
      </c>
      <c r="C87" s="3" t="s">
        <v>482</v>
      </c>
      <c r="D87" s="3" t="s">
        <v>214</v>
      </c>
      <c r="E87" s="3" t="s">
        <v>805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806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800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801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808</v>
      </c>
      <c r="B88" s="3" t="s">
        <v>484</v>
      </c>
      <c r="C88" s="3" t="s">
        <v>485</v>
      </c>
      <c r="D88" s="3" t="s">
        <v>214</v>
      </c>
      <c r="E88" s="3" t="s">
        <v>805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806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800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801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809</v>
      </c>
      <c r="B89" s="3" t="s">
        <v>487</v>
      </c>
      <c r="C89" s="3" t="s">
        <v>488</v>
      </c>
      <c r="D89" s="3" t="s">
        <v>214</v>
      </c>
      <c r="E89" s="3" t="s">
        <v>805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806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800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801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810</v>
      </c>
      <c r="B90" s="3" t="s">
        <v>490</v>
      </c>
      <c r="C90" s="3" t="s">
        <v>491</v>
      </c>
      <c r="D90" s="3" t="s">
        <v>214</v>
      </c>
      <c r="E90" s="3" t="s">
        <v>805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806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800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801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811</v>
      </c>
      <c r="B91" s="3" t="s">
        <v>301</v>
      </c>
      <c r="C91" s="3" t="s">
        <v>302</v>
      </c>
      <c r="D91" s="3" t="s">
        <v>214</v>
      </c>
      <c r="E91" s="3" t="s">
        <v>812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10</v>
      </c>
      <c r="J91" s="3" t="n">
        <v>10</v>
      </c>
      <c r="K91" s="3" t="s">
        <v>634</v>
      </c>
      <c r="L91" s="13" t="n">
        <f aca="false">G91*(I91+J91)/2</f>
        <v>2405.39462895774</v>
      </c>
      <c r="M91" s="13" t="n">
        <f aca="false">H91*J91-L91</f>
        <v>878.352089528677</v>
      </c>
      <c r="N91" s="13" t="n">
        <f aca="false">L91+M91</f>
        <v>3283.74671848642</v>
      </c>
      <c r="O91" s="3" t="s">
        <v>813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7878.35208952868</v>
      </c>
      <c r="U91" s="3" t="s">
        <v>801</v>
      </c>
      <c r="V91" s="16" t="n">
        <v>10000</v>
      </c>
      <c r="W91" s="17" t="n">
        <f aca="false">T91/V91</f>
        <v>0.787835208952868</v>
      </c>
    </row>
    <row r="92" customFormat="false" ht="15" hidden="false" customHeight="false" outlineLevel="0" collapsed="false">
      <c r="A92" s="3" t="s">
        <v>814</v>
      </c>
      <c r="B92" s="3" t="s">
        <v>305</v>
      </c>
      <c r="C92" s="3" t="s">
        <v>306</v>
      </c>
      <c r="D92" s="3" t="s">
        <v>214</v>
      </c>
      <c r="E92" s="3" t="s">
        <v>815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10</v>
      </c>
      <c r="J92" s="3" t="n">
        <v>10</v>
      </c>
      <c r="K92" s="3" t="s">
        <v>634</v>
      </c>
      <c r="L92" s="13" t="n">
        <f aca="false">G92*(I92+J92)/2</f>
        <v>3149.30923666483</v>
      </c>
      <c r="M92" s="13" t="n">
        <f aca="false">H92*J92-L92</f>
        <v>1149.99938691769</v>
      </c>
      <c r="N92" s="13" t="n">
        <f aca="false">L92+M92</f>
        <v>4299.30862358252</v>
      </c>
      <c r="O92" s="3" t="s">
        <v>813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10149.9993869177</v>
      </c>
      <c r="U92" s="3" t="s">
        <v>801</v>
      </c>
      <c r="V92" s="16" t="n">
        <v>10000</v>
      </c>
      <c r="W92" s="17" t="n">
        <f aca="false">T92/V92</f>
        <v>1.01499993869177</v>
      </c>
    </row>
    <row r="93" customFormat="false" ht="15" hidden="false" customHeight="false" outlineLevel="0" collapsed="false">
      <c r="A93" s="3" t="s">
        <v>816</v>
      </c>
      <c r="B93" s="3" t="s">
        <v>308</v>
      </c>
      <c r="C93" s="3" t="s">
        <v>309</v>
      </c>
      <c r="D93" s="3" t="s">
        <v>214</v>
      </c>
      <c r="E93" s="3" t="s">
        <v>817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172.921954753331</v>
      </c>
      <c r="I93" s="3" t="n">
        <v>1</v>
      </c>
      <c r="J93" s="3" t="n">
        <v>1</v>
      </c>
      <c r="K93" s="3" t="s">
        <v>818</v>
      </c>
      <c r="L93" s="13" t="n">
        <f aca="false">G93*(I93+J93)/2</f>
        <v>154.116454396717</v>
      </c>
      <c r="M93" s="13" t="n">
        <f aca="false">H93*J93-L93</f>
        <v>18.8055003566137</v>
      </c>
      <c r="N93" s="13" t="n">
        <f aca="false">L93+M93</f>
        <v>172.921954753331</v>
      </c>
      <c r="O93" s="3" t="s">
        <v>813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3518.80550035661</v>
      </c>
      <c r="U93" s="3" t="s">
        <v>801</v>
      </c>
      <c r="V93" s="16" t="n">
        <v>10000</v>
      </c>
      <c r="W93" s="17" t="n">
        <f aca="false">T93/V93</f>
        <v>0.351880550035661</v>
      </c>
    </row>
    <row r="94" customFormat="false" ht="15" hidden="false" customHeight="false" outlineLevel="0" collapsed="false">
      <c r="A94" s="3" t="s">
        <v>819</v>
      </c>
      <c r="B94" s="3" t="s">
        <v>312</v>
      </c>
      <c r="C94" s="3" t="s">
        <v>313</v>
      </c>
      <c r="D94" s="3" t="s">
        <v>214</v>
      </c>
      <c r="E94" s="3" t="s">
        <v>798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799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800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801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820</v>
      </c>
      <c r="B95" s="3" t="s">
        <v>315</v>
      </c>
      <c r="C95" s="3" t="s">
        <v>316</v>
      </c>
      <c r="D95" s="3" t="s">
        <v>214</v>
      </c>
      <c r="E95" s="3" t="s">
        <v>798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799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800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801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821</v>
      </c>
      <c r="B96" s="3" t="s">
        <v>318</v>
      </c>
      <c r="C96" s="3" t="s">
        <v>319</v>
      </c>
      <c r="D96" s="3" t="s">
        <v>214</v>
      </c>
      <c r="E96" s="3" t="s">
        <v>822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823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801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824</v>
      </c>
      <c r="B97" s="3" t="s">
        <v>321</v>
      </c>
      <c r="C97" s="3" t="s">
        <v>322</v>
      </c>
      <c r="D97" s="3" t="s">
        <v>214</v>
      </c>
      <c r="E97" s="3" t="s">
        <v>798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799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800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801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825</v>
      </c>
      <c r="B98" s="3" t="s">
        <v>324</v>
      </c>
      <c r="C98" s="3" t="s">
        <v>325</v>
      </c>
      <c r="D98" s="3" t="s">
        <v>214</v>
      </c>
      <c r="E98" s="3" t="s">
        <v>826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10</v>
      </c>
      <c r="J98" s="3" t="n">
        <v>10</v>
      </c>
      <c r="K98" s="3" t="s">
        <v>634</v>
      </c>
      <c r="L98" s="13" t="n">
        <f aca="false">G98*(I98+J98)/2</f>
        <v>7106.16666666667</v>
      </c>
      <c r="M98" s="13" t="n">
        <f aca="false">H98*J98-L98</f>
        <v>3126.71333333333</v>
      </c>
      <c r="N98" s="13" t="n">
        <f aca="false">L98+M98</f>
        <v>10232.88</v>
      </c>
      <c r="O98" s="3" t="s">
        <v>827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28126.7133333333</v>
      </c>
      <c r="U98" s="3" t="s">
        <v>828</v>
      </c>
      <c r="V98" s="16" t="n">
        <v>40000</v>
      </c>
      <c r="W98" s="17" t="n">
        <f aca="false">T98/V98</f>
        <v>0.703167833333333</v>
      </c>
    </row>
    <row r="99" customFormat="false" ht="15" hidden="false" customHeight="false" outlineLevel="0" collapsed="false">
      <c r="A99" s="3" t="s">
        <v>829</v>
      </c>
      <c r="B99" s="3" t="s">
        <v>327</v>
      </c>
      <c r="C99" s="3" t="s">
        <v>328</v>
      </c>
      <c r="D99" s="3" t="s">
        <v>214</v>
      </c>
      <c r="E99" s="3" t="s">
        <v>826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10</v>
      </c>
      <c r="J99" s="3" t="n">
        <v>10</v>
      </c>
      <c r="K99" s="3" t="s">
        <v>634</v>
      </c>
      <c r="L99" s="13" t="n">
        <f aca="false">G99*(I99+J99)/2</f>
        <v>1776.04166666667</v>
      </c>
      <c r="M99" s="13" t="n">
        <f aca="false">H99*J99-L99</f>
        <v>558.033333333333</v>
      </c>
      <c r="N99" s="13" t="n">
        <f aca="false">L99+M99</f>
        <v>2334.075</v>
      </c>
      <c r="O99" s="3" t="s">
        <v>827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5558.03333333333</v>
      </c>
      <c r="U99" s="3" t="s">
        <v>828</v>
      </c>
      <c r="V99" s="16" t="n">
        <v>40000</v>
      </c>
      <c r="W99" s="17" t="n">
        <f aca="false">T99/V99</f>
        <v>0.138950833333333</v>
      </c>
    </row>
    <row r="100" customFormat="false" ht="15" hidden="false" customHeight="false" outlineLevel="0" collapsed="false">
      <c r="A100" s="3" t="s">
        <v>830</v>
      </c>
      <c r="B100" s="3" t="s">
        <v>501</v>
      </c>
      <c r="C100" s="3" t="s">
        <v>502</v>
      </c>
      <c r="D100" s="3" t="s">
        <v>214</v>
      </c>
      <c r="E100" s="3" t="s">
        <v>826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10</v>
      </c>
      <c r="J100" s="3" t="n">
        <v>10</v>
      </c>
      <c r="K100" s="3" t="s">
        <v>634</v>
      </c>
      <c r="L100" s="13" t="n">
        <f aca="false">G100*(I100+J100)/2</f>
        <v>10.7083333333333</v>
      </c>
      <c r="M100" s="13" t="n">
        <f aca="false">H100*J100-L100</f>
        <v>0.856666666666666</v>
      </c>
      <c r="N100" s="13" t="n">
        <f aca="false">L100+M100</f>
        <v>11.565</v>
      </c>
      <c r="O100" s="3" t="s">
        <v>827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5000.85666666667</v>
      </c>
      <c r="U100" s="3" t="s">
        <v>828</v>
      </c>
      <c r="V100" s="16" t="n">
        <v>40000</v>
      </c>
      <c r="W100" s="17" t="n">
        <f aca="false">T100/V100</f>
        <v>0.125021416666667</v>
      </c>
    </row>
    <row r="101" customFormat="false" ht="15" hidden="false" customHeight="false" outlineLevel="0" collapsed="false">
      <c r="A101" s="3" t="s">
        <v>831</v>
      </c>
      <c r="B101" s="3" t="s">
        <v>330</v>
      </c>
      <c r="C101" s="3" t="s">
        <v>331</v>
      </c>
      <c r="D101" s="3" t="s">
        <v>214</v>
      </c>
      <c r="E101" s="3" t="s">
        <v>832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833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813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801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834</v>
      </c>
      <c r="B102" s="3" t="s">
        <v>536</v>
      </c>
      <c r="C102" s="3" t="s">
        <v>537</v>
      </c>
      <c r="D102" s="3" t="s">
        <v>214</v>
      </c>
      <c r="E102" s="3" t="s">
        <v>798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799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835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747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836</v>
      </c>
      <c r="B103" s="3" t="s">
        <v>539</v>
      </c>
      <c r="C103" s="3" t="s">
        <v>540</v>
      </c>
      <c r="D103" s="3" t="s">
        <v>214</v>
      </c>
      <c r="E103" s="3" t="s">
        <v>822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823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747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837</v>
      </c>
      <c r="B104" s="3" t="s">
        <v>542</v>
      </c>
      <c r="C104" s="3" t="s">
        <v>543</v>
      </c>
      <c r="D104" s="3" t="s">
        <v>214</v>
      </c>
      <c r="E104" s="3" t="s">
        <v>798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799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800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747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838</v>
      </c>
      <c r="B105" s="3" t="s">
        <v>545</v>
      </c>
      <c r="C105" s="3" t="s">
        <v>546</v>
      </c>
      <c r="D105" s="3" t="s">
        <v>214</v>
      </c>
      <c r="E105" s="3" t="s">
        <v>812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10</v>
      </c>
      <c r="J105" s="3" t="n">
        <v>10</v>
      </c>
      <c r="K105" s="3" t="s">
        <v>634</v>
      </c>
      <c r="L105" s="13" t="n">
        <f aca="false">G105*(I105+J105)/2</f>
        <v>3572.27353154723</v>
      </c>
      <c r="M105" s="13" t="n">
        <f aca="false">H105*J105-L105</f>
        <v>0</v>
      </c>
      <c r="N105" s="13" t="n">
        <f aca="false">L105+M105</f>
        <v>3572.27353154723</v>
      </c>
      <c r="O105" s="3" t="s">
        <v>813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747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839</v>
      </c>
      <c r="B106" s="3" t="s">
        <v>548</v>
      </c>
      <c r="C106" s="3" t="s">
        <v>549</v>
      </c>
      <c r="D106" s="3" t="s">
        <v>214</v>
      </c>
      <c r="E106" s="3" t="s">
        <v>812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10</v>
      </c>
      <c r="J106" s="3" t="n">
        <v>10</v>
      </c>
      <c r="K106" s="3" t="s">
        <v>634</v>
      </c>
      <c r="L106" s="13" t="n">
        <f aca="false">G106*(I106+J106)/2</f>
        <v>3572.27353154723</v>
      </c>
      <c r="M106" s="13" t="n">
        <f aca="false">H106*J106-L106</f>
        <v>0</v>
      </c>
      <c r="N106" s="13" t="n">
        <f aca="false">L106+M106</f>
        <v>3572.27353154723</v>
      </c>
      <c r="O106" s="3" t="s">
        <v>813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747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840</v>
      </c>
      <c r="B107" s="3" t="s">
        <v>555</v>
      </c>
      <c r="C107" s="3" t="s">
        <v>556</v>
      </c>
      <c r="D107" s="3" t="s">
        <v>214</v>
      </c>
      <c r="E107" s="3" t="s">
        <v>798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799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800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747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841</v>
      </c>
      <c r="B108" s="3" t="s">
        <v>558</v>
      </c>
      <c r="C108" s="3" t="s">
        <v>559</v>
      </c>
      <c r="D108" s="3" t="s">
        <v>214</v>
      </c>
      <c r="E108" s="3" t="s">
        <v>812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10</v>
      </c>
      <c r="J108" s="3" t="n">
        <v>10</v>
      </c>
      <c r="K108" s="3" t="s">
        <v>634</v>
      </c>
      <c r="L108" s="13" t="n">
        <f aca="false">G108*(I108+J108)/2</f>
        <v>4.28900099977832</v>
      </c>
      <c r="M108" s="13" t="n">
        <f aca="false">H108*J108-L108</f>
        <v>0</v>
      </c>
      <c r="N108" s="13" t="n">
        <f aca="false">L108+M108</f>
        <v>4.28900099977832</v>
      </c>
      <c r="O108" s="3" t="s">
        <v>813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747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842</v>
      </c>
      <c r="B109" s="3" t="s">
        <v>561</v>
      </c>
      <c r="C109" s="3" t="s">
        <v>562</v>
      </c>
      <c r="D109" s="3" t="s">
        <v>214</v>
      </c>
      <c r="E109" s="3" t="s">
        <v>817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818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813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747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843</v>
      </c>
      <c r="B110" s="3" t="s">
        <v>552</v>
      </c>
      <c r="C110" s="3" t="s">
        <v>553</v>
      </c>
      <c r="D110" s="3" t="s">
        <v>524</v>
      </c>
      <c r="E110" s="3" t="s">
        <v>729</v>
      </c>
      <c r="F110" s="13" t="n">
        <f aca="false">CONSOLIDADO!Q109</f>
        <v>279.348843561067</v>
      </c>
      <c r="G110" s="15" t="n">
        <f aca="false">F110/240</f>
        <v>1.16395351483778</v>
      </c>
      <c r="H110" s="15" t="n">
        <f aca="false">CONSOLIDADO!R109/20</f>
        <v>1.16395351483778</v>
      </c>
      <c r="I110" s="3" t="n">
        <v>5</v>
      </c>
      <c r="J110" s="3" t="n">
        <v>5</v>
      </c>
      <c r="K110" s="3" t="s">
        <v>634</v>
      </c>
      <c r="L110" s="13" t="n">
        <f aca="false">G110*(I110+J110)/2</f>
        <v>5.81976757418889</v>
      </c>
      <c r="M110" s="13" t="n">
        <f aca="false">H110*J110-L110</f>
        <v>0</v>
      </c>
      <c r="N110" s="13" t="n">
        <f aca="false">L110+M110</f>
        <v>5.81976757418889</v>
      </c>
      <c r="O110" s="3" t="s">
        <v>844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11.6395351483778</v>
      </c>
      <c r="T110" s="13" t="n">
        <f aca="false">M110+R110*P110</f>
        <v>24</v>
      </c>
      <c r="U110" s="3" t="s">
        <v>747</v>
      </c>
      <c r="V110" s="16" t="n">
        <v>200</v>
      </c>
      <c r="W110" s="17" t="n">
        <f aca="false">T110/V110</f>
        <v>0.12</v>
      </c>
    </row>
    <row r="111" customFormat="false" ht="15" hidden="false" customHeight="false" outlineLevel="0" collapsed="false">
      <c r="A111" s="3" t="s">
        <v>845</v>
      </c>
      <c r="B111" s="3" t="s">
        <v>333</v>
      </c>
      <c r="C111" s="3" t="s">
        <v>334</v>
      </c>
      <c r="D111" s="3" t="s">
        <v>214</v>
      </c>
      <c r="E111" s="3" t="s">
        <v>846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847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848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828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849</v>
      </c>
      <c r="B112" s="3" t="s">
        <v>336</v>
      </c>
      <c r="C112" s="3" t="s">
        <v>337</v>
      </c>
      <c r="D112" s="3" t="s">
        <v>214</v>
      </c>
      <c r="E112" s="3" t="s">
        <v>846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847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848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828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850</v>
      </c>
      <c r="B113" s="3" t="s">
        <v>339</v>
      </c>
      <c r="C113" s="3" t="s">
        <v>340</v>
      </c>
      <c r="D113" s="3" t="s">
        <v>214</v>
      </c>
      <c r="E113" s="3" t="s">
        <v>846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847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848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828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851</v>
      </c>
      <c r="B114" s="3" t="s">
        <v>342</v>
      </c>
      <c r="C114" s="3" t="s">
        <v>343</v>
      </c>
      <c r="D114" s="3" t="s">
        <v>214</v>
      </c>
      <c r="E114" s="3" t="s">
        <v>846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847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848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828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852</v>
      </c>
      <c r="B115" s="3" t="s">
        <v>345</v>
      </c>
      <c r="C115" s="3" t="s">
        <v>346</v>
      </c>
      <c r="D115" s="3" t="s">
        <v>214</v>
      </c>
      <c r="E115" s="3" t="s">
        <v>798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799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800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828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853</v>
      </c>
      <c r="B116" s="3" t="s">
        <v>348</v>
      </c>
      <c r="C116" s="3" t="s">
        <v>349</v>
      </c>
      <c r="D116" s="3" t="s">
        <v>214</v>
      </c>
      <c r="E116" s="3" t="s">
        <v>854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855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856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828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857</v>
      </c>
      <c r="B117" s="3" t="s">
        <v>351</v>
      </c>
      <c r="C117" s="3" t="s">
        <v>352</v>
      </c>
      <c r="D117" s="3" t="s">
        <v>214</v>
      </c>
      <c r="E117" s="3" t="s">
        <v>798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799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800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828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858</v>
      </c>
      <c r="B118" s="3" t="s">
        <v>575</v>
      </c>
      <c r="C118" s="3" t="s">
        <v>576</v>
      </c>
      <c r="D118" s="3" t="s">
        <v>214</v>
      </c>
      <c r="E118" s="3" t="s">
        <v>788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789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859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860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861</v>
      </c>
      <c r="B119" s="3" t="s">
        <v>578</v>
      </c>
      <c r="C119" s="3" t="s">
        <v>579</v>
      </c>
      <c r="D119" s="3" t="s">
        <v>214</v>
      </c>
      <c r="E119" s="3" t="s">
        <v>788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789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859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860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862</v>
      </c>
      <c r="B120" s="3" t="s">
        <v>581</v>
      </c>
      <c r="C120" s="3" t="s">
        <v>582</v>
      </c>
      <c r="D120" s="3" t="s">
        <v>214</v>
      </c>
      <c r="E120" s="3" t="s">
        <v>788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1.66573338598334</v>
      </c>
      <c r="I120" s="3" t="n">
        <v>2</v>
      </c>
      <c r="J120" s="3" t="n">
        <v>2</v>
      </c>
      <c r="K120" s="3" t="s">
        <v>789</v>
      </c>
      <c r="L120" s="13" t="n">
        <f aca="false">G120*(I120+J120)/2</f>
        <v>3.47027788746528</v>
      </c>
      <c r="M120" s="13" t="n">
        <f aca="false">H120*J120-L120</f>
        <v>-0.138811115498611</v>
      </c>
      <c r="N120" s="13" t="n">
        <f aca="false">L120+M120</f>
        <v>3.33146677196667</v>
      </c>
      <c r="O120" s="3" t="s">
        <v>859</v>
      </c>
      <c r="P120" s="16" t="n">
        <v>1</v>
      </c>
      <c r="Q120" s="3" t="n">
        <v>20</v>
      </c>
      <c r="R120" s="3" t="n">
        <f aca="false">MAX(1,CEILING(H120*Q120/P120,1))</f>
        <v>34</v>
      </c>
      <c r="S120" s="17" t="n">
        <f aca="false">F120/(R120*P120)</f>
        <v>12.2480396028187</v>
      </c>
      <c r="T120" s="13" t="n">
        <f aca="false">M120+R120*P120</f>
        <v>33.8611888845014</v>
      </c>
      <c r="U120" s="3" t="s">
        <v>860</v>
      </c>
      <c r="V120" s="16" t="n">
        <v>60</v>
      </c>
      <c r="W120" s="17" t="n">
        <f aca="false">T120/V120</f>
        <v>0.564353148075023</v>
      </c>
    </row>
    <row r="121" customFormat="false" ht="15" hidden="false" customHeight="false" outlineLevel="0" collapsed="false">
      <c r="A121" s="3" t="s">
        <v>863</v>
      </c>
      <c r="B121" s="3" t="s">
        <v>584</v>
      </c>
      <c r="C121" s="3" t="s">
        <v>585</v>
      </c>
      <c r="D121" s="3" t="s">
        <v>214</v>
      </c>
      <c r="E121" s="3" t="s">
        <v>864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20</v>
      </c>
      <c r="J121" s="3" t="n">
        <v>20</v>
      </c>
      <c r="K121" s="3" t="s">
        <v>634</v>
      </c>
      <c r="L121" s="13" t="n">
        <f aca="false">G121*(I121+J121)/2</f>
        <v>23.1419808678042</v>
      </c>
      <c r="M121" s="13" t="n">
        <f aca="false">H121*J121-L121</f>
        <v>7.40543387769734</v>
      </c>
      <c r="N121" s="13" t="n">
        <f aca="false">L121+M121</f>
        <v>30.5474147455015</v>
      </c>
      <c r="O121" s="3" t="s">
        <v>859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38.4054338776973</v>
      </c>
      <c r="U121" s="3" t="s">
        <v>860</v>
      </c>
      <c r="V121" s="16" t="n">
        <v>180</v>
      </c>
      <c r="W121" s="17" t="n">
        <f aca="false">T121/V121</f>
        <v>0.213363521542763</v>
      </c>
    </row>
    <row r="122" customFormat="false" ht="15" hidden="false" customHeight="false" outlineLevel="0" collapsed="false">
      <c r="A122" s="3" t="s">
        <v>865</v>
      </c>
      <c r="B122" s="3" t="s">
        <v>587</v>
      </c>
      <c r="C122" s="3" t="s">
        <v>588</v>
      </c>
      <c r="D122" s="3" t="s">
        <v>214</v>
      </c>
      <c r="E122" s="3" t="s">
        <v>866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867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859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860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868</v>
      </c>
      <c r="B123" s="3" t="s">
        <v>590</v>
      </c>
      <c r="C123" s="3" t="s">
        <v>591</v>
      </c>
      <c r="D123" s="3" t="s">
        <v>214</v>
      </c>
      <c r="E123" s="3" t="s">
        <v>788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789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859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860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869</v>
      </c>
      <c r="B124" s="3" t="s">
        <v>593</v>
      </c>
      <c r="C124" s="3" t="s">
        <v>594</v>
      </c>
      <c r="D124" s="3" t="s">
        <v>214</v>
      </c>
      <c r="E124" s="3" t="s">
        <v>866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867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859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860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870</v>
      </c>
      <c r="B125" s="3" t="s">
        <v>596</v>
      </c>
      <c r="C125" s="3" t="s">
        <v>597</v>
      </c>
      <c r="D125" s="3" t="s">
        <v>214</v>
      </c>
      <c r="E125" s="3" t="s">
        <v>866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867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859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860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871</v>
      </c>
      <c r="B126" s="3" t="s">
        <v>599</v>
      </c>
      <c r="C126" s="3" t="s">
        <v>600</v>
      </c>
      <c r="D126" s="3" t="s">
        <v>214</v>
      </c>
      <c r="E126" s="3" t="s">
        <v>864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20</v>
      </c>
      <c r="J126" s="3" t="n">
        <v>20</v>
      </c>
      <c r="K126" s="3" t="s">
        <v>634</v>
      </c>
      <c r="L126" s="13" t="n">
        <f aca="false">G126*(I126+J126)/2</f>
        <v>23.1179986668942</v>
      </c>
      <c r="M126" s="13" t="n">
        <f aca="false">H126*J126-L126</f>
        <v>7.39775957340613</v>
      </c>
      <c r="N126" s="13" t="n">
        <f aca="false">L126+M126</f>
        <v>30.5157582403003</v>
      </c>
      <c r="O126" s="3" t="s">
        <v>859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38.3977595734061</v>
      </c>
      <c r="U126" s="3" t="s">
        <v>860</v>
      </c>
      <c r="V126" s="16" t="n">
        <v>180</v>
      </c>
      <c r="W126" s="17" t="n">
        <f aca="false">T126/V126</f>
        <v>0.213320886518923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872</v>
      </c>
      <c r="H129" s="2" t="s">
        <v>873</v>
      </c>
    </row>
    <row r="130" customFormat="false" ht="15" hidden="false" customHeight="false" outlineLevel="0" collapsed="false">
      <c r="A130" s="3"/>
      <c r="B130" s="3" t="s">
        <v>860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731</v>
      </c>
      <c r="C134" s="3"/>
      <c r="D134" s="3"/>
      <c r="E134" s="3"/>
      <c r="F134" s="3" t="n">
        <f aca="false">ROUNDUP(SUMIF($U$5:$U$126,B134,$W$5:$W$126),0)</f>
        <v>9</v>
      </c>
      <c r="G134" s="3"/>
      <c r="H134" s="3"/>
    </row>
    <row r="135" customFormat="false" ht="15" hidden="false" customHeight="false" outlineLevel="0" collapsed="false">
      <c r="A135" s="3"/>
      <c r="B135" s="3" t="s">
        <v>828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801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28</v>
      </c>
      <c r="G137" s="3"/>
      <c r="H137" s="3"/>
    </row>
    <row r="138" customFormat="false" ht="15" hidden="false" customHeight="false" outlineLevel="0" collapsed="false">
      <c r="A138" s="3"/>
      <c r="B138" s="3" t="s">
        <v>747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874</v>
      </c>
    </row>
    <row r="2" customFormat="false" ht="15" hidden="false" customHeight="false" outlineLevel="0" collapsed="false">
      <c r="A2" s="18" t="s">
        <v>875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876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877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878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879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880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881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882</v>
      </c>
    </row>
    <row r="14" customFormat="false" ht="15" hidden="false" customHeight="false" outlineLevel="0" collapsed="false">
      <c r="A14" s="18" t="s">
        <v>875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876</v>
      </c>
    </row>
    <row r="15" customFormat="false" ht="15" hidden="false" customHeight="false" outlineLevel="0" collapsed="false">
      <c r="A15" s="19" t="s">
        <v>883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884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885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886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887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888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889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890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891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875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876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892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893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894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877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878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879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880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895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896</v>
      </c>
    </row>
    <row r="47" customFormat="false" ht="15" hidden="false" customHeight="false" outlineLevel="0" collapsed="false">
      <c r="A47" s="18" t="s">
        <v>875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876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892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893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894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897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898</v>
      </c>
    </row>
    <row r="60" customFormat="false" ht="15" hidden="false" customHeight="false" outlineLevel="0" collapsed="false">
      <c r="A60" s="18" t="s">
        <v>899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900</v>
      </c>
      <c r="M60" s="18" t="s">
        <v>901</v>
      </c>
      <c r="N60" s="18" t="s">
        <v>902</v>
      </c>
      <c r="O60" s="18" t="s">
        <v>903</v>
      </c>
      <c r="P60" s="18" t="s">
        <v>904</v>
      </c>
      <c r="Q60" s="18" t="s">
        <v>905</v>
      </c>
      <c r="R60" s="18" t="s">
        <v>906</v>
      </c>
      <c r="S60" s="18" t="s">
        <v>907</v>
      </c>
      <c r="T60" s="18" t="s">
        <v>908</v>
      </c>
      <c r="U60" s="18" t="s">
        <v>909</v>
      </c>
      <c r="V60" s="18" t="s">
        <v>910</v>
      </c>
    </row>
    <row r="61" customFormat="false" ht="15" hidden="false" customHeight="false" outlineLevel="0" collapsed="false">
      <c r="A61" s="20" t="s">
        <v>911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912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913</v>
      </c>
    </row>
    <row r="63" customFormat="false" ht="15" hidden="false" customHeight="false" outlineLevel="0" collapsed="false">
      <c r="A63" s="20" t="s">
        <v>914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915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916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917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918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919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920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921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922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923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924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925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926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927</v>
      </c>
    </row>
    <row r="78" customFormat="false" ht="15" hidden="false" customHeight="false" outlineLevel="0" collapsed="false">
      <c r="A78" s="18" t="s">
        <v>899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900</v>
      </c>
      <c r="M78" s="18" t="s">
        <v>901</v>
      </c>
      <c r="N78" s="18" t="s">
        <v>902</v>
      </c>
      <c r="O78" s="18" t="s">
        <v>903</v>
      </c>
      <c r="P78" s="18" t="s">
        <v>904</v>
      </c>
      <c r="Q78" s="18" t="s">
        <v>905</v>
      </c>
      <c r="R78" s="18" t="s">
        <v>906</v>
      </c>
      <c r="S78" s="18" t="s">
        <v>907</v>
      </c>
      <c r="T78" s="18" t="s">
        <v>908</v>
      </c>
      <c r="U78" s="18" t="s">
        <v>909</v>
      </c>
      <c r="V78" s="18" t="s">
        <v>910</v>
      </c>
    </row>
    <row r="79" customFormat="false" ht="15" hidden="false" customHeight="false" outlineLevel="0" collapsed="false">
      <c r="A79" s="20" t="s">
        <v>911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912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913</v>
      </c>
    </row>
    <row r="81" customFormat="false" ht="15" hidden="false" customHeight="false" outlineLevel="0" collapsed="false">
      <c r="A81" s="20" t="s">
        <v>914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915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916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917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918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919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920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921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922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923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924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925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926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928</v>
      </c>
    </row>
    <row r="2" customFormat="false" ht="15" hidden="false" customHeight="false" outlineLevel="0" collapsed="false">
      <c r="A2" s="19" t="s">
        <v>929</v>
      </c>
    </row>
    <row r="3" customFormat="false" ht="15" hidden="false" customHeight="false" outlineLevel="0" collapsed="false">
      <c r="A3" s="19" t="s">
        <v>930</v>
      </c>
    </row>
    <row r="5" customFormat="false" ht="15" hidden="false" customHeight="false" outlineLevel="0" collapsed="false">
      <c r="A5" s="18" t="s">
        <v>931</v>
      </c>
    </row>
    <row r="6" customFormat="false" ht="15" hidden="false" customHeight="false" outlineLevel="0" collapsed="false">
      <c r="A6" s="19" t="s">
        <v>932</v>
      </c>
      <c r="B6" s="20" t="n">
        <v>260</v>
      </c>
      <c r="E6" s="19" t="s">
        <v>933</v>
      </c>
      <c r="L6" s="19" t="s">
        <v>934</v>
      </c>
    </row>
    <row r="7" customFormat="false" ht="15" hidden="false" customHeight="false" outlineLevel="0" collapsed="false">
      <c r="A7" s="19" t="s">
        <v>935</v>
      </c>
      <c r="B7" s="20" t="n">
        <v>3</v>
      </c>
      <c r="L7" s="19" t="s">
        <v>936</v>
      </c>
    </row>
    <row r="8" customFormat="false" ht="15" hidden="false" customHeight="false" outlineLevel="0" collapsed="false">
      <c r="A8" s="19" t="s">
        <v>937</v>
      </c>
      <c r="B8" s="21" t="n">
        <v>0.1</v>
      </c>
      <c r="L8" s="19" t="s">
        <v>938</v>
      </c>
    </row>
    <row r="9" customFormat="false" ht="15" hidden="false" customHeight="false" outlineLevel="0" collapsed="false">
      <c r="A9" s="19" t="s">
        <v>939</v>
      </c>
      <c r="B9" s="26" t="n">
        <v>20</v>
      </c>
      <c r="L9" s="19" t="s">
        <v>940</v>
      </c>
    </row>
    <row r="10" customFormat="false" ht="15" hidden="false" customHeight="false" outlineLevel="0" collapsed="false">
      <c r="A10" s="19" t="s">
        <v>941</v>
      </c>
      <c r="B10" s="26" t="n">
        <v>30</v>
      </c>
      <c r="L10" s="19" t="s">
        <v>940</v>
      </c>
    </row>
    <row r="12" customFormat="false" ht="15" hidden="false" customHeight="false" outlineLevel="0" collapsed="false">
      <c r="A12" s="18" t="s">
        <v>942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943</v>
      </c>
    </row>
    <row r="15" customFormat="false" ht="15" hidden="false" customHeight="false" outlineLevel="0" collapsed="false">
      <c r="A15" s="19" t="s">
        <v>944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945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946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947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948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949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950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951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952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953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954</v>
      </c>
    </row>
    <row r="26" customFormat="false" ht="15" hidden="false" customHeight="false" outlineLevel="0" collapsed="false">
      <c r="A26" s="18" t="s">
        <v>955</v>
      </c>
    </row>
    <row r="27" customFormat="false" ht="15" hidden="false" customHeight="false" outlineLevel="0" collapsed="false">
      <c r="A27" s="19" t="s">
        <v>956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957</v>
      </c>
    </row>
    <row r="28" customFormat="false" ht="15" hidden="false" customHeight="false" outlineLevel="0" collapsed="false">
      <c r="A28" s="19" t="s">
        <v>958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959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960</v>
      </c>
    </row>
    <row r="30" customFormat="false" ht="15" hidden="false" customHeight="false" outlineLevel="0" collapsed="false">
      <c r="A30" s="18" t="s">
        <v>961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962</v>
      </c>
    </row>
    <row r="33" customFormat="false" ht="15" hidden="false" customHeight="false" outlineLevel="0" collapsed="false">
      <c r="A33" s="19" t="s">
        <v>963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964</v>
      </c>
    </row>
    <row r="34" customFormat="false" ht="15" hidden="false" customHeight="false" outlineLevel="0" collapsed="false">
      <c r="A34" s="18" t="s">
        <v>965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892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893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894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877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878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879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880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966</v>
      </c>
    </row>
    <row r="54" customFormat="false" ht="15" hidden="false" customHeight="false" outlineLevel="0" collapsed="false">
      <c r="A54" s="19" t="s">
        <v>967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892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893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968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894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969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970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971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972</v>
      </c>
    </row>
    <row r="69" customFormat="false" ht="15" hidden="false" customHeight="false" outlineLevel="0" collapsed="false">
      <c r="A69" s="19" t="s">
        <v>967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892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893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968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894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969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970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973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974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975</v>
      </c>
      <c r="E1" s="18" t="s">
        <v>976</v>
      </c>
      <c r="I1" s="18" t="s">
        <v>977</v>
      </c>
      <c r="M1" s="18" t="s">
        <v>978</v>
      </c>
    </row>
    <row r="2" customFormat="false" ht="15" hidden="false" customHeight="false" outlineLevel="0" collapsed="false">
      <c r="A2" s="18" t="s">
        <v>942</v>
      </c>
      <c r="B2" s="18" t="s">
        <v>979</v>
      </c>
      <c r="C2" s="18" t="s">
        <v>980</v>
      </c>
      <c r="E2" s="18" t="s">
        <v>942</v>
      </c>
      <c r="F2" s="18" t="s">
        <v>979</v>
      </c>
      <c r="G2" s="18" t="s">
        <v>980</v>
      </c>
      <c r="I2" s="18" t="s">
        <v>942</v>
      </c>
      <c r="J2" s="18" t="s">
        <v>979</v>
      </c>
      <c r="K2" s="18" t="s">
        <v>980</v>
      </c>
      <c r="M2" s="18" t="s">
        <v>942</v>
      </c>
      <c r="N2" s="18" t="s">
        <v>979</v>
      </c>
      <c r="O2" s="18" t="s">
        <v>980</v>
      </c>
    </row>
    <row r="3" customFormat="false" ht="15" hidden="false" customHeight="false" outlineLevel="0" collapsed="false">
      <c r="A3" s="0" t="n">
        <v>2025</v>
      </c>
      <c r="B3" s="0" t="s">
        <v>981</v>
      </c>
      <c r="C3" s="0" t="s">
        <v>981</v>
      </c>
      <c r="E3" s="0" t="n">
        <v>2025</v>
      </c>
      <c r="F3" s="0" t="s">
        <v>981</v>
      </c>
      <c r="G3" s="0" t="s">
        <v>981</v>
      </c>
      <c r="I3" s="0" t="n">
        <v>2025</v>
      </c>
      <c r="J3" s="0" t="s">
        <v>981</v>
      </c>
      <c r="K3" s="0" t="s">
        <v>981</v>
      </c>
      <c r="M3" s="0" t="n">
        <v>2025</v>
      </c>
      <c r="N3" s="0" t="s">
        <v>981</v>
      </c>
      <c r="O3" s="0" t="s">
        <v>981</v>
      </c>
    </row>
    <row r="4" customFormat="false" ht="15" hidden="false" customHeight="false" outlineLevel="0" collapsed="false">
      <c r="A4" s="0" t="n">
        <v>2025</v>
      </c>
      <c r="B4" s="0" t="s">
        <v>981</v>
      </c>
      <c r="C4" s="0" t="s">
        <v>981</v>
      </c>
      <c r="E4" s="0" t="n">
        <v>2025</v>
      </c>
      <c r="F4" s="0" t="s">
        <v>981</v>
      </c>
      <c r="G4" s="0" t="s">
        <v>981</v>
      </c>
      <c r="I4" s="0" t="n">
        <v>2025</v>
      </c>
      <c r="J4" s="0" t="s">
        <v>981</v>
      </c>
      <c r="K4" s="0" t="s">
        <v>981</v>
      </c>
      <c r="M4" s="0" t="n">
        <v>2025</v>
      </c>
      <c r="N4" s="0" t="s">
        <v>981</v>
      </c>
      <c r="O4" s="0" t="s">
        <v>981</v>
      </c>
    </row>
    <row r="5" customFormat="false" ht="15" hidden="false" customHeight="false" outlineLevel="0" collapsed="false">
      <c r="A5" s="0" t="n">
        <v>2025</v>
      </c>
      <c r="B5" s="0" t="s">
        <v>981</v>
      </c>
      <c r="C5" s="0" t="s">
        <v>981</v>
      </c>
      <c r="E5" s="0" t="n">
        <v>2025</v>
      </c>
      <c r="F5" s="0" t="s">
        <v>981</v>
      </c>
      <c r="G5" s="0" t="s">
        <v>981</v>
      </c>
      <c r="I5" s="0" t="n">
        <v>2025</v>
      </c>
      <c r="J5" s="0" t="s">
        <v>981</v>
      </c>
      <c r="K5" s="0" t="s">
        <v>981</v>
      </c>
      <c r="M5" s="0" t="n">
        <v>2025</v>
      </c>
      <c r="N5" s="0" t="s">
        <v>981</v>
      </c>
      <c r="O5" s="0" t="s">
        <v>981</v>
      </c>
    </row>
    <row r="6" customFormat="false" ht="15" hidden="false" customHeight="false" outlineLevel="0" collapsed="false">
      <c r="A6" s="0" t="n">
        <v>2025</v>
      </c>
      <c r="B6" s="0" t="s">
        <v>981</v>
      </c>
      <c r="C6" s="0" t="s">
        <v>981</v>
      </c>
      <c r="E6" s="0" t="n">
        <v>2025</v>
      </c>
      <c r="F6" s="0" t="s">
        <v>981</v>
      </c>
      <c r="G6" s="0" t="s">
        <v>981</v>
      </c>
      <c r="I6" s="0" t="n">
        <v>2025</v>
      </c>
      <c r="J6" s="0" t="s">
        <v>981</v>
      </c>
      <c r="K6" s="0" t="s">
        <v>981</v>
      </c>
      <c r="M6" s="0" t="n">
        <v>2025</v>
      </c>
      <c r="N6" s="0" t="s">
        <v>981</v>
      </c>
      <c r="O6" s="0" t="s">
        <v>981</v>
      </c>
    </row>
    <row r="7" customFormat="false" ht="15" hidden="false" customHeight="false" outlineLevel="0" collapsed="false">
      <c r="A7" s="0" t="n">
        <v>2025</v>
      </c>
      <c r="B7" s="0" t="s">
        <v>981</v>
      </c>
      <c r="C7" s="0" t="s">
        <v>981</v>
      </c>
      <c r="E7" s="0" t="n">
        <v>2025</v>
      </c>
      <c r="F7" s="0" t="s">
        <v>981</v>
      </c>
      <c r="G7" s="0" t="s">
        <v>981</v>
      </c>
      <c r="I7" s="0" t="n">
        <v>2025</v>
      </c>
      <c r="J7" s="0" t="s">
        <v>981</v>
      </c>
      <c r="K7" s="0" t="s">
        <v>981</v>
      </c>
      <c r="M7" s="0" t="n">
        <v>2025</v>
      </c>
      <c r="N7" s="0" t="s">
        <v>981</v>
      </c>
      <c r="O7" s="0" t="s">
        <v>981</v>
      </c>
    </row>
    <row r="8" customFormat="false" ht="15" hidden="false" customHeight="false" outlineLevel="0" collapsed="false">
      <c r="A8" s="0" t="n">
        <v>2025</v>
      </c>
      <c r="B8" s="0" t="s">
        <v>981</v>
      </c>
      <c r="C8" s="0" t="s">
        <v>981</v>
      </c>
      <c r="E8" s="0" t="n">
        <v>2025</v>
      </c>
      <c r="F8" s="0" t="s">
        <v>981</v>
      </c>
      <c r="G8" s="0" t="s">
        <v>981</v>
      </c>
      <c r="I8" s="0" t="n">
        <v>2025</v>
      </c>
      <c r="J8" s="0" t="s">
        <v>981</v>
      </c>
      <c r="K8" s="0" t="s">
        <v>981</v>
      </c>
      <c r="M8" s="0" t="n">
        <v>2025</v>
      </c>
      <c r="N8" s="0" t="s">
        <v>981</v>
      </c>
      <c r="O8" s="0" t="s">
        <v>981</v>
      </c>
    </row>
    <row r="9" customFormat="false" ht="15" hidden="false" customHeight="false" outlineLevel="0" collapsed="false">
      <c r="A9" s="0" t="n">
        <v>2025</v>
      </c>
      <c r="B9" s="0" t="s">
        <v>981</v>
      </c>
      <c r="C9" s="0" t="s">
        <v>981</v>
      </c>
      <c r="E9" s="0" t="n">
        <v>2025</v>
      </c>
      <c r="F9" s="0" t="s">
        <v>981</v>
      </c>
      <c r="G9" s="0" t="s">
        <v>981</v>
      </c>
      <c r="I9" s="0" t="n">
        <v>2025</v>
      </c>
      <c r="J9" s="0" t="s">
        <v>981</v>
      </c>
      <c r="K9" s="0" t="s">
        <v>981</v>
      </c>
      <c r="M9" s="0" t="n">
        <v>2025</v>
      </c>
      <c r="N9" s="0" t="s">
        <v>981</v>
      </c>
      <c r="O9" s="0" t="s">
        <v>981</v>
      </c>
    </row>
    <row r="10" customFormat="false" ht="15" hidden="false" customHeight="false" outlineLevel="0" collapsed="false">
      <c r="A10" s="0" t="n">
        <v>2025</v>
      </c>
      <c r="B10" s="0" t="s">
        <v>981</v>
      </c>
      <c r="C10" s="0" t="s">
        <v>981</v>
      </c>
      <c r="E10" s="0" t="n">
        <v>2025</v>
      </c>
      <c r="F10" s="0" t="s">
        <v>981</v>
      </c>
      <c r="G10" s="0" t="s">
        <v>981</v>
      </c>
      <c r="I10" s="0" t="n">
        <v>2025</v>
      </c>
      <c r="J10" s="0" t="s">
        <v>981</v>
      </c>
      <c r="K10" s="0" t="s">
        <v>981</v>
      </c>
      <c r="M10" s="0" t="n">
        <v>2025</v>
      </c>
      <c r="N10" s="0" t="s">
        <v>981</v>
      </c>
      <c r="O10" s="0" t="s">
        <v>981</v>
      </c>
    </row>
    <row r="11" customFormat="false" ht="15" hidden="false" customHeight="false" outlineLevel="0" collapsed="false">
      <c r="A11" s="0" t="n">
        <v>2025</v>
      </c>
      <c r="B11" s="0" t="s">
        <v>981</v>
      </c>
      <c r="C11" s="0" t="s">
        <v>981</v>
      </c>
      <c r="E11" s="0" t="n">
        <v>2025</v>
      </c>
      <c r="F11" s="0" t="s">
        <v>981</v>
      </c>
      <c r="G11" s="0" t="s">
        <v>981</v>
      </c>
      <c r="I11" s="0" t="n">
        <v>2025</v>
      </c>
      <c r="J11" s="0" t="s">
        <v>981</v>
      </c>
      <c r="K11" s="0" t="s">
        <v>981</v>
      </c>
      <c r="M11" s="0" t="n">
        <v>2025</v>
      </c>
      <c r="N11" s="0" t="s">
        <v>981</v>
      </c>
      <c r="O11" s="0" t="s">
        <v>981</v>
      </c>
    </row>
    <row r="12" customFormat="false" ht="15" hidden="false" customHeight="false" outlineLevel="0" collapsed="false">
      <c r="A12" s="0" t="n">
        <v>2025</v>
      </c>
      <c r="B12" s="0" t="s">
        <v>981</v>
      </c>
      <c r="C12" s="0" t="s">
        <v>981</v>
      </c>
      <c r="E12" s="0" t="n">
        <v>2025</v>
      </c>
      <c r="F12" s="0" t="s">
        <v>981</v>
      </c>
      <c r="G12" s="0" t="s">
        <v>981</v>
      </c>
      <c r="I12" s="0" t="n">
        <v>2025</v>
      </c>
      <c r="J12" s="0" t="s">
        <v>981</v>
      </c>
      <c r="K12" s="0" t="s">
        <v>981</v>
      </c>
      <c r="M12" s="0" t="n">
        <v>2025</v>
      </c>
      <c r="N12" s="0" t="s">
        <v>981</v>
      </c>
      <c r="O12" s="0" t="s">
        <v>981</v>
      </c>
    </row>
    <row r="13" customFormat="false" ht="15" hidden="false" customHeight="false" outlineLevel="0" collapsed="false">
      <c r="A13" s="0" t="n">
        <v>2025</v>
      </c>
      <c r="B13" s="0" t="s">
        <v>981</v>
      </c>
      <c r="C13" s="0" t="s">
        <v>981</v>
      </c>
      <c r="E13" s="0" t="n">
        <v>2025</v>
      </c>
      <c r="F13" s="0" t="s">
        <v>981</v>
      </c>
      <c r="G13" s="0" t="s">
        <v>981</v>
      </c>
      <c r="I13" s="0" t="n">
        <v>2025</v>
      </c>
      <c r="J13" s="0" t="s">
        <v>981</v>
      </c>
      <c r="K13" s="0" t="s">
        <v>981</v>
      </c>
      <c r="M13" s="0" t="n">
        <v>2025</v>
      </c>
      <c r="N13" s="0" t="s">
        <v>981</v>
      </c>
      <c r="O13" s="0" t="s">
        <v>981</v>
      </c>
    </row>
    <row r="14" customFormat="false" ht="15" hidden="false" customHeight="false" outlineLevel="0" collapsed="false">
      <c r="A14" s="0" t="n">
        <v>2025</v>
      </c>
      <c r="B14" s="0" t="s">
        <v>981</v>
      </c>
      <c r="C14" s="0" t="s">
        <v>981</v>
      </c>
      <c r="E14" s="0" t="n">
        <v>2025</v>
      </c>
      <c r="F14" s="0" t="s">
        <v>981</v>
      </c>
      <c r="G14" s="0" t="s">
        <v>981</v>
      </c>
      <c r="I14" s="0" t="n">
        <v>2025</v>
      </c>
      <c r="J14" s="0" t="s">
        <v>981</v>
      </c>
      <c r="K14" s="0" t="s">
        <v>981</v>
      </c>
      <c r="M14" s="0" t="n">
        <v>2025</v>
      </c>
      <c r="N14" s="0" t="s">
        <v>981</v>
      </c>
      <c r="O14" s="0" t="s">
        <v>981</v>
      </c>
    </row>
    <row r="15" customFormat="false" ht="15" hidden="false" customHeight="false" outlineLevel="0" collapsed="false">
      <c r="A15" s="0" t="n">
        <v>2025</v>
      </c>
      <c r="B15" s="0" t="s">
        <v>981</v>
      </c>
      <c r="C15" s="0" t="s">
        <v>981</v>
      </c>
      <c r="E15" s="0" t="n">
        <v>2025</v>
      </c>
      <c r="F15" s="0" t="s">
        <v>981</v>
      </c>
      <c r="G15" s="0" t="s">
        <v>981</v>
      </c>
      <c r="I15" s="0" t="n">
        <v>2025</v>
      </c>
      <c r="J15" s="0" t="s">
        <v>981</v>
      </c>
      <c r="K15" s="0" t="s">
        <v>981</v>
      </c>
      <c r="M15" s="0" t="n">
        <v>2025</v>
      </c>
      <c r="N15" s="0" t="s">
        <v>981</v>
      </c>
      <c r="O15" s="0" t="s">
        <v>981</v>
      </c>
    </row>
    <row r="16" customFormat="false" ht="15" hidden="false" customHeight="false" outlineLevel="0" collapsed="false">
      <c r="A16" s="0" t="n">
        <v>2025</v>
      </c>
      <c r="B16" s="0" t="s">
        <v>981</v>
      </c>
      <c r="C16" s="0" t="s">
        <v>981</v>
      </c>
      <c r="E16" s="0" t="n">
        <v>2025</v>
      </c>
      <c r="F16" s="0" t="s">
        <v>981</v>
      </c>
      <c r="G16" s="0" t="s">
        <v>981</v>
      </c>
      <c r="I16" s="0" t="n">
        <v>2025</v>
      </c>
      <c r="J16" s="0" t="s">
        <v>981</v>
      </c>
      <c r="K16" s="0" t="s">
        <v>981</v>
      </c>
      <c r="M16" s="0" t="n">
        <v>2025</v>
      </c>
      <c r="N16" s="0" t="s">
        <v>981</v>
      </c>
      <c r="O16" s="0" t="s">
        <v>981</v>
      </c>
    </row>
    <row r="17" customFormat="false" ht="15" hidden="false" customHeight="false" outlineLevel="0" collapsed="false">
      <c r="A17" s="0" t="n">
        <v>2025</v>
      </c>
      <c r="B17" s="0" t="s">
        <v>981</v>
      </c>
      <c r="C17" s="0" t="s">
        <v>981</v>
      </c>
      <c r="E17" s="0" t="n">
        <v>2025</v>
      </c>
      <c r="F17" s="0" t="s">
        <v>981</v>
      </c>
      <c r="G17" s="0" t="s">
        <v>981</v>
      </c>
      <c r="I17" s="0" t="n">
        <v>2025</v>
      </c>
      <c r="J17" s="0" t="s">
        <v>981</v>
      </c>
      <c r="K17" s="0" t="s">
        <v>981</v>
      </c>
      <c r="M17" s="0" t="n">
        <v>2025</v>
      </c>
      <c r="N17" s="0" t="s">
        <v>981</v>
      </c>
      <c r="O17" s="0" t="s">
        <v>981</v>
      </c>
    </row>
    <row r="18" customFormat="false" ht="15" hidden="false" customHeight="false" outlineLevel="0" collapsed="false">
      <c r="A18" s="0" t="n">
        <v>2025</v>
      </c>
      <c r="B18" s="0" t="s">
        <v>981</v>
      </c>
      <c r="C18" s="0" t="s">
        <v>981</v>
      </c>
      <c r="E18" s="0" t="n">
        <v>2025</v>
      </c>
      <c r="F18" s="0" t="s">
        <v>981</v>
      </c>
      <c r="G18" s="0" t="s">
        <v>981</v>
      </c>
      <c r="I18" s="0" t="n">
        <v>2025</v>
      </c>
      <c r="J18" s="0" t="s">
        <v>981</v>
      </c>
      <c r="K18" s="0" t="s">
        <v>981</v>
      </c>
      <c r="M18" s="0" t="n">
        <v>2025</v>
      </c>
      <c r="N18" s="0" t="s">
        <v>981</v>
      </c>
      <c r="O18" s="0" t="s">
        <v>981</v>
      </c>
    </row>
    <row r="19" customFormat="false" ht="15" hidden="false" customHeight="false" outlineLevel="0" collapsed="false">
      <c r="A19" s="0" t="n">
        <v>2025</v>
      </c>
      <c r="B19" s="0" t="s">
        <v>981</v>
      </c>
      <c r="C19" s="0" t="s">
        <v>981</v>
      </c>
      <c r="E19" s="0" t="n">
        <v>2025</v>
      </c>
      <c r="F19" s="0" t="s">
        <v>981</v>
      </c>
      <c r="G19" s="0" t="s">
        <v>981</v>
      </c>
      <c r="I19" s="0" t="n">
        <v>2025</v>
      </c>
      <c r="J19" s="0" t="s">
        <v>981</v>
      </c>
      <c r="K19" s="0" t="s">
        <v>981</v>
      </c>
      <c r="M19" s="0" t="n">
        <v>2025</v>
      </c>
      <c r="N19" s="0" t="s">
        <v>981</v>
      </c>
      <c r="O19" s="0" t="s">
        <v>981</v>
      </c>
    </row>
    <row r="20" customFormat="false" ht="15" hidden="false" customHeight="false" outlineLevel="0" collapsed="false">
      <c r="A20" s="0" t="n">
        <v>2025</v>
      </c>
      <c r="B20" s="0" t="s">
        <v>981</v>
      </c>
      <c r="C20" s="0" t="s">
        <v>981</v>
      </c>
      <c r="E20" s="0" t="n">
        <v>2025</v>
      </c>
      <c r="F20" s="0" t="s">
        <v>981</v>
      </c>
      <c r="G20" s="0" t="s">
        <v>981</v>
      </c>
      <c r="I20" s="0" t="n">
        <v>2025</v>
      </c>
      <c r="J20" s="0" t="s">
        <v>981</v>
      </c>
      <c r="K20" s="0" t="s">
        <v>981</v>
      </c>
      <c r="M20" s="0" t="n">
        <v>2025</v>
      </c>
      <c r="N20" s="0" t="s">
        <v>981</v>
      </c>
      <c r="O20" s="0" t="s">
        <v>981</v>
      </c>
    </row>
    <row r="21" customFormat="false" ht="15" hidden="false" customHeight="false" outlineLevel="0" collapsed="false">
      <c r="A21" s="0" t="n">
        <v>2025</v>
      </c>
      <c r="B21" s="0" t="s">
        <v>981</v>
      </c>
      <c r="C21" s="0" t="s">
        <v>981</v>
      </c>
      <c r="E21" s="0" t="n">
        <v>2025</v>
      </c>
      <c r="F21" s="0" t="s">
        <v>981</v>
      </c>
      <c r="G21" s="0" t="s">
        <v>981</v>
      </c>
      <c r="I21" s="0" t="n">
        <v>2025</v>
      </c>
      <c r="J21" s="0" t="s">
        <v>981</v>
      </c>
      <c r="K21" s="0" t="s">
        <v>981</v>
      </c>
      <c r="M21" s="0" t="n">
        <v>2025</v>
      </c>
      <c r="N21" s="0" t="s">
        <v>981</v>
      </c>
      <c r="O21" s="0" t="s">
        <v>981</v>
      </c>
    </row>
    <row r="22" customFormat="false" ht="15" hidden="false" customHeight="false" outlineLevel="0" collapsed="false">
      <c r="A22" s="0" t="n">
        <v>2025</v>
      </c>
      <c r="B22" s="0" t="s">
        <v>981</v>
      </c>
      <c r="C22" s="0" t="s">
        <v>981</v>
      </c>
      <c r="E22" s="0" t="n">
        <v>2025</v>
      </c>
      <c r="F22" s="0" t="s">
        <v>981</v>
      </c>
      <c r="G22" s="0" t="s">
        <v>981</v>
      </c>
      <c r="I22" s="0" t="n">
        <v>2025</v>
      </c>
      <c r="J22" s="0" t="s">
        <v>981</v>
      </c>
      <c r="K22" s="0" t="s">
        <v>981</v>
      </c>
      <c r="M22" s="0" t="n">
        <v>2025</v>
      </c>
      <c r="N22" s="0" t="s">
        <v>981</v>
      </c>
      <c r="O22" s="0" t="s">
        <v>981</v>
      </c>
    </row>
    <row r="23" customFormat="false" ht="15" hidden="false" customHeight="false" outlineLevel="0" collapsed="false">
      <c r="A23" s="0" t="n">
        <v>2025</v>
      </c>
      <c r="B23" s="0" t="s">
        <v>981</v>
      </c>
      <c r="C23" s="0" t="s">
        <v>981</v>
      </c>
      <c r="E23" s="0" t="n">
        <v>2025</v>
      </c>
      <c r="F23" s="0" t="s">
        <v>981</v>
      </c>
      <c r="G23" s="0" t="s">
        <v>981</v>
      </c>
      <c r="I23" s="0" t="n">
        <v>2025</v>
      </c>
      <c r="J23" s="0" t="s">
        <v>981</v>
      </c>
      <c r="K23" s="0" t="s">
        <v>981</v>
      </c>
      <c r="M23" s="0" t="n">
        <v>2025</v>
      </c>
      <c r="N23" s="0" t="s">
        <v>981</v>
      </c>
      <c r="O23" s="0" t="s">
        <v>981</v>
      </c>
    </row>
    <row r="24" customFormat="false" ht="15" hidden="false" customHeight="false" outlineLevel="0" collapsed="false">
      <c r="A24" s="0" t="n">
        <v>2025</v>
      </c>
      <c r="B24" s="0" t="s">
        <v>981</v>
      </c>
      <c r="C24" s="0" t="s">
        <v>981</v>
      </c>
      <c r="E24" s="0" t="n">
        <v>2025</v>
      </c>
      <c r="F24" s="0" t="s">
        <v>981</v>
      </c>
      <c r="G24" s="0" t="s">
        <v>981</v>
      </c>
      <c r="I24" s="0" t="n">
        <v>2025</v>
      </c>
      <c r="J24" s="0" t="s">
        <v>981</v>
      </c>
      <c r="K24" s="0" t="s">
        <v>981</v>
      </c>
      <c r="M24" s="0" t="n">
        <v>2025</v>
      </c>
      <c r="N24" s="0" t="s">
        <v>981</v>
      </c>
      <c r="O24" s="0" t="s">
        <v>981</v>
      </c>
    </row>
    <row r="25" customFormat="false" ht="15" hidden="false" customHeight="false" outlineLevel="0" collapsed="false">
      <c r="A25" s="0" t="n">
        <v>2025</v>
      </c>
      <c r="B25" s="0" t="s">
        <v>981</v>
      </c>
      <c r="C25" s="0" t="s">
        <v>981</v>
      </c>
      <c r="E25" s="0" t="n">
        <v>2025</v>
      </c>
      <c r="F25" s="0" t="s">
        <v>981</v>
      </c>
      <c r="G25" s="0" t="s">
        <v>981</v>
      </c>
      <c r="I25" s="0" t="n">
        <v>2025</v>
      </c>
      <c r="J25" s="0" t="s">
        <v>981</v>
      </c>
      <c r="K25" s="0" t="s">
        <v>981</v>
      </c>
      <c r="M25" s="0" t="n">
        <v>2025</v>
      </c>
      <c r="N25" s="0" t="s">
        <v>981</v>
      </c>
      <c r="O25" s="0" t="s">
        <v>981</v>
      </c>
    </row>
    <row r="26" customFormat="false" ht="15" hidden="false" customHeight="false" outlineLevel="0" collapsed="false">
      <c r="A26" s="0" t="n">
        <v>2025</v>
      </c>
      <c r="B26" s="0" t="s">
        <v>981</v>
      </c>
      <c r="C26" s="0" t="s">
        <v>981</v>
      </c>
      <c r="E26" s="0" t="n">
        <v>2025</v>
      </c>
      <c r="F26" s="0" t="s">
        <v>981</v>
      </c>
      <c r="G26" s="0" t="s">
        <v>981</v>
      </c>
      <c r="I26" s="0" t="n">
        <v>2025</v>
      </c>
      <c r="J26" s="0" t="s">
        <v>981</v>
      </c>
      <c r="K26" s="0" t="s">
        <v>981</v>
      </c>
      <c r="M26" s="0" t="n">
        <v>2025</v>
      </c>
      <c r="N26" s="0" t="s">
        <v>981</v>
      </c>
      <c r="O26" s="0" t="s">
        <v>981</v>
      </c>
    </row>
    <row r="27" customFormat="false" ht="15" hidden="false" customHeight="false" outlineLevel="0" collapsed="false">
      <c r="A27" s="0" t="n">
        <v>2025</v>
      </c>
      <c r="B27" s="0" t="s">
        <v>981</v>
      </c>
      <c r="C27" s="0" t="s">
        <v>981</v>
      </c>
      <c r="E27" s="0" t="n">
        <v>2025</v>
      </c>
      <c r="F27" s="0" t="s">
        <v>981</v>
      </c>
      <c r="G27" s="0" t="s">
        <v>981</v>
      </c>
      <c r="I27" s="0" t="n">
        <v>2025</v>
      </c>
      <c r="J27" s="0" t="s">
        <v>981</v>
      </c>
      <c r="K27" s="0" t="s">
        <v>981</v>
      </c>
      <c r="M27" s="0" t="n">
        <v>2025</v>
      </c>
      <c r="N27" s="0" t="s">
        <v>981</v>
      </c>
      <c r="O27" s="0" t="s">
        <v>981</v>
      </c>
    </row>
    <row r="28" customFormat="false" ht="15" hidden="false" customHeight="false" outlineLevel="0" collapsed="false">
      <c r="A28" s="0" t="n">
        <v>2025</v>
      </c>
      <c r="B28" s="0" t="s">
        <v>981</v>
      </c>
      <c r="C28" s="0" t="s">
        <v>981</v>
      </c>
      <c r="E28" s="0" t="n">
        <v>2025</v>
      </c>
      <c r="F28" s="0" t="s">
        <v>981</v>
      </c>
      <c r="G28" s="0" t="s">
        <v>981</v>
      </c>
      <c r="I28" s="0" t="n">
        <v>2025</v>
      </c>
      <c r="J28" s="0" t="s">
        <v>981</v>
      </c>
      <c r="K28" s="0" t="s">
        <v>981</v>
      </c>
      <c r="M28" s="0" t="n">
        <v>2025</v>
      </c>
      <c r="N28" s="0" t="s">
        <v>981</v>
      </c>
      <c r="O28" s="0" t="s">
        <v>981</v>
      </c>
    </row>
    <row r="29" customFormat="false" ht="15" hidden="false" customHeight="false" outlineLevel="0" collapsed="false">
      <c r="A29" s="0" t="n">
        <v>2025</v>
      </c>
      <c r="B29" s="0" t="s">
        <v>981</v>
      </c>
      <c r="C29" s="0" t="s">
        <v>981</v>
      </c>
      <c r="E29" s="0" t="n">
        <v>2025</v>
      </c>
      <c r="F29" s="0" t="s">
        <v>981</v>
      </c>
      <c r="G29" s="0" t="s">
        <v>981</v>
      </c>
      <c r="I29" s="0" t="n">
        <v>2025</v>
      </c>
      <c r="J29" s="0" t="s">
        <v>981</v>
      </c>
      <c r="K29" s="0" t="s">
        <v>981</v>
      </c>
      <c r="M29" s="0" t="n">
        <v>2025</v>
      </c>
      <c r="N29" s="0" t="s">
        <v>981</v>
      </c>
      <c r="O29" s="0" t="s">
        <v>981</v>
      </c>
    </row>
    <row r="30" customFormat="false" ht="15" hidden="false" customHeight="false" outlineLevel="0" collapsed="false">
      <c r="A30" s="0" t="n">
        <v>2025</v>
      </c>
      <c r="B30" s="0" t="s">
        <v>981</v>
      </c>
      <c r="C30" s="0" t="s">
        <v>981</v>
      </c>
      <c r="E30" s="0" t="n">
        <v>2025</v>
      </c>
      <c r="F30" s="0" t="s">
        <v>981</v>
      </c>
      <c r="G30" s="0" t="s">
        <v>981</v>
      </c>
      <c r="I30" s="0" t="n">
        <v>2025</v>
      </c>
      <c r="J30" s="0" t="s">
        <v>981</v>
      </c>
      <c r="K30" s="0" t="s">
        <v>981</v>
      </c>
      <c r="M30" s="0" t="n">
        <v>2025</v>
      </c>
      <c r="N30" s="0" t="s">
        <v>981</v>
      </c>
      <c r="O30" s="0" t="s">
        <v>981</v>
      </c>
    </row>
    <row r="31" customFormat="false" ht="15" hidden="false" customHeight="false" outlineLevel="0" collapsed="false">
      <c r="A31" s="0" t="n">
        <v>2025</v>
      </c>
      <c r="B31" s="0" t="s">
        <v>981</v>
      </c>
      <c r="C31" s="0" t="s">
        <v>981</v>
      </c>
      <c r="E31" s="0" t="n">
        <v>2025</v>
      </c>
      <c r="F31" s="0" t="s">
        <v>981</v>
      </c>
      <c r="G31" s="0" t="s">
        <v>981</v>
      </c>
      <c r="I31" s="0" t="n">
        <v>2025</v>
      </c>
      <c r="J31" s="0" t="s">
        <v>981</v>
      </c>
      <c r="K31" s="0" t="s">
        <v>981</v>
      </c>
      <c r="M31" s="0" t="n">
        <v>2025</v>
      </c>
      <c r="N31" s="0" t="s">
        <v>981</v>
      </c>
      <c r="O31" s="0" t="s">
        <v>981</v>
      </c>
    </row>
    <row r="32" customFormat="false" ht="15" hidden="false" customHeight="false" outlineLevel="0" collapsed="false">
      <c r="A32" s="0" t="n">
        <v>2025</v>
      </c>
      <c r="B32" s="0" t="s">
        <v>981</v>
      </c>
      <c r="C32" s="0" t="s">
        <v>981</v>
      </c>
      <c r="E32" s="0" t="n">
        <v>2025</v>
      </c>
      <c r="F32" s="0" t="s">
        <v>981</v>
      </c>
      <c r="G32" s="0" t="s">
        <v>981</v>
      </c>
      <c r="I32" s="0" t="n">
        <v>2025</v>
      </c>
      <c r="J32" s="0" t="s">
        <v>981</v>
      </c>
      <c r="K32" s="0" t="s">
        <v>981</v>
      </c>
      <c r="M32" s="0" t="n">
        <v>2025</v>
      </c>
      <c r="N32" s="0" t="s">
        <v>981</v>
      </c>
      <c r="O32" s="0" t="s">
        <v>981</v>
      </c>
    </row>
    <row r="33" customFormat="false" ht="15" hidden="false" customHeight="false" outlineLevel="0" collapsed="false">
      <c r="A33" s="0" t="n">
        <v>2025</v>
      </c>
      <c r="B33" s="0" t="s">
        <v>981</v>
      </c>
      <c r="C33" s="0" t="s">
        <v>981</v>
      </c>
      <c r="E33" s="0" t="n">
        <v>2025</v>
      </c>
      <c r="F33" s="0" t="s">
        <v>981</v>
      </c>
      <c r="G33" s="0" t="s">
        <v>981</v>
      </c>
      <c r="I33" s="0" t="n">
        <v>2025</v>
      </c>
      <c r="J33" s="0" t="s">
        <v>981</v>
      </c>
      <c r="K33" s="0" t="s">
        <v>981</v>
      </c>
      <c r="M33" s="0" t="n">
        <v>2025</v>
      </c>
      <c r="N33" s="0" t="s">
        <v>981</v>
      </c>
      <c r="O33" s="0" t="s">
        <v>981</v>
      </c>
    </row>
    <row r="34" customFormat="false" ht="15" hidden="false" customHeight="false" outlineLevel="0" collapsed="false">
      <c r="A34" s="0" t="n">
        <v>2025</v>
      </c>
      <c r="B34" s="0" t="s">
        <v>981</v>
      </c>
      <c r="C34" s="0" t="s">
        <v>981</v>
      </c>
      <c r="E34" s="0" t="n">
        <v>2025</v>
      </c>
      <c r="F34" s="0" t="s">
        <v>981</v>
      </c>
      <c r="G34" s="0" t="s">
        <v>981</v>
      </c>
      <c r="I34" s="0" t="n">
        <v>2025</v>
      </c>
      <c r="J34" s="0" t="s">
        <v>981</v>
      </c>
      <c r="K34" s="0" t="s">
        <v>981</v>
      </c>
      <c r="M34" s="0" t="n">
        <v>2025</v>
      </c>
      <c r="N34" s="0" t="s">
        <v>981</v>
      </c>
      <c r="O34" s="0" t="s">
        <v>981</v>
      </c>
    </row>
    <row r="35" customFormat="false" ht="15" hidden="false" customHeight="false" outlineLevel="0" collapsed="false">
      <c r="A35" s="0" t="n">
        <v>2025</v>
      </c>
      <c r="B35" s="0" t="s">
        <v>981</v>
      </c>
      <c r="C35" s="0" t="s">
        <v>981</v>
      </c>
      <c r="E35" s="0" t="n">
        <v>2025</v>
      </c>
      <c r="F35" s="0" t="s">
        <v>981</v>
      </c>
      <c r="G35" s="0" t="s">
        <v>981</v>
      </c>
      <c r="I35" s="0" t="n">
        <v>2025</v>
      </c>
      <c r="J35" s="0" t="s">
        <v>981</v>
      </c>
      <c r="K35" s="0" t="s">
        <v>981</v>
      </c>
      <c r="M35" s="0" t="n">
        <v>2025</v>
      </c>
      <c r="N35" s="0" t="s">
        <v>981</v>
      </c>
      <c r="O35" s="0" t="s">
        <v>981</v>
      </c>
    </row>
    <row r="36" customFormat="false" ht="15" hidden="false" customHeight="false" outlineLevel="0" collapsed="false">
      <c r="A36" s="0" t="n">
        <v>2025</v>
      </c>
      <c r="B36" s="0" t="s">
        <v>981</v>
      </c>
      <c r="C36" s="0" t="s">
        <v>981</v>
      </c>
      <c r="E36" s="0" t="n">
        <v>2025</v>
      </c>
      <c r="F36" s="0" t="s">
        <v>981</v>
      </c>
      <c r="G36" s="0" t="s">
        <v>981</v>
      </c>
      <c r="I36" s="0" t="n">
        <v>2025</v>
      </c>
      <c r="J36" s="0" t="s">
        <v>981</v>
      </c>
      <c r="K36" s="0" t="s">
        <v>981</v>
      </c>
      <c r="M36" s="0" t="n">
        <v>2025</v>
      </c>
      <c r="N36" s="0" t="s">
        <v>981</v>
      </c>
      <c r="O36" s="0" t="s">
        <v>981</v>
      </c>
    </row>
    <row r="37" customFormat="false" ht="15" hidden="false" customHeight="false" outlineLevel="0" collapsed="false">
      <c r="A37" s="0" t="n">
        <v>2025</v>
      </c>
      <c r="B37" s="0" t="s">
        <v>981</v>
      </c>
      <c r="C37" s="0" t="s">
        <v>981</v>
      </c>
      <c r="E37" s="0" t="n">
        <v>2025</v>
      </c>
      <c r="F37" s="0" t="s">
        <v>981</v>
      </c>
      <c r="G37" s="0" t="s">
        <v>981</v>
      </c>
      <c r="I37" s="0" t="n">
        <v>2025</v>
      </c>
      <c r="J37" s="0" t="s">
        <v>981</v>
      </c>
      <c r="K37" s="0" t="s">
        <v>981</v>
      </c>
      <c r="M37" s="0" t="n">
        <v>2025</v>
      </c>
      <c r="N37" s="0" t="s">
        <v>981</v>
      </c>
      <c r="O37" s="0" t="s">
        <v>981</v>
      </c>
    </row>
    <row r="38" customFormat="false" ht="15" hidden="false" customHeight="false" outlineLevel="0" collapsed="false">
      <c r="A38" s="0" t="n">
        <v>2025</v>
      </c>
      <c r="B38" s="0" t="s">
        <v>981</v>
      </c>
      <c r="C38" s="0" t="s">
        <v>981</v>
      </c>
      <c r="E38" s="0" t="n">
        <v>2025</v>
      </c>
      <c r="F38" s="0" t="s">
        <v>981</v>
      </c>
      <c r="G38" s="0" t="s">
        <v>981</v>
      </c>
      <c r="I38" s="0" t="n">
        <v>2025</v>
      </c>
      <c r="J38" s="0" t="s">
        <v>981</v>
      </c>
      <c r="K38" s="0" t="s">
        <v>981</v>
      </c>
      <c r="M38" s="0" t="n">
        <v>2025</v>
      </c>
      <c r="N38" s="0" t="s">
        <v>981</v>
      </c>
      <c r="O38" s="0" t="s">
        <v>981</v>
      </c>
    </row>
    <row r="39" customFormat="false" ht="15" hidden="false" customHeight="false" outlineLevel="0" collapsed="false">
      <c r="A39" s="0" t="n">
        <v>2025</v>
      </c>
      <c r="B39" s="0" t="s">
        <v>981</v>
      </c>
      <c r="C39" s="0" t="s">
        <v>981</v>
      </c>
      <c r="E39" s="0" t="n">
        <v>2025</v>
      </c>
      <c r="F39" s="0" t="s">
        <v>981</v>
      </c>
      <c r="G39" s="0" t="s">
        <v>981</v>
      </c>
      <c r="I39" s="0" t="n">
        <v>2025</v>
      </c>
      <c r="J39" s="0" t="s">
        <v>981</v>
      </c>
      <c r="K39" s="0" t="s">
        <v>981</v>
      </c>
      <c r="M39" s="0" t="n">
        <v>2025</v>
      </c>
      <c r="N39" s="0" t="s">
        <v>981</v>
      </c>
      <c r="O39" s="0" t="s">
        <v>981</v>
      </c>
    </row>
    <row r="40" customFormat="false" ht="15" hidden="false" customHeight="false" outlineLevel="0" collapsed="false">
      <c r="A40" s="0" t="n">
        <v>2025</v>
      </c>
      <c r="B40" s="0" t="s">
        <v>981</v>
      </c>
      <c r="C40" s="0" t="s">
        <v>981</v>
      </c>
      <c r="E40" s="0" t="n">
        <v>2025</v>
      </c>
      <c r="F40" s="0" t="s">
        <v>981</v>
      </c>
      <c r="G40" s="0" t="s">
        <v>981</v>
      </c>
      <c r="I40" s="0" t="n">
        <v>2025</v>
      </c>
      <c r="J40" s="0" t="s">
        <v>981</v>
      </c>
      <c r="K40" s="0" t="s">
        <v>981</v>
      </c>
      <c r="M40" s="0" t="n">
        <v>2025</v>
      </c>
      <c r="N40" s="0" t="s">
        <v>981</v>
      </c>
      <c r="O40" s="0" t="s">
        <v>981</v>
      </c>
    </row>
    <row r="41" customFormat="false" ht="15" hidden="false" customHeight="false" outlineLevel="0" collapsed="false">
      <c r="A41" s="0" t="n">
        <v>2025</v>
      </c>
      <c r="B41" s="0" t="s">
        <v>981</v>
      </c>
      <c r="C41" s="0" t="s">
        <v>981</v>
      </c>
      <c r="E41" s="0" t="n">
        <v>2025</v>
      </c>
      <c r="F41" s="0" t="s">
        <v>981</v>
      </c>
      <c r="G41" s="0" t="s">
        <v>981</v>
      </c>
      <c r="I41" s="0" t="n">
        <v>2025</v>
      </c>
      <c r="J41" s="0" t="s">
        <v>981</v>
      </c>
      <c r="K41" s="0" t="s">
        <v>981</v>
      </c>
      <c r="M41" s="0" t="n">
        <v>2025</v>
      </c>
      <c r="N41" s="0" t="s">
        <v>981</v>
      </c>
      <c r="O41" s="0" t="s">
        <v>981</v>
      </c>
    </row>
    <row r="42" customFormat="false" ht="15" hidden="false" customHeight="false" outlineLevel="0" collapsed="false">
      <c r="A42" s="0" t="n">
        <v>2025</v>
      </c>
      <c r="B42" s="0" t="s">
        <v>981</v>
      </c>
      <c r="C42" s="0" t="s">
        <v>981</v>
      </c>
      <c r="E42" s="0" t="n">
        <v>2025</v>
      </c>
      <c r="F42" s="0" t="s">
        <v>981</v>
      </c>
      <c r="G42" s="0" t="s">
        <v>981</v>
      </c>
      <c r="I42" s="0" t="n">
        <v>2025</v>
      </c>
      <c r="J42" s="0" t="s">
        <v>981</v>
      </c>
      <c r="K42" s="0" t="s">
        <v>981</v>
      </c>
      <c r="M42" s="0" t="n">
        <v>2025</v>
      </c>
      <c r="N42" s="0" t="s">
        <v>981</v>
      </c>
      <c r="O42" s="0" t="s">
        <v>981</v>
      </c>
    </row>
    <row r="43" customFormat="false" ht="15" hidden="false" customHeight="false" outlineLevel="0" collapsed="false">
      <c r="A43" s="0" t="n">
        <v>2025</v>
      </c>
      <c r="B43" s="0" t="s">
        <v>981</v>
      </c>
      <c r="C43" s="0" t="s">
        <v>981</v>
      </c>
      <c r="E43" s="0" t="n">
        <v>2025</v>
      </c>
      <c r="F43" s="0" t="s">
        <v>981</v>
      </c>
      <c r="G43" s="0" t="s">
        <v>981</v>
      </c>
      <c r="I43" s="0" t="n">
        <v>2025</v>
      </c>
      <c r="J43" s="0" t="s">
        <v>981</v>
      </c>
      <c r="K43" s="0" t="s">
        <v>981</v>
      </c>
      <c r="M43" s="0" t="n">
        <v>2025</v>
      </c>
      <c r="N43" s="0" t="s">
        <v>981</v>
      </c>
      <c r="O43" s="0" t="s">
        <v>981</v>
      </c>
    </row>
    <row r="44" customFormat="false" ht="15" hidden="false" customHeight="false" outlineLevel="0" collapsed="false">
      <c r="A44" s="0" t="n">
        <v>2025</v>
      </c>
      <c r="B44" s="0" t="s">
        <v>981</v>
      </c>
      <c r="C44" s="0" t="s">
        <v>981</v>
      </c>
      <c r="E44" s="0" t="n">
        <v>2025</v>
      </c>
      <c r="F44" s="0" t="s">
        <v>981</v>
      </c>
      <c r="G44" s="0" t="s">
        <v>981</v>
      </c>
      <c r="I44" s="0" t="n">
        <v>2025</v>
      </c>
      <c r="J44" s="0" t="s">
        <v>981</v>
      </c>
      <c r="K44" s="0" t="s">
        <v>981</v>
      </c>
      <c r="M44" s="0" t="n">
        <v>2025</v>
      </c>
      <c r="N44" s="0" t="s">
        <v>981</v>
      </c>
      <c r="O44" s="0" t="s">
        <v>981</v>
      </c>
    </row>
    <row r="45" customFormat="false" ht="15" hidden="false" customHeight="false" outlineLevel="0" collapsed="false">
      <c r="A45" s="0" t="n">
        <v>2025</v>
      </c>
      <c r="B45" s="0" t="s">
        <v>981</v>
      </c>
      <c r="C45" s="0" t="s">
        <v>981</v>
      </c>
      <c r="E45" s="0" t="n">
        <v>2025</v>
      </c>
      <c r="F45" s="0" t="s">
        <v>981</v>
      </c>
      <c r="G45" s="0" t="s">
        <v>981</v>
      </c>
      <c r="I45" s="0" t="n">
        <v>2025</v>
      </c>
      <c r="J45" s="0" t="s">
        <v>981</v>
      </c>
      <c r="K45" s="0" t="s">
        <v>981</v>
      </c>
      <c r="M45" s="0" t="n">
        <v>2025</v>
      </c>
      <c r="N45" s="0" t="s">
        <v>981</v>
      </c>
      <c r="O45" s="0" t="s">
        <v>981</v>
      </c>
    </row>
    <row r="46" customFormat="false" ht="15" hidden="false" customHeight="false" outlineLevel="0" collapsed="false">
      <c r="A46" s="0" t="n">
        <v>2025</v>
      </c>
      <c r="B46" s="0" t="s">
        <v>981</v>
      </c>
      <c r="C46" s="0" t="s">
        <v>981</v>
      </c>
      <c r="E46" s="0" t="n">
        <v>2025</v>
      </c>
      <c r="F46" s="0" t="s">
        <v>981</v>
      </c>
      <c r="G46" s="0" t="s">
        <v>981</v>
      </c>
      <c r="I46" s="0" t="n">
        <v>2025</v>
      </c>
      <c r="J46" s="0" t="s">
        <v>981</v>
      </c>
      <c r="K46" s="0" t="s">
        <v>981</v>
      </c>
      <c r="M46" s="0" t="n">
        <v>2025</v>
      </c>
      <c r="N46" s="0" t="s">
        <v>981</v>
      </c>
      <c r="O46" s="0" t="s">
        <v>981</v>
      </c>
    </row>
    <row r="47" customFormat="false" ht="15" hidden="false" customHeight="false" outlineLevel="0" collapsed="false">
      <c r="A47" s="0" t="n">
        <v>2025</v>
      </c>
      <c r="B47" s="0" t="s">
        <v>981</v>
      </c>
      <c r="C47" s="0" t="s">
        <v>981</v>
      </c>
      <c r="E47" s="0" t="n">
        <v>2025</v>
      </c>
      <c r="F47" s="0" t="s">
        <v>981</v>
      </c>
      <c r="G47" s="0" t="s">
        <v>981</v>
      </c>
      <c r="I47" s="0" t="n">
        <v>2025</v>
      </c>
      <c r="J47" s="0" t="s">
        <v>981</v>
      </c>
      <c r="K47" s="0" t="s">
        <v>981</v>
      </c>
      <c r="M47" s="0" t="n">
        <v>2025</v>
      </c>
      <c r="N47" s="0" t="s">
        <v>981</v>
      </c>
      <c r="O47" s="0" t="s">
        <v>981</v>
      </c>
    </row>
    <row r="48" customFormat="false" ht="15" hidden="false" customHeight="false" outlineLevel="0" collapsed="false">
      <c r="A48" s="0" t="n">
        <v>2025</v>
      </c>
      <c r="B48" s="0" t="s">
        <v>981</v>
      </c>
      <c r="C48" s="0" t="s">
        <v>981</v>
      </c>
      <c r="E48" s="0" t="n">
        <v>2025</v>
      </c>
      <c r="F48" s="0" t="s">
        <v>981</v>
      </c>
      <c r="G48" s="0" t="s">
        <v>981</v>
      </c>
      <c r="I48" s="0" t="n">
        <v>2025</v>
      </c>
      <c r="J48" s="0" t="s">
        <v>981</v>
      </c>
      <c r="K48" s="0" t="s">
        <v>981</v>
      </c>
      <c r="M48" s="0" t="n">
        <v>2025</v>
      </c>
      <c r="N48" s="0" t="s">
        <v>981</v>
      </c>
      <c r="O48" s="0" t="s">
        <v>981</v>
      </c>
    </row>
    <row r="49" customFormat="false" ht="15" hidden="false" customHeight="false" outlineLevel="0" collapsed="false">
      <c r="A49" s="0" t="n">
        <v>2025</v>
      </c>
      <c r="B49" s="0" t="s">
        <v>981</v>
      </c>
      <c r="C49" s="0" t="s">
        <v>981</v>
      </c>
      <c r="E49" s="0" t="n">
        <v>2025</v>
      </c>
      <c r="F49" s="0" t="s">
        <v>981</v>
      </c>
      <c r="G49" s="0" t="s">
        <v>981</v>
      </c>
      <c r="I49" s="0" t="n">
        <v>2025</v>
      </c>
      <c r="J49" s="0" t="s">
        <v>981</v>
      </c>
      <c r="K49" s="0" t="s">
        <v>981</v>
      </c>
      <c r="M49" s="0" t="n">
        <v>2025</v>
      </c>
      <c r="N49" s="0" t="s">
        <v>981</v>
      </c>
      <c r="O49" s="0" t="s">
        <v>981</v>
      </c>
    </row>
    <row r="50" customFormat="false" ht="15" hidden="false" customHeight="false" outlineLevel="0" collapsed="false">
      <c r="A50" s="0" t="n">
        <v>2025</v>
      </c>
      <c r="B50" s="0" t="s">
        <v>981</v>
      </c>
      <c r="C50" s="0" t="s">
        <v>981</v>
      </c>
      <c r="E50" s="0" t="n">
        <v>2025</v>
      </c>
      <c r="F50" s="0" t="s">
        <v>981</v>
      </c>
      <c r="G50" s="0" t="s">
        <v>981</v>
      </c>
      <c r="I50" s="0" t="n">
        <v>2025</v>
      </c>
      <c r="J50" s="0" t="s">
        <v>981</v>
      </c>
      <c r="K50" s="0" t="s">
        <v>981</v>
      </c>
      <c r="M50" s="0" t="n">
        <v>2025</v>
      </c>
      <c r="N50" s="0" t="s">
        <v>981</v>
      </c>
      <c r="O50" s="0" t="s">
        <v>981</v>
      </c>
    </row>
    <row r="51" customFormat="false" ht="15" hidden="false" customHeight="false" outlineLevel="0" collapsed="false">
      <c r="A51" s="0" t="n">
        <v>2025</v>
      </c>
      <c r="B51" s="0" t="s">
        <v>981</v>
      </c>
      <c r="C51" s="0" t="s">
        <v>981</v>
      </c>
      <c r="E51" s="0" t="n">
        <v>2025</v>
      </c>
      <c r="F51" s="0" t="s">
        <v>981</v>
      </c>
      <c r="G51" s="0" t="s">
        <v>981</v>
      </c>
      <c r="I51" s="0" t="n">
        <v>2025</v>
      </c>
      <c r="J51" s="0" t="s">
        <v>981</v>
      </c>
      <c r="K51" s="0" t="s">
        <v>981</v>
      </c>
      <c r="M51" s="0" t="n">
        <v>2025</v>
      </c>
      <c r="N51" s="0" t="s">
        <v>981</v>
      </c>
      <c r="O51" s="0" t="s">
        <v>981</v>
      </c>
    </row>
    <row r="52" customFormat="false" ht="15" hidden="false" customHeight="false" outlineLevel="0" collapsed="false">
      <c r="A52" s="0" t="n">
        <v>2025</v>
      </c>
      <c r="B52" s="0" t="s">
        <v>981</v>
      </c>
      <c r="C52" s="0" t="s">
        <v>981</v>
      </c>
      <c r="E52" s="0" t="n">
        <v>2025</v>
      </c>
      <c r="F52" s="0" t="s">
        <v>981</v>
      </c>
      <c r="G52" s="0" t="s">
        <v>981</v>
      </c>
      <c r="I52" s="0" t="n">
        <v>2025</v>
      </c>
      <c r="J52" s="0" t="s">
        <v>981</v>
      </c>
      <c r="K52" s="0" t="s">
        <v>981</v>
      </c>
      <c r="M52" s="0" t="n">
        <v>2025</v>
      </c>
      <c r="N52" s="0" t="s">
        <v>981</v>
      </c>
      <c r="O52" s="0" t="s">
        <v>981</v>
      </c>
    </row>
    <row r="53" customFormat="false" ht="15" hidden="false" customHeight="false" outlineLevel="0" collapsed="false">
      <c r="A53" s="0" t="n">
        <v>2025</v>
      </c>
      <c r="B53" s="0" t="s">
        <v>981</v>
      </c>
      <c r="C53" s="0" t="s">
        <v>981</v>
      </c>
      <c r="E53" s="0" t="n">
        <v>2025</v>
      </c>
      <c r="F53" s="0" t="s">
        <v>981</v>
      </c>
      <c r="G53" s="0" t="s">
        <v>981</v>
      </c>
      <c r="I53" s="0" t="n">
        <v>2025</v>
      </c>
      <c r="J53" s="0" t="s">
        <v>981</v>
      </c>
      <c r="K53" s="0" t="s">
        <v>981</v>
      </c>
      <c r="M53" s="0" t="n">
        <v>2025</v>
      </c>
      <c r="N53" s="0" t="s">
        <v>981</v>
      </c>
      <c r="O53" s="0" t="s">
        <v>981</v>
      </c>
    </row>
    <row r="54" customFormat="false" ht="15" hidden="false" customHeight="false" outlineLevel="0" collapsed="false">
      <c r="A54" s="0" t="n">
        <v>2025</v>
      </c>
      <c r="B54" s="0" t="s">
        <v>981</v>
      </c>
      <c r="C54" s="0" t="s">
        <v>981</v>
      </c>
      <c r="E54" s="0" t="n">
        <v>2025</v>
      </c>
      <c r="F54" s="0" t="s">
        <v>981</v>
      </c>
      <c r="G54" s="0" t="s">
        <v>981</v>
      </c>
      <c r="I54" s="0" t="n">
        <v>2025</v>
      </c>
      <c r="J54" s="0" t="s">
        <v>981</v>
      </c>
      <c r="K54" s="0" t="s">
        <v>981</v>
      </c>
      <c r="M54" s="0" t="n">
        <v>2025</v>
      </c>
      <c r="N54" s="0" t="s">
        <v>981</v>
      </c>
      <c r="O54" s="0" t="s">
        <v>981</v>
      </c>
    </row>
    <row r="55" customFormat="false" ht="15" hidden="false" customHeight="false" outlineLevel="0" collapsed="false">
      <c r="A55" s="0" t="n">
        <v>2025</v>
      </c>
      <c r="B55" s="0" t="s">
        <v>981</v>
      </c>
      <c r="C55" s="0" t="s">
        <v>981</v>
      </c>
      <c r="E55" s="0" t="n">
        <v>2025</v>
      </c>
      <c r="F55" s="0" t="s">
        <v>981</v>
      </c>
      <c r="G55" s="0" t="s">
        <v>981</v>
      </c>
      <c r="I55" s="0" t="n">
        <v>2025</v>
      </c>
      <c r="J55" s="0" t="s">
        <v>981</v>
      </c>
      <c r="K55" s="0" t="s">
        <v>981</v>
      </c>
      <c r="M55" s="0" t="n">
        <v>2025</v>
      </c>
      <c r="N55" s="0" t="s">
        <v>981</v>
      </c>
      <c r="O55" s="0" t="s">
        <v>981</v>
      </c>
    </row>
    <row r="56" customFormat="false" ht="15" hidden="false" customHeight="false" outlineLevel="0" collapsed="false">
      <c r="A56" s="0" t="n">
        <v>2025</v>
      </c>
      <c r="B56" s="0" t="s">
        <v>981</v>
      </c>
      <c r="C56" s="0" t="s">
        <v>981</v>
      </c>
      <c r="E56" s="0" t="n">
        <v>2025</v>
      </c>
      <c r="F56" s="0" t="s">
        <v>981</v>
      </c>
      <c r="G56" s="0" t="s">
        <v>981</v>
      </c>
      <c r="I56" s="0" t="n">
        <v>2025</v>
      </c>
      <c r="J56" s="0" t="s">
        <v>981</v>
      </c>
      <c r="K56" s="0" t="s">
        <v>981</v>
      </c>
      <c r="M56" s="0" t="n">
        <v>2025</v>
      </c>
      <c r="N56" s="0" t="s">
        <v>981</v>
      </c>
      <c r="O56" s="0" t="s">
        <v>981</v>
      </c>
    </row>
    <row r="57" customFormat="false" ht="15" hidden="false" customHeight="false" outlineLevel="0" collapsed="false">
      <c r="A57" s="0" t="n">
        <v>2025</v>
      </c>
      <c r="B57" s="0" t="s">
        <v>981</v>
      </c>
      <c r="C57" s="0" t="s">
        <v>981</v>
      </c>
      <c r="E57" s="0" t="n">
        <v>2025</v>
      </c>
      <c r="F57" s="0" t="s">
        <v>981</v>
      </c>
      <c r="G57" s="0" t="s">
        <v>981</v>
      </c>
      <c r="I57" s="0" t="n">
        <v>2025</v>
      </c>
      <c r="J57" s="0" t="s">
        <v>981</v>
      </c>
      <c r="K57" s="0" t="s">
        <v>981</v>
      </c>
      <c r="M57" s="0" t="n">
        <v>2025</v>
      </c>
      <c r="N57" s="0" t="s">
        <v>981</v>
      </c>
      <c r="O57" s="0" t="s">
        <v>981</v>
      </c>
    </row>
    <row r="58" customFormat="false" ht="15" hidden="false" customHeight="false" outlineLevel="0" collapsed="false">
      <c r="A58" s="0" t="n">
        <v>2025</v>
      </c>
      <c r="B58" s="0" t="s">
        <v>981</v>
      </c>
      <c r="C58" s="0" t="s">
        <v>981</v>
      </c>
      <c r="E58" s="0" t="n">
        <v>2025</v>
      </c>
      <c r="F58" s="0" t="s">
        <v>981</v>
      </c>
      <c r="G58" s="0" t="s">
        <v>981</v>
      </c>
      <c r="I58" s="0" t="n">
        <v>2025</v>
      </c>
      <c r="J58" s="0" t="s">
        <v>981</v>
      </c>
      <c r="K58" s="0" t="s">
        <v>981</v>
      </c>
      <c r="M58" s="0" t="n">
        <v>2025</v>
      </c>
      <c r="N58" s="0" t="s">
        <v>981</v>
      </c>
      <c r="O58" s="0" t="s">
        <v>981</v>
      </c>
    </row>
    <row r="59" customFormat="false" ht="15" hidden="false" customHeight="false" outlineLevel="0" collapsed="false">
      <c r="A59" s="0" t="n">
        <v>2025</v>
      </c>
      <c r="B59" s="0" t="s">
        <v>981</v>
      </c>
      <c r="C59" s="0" t="s">
        <v>981</v>
      </c>
      <c r="E59" s="0" t="n">
        <v>2025</v>
      </c>
      <c r="F59" s="0" t="s">
        <v>981</v>
      </c>
      <c r="G59" s="0" t="s">
        <v>981</v>
      </c>
      <c r="I59" s="0" t="n">
        <v>2025</v>
      </c>
      <c r="J59" s="0" t="s">
        <v>981</v>
      </c>
      <c r="K59" s="0" t="s">
        <v>981</v>
      </c>
      <c r="M59" s="0" t="n">
        <v>2025</v>
      </c>
      <c r="N59" s="0" t="s">
        <v>981</v>
      </c>
      <c r="O59" s="0" t="s">
        <v>981</v>
      </c>
    </row>
    <row r="60" customFormat="false" ht="15" hidden="false" customHeight="false" outlineLevel="0" collapsed="false">
      <c r="A60" s="0" t="n">
        <v>2025</v>
      </c>
      <c r="B60" s="0" t="s">
        <v>981</v>
      </c>
      <c r="C60" s="0" t="s">
        <v>981</v>
      </c>
      <c r="E60" s="0" t="n">
        <v>2025</v>
      </c>
      <c r="F60" s="0" t="s">
        <v>981</v>
      </c>
      <c r="G60" s="0" t="s">
        <v>981</v>
      </c>
      <c r="I60" s="0" t="n">
        <v>2025</v>
      </c>
      <c r="J60" s="0" t="s">
        <v>981</v>
      </c>
      <c r="K60" s="0" t="s">
        <v>981</v>
      </c>
      <c r="M60" s="0" t="n">
        <v>2025</v>
      </c>
      <c r="N60" s="0" t="s">
        <v>981</v>
      </c>
      <c r="O60" s="0" t="s">
        <v>981</v>
      </c>
    </row>
    <row r="61" customFormat="false" ht="15" hidden="false" customHeight="false" outlineLevel="0" collapsed="false">
      <c r="A61" s="0" t="n">
        <v>2025</v>
      </c>
      <c r="B61" s="0" t="s">
        <v>981</v>
      </c>
      <c r="C61" s="0" t="s">
        <v>981</v>
      </c>
      <c r="E61" s="0" t="n">
        <v>2025</v>
      </c>
      <c r="F61" s="0" t="s">
        <v>981</v>
      </c>
      <c r="G61" s="0" t="s">
        <v>981</v>
      </c>
      <c r="I61" s="0" t="n">
        <v>2025</v>
      </c>
      <c r="J61" s="0" t="s">
        <v>981</v>
      </c>
      <c r="K61" s="0" t="s">
        <v>981</v>
      </c>
      <c r="M61" s="0" t="n">
        <v>2025</v>
      </c>
      <c r="N61" s="0" t="s">
        <v>981</v>
      </c>
      <c r="O61" s="0" t="s">
        <v>981</v>
      </c>
    </row>
    <row r="62" customFormat="false" ht="15" hidden="false" customHeight="false" outlineLevel="0" collapsed="false">
      <c r="A62" s="0" t="n">
        <v>2025</v>
      </c>
      <c r="B62" s="0" t="s">
        <v>981</v>
      </c>
      <c r="C62" s="0" t="s">
        <v>981</v>
      </c>
      <c r="E62" s="0" t="n">
        <v>2025</v>
      </c>
      <c r="F62" s="0" t="s">
        <v>981</v>
      </c>
      <c r="G62" s="0" t="s">
        <v>981</v>
      </c>
      <c r="I62" s="0" t="n">
        <v>2025</v>
      </c>
      <c r="J62" s="0" t="s">
        <v>981</v>
      </c>
      <c r="K62" s="0" t="s">
        <v>981</v>
      </c>
      <c r="M62" s="0" t="n">
        <v>2025</v>
      </c>
      <c r="N62" s="0" t="s">
        <v>981</v>
      </c>
      <c r="O62" s="0" t="s">
        <v>981</v>
      </c>
    </row>
    <row r="63" customFormat="false" ht="15" hidden="false" customHeight="false" outlineLevel="0" collapsed="false">
      <c r="A63" s="0" t="n">
        <v>2025</v>
      </c>
      <c r="B63" s="0" t="s">
        <v>981</v>
      </c>
      <c r="C63" s="0" t="s">
        <v>981</v>
      </c>
      <c r="E63" s="0" t="n">
        <v>2025</v>
      </c>
      <c r="F63" s="0" t="s">
        <v>981</v>
      </c>
      <c r="G63" s="0" t="s">
        <v>981</v>
      </c>
      <c r="I63" s="0" t="n">
        <v>2025</v>
      </c>
      <c r="J63" s="0" t="s">
        <v>981</v>
      </c>
      <c r="K63" s="0" t="s">
        <v>981</v>
      </c>
      <c r="M63" s="0" t="n">
        <v>2025</v>
      </c>
      <c r="N63" s="0" t="s">
        <v>981</v>
      </c>
      <c r="O63" s="0" t="s">
        <v>981</v>
      </c>
    </row>
    <row r="64" customFormat="false" ht="15" hidden="false" customHeight="false" outlineLevel="0" collapsed="false">
      <c r="A64" s="0" t="n">
        <v>2025</v>
      </c>
      <c r="B64" s="0" t="s">
        <v>981</v>
      </c>
      <c r="C64" s="0" t="s">
        <v>981</v>
      </c>
      <c r="E64" s="0" t="n">
        <v>2025</v>
      </c>
      <c r="F64" s="0" t="s">
        <v>981</v>
      </c>
      <c r="G64" s="0" t="s">
        <v>981</v>
      </c>
      <c r="I64" s="0" t="n">
        <v>2025</v>
      </c>
      <c r="J64" s="0" t="s">
        <v>981</v>
      </c>
      <c r="K64" s="0" t="s">
        <v>981</v>
      </c>
      <c r="M64" s="0" t="n">
        <v>2025</v>
      </c>
      <c r="N64" s="0" t="s">
        <v>981</v>
      </c>
      <c r="O64" s="0" t="s">
        <v>981</v>
      </c>
    </row>
    <row r="65" customFormat="false" ht="15" hidden="false" customHeight="false" outlineLevel="0" collapsed="false">
      <c r="A65" s="0" t="n">
        <v>2025</v>
      </c>
      <c r="B65" s="0" t="s">
        <v>981</v>
      </c>
      <c r="C65" s="0" t="s">
        <v>981</v>
      </c>
      <c r="E65" s="0" t="n">
        <v>2025</v>
      </c>
      <c r="F65" s="0" t="s">
        <v>981</v>
      </c>
      <c r="G65" s="0" t="s">
        <v>981</v>
      </c>
      <c r="I65" s="0" t="n">
        <v>2025</v>
      </c>
      <c r="J65" s="0" t="s">
        <v>981</v>
      </c>
      <c r="K65" s="0" t="s">
        <v>981</v>
      </c>
      <c r="M65" s="0" t="n">
        <v>2025</v>
      </c>
      <c r="N65" s="0" t="s">
        <v>981</v>
      </c>
      <c r="O65" s="0" t="s">
        <v>981</v>
      </c>
    </row>
    <row r="66" customFormat="false" ht="15" hidden="false" customHeight="false" outlineLevel="0" collapsed="false">
      <c r="A66" s="0" t="n">
        <v>2025</v>
      </c>
      <c r="B66" s="0" t="s">
        <v>981</v>
      </c>
      <c r="C66" s="0" t="s">
        <v>981</v>
      </c>
      <c r="E66" s="0" t="n">
        <v>2025</v>
      </c>
      <c r="F66" s="0" t="s">
        <v>981</v>
      </c>
      <c r="G66" s="0" t="s">
        <v>981</v>
      </c>
      <c r="I66" s="0" t="n">
        <v>2025</v>
      </c>
      <c r="J66" s="0" t="s">
        <v>981</v>
      </c>
      <c r="K66" s="0" t="s">
        <v>981</v>
      </c>
      <c r="M66" s="0" t="n">
        <v>2025</v>
      </c>
      <c r="N66" s="0" t="s">
        <v>981</v>
      </c>
      <c r="O66" s="0" t="s">
        <v>981</v>
      </c>
    </row>
    <row r="67" customFormat="false" ht="15" hidden="false" customHeight="false" outlineLevel="0" collapsed="false">
      <c r="A67" s="0" t="n">
        <v>2025</v>
      </c>
      <c r="B67" s="0" t="s">
        <v>981</v>
      </c>
      <c r="C67" s="0" t="s">
        <v>981</v>
      </c>
      <c r="E67" s="0" t="n">
        <v>2025</v>
      </c>
      <c r="F67" s="0" t="s">
        <v>981</v>
      </c>
      <c r="G67" s="0" t="s">
        <v>981</v>
      </c>
      <c r="I67" s="0" t="n">
        <v>2025</v>
      </c>
      <c r="J67" s="0" t="s">
        <v>981</v>
      </c>
      <c r="K67" s="0" t="s">
        <v>981</v>
      </c>
      <c r="M67" s="0" t="n">
        <v>2025</v>
      </c>
      <c r="N67" s="0" t="s">
        <v>981</v>
      </c>
      <c r="O67" s="0" t="s">
        <v>981</v>
      </c>
    </row>
    <row r="68" customFormat="false" ht="15" hidden="false" customHeight="false" outlineLevel="0" collapsed="false">
      <c r="A68" s="0" t="n">
        <v>2025</v>
      </c>
      <c r="B68" s="0" t="s">
        <v>981</v>
      </c>
      <c r="C68" s="0" t="s">
        <v>981</v>
      </c>
      <c r="E68" s="0" t="n">
        <v>2025</v>
      </c>
      <c r="F68" s="0" t="s">
        <v>981</v>
      </c>
      <c r="G68" s="0" t="s">
        <v>981</v>
      </c>
      <c r="I68" s="0" t="n">
        <v>2025</v>
      </c>
      <c r="J68" s="0" t="s">
        <v>981</v>
      </c>
      <c r="K68" s="0" t="s">
        <v>981</v>
      </c>
      <c r="M68" s="0" t="n">
        <v>2025</v>
      </c>
      <c r="N68" s="0" t="s">
        <v>981</v>
      </c>
      <c r="O68" s="0" t="s">
        <v>981</v>
      </c>
    </row>
    <row r="69" customFormat="false" ht="15" hidden="false" customHeight="false" outlineLevel="0" collapsed="false">
      <c r="A69" s="0" t="n">
        <v>2025</v>
      </c>
      <c r="B69" s="0" t="s">
        <v>981</v>
      </c>
      <c r="C69" s="0" t="s">
        <v>981</v>
      </c>
      <c r="E69" s="0" t="n">
        <v>2025</v>
      </c>
      <c r="F69" s="0" t="s">
        <v>981</v>
      </c>
      <c r="G69" s="0" t="s">
        <v>981</v>
      </c>
      <c r="I69" s="0" t="n">
        <v>2025</v>
      </c>
      <c r="J69" s="0" t="s">
        <v>981</v>
      </c>
      <c r="K69" s="0" t="s">
        <v>981</v>
      </c>
      <c r="M69" s="0" t="n">
        <v>2025</v>
      </c>
      <c r="N69" s="0" t="s">
        <v>981</v>
      </c>
      <c r="O69" s="0" t="s">
        <v>981</v>
      </c>
    </row>
    <row r="70" customFormat="false" ht="15" hidden="false" customHeight="false" outlineLevel="0" collapsed="false">
      <c r="A70" s="0" t="n">
        <v>2025</v>
      </c>
      <c r="B70" s="0" t="s">
        <v>981</v>
      </c>
      <c r="C70" s="0" t="s">
        <v>981</v>
      </c>
      <c r="E70" s="0" t="n">
        <v>2025</v>
      </c>
      <c r="F70" s="0" t="s">
        <v>981</v>
      </c>
      <c r="G70" s="0" t="s">
        <v>981</v>
      </c>
      <c r="I70" s="0" t="n">
        <v>2025</v>
      </c>
      <c r="J70" s="0" t="s">
        <v>981</v>
      </c>
      <c r="K70" s="0" t="s">
        <v>981</v>
      </c>
      <c r="M70" s="0" t="n">
        <v>2025</v>
      </c>
      <c r="N70" s="0" t="s">
        <v>981</v>
      </c>
      <c r="O70" s="0" t="s">
        <v>981</v>
      </c>
    </row>
    <row r="71" customFormat="false" ht="15" hidden="false" customHeight="false" outlineLevel="0" collapsed="false">
      <c r="A71" s="0" t="n">
        <v>2025</v>
      </c>
      <c r="B71" s="0" t="s">
        <v>981</v>
      </c>
      <c r="C71" s="0" t="s">
        <v>981</v>
      </c>
      <c r="E71" s="0" t="n">
        <v>2025</v>
      </c>
      <c r="F71" s="0" t="s">
        <v>981</v>
      </c>
      <c r="G71" s="0" t="s">
        <v>981</v>
      </c>
      <c r="I71" s="0" t="n">
        <v>2025</v>
      </c>
      <c r="J71" s="0" t="s">
        <v>981</v>
      </c>
      <c r="K71" s="0" t="s">
        <v>981</v>
      </c>
      <c r="M71" s="0" t="n">
        <v>2025</v>
      </c>
      <c r="N71" s="0" t="s">
        <v>981</v>
      </c>
      <c r="O71" s="0" t="s">
        <v>981</v>
      </c>
    </row>
    <row r="72" customFormat="false" ht="15" hidden="false" customHeight="false" outlineLevel="0" collapsed="false">
      <c r="A72" s="0" t="n">
        <v>2025</v>
      </c>
      <c r="B72" s="0" t="s">
        <v>981</v>
      </c>
      <c r="C72" s="0" t="s">
        <v>981</v>
      </c>
      <c r="E72" s="0" t="n">
        <v>2025</v>
      </c>
      <c r="F72" s="0" t="s">
        <v>981</v>
      </c>
      <c r="G72" s="0" t="s">
        <v>981</v>
      </c>
      <c r="I72" s="0" t="n">
        <v>2025</v>
      </c>
      <c r="J72" s="0" t="s">
        <v>981</v>
      </c>
      <c r="K72" s="0" t="s">
        <v>981</v>
      </c>
      <c r="M72" s="0" t="n">
        <v>2025</v>
      </c>
      <c r="N72" s="0" t="s">
        <v>981</v>
      </c>
      <c r="O72" s="0" t="s">
        <v>981</v>
      </c>
    </row>
    <row r="73" customFormat="false" ht="15" hidden="false" customHeight="false" outlineLevel="0" collapsed="false">
      <c r="A73" s="0" t="n">
        <v>2025</v>
      </c>
      <c r="B73" s="0" t="s">
        <v>981</v>
      </c>
      <c r="C73" s="0" t="s">
        <v>981</v>
      </c>
      <c r="E73" s="0" t="n">
        <v>2025</v>
      </c>
      <c r="F73" s="0" t="s">
        <v>981</v>
      </c>
      <c r="G73" s="0" t="s">
        <v>981</v>
      </c>
      <c r="I73" s="0" t="n">
        <v>2025</v>
      </c>
      <c r="J73" s="0" t="s">
        <v>981</v>
      </c>
      <c r="K73" s="0" t="s">
        <v>981</v>
      </c>
      <c r="M73" s="0" t="n">
        <v>2025</v>
      </c>
      <c r="N73" s="0" t="s">
        <v>981</v>
      </c>
      <c r="O73" s="0" t="s">
        <v>981</v>
      </c>
    </row>
    <row r="74" customFormat="false" ht="15" hidden="false" customHeight="false" outlineLevel="0" collapsed="false">
      <c r="A74" s="0" t="n">
        <v>2025</v>
      </c>
      <c r="B74" s="0" t="s">
        <v>981</v>
      </c>
      <c r="C74" s="0" t="s">
        <v>981</v>
      </c>
      <c r="E74" s="0" t="n">
        <v>2025</v>
      </c>
      <c r="F74" s="0" t="s">
        <v>981</v>
      </c>
      <c r="G74" s="0" t="s">
        <v>981</v>
      </c>
      <c r="I74" s="0" t="n">
        <v>2025</v>
      </c>
      <c r="J74" s="0" t="s">
        <v>981</v>
      </c>
      <c r="K74" s="0" t="s">
        <v>981</v>
      </c>
      <c r="M74" s="0" t="n">
        <v>2025</v>
      </c>
      <c r="N74" s="0" t="s">
        <v>981</v>
      </c>
      <c r="O74" s="0" t="s">
        <v>981</v>
      </c>
    </row>
    <row r="75" customFormat="false" ht="15" hidden="false" customHeight="false" outlineLevel="0" collapsed="false">
      <c r="A75" s="0" t="n">
        <v>2025</v>
      </c>
      <c r="B75" s="0" t="s">
        <v>981</v>
      </c>
      <c r="C75" s="0" t="s">
        <v>981</v>
      </c>
      <c r="E75" s="0" t="n">
        <v>2025</v>
      </c>
      <c r="F75" s="0" t="s">
        <v>981</v>
      </c>
      <c r="G75" s="0" t="s">
        <v>981</v>
      </c>
      <c r="I75" s="0" t="n">
        <v>2025</v>
      </c>
      <c r="J75" s="0" t="s">
        <v>981</v>
      </c>
      <c r="K75" s="0" t="s">
        <v>981</v>
      </c>
      <c r="M75" s="0" t="n">
        <v>2025</v>
      </c>
      <c r="N75" s="0" t="s">
        <v>981</v>
      </c>
      <c r="O75" s="0" t="s">
        <v>981</v>
      </c>
    </row>
    <row r="76" customFormat="false" ht="15" hidden="false" customHeight="false" outlineLevel="0" collapsed="false">
      <c r="A76" s="0" t="n">
        <v>2025</v>
      </c>
      <c r="B76" s="0" t="s">
        <v>981</v>
      </c>
      <c r="C76" s="0" t="s">
        <v>981</v>
      </c>
      <c r="E76" s="0" t="n">
        <v>2025</v>
      </c>
      <c r="F76" s="0" t="s">
        <v>981</v>
      </c>
      <c r="G76" s="0" t="s">
        <v>981</v>
      </c>
      <c r="I76" s="0" t="n">
        <v>2025</v>
      </c>
      <c r="J76" s="0" t="s">
        <v>981</v>
      </c>
      <c r="K76" s="0" t="s">
        <v>981</v>
      </c>
      <c r="M76" s="0" t="n">
        <v>2025</v>
      </c>
      <c r="N76" s="0" t="s">
        <v>981</v>
      </c>
      <c r="O76" s="0" t="s">
        <v>981</v>
      </c>
    </row>
    <row r="77" customFormat="false" ht="15" hidden="false" customHeight="false" outlineLevel="0" collapsed="false">
      <c r="A77" s="0" t="n">
        <v>2025</v>
      </c>
      <c r="B77" s="0" t="s">
        <v>981</v>
      </c>
      <c r="C77" s="0" t="s">
        <v>981</v>
      </c>
      <c r="E77" s="0" t="n">
        <v>2025</v>
      </c>
      <c r="F77" s="0" t="s">
        <v>981</v>
      </c>
      <c r="G77" s="0" t="s">
        <v>981</v>
      </c>
      <c r="I77" s="0" t="n">
        <v>2025</v>
      </c>
      <c r="J77" s="0" t="s">
        <v>981</v>
      </c>
      <c r="K77" s="0" t="s">
        <v>981</v>
      </c>
      <c r="M77" s="0" t="n">
        <v>2025</v>
      </c>
      <c r="N77" s="0" t="s">
        <v>981</v>
      </c>
      <c r="O77" s="0" t="s">
        <v>981</v>
      </c>
    </row>
    <row r="78" customFormat="false" ht="15" hidden="false" customHeight="false" outlineLevel="0" collapsed="false">
      <c r="A78" s="0" t="n">
        <v>2025</v>
      </c>
      <c r="B78" s="0" t="s">
        <v>981</v>
      </c>
      <c r="C78" s="0" t="s">
        <v>981</v>
      </c>
      <c r="E78" s="0" t="n">
        <v>2025</v>
      </c>
      <c r="F78" s="0" t="s">
        <v>981</v>
      </c>
      <c r="G78" s="0" t="s">
        <v>981</v>
      </c>
      <c r="I78" s="0" t="n">
        <v>2025</v>
      </c>
      <c r="J78" s="0" t="s">
        <v>981</v>
      </c>
      <c r="K78" s="0" t="s">
        <v>981</v>
      </c>
      <c r="M78" s="0" t="n">
        <v>2025</v>
      </c>
      <c r="N78" s="0" t="s">
        <v>981</v>
      </c>
      <c r="O78" s="0" t="s">
        <v>981</v>
      </c>
    </row>
    <row r="79" customFormat="false" ht="15" hidden="false" customHeight="false" outlineLevel="0" collapsed="false">
      <c r="A79" s="0" t="n">
        <v>2025</v>
      </c>
      <c r="B79" s="0" t="s">
        <v>981</v>
      </c>
      <c r="C79" s="0" t="s">
        <v>981</v>
      </c>
      <c r="E79" s="0" t="n">
        <v>2025</v>
      </c>
      <c r="F79" s="0" t="s">
        <v>981</v>
      </c>
      <c r="G79" s="0" t="s">
        <v>981</v>
      </c>
      <c r="I79" s="0" t="n">
        <v>2025</v>
      </c>
      <c r="J79" s="0" t="s">
        <v>981</v>
      </c>
      <c r="K79" s="0" t="s">
        <v>981</v>
      </c>
      <c r="M79" s="0" t="n">
        <v>2025</v>
      </c>
      <c r="N79" s="0" t="s">
        <v>981</v>
      </c>
      <c r="O79" s="0" t="s">
        <v>981</v>
      </c>
    </row>
    <row r="80" customFormat="false" ht="15" hidden="false" customHeight="false" outlineLevel="0" collapsed="false">
      <c r="A80" s="0" t="n">
        <v>2025</v>
      </c>
      <c r="B80" s="0" t="s">
        <v>981</v>
      </c>
      <c r="C80" s="0" t="s">
        <v>981</v>
      </c>
      <c r="E80" s="0" t="n">
        <v>2025</v>
      </c>
      <c r="F80" s="0" t="s">
        <v>981</v>
      </c>
      <c r="G80" s="0" t="s">
        <v>981</v>
      </c>
      <c r="I80" s="0" t="n">
        <v>2025</v>
      </c>
      <c r="J80" s="0" t="s">
        <v>981</v>
      </c>
      <c r="K80" s="0" t="s">
        <v>981</v>
      </c>
      <c r="M80" s="0" t="n">
        <v>2025</v>
      </c>
      <c r="N80" s="0" t="s">
        <v>981</v>
      </c>
      <c r="O80" s="0" t="s">
        <v>981</v>
      </c>
    </row>
    <row r="81" customFormat="false" ht="15" hidden="false" customHeight="false" outlineLevel="0" collapsed="false">
      <c r="A81" s="0" t="n">
        <v>2025</v>
      </c>
      <c r="B81" s="0" t="s">
        <v>981</v>
      </c>
      <c r="C81" s="0" t="s">
        <v>981</v>
      </c>
      <c r="E81" s="0" t="n">
        <v>2025</v>
      </c>
      <c r="F81" s="0" t="s">
        <v>981</v>
      </c>
      <c r="G81" s="0" t="s">
        <v>981</v>
      </c>
      <c r="I81" s="0" t="n">
        <v>2025</v>
      </c>
      <c r="J81" s="0" t="s">
        <v>981</v>
      </c>
      <c r="K81" s="0" t="s">
        <v>981</v>
      </c>
      <c r="M81" s="0" t="n">
        <v>2025</v>
      </c>
      <c r="N81" s="0" t="s">
        <v>981</v>
      </c>
      <c r="O81" s="0" t="s">
        <v>981</v>
      </c>
    </row>
    <row r="82" customFormat="false" ht="15" hidden="false" customHeight="false" outlineLevel="0" collapsed="false">
      <c r="A82" s="0" t="n">
        <v>2025</v>
      </c>
      <c r="B82" s="0" t="s">
        <v>981</v>
      </c>
      <c r="C82" s="0" t="s">
        <v>981</v>
      </c>
      <c r="E82" s="0" t="n">
        <v>2025</v>
      </c>
      <c r="F82" s="0" t="s">
        <v>981</v>
      </c>
      <c r="G82" s="0" t="s">
        <v>981</v>
      </c>
      <c r="I82" s="0" t="n">
        <v>2025</v>
      </c>
      <c r="J82" s="0" t="s">
        <v>981</v>
      </c>
      <c r="K82" s="0" t="s">
        <v>981</v>
      </c>
      <c r="M82" s="0" t="n">
        <v>2025</v>
      </c>
      <c r="N82" s="0" t="s">
        <v>981</v>
      </c>
      <c r="O82" s="0" t="s">
        <v>981</v>
      </c>
    </row>
    <row r="83" customFormat="false" ht="15" hidden="false" customHeight="false" outlineLevel="0" collapsed="false">
      <c r="A83" s="0" t="n">
        <v>2025</v>
      </c>
      <c r="B83" s="0" t="s">
        <v>981</v>
      </c>
      <c r="C83" s="0" t="s">
        <v>981</v>
      </c>
      <c r="E83" s="0" t="n">
        <v>2025</v>
      </c>
      <c r="F83" s="0" t="s">
        <v>981</v>
      </c>
      <c r="G83" s="0" t="s">
        <v>981</v>
      </c>
      <c r="I83" s="0" t="n">
        <v>2025</v>
      </c>
      <c r="J83" s="0" t="s">
        <v>981</v>
      </c>
      <c r="K83" s="0" t="s">
        <v>981</v>
      </c>
      <c r="M83" s="0" t="n">
        <v>2025</v>
      </c>
      <c r="N83" s="0" t="s">
        <v>981</v>
      </c>
      <c r="O83" s="0" t="s">
        <v>981</v>
      </c>
    </row>
    <row r="84" customFormat="false" ht="15" hidden="false" customHeight="false" outlineLevel="0" collapsed="false">
      <c r="A84" s="0" t="n">
        <v>2025</v>
      </c>
      <c r="B84" s="0" t="s">
        <v>981</v>
      </c>
      <c r="C84" s="0" t="s">
        <v>981</v>
      </c>
      <c r="E84" s="0" t="n">
        <v>2025</v>
      </c>
      <c r="F84" s="0" t="s">
        <v>981</v>
      </c>
      <c r="G84" s="0" t="s">
        <v>981</v>
      </c>
      <c r="I84" s="0" t="n">
        <v>2025</v>
      </c>
      <c r="J84" s="0" t="s">
        <v>981</v>
      </c>
      <c r="K84" s="0" t="s">
        <v>981</v>
      </c>
      <c r="M84" s="0" t="n">
        <v>2025</v>
      </c>
      <c r="N84" s="0" t="s">
        <v>981</v>
      </c>
      <c r="O84" s="0" t="s">
        <v>981</v>
      </c>
    </row>
    <row r="85" customFormat="false" ht="15" hidden="false" customHeight="false" outlineLevel="0" collapsed="false">
      <c r="A85" s="0" t="n">
        <v>2025</v>
      </c>
      <c r="B85" s="0" t="s">
        <v>981</v>
      </c>
      <c r="C85" s="0" t="s">
        <v>981</v>
      </c>
      <c r="E85" s="0" t="n">
        <v>2025</v>
      </c>
      <c r="F85" s="0" t="s">
        <v>981</v>
      </c>
      <c r="G85" s="0" t="s">
        <v>981</v>
      </c>
      <c r="I85" s="0" t="n">
        <v>2025</v>
      </c>
      <c r="J85" s="0" t="s">
        <v>981</v>
      </c>
      <c r="K85" s="0" t="s">
        <v>981</v>
      </c>
      <c r="M85" s="0" t="n">
        <v>2025</v>
      </c>
      <c r="N85" s="0" t="s">
        <v>981</v>
      </c>
      <c r="O85" s="0" t="s">
        <v>981</v>
      </c>
    </row>
    <row r="86" customFormat="false" ht="15" hidden="false" customHeight="false" outlineLevel="0" collapsed="false">
      <c r="A86" s="0" t="n">
        <v>2025</v>
      </c>
      <c r="B86" s="0" t="s">
        <v>981</v>
      </c>
      <c r="C86" s="0" t="s">
        <v>981</v>
      </c>
      <c r="E86" s="0" t="n">
        <v>2025</v>
      </c>
      <c r="F86" s="0" t="s">
        <v>981</v>
      </c>
      <c r="G86" s="0" t="s">
        <v>981</v>
      </c>
      <c r="I86" s="0" t="n">
        <v>2025</v>
      </c>
      <c r="J86" s="0" t="s">
        <v>981</v>
      </c>
      <c r="K86" s="0" t="s">
        <v>981</v>
      </c>
      <c r="M86" s="0" t="n">
        <v>2025</v>
      </c>
      <c r="N86" s="0" t="s">
        <v>981</v>
      </c>
      <c r="O86" s="0" t="s">
        <v>981</v>
      </c>
    </row>
    <row r="87" customFormat="false" ht="15" hidden="false" customHeight="false" outlineLevel="0" collapsed="false">
      <c r="A87" s="0" t="n">
        <v>2025</v>
      </c>
      <c r="B87" s="0" t="s">
        <v>981</v>
      </c>
      <c r="C87" s="0" t="s">
        <v>981</v>
      </c>
      <c r="E87" s="0" t="n">
        <v>2025</v>
      </c>
      <c r="F87" s="0" t="s">
        <v>981</v>
      </c>
      <c r="G87" s="0" t="s">
        <v>981</v>
      </c>
      <c r="I87" s="0" t="n">
        <v>2025</v>
      </c>
      <c r="J87" s="0" t="s">
        <v>981</v>
      </c>
      <c r="K87" s="0" t="s">
        <v>981</v>
      </c>
      <c r="M87" s="0" t="n">
        <v>2025</v>
      </c>
      <c r="N87" s="0" t="s">
        <v>981</v>
      </c>
      <c r="O87" s="0" t="s">
        <v>981</v>
      </c>
    </row>
    <row r="88" customFormat="false" ht="15" hidden="false" customHeight="false" outlineLevel="0" collapsed="false">
      <c r="A88" s="0" t="n">
        <v>2025</v>
      </c>
      <c r="B88" s="0" t="s">
        <v>981</v>
      </c>
      <c r="C88" s="0" t="s">
        <v>981</v>
      </c>
      <c r="E88" s="0" t="n">
        <v>2025</v>
      </c>
      <c r="F88" s="0" t="s">
        <v>981</v>
      </c>
      <c r="G88" s="0" t="s">
        <v>981</v>
      </c>
      <c r="I88" s="0" t="n">
        <v>2025</v>
      </c>
      <c r="J88" s="0" t="s">
        <v>981</v>
      </c>
      <c r="K88" s="0" t="s">
        <v>981</v>
      </c>
      <c r="M88" s="0" t="n">
        <v>2025</v>
      </c>
      <c r="N88" s="0" t="s">
        <v>981</v>
      </c>
      <c r="O88" s="0" t="s">
        <v>981</v>
      </c>
    </row>
    <row r="89" customFormat="false" ht="15" hidden="false" customHeight="false" outlineLevel="0" collapsed="false">
      <c r="A89" s="0" t="n">
        <v>2025</v>
      </c>
      <c r="B89" s="0" t="s">
        <v>981</v>
      </c>
      <c r="C89" s="0" t="s">
        <v>981</v>
      </c>
      <c r="E89" s="0" t="n">
        <v>2025</v>
      </c>
      <c r="F89" s="0" t="s">
        <v>981</v>
      </c>
      <c r="G89" s="0" t="s">
        <v>981</v>
      </c>
      <c r="I89" s="0" t="n">
        <v>2025</v>
      </c>
      <c r="J89" s="0" t="s">
        <v>981</v>
      </c>
      <c r="K89" s="0" t="s">
        <v>981</v>
      </c>
      <c r="M89" s="0" t="n">
        <v>2025</v>
      </c>
      <c r="N89" s="0" t="s">
        <v>981</v>
      </c>
      <c r="O89" s="0" t="s">
        <v>981</v>
      </c>
    </row>
    <row r="90" customFormat="false" ht="15" hidden="false" customHeight="false" outlineLevel="0" collapsed="false">
      <c r="A90" s="0" t="n">
        <v>2025</v>
      </c>
      <c r="B90" s="0" t="s">
        <v>981</v>
      </c>
      <c r="C90" s="0" t="s">
        <v>981</v>
      </c>
      <c r="E90" s="0" t="n">
        <v>2025</v>
      </c>
      <c r="F90" s="0" t="s">
        <v>981</v>
      </c>
      <c r="G90" s="0" t="s">
        <v>981</v>
      </c>
      <c r="I90" s="0" t="n">
        <v>2025</v>
      </c>
      <c r="J90" s="0" t="s">
        <v>981</v>
      </c>
      <c r="K90" s="0" t="s">
        <v>981</v>
      </c>
      <c r="M90" s="0" t="n">
        <v>2025</v>
      </c>
      <c r="N90" s="0" t="s">
        <v>981</v>
      </c>
      <c r="O90" s="0" t="s">
        <v>981</v>
      </c>
    </row>
    <row r="91" customFormat="false" ht="15" hidden="false" customHeight="false" outlineLevel="0" collapsed="false">
      <c r="A91" s="0" t="n">
        <v>2025</v>
      </c>
      <c r="B91" s="0" t="s">
        <v>981</v>
      </c>
      <c r="C91" s="0" t="s">
        <v>981</v>
      </c>
      <c r="E91" s="0" t="n">
        <v>2025</v>
      </c>
      <c r="F91" s="0" t="s">
        <v>981</v>
      </c>
      <c r="G91" s="0" t="s">
        <v>981</v>
      </c>
      <c r="I91" s="0" t="n">
        <v>2025</v>
      </c>
      <c r="J91" s="0" t="s">
        <v>981</v>
      </c>
      <c r="K91" s="0" t="s">
        <v>981</v>
      </c>
      <c r="M91" s="0" t="n">
        <v>2025</v>
      </c>
      <c r="N91" s="0" t="s">
        <v>981</v>
      </c>
      <c r="O91" s="0" t="s">
        <v>981</v>
      </c>
    </row>
    <row r="92" customFormat="false" ht="15" hidden="false" customHeight="false" outlineLevel="0" collapsed="false">
      <c r="A92" s="0" t="n">
        <v>2025</v>
      </c>
      <c r="B92" s="0" t="s">
        <v>981</v>
      </c>
      <c r="C92" s="0" t="s">
        <v>981</v>
      </c>
      <c r="E92" s="0" t="n">
        <v>2025</v>
      </c>
      <c r="F92" s="0" t="s">
        <v>981</v>
      </c>
      <c r="G92" s="0" t="s">
        <v>981</v>
      </c>
      <c r="I92" s="0" t="n">
        <v>2025</v>
      </c>
      <c r="J92" s="0" t="s">
        <v>981</v>
      </c>
      <c r="K92" s="0" t="s">
        <v>981</v>
      </c>
      <c r="M92" s="0" t="n">
        <v>2025</v>
      </c>
      <c r="N92" s="0" t="s">
        <v>981</v>
      </c>
      <c r="O92" s="0" t="s">
        <v>981</v>
      </c>
    </row>
    <row r="93" customFormat="false" ht="15" hidden="false" customHeight="false" outlineLevel="0" collapsed="false">
      <c r="A93" s="0" t="n">
        <v>2025</v>
      </c>
      <c r="B93" s="0" t="s">
        <v>981</v>
      </c>
      <c r="C93" s="0" t="s">
        <v>981</v>
      </c>
      <c r="E93" s="0" t="n">
        <v>2025</v>
      </c>
      <c r="F93" s="0" t="s">
        <v>981</v>
      </c>
      <c r="G93" s="0" t="s">
        <v>981</v>
      </c>
      <c r="I93" s="0" t="n">
        <v>2025</v>
      </c>
      <c r="J93" s="0" t="s">
        <v>981</v>
      </c>
      <c r="K93" s="0" t="s">
        <v>981</v>
      </c>
      <c r="M93" s="0" t="n">
        <v>2025</v>
      </c>
      <c r="N93" s="0" t="s">
        <v>981</v>
      </c>
      <c r="O93" s="0" t="s">
        <v>981</v>
      </c>
    </row>
    <row r="94" customFormat="false" ht="15" hidden="false" customHeight="false" outlineLevel="0" collapsed="false">
      <c r="A94" s="0" t="n">
        <v>2025</v>
      </c>
      <c r="B94" s="0" t="s">
        <v>981</v>
      </c>
      <c r="C94" s="0" t="s">
        <v>981</v>
      </c>
      <c r="E94" s="0" t="n">
        <v>2025</v>
      </c>
      <c r="F94" s="0" t="s">
        <v>981</v>
      </c>
      <c r="G94" s="0" t="s">
        <v>981</v>
      </c>
      <c r="I94" s="0" t="n">
        <v>2025</v>
      </c>
      <c r="J94" s="0" t="s">
        <v>981</v>
      </c>
      <c r="K94" s="0" t="s">
        <v>981</v>
      </c>
      <c r="M94" s="0" t="n">
        <v>2025</v>
      </c>
      <c r="N94" s="0" t="s">
        <v>981</v>
      </c>
      <c r="O94" s="0" t="s">
        <v>981</v>
      </c>
    </row>
    <row r="95" customFormat="false" ht="15" hidden="false" customHeight="false" outlineLevel="0" collapsed="false">
      <c r="A95" s="0" t="n">
        <v>2025</v>
      </c>
      <c r="B95" s="0" t="s">
        <v>981</v>
      </c>
      <c r="C95" s="0" t="s">
        <v>981</v>
      </c>
      <c r="E95" s="0" t="n">
        <v>2025</v>
      </c>
      <c r="F95" s="0" t="s">
        <v>981</v>
      </c>
      <c r="G95" s="0" t="s">
        <v>981</v>
      </c>
      <c r="I95" s="0" t="n">
        <v>2025</v>
      </c>
      <c r="J95" s="0" t="s">
        <v>981</v>
      </c>
      <c r="K95" s="0" t="s">
        <v>981</v>
      </c>
      <c r="M95" s="0" t="n">
        <v>2025</v>
      </c>
      <c r="N95" s="0" t="s">
        <v>981</v>
      </c>
      <c r="O95" s="0" t="s">
        <v>981</v>
      </c>
    </row>
    <row r="96" customFormat="false" ht="15" hidden="false" customHeight="false" outlineLevel="0" collapsed="false">
      <c r="A96" s="0" t="n">
        <v>2025</v>
      </c>
      <c r="B96" s="0" t="s">
        <v>981</v>
      </c>
      <c r="C96" s="0" t="s">
        <v>981</v>
      </c>
      <c r="E96" s="0" t="n">
        <v>2025</v>
      </c>
      <c r="F96" s="0" t="s">
        <v>981</v>
      </c>
      <c r="G96" s="0" t="s">
        <v>981</v>
      </c>
      <c r="I96" s="0" t="n">
        <v>2025</v>
      </c>
      <c r="J96" s="0" t="s">
        <v>981</v>
      </c>
      <c r="K96" s="0" t="s">
        <v>981</v>
      </c>
      <c r="M96" s="0" t="n">
        <v>2025</v>
      </c>
      <c r="N96" s="0" t="s">
        <v>981</v>
      </c>
      <c r="O96" s="0" t="s">
        <v>981</v>
      </c>
    </row>
    <row r="97" customFormat="false" ht="15" hidden="false" customHeight="false" outlineLevel="0" collapsed="false">
      <c r="A97" s="0" t="n">
        <v>2025</v>
      </c>
      <c r="B97" s="0" t="s">
        <v>981</v>
      </c>
      <c r="C97" s="0" t="s">
        <v>981</v>
      </c>
      <c r="E97" s="0" t="n">
        <v>2025</v>
      </c>
      <c r="F97" s="0" t="s">
        <v>981</v>
      </c>
      <c r="G97" s="0" t="s">
        <v>981</v>
      </c>
      <c r="I97" s="0" t="n">
        <v>2025</v>
      </c>
      <c r="J97" s="0" t="s">
        <v>981</v>
      </c>
      <c r="K97" s="0" t="s">
        <v>981</v>
      </c>
      <c r="M97" s="0" t="n">
        <v>2025</v>
      </c>
      <c r="N97" s="0" t="s">
        <v>981</v>
      </c>
      <c r="O97" s="0" t="s">
        <v>981</v>
      </c>
    </row>
    <row r="98" customFormat="false" ht="15" hidden="false" customHeight="false" outlineLevel="0" collapsed="false">
      <c r="A98" s="0" t="n">
        <v>2025</v>
      </c>
      <c r="B98" s="0" t="s">
        <v>981</v>
      </c>
      <c r="C98" s="0" t="s">
        <v>981</v>
      </c>
      <c r="E98" s="0" t="n">
        <v>2025</v>
      </c>
      <c r="F98" s="0" t="s">
        <v>981</v>
      </c>
      <c r="G98" s="0" t="s">
        <v>981</v>
      </c>
      <c r="I98" s="0" t="n">
        <v>2025</v>
      </c>
      <c r="J98" s="0" t="s">
        <v>981</v>
      </c>
      <c r="K98" s="0" t="s">
        <v>981</v>
      </c>
      <c r="M98" s="0" t="n">
        <v>2025</v>
      </c>
      <c r="N98" s="0" t="s">
        <v>981</v>
      </c>
      <c r="O98" s="0" t="s">
        <v>981</v>
      </c>
    </row>
    <row r="99" customFormat="false" ht="15" hidden="false" customHeight="false" outlineLevel="0" collapsed="false">
      <c r="A99" s="0" t="n">
        <v>2025</v>
      </c>
      <c r="B99" s="0" t="s">
        <v>981</v>
      </c>
      <c r="C99" s="0" t="s">
        <v>981</v>
      </c>
      <c r="E99" s="0" t="n">
        <v>2025</v>
      </c>
      <c r="F99" s="0" t="s">
        <v>981</v>
      </c>
      <c r="G99" s="0" t="s">
        <v>981</v>
      </c>
      <c r="I99" s="0" t="n">
        <v>2025</v>
      </c>
      <c r="J99" s="0" t="s">
        <v>981</v>
      </c>
      <c r="K99" s="0" t="s">
        <v>981</v>
      </c>
      <c r="M99" s="0" t="n">
        <v>2025</v>
      </c>
      <c r="N99" s="0" t="s">
        <v>981</v>
      </c>
      <c r="O99" s="0" t="s">
        <v>981</v>
      </c>
    </row>
    <row r="100" customFormat="false" ht="15" hidden="false" customHeight="false" outlineLevel="0" collapsed="false">
      <c r="A100" s="0" t="n">
        <v>2025</v>
      </c>
      <c r="B100" s="0" t="s">
        <v>981</v>
      </c>
      <c r="C100" s="0" t="s">
        <v>981</v>
      </c>
      <c r="E100" s="0" t="n">
        <v>2025</v>
      </c>
      <c r="F100" s="0" t="s">
        <v>981</v>
      </c>
      <c r="G100" s="0" t="s">
        <v>981</v>
      </c>
      <c r="I100" s="0" t="n">
        <v>2025</v>
      </c>
      <c r="J100" s="0" t="s">
        <v>981</v>
      </c>
      <c r="K100" s="0" t="s">
        <v>981</v>
      </c>
      <c r="M100" s="0" t="n">
        <v>2025</v>
      </c>
      <c r="N100" s="0" t="s">
        <v>981</v>
      </c>
      <c r="O100" s="0" t="s">
        <v>981</v>
      </c>
    </row>
    <row r="101" customFormat="false" ht="15" hidden="false" customHeight="false" outlineLevel="0" collapsed="false">
      <c r="A101" s="0" t="n">
        <v>2025</v>
      </c>
      <c r="B101" s="0" t="s">
        <v>981</v>
      </c>
      <c r="C101" s="0" t="s">
        <v>981</v>
      </c>
      <c r="E101" s="0" t="n">
        <v>2025</v>
      </c>
      <c r="F101" s="0" t="s">
        <v>981</v>
      </c>
      <c r="G101" s="0" t="s">
        <v>981</v>
      </c>
      <c r="I101" s="0" t="n">
        <v>2025</v>
      </c>
      <c r="J101" s="0" t="s">
        <v>981</v>
      </c>
      <c r="K101" s="0" t="s">
        <v>981</v>
      </c>
      <c r="M101" s="0" t="n">
        <v>2025</v>
      </c>
      <c r="N101" s="0" t="s">
        <v>981</v>
      </c>
      <c r="O101" s="0" t="s">
        <v>981</v>
      </c>
    </row>
    <row r="102" customFormat="false" ht="15" hidden="false" customHeight="false" outlineLevel="0" collapsed="false">
      <c r="A102" s="0" t="n">
        <v>2025</v>
      </c>
      <c r="B102" s="0" t="s">
        <v>981</v>
      </c>
      <c r="C102" s="0" t="s">
        <v>981</v>
      </c>
      <c r="E102" s="0" t="n">
        <v>2025</v>
      </c>
      <c r="F102" s="0" t="s">
        <v>981</v>
      </c>
      <c r="G102" s="0" t="s">
        <v>981</v>
      </c>
      <c r="I102" s="0" t="n">
        <v>2025</v>
      </c>
      <c r="J102" s="0" t="s">
        <v>981</v>
      </c>
      <c r="K102" s="0" t="s">
        <v>981</v>
      </c>
      <c r="M102" s="0" t="n">
        <v>2025</v>
      </c>
      <c r="N102" s="0" t="s">
        <v>981</v>
      </c>
      <c r="O102" s="0" t="s">
        <v>981</v>
      </c>
    </row>
    <row r="103" customFormat="false" ht="15" hidden="false" customHeight="false" outlineLevel="0" collapsed="false">
      <c r="A103" s="0" t="n">
        <v>2025</v>
      </c>
      <c r="B103" s="0" t="s">
        <v>981</v>
      </c>
      <c r="C103" s="0" t="s">
        <v>981</v>
      </c>
      <c r="E103" s="0" t="n">
        <v>2025</v>
      </c>
      <c r="F103" s="0" t="s">
        <v>981</v>
      </c>
      <c r="G103" s="0" t="s">
        <v>981</v>
      </c>
      <c r="I103" s="0" t="n">
        <v>2025</v>
      </c>
      <c r="J103" s="0" t="s">
        <v>981</v>
      </c>
      <c r="K103" s="0" t="s">
        <v>981</v>
      </c>
      <c r="M103" s="0" t="n">
        <v>2025</v>
      </c>
      <c r="N103" s="0" t="s">
        <v>981</v>
      </c>
      <c r="O103" s="0" t="s">
        <v>981</v>
      </c>
    </row>
    <row r="104" customFormat="false" ht="15" hidden="false" customHeight="false" outlineLevel="0" collapsed="false">
      <c r="A104" s="0" t="n">
        <v>2025</v>
      </c>
      <c r="B104" s="0" t="s">
        <v>981</v>
      </c>
      <c r="C104" s="0" t="s">
        <v>981</v>
      </c>
      <c r="E104" s="0" t="n">
        <v>2025</v>
      </c>
      <c r="F104" s="0" t="s">
        <v>981</v>
      </c>
      <c r="G104" s="0" t="s">
        <v>981</v>
      </c>
      <c r="I104" s="0" t="n">
        <v>2025</v>
      </c>
      <c r="J104" s="0" t="s">
        <v>981</v>
      </c>
      <c r="K104" s="0" t="s">
        <v>981</v>
      </c>
      <c r="M104" s="0" t="n">
        <v>2025</v>
      </c>
      <c r="N104" s="0" t="s">
        <v>981</v>
      </c>
      <c r="O104" s="0" t="s">
        <v>981</v>
      </c>
    </row>
    <row r="105" customFormat="false" ht="15" hidden="false" customHeight="false" outlineLevel="0" collapsed="false">
      <c r="A105" s="0" t="n">
        <v>2025</v>
      </c>
      <c r="B105" s="0" t="s">
        <v>981</v>
      </c>
      <c r="C105" s="0" t="s">
        <v>981</v>
      </c>
      <c r="E105" s="0" t="n">
        <v>2025</v>
      </c>
      <c r="F105" s="0" t="s">
        <v>981</v>
      </c>
      <c r="G105" s="0" t="s">
        <v>981</v>
      </c>
      <c r="I105" s="0" t="n">
        <v>2025</v>
      </c>
      <c r="J105" s="0" t="s">
        <v>981</v>
      </c>
      <c r="K105" s="0" t="s">
        <v>981</v>
      </c>
      <c r="M105" s="0" t="n">
        <v>2025</v>
      </c>
      <c r="N105" s="0" t="s">
        <v>981</v>
      </c>
      <c r="O105" s="0" t="s">
        <v>981</v>
      </c>
    </row>
    <row r="106" customFormat="false" ht="15" hidden="false" customHeight="false" outlineLevel="0" collapsed="false">
      <c r="A106" s="0" t="n">
        <v>2025</v>
      </c>
      <c r="B106" s="0" t="s">
        <v>981</v>
      </c>
      <c r="C106" s="0" t="s">
        <v>981</v>
      </c>
      <c r="E106" s="0" t="n">
        <v>2025</v>
      </c>
      <c r="F106" s="0" t="s">
        <v>981</v>
      </c>
      <c r="G106" s="0" t="s">
        <v>981</v>
      </c>
      <c r="I106" s="0" t="n">
        <v>2025</v>
      </c>
      <c r="J106" s="0" t="s">
        <v>981</v>
      </c>
      <c r="K106" s="0" t="s">
        <v>981</v>
      </c>
      <c r="M106" s="0" t="n">
        <v>2025</v>
      </c>
      <c r="N106" s="0" t="s">
        <v>981</v>
      </c>
      <c r="O106" s="0" t="s">
        <v>981</v>
      </c>
    </row>
    <row r="107" customFormat="false" ht="15" hidden="false" customHeight="false" outlineLevel="0" collapsed="false">
      <c r="A107" s="0" t="n">
        <v>2025</v>
      </c>
      <c r="B107" s="0" t="s">
        <v>981</v>
      </c>
      <c r="C107" s="0" t="s">
        <v>981</v>
      </c>
      <c r="E107" s="0" t="n">
        <v>2025</v>
      </c>
      <c r="F107" s="0" t="s">
        <v>981</v>
      </c>
      <c r="G107" s="0" t="s">
        <v>981</v>
      </c>
      <c r="I107" s="0" t="n">
        <v>2025</v>
      </c>
      <c r="J107" s="0" t="s">
        <v>981</v>
      </c>
      <c r="K107" s="0" t="s">
        <v>981</v>
      </c>
      <c r="M107" s="0" t="n">
        <v>2025</v>
      </c>
      <c r="N107" s="0" t="s">
        <v>981</v>
      </c>
      <c r="O107" s="0" t="s">
        <v>981</v>
      </c>
    </row>
    <row r="108" customFormat="false" ht="15" hidden="false" customHeight="false" outlineLevel="0" collapsed="false">
      <c r="A108" s="0" t="n">
        <v>2025</v>
      </c>
      <c r="B108" s="0" t="s">
        <v>981</v>
      </c>
      <c r="C108" s="0" t="s">
        <v>981</v>
      </c>
      <c r="E108" s="0" t="n">
        <v>2025</v>
      </c>
      <c r="F108" s="0" t="s">
        <v>981</v>
      </c>
      <c r="G108" s="0" t="s">
        <v>981</v>
      </c>
      <c r="I108" s="0" t="n">
        <v>2025</v>
      </c>
      <c r="J108" s="0" t="s">
        <v>981</v>
      </c>
      <c r="K108" s="0" t="s">
        <v>981</v>
      </c>
      <c r="M108" s="0" t="n">
        <v>2025</v>
      </c>
      <c r="N108" s="0" t="s">
        <v>981</v>
      </c>
      <c r="O108" s="0" t="s">
        <v>981</v>
      </c>
    </row>
    <row r="109" customFormat="false" ht="15" hidden="false" customHeight="false" outlineLevel="0" collapsed="false">
      <c r="A109" s="0" t="n">
        <v>2025</v>
      </c>
      <c r="B109" s="0" t="s">
        <v>981</v>
      </c>
      <c r="C109" s="0" t="s">
        <v>981</v>
      </c>
      <c r="E109" s="0" t="n">
        <v>2025</v>
      </c>
      <c r="F109" s="0" t="s">
        <v>981</v>
      </c>
      <c r="G109" s="0" t="s">
        <v>981</v>
      </c>
      <c r="I109" s="0" t="n">
        <v>2025</v>
      </c>
      <c r="J109" s="0" t="s">
        <v>981</v>
      </c>
      <c r="K109" s="0" t="s">
        <v>981</v>
      </c>
      <c r="M109" s="0" t="n">
        <v>2025</v>
      </c>
      <c r="N109" s="0" t="s">
        <v>981</v>
      </c>
      <c r="O109" s="0" t="s">
        <v>981</v>
      </c>
    </row>
    <row r="110" customFormat="false" ht="15" hidden="false" customHeight="false" outlineLevel="0" collapsed="false">
      <c r="A110" s="0" t="n">
        <v>2025</v>
      </c>
      <c r="B110" s="0" t="s">
        <v>981</v>
      </c>
      <c r="C110" s="0" t="s">
        <v>981</v>
      </c>
      <c r="E110" s="0" t="n">
        <v>2025</v>
      </c>
      <c r="F110" s="0" t="s">
        <v>981</v>
      </c>
      <c r="G110" s="0" t="s">
        <v>981</v>
      </c>
      <c r="I110" s="0" t="n">
        <v>2025</v>
      </c>
      <c r="J110" s="0" t="s">
        <v>981</v>
      </c>
      <c r="K110" s="0" t="s">
        <v>981</v>
      </c>
      <c r="M110" s="0" t="n">
        <v>2025</v>
      </c>
      <c r="N110" s="0" t="s">
        <v>981</v>
      </c>
      <c r="O110" s="0" t="s">
        <v>981</v>
      </c>
    </row>
    <row r="111" customFormat="false" ht="15" hidden="false" customHeight="false" outlineLevel="0" collapsed="false">
      <c r="A111" s="0" t="n">
        <v>2025</v>
      </c>
      <c r="B111" s="0" t="s">
        <v>981</v>
      </c>
      <c r="C111" s="0" t="s">
        <v>981</v>
      </c>
      <c r="E111" s="0" t="n">
        <v>2025</v>
      </c>
      <c r="F111" s="0" t="s">
        <v>981</v>
      </c>
      <c r="G111" s="0" t="s">
        <v>981</v>
      </c>
      <c r="I111" s="0" t="n">
        <v>2025</v>
      </c>
      <c r="J111" s="0" t="s">
        <v>981</v>
      </c>
      <c r="K111" s="0" t="s">
        <v>981</v>
      </c>
      <c r="M111" s="0" t="n">
        <v>2025</v>
      </c>
      <c r="N111" s="0" t="s">
        <v>981</v>
      </c>
      <c r="O111" s="0" t="s">
        <v>981</v>
      </c>
    </row>
    <row r="112" customFormat="false" ht="15" hidden="false" customHeight="false" outlineLevel="0" collapsed="false">
      <c r="A112" s="0" t="n">
        <v>2025</v>
      </c>
      <c r="B112" s="0" t="s">
        <v>981</v>
      </c>
      <c r="C112" s="0" t="s">
        <v>981</v>
      </c>
      <c r="E112" s="0" t="n">
        <v>2025</v>
      </c>
      <c r="F112" s="0" t="s">
        <v>981</v>
      </c>
      <c r="G112" s="0" t="s">
        <v>981</v>
      </c>
      <c r="I112" s="0" t="n">
        <v>2025</v>
      </c>
      <c r="J112" s="0" t="s">
        <v>981</v>
      </c>
      <c r="K112" s="0" t="s">
        <v>981</v>
      </c>
      <c r="M112" s="0" t="n">
        <v>2025</v>
      </c>
      <c r="N112" s="0" t="s">
        <v>981</v>
      </c>
      <c r="O112" s="0" t="s">
        <v>981</v>
      </c>
    </row>
    <row r="113" customFormat="false" ht="15" hidden="false" customHeight="false" outlineLevel="0" collapsed="false">
      <c r="A113" s="0" t="n">
        <v>2025</v>
      </c>
      <c r="B113" s="0" t="s">
        <v>981</v>
      </c>
      <c r="C113" s="0" t="s">
        <v>981</v>
      </c>
      <c r="E113" s="0" t="n">
        <v>2025</v>
      </c>
      <c r="F113" s="0" t="s">
        <v>981</v>
      </c>
      <c r="G113" s="0" t="s">
        <v>981</v>
      </c>
      <c r="I113" s="0" t="n">
        <v>2025</v>
      </c>
      <c r="J113" s="0" t="s">
        <v>981</v>
      </c>
      <c r="K113" s="0" t="s">
        <v>981</v>
      </c>
      <c r="M113" s="0" t="n">
        <v>2025</v>
      </c>
      <c r="N113" s="0" t="s">
        <v>981</v>
      </c>
      <c r="O113" s="0" t="s">
        <v>981</v>
      </c>
    </row>
    <row r="114" customFormat="false" ht="15" hidden="false" customHeight="false" outlineLevel="0" collapsed="false">
      <c r="A114" s="0" t="n">
        <v>2025</v>
      </c>
      <c r="B114" s="0" t="s">
        <v>981</v>
      </c>
      <c r="C114" s="0" t="s">
        <v>981</v>
      </c>
      <c r="E114" s="0" t="n">
        <v>2025</v>
      </c>
      <c r="F114" s="0" t="s">
        <v>981</v>
      </c>
      <c r="G114" s="0" t="s">
        <v>981</v>
      </c>
      <c r="I114" s="0" t="n">
        <v>2025</v>
      </c>
      <c r="J114" s="0" t="s">
        <v>981</v>
      </c>
      <c r="K114" s="0" t="s">
        <v>981</v>
      </c>
      <c r="M114" s="0" t="n">
        <v>2025</v>
      </c>
      <c r="N114" s="0" t="s">
        <v>981</v>
      </c>
      <c r="O114" s="0" t="s">
        <v>981</v>
      </c>
    </row>
    <row r="115" customFormat="false" ht="15" hidden="false" customHeight="false" outlineLevel="0" collapsed="false">
      <c r="A115" s="0" t="n">
        <v>2025</v>
      </c>
      <c r="B115" s="0" t="s">
        <v>981</v>
      </c>
      <c r="C115" s="0" t="s">
        <v>981</v>
      </c>
      <c r="E115" s="0" t="n">
        <v>2025</v>
      </c>
      <c r="F115" s="0" t="s">
        <v>981</v>
      </c>
      <c r="G115" s="0" t="s">
        <v>981</v>
      </c>
      <c r="I115" s="0" t="n">
        <v>2025</v>
      </c>
      <c r="J115" s="0" t="s">
        <v>981</v>
      </c>
      <c r="K115" s="0" t="s">
        <v>981</v>
      </c>
      <c r="M115" s="0" t="n">
        <v>2025</v>
      </c>
      <c r="N115" s="0" t="s">
        <v>981</v>
      </c>
      <c r="O115" s="0" t="s">
        <v>981</v>
      </c>
    </row>
    <row r="116" customFormat="false" ht="15" hidden="false" customHeight="false" outlineLevel="0" collapsed="false">
      <c r="A116" s="0" t="n">
        <v>2025</v>
      </c>
      <c r="B116" s="0" t="s">
        <v>981</v>
      </c>
      <c r="C116" s="0" t="s">
        <v>981</v>
      </c>
      <c r="E116" s="0" t="n">
        <v>2025</v>
      </c>
      <c r="F116" s="0" t="s">
        <v>981</v>
      </c>
      <c r="G116" s="0" t="s">
        <v>981</v>
      </c>
      <c r="I116" s="0" t="n">
        <v>2025</v>
      </c>
      <c r="J116" s="0" t="s">
        <v>981</v>
      </c>
      <c r="K116" s="0" t="s">
        <v>981</v>
      </c>
      <c r="M116" s="0" t="n">
        <v>2025</v>
      </c>
      <c r="N116" s="0" t="s">
        <v>981</v>
      </c>
      <c r="O116" s="0" t="s">
        <v>981</v>
      </c>
    </row>
    <row r="117" customFormat="false" ht="15" hidden="false" customHeight="false" outlineLevel="0" collapsed="false">
      <c r="A117" s="0" t="n">
        <v>2025</v>
      </c>
      <c r="B117" s="0" t="s">
        <v>981</v>
      </c>
      <c r="C117" s="0" t="s">
        <v>981</v>
      </c>
      <c r="E117" s="0" t="n">
        <v>2025</v>
      </c>
      <c r="F117" s="0" t="s">
        <v>981</v>
      </c>
      <c r="G117" s="0" t="s">
        <v>981</v>
      </c>
      <c r="I117" s="0" t="n">
        <v>2025</v>
      </c>
      <c r="J117" s="0" t="s">
        <v>981</v>
      </c>
      <c r="K117" s="0" t="s">
        <v>981</v>
      </c>
      <c r="M117" s="0" t="n">
        <v>2025</v>
      </c>
      <c r="N117" s="0" t="s">
        <v>981</v>
      </c>
      <c r="O117" s="0" t="s">
        <v>981</v>
      </c>
    </row>
    <row r="118" customFormat="false" ht="15" hidden="false" customHeight="false" outlineLevel="0" collapsed="false">
      <c r="A118" s="0" t="n">
        <v>2025</v>
      </c>
      <c r="B118" s="0" t="s">
        <v>981</v>
      </c>
      <c r="C118" s="0" t="s">
        <v>981</v>
      </c>
      <c r="E118" s="0" t="n">
        <v>2025</v>
      </c>
      <c r="F118" s="0" t="s">
        <v>981</v>
      </c>
      <c r="G118" s="0" t="s">
        <v>981</v>
      </c>
      <c r="I118" s="0" t="n">
        <v>2025</v>
      </c>
      <c r="J118" s="0" t="s">
        <v>981</v>
      </c>
      <c r="K118" s="0" t="s">
        <v>981</v>
      </c>
      <c r="M118" s="0" t="n">
        <v>2025</v>
      </c>
      <c r="N118" s="0" t="s">
        <v>981</v>
      </c>
      <c r="O118" s="0" t="s">
        <v>981</v>
      </c>
    </row>
    <row r="119" customFormat="false" ht="15" hidden="false" customHeight="false" outlineLevel="0" collapsed="false">
      <c r="A119" s="0" t="n">
        <v>2025</v>
      </c>
      <c r="B119" s="0" t="s">
        <v>981</v>
      </c>
      <c r="C119" s="0" t="s">
        <v>981</v>
      </c>
      <c r="E119" s="0" t="n">
        <v>2025</v>
      </c>
      <c r="F119" s="0" t="s">
        <v>981</v>
      </c>
      <c r="G119" s="0" t="s">
        <v>981</v>
      </c>
      <c r="I119" s="0" t="n">
        <v>2025</v>
      </c>
      <c r="J119" s="0" t="s">
        <v>981</v>
      </c>
      <c r="K119" s="0" t="s">
        <v>981</v>
      </c>
      <c r="M119" s="0" t="n">
        <v>2025</v>
      </c>
      <c r="N119" s="0" t="s">
        <v>981</v>
      </c>
      <c r="O119" s="0" t="s">
        <v>981</v>
      </c>
    </row>
    <row r="120" customFormat="false" ht="15" hidden="false" customHeight="false" outlineLevel="0" collapsed="false">
      <c r="A120" s="0" t="n">
        <v>2025</v>
      </c>
      <c r="B120" s="0" t="s">
        <v>981</v>
      </c>
      <c r="C120" s="0" t="s">
        <v>981</v>
      </c>
      <c r="E120" s="0" t="n">
        <v>2025</v>
      </c>
      <c r="F120" s="0" t="s">
        <v>981</v>
      </c>
      <c r="G120" s="0" t="s">
        <v>981</v>
      </c>
      <c r="I120" s="0" t="n">
        <v>2025</v>
      </c>
      <c r="J120" s="0" t="s">
        <v>981</v>
      </c>
      <c r="K120" s="0" t="s">
        <v>981</v>
      </c>
      <c r="M120" s="0" t="n">
        <v>2025</v>
      </c>
      <c r="N120" s="0" t="s">
        <v>981</v>
      </c>
      <c r="O120" s="0" t="s">
        <v>981</v>
      </c>
    </row>
    <row r="121" customFormat="false" ht="15" hidden="false" customHeight="false" outlineLevel="0" collapsed="false">
      <c r="A121" s="0" t="n">
        <v>2025</v>
      </c>
      <c r="B121" s="0" t="s">
        <v>981</v>
      </c>
      <c r="C121" s="0" t="s">
        <v>981</v>
      </c>
      <c r="E121" s="0" t="n">
        <v>2025</v>
      </c>
      <c r="F121" s="0" t="s">
        <v>981</v>
      </c>
      <c r="G121" s="0" t="s">
        <v>981</v>
      </c>
      <c r="I121" s="0" t="n">
        <v>2025</v>
      </c>
      <c r="J121" s="0" t="s">
        <v>981</v>
      </c>
      <c r="K121" s="0" t="s">
        <v>981</v>
      </c>
      <c r="M121" s="0" t="n">
        <v>2025</v>
      </c>
      <c r="N121" s="0" t="s">
        <v>981</v>
      </c>
      <c r="O121" s="0" t="s">
        <v>981</v>
      </c>
    </row>
    <row r="122" customFormat="false" ht="15" hidden="false" customHeight="false" outlineLevel="0" collapsed="false">
      <c r="A122" s="0" t="n">
        <v>2025</v>
      </c>
      <c r="B122" s="0" t="s">
        <v>981</v>
      </c>
      <c r="C122" s="0" t="s">
        <v>981</v>
      </c>
      <c r="E122" s="0" t="n">
        <v>2025</v>
      </c>
      <c r="F122" s="0" t="s">
        <v>981</v>
      </c>
      <c r="G122" s="0" t="s">
        <v>981</v>
      </c>
      <c r="I122" s="0" t="n">
        <v>2025</v>
      </c>
      <c r="J122" s="0" t="s">
        <v>981</v>
      </c>
      <c r="K122" s="0" t="s">
        <v>981</v>
      </c>
      <c r="M122" s="0" t="n">
        <v>2025</v>
      </c>
      <c r="N122" s="0" t="s">
        <v>981</v>
      </c>
      <c r="O122" s="0" t="s">
        <v>981</v>
      </c>
    </row>
    <row r="123" customFormat="false" ht="15" hidden="false" customHeight="false" outlineLevel="0" collapsed="false">
      <c r="A123" s="0" t="n">
        <v>2025</v>
      </c>
      <c r="B123" s="0" t="s">
        <v>981</v>
      </c>
      <c r="C123" s="0" t="s">
        <v>981</v>
      </c>
      <c r="E123" s="0" t="n">
        <v>2025</v>
      </c>
      <c r="F123" s="0" t="s">
        <v>981</v>
      </c>
      <c r="G123" s="0" t="s">
        <v>981</v>
      </c>
      <c r="I123" s="0" t="n">
        <v>2025</v>
      </c>
      <c r="J123" s="0" t="s">
        <v>981</v>
      </c>
      <c r="K123" s="0" t="s">
        <v>981</v>
      </c>
      <c r="M123" s="0" t="n">
        <v>2025</v>
      </c>
      <c r="N123" s="0" t="s">
        <v>981</v>
      </c>
      <c r="O123" s="0" t="s">
        <v>981</v>
      </c>
    </row>
    <row r="124" customFormat="false" ht="15" hidden="false" customHeight="false" outlineLevel="0" collapsed="false">
      <c r="A124" s="0" t="n">
        <v>2025</v>
      </c>
      <c r="B124" s="0" t="s">
        <v>981</v>
      </c>
      <c r="C124" s="0" t="s">
        <v>981</v>
      </c>
      <c r="E124" s="0" t="n">
        <v>2025</v>
      </c>
      <c r="F124" s="0" t="s">
        <v>981</v>
      </c>
      <c r="G124" s="0" t="s">
        <v>981</v>
      </c>
      <c r="I124" s="0" t="n">
        <v>2025</v>
      </c>
      <c r="J124" s="0" t="s">
        <v>981</v>
      </c>
      <c r="K124" s="0" t="s">
        <v>981</v>
      </c>
      <c r="M124" s="0" t="n">
        <v>2025</v>
      </c>
      <c r="N124" s="0" t="s">
        <v>981</v>
      </c>
      <c r="O124" s="0" t="s">
        <v>981</v>
      </c>
    </row>
    <row r="125" customFormat="false" ht="15" hidden="false" customHeight="false" outlineLevel="0" collapsed="false">
      <c r="A125" s="0" t="n">
        <v>2025</v>
      </c>
      <c r="B125" s="0" t="s">
        <v>981</v>
      </c>
      <c r="C125" s="0" t="s">
        <v>981</v>
      </c>
      <c r="E125" s="0" t="n">
        <v>2025</v>
      </c>
      <c r="F125" s="0" t="s">
        <v>981</v>
      </c>
      <c r="G125" s="0" t="s">
        <v>981</v>
      </c>
      <c r="I125" s="0" t="n">
        <v>2025</v>
      </c>
      <c r="J125" s="0" t="s">
        <v>981</v>
      </c>
      <c r="K125" s="0" t="s">
        <v>981</v>
      </c>
      <c r="M125" s="0" t="n">
        <v>2025</v>
      </c>
      <c r="N125" s="0" t="s">
        <v>981</v>
      </c>
      <c r="O125" s="0" t="s">
        <v>981</v>
      </c>
    </row>
    <row r="126" customFormat="false" ht="15" hidden="false" customHeight="false" outlineLevel="0" collapsed="false">
      <c r="A126" s="0" t="n">
        <v>2025</v>
      </c>
      <c r="B126" s="0" t="s">
        <v>981</v>
      </c>
      <c r="C126" s="0" t="s">
        <v>981</v>
      </c>
      <c r="E126" s="0" t="n">
        <v>2025</v>
      </c>
      <c r="F126" s="0" t="s">
        <v>981</v>
      </c>
      <c r="G126" s="0" t="s">
        <v>981</v>
      </c>
      <c r="I126" s="0" t="n">
        <v>2025</v>
      </c>
      <c r="J126" s="0" t="s">
        <v>981</v>
      </c>
      <c r="K126" s="0" t="s">
        <v>981</v>
      </c>
      <c r="M126" s="0" t="n">
        <v>2025</v>
      </c>
      <c r="N126" s="0" t="s">
        <v>981</v>
      </c>
      <c r="O126" s="0" t="s">
        <v>981</v>
      </c>
    </row>
    <row r="127" customFormat="false" ht="15" hidden="false" customHeight="false" outlineLevel="0" collapsed="false">
      <c r="A127" s="0" t="n">
        <v>2025</v>
      </c>
      <c r="B127" s="0" t="s">
        <v>981</v>
      </c>
      <c r="C127" s="0" t="s">
        <v>981</v>
      </c>
      <c r="E127" s="0" t="n">
        <v>2025</v>
      </c>
      <c r="F127" s="0" t="s">
        <v>981</v>
      </c>
      <c r="G127" s="0" t="s">
        <v>981</v>
      </c>
      <c r="I127" s="0" t="n">
        <v>2025</v>
      </c>
      <c r="J127" s="0" t="s">
        <v>981</v>
      </c>
      <c r="K127" s="0" t="s">
        <v>981</v>
      </c>
      <c r="M127" s="0" t="n">
        <v>2025</v>
      </c>
      <c r="N127" s="0" t="s">
        <v>981</v>
      </c>
      <c r="O127" s="0" t="s">
        <v>981</v>
      </c>
    </row>
    <row r="128" customFormat="false" ht="15" hidden="false" customHeight="false" outlineLevel="0" collapsed="false">
      <c r="A128" s="0" t="n">
        <v>2025</v>
      </c>
      <c r="B128" s="0" t="s">
        <v>981</v>
      </c>
      <c r="C128" s="0" t="s">
        <v>981</v>
      </c>
      <c r="E128" s="0" t="n">
        <v>2025</v>
      </c>
      <c r="F128" s="0" t="s">
        <v>981</v>
      </c>
      <c r="G128" s="0" t="s">
        <v>981</v>
      </c>
      <c r="I128" s="0" t="n">
        <v>2025</v>
      </c>
      <c r="J128" s="0" t="s">
        <v>981</v>
      </c>
      <c r="K128" s="0" t="s">
        <v>981</v>
      </c>
      <c r="M128" s="0" t="n">
        <v>2025</v>
      </c>
      <c r="N128" s="0" t="s">
        <v>981</v>
      </c>
      <c r="O128" s="0" t="s">
        <v>981</v>
      </c>
    </row>
    <row r="129" customFormat="false" ht="15" hidden="false" customHeight="false" outlineLevel="0" collapsed="false">
      <c r="A129" s="0" t="n">
        <v>2025</v>
      </c>
      <c r="B129" s="0" t="s">
        <v>981</v>
      </c>
      <c r="C129" s="0" t="s">
        <v>981</v>
      </c>
      <c r="E129" s="0" t="n">
        <v>2025</v>
      </c>
      <c r="F129" s="0" t="s">
        <v>981</v>
      </c>
      <c r="G129" s="0" t="s">
        <v>981</v>
      </c>
      <c r="I129" s="0" t="n">
        <v>2025</v>
      </c>
      <c r="J129" s="0" t="s">
        <v>981</v>
      </c>
      <c r="K129" s="0" t="s">
        <v>981</v>
      </c>
      <c r="M129" s="0" t="n">
        <v>2025</v>
      </c>
      <c r="N129" s="0" t="s">
        <v>981</v>
      </c>
      <c r="O129" s="0" t="s">
        <v>981</v>
      </c>
    </row>
    <row r="130" customFormat="false" ht="15" hidden="false" customHeight="false" outlineLevel="0" collapsed="false">
      <c r="A130" s="0" t="n">
        <v>2025</v>
      </c>
      <c r="B130" s="0" t="s">
        <v>981</v>
      </c>
      <c r="C130" s="0" t="s">
        <v>981</v>
      </c>
      <c r="E130" s="0" t="n">
        <v>2025</v>
      </c>
      <c r="F130" s="0" t="s">
        <v>981</v>
      </c>
      <c r="G130" s="0" t="s">
        <v>981</v>
      </c>
      <c r="I130" s="0" t="n">
        <v>2025</v>
      </c>
      <c r="J130" s="0" t="s">
        <v>981</v>
      </c>
      <c r="K130" s="0" t="s">
        <v>981</v>
      </c>
      <c r="M130" s="0" t="n">
        <v>2025</v>
      </c>
      <c r="N130" s="0" t="s">
        <v>981</v>
      </c>
      <c r="O130" s="0" t="s">
        <v>981</v>
      </c>
    </row>
    <row r="131" customFormat="false" ht="15" hidden="false" customHeight="false" outlineLevel="0" collapsed="false">
      <c r="A131" s="0" t="n">
        <v>2025</v>
      </c>
      <c r="B131" s="0" t="s">
        <v>981</v>
      </c>
      <c r="C131" s="0" t="s">
        <v>981</v>
      </c>
      <c r="E131" s="0" t="n">
        <v>2025</v>
      </c>
      <c r="F131" s="0" t="s">
        <v>981</v>
      </c>
      <c r="G131" s="0" t="s">
        <v>981</v>
      </c>
      <c r="I131" s="0" t="n">
        <v>2025</v>
      </c>
      <c r="J131" s="0" t="s">
        <v>981</v>
      </c>
      <c r="K131" s="0" t="s">
        <v>981</v>
      </c>
      <c r="M131" s="0" t="n">
        <v>2025</v>
      </c>
      <c r="N131" s="0" t="s">
        <v>981</v>
      </c>
      <c r="O131" s="0" t="s">
        <v>981</v>
      </c>
    </row>
    <row r="132" customFormat="false" ht="15" hidden="false" customHeight="false" outlineLevel="0" collapsed="false">
      <c r="A132" s="0" t="n">
        <v>2025</v>
      </c>
      <c r="B132" s="0" t="s">
        <v>981</v>
      </c>
      <c r="C132" s="0" t="s">
        <v>981</v>
      </c>
      <c r="E132" s="0" t="n">
        <v>2025</v>
      </c>
      <c r="F132" s="0" t="s">
        <v>981</v>
      </c>
      <c r="G132" s="0" t="s">
        <v>981</v>
      </c>
      <c r="I132" s="0" t="n">
        <v>2025</v>
      </c>
      <c r="J132" s="0" t="s">
        <v>981</v>
      </c>
      <c r="K132" s="0" t="s">
        <v>981</v>
      </c>
      <c r="M132" s="0" t="n">
        <v>2025</v>
      </c>
      <c r="N132" s="0" t="s">
        <v>981</v>
      </c>
      <c r="O132" s="0" t="s">
        <v>981</v>
      </c>
    </row>
    <row r="133" customFormat="false" ht="15" hidden="false" customHeight="false" outlineLevel="0" collapsed="false">
      <c r="A133" s="0" t="n">
        <v>2025</v>
      </c>
      <c r="B133" s="0" t="s">
        <v>981</v>
      </c>
      <c r="C133" s="0" t="s">
        <v>981</v>
      </c>
      <c r="E133" s="0" t="n">
        <v>2025</v>
      </c>
      <c r="F133" s="0" t="s">
        <v>981</v>
      </c>
      <c r="G133" s="0" t="s">
        <v>981</v>
      </c>
      <c r="I133" s="0" t="n">
        <v>2025</v>
      </c>
      <c r="J133" s="0" t="s">
        <v>981</v>
      </c>
      <c r="K133" s="0" t="s">
        <v>981</v>
      </c>
      <c r="M133" s="0" t="n">
        <v>2025</v>
      </c>
      <c r="N133" s="0" t="s">
        <v>981</v>
      </c>
      <c r="O133" s="0" t="s">
        <v>981</v>
      </c>
    </row>
    <row r="134" customFormat="false" ht="15" hidden="false" customHeight="false" outlineLevel="0" collapsed="false">
      <c r="A134" s="0" t="n">
        <v>2025</v>
      </c>
      <c r="B134" s="0" t="s">
        <v>981</v>
      </c>
      <c r="C134" s="0" t="s">
        <v>981</v>
      </c>
      <c r="E134" s="0" t="n">
        <v>2025</v>
      </c>
      <c r="F134" s="0" t="s">
        <v>981</v>
      </c>
      <c r="G134" s="0" t="s">
        <v>981</v>
      </c>
      <c r="I134" s="0" t="n">
        <v>2025</v>
      </c>
      <c r="J134" s="0" t="s">
        <v>981</v>
      </c>
      <c r="K134" s="0" t="s">
        <v>981</v>
      </c>
      <c r="M134" s="0" t="n">
        <v>2025</v>
      </c>
      <c r="N134" s="0" t="s">
        <v>981</v>
      </c>
      <c r="O134" s="0" t="s">
        <v>981</v>
      </c>
    </row>
    <row r="135" customFormat="false" ht="15" hidden="false" customHeight="false" outlineLevel="0" collapsed="false">
      <c r="A135" s="0" t="n">
        <v>2025</v>
      </c>
      <c r="B135" s="0" t="s">
        <v>981</v>
      </c>
      <c r="C135" s="0" t="s">
        <v>981</v>
      </c>
      <c r="E135" s="0" t="n">
        <v>2025</v>
      </c>
      <c r="F135" s="0" t="s">
        <v>981</v>
      </c>
      <c r="G135" s="0" t="s">
        <v>981</v>
      </c>
      <c r="I135" s="0" t="n">
        <v>2025</v>
      </c>
      <c r="J135" s="0" t="s">
        <v>981</v>
      </c>
      <c r="K135" s="0" t="s">
        <v>981</v>
      </c>
      <c r="M135" s="0" t="n">
        <v>2025</v>
      </c>
      <c r="N135" s="0" t="s">
        <v>981</v>
      </c>
      <c r="O135" s="0" t="s">
        <v>981</v>
      </c>
    </row>
    <row r="136" customFormat="false" ht="15" hidden="false" customHeight="false" outlineLevel="0" collapsed="false">
      <c r="A136" s="0" t="n">
        <v>2025</v>
      </c>
      <c r="B136" s="0" t="s">
        <v>981</v>
      </c>
      <c r="C136" s="0" t="s">
        <v>981</v>
      </c>
      <c r="E136" s="0" t="n">
        <v>2025</v>
      </c>
      <c r="F136" s="0" t="s">
        <v>981</v>
      </c>
      <c r="G136" s="0" t="s">
        <v>981</v>
      </c>
      <c r="I136" s="0" t="n">
        <v>2025</v>
      </c>
      <c r="J136" s="0" t="s">
        <v>981</v>
      </c>
      <c r="K136" s="0" t="s">
        <v>981</v>
      </c>
      <c r="M136" s="0" t="n">
        <v>2025</v>
      </c>
      <c r="N136" s="0" t="s">
        <v>981</v>
      </c>
      <c r="O136" s="0" t="s">
        <v>981</v>
      </c>
    </row>
    <row r="137" customFormat="false" ht="15" hidden="false" customHeight="false" outlineLevel="0" collapsed="false">
      <c r="A137" s="0" t="n">
        <v>2025</v>
      </c>
      <c r="B137" s="0" t="s">
        <v>981</v>
      </c>
      <c r="C137" s="0" t="s">
        <v>981</v>
      </c>
      <c r="E137" s="0" t="n">
        <v>2025</v>
      </c>
      <c r="F137" s="0" t="s">
        <v>981</v>
      </c>
      <c r="G137" s="0" t="s">
        <v>981</v>
      </c>
      <c r="I137" s="0" t="n">
        <v>2025</v>
      </c>
      <c r="J137" s="0" t="s">
        <v>981</v>
      </c>
      <c r="K137" s="0" t="s">
        <v>981</v>
      </c>
      <c r="M137" s="0" t="n">
        <v>2025</v>
      </c>
      <c r="N137" s="0" t="s">
        <v>981</v>
      </c>
      <c r="O137" s="0" t="s">
        <v>981</v>
      </c>
    </row>
    <row r="138" customFormat="false" ht="15" hidden="false" customHeight="false" outlineLevel="0" collapsed="false">
      <c r="A138" s="0" t="n">
        <v>2025</v>
      </c>
      <c r="B138" s="0" t="s">
        <v>981</v>
      </c>
      <c r="C138" s="0" t="s">
        <v>981</v>
      </c>
      <c r="E138" s="0" t="n">
        <v>2025</v>
      </c>
      <c r="F138" s="0" t="s">
        <v>981</v>
      </c>
      <c r="G138" s="0" t="s">
        <v>981</v>
      </c>
      <c r="I138" s="0" t="n">
        <v>2025</v>
      </c>
      <c r="J138" s="0" t="s">
        <v>981</v>
      </c>
      <c r="K138" s="0" t="s">
        <v>981</v>
      </c>
      <c r="M138" s="0" t="n">
        <v>2025</v>
      </c>
      <c r="N138" s="0" t="s">
        <v>981</v>
      </c>
      <c r="O138" s="0" t="s">
        <v>981</v>
      </c>
    </row>
    <row r="139" customFormat="false" ht="15" hidden="false" customHeight="false" outlineLevel="0" collapsed="false">
      <c r="A139" s="0" t="n">
        <v>2025</v>
      </c>
      <c r="B139" s="0" t="s">
        <v>981</v>
      </c>
      <c r="C139" s="0" t="s">
        <v>981</v>
      </c>
      <c r="E139" s="0" t="n">
        <v>2025</v>
      </c>
      <c r="F139" s="0" t="s">
        <v>981</v>
      </c>
      <c r="G139" s="0" t="s">
        <v>981</v>
      </c>
      <c r="I139" s="0" t="n">
        <v>2025</v>
      </c>
      <c r="J139" s="0" t="s">
        <v>981</v>
      </c>
      <c r="K139" s="0" t="s">
        <v>981</v>
      </c>
      <c r="M139" s="0" t="n">
        <v>2025</v>
      </c>
      <c r="N139" s="0" t="s">
        <v>981</v>
      </c>
      <c r="O139" s="0" t="s">
        <v>981</v>
      </c>
    </row>
    <row r="140" customFormat="false" ht="15" hidden="false" customHeight="false" outlineLevel="0" collapsed="false">
      <c r="A140" s="0" t="n">
        <v>2025</v>
      </c>
      <c r="B140" s="0" t="s">
        <v>981</v>
      </c>
      <c r="C140" s="0" t="s">
        <v>981</v>
      </c>
      <c r="E140" s="0" t="n">
        <v>2025</v>
      </c>
      <c r="F140" s="0" t="s">
        <v>981</v>
      </c>
      <c r="G140" s="0" t="s">
        <v>981</v>
      </c>
      <c r="I140" s="0" t="n">
        <v>2025</v>
      </c>
      <c r="J140" s="0" t="s">
        <v>981</v>
      </c>
      <c r="K140" s="0" t="s">
        <v>981</v>
      </c>
      <c r="M140" s="0" t="n">
        <v>2025</v>
      </c>
      <c r="N140" s="0" t="s">
        <v>981</v>
      </c>
      <c r="O140" s="0" t="s">
        <v>981</v>
      </c>
    </row>
    <row r="141" customFormat="false" ht="15" hidden="false" customHeight="false" outlineLevel="0" collapsed="false">
      <c r="A141" s="0" t="n">
        <v>2025</v>
      </c>
      <c r="B141" s="0" t="s">
        <v>981</v>
      </c>
      <c r="C141" s="0" t="s">
        <v>981</v>
      </c>
      <c r="E141" s="0" t="n">
        <v>2025</v>
      </c>
      <c r="F141" s="0" t="s">
        <v>981</v>
      </c>
      <c r="G141" s="0" t="s">
        <v>981</v>
      </c>
      <c r="I141" s="0" t="n">
        <v>2025</v>
      </c>
      <c r="J141" s="0" t="s">
        <v>981</v>
      </c>
      <c r="K141" s="0" t="s">
        <v>981</v>
      </c>
      <c r="M141" s="0" t="n">
        <v>2025</v>
      </c>
      <c r="N141" s="0" t="s">
        <v>981</v>
      </c>
      <c r="O141" s="0" t="s">
        <v>981</v>
      </c>
    </row>
    <row r="142" customFormat="false" ht="15" hidden="false" customHeight="false" outlineLevel="0" collapsed="false">
      <c r="A142" s="0" t="n">
        <v>2025</v>
      </c>
      <c r="B142" s="0" t="s">
        <v>981</v>
      </c>
      <c r="C142" s="0" t="s">
        <v>981</v>
      </c>
      <c r="E142" s="0" t="n">
        <v>2025</v>
      </c>
      <c r="F142" s="0" t="s">
        <v>981</v>
      </c>
      <c r="G142" s="0" t="s">
        <v>981</v>
      </c>
      <c r="I142" s="0" t="n">
        <v>2025</v>
      </c>
      <c r="J142" s="0" t="s">
        <v>981</v>
      </c>
      <c r="K142" s="0" t="s">
        <v>981</v>
      </c>
      <c r="M142" s="0" t="n">
        <v>2025</v>
      </c>
      <c r="N142" s="0" t="s">
        <v>981</v>
      </c>
      <c r="O142" s="0" t="s">
        <v>981</v>
      </c>
    </row>
    <row r="143" customFormat="false" ht="15" hidden="false" customHeight="false" outlineLevel="0" collapsed="false">
      <c r="A143" s="0" t="n">
        <v>2025</v>
      </c>
      <c r="B143" s="0" t="s">
        <v>981</v>
      </c>
      <c r="C143" s="0" t="s">
        <v>981</v>
      </c>
      <c r="E143" s="0" t="n">
        <v>2025</v>
      </c>
      <c r="F143" s="0" t="s">
        <v>981</v>
      </c>
      <c r="G143" s="0" t="s">
        <v>981</v>
      </c>
      <c r="I143" s="0" t="n">
        <v>2025</v>
      </c>
      <c r="J143" s="0" t="s">
        <v>981</v>
      </c>
      <c r="K143" s="0" t="s">
        <v>981</v>
      </c>
      <c r="M143" s="0" t="n">
        <v>2025</v>
      </c>
      <c r="N143" s="0" t="s">
        <v>981</v>
      </c>
      <c r="O143" s="0" t="s">
        <v>981</v>
      </c>
    </row>
    <row r="144" customFormat="false" ht="15" hidden="false" customHeight="false" outlineLevel="0" collapsed="false">
      <c r="A144" s="0" t="n">
        <v>2025</v>
      </c>
      <c r="B144" s="0" t="s">
        <v>981</v>
      </c>
      <c r="C144" s="0" t="s">
        <v>981</v>
      </c>
      <c r="E144" s="0" t="n">
        <v>2025</v>
      </c>
      <c r="F144" s="0" t="s">
        <v>981</v>
      </c>
      <c r="G144" s="0" t="s">
        <v>981</v>
      </c>
      <c r="I144" s="0" t="n">
        <v>2025</v>
      </c>
      <c r="J144" s="0" t="s">
        <v>981</v>
      </c>
      <c r="K144" s="0" t="s">
        <v>981</v>
      </c>
      <c r="M144" s="0" t="n">
        <v>2025</v>
      </c>
      <c r="N144" s="0" t="s">
        <v>981</v>
      </c>
      <c r="O144" s="0" t="s">
        <v>981</v>
      </c>
    </row>
    <row r="145" customFormat="false" ht="15" hidden="false" customHeight="false" outlineLevel="0" collapsed="false">
      <c r="A145" s="0" t="n">
        <v>2025</v>
      </c>
      <c r="B145" s="0" t="s">
        <v>981</v>
      </c>
      <c r="C145" s="0" t="s">
        <v>981</v>
      </c>
      <c r="E145" s="0" t="n">
        <v>2025</v>
      </c>
      <c r="F145" s="0" t="s">
        <v>981</v>
      </c>
      <c r="G145" s="0" t="s">
        <v>981</v>
      </c>
      <c r="I145" s="0" t="n">
        <v>2025</v>
      </c>
      <c r="J145" s="0" t="s">
        <v>981</v>
      </c>
      <c r="K145" s="0" t="s">
        <v>981</v>
      </c>
      <c r="M145" s="0" t="n">
        <v>2025</v>
      </c>
      <c r="N145" s="0" t="s">
        <v>981</v>
      </c>
      <c r="O145" s="0" t="s">
        <v>981</v>
      </c>
    </row>
    <row r="146" customFormat="false" ht="15" hidden="false" customHeight="false" outlineLevel="0" collapsed="false">
      <c r="A146" s="0" t="n">
        <v>2025</v>
      </c>
      <c r="B146" s="0" t="s">
        <v>981</v>
      </c>
      <c r="C146" s="0" t="s">
        <v>981</v>
      </c>
      <c r="E146" s="0" t="n">
        <v>2025</v>
      </c>
      <c r="F146" s="0" t="s">
        <v>981</v>
      </c>
      <c r="G146" s="0" t="s">
        <v>981</v>
      </c>
      <c r="I146" s="0" t="n">
        <v>2025</v>
      </c>
      <c r="J146" s="0" t="s">
        <v>981</v>
      </c>
      <c r="K146" s="0" t="s">
        <v>981</v>
      </c>
      <c r="M146" s="0" t="n">
        <v>2025</v>
      </c>
      <c r="N146" s="0" t="s">
        <v>981</v>
      </c>
      <c r="O146" s="0" t="s">
        <v>981</v>
      </c>
    </row>
    <row r="147" customFormat="false" ht="15" hidden="false" customHeight="false" outlineLevel="0" collapsed="false">
      <c r="A147" s="0" t="n">
        <v>2025</v>
      </c>
      <c r="B147" s="0" t="s">
        <v>981</v>
      </c>
      <c r="C147" s="0" t="s">
        <v>981</v>
      </c>
      <c r="E147" s="0" t="n">
        <v>2025</v>
      </c>
      <c r="F147" s="0" t="s">
        <v>981</v>
      </c>
      <c r="G147" s="0" t="s">
        <v>981</v>
      </c>
      <c r="I147" s="0" t="n">
        <v>2025</v>
      </c>
      <c r="J147" s="0" t="s">
        <v>981</v>
      </c>
      <c r="K147" s="0" t="s">
        <v>981</v>
      </c>
      <c r="M147" s="0" t="n">
        <v>2025</v>
      </c>
      <c r="N147" s="0" t="s">
        <v>981</v>
      </c>
      <c r="O147" s="0" t="s">
        <v>981</v>
      </c>
    </row>
    <row r="148" customFormat="false" ht="15" hidden="false" customHeight="false" outlineLevel="0" collapsed="false">
      <c r="A148" s="0" t="n">
        <v>2025</v>
      </c>
      <c r="B148" s="0" t="s">
        <v>981</v>
      </c>
      <c r="C148" s="0" t="s">
        <v>981</v>
      </c>
      <c r="E148" s="0" t="n">
        <v>2025</v>
      </c>
      <c r="F148" s="0" t="s">
        <v>981</v>
      </c>
      <c r="G148" s="0" t="s">
        <v>981</v>
      </c>
      <c r="I148" s="0" t="n">
        <v>2025</v>
      </c>
      <c r="J148" s="0" t="s">
        <v>981</v>
      </c>
      <c r="K148" s="0" t="s">
        <v>981</v>
      </c>
      <c r="M148" s="0" t="n">
        <v>2025</v>
      </c>
      <c r="N148" s="0" t="s">
        <v>981</v>
      </c>
      <c r="O148" s="0" t="s">
        <v>981</v>
      </c>
    </row>
    <row r="149" customFormat="false" ht="15" hidden="false" customHeight="false" outlineLevel="0" collapsed="false">
      <c r="A149" s="0" t="n">
        <v>2025</v>
      </c>
      <c r="B149" s="0" t="s">
        <v>981</v>
      </c>
      <c r="C149" s="0" t="s">
        <v>981</v>
      </c>
      <c r="E149" s="0" t="n">
        <v>2025</v>
      </c>
      <c r="F149" s="0" t="s">
        <v>981</v>
      </c>
      <c r="G149" s="0" t="s">
        <v>981</v>
      </c>
      <c r="I149" s="0" t="n">
        <v>2025</v>
      </c>
      <c r="J149" s="0" t="s">
        <v>981</v>
      </c>
      <c r="K149" s="0" t="s">
        <v>981</v>
      </c>
      <c r="M149" s="0" t="n">
        <v>2025</v>
      </c>
      <c r="N149" s="0" t="s">
        <v>981</v>
      </c>
      <c r="O149" s="0" t="s">
        <v>981</v>
      </c>
    </row>
    <row r="150" customFormat="false" ht="15" hidden="false" customHeight="false" outlineLevel="0" collapsed="false">
      <c r="A150" s="0" t="n">
        <v>2025</v>
      </c>
      <c r="B150" s="0" t="s">
        <v>981</v>
      </c>
      <c r="C150" s="0" t="s">
        <v>981</v>
      </c>
      <c r="E150" s="0" t="n">
        <v>2025</v>
      </c>
      <c r="F150" s="0" t="s">
        <v>981</v>
      </c>
      <c r="G150" s="0" t="s">
        <v>981</v>
      </c>
      <c r="I150" s="0" t="n">
        <v>2025</v>
      </c>
      <c r="J150" s="0" t="s">
        <v>981</v>
      </c>
      <c r="K150" s="0" t="s">
        <v>981</v>
      </c>
      <c r="M150" s="0" t="n">
        <v>2025</v>
      </c>
      <c r="N150" s="0" t="s">
        <v>981</v>
      </c>
      <c r="O150" s="0" t="s">
        <v>981</v>
      </c>
    </row>
    <row r="151" customFormat="false" ht="15" hidden="false" customHeight="false" outlineLevel="0" collapsed="false">
      <c r="A151" s="0" t="n">
        <v>2025</v>
      </c>
      <c r="B151" s="0" t="s">
        <v>981</v>
      </c>
      <c r="C151" s="0" t="s">
        <v>981</v>
      </c>
      <c r="E151" s="0" t="n">
        <v>2025</v>
      </c>
      <c r="F151" s="0" t="s">
        <v>981</v>
      </c>
      <c r="G151" s="0" t="s">
        <v>981</v>
      </c>
      <c r="I151" s="0" t="n">
        <v>2025</v>
      </c>
      <c r="J151" s="0" t="s">
        <v>981</v>
      </c>
      <c r="K151" s="0" t="s">
        <v>981</v>
      </c>
      <c r="M151" s="0" t="n">
        <v>2025</v>
      </c>
      <c r="N151" s="0" t="s">
        <v>981</v>
      </c>
      <c r="O151" s="0" t="s">
        <v>981</v>
      </c>
    </row>
    <row r="152" customFormat="false" ht="15" hidden="false" customHeight="false" outlineLevel="0" collapsed="false">
      <c r="A152" s="0" t="n">
        <v>2025</v>
      </c>
      <c r="B152" s="0" t="s">
        <v>981</v>
      </c>
      <c r="C152" s="0" t="s">
        <v>981</v>
      </c>
      <c r="E152" s="0" t="n">
        <v>2025</v>
      </c>
      <c r="F152" s="0" t="s">
        <v>981</v>
      </c>
      <c r="G152" s="0" t="s">
        <v>981</v>
      </c>
      <c r="I152" s="0" t="n">
        <v>2025</v>
      </c>
      <c r="J152" s="0" t="s">
        <v>981</v>
      </c>
      <c r="K152" s="0" t="s">
        <v>981</v>
      </c>
      <c r="M152" s="0" t="n">
        <v>2025</v>
      </c>
      <c r="N152" s="0" t="s">
        <v>981</v>
      </c>
      <c r="O152" s="0" t="s">
        <v>981</v>
      </c>
    </row>
    <row r="153" customFormat="false" ht="15" hidden="false" customHeight="false" outlineLevel="0" collapsed="false">
      <c r="A153" s="0" t="n">
        <v>2025</v>
      </c>
      <c r="B153" s="0" t="s">
        <v>981</v>
      </c>
      <c r="C153" s="0" t="s">
        <v>981</v>
      </c>
      <c r="E153" s="0" t="n">
        <v>2025</v>
      </c>
      <c r="F153" s="0" t="s">
        <v>981</v>
      </c>
      <c r="G153" s="0" t="s">
        <v>981</v>
      </c>
      <c r="I153" s="0" t="n">
        <v>2025</v>
      </c>
      <c r="J153" s="0" t="s">
        <v>981</v>
      </c>
      <c r="K153" s="0" t="s">
        <v>981</v>
      </c>
      <c r="M153" s="0" t="n">
        <v>2025</v>
      </c>
      <c r="N153" s="0" t="s">
        <v>981</v>
      </c>
      <c r="O153" s="0" t="s">
        <v>981</v>
      </c>
    </row>
    <row r="154" customFormat="false" ht="15" hidden="false" customHeight="false" outlineLevel="0" collapsed="false">
      <c r="A154" s="0" t="n">
        <v>2025</v>
      </c>
      <c r="B154" s="0" t="s">
        <v>981</v>
      </c>
      <c r="C154" s="0" t="s">
        <v>981</v>
      </c>
      <c r="E154" s="0" t="n">
        <v>2025</v>
      </c>
      <c r="F154" s="0" t="s">
        <v>981</v>
      </c>
      <c r="G154" s="0" t="s">
        <v>981</v>
      </c>
      <c r="I154" s="0" t="n">
        <v>2025</v>
      </c>
      <c r="J154" s="0" t="s">
        <v>981</v>
      </c>
      <c r="K154" s="0" t="s">
        <v>981</v>
      </c>
      <c r="M154" s="0" t="n">
        <v>2025</v>
      </c>
      <c r="N154" s="0" t="s">
        <v>981</v>
      </c>
      <c r="O154" s="0" t="s">
        <v>981</v>
      </c>
    </row>
    <row r="155" customFormat="false" ht="15" hidden="false" customHeight="false" outlineLevel="0" collapsed="false">
      <c r="A155" s="0" t="n">
        <v>2025</v>
      </c>
      <c r="B155" s="0" t="s">
        <v>981</v>
      </c>
      <c r="C155" s="0" t="s">
        <v>981</v>
      </c>
      <c r="E155" s="0" t="n">
        <v>2025</v>
      </c>
      <c r="F155" s="0" t="s">
        <v>981</v>
      </c>
      <c r="G155" s="0" t="s">
        <v>981</v>
      </c>
      <c r="I155" s="0" t="n">
        <v>2025</v>
      </c>
      <c r="J155" s="0" t="s">
        <v>981</v>
      </c>
      <c r="K155" s="0" t="s">
        <v>981</v>
      </c>
      <c r="M155" s="0" t="n">
        <v>2025</v>
      </c>
      <c r="N155" s="0" t="s">
        <v>981</v>
      </c>
      <c r="O155" s="0" t="s">
        <v>981</v>
      </c>
    </row>
    <row r="156" customFormat="false" ht="15" hidden="false" customHeight="false" outlineLevel="0" collapsed="false">
      <c r="A156" s="0" t="n">
        <v>2025</v>
      </c>
      <c r="B156" s="0" t="s">
        <v>981</v>
      </c>
      <c r="C156" s="0" t="s">
        <v>981</v>
      </c>
      <c r="E156" s="0" t="n">
        <v>2025</v>
      </c>
      <c r="F156" s="0" t="s">
        <v>981</v>
      </c>
      <c r="G156" s="0" t="s">
        <v>981</v>
      </c>
      <c r="I156" s="0" t="n">
        <v>2025</v>
      </c>
      <c r="J156" s="0" t="s">
        <v>981</v>
      </c>
      <c r="K156" s="0" t="s">
        <v>981</v>
      </c>
      <c r="M156" s="0" t="n">
        <v>2025</v>
      </c>
      <c r="N156" s="0" t="s">
        <v>981</v>
      </c>
      <c r="O156" s="0" t="s">
        <v>981</v>
      </c>
    </row>
    <row r="157" customFormat="false" ht="15" hidden="false" customHeight="false" outlineLevel="0" collapsed="false">
      <c r="A157" s="0" t="n">
        <v>2025</v>
      </c>
      <c r="B157" s="0" t="s">
        <v>981</v>
      </c>
      <c r="C157" s="0" t="s">
        <v>981</v>
      </c>
      <c r="E157" s="0" t="n">
        <v>2025</v>
      </c>
      <c r="F157" s="0" t="s">
        <v>981</v>
      </c>
      <c r="G157" s="0" t="s">
        <v>981</v>
      </c>
      <c r="I157" s="0" t="n">
        <v>2025</v>
      </c>
      <c r="J157" s="0" t="s">
        <v>981</v>
      </c>
      <c r="K157" s="0" t="s">
        <v>981</v>
      </c>
      <c r="M157" s="0" t="n">
        <v>2025</v>
      </c>
      <c r="N157" s="0" t="s">
        <v>981</v>
      </c>
      <c r="O157" s="0" t="s">
        <v>981</v>
      </c>
    </row>
    <row r="158" customFormat="false" ht="15" hidden="false" customHeight="false" outlineLevel="0" collapsed="false">
      <c r="A158" s="0" t="n">
        <v>2025</v>
      </c>
      <c r="B158" s="0" t="s">
        <v>981</v>
      </c>
      <c r="C158" s="0" t="s">
        <v>981</v>
      </c>
      <c r="E158" s="0" t="n">
        <v>2025</v>
      </c>
      <c r="F158" s="0" t="s">
        <v>981</v>
      </c>
      <c r="G158" s="0" t="s">
        <v>981</v>
      </c>
      <c r="I158" s="0" t="n">
        <v>2025</v>
      </c>
      <c r="J158" s="0" t="s">
        <v>981</v>
      </c>
      <c r="K158" s="0" t="s">
        <v>981</v>
      </c>
      <c r="M158" s="0" t="n">
        <v>2025</v>
      </c>
      <c r="N158" s="0" t="s">
        <v>981</v>
      </c>
      <c r="O158" s="0" t="s">
        <v>981</v>
      </c>
    </row>
    <row r="159" customFormat="false" ht="15" hidden="false" customHeight="false" outlineLevel="0" collapsed="false">
      <c r="A159" s="0" t="n">
        <v>2025</v>
      </c>
      <c r="B159" s="0" t="s">
        <v>981</v>
      </c>
      <c r="C159" s="0" t="s">
        <v>981</v>
      </c>
      <c r="E159" s="0" t="n">
        <v>2025</v>
      </c>
      <c r="F159" s="0" t="s">
        <v>981</v>
      </c>
      <c r="G159" s="0" t="s">
        <v>981</v>
      </c>
      <c r="I159" s="0" t="n">
        <v>2025</v>
      </c>
      <c r="J159" s="0" t="s">
        <v>981</v>
      </c>
      <c r="K159" s="0" t="s">
        <v>981</v>
      </c>
      <c r="M159" s="0" t="n">
        <v>2025</v>
      </c>
      <c r="N159" s="0" t="s">
        <v>981</v>
      </c>
      <c r="O159" s="0" t="s">
        <v>981</v>
      </c>
    </row>
    <row r="160" customFormat="false" ht="15" hidden="false" customHeight="false" outlineLevel="0" collapsed="false">
      <c r="A160" s="0" t="n">
        <v>2025</v>
      </c>
      <c r="B160" s="0" t="s">
        <v>981</v>
      </c>
      <c r="C160" s="0" t="s">
        <v>981</v>
      </c>
      <c r="E160" s="0" t="n">
        <v>2025</v>
      </c>
      <c r="F160" s="0" t="s">
        <v>981</v>
      </c>
      <c r="G160" s="0" t="s">
        <v>981</v>
      </c>
      <c r="I160" s="0" t="n">
        <v>2025</v>
      </c>
      <c r="J160" s="0" t="s">
        <v>981</v>
      </c>
      <c r="K160" s="0" t="s">
        <v>981</v>
      </c>
      <c r="M160" s="0" t="n">
        <v>2025</v>
      </c>
      <c r="N160" s="0" t="s">
        <v>981</v>
      </c>
      <c r="O160" s="0" t="s">
        <v>981</v>
      </c>
    </row>
    <row r="161" customFormat="false" ht="15" hidden="false" customHeight="false" outlineLevel="0" collapsed="false">
      <c r="A161" s="0" t="n">
        <v>2025</v>
      </c>
      <c r="B161" s="0" t="s">
        <v>981</v>
      </c>
      <c r="C161" s="0" t="s">
        <v>981</v>
      </c>
      <c r="E161" s="0" t="n">
        <v>2025</v>
      </c>
      <c r="F161" s="0" t="s">
        <v>981</v>
      </c>
      <c r="G161" s="0" t="s">
        <v>981</v>
      </c>
      <c r="I161" s="0" t="n">
        <v>2025</v>
      </c>
      <c r="J161" s="0" t="s">
        <v>981</v>
      </c>
      <c r="K161" s="0" t="s">
        <v>981</v>
      </c>
      <c r="M161" s="0" t="n">
        <v>2025</v>
      </c>
      <c r="N161" s="0" t="s">
        <v>981</v>
      </c>
      <c r="O161" s="0" t="s">
        <v>981</v>
      </c>
    </row>
    <row r="162" customFormat="false" ht="15" hidden="false" customHeight="false" outlineLevel="0" collapsed="false">
      <c r="A162" s="0" t="n">
        <v>2025</v>
      </c>
      <c r="B162" s="0" t="s">
        <v>981</v>
      </c>
      <c r="C162" s="0" t="s">
        <v>981</v>
      </c>
      <c r="E162" s="0" t="n">
        <v>2025</v>
      </c>
      <c r="F162" s="0" t="s">
        <v>981</v>
      </c>
      <c r="G162" s="0" t="s">
        <v>981</v>
      </c>
      <c r="I162" s="0" t="n">
        <v>2025</v>
      </c>
      <c r="J162" s="0" t="s">
        <v>981</v>
      </c>
      <c r="K162" s="0" t="s">
        <v>981</v>
      </c>
      <c r="M162" s="0" t="n">
        <v>2025</v>
      </c>
      <c r="N162" s="0" t="s">
        <v>981</v>
      </c>
      <c r="O162" s="0" t="s">
        <v>981</v>
      </c>
    </row>
    <row r="163" customFormat="false" ht="15" hidden="false" customHeight="false" outlineLevel="0" collapsed="false">
      <c r="A163" s="0" t="n">
        <v>2025</v>
      </c>
      <c r="B163" s="0" t="s">
        <v>981</v>
      </c>
      <c r="C163" s="0" t="s">
        <v>981</v>
      </c>
      <c r="E163" s="0" t="n">
        <v>2025</v>
      </c>
      <c r="F163" s="0" t="s">
        <v>981</v>
      </c>
      <c r="G163" s="0" t="s">
        <v>981</v>
      </c>
      <c r="I163" s="0" t="n">
        <v>2025</v>
      </c>
      <c r="J163" s="0" t="s">
        <v>981</v>
      </c>
      <c r="K163" s="0" t="s">
        <v>981</v>
      </c>
      <c r="M163" s="0" t="n">
        <v>2025</v>
      </c>
      <c r="N163" s="0" t="s">
        <v>981</v>
      </c>
      <c r="O163" s="0" t="s">
        <v>981</v>
      </c>
    </row>
    <row r="164" customFormat="false" ht="15" hidden="false" customHeight="false" outlineLevel="0" collapsed="false">
      <c r="A164" s="0" t="n">
        <v>2025</v>
      </c>
      <c r="B164" s="0" t="s">
        <v>981</v>
      </c>
      <c r="C164" s="0" t="s">
        <v>981</v>
      </c>
      <c r="E164" s="0" t="n">
        <v>2025</v>
      </c>
      <c r="F164" s="0" t="s">
        <v>981</v>
      </c>
      <c r="G164" s="0" t="s">
        <v>981</v>
      </c>
      <c r="I164" s="0" t="n">
        <v>2025</v>
      </c>
      <c r="J164" s="0" t="s">
        <v>981</v>
      </c>
      <c r="K164" s="0" t="s">
        <v>981</v>
      </c>
      <c r="M164" s="0" t="n">
        <v>2025</v>
      </c>
      <c r="N164" s="0" t="s">
        <v>981</v>
      </c>
      <c r="O164" s="0" t="s">
        <v>981</v>
      </c>
    </row>
    <row r="165" customFormat="false" ht="15" hidden="false" customHeight="false" outlineLevel="0" collapsed="false">
      <c r="A165" s="0" t="n">
        <v>2025</v>
      </c>
      <c r="B165" s="0" t="s">
        <v>981</v>
      </c>
      <c r="C165" s="0" t="s">
        <v>981</v>
      </c>
      <c r="E165" s="0" t="n">
        <v>2025</v>
      </c>
      <c r="F165" s="0" t="s">
        <v>981</v>
      </c>
      <c r="G165" s="0" t="s">
        <v>981</v>
      </c>
      <c r="I165" s="0" t="n">
        <v>2025</v>
      </c>
      <c r="J165" s="0" t="s">
        <v>981</v>
      </c>
      <c r="K165" s="0" t="s">
        <v>981</v>
      </c>
      <c r="M165" s="0" t="n">
        <v>2025</v>
      </c>
      <c r="N165" s="0" t="s">
        <v>981</v>
      </c>
      <c r="O165" s="0" t="s">
        <v>981</v>
      </c>
    </row>
    <row r="166" customFormat="false" ht="15" hidden="false" customHeight="false" outlineLevel="0" collapsed="false">
      <c r="A166" s="0" t="n">
        <v>2025</v>
      </c>
      <c r="B166" s="0" t="s">
        <v>981</v>
      </c>
      <c r="C166" s="0" t="s">
        <v>981</v>
      </c>
      <c r="E166" s="0" t="n">
        <v>2025</v>
      </c>
      <c r="F166" s="0" t="s">
        <v>981</v>
      </c>
      <c r="G166" s="0" t="s">
        <v>981</v>
      </c>
      <c r="I166" s="0" t="n">
        <v>2025</v>
      </c>
      <c r="J166" s="0" t="s">
        <v>981</v>
      </c>
      <c r="K166" s="0" t="s">
        <v>981</v>
      </c>
      <c r="M166" s="0" t="n">
        <v>2025</v>
      </c>
      <c r="N166" s="0" t="s">
        <v>981</v>
      </c>
      <c r="O166" s="0" t="s">
        <v>981</v>
      </c>
    </row>
    <row r="167" customFormat="false" ht="15" hidden="false" customHeight="false" outlineLevel="0" collapsed="false">
      <c r="A167" s="0" t="n">
        <v>2025</v>
      </c>
      <c r="B167" s="0" t="s">
        <v>981</v>
      </c>
      <c r="C167" s="0" t="s">
        <v>981</v>
      </c>
      <c r="E167" s="0" t="n">
        <v>2025</v>
      </c>
      <c r="F167" s="0" t="s">
        <v>981</v>
      </c>
      <c r="G167" s="0" t="s">
        <v>981</v>
      </c>
      <c r="I167" s="0" t="n">
        <v>2025</v>
      </c>
      <c r="J167" s="0" t="s">
        <v>981</v>
      </c>
      <c r="K167" s="0" t="s">
        <v>981</v>
      </c>
      <c r="M167" s="0" t="n">
        <v>2025</v>
      </c>
      <c r="N167" s="0" t="s">
        <v>981</v>
      </c>
      <c r="O167" s="0" t="s">
        <v>981</v>
      </c>
    </row>
    <row r="168" customFormat="false" ht="15" hidden="false" customHeight="false" outlineLevel="0" collapsed="false">
      <c r="A168" s="0" t="n">
        <v>2025</v>
      </c>
      <c r="B168" s="0" t="s">
        <v>981</v>
      </c>
      <c r="C168" s="0" t="s">
        <v>981</v>
      </c>
      <c r="E168" s="0" t="n">
        <v>2025</v>
      </c>
      <c r="F168" s="0" t="s">
        <v>981</v>
      </c>
      <c r="G168" s="0" t="s">
        <v>981</v>
      </c>
      <c r="I168" s="0" t="n">
        <v>2025</v>
      </c>
      <c r="J168" s="0" t="s">
        <v>981</v>
      </c>
      <c r="K168" s="0" t="s">
        <v>981</v>
      </c>
      <c r="M168" s="0" t="n">
        <v>2025</v>
      </c>
      <c r="N168" s="0" t="s">
        <v>981</v>
      </c>
      <c r="O168" s="0" t="s">
        <v>981</v>
      </c>
    </row>
    <row r="169" customFormat="false" ht="15" hidden="false" customHeight="false" outlineLevel="0" collapsed="false">
      <c r="A169" s="0" t="n">
        <v>2025</v>
      </c>
      <c r="B169" s="0" t="s">
        <v>981</v>
      </c>
      <c r="C169" s="0" t="s">
        <v>981</v>
      </c>
      <c r="E169" s="0" t="n">
        <v>2025</v>
      </c>
      <c r="F169" s="0" t="s">
        <v>981</v>
      </c>
      <c r="G169" s="0" t="s">
        <v>981</v>
      </c>
      <c r="I169" s="0" t="n">
        <v>2025</v>
      </c>
      <c r="J169" s="0" t="s">
        <v>981</v>
      </c>
      <c r="K169" s="0" t="s">
        <v>981</v>
      </c>
      <c r="M169" s="0" t="n">
        <v>2025</v>
      </c>
      <c r="N169" s="0" t="s">
        <v>981</v>
      </c>
      <c r="O169" s="0" t="s">
        <v>981</v>
      </c>
    </row>
    <row r="170" customFormat="false" ht="15" hidden="false" customHeight="false" outlineLevel="0" collapsed="false">
      <c r="A170" s="0" t="n">
        <v>2025</v>
      </c>
      <c r="B170" s="0" t="s">
        <v>981</v>
      </c>
      <c r="C170" s="0" t="s">
        <v>981</v>
      </c>
      <c r="E170" s="0" t="n">
        <v>2025</v>
      </c>
      <c r="F170" s="0" t="s">
        <v>981</v>
      </c>
      <c r="G170" s="0" t="s">
        <v>981</v>
      </c>
      <c r="I170" s="0" t="n">
        <v>2025</v>
      </c>
      <c r="J170" s="0" t="s">
        <v>981</v>
      </c>
      <c r="K170" s="0" t="s">
        <v>981</v>
      </c>
      <c r="M170" s="0" t="n">
        <v>2025</v>
      </c>
      <c r="N170" s="0" t="s">
        <v>981</v>
      </c>
      <c r="O170" s="0" t="s">
        <v>981</v>
      </c>
    </row>
    <row r="171" customFormat="false" ht="15" hidden="false" customHeight="false" outlineLevel="0" collapsed="false">
      <c r="A171" s="0" t="n">
        <v>2025</v>
      </c>
      <c r="B171" s="0" t="s">
        <v>981</v>
      </c>
      <c r="C171" s="0" t="s">
        <v>981</v>
      </c>
      <c r="E171" s="0" t="n">
        <v>2025</v>
      </c>
      <c r="F171" s="0" t="s">
        <v>981</v>
      </c>
      <c r="G171" s="0" t="s">
        <v>981</v>
      </c>
      <c r="I171" s="0" t="n">
        <v>2025</v>
      </c>
      <c r="J171" s="0" t="s">
        <v>981</v>
      </c>
      <c r="K171" s="0" t="s">
        <v>981</v>
      </c>
      <c r="M171" s="0" t="n">
        <v>2025</v>
      </c>
      <c r="N171" s="0" t="s">
        <v>981</v>
      </c>
      <c r="O171" s="0" t="s">
        <v>981</v>
      </c>
    </row>
    <row r="172" customFormat="false" ht="15" hidden="false" customHeight="false" outlineLevel="0" collapsed="false">
      <c r="A172" s="0" t="n">
        <v>2025</v>
      </c>
      <c r="B172" s="0" t="s">
        <v>981</v>
      </c>
      <c r="C172" s="0" t="s">
        <v>981</v>
      </c>
      <c r="E172" s="0" t="n">
        <v>2025</v>
      </c>
      <c r="F172" s="0" t="s">
        <v>981</v>
      </c>
      <c r="G172" s="0" t="s">
        <v>981</v>
      </c>
      <c r="I172" s="0" t="n">
        <v>2025</v>
      </c>
      <c r="J172" s="0" t="s">
        <v>981</v>
      </c>
      <c r="K172" s="0" t="s">
        <v>981</v>
      </c>
      <c r="M172" s="0" t="n">
        <v>2025</v>
      </c>
      <c r="N172" s="0" t="s">
        <v>981</v>
      </c>
      <c r="O172" s="0" t="s">
        <v>981</v>
      </c>
    </row>
    <row r="173" customFormat="false" ht="15" hidden="false" customHeight="false" outlineLevel="0" collapsed="false">
      <c r="A173" s="0" t="n">
        <v>2025</v>
      </c>
      <c r="B173" s="0" t="s">
        <v>981</v>
      </c>
      <c r="C173" s="0" t="s">
        <v>981</v>
      </c>
      <c r="E173" s="0" t="n">
        <v>2025</v>
      </c>
      <c r="F173" s="0" t="s">
        <v>981</v>
      </c>
      <c r="G173" s="0" t="s">
        <v>981</v>
      </c>
      <c r="I173" s="0" t="n">
        <v>2025</v>
      </c>
      <c r="J173" s="0" t="s">
        <v>981</v>
      </c>
      <c r="K173" s="0" t="s">
        <v>981</v>
      </c>
      <c r="M173" s="0" t="n">
        <v>2025</v>
      </c>
      <c r="N173" s="0" t="s">
        <v>981</v>
      </c>
      <c r="O173" s="0" t="s">
        <v>981</v>
      </c>
    </row>
    <row r="174" customFormat="false" ht="15" hidden="false" customHeight="false" outlineLevel="0" collapsed="false">
      <c r="A174" s="0" t="n">
        <v>2025</v>
      </c>
      <c r="B174" s="0" t="s">
        <v>981</v>
      </c>
      <c r="C174" s="0" t="s">
        <v>981</v>
      </c>
      <c r="E174" s="0" t="n">
        <v>2025</v>
      </c>
      <c r="F174" s="0" t="s">
        <v>981</v>
      </c>
      <c r="G174" s="0" t="s">
        <v>981</v>
      </c>
      <c r="I174" s="0" t="n">
        <v>2025</v>
      </c>
      <c r="J174" s="0" t="s">
        <v>981</v>
      </c>
      <c r="K174" s="0" t="s">
        <v>981</v>
      </c>
      <c r="M174" s="0" t="n">
        <v>2025</v>
      </c>
      <c r="N174" s="0" t="s">
        <v>981</v>
      </c>
      <c r="O174" s="0" t="s">
        <v>981</v>
      </c>
    </row>
    <row r="175" customFormat="false" ht="15" hidden="false" customHeight="false" outlineLevel="0" collapsed="false">
      <c r="A175" s="0" t="n">
        <v>2025</v>
      </c>
      <c r="B175" s="0" t="s">
        <v>981</v>
      </c>
      <c r="C175" s="0" t="s">
        <v>981</v>
      </c>
      <c r="E175" s="0" t="n">
        <v>2025</v>
      </c>
      <c r="F175" s="0" t="s">
        <v>981</v>
      </c>
      <c r="G175" s="0" t="s">
        <v>981</v>
      </c>
      <c r="I175" s="0" t="n">
        <v>2025</v>
      </c>
      <c r="J175" s="0" t="s">
        <v>981</v>
      </c>
      <c r="K175" s="0" t="s">
        <v>981</v>
      </c>
      <c r="M175" s="0" t="n">
        <v>2025</v>
      </c>
      <c r="N175" s="0" t="s">
        <v>981</v>
      </c>
      <c r="O175" s="0" t="s">
        <v>981</v>
      </c>
    </row>
    <row r="176" customFormat="false" ht="15" hidden="false" customHeight="false" outlineLevel="0" collapsed="false">
      <c r="A176" s="0" t="n">
        <v>2025</v>
      </c>
      <c r="B176" s="0" t="s">
        <v>981</v>
      </c>
      <c r="C176" s="0" t="s">
        <v>981</v>
      </c>
      <c r="E176" s="0" t="n">
        <v>2025</v>
      </c>
      <c r="F176" s="0" t="s">
        <v>981</v>
      </c>
      <c r="G176" s="0" t="s">
        <v>981</v>
      </c>
      <c r="I176" s="0" t="n">
        <v>2025</v>
      </c>
      <c r="J176" s="0" t="s">
        <v>981</v>
      </c>
      <c r="K176" s="0" t="s">
        <v>981</v>
      </c>
      <c r="M176" s="0" t="n">
        <v>2025</v>
      </c>
      <c r="N176" s="0" t="s">
        <v>981</v>
      </c>
      <c r="O176" s="0" t="s">
        <v>981</v>
      </c>
    </row>
    <row r="177" customFormat="false" ht="15" hidden="false" customHeight="false" outlineLevel="0" collapsed="false">
      <c r="A177" s="0" t="n">
        <v>2025</v>
      </c>
      <c r="B177" s="0" t="s">
        <v>981</v>
      </c>
      <c r="C177" s="0" t="s">
        <v>981</v>
      </c>
      <c r="E177" s="0" t="n">
        <v>2025</v>
      </c>
      <c r="F177" s="0" t="s">
        <v>981</v>
      </c>
      <c r="G177" s="0" t="s">
        <v>981</v>
      </c>
      <c r="I177" s="0" t="n">
        <v>2025</v>
      </c>
      <c r="J177" s="0" t="s">
        <v>981</v>
      </c>
      <c r="K177" s="0" t="s">
        <v>981</v>
      </c>
      <c r="M177" s="0" t="n">
        <v>2025</v>
      </c>
      <c r="N177" s="0" t="s">
        <v>981</v>
      </c>
      <c r="O177" s="0" t="s">
        <v>981</v>
      </c>
    </row>
    <row r="178" customFormat="false" ht="15" hidden="false" customHeight="false" outlineLevel="0" collapsed="false">
      <c r="A178" s="0" t="n">
        <v>2025</v>
      </c>
      <c r="B178" s="0" t="s">
        <v>981</v>
      </c>
      <c r="C178" s="0" t="s">
        <v>981</v>
      </c>
      <c r="E178" s="0" t="n">
        <v>2025</v>
      </c>
      <c r="F178" s="0" t="s">
        <v>981</v>
      </c>
      <c r="G178" s="0" t="s">
        <v>981</v>
      </c>
      <c r="I178" s="0" t="n">
        <v>2025</v>
      </c>
      <c r="J178" s="0" t="s">
        <v>981</v>
      </c>
      <c r="K178" s="0" t="s">
        <v>981</v>
      </c>
      <c r="M178" s="0" t="n">
        <v>2025</v>
      </c>
      <c r="N178" s="0" t="s">
        <v>981</v>
      </c>
      <c r="O178" s="0" t="s">
        <v>981</v>
      </c>
    </row>
    <row r="179" customFormat="false" ht="15" hidden="false" customHeight="false" outlineLevel="0" collapsed="false">
      <c r="A179" s="0" t="n">
        <v>2025</v>
      </c>
      <c r="B179" s="0" t="s">
        <v>981</v>
      </c>
      <c r="C179" s="0" t="s">
        <v>981</v>
      </c>
      <c r="E179" s="0" t="n">
        <v>2025</v>
      </c>
      <c r="F179" s="0" t="s">
        <v>981</v>
      </c>
      <c r="G179" s="0" t="s">
        <v>981</v>
      </c>
      <c r="I179" s="0" t="n">
        <v>2025</v>
      </c>
      <c r="J179" s="0" t="s">
        <v>981</v>
      </c>
      <c r="K179" s="0" t="s">
        <v>981</v>
      </c>
      <c r="M179" s="0" t="n">
        <v>2025</v>
      </c>
      <c r="N179" s="0" t="s">
        <v>981</v>
      </c>
      <c r="O179" s="0" t="s">
        <v>981</v>
      </c>
    </row>
    <row r="180" customFormat="false" ht="15" hidden="false" customHeight="false" outlineLevel="0" collapsed="false">
      <c r="A180" s="0" t="n">
        <v>2025</v>
      </c>
      <c r="B180" s="0" t="s">
        <v>981</v>
      </c>
      <c r="C180" s="0" t="s">
        <v>981</v>
      </c>
      <c r="E180" s="0" t="n">
        <v>2025</v>
      </c>
      <c r="F180" s="0" t="s">
        <v>981</v>
      </c>
      <c r="G180" s="0" t="s">
        <v>981</v>
      </c>
      <c r="I180" s="0" t="n">
        <v>2025</v>
      </c>
      <c r="J180" s="0" t="s">
        <v>981</v>
      </c>
      <c r="K180" s="0" t="s">
        <v>981</v>
      </c>
      <c r="M180" s="0" t="n">
        <v>2025</v>
      </c>
      <c r="N180" s="0" t="s">
        <v>981</v>
      </c>
      <c r="O180" s="0" t="s">
        <v>981</v>
      </c>
    </row>
    <row r="181" customFormat="false" ht="15" hidden="false" customHeight="false" outlineLevel="0" collapsed="false">
      <c r="A181" s="0" t="n">
        <v>2025</v>
      </c>
      <c r="B181" s="0" t="s">
        <v>981</v>
      </c>
      <c r="C181" s="0" t="s">
        <v>981</v>
      </c>
      <c r="E181" s="0" t="n">
        <v>2025</v>
      </c>
      <c r="F181" s="0" t="s">
        <v>981</v>
      </c>
      <c r="G181" s="0" t="s">
        <v>981</v>
      </c>
      <c r="I181" s="0" t="n">
        <v>2025</v>
      </c>
      <c r="J181" s="0" t="s">
        <v>981</v>
      </c>
      <c r="K181" s="0" t="s">
        <v>981</v>
      </c>
      <c r="M181" s="0" t="n">
        <v>2025</v>
      </c>
      <c r="N181" s="0" t="s">
        <v>981</v>
      </c>
      <c r="O181" s="0" t="s">
        <v>981</v>
      </c>
    </row>
    <row r="182" customFormat="false" ht="15" hidden="false" customHeight="false" outlineLevel="0" collapsed="false">
      <c r="A182" s="0" t="n">
        <v>2025</v>
      </c>
      <c r="B182" s="0" t="s">
        <v>981</v>
      </c>
      <c r="C182" s="0" t="s">
        <v>981</v>
      </c>
      <c r="E182" s="0" t="n">
        <v>2025</v>
      </c>
      <c r="F182" s="0" t="s">
        <v>981</v>
      </c>
      <c r="G182" s="0" t="s">
        <v>981</v>
      </c>
      <c r="I182" s="0" t="n">
        <v>2025</v>
      </c>
      <c r="J182" s="0" t="s">
        <v>981</v>
      </c>
      <c r="K182" s="0" t="s">
        <v>981</v>
      </c>
      <c r="M182" s="0" t="n">
        <v>2025</v>
      </c>
      <c r="N182" s="0" t="s">
        <v>981</v>
      </c>
      <c r="O182" s="0" t="s">
        <v>981</v>
      </c>
    </row>
    <row r="183" customFormat="false" ht="15" hidden="false" customHeight="false" outlineLevel="0" collapsed="false">
      <c r="A183" s="0" t="n">
        <v>2025</v>
      </c>
      <c r="B183" s="0" t="s">
        <v>981</v>
      </c>
      <c r="C183" s="0" t="s">
        <v>981</v>
      </c>
      <c r="E183" s="0" t="n">
        <v>2025</v>
      </c>
      <c r="F183" s="0" t="s">
        <v>981</v>
      </c>
      <c r="G183" s="0" t="s">
        <v>981</v>
      </c>
      <c r="I183" s="0" t="n">
        <v>2025</v>
      </c>
      <c r="J183" s="0" t="s">
        <v>981</v>
      </c>
      <c r="K183" s="0" t="s">
        <v>981</v>
      </c>
      <c r="M183" s="0" t="n">
        <v>2025</v>
      </c>
      <c r="N183" s="0" t="s">
        <v>981</v>
      </c>
      <c r="O183" s="0" t="s">
        <v>981</v>
      </c>
    </row>
    <row r="184" customFormat="false" ht="15" hidden="false" customHeight="false" outlineLevel="0" collapsed="false">
      <c r="A184" s="0" t="n">
        <v>2025</v>
      </c>
      <c r="B184" s="0" t="s">
        <v>981</v>
      </c>
      <c r="C184" s="0" t="s">
        <v>981</v>
      </c>
      <c r="E184" s="0" t="n">
        <v>2025</v>
      </c>
      <c r="F184" s="0" t="s">
        <v>981</v>
      </c>
      <c r="G184" s="0" t="s">
        <v>981</v>
      </c>
      <c r="I184" s="0" t="n">
        <v>2025</v>
      </c>
      <c r="J184" s="0" t="s">
        <v>981</v>
      </c>
      <c r="K184" s="0" t="s">
        <v>981</v>
      </c>
      <c r="M184" s="0" t="n">
        <v>2025</v>
      </c>
      <c r="N184" s="0" t="s">
        <v>981</v>
      </c>
      <c r="O184" s="0" t="s">
        <v>981</v>
      </c>
    </row>
    <row r="185" customFormat="false" ht="15" hidden="false" customHeight="false" outlineLevel="0" collapsed="false">
      <c r="A185" s="0" t="n">
        <v>2025</v>
      </c>
      <c r="B185" s="0" t="s">
        <v>981</v>
      </c>
      <c r="C185" s="0" t="s">
        <v>981</v>
      </c>
      <c r="E185" s="0" t="n">
        <v>2025</v>
      </c>
      <c r="F185" s="0" t="s">
        <v>981</v>
      </c>
      <c r="G185" s="0" t="s">
        <v>981</v>
      </c>
      <c r="I185" s="0" t="n">
        <v>2025</v>
      </c>
      <c r="J185" s="0" t="s">
        <v>981</v>
      </c>
      <c r="K185" s="0" t="s">
        <v>981</v>
      </c>
      <c r="M185" s="0" t="n">
        <v>2025</v>
      </c>
      <c r="N185" s="0" t="s">
        <v>981</v>
      </c>
      <c r="O185" s="0" t="s">
        <v>981</v>
      </c>
    </row>
    <row r="186" customFormat="false" ht="15" hidden="false" customHeight="false" outlineLevel="0" collapsed="false">
      <c r="A186" s="0" t="n">
        <v>2025</v>
      </c>
      <c r="B186" s="0" t="s">
        <v>981</v>
      </c>
      <c r="C186" s="0" t="s">
        <v>981</v>
      </c>
      <c r="E186" s="0" t="n">
        <v>2025</v>
      </c>
      <c r="F186" s="0" t="s">
        <v>981</v>
      </c>
      <c r="G186" s="0" t="s">
        <v>981</v>
      </c>
      <c r="I186" s="0" t="n">
        <v>2025</v>
      </c>
      <c r="J186" s="0" t="s">
        <v>981</v>
      </c>
      <c r="K186" s="0" t="s">
        <v>981</v>
      </c>
      <c r="M186" s="0" t="n">
        <v>2025</v>
      </c>
      <c r="N186" s="0" t="s">
        <v>981</v>
      </c>
      <c r="O186" s="0" t="s">
        <v>981</v>
      </c>
    </row>
    <row r="187" customFormat="false" ht="15" hidden="false" customHeight="false" outlineLevel="0" collapsed="false">
      <c r="A187" s="0" t="n">
        <v>2025</v>
      </c>
      <c r="B187" s="0" t="s">
        <v>981</v>
      </c>
      <c r="C187" s="0" t="s">
        <v>981</v>
      </c>
      <c r="E187" s="0" t="n">
        <v>2025</v>
      </c>
      <c r="F187" s="0" t="s">
        <v>981</v>
      </c>
      <c r="G187" s="0" t="s">
        <v>981</v>
      </c>
      <c r="I187" s="0" t="n">
        <v>2025</v>
      </c>
      <c r="J187" s="0" t="s">
        <v>981</v>
      </c>
      <c r="K187" s="0" t="s">
        <v>981</v>
      </c>
      <c r="M187" s="0" t="n">
        <v>2025</v>
      </c>
      <c r="N187" s="0" t="s">
        <v>981</v>
      </c>
      <c r="O187" s="0" t="s">
        <v>981</v>
      </c>
    </row>
    <row r="188" customFormat="false" ht="15" hidden="false" customHeight="false" outlineLevel="0" collapsed="false">
      <c r="A188" s="0" t="n">
        <v>2025</v>
      </c>
      <c r="B188" s="0" t="s">
        <v>981</v>
      </c>
      <c r="C188" s="0" t="s">
        <v>981</v>
      </c>
      <c r="E188" s="0" t="n">
        <v>2025</v>
      </c>
      <c r="F188" s="0" t="s">
        <v>981</v>
      </c>
      <c r="G188" s="0" t="s">
        <v>981</v>
      </c>
      <c r="I188" s="0" t="n">
        <v>2025</v>
      </c>
      <c r="J188" s="0" t="s">
        <v>981</v>
      </c>
      <c r="K188" s="0" t="s">
        <v>981</v>
      </c>
      <c r="M188" s="0" t="n">
        <v>2025</v>
      </c>
      <c r="N188" s="0" t="s">
        <v>981</v>
      </c>
      <c r="O188" s="0" t="s">
        <v>981</v>
      </c>
    </row>
    <row r="189" customFormat="false" ht="15" hidden="false" customHeight="false" outlineLevel="0" collapsed="false">
      <c r="A189" s="0" t="n">
        <v>2025</v>
      </c>
      <c r="B189" s="0" t="s">
        <v>981</v>
      </c>
      <c r="C189" s="0" t="s">
        <v>981</v>
      </c>
      <c r="E189" s="0" t="n">
        <v>2025</v>
      </c>
      <c r="F189" s="0" t="s">
        <v>981</v>
      </c>
      <c r="G189" s="0" t="s">
        <v>981</v>
      </c>
      <c r="I189" s="0" t="n">
        <v>2025</v>
      </c>
      <c r="J189" s="0" t="s">
        <v>981</v>
      </c>
      <c r="K189" s="0" t="s">
        <v>981</v>
      </c>
      <c r="M189" s="0" t="n">
        <v>2025</v>
      </c>
      <c r="N189" s="0" t="s">
        <v>981</v>
      </c>
      <c r="O189" s="0" t="s">
        <v>981</v>
      </c>
    </row>
    <row r="190" customFormat="false" ht="15" hidden="false" customHeight="false" outlineLevel="0" collapsed="false">
      <c r="A190" s="0" t="n">
        <v>2025</v>
      </c>
      <c r="B190" s="0" t="s">
        <v>981</v>
      </c>
      <c r="C190" s="0" t="s">
        <v>981</v>
      </c>
      <c r="E190" s="0" t="n">
        <v>2025</v>
      </c>
      <c r="F190" s="0" t="s">
        <v>981</v>
      </c>
      <c r="G190" s="0" t="s">
        <v>981</v>
      </c>
      <c r="I190" s="0" t="n">
        <v>2025</v>
      </c>
      <c r="J190" s="0" t="s">
        <v>981</v>
      </c>
      <c r="K190" s="0" t="s">
        <v>981</v>
      </c>
      <c r="M190" s="0" t="n">
        <v>2025</v>
      </c>
      <c r="N190" s="0" t="s">
        <v>981</v>
      </c>
      <c r="O190" s="0" t="s">
        <v>981</v>
      </c>
    </row>
    <row r="191" customFormat="false" ht="15" hidden="false" customHeight="false" outlineLevel="0" collapsed="false">
      <c r="A191" s="0" t="n">
        <v>2025</v>
      </c>
      <c r="B191" s="0" t="s">
        <v>981</v>
      </c>
      <c r="C191" s="0" t="s">
        <v>981</v>
      </c>
      <c r="E191" s="0" t="n">
        <v>2025</v>
      </c>
      <c r="F191" s="0" t="s">
        <v>981</v>
      </c>
      <c r="G191" s="0" t="s">
        <v>981</v>
      </c>
      <c r="I191" s="0" t="n">
        <v>2025</v>
      </c>
      <c r="J191" s="0" t="s">
        <v>981</v>
      </c>
      <c r="K191" s="0" t="s">
        <v>981</v>
      </c>
      <c r="M191" s="0" t="n">
        <v>2025</v>
      </c>
      <c r="N191" s="0" t="s">
        <v>981</v>
      </c>
      <c r="O191" s="0" t="s">
        <v>981</v>
      </c>
    </row>
    <row r="192" customFormat="false" ht="15" hidden="false" customHeight="false" outlineLevel="0" collapsed="false">
      <c r="A192" s="0" t="n">
        <v>2025</v>
      </c>
      <c r="B192" s="0" t="s">
        <v>981</v>
      </c>
      <c r="C192" s="0" t="s">
        <v>981</v>
      </c>
      <c r="E192" s="0" t="n">
        <v>2025</v>
      </c>
      <c r="F192" s="0" t="s">
        <v>981</v>
      </c>
      <c r="G192" s="0" t="s">
        <v>981</v>
      </c>
      <c r="I192" s="0" t="n">
        <v>2025</v>
      </c>
      <c r="J192" s="0" t="s">
        <v>981</v>
      </c>
      <c r="K192" s="0" t="s">
        <v>981</v>
      </c>
      <c r="M192" s="0" t="n">
        <v>2025</v>
      </c>
      <c r="N192" s="0" t="s">
        <v>981</v>
      </c>
      <c r="O192" s="0" t="s">
        <v>981</v>
      </c>
    </row>
    <row r="193" customFormat="false" ht="15" hidden="false" customHeight="false" outlineLevel="0" collapsed="false">
      <c r="A193" s="0" t="n">
        <v>2025</v>
      </c>
      <c r="B193" s="0" t="s">
        <v>981</v>
      </c>
      <c r="C193" s="0" t="s">
        <v>981</v>
      </c>
      <c r="E193" s="0" t="n">
        <v>2025</v>
      </c>
      <c r="F193" s="0" t="s">
        <v>981</v>
      </c>
      <c r="G193" s="0" t="s">
        <v>981</v>
      </c>
      <c r="I193" s="0" t="n">
        <v>2025</v>
      </c>
      <c r="J193" s="0" t="s">
        <v>981</v>
      </c>
      <c r="K193" s="0" t="s">
        <v>981</v>
      </c>
      <c r="M193" s="0" t="n">
        <v>2025</v>
      </c>
      <c r="N193" s="0" t="s">
        <v>981</v>
      </c>
      <c r="O193" s="0" t="s">
        <v>981</v>
      </c>
    </row>
    <row r="194" customFormat="false" ht="15" hidden="false" customHeight="false" outlineLevel="0" collapsed="false">
      <c r="A194" s="0" t="n">
        <v>2025</v>
      </c>
      <c r="B194" s="0" t="s">
        <v>981</v>
      </c>
      <c r="C194" s="0" t="s">
        <v>981</v>
      </c>
      <c r="E194" s="0" t="n">
        <v>2025</v>
      </c>
      <c r="F194" s="0" t="s">
        <v>981</v>
      </c>
      <c r="G194" s="0" t="s">
        <v>981</v>
      </c>
      <c r="I194" s="0" t="n">
        <v>2025</v>
      </c>
      <c r="J194" s="0" t="s">
        <v>981</v>
      </c>
      <c r="K194" s="0" t="s">
        <v>981</v>
      </c>
      <c r="M194" s="0" t="n">
        <v>2025</v>
      </c>
      <c r="N194" s="0" t="s">
        <v>981</v>
      </c>
      <c r="O194" s="0" t="s">
        <v>981</v>
      </c>
    </row>
    <row r="195" customFormat="false" ht="15" hidden="false" customHeight="false" outlineLevel="0" collapsed="false">
      <c r="A195" s="0" t="n">
        <v>2025</v>
      </c>
      <c r="B195" s="0" t="s">
        <v>981</v>
      </c>
      <c r="C195" s="0" t="s">
        <v>981</v>
      </c>
      <c r="E195" s="0" t="n">
        <v>2025</v>
      </c>
      <c r="F195" s="0" t="s">
        <v>981</v>
      </c>
      <c r="G195" s="0" t="s">
        <v>981</v>
      </c>
      <c r="I195" s="0" t="n">
        <v>2025</v>
      </c>
      <c r="J195" s="0" t="s">
        <v>981</v>
      </c>
      <c r="K195" s="0" t="s">
        <v>981</v>
      </c>
      <c r="M195" s="0" t="n">
        <v>2025</v>
      </c>
      <c r="N195" s="0" t="s">
        <v>981</v>
      </c>
      <c r="O195" s="0" t="s">
        <v>981</v>
      </c>
    </row>
    <row r="196" customFormat="false" ht="15" hidden="false" customHeight="false" outlineLevel="0" collapsed="false">
      <c r="A196" s="0" t="n">
        <v>2025</v>
      </c>
      <c r="B196" s="0" t="s">
        <v>981</v>
      </c>
      <c r="C196" s="0" t="s">
        <v>981</v>
      </c>
      <c r="E196" s="0" t="n">
        <v>2025</v>
      </c>
      <c r="F196" s="0" t="s">
        <v>981</v>
      </c>
      <c r="G196" s="0" t="s">
        <v>981</v>
      </c>
      <c r="I196" s="0" t="n">
        <v>2025</v>
      </c>
      <c r="J196" s="0" t="s">
        <v>981</v>
      </c>
      <c r="K196" s="0" t="s">
        <v>981</v>
      </c>
      <c r="M196" s="0" t="n">
        <v>2025</v>
      </c>
      <c r="N196" s="0" t="s">
        <v>981</v>
      </c>
      <c r="O196" s="0" t="s">
        <v>981</v>
      </c>
    </row>
    <row r="197" customFormat="false" ht="15" hidden="false" customHeight="false" outlineLevel="0" collapsed="false">
      <c r="A197" s="0" t="n">
        <v>2025</v>
      </c>
      <c r="B197" s="0" t="s">
        <v>981</v>
      </c>
      <c r="C197" s="0" t="s">
        <v>981</v>
      </c>
      <c r="E197" s="0" t="n">
        <v>2025</v>
      </c>
      <c r="F197" s="0" t="s">
        <v>981</v>
      </c>
      <c r="G197" s="0" t="s">
        <v>981</v>
      </c>
      <c r="I197" s="0" t="n">
        <v>2025</v>
      </c>
      <c r="J197" s="0" t="s">
        <v>981</v>
      </c>
      <c r="K197" s="0" t="s">
        <v>981</v>
      </c>
      <c r="M197" s="0" t="n">
        <v>2025</v>
      </c>
      <c r="N197" s="0" t="s">
        <v>981</v>
      </c>
      <c r="O197" s="0" t="s">
        <v>981</v>
      </c>
    </row>
    <row r="198" customFormat="false" ht="15" hidden="false" customHeight="false" outlineLevel="0" collapsed="false">
      <c r="A198" s="0" t="n">
        <v>2025</v>
      </c>
      <c r="B198" s="0" t="s">
        <v>981</v>
      </c>
      <c r="C198" s="0" t="s">
        <v>981</v>
      </c>
      <c r="E198" s="0" t="n">
        <v>2025</v>
      </c>
      <c r="F198" s="0" t="s">
        <v>981</v>
      </c>
      <c r="G198" s="0" t="s">
        <v>981</v>
      </c>
      <c r="I198" s="0" t="n">
        <v>2025</v>
      </c>
      <c r="J198" s="0" t="s">
        <v>981</v>
      </c>
      <c r="K198" s="0" t="s">
        <v>981</v>
      </c>
      <c r="M198" s="0" t="n">
        <v>2025</v>
      </c>
      <c r="N198" s="0" t="s">
        <v>981</v>
      </c>
      <c r="O198" s="0" t="s">
        <v>981</v>
      </c>
    </row>
    <row r="199" customFormat="false" ht="15" hidden="false" customHeight="false" outlineLevel="0" collapsed="false">
      <c r="A199" s="0" t="n">
        <v>2025</v>
      </c>
      <c r="B199" s="0" t="s">
        <v>981</v>
      </c>
      <c r="C199" s="0" t="s">
        <v>981</v>
      </c>
      <c r="E199" s="0" t="n">
        <v>2025</v>
      </c>
      <c r="F199" s="0" t="s">
        <v>981</v>
      </c>
      <c r="G199" s="0" t="s">
        <v>981</v>
      </c>
      <c r="I199" s="0" t="n">
        <v>2025</v>
      </c>
      <c r="J199" s="0" t="s">
        <v>981</v>
      </c>
      <c r="K199" s="0" t="s">
        <v>981</v>
      </c>
      <c r="M199" s="0" t="n">
        <v>2025</v>
      </c>
      <c r="N199" s="0" t="s">
        <v>981</v>
      </c>
      <c r="O199" s="0" t="s">
        <v>981</v>
      </c>
    </row>
    <row r="200" customFormat="false" ht="15" hidden="false" customHeight="false" outlineLevel="0" collapsed="false">
      <c r="A200" s="0" t="n">
        <v>2025</v>
      </c>
      <c r="B200" s="0" t="s">
        <v>981</v>
      </c>
      <c r="C200" s="0" t="s">
        <v>981</v>
      </c>
      <c r="E200" s="0" t="n">
        <v>2025</v>
      </c>
      <c r="F200" s="0" t="s">
        <v>981</v>
      </c>
      <c r="G200" s="0" t="s">
        <v>981</v>
      </c>
      <c r="I200" s="0" t="n">
        <v>2025</v>
      </c>
      <c r="J200" s="0" t="s">
        <v>981</v>
      </c>
      <c r="K200" s="0" t="s">
        <v>981</v>
      </c>
      <c r="M200" s="0" t="n">
        <v>2025</v>
      </c>
      <c r="N200" s="0" t="s">
        <v>981</v>
      </c>
      <c r="O200" s="0" t="s">
        <v>981</v>
      </c>
    </row>
    <row r="201" customFormat="false" ht="15" hidden="false" customHeight="false" outlineLevel="0" collapsed="false">
      <c r="A201" s="0" t="n">
        <v>2025</v>
      </c>
      <c r="B201" s="0" t="s">
        <v>981</v>
      </c>
      <c r="C201" s="0" t="s">
        <v>981</v>
      </c>
      <c r="E201" s="0" t="n">
        <v>2025</v>
      </c>
      <c r="F201" s="0" t="s">
        <v>981</v>
      </c>
      <c r="G201" s="0" t="s">
        <v>981</v>
      </c>
      <c r="I201" s="0" t="n">
        <v>2025</v>
      </c>
      <c r="J201" s="0" t="s">
        <v>981</v>
      </c>
      <c r="K201" s="0" t="s">
        <v>981</v>
      </c>
      <c r="M201" s="0" t="n">
        <v>2025</v>
      </c>
      <c r="N201" s="0" t="s">
        <v>981</v>
      </c>
      <c r="O201" s="0" t="s">
        <v>981</v>
      </c>
    </row>
    <row r="202" customFormat="false" ht="15" hidden="false" customHeight="false" outlineLevel="0" collapsed="false">
      <c r="A202" s="0" t="n">
        <v>2025</v>
      </c>
      <c r="B202" s="0" t="s">
        <v>981</v>
      </c>
      <c r="C202" s="0" t="s">
        <v>981</v>
      </c>
      <c r="E202" s="0" t="n">
        <v>2025</v>
      </c>
      <c r="F202" s="0" t="s">
        <v>981</v>
      </c>
      <c r="G202" s="0" t="s">
        <v>981</v>
      </c>
      <c r="I202" s="0" t="n">
        <v>2025</v>
      </c>
      <c r="J202" s="0" t="s">
        <v>981</v>
      </c>
      <c r="K202" s="0" t="s">
        <v>981</v>
      </c>
      <c r="M202" s="0" t="n">
        <v>2025</v>
      </c>
      <c r="N202" s="0" t="s">
        <v>981</v>
      </c>
      <c r="O202" s="0" t="s">
        <v>981</v>
      </c>
    </row>
    <row r="203" customFormat="false" ht="15" hidden="false" customHeight="false" outlineLevel="0" collapsed="false">
      <c r="A203" s="0" t="n">
        <v>2025</v>
      </c>
      <c r="B203" s="0" t="s">
        <v>981</v>
      </c>
      <c r="C203" s="0" t="s">
        <v>981</v>
      </c>
      <c r="E203" s="0" t="n">
        <v>2025</v>
      </c>
      <c r="F203" s="0" t="s">
        <v>981</v>
      </c>
      <c r="G203" s="0" t="s">
        <v>981</v>
      </c>
      <c r="I203" s="0" t="n">
        <v>2025</v>
      </c>
      <c r="J203" s="0" t="s">
        <v>981</v>
      </c>
      <c r="K203" s="0" t="s">
        <v>981</v>
      </c>
      <c r="M203" s="0" t="n">
        <v>2025</v>
      </c>
      <c r="N203" s="0" t="s">
        <v>981</v>
      </c>
      <c r="O203" s="0" t="s">
        <v>981</v>
      </c>
    </row>
    <row r="204" customFormat="false" ht="15" hidden="false" customHeight="false" outlineLevel="0" collapsed="false">
      <c r="A204" s="0" t="n">
        <v>2025</v>
      </c>
      <c r="B204" s="0" t="s">
        <v>981</v>
      </c>
      <c r="C204" s="0" t="s">
        <v>981</v>
      </c>
      <c r="E204" s="0" t="n">
        <v>2025</v>
      </c>
      <c r="F204" s="0" t="s">
        <v>981</v>
      </c>
      <c r="G204" s="0" t="s">
        <v>981</v>
      </c>
      <c r="I204" s="0" t="n">
        <v>2025</v>
      </c>
      <c r="J204" s="0" t="s">
        <v>981</v>
      </c>
      <c r="K204" s="0" t="s">
        <v>981</v>
      </c>
      <c r="M204" s="0" t="n">
        <v>2025</v>
      </c>
      <c r="N204" s="0" t="s">
        <v>981</v>
      </c>
      <c r="O204" s="0" t="s">
        <v>981</v>
      </c>
    </row>
    <row r="205" customFormat="false" ht="15" hidden="false" customHeight="false" outlineLevel="0" collapsed="false">
      <c r="A205" s="0" t="n">
        <v>2025</v>
      </c>
      <c r="B205" s="0" t="s">
        <v>981</v>
      </c>
      <c r="C205" s="0" t="s">
        <v>981</v>
      </c>
      <c r="E205" s="0" t="n">
        <v>2025</v>
      </c>
      <c r="F205" s="0" t="s">
        <v>981</v>
      </c>
      <c r="G205" s="0" t="s">
        <v>981</v>
      </c>
      <c r="I205" s="0" t="n">
        <v>2025</v>
      </c>
      <c r="J205" s="0" t="s">
        <v>981</v>
      </c>
      <c r="K205" s="0" t="s">
        <v>981</v>
      </c>
      <c r="M205" s="0" t="n">
        <v>2025</v>
      </c>
      <c r="N205" s="0" t="s">
        <v>981</v>
      </c>
      <c r="O205" s="0" t="s">
        <v>981</v>
      </c>
    </row>
    <row r="206" customFormat="false" ht="15" hidden="false" customHeight="false" outlineLevel="0" collapsed="false">
      <c r="A206" s="0" t="n">
        <v>2025</v>
      </c>
      <c r="B206" s="0" t="s">
        <v>981</v>
      </c>
      <c r="C206" s="0" t="s">
        <v>981</v>
      </c>
      <c r="E206" s="0" t="n">
        <v>2025</v>
      </c>
      <c r="F206" s="0" t="s">
        <v>981</v>
      </c>
      <c r="G206" s="0" t="s">
        <v>981</v>
      </c>
      <c r="I206" s="0" t="n">
        <v>2025</v>
      </c>
      <c r="J206" s="0" t="s">
        <v>981</v>
      </c>
      <c r="K206" s="0" t="s">
        <v>981</v>
      </c>
      <c r="M206" s="0" t="n">
        <v>2025</v>
      </c>
      <c r="N206" s="0" t="s">
        <v>981</v>
      </c>
      <c r="O206" s="0" t="s">
        <v>981</v>
      </c>
    </row>
    <row r="207" customFormat="false" ht="15" hidden="false" customHeight="false" outlineLevel="0" collapsed="false">
      <c r="A207" s="0" t="n">
        <v>2025</v>
      </c>
      <c r="B207" s="0" t="s">
        <v>981</v>
      </c>
      <c r="C207" s="0" t="s">
        <v>981</v>
      </c>
      <c r="E207" s="0" t="n">
        <v>2025</v>
      </c>
      <c r="F207" s="0" t="s">
        <v>981</v>
      </c>
      <c r="G207" s="0" t="s">
        <v>981</v>
      </c>
      <c r="I207" s="0" t="n">
        <v>2025</v>
      </c>
      <c r="J207" s="0" t="s">
        <v>981</v>
      </c>
      <c r="K207" s="0" t="s">
        <v>981</v>
      </c>
      <c r="M207" s="0" t="n">
        <v>2025</v>
      </c>
      <c r="N207" s="0" t="s">
        <v>981</v>
      </c>
      <c r="O207" s="0" t="s">
        <v>981</v>
      </c>
    </row>
    <row r="208" customFormat="false" ht="15" hidden="false" customHeight="false" outlineLevel="0" collapsed="false">
      <c r="A208" s="0" t="n">
        <v>2025</v>
      </c>
      <c r="B208" s="0" t="s">
        <v>981</v>
      </c>
      <c r="C208" s="0" t="s">
        <v>981</v>
      </c>
      <c r="E208" s="0" t="n">
        <v>2025</v>
      </c>
      <c r="F208" s="0" t="s">
        <v>981</v>
      </c>
      <c r="G208" s="0" t="s">
        <v>981</v>
      </c>
      <c r="I208" s="0" t="n">
        <v>2025</v>
      </c>
      <c r="J208" s="0" t="s">
        <v>981</v>
      </c>
      <c r="K208" s="0" t="s">
        <v>981</v>
      </c>
      <c r="M208" s="0" t="n">
        <v>2025</v>
      </c>
      <c r="N208" s="0" t="s">
        <v>981</v>
      </c>
      <c r="O208" s="0" t="s">
        <v>981</v>
      </c>
    </row>
    <row r="209" customFormat="false" ht="15" hidden="false" customHeight="false" outlineLevel="0" collapsed="false">
      <c r="A209" s="0" t="n">
        <v>2025</v>
      </c>
      <c r="B209" s="0" t="s">
        <v>981</v>
      </c>
      <c r="C209" s="0" t="s">
        <v>981</v>
      </c>
      <c r="E209" s="0" t="n">
        <v>2025</v>
      </c>
      <c r="F209" s="0" t="s">
        <v>981</v>
      </c>
      <c r="G209" s="0" t="s">
        <v>981</v>
      </c>
      <c r="I209" s="0" t="n">
        <v>2025</v>
      </c>
      <c r="J209" s="0" t="s">
        <v>981</v>
      </c>
      <c r="K209" s="0" t="s">
        <v>981</v>
      </c>
      <c r="M209" s="0" t="n">
        <v>2025</v>
      </c>
      <c r="N209" s="0" t="s">
        <v>981</v>
      </c>
      <c r="O209" s="0" t="s">
        <v>981</v>
      </c>
    </row>
    <row r="210" customFormat="false" ht="15" hidden="false" customHeight="false" outlineLevel="0" collapsed="false">
      <c r="A210" s="0" t="n">
        <v>2025</v>
      </c>
      <c r="B210" s="0" t="s">
        <v>981</v>
      </c>
      <c r="C210" s="0" t="s">
        <v>981</v>
      </c>
      <c r="E210" s="0" t="n">
        <v>2025</v>
      </c>
      <c r="F210" s="0" t="s">
        <v>981</v>
      </c>
      <c r="G210" s="0" t="s">
        <v>981</v>
      </c>
      <c r="I210" s="0" t="n">
        <v>2025</v>
      </c>
      <c r="J210" s="0" t="s">
        <v>981</v>
      </c>
      <c r="K210" s="0" t="s">
        <v>981</v>
      </c>
      <c r="M210" s="0" t="n">
        <v>2025</v>
      </c>
      <c r="N210" s="0" t="s">
        <v>981</v>
      </c>
      <c r="O210" s="0" t="s">
        <v>981</v>
      </c>
    </row>
    <row r="211" customFormat="false" ht="15" hidden="false" customHeight="false" outlineLevel="0" collapsed="false">
      <c r="A211" s="0" t="n">
        <v>2025</v>
      </c>
      <c r="B211" s="0" t="s">
        <v>981</v>
      </c>
      <c r="C211" s="0" t="s">
        <v>981</v>
      </c>
      <c r="E211" s="0" t="n">
        <v>2025</v>
      </c>
      <c r="F211" s="0" t="s">
        <v>981</v>
      </c>
      <c r="G211" s="0" t="s">
        <v>981</v>
      </c>
      <c r="I211" s="0" t="n">
        <v>2025</v>
      </c>
      <c r="J211" s="0" t="s">
        <v>981</v>
      </c>
      <c r="K211" s="0" t="s">
        <v>981</v>
      </c>
      <c r="M211" s="0" t="n">
        <v>2025</v>
      </c>
      <c r="N211" s="0" t="s">
        <v>981</v>
      </c>
      <c r="O211" s="0" t="s">
        <v>981</v>
      </c>
    </row>
    <row r="212" customFormat="false" ht="15" hidden="false" customHeight="false" outlineLevel="0" collapsed="false">
      <c r="A212" s="0" t="n">
        <v>2025</v>
      </c>
      <c r="B212" s="0" t="s">
        <v>981</v>
      </c>
      <c r="C212" s="0" t="s">
        <v>981</v>
      </c>
      <c r="E212" s="0" t="n">
        <v>2025</v>
      </c>
      <c r="F212" s="0" t="s">
        <v>981</v>
      </c>
      <c r="G212" s="0" t="s">
        <v>981</v>
      </c>
      <c r="I212" s="0" t="n">
        <v>2025</v>
      </c>
      <c r="J212" s="0" t="s">
        <v>981</v>
      </c>
      <c r="K212" s="0" t="s">
        <v>981</v>
      </c>
      <c r="M212" s="0" t="n">
        <v>2025</v>
      </c>
      <c r="N212" s="0" t="s">
        <v>981</v>
      </c>
      <c r="O212" s="0" t="s">
        <v>981</v>
      </c>
    </row>
    <row r="213" customFormat="false" ht="15" hidden="false" customHeight="false" outlineLevel="0" collapsed="false">
      <c r="A213" s="0" t="n">
        <v>2025</v>
      </c>
      <c r="B213" s="0" t="s">
        <v>981</v>
      </c>
      <c r="C213" s="0" t="s">
        <v>981</v>
      </c>
      <c r="E213" s="0" t="n">
        <v>2025</v>
      </c>
      <c r="F213" s="0" t="s">
        <v>981</v>
      </c>
      <c r="G213" s="0" t="s">
        <v>981</v>
      </c>
      <c r="I213" s="0" t="n">
        <v>2025</v>
      </c>
      <c r="J213" s="0" t="s">
        <v>981</v>
      </c>
      <c r="K213" s="0" t="s">
        <v>981</v>
      </c>
      <c r="M213" s="0" t="n">
        <v>2025</v>
      </c>
      <c r="N213" s="0" t="s">
        <v>981</v>
      </c>
      <c r="O213" s="0" t="s">
        <v>981</v>
      </c>
    </row>
    <row r="214" customFormat="false" ht="15" hidden="false" customHeight="false" outlineLevel="0" collapsed="false">
      <c r="A214" s="0" t="n">
        <v>2025</v>
      </c>
      <c r="B214" s="0" t="s">
        <v>981</v>
      </c>
      <c r="C214" s="0" t="s">
        <v>981</v>
      </c>
      <c r="E214" s="0" t="n">
        <v>2025</v>
      </c>
      <c r="F214" s="0" t="s">
        <v>981</v>
      </c>
      <c r="G214" s="0" t="s">
        <v>981</v>
      </c>
      <c r="I214" s="0" t="n">
        <v>2025</v>
      </c>
      <c r="J214" s="0" t="s">
        <v>981</v>
      </c>
      <c r="K214" s="0" t="s">
        <v>981</v>
      </c>
      <c r="M214" s="0" t="n">
        <v>2025</v>
      </c>
      <c r="N214" s="0" t="s">
        <v>981</v>
      </c>
      <c r="O214" s="0" t="s">
        <v>981</v>
      </c>
    </row>
    <row r="215" customFormat="false" ht="15" hidden="false" customHeight="false" outlineLevel="0" collapsed="false">
      <c r="A215" s="0" t="n">
        <v>2025</v>
      </c>
      <c r="B215" s="0" t="s">
        <v>981</v>
      </c>
      <c r="C215" s="0" t="s">
        <v>981</v>
      </c>
      <c r="E215" s="0" t="n">
        <v>2025</v>
      </c>
      <c r="F215" s="0" t="s">
        <v>981</v>
      </c>
      <c r="G215" s="0" t="s">
        <v>981</v>
      </c>
      <c r="I215" s="0" t="n">
        <v>2025</v>
      </c>
      <c r="J215" s="0" t="s">
        <v>981</v>
      </c>
      <c r="K215" s="0" t="s">
        <v>981</v>
      </c>
      <c r="M215" s="0" t="n">
        <v>2025</v>
      </c>
      <c r="N215" s="0" t="s">
        <v>981</v>
      </c>
      <c r="O215" s="0" t="s">
        <v>981</v>
      </c>
    </row>
    <row r="216" customFormat="false" ht="15" hidden="false" customHeight="false" outlineLevel="0" collapsed="false">
      <c r="A216" s="0" t="n">
        <v>2025</v>
      </c>
      <c r="B216" s="0" t="s">
        <v>981</v>
      </c>
      <c r="C216" s="0" t="s">
        <v>981</v>
      </c>
      <c r="E216" s="0" t="n">
        <v>2025</v>
      </c>
      <c r="F216" s="0" t="s">
        <v>981</v>
      </c>
      <c r="G216" s="0" t="s">
        <v>981</v>
      </c>
      <c r="I216" s="0" t="n">
        <v>2025</v>
      </c>
      <c r="J216" s="0" t="s">
        <v>981</v>
      </c>
      <c r="K216" s="0" t="s">
        <v>981</v>
      </c>
      <c r="M216" s="0" t="n">
        <v>2025</v>
      </c>
      <c r="N216" s="0" t="s">
        <v>981</v>
      </c>
      <c r="O216" s="0" t="s">
        <v>981</v>
      </c>
    </row>
    <row r="217" customFormat="false" ht="15" hidden="false" customHeight="false" outlineLevel="0" collapsed="false">
      <c r="A217" s="0" t="n">
        <v>2025</v>
      </c>
      <c r="B217" s="0" t="s">
        <v>981</v>
      </c>
      <c r="C217" s="0" t="s">
        <v>981</v>
      </c>
      <c r="E217" s="0" t="n">
        <v>2025</v>
      </c>
      <c r="F217" s="0" t="s">
        <v>981</v>
      </c>
      <c r="G217" s="0" t="s">
        <v>981</v>
      </c>
      <c r="I217" s="0" t="n">
        <v>2025</v>
      </c>
      <c r="J217" s="0" t="s">
        <v>981</v>
      </c>
      <c r="K217" s="0" t="s">
        <v>981</v>
      </c>
      <c r="M217" s="0" t="n">
        <v>2025</v>
      </c>
      <c r="N217" s="0" t="s">
        <v>981</v>
      </c>
      <c r="O217" s="0" t="s">
        <v>981</v>
      </c>
    </row>
    <row r="218" customFormat="false" ht="15" hidden="false" customHeight="false" outlineLevel="0" collapsed="false">
      <c r="A218" s="0" t="n">
        <v>2025</v>
      </c>
      <c r="B218" s="0" t="s">
        <v>981</v>
      </c>
      <c r="C218" s="0" t="s">
        <v>981</v>
      </c>
      <c r="E218" s="0" t="n">
        <v>2025</v>
      </c>
      <c r="F218" s="0" t="s">
        <v>981</v>
      </c>
      <c r="G218" s="0" t="s">
        <v>981</v>
      </c>
      <c r="I218" s="0" t="n">
        <v>2025</v>
      </c>
      <c r="J218" s="0" t="s">
        <v>981</v>
      </c>
      <c r="K218" s="0" t="s">
        <v>981</v>
      </c>
      <c r="M218" s="0" t="n">
        <v>2025</v>
      </c>
      <c r="N218" s="0" t="s">
        <v>981</v>
      </c>
      <c r="O218" s="0" t="s">
        <v>981</v>
      </c>
    </row>
    <row r="219" customFormat="false" ht="15" hidden="false" customHeight="false" outlineLevel="0" collapsed="false">
      <c r="A219" s="0" t="n">
        <v>2025</v>
      </c>
      <c r="B219" s="0" t="s">
        <v>981</v>
      </c>
      <c r="C219" s="0" t="s">
        <v>981</v>
      </c>
      <c r="E219" s="0" t="n">
        <v>2025</v>
      </c>
      <c r="F219" s="0" t="s">
        <v>981</v>
      </c>
      <c r="G219" s="0" t="s">
        <v>981</v>
      </c>
      <c r="I219" s="0" t="n">
        <v>2025</v>
      </c>
      <c r="J219" s="0" t="s">
        <v>981</v>
      </c>
      <c r="K219" s="0" t="s">
        <v>981</v>
      </c>
      <c r="M219" s="0" t="n">
        <v>2025</v>
      </c>
      <c r="N219" s="0" t="s">
        <v>981</v>
      </c>
      <c r="O219" s="0" t="s">
        <v>981</v>
      </c>
    </row>
    <row r="220" customFormat="false" ht="15" hidden="false" customHeight="false" outlineLevel="0" collapsed="false">
      <c r="A220" s="0" t="n">
        <v>2025</v>
      </c>
      <c r="B220" s="0" t="s">
        <v>981</v>
      </c>
      <c r="C220" s="0" t="s">
        <v>981</v>
      </c>
      <c r="E220" s="0" t="n">
        <v>2025</v>
      </c>
      <c r="F220" s="0" t="s">
        <v>981</v>
      </c>
      <c r="G220" s="0" t="s">
        <v>981</v>
      </c>
      <c r="I220" s="0" t="n">
        <v>2025</v>
      </c>
      <c r="J220" s="0" t="s">
        <v>981</v>
      </c>
      <c r="K220" s="0" t="s">
        <v>981</v>
      </c>
      <c r="M220" s="0" t="n">
        <v>2025</v>
      </c>
      <c r="N220" s="0" t="s">
        <v>981</v>
      </c>
      <c r="O220" s="0" t="s">
        <v>981</v>
      </c>
    </row>
    <row r="221" customFormat="false" ht="15" hidden="false" customHeight="false" outlineLevel="0" collapsed="false">
      <c r="A221" s="0" t="n">
        <v>2025</v>
      </c>
      <c r="B221" s="0" t="s">
        <v>981</v>
      </c>
      <c r="C221" s="0" t="s">
        <v>981</v>
      </c>
      <c r="E221" s="0" t="n">
        <v>2025</v>
      </c>
      <c r="F221" s="0" t="s">
        <v>981</v>
      </c>
      <c r="G221" s="0" t="s">
        <v>981</v>
      </c>
      <c r="I221" s="0" t="n">
        <v>2025</v>
      </c>
      <c r="J221" s="0" t="s">
        <v>981</v>
      </c>
      <c r="K221" s="0" t="s">
        <v>981</v>
      </c>
      <c r="M221" s="0" t="n">
        <v>2025</v>
      </c>
      <c r="N221" s="0" t="s">
        <v>981</v>
      </c>
      <c r="O221" s="0" t="s">
        <v>981</v>
      </c>
    </row>
    <row r="222" customFormat="false" ht="15" hidden="false" customHeight="false" outlineLevel="0" collapsed="false">
      <c r="A222" s="0" t="n">
        <v>2025</v>
      </c>
      <c r="B222" s="0" t="s">
        <v>981</v>
      </c>
      <c r="C222" s="0" t="s">
        <v>981</v>
      </c>
      <c r="E222" s="0" t="n">
        <v>2025</v>
      </c>
      <c r="F222" s="0" t="s">
        <v>981</v>
      </c>
      <c r="G222" s="0" t="s">
        <v>981</v>
      </c>
      <c r="I222" s="0" t="n">
        <v>2025</v>
      </c>
      <c r="J222" s="0" t="s">
        <v>981</v>
      </c>
      <c r="K222" s="0" t="s">
        <v>981</v>
      </c>
      <c r="M222" s="0" t="n">
        <v>2025</v>
      </c>
      <c r="N222" s="0" t="s">
        <v>981</v>
      </c>
      <c r="O222" s="0" t="s">
        <v>981</v>
      </c>
    </row>
    <row r="223" customFormat="false" ht="15" hidden="false" customHeight="false" outlineLevel="0" collapsed="false">
      <c r="A223" s="0" t="n">
        <v>2025</v>
      </c>
      <c r="B223" s="0" t="s">
        <v>981</v>
      </c>
      <c r="C223" s="0" t="s">
        <v>981</v>
      </c>
      <c r="E223" s="0" t="n">
        <v>2025</v>
      </c>
      <c r="F223" s="0" t="s">
        <v>981</v>
      </c>
      <c r="G223" s="0" t="s">
        <v>981</v>
      </c>
      <c r="I223" s="0" t="n">
        <v>2025</v>
      </c>
      <c r="J223" s="0" t="s">
        <v>981</v>
      </c>
      <c r="K223" s="0" t="s">
        <v>981</v>
      </c>
      <c r="M223" s="0" t="n">
        <v>2025</v>
      </c>
      <c r="N223" s="0" t="s">
        <v>981</v>
      </c>
      <c r="O223" s="0" t="s">
        <v>981</v>
      </c>
    </row>
    <row r="224" customFormat="false" ht="15" hidden="false" customHeight="false" outlineLevel="0" collapsed="false">
      <c r="A224" s="0" t="n">
        <v>2025</v>
      </c>
      <c r="B224" s="0" t="s">
        <v>981</v>
      </c>
      <c r="C224" s="0" t="s">
        <v>981</v>
      </c>
      <c r="E224" s="0" t="n">
        <v>2025</v>
      </c>
      <c r="F224" s="0" t="s">
        <v>981</v>
      </c>
      <c r="G224" s="0" t="s">
        <v>981</v>
      </c>
      <c r="I224" s="0" t="n">
        <v>2025</v>
      </c>
      <c r="J224" s="0" t="s">
        <v>981</v>
      </c>
      <c r="K224" s="0" t="s">
        <v>981</v>
      </c>
      <c r="M224" s="0" t="n">
        <v>2025</v>
      </c>
      <c r="N224" s="0" t="s">
        <v>981</v>
      </c>
      <c r="O224" s="0" t="s">
        <v>981</v>
      </c>
    </row>
    <row r="225" customFormat="false" ht="15" hidden="false" customHeight="false" outlineLevel="0" collapsed="false">
      <c r="A225" s="0" t="n">
        <v>2025</v>
      </c>
      <c r="B225" s="0" t="s">
        <v>981</v>
      </c>
      <c r="C225" s="0" t="s">
        <v>981</v>
      </c>
      <c r="E225" s="0" t="n">
        <v>2025</v>
      </c>
      <c r="F225" s="0" t="s">
        <v>981</v>
      </c>
      <c r="G225" s="0" t="s">
        <v>981</v>
      </c>
      <c r="I225" s="0" t="n">
        <v>2025</v>
      </c>
      <c r="J225" s="0" t="s">
        <v>981</v>
      </c>
      <c r="K225" s="0" t="s">
        <v>981</v>
      </c>
      <c r="M225" s="0" t="n">
        <v>2025</v>
      </c>
      <c r="N225" s="0" t="s">
        <v>981</v>
      </c>
      <c r="O225" s="0" t="s">
        <v>981</v>
      </c>
    </row>
    <row r="226" customFormat="false" ht="15" hidden="false" customHeight="false" outlineLevel="0" collapsed="false">
      <c r="A226" s="0" t="n">
        <v>2025</v>
      </c>
      <c r="B226" s="0" t="s">
        <v>981</v>
      </c>
      <c r="C226" s="0" t="s">
        <v>981</v>
      </c>
      <c r="E226" s="0" t="n">
        <v>2025</v>
      </c>
      <c r="F226" s="0" t="s">
        <v>981</v>
      </c>
      <c r="G226" s="0" t="s">
        <v>981</v>
      </c>
      <c r="I226" s="0" t="n">
        <v>2025</v>
      </c>
      <c r="J226" s="0" t="s">
        <v>981</v>
      </c>
      <c r="K226" s="0" t="s">
        <v>981</v>
      </c>
      <c r="M226" s="0" t="n">
        <v>2025</v>
      </c>
      <c r="N226" s="0" t="s">
        <v>981</v>
      </c>
      <c r="O226" s="0" t="s">
        <v>981</v>
      </c>
    </row>
    <row r="227" customFormat="false" ht="15" hidden="false" customHeight="false" outlineLevel="0" collapsed="false">
      <c r="A227" s="0" t="n">
        <v>2025</v>
      </c>
      <c r="B227" s="0" t="s">
        <v>981</v>
      </c>
      <c r="C227" s="0" t="s">
        <v>981</v>
      </c>
      <c r="E227" s="0" t="n">
        <v>2025</v>
      </c>
      <c r="F227" s="0" t="s">
        <v>981</v>
      </c>
      <c r="G227" s="0" t="s">
        <v>981</v>
      </c>
      <c r="I227" s="0" t="n">
        <v>2025</v>
      </c>
      <c r="J227" s="0" t="s">
        <v>981</v>
      </c>
      <c r="K227" s="0" t="s">
        <v>981</v>
      </c>
      <c r="M227" s="0" t="n">
        <v>2025</v>
      </c>
      <c r="N227" s="0" t="s">
        <v>981</v>
      </c>
      <c r="O227" s="0" t="s">
        <v>981</v>
      </c>
    </row>
    <row r="228" customFormat="false" ht="15" hidden="false" customHeight="false" outlineLevel="0" collapsed="false">
      <c r="A228" s="0" t="n">
        <v>2025</v>
      </c>
      <c r="B228" s="0" t="s">
        <v>981</v>
      </c>
      <c r="C228" s="0" t="s">
        <v>981</v>
      </c>
      <c r="E228" s="0" t="n">
        <v>2025</v>
      </c>
      <c r="F228" s="0" t="s">
        <v>981</v>
      </c>
      <c r="G228" s="0" t="s">
        <v>981</v>
      </c>
      <c r="I228" s="0" t="n">
        <v>2025</v>
      </c>
      <c r="J228" s="0" t="s">
        <v>981</v>
      </c>
      <c r="K228" s="0" t="s">
        <v>981</v>
      </c>
      <c r="M228" s="0" t="n">
        <v>2025</v>
      </c>
      <c r="N228" s="0" t="s">
        <v>981</v>
      </c>
      <c r="O228" s="0" t="s">
        <v>981</v>
      </c>
    </row>
    <row r="229" customFormat="false" ht="15" hidden="false" customHeight="false" outlineLevel="0" collapsed="false">
      <c r="A229" s="0" t="n">
        <v>2025</v>
      </c>
      <c r="B229" s="0" t="s">
        <v>981</v>
      </c>
      <c r="C229" s="0" t="s">
        <v>981</v>
      </c>
      <c r="E229" s="0" t="n">
        <v>2025</v>
      </c>
      <c r="F229" s="0" t="s">
        <v>981</v>
      </c>
      <c r="G229" s="0" t="s">
        <v>981</v>
      </c>
      <c r="I229" s="0" t="n">
        <v>2025</v>
      </c>
      <c r="J229" s="0" t="s">
        <v>981</v>
      </c>
      <c r="K229" s="0" t="s">
        <v>981</v>
      </c>
      <c r="M229" s="0" t="n">
        <v>2025</v>
      </c>
      <c r="N229" s="0" t="s">
        <v>981</v>
      </c>
      <c r="O229" s="0" t="s">
        <v>981</v>
      </c>
    </row>
    <row r="230" customFormat="false" ht="15" hidden="false" customHeight="false" outlineLevel="0" collapsed="false">
      <c r="A230" s="0" t="n">
        <v>2025</v>
      </c>
      <c r="B230" s="0" t="s">
        <v>981</v>
      </c>
      <c r="C230" s="0" t="s">
        <v>981</v>
      </c>
      <c r="E230" s="0" t="n">
        <v>2025</v>
      </c>
      <c r="F230" s="0" t="s">
        <v>981</v>
      </c>
      <c r="G230" s="0" t="s">
        <v>981</v>
      </c>
      <c r="I230" s="0" t="n">
        <v>2025</v>
      </c>
      <c r="J230" s="0" t="s">
        <v>981</v>
      </c>
      <c r="K230" s="0" t="s">
        <v>981</v>
      </c>
      <c r="M230" s="0" t="n">
        <v>2025</v>
      </c>
      <c r="N230" s="0" t="s">
        <v>981</v>
      </c>
      <c r="O230" s="0" t="s">
        <v>981</v>
      </c>
    </row>
    <row r="231" customFormat="false" ht="15" hidden="false" customHeight="false" outlineLevel="0" collapsed="false">
      <c r="A231" s="0" t="n">
        <v>2025</v>
      </c>
      <c r="B231" s="0" t="s">
        <v>981</v>
      </c>
      <c r="C231" s="0" t="s">
        <v>981</v>
      </c>
      <c r="E231" s="0" t="n">
        <v>2025</v>
      </c>
      <c r="F231" s="0" t="s">
        <v>981</v>
      </c>
      <c r="G231" s="0" t="s">
        <v>981</v>
      </c>
      <c r="I231" s="0" t="n">
        <v>2025</v>
      </c>
      <c r="J231" s="0" t="s">
        <v>981</v>
      </c>
      <c r="K231" s="0" t="s">
        <v>981</v>
      </c>
      <c r="M231" s="0" t="n">
        <v>2025</v>
      </c>
      <c r="N231" s="0" t="s">
        <v>981</v>
      </c>
      <c r="O231" s="0" t="s">
        <v>981</v>
      </c>
    </row>
    <row r="232" customFormat="false" ht="15" hidden="false" customHeight="false" outlineLevel="0" collapsed="false">
      <c r="A232" s="0" t="n">
        <v>2025</v>
      </c>
      <c r="B232" s="0" t="s">
        <v>981</v>
      </c>
      <c r="C232" s="0" t="s">
        <v>981</v>
      </c>
      <c r="E232" s="0" t="n">
        <v>2025</v>
      </c>
      <c r="F232" s="0" t="s">
        <v>981</v>
      </c>
      <c r="G232" s="0" t="s">
        <v>981</v>
      </c>
      <c r="I232" s="0" t="n">
        <v>2025</v>
      </c>
      <c r="J232" s="0" t="s">
        <v>981</v>
      </c>
      <c r="K232" s="0" t="s">
        <v>981</v>
      </c>
      <c r="M232" s="0" t="n">
        <v>2025</v>
      </c>
      <c r="N232" s="0" t="s">
        <v>981</v>
      </c>
      <c r="O232" s="0" t="s">
        <v>981</v>
      </c>
    </row>
    <row r="233" customFormat="false" ht="15" hidden="false" customHeight="false" outlineLevel="0" collapsed="false">
      <c r="A233" s="0" t="n">
        <v>2025</v>
      </c>
      <c r="B233" s="0" t="s">
        <v>981</v>
      </c>
      <c r="C233" s="0" t="s">
        <v>981</v>
      </c>
      <c r="E233" s="0" t="n">
        <v>2025</v>
      </c>
      <c r="F233" s="0" t="s">
        <v>981</v>
      </c>
      <c r="G233" s="0" t="s">
        <v>981</v>
      </c>
      <c r="I233" s="0" t="n">
        <v>2025</v>
      </c>
      <c r="J233" s="0" t="s">
        <v>981</v>
      </c>
      <c r="K233" s="0" t="s">
        <v>981</v>
      </c>
      <c r="M233" s="0" t="n">
        <v>2025</v>
      </c>
      <c r="N233" s="0" t="s">
        <v>981</v>
      </c>
      <c r="O233" s="0" t="s">
        <v>981</v>
      </c>
    </row>
    <row r="234" customFormat="false" ht="15" hidden="false" customHeight="false" outlineLevel="0" collapsed="false">
      <c r="A234" s="0" t="n">
        <v>2025</v>
      </c>
      <c r="B234" s="0" t="s">
        <v>981</v>
      </c>
      <c r="C234" s="0" t="s">
        <v>981</v>
      </c>
      <c r="E234" s="0" t="n">
        <v>2025</v>
      </c>
      <c r="F234" s="0" t="s">
        <v>981</v>
      </c>
      <c r="G234" s="0" t="s">
        <v>981</v>
      </c>
      <c r="I234" s="0" t="n">
        <v>2025</v>
      </c>
      <c r="J234" s="0" t="s">
        <v>981</v>
      </c>
      <c r="K234" s="0" t="s">
        <v>981</v>
      </c>
      <c r="M234" s="0" t="n">
        <v>2025</v>
      </c>
      <c r="N234" s="0" t="s">
        <v>981</v>
      </c>
      <c r="O234" s="0" t="s">
        <v>981</v>
      </c>
    </row>
    <row r="235" customFormat="false" ht="15" hidden="false" customHeight="false" outlineLevel="0" collapsed="false">
      <c r="A235" s="0" t="n">
        <v>2025</v>
      </c>
      <c r="B235" s="0" t="s">
        <v>981</v>
      </c>
      <c r="C235" s="0" t="s">
        <v>981</v>
      </c>
      <c r="E235" s="0" t="n">
        <v>2025</v>
      </c>
      <c r="F235" s="0" t="s">
        <v>981</v>
      </c>
      <c r="G235" s="0" t="s">
        <v>981</v>
      </c>
      <c r="I235" s="0" t="n">
        <v>2025</v>
      </c>
      <c r="J235" s="0" t="s">
        <v>981</v>
      </c>
      <c r="K235" s="0" t="s">
        <v>981</v>
      </c>
      <c r="M235" s="0" t="n">
        <v>2025</v>
      </c>
      <c r="N235" s="0" t="s">
        <v>981</v>
      </c>
      <c r="O235" s="0" t="s">
        <v>981</v>
      </c>
    </row>
    <row r="236" customFormat="false" ht="15" hidden="false" customHeight="false" outlineLevel="0" collapsed="false">
      <c r="A236" s="0" t="n">
        <v>2025</v>
      </c>
      <c r="B236" s="0" t="s">
        <v>981</v>
      </c>
      <c r="C236" s="0" t="s">
        <v>981</v>
      </c>
      <c r="E236" s="0" t="n">
        <v>2025</v>
      </c>
      <c r="F236" s="0" t="s">
        <v>981</v>
      </c>
      <c r="G236" s="0" t="s">
        <v>981</v>
      </c>
      <c r="I236" s="0" t="n">
        <v>2025</v>
      </c>
      <c r="J236" s="0" t="s">
        <v>981</v>
      </c>
      <c r="K236" s="0" t="s">
        <v>981</v>
      </c>
      <c r="M236" s="0" t="n">
        <v>2025</v>
      </c>
      <c r="N236" s="0" t="s">
        <v>981</v>
      </c>
      <c r="O236" s="0" t="s">
        <v>981</v>
      </c>
    </row>
    <row r="237" customFormat="false" ht="15" hidden="false" customHeight="false" outlineLevel="0" collapsed="false">
      <c r="A237" s="0" t="n">
        <v>2025</v>
      </c>
      <c r="B237" s="0" t="s">
        <v>981</v>
      </c>
      <c r="C237" s="0" t="s">
        <v>981</v>
      </c>
      <c r="E237" s="0" t="n">
        <v>2025</v>
      </c>
      <c r="F237" s="0" t="s">
        <v>981</v>
      </c>
      <c r="G237" s="0" t="s">
        <v>981</v>
      </c>
      <c r="I237" s="0" t="n">
        <v>2025</v>
      </c>
      <c r="J237" s="0" t="s">
        <v>981</v>
      </c>
      <c r="K237" s="0" t="s">
        <v>981</v>
      </c>
      <c r="M237" s="0" t="n">
        <v>2025</v>
      </c>
      <c r="N237" s="0" t="s">
        <v>981</v>
      </c>
      <c r="O237" s="0" t="s">
        <v>981</v>
      </c>
    </row>
    <row r="238" customFormat="false" ht="15" hidden="false" customHeight="false" outlineLevel="0" collapsed="false">
      <c r="A238" s="0" t="n">
        <v>2025</v>
      </c>
      <c r="B238" s="0" t="s">
        <v>981</v>
      </c>
      <c r="C238" s="0" t="s">
        <v>981</v>
      </c>
      <c r="E238" s="0" t="n">
        <v>2025</v>
      </c>
      <c r="F238" s="0" t="s">
        <v>981</v>
      </c>
      <c r="G238" s="0" t="s">
        <v>981</v>
      </c>
      <c r="I238" s="0" t="n">
        <v>2025</v>
      </c>
      <c r="J238" s="0" t="s">
        <v>981</v>
      </c>
      <c r="K238" s="0" t="s">
        <v>981</v>
      </c>
      <c r="M238" s="0" t="n">
        <v>2025</v>
      </c>
      <c r="N238" s="0" t="s">
        <v>981</v>
      </c>
      <c r="O238" s="0" t="s">
        <v>981</v>
      </c>
    </row>
    <row r="239" customFormat="false" ht="15" hidden="false" customHeight="false" outlineLevel="0" collapsed="false">
      <c r="A239" s="0" t="n">
        <v>2025</v>
      </c>
      <c r="B239" s="0" t="s">
        <v>981</v>
      </c>
      <c r="C239" s="0" t="s">
        <v>981</v>
      </c>
      <c r="E239" s="0" t="n">
        <v>2025</v>
      </c>
      <c r="F239" s="0" t="s">
        <v>981</v>
      </c>
      <c r="G239" s="0" t="s">
        <v>981</v>
      </c>
      <c r="I239" s="0" t="n">
        <v>2025</v>
      </c>
      <c r="J239" s="0" t="s">
        <v>981</v>
      </c>
      <c r="K239" s="0" t="s">
        <v>981</v>
      </c>
      <c r="M239" s="0" t="n">
        <v>2025</v>
      </c>
      <c r="N239" s="0" t="s">
        <v>981</v>
      </c>
      <c r="O239" s="0" t="s">
        <v>981</v>
      </c>
    </row>
    <row r="240" customFormat="false" ht="15" hidden="false" customHeight="false" outlineLevel="0" collapsed="false">
      <c r="A240" s="0" t="n">
        <v>2025</v>
      </c>
      <c r="B240" s="0" t="s">
        <v>981</v>
      </c>
      <c r="C240" s="0" t="s">
        <v>981</v>
      </c>
      <c r="E240" s="0" t="n">
        <v>2025</v>
      </c>
      <c r="F240" s="0" t="s">
        <v>981</v>
      </c>
      <c r="G240" s="0" t="s">
        <v>981</v>
      </c>
      <c r="I240" s="0" t="n">
        <v>2025</v>
      </c>
      <c r="J240" s="0" t="s">
        <v>981</v>
      </c>
      <c r="K240" s="0" t="s">
        <v>981</v>
      </c>
      <c r="M240" s="0" t="n">
        <v>2025</v>
      </c>
      <c r="N240" s="0" t="s">
        <v>981</v>
      </c>
      <c r="O240" s="0" t="s">
        <v>981</v>
      </c>
    </row>
    <row r="241" customFormat="false" ht="15" hidden="false" customHeight="false" outlineLevel="0" collapsed="false">
      <c r="A241" s="0" t="n">
        <v>2025</v>
      </c>
      <c r="B241" s="0" t="s">
        <v>981</v>
      </c>
      <c r="C241" s="0" t="s">
        <v>981</v>
      </c>
      <c r="E241" s="0" t="n">
        <v>2025</v>
      </c>
      <c r="F241" s="0" t="s">
        <v>981</v>
      </c>
      <c r="G241" s="0" t="s">
        <v>981</v>
      </c>
      <c r="I241" s="0" t="n">
        <v>2025</v>
      </c>
      <c r="J241" s="0" t="s">
        <v>981</v>
      </c>
      <c r="K241" s="0" t="s">
        <v>981</v>
      </c>
      <c r="M241" s="0" t="n">
        <v>2025</v>
      </c>
      <c r="N241" s="0" t="s">
        <v>981</v>
      </c>
      <c r="O241" s="0" t="s">
        <v>981</v>
      </c>
    </row>
    <row r="242" customFormat="false" ht="15" hidden="false" customHeight="false" outlineLevel="0" collapsed="false">
      <c r="A242" s="0" t="n">
        <v>2025</v>
      </c>
      <c r="B242" s="0" t="s">
        <v>981</v>
      </c>
      <c r="C242" s="0" t="s">
        <v>981</v>
      </c>
      <c r="E242" s="0" t="n">
        <v>2025</v>
      </c>
      <c r="F242" s="0" t="s">
        <v>981</v>
      </c>
      <c r="G242" s="0" t="s">
        <v>981</v>
      </c>
      <c r="I242" s="0" t="n">
        <v>2025</v>
      </c>
      <c r="J242" s="0" t="s">
        <v>981</v>
      </c>
      <c r="K242" s="0" t="s">
        <v>981</v>
      </c>
      <c r="M242" s="0" t="n">
        <v>2025</v>
      </c>
      <c r="N242" s="0" t="s">
        <v>981</v>
      </c>
      <c r="O242" s="0" t="s">
        <v>981</v>
      </c>
    </row>
    <row r="243" customFormat="false" ht="15" hidden="false" customHeight="false" outlineLevel="0" collapsed="false">
      <c r="A243" s="0" t="n">
        <v>2025</v>
      </c>
      <c r="B243" s="0" t="s">
        <v>981</v>
      </c>
      <c r="C243" s="0" t="s">
        <v>981</v>
      </c>
      <c r="E243" s="0" t="n">
        <v>2025</v>
      </c>
      <c r="F243" s="0" t="s">
        <v>981</v>
      </c>
      <c r="G243" s="0" t="s">
        <v>981</v>
      </c>
      <c r="I243" s="0" t="n">
        <v>2025</v>
      </c>
      <c r="J243" s="0" t="s">
        <v>981</v>
      </c>
      <c r="K243" s="0" t="s">
        <v>981</v>
      </c>
      <c r="M243" s="0" t="n">
        <v>2025</v>
      </c>
      <c r="N243" s="0" t="s">
        <v>981</v>
      </c>
      <c r="O243" s="0" t="s">
        <v>981</v>
      </c>
    </row>
    <row r="244" customFormat="false" ht="15" hidden="false" customHeight="false" outlineLevel="0" collapsed="false">
      <c r="A244" s="0" t="n">
        <v>2025</v>
      </c>
      <c r="B244" s="0" t="s">
        <v>981</v>
      </c>
      <c r="C244" s="0" t="s">
        <v>981</v>
      </c>
      <c r="E244" s="0" t="n">
        <v>2025</v>
      </c>
      <c r="F244" s="0" t="s">
        <v>981</v>
      </c>
      <c r="G244" s="0" t="s">
        <v>981</v>
      </c>
      <c r="I244" s="0" t="n">
        <v>2025</v>
      </c>
      <c r="J244" s="0" t="s">
        <v>981</v>
      </c>
      <c r="K244" s="0" t="s">
        <v>981</v>
      </c>
      <c r="M244" s="0" t="n">
        <v>2025</v>
      </c>
      <c r="N244" s="0" t="s">
        <v>981</v>
      </c>
      <c r="O244" s="0" t="s">
        <v>981</v>
      </c>
    </row>
    <row r="245" customFormat="false" ht="15" hidden="false" customHeight="false" outlineLevel="0" collapsed="false">
      <c r="A245" s="0" t="n">
        <v>2025</v>
      </c>
      <c r="B245" s="0" t="s">
        <v>981</v>
      </c>
      <c r="C245" s="0" t="s">
        <v>981</v>
      </c>
      <c r="E245" s="0" t="n">
        <v>2025</v>
      </c>
      <c r="F245" s="0" t="s">
        <v>981</v>
      </c>
      <c r="G245" s="0" t="s">
        <v>981</v>
      </c>
      <c r="I245" s="0" t="n">
        <v>2025</v>
      </c>
      <c r="J245" s="0" t="s">
        <v>981</v>
      </c>
      <c r="K245" s="0" t="s">
        <v>981</v>
      </c>
      <c r="M245" s="0" t="n">
        <v>2025</v>
      </c>
      <c r="N245" s="0" t="s">
        <v>981</v>
      </c>
      <c r="O245" s="0" t="s">
        <v>981</v>
      </c>
    </row>
    <row r="246" customFormat="false" ht="15" hidden="false" customHeight="false" outlineLevel="0" collapsed="false">
      <c r="A246" s="0" t="n">
        <v>2025</v>
      </c>
      <c r="B246" s="0" t="s">
        <v>981</v>
      </c>
      <c r="C246" s="0" t="s">
        <v>981</v>
      </c>
      <c r="E246" s="0" t="n">
        <v>2025</v>
      </c>
      <c r="F246" s="0" t="s">
        <v>981</v>
      </c>
      <c r="G246" s="0" t="s">
        <v>981</v>
      </c>
      <c r="I246" s="0" t="n">
        <v>2025</v>
      </c>
      <c r="J246" s="0" t="s">
        <v>981</v>
      </c>
      <c r="K246" s="0" t="s">
        <v>981</v>
      </c>
      <c r="M246" s="0" t="n">
        <v>2025</v>
      </c>
      <c r="N246" s="0" t="s">
        <v>981</v>
      </c>
      <c r="O246" s="0" t="s">
        <v>981</v>
      </c>
    </row>
    <row r="247" customFormat="false" ht="15" hidden="false" customHeight="false" outlineLevel="0" collapsed="false">
      <c r="A247" s="0" t="n">
        <v>2025</v>
      </c>
      <c r="B247" s="0" t="s">
        <v>981</v>
      </c>
      <c r="C247" s="0" t="s">
        <v>981</v>
      </c>
      <c r="E247" s="0" t="n">
        <v>2025</v>
      </c>
      <c r="F247" s="0" t="s">
        <v>981</v>
      </c>
      <c r="G247" s="0" t="s">
        <v>981</v>
      </c>
      <c r="I247" s="0" t="n">
        <v>2025</v>
      </c>
      <c r="J247" s="0" t="s">
        <v>981</v>
      </c>
      <c r="K247" s="0" t="s">
        <v>981</v>
      </c>
      <c r="M247" s="0" t="n">
        <v>2025</v>
      </c>
      <c r="N247" s="0" t="s">
        <v>981</v>
      </c>
      <c r="O247" s="0" t="s">
        <v>981</v>
      </c>
    </row>
    <row r="248" customFormat="false" ht="15" hidden="false" customHeight="false" outlineLevel="0" collapsed="false">
      <c r="A248" s="0" t="n">
        <v>2025</v>
      </c>
      <c r="B248" s="0" t="s">
        <v>981</v>
      </c>
      <c r="C248" s="0" t="s">
        <v>981</v>
      </c>
      <c r="E248" s="0" t="n">
        <v>2025</v>
      </c>
      <c r="F248" s="0" t="s">
        <v>981</v>
      </c>
      <c r="G248" s="0" t="s">
        <v>981</v>
      </c>
      <c r="I248" s="0" t="n">
        <v>2025</v>
      </c>
      <c r="J248" s="0" t="s">
        <v>981</v>
      </c>
      <c r="K248" s="0" t="s">
        <v>981</v>
      </c>
      <c r="M248" s="0" t="n">
        <v>2025</v>
      </c>
      <c r="N248" s="0" t="s">
        <v>981</v>
      </c>
      <c r="O248" s="0" t="s">
        <v>981</v>
      </c>
    </row>
    <row r="249" customFormat="false" ht="15" hidden="false" customHeight="false" outlineLevel="0" collapsed="false">
      <c r="A249" s="0" t="n">
        <v>2025</v>
      </c>
      <c r="B249" s="0" t="s">
        <v>981</v>
      </c>
      <c r="C249" s="0" t="s">
        <v>981</v>
      </c>
      <c r="E249" s="0" t="n">
        <v>2025</v>
      </c>
      <c r="F249" s="0" t="s">
        <v>981</v>
      </c>
      <c r="G249" s="0" t="s">
        <v>981</v>
      </c>
      <c r="I249" s="0" t="n">
        <v>2025</v>
      </c>
      <c r="J249" s="0" t="s">
        <v>981</v>
      </c>
      <c r="K249" s="0" t="s">
        <v>981</v>
      </c>
      <c r="M249" s="0" t="n">
        <v>2025</v>
      </c>
      <c r="N249" s="0" t="s">
        <v>981</v>
      </c>
      <c r="O249" s="0" t="s">
        <v>981</v>
      </c>
    </row>
    <row r="250" customFormat="false" ht="15" hidden="false" customHeight="false" outlineLevel="0" collapsed="false">
      <c r="A250" s="0" t="n">
        <v>2025</v>
      </c>
      <c r="B250" s="0" t="s">
        <v>981</v>
      </c>
      <c r="C250" s="0" t="s">
        <v>981</v>
      </c>
      <c r="E250" s="0" t="n">
        <v>2025</v>
      </c>
      <c r="F250" s="0" t="s">
        <v>981</v>
      </c>
      <c r="G250" s="0" t="s">
        <v>981</v>
      </c>
      <c r="I250" s="0" t="n">
        <v>2025</v>
      </c>
      <c r="J250" s="0" t="s">
        <v>981</v>
      </c>
      <c r="K250" s="0" t="s">
        <v>981</v>
      </c>
      <c r="M250" s="0" t="n">
        <v>2025</v>
      </c>
      <c r="N250" s="0" t="s">
        <v>981</v>
      </c>
      <c r="O250" s="0" t="s">
        <v>981</v>
      </c>
    </row>
    <row r="251" customFormat="false" ht="15" hidden="false" customHeight="false" outlineLevel="0" collapsed="false">
      <c r="A251" s="0" t="n">
        <v>2025</v>
      </c>
      <c r="B251" s="0" t="s">
        <v>981</v>
      </c>
      <c r="C251" s="0" t="s">
        <v>981</v>
      </c>
      <c r="E251" s="0" t="n">
        <v>2025</v>
      </c>
      <c r="F251" s="0" t="s">
        <v>981</v>
      </c>
      <c r="G251" s="0" t="s">
        <v>981</v>
      </c>
      <c r="I251" s="0" t="n">
        <v>2025</v>
      </c>
      <c r="J251" s="0" t="s">
        <v>981</v>
      </c>
      <c r="K251" s="0" t="s">
        <v>981</v>
      </c>
      <c r="M251" s="0" t="n">
        <v>2025</v>
      </c>
      <c r="N251" s="0" t="s">
        <v>981</v>
      </c>
      <c r="O251" s="0" t="s">
        <v>981</v>
      </c>
    </row>
    <row r="252" customFormat="false" ht="15" hidden="false" customHeight="false" outlineLevel="0" collapsed="false">
      <c r="A252" s="0" t="n">
        <v>2025</v>
      </c>
      <c r="B252" s="0" t="s">
        <v>981</v>
      </c>
      <c r="C252" s="0" t="s">
        <v>981</v>
      </c>
      <c r="E252" s="0" t="n">
        <v>2025</v>
      </c>
      <c r="F252" s="0" t="s">
        <v>981</v>
      </c>
      <c r="G252" s="0" t="s">
        <v>981</v>
      </c>
      <c r="I252" s="0" t="n">
        <v>2025</v>
      </c>
      <c r="J252" s="0" t="s">
        <v>981</v>
      </c>
      <c r="K252" s="0" t="s">
        <v>981</v>
      </c>
      <c r="M252" s="0" t="n">
        <v>2025</v>
      </c>
      <c r="N252" s="0" t="s">
        <v>981</v>
      </c>
      <c r="O252" s="0" t="s">
        <v>981</v>
      </c>
    </row>
    <row r="253" customFormat="false" ht="15" hidden="false" customHeight="false" outlineLevel="0" collapsed="false">
      <c r="A253" s="0" t="n">
        <v>2025</v>
      </c>
      <c r="B253" s="0" t="s">
        <v>981</v>
      </c>
      <c r="C253" s="0" t="s">
        <v>981</v>
      </c>
      <c r="E253" s="0" t="n">
        <v>2025</v>
      </c>
      <c r="F253" s="0" t="s">
        <v>981</v>
      </c>
      <c r="G253" s="0" t="s">
        <v>981</v>
      </c>
      <c r="I253" s="0" t="n">
        <v>2025</v>
      </c>
      <c r="J253" s="0" t="s">
        <v>981</v>
      </c>
      <c r="K253" s="0" t="s">
        <v>981</v>
      </c>
      <c r="M253" s="0" t="n">
        <v>2025</v>
      </c>
      <c r="N253" s="0" t="s">
        <v>981</v>
      </c>
      <c r="O253" s="0" t="s">
        <v>981</v>
      </c>
    </row>
    <row r="254" customFormat="false" ht="15" hidden="false" customHeight="false" outlineLevel="0" collapsed="false">
      <c r="A254" s="0" t="n">
        <v>2025</v>
      </c>
      <c r="B254" s="0" t="s">
        <v>981</v>
      </c>
      <c r="C254" s="0" t="s">
        <v>981</v>
      </c>
      <c r="E254" s="0" t="n">
        <v>2025</v>
      </c>
      <c r="F254" s="0" t="s">
        <v>981</v>
      </c>
      <c r="G254" s="0" t="s">
        <v>981</v>
      </c>
      <c r="I254" s="0" t="n">
        <v>2025</v>
      </c>
      <c r="J254" s="0" t="s">
        <v>981</v>
      </c>
      <c r="K254" s="0" t="s">
        <v>981</v>
      </c>
      <c r="M254" s="0" t="n">
        <v>2025</v>
      </c>
      <c r="N254" s="0" t="s">
        <v>981</v>
      </c>
      <c r="O254" s="0" t="s">
        <v>981</v>
      </c>
    </row>
    <row r="255" customFormat="false" ht="15" hidden="false" customHeight="false" outlineLevel="0" collapsed="false">
      <c r="A255" s="0" t="n">
        <v>2025</v>
      </c>
      <c r="B255" s="0" t="s">
        <v>981</v>
      </c>
      <c r="C255" s="0" t="s">
        <v>981</v>
      </c>
      <c r="E255" s="0" t="n">
        <v>2025</v>
      </c>
      <c r="F255" s="0" t="s">
        <v>981</v>
      </c>
      <c r="G255" s="0" t="s">
        <v>981</v>
      </c>
      <c r="I255" s="0" t="n">
        <v>2025</v>
      </c>
      <c r="J255" s="0" t="s">
        <v>981</v>
      </c>
      <c r="K255" s="0" t="s">
        <v>981</v>
      </c>
      <c r="M255" s="0" t="n">
        <v>2025</v>
      </c>
      <c r="N255" s="0" t="s">
        <v>981</v>
      </c>
      <c r="O255" s="0" t="s">
        <v>981</v>
      </c>
    </row>
    <row r="256" customFormat="false" ht="15" hidden="false" customHeight="false" outlineLevel="0" collapsed="false">
      <c r="A256" s="0" t="n">
        <v>2025</v>
      </c>
      <c r="B256" s="0" t="s">
        <v>981</v>
      </c>
      <c r="C256" s="0" t="s">
        <v>981</v>
      </c>
      <c r="E256" s="0" t="n">
        <v>2025</v>
      </c>
      <c r="F256" s="0" t="s">
        <v>981</v>
      </c>
      <c r="G256" s="0" t="s">
        <v>981</v>
      </c>
      <c r="I256" s="0" t="n">
        <v>2025</v>
      </c>
      <c r="J256" s="0" t="s">
        <v>981</v>
      </c>
      <c r="K256" s="0" t="s">
        <v>981</v>
      </c>
      <c r="M256" s="0" t="n">
        <v>2025</v>
      </c>
      <c r="N256" s="0" t="s">
        <v>981</v>
      </c>
      <c r="O256" s="0" t="s">
        <v>981</v>
      </c>
    </row>
    <row r="257" customFormat="false" ht="15" hidden="false" customHeight="false" outlineLevel="0" collapsed="false">
      <c r="A257" s="0" t="n">
        <v>2025</v>
      </c>
      <c r="B257" s="0" t="s">
        <v>981</v>
      </c>
      <c r="C257" s="0" t="s">
        <v>981</v>
      </c>
      <c r="E257" s="0" t="n">
        <v>2025</v>
      </c>
      <c r="F257" s="0" t="s">
        <v>981</v>
      </c>
      <c r="G257" s="0" t="s">
        <v>981</v>
      </c>
      <c r="I257" s="0" t="n">
        <v>2025</v>
      </c>
      <c r="J257" s="0" t="s">
        <v>981</v>
      </c>
      <c r="K257" s="0" t="s">
        <v>981</v>
      </c>
      <c r="M257" s="0" t="n">
        <v>2025</v>
      </c>
      <c r="N257" s="0" t="s">
        <v>981</v>
      </c>
      <c r="O257" s="0" t="s">
        <v>981</v>
      </c>
    </row>
    <row r="258" customFormat="false" ht="15" hidden="false" customHeight="false" outlineLevel="0" collapsed="false">
      <c r="A258" s="0" t="n">
        <v>2025</v>
      </c>
      <c r="B258" s="0" t="s">
        <v>981</v>
      </c>
      <c r="C258" s="0" t="s">
        <v>981</v>
      </c>
      <c r="E258" s="0" t="n">
        <v>2025</v>
      </c>
      <c r="F258" s="0" t="s">
        <v>981</v>
      </c>
      <c r="G258" s="0" t="s">
        <v>981</v>
      </c>
      <c r="I258" s="0" t="n">
        <v>2025</v>
      </c>
      <c r="J258" s="0" t="s">
        <v>981</v>
      </c>
      <c r="K258" s="0" t="s">
        <v>981</v>
      </c>
      <c r="M258" s="0" t="n">
        <v>2025</v>
      </c>
      <c r="N258" s="0" t="s">
        <v>981</v>
      </c>
      <c r="O258" s="0" t="s">
        <v>981</v>
      </c>
    </row>
    <row r="259" customFormat="false" ht="15" hidden="false" customHeight="false" outlineLevel="0" collapsed="false">
      <c r="A259" s="0" t="n">
        <v>2025</v>
      </c>
      <c r="B259" s="0" t="s">
        <v>981</v>
      </c>
      <c r="C259" s="0" t="s">
        <v>981</v>
      </c>
      <c r="E259" s="0" t="n">
        <v>2025</v>
      </c>
      <c r="F259" s="0" t="s">
        <v>981</v>
      </c>
      <c r="G259" s="0" t="s">
        <v>981</v>
      </c>
      <c r="I259" s="0" t="n">
        <v>2025</v>
      </c>
      <c r="J259" s="0" t="s">
        <v>981</v>
      </c>
      <c r="K259" s="0" t="s">
        <v>981</v>
      </c>
      <c r="M259" s="0" t="n">
        <v>2025</v>
      </c>
      <c r="N259" s="0" t="s">
        <v>981</v>
      </c>
      <c r="O259" s="0" t="s">
        <v>981</v>
      </c>
    </row>
    <row r="260" customFormat="false" ht="15" hidden="false" customHeight="false" outlineLevel="0" collapsed="false">
      <c r="A260" s="0" t="n">
        <v>2025</v>
      </c>
      <c r="B260" s="0" t="s">
        <v>981</v>
      </c>
      <c r="C260" s="0" t="s">
        <v>981</v>
      </c>
      <c r="E260" s="0" t="n">
        <v>2025</v>
      </c>
      <c r="F260" s="0" t="s">
        <v>981</v>
      </c>
      <c r="G260" s="0" t="s">
        <v>981</v>
      </c>
      <c r="I260" s="0" t="n">
        <v>2025</v>
      </c>
      <c r="J260" s="0" t="s">
        <v>981</v>
      </c>
      <c r="K260" s="0" t="s">
        <v>981</v>
      </c>
      <c r="M260" s="0" t="n">
        <v>2025</v>
      </c>
      <c r="N260" s="0" t="s">
        <v>981</v>
      </c>
      <c r="O260" s="0" t="s">
        <v>981</v>
      </c>
    </row>
    <row r="261" customFormat="false" ht="15" hidden="false" customHeight="false" outlineLevel="0" collapsed="false">
      <c r="A261" s="0" t="n">
        <v>2025</v>
      </c>
      <c r="B261" s="0" t="s">
        <v>981</v>
      </c>
      <c r="C261" s="0" t="s">
        <v>981</v>
      </c>
      <c r="E261" s="0" t="n">
        <v>2025</v>
      </c>
      <c r="F261" s="0" t="s">
        <v>981</v>
      </c>
      <c r="G261" s="0" t="s">
        <v>981</v>
      </c>
      <c r="I261" s="0" t="n">
        <v>2025</v>
      </c>
      <c r="J261" s="0" t="s">
        <v>981</v>
      </c>
      <c r="K261" s="0" t="s">
        <v>981</v>
      </c>
      <c r="M261" s="0" t="n">
        <v>2025</v>
      </c>
      <c r="N261" s="0" t="s">
        <v>981</v>
      </c>
      <c r="O261" s="0" t="s">
        <v>981</v>
      </c>
    </row>
    <row r="262" customFormat="false" ht="15" hidden="false" customHeight="false" outlineLevel="0" collapsed="false">
      <c r="A262" s="0" t="n">
        <v>2025</v>
      </c>
      <c r="B262" s="0" t="s">
        <v>981</v>
      </c>
      <c r="C262" s="0" t="s">
        <v>981</v>
      </c>
      <c r="E262" s="0" t="n">
        <v>2025</v>
      </c>
      <c r="F262" s="0" t="s">
        <v>981</v>
      </c>
      <c r="G262" s="0" t="s">
        <v>981</v>
      </c>
      <c r="I262" s="0" t="n">
        <v>2025</v>
      </c>
      <c r="J262" s="0" t="s">
        <v>981</v>
      </c>
      <c r="K262" s="0" t="s">
        <v>981</v>
      </c>
      <c r="M262" s="0" t="n">
        <v>2025</v>
      </c>
      <c r="N262" s="0" t="s">
        <v>981</v>
      </c>
      <c r="O262" s="0" t="s">
        <v>981</v>
      </c>
    </row>
    <row r="263" customFormat="false" ht="15" hidden="false" customHeight="false" outlineLevel="0" collapsed="false">
      <c r="A263" s="0" t="n">
        <v>2025</v>
      </c>
      <c r="B263" s="0" t="s">
        <v>981</v>
      </c>
      <c r="C263" s="0" t="s">
        <v>981</v>
      </c>
      <c r="E263" s="0" t="n">
        <v>2025</v>
      </c>
      <c r="F263" s="0" t="s">
        <v>981</v>
      </c>
      <c r="G263" s="0" t="s">
        <v>981</v>
      </c>
      <c r="I263" s="0" t="n">
        <v>2025</v>
      </c>
      <c r="J263" s="0" t="s">
        <v>981</v>
      </c>
      <c r="K263" s="0" t="s">
        <v>981</v>
      </c>
      <c r="M263" s="0" t="n">
        <v>2025</v>
      </c>
      <c r="N263" s="0" t="s">
        <v>981</v>
      </c>
      <c r="O263" s="0" t="s">
        <v>981</v>
      </c>
    </row>
    <row r="264" customFormat="false" ht="15" hidden="false" customHeight="false" outlineLevel="0" collapsed="false">
      <c r="A264" s="0" t="n">
        <v>2025</v>
      </c>
      <c r="B264" s="0" t="s">
        <v>981</v>
      </c>
      <c r="C264" s="0" t="s">
        <v>981</v>
      </c>
      <c r="E264" s="0" t="n">
        <v>2025</v>
      </c>
      <c r="F264" s="0" t="s">
        <v>981</v>
      </c>
      <c r="G264" s="0" t="s">
        <v>981</v>
      </c>
      <c r="I264" s="0" t="n">
        <v>2025</v>
      </c>
      <c r="J264" s="0" t="s">
        <v>981</v>
      </c>
      <c r="K264" s="0" t="s">
        <v>981</v>
      </c>
      <c r="M264" s="0" t="n">
        <v>2025</v>
      </c>
      <c r="N264" s="0" t="s">
        <v>981</v>
      </c>
      <c r="O264" s="0" t="s">
        <v>981</v>
      </c>
    </row>
    <row r="265" customFormat="false" ht="15" hidden="false" customHeight="false" outlineLevel="0" collapsed="false">
      <c r="A265" s="0" t="n">
        <v>2025</v>
      </c>
      <c r="B265" s="0" t="s">
        <v>981</v>
      </c>
      <c r="C265" s="0" t="s">
        <v>981</v>
      </c>
      <c r="E265" s="0" t="n">
        <v>2025</v>
      </c>
      <c r="F265" s="0" t="s">
        <v>981</v>
      </c>
      <c r="G265" s="0" t="s">
        <v>981</v>
      </c>
      <c r="I265" s="0" t="n">
        <v>2025</v>
      </c>
      <c r="J265" s="0" t="s">
        <v>981</v>
      </c>
      <c r="K265" s="0" t="s">
        <v>981</v>
      </c>
      <c r="M265" s="0" t="n">
        <v>2025</v>
      </c>
      <c r="N265" s="0" t="s">
        <v>981</v>
      </c>
      <c r="O265" s="0" t="s">
        <v>981</v>
      </c>
    </row>
    <row r="266" customFormat="false" ht="15" hidden="false" customHeight="false" outlineLevel="0" collapsed="false">
      <c r="A266" s="0" t="n">
        <v>2025</v>
      </c>
      <c r="B266" s="0" t="s">
        <v>981</v>
      </c>
      <c r="C266" s="0" t="s">
        <v>981</v>
      </c>
      <c r="E266" s="0" t="n">
        <v>2025</v>
      </c>
      <c r="F266" s="0" t="s">
        <v>981</v>
      </c>
      <c r="G266" s="0" t="s">
        <v>981</v>
      </c>
      <c r="I266" s="0" t="n">
        <v>2025</v>
      </c>
      <c r="J266" s="0" t="s">
        <v>981</v>
      </c>
      <c r="K266" s="0" t="s">
        <v>981</v>
      </c>
      <c r="M266" s="0" t="n">
        <v>2025</v>
      </c>
      <c r="N266" s="0" t="s">
        <v>981</v>
      </c>
      <c r="O266" s="0" t="s">
        <v>981</v>
      </c>
    </row>
    <row r="267" customFormat="false" ht="15" hidden="false" customHeight="false" outlineLevel="0" collapsed="false">
      <c r="A267" s="0" t="n">
        <v>2025</v>
      </c>
      <c r="B267" s="0" t="s">
        <v>981</v>
      </c>
      <c r="C267" s="0" t="s">
        <v>981</v>
      </c>
      <c r="E267" s="0" t="n">
        <v>2025</v>
      </c>
      <c r="F267" s="0" t="s">
        <v>981</v>
      </c>
      <c r="G267" s="0" t="s">
        <v>981</v>
      </c>
      <c r="I267" s="0" t="n">
        <v>2025</v>
      </c>
      <c r="J267" s="0" t="s">
        <v>981</v>
      </c>
      <c r="K267" s="0" t="s">
        <v>981</v>
      </c>
      <c r="M267" s="0" t="n">
        <v>2025</v>
      </c>
      <c r="N267" s="0" t="s">
        <v>981</v>
      </c>
      <c r="O267" s="0" t="s">
        <v>981</v>
      </c>
    </row>
    <row r="268" customFormat="false" ht="15" hidden="false" customHeight="false" outlineLevel="0" collapsed="false">
      <c r="A268" s="0" t="n">
        <v>2025</v>
      </c>
      <c r="B268" s="0" t="s">
        <v>981</v>
      </c>
      <c r="C268" s="0" t="s">
        <v>981</v>
      </c>
      <c r="E268" s="0" t="n">
        <v>2025</v>
      </c>
      <c r="F268" s="0" t="s">
        <v>981</v>
      </c>
      <c r="G268" s="0" t="s">
        <v>981</v>
      </c>
      <c r="I268" s="0" t="n">
        <v>2025</v>
      </c>
      <c r="J268" s="0" t="s">
        <v>981</v>
      </c>
      <c r="K268" s="0" t="s">
        <v>981</v>
      </c>
      <c r="M268" s="0" t="n">
        <v>2025</v>
      </c>
      <c r="N268" s="0" t="s">
        <v>981</v>
      </c>
      <c r="O268" s="0" t="s">
        <v>981</v>
      </c>
    </row>
    <row r="269" customFormat="false" ht="15" hidden="false" customHeight="false" outlineLevel="0" collapsed="false">
      <c r="A269" s="0" t="n">
        <v>2025</v>
      </c>
      <c r="B269" s="0" t="s">
        <v>981</v>
      </c>
      <c r="C269" s="0" t="s">
        <v>981</v>
      </c>
      <c r="E269" s="0" t="n">
        <v>2025</v>
      </c>
      <c r="F269" s="0" t="s">
        <v>981</v>
      </c>
      <c r="G269" s="0" t="s">
        <v>981</v>
      </c>
      <c r="I269" s="0" t="n">
        <v>2025</v>
      </c>
      <c r="J269" s="0" t="s">
        <v>981</v>
      </c>
      <c r="K269" s="0" t="s">
        <v>981</v>
      </c>
      <c r="M269" s="0" t="n">
        <v>2025</v>
      </c>
      <c r="N269" s="0" t="s">
        <v>981</v>
      </c>
      <c r="O269" s="0" t="s">
        <v>981</v>
      </c>
    </row>
    <row r="270" customFormat="false" ht="15" hidden="false" customHeight="false" outlineLevel="0" collapsed="false">
      <c r="A270" s="0" t="n">
        <v>2025</v>
      </c>
      <c r="B270" s="0" t="s">
        <v>981</v>
      </c>
      <c r="C270" s="0" t="s">
        <v>981</v>
      </c>
      <c r="E270" s="0" t="n">
        <v>2025</v>
      </c>
      <c r="F270" s="0" t="s">
        <v>981</v>
      </c>
      <c r="G270" s="0" t="s">
        <v>981</v>
      </c>
      <c r="I270" s="0" t="n">
        <v>2025</v>
      </c>
      <c r="J270" s="0" t="s">
        <v>981</v>
      </c>
      <c r="K270" s="0" t="s">
        <v>981</v>
      </c>
      <c r="M270" s="0" t="n">
        <v>2025</v>
      </c>
      <c r="N270" s="0" t="s">
        <v>981</v>
      </c>
      <c r="O270" s="0" t="s">
        <v>981</v>
      </c>
    </row>
    <row r="271" customFormat="false" ht="15" hidden="false" customHeight="false" outlineLevel="0" collapsed="false">
      <c r="A271" s="0" t="n">
        <v>2025</v>
      </c>
      <c r="B271" s="0" t="s">
        <v>981</v>
      </c>
      <c r="C271" s="0" t="s">
        <v>981</v>
      </c>
      <c r="E271" s="0" t="n">
        <v>2025</v>
      </c>
      <c r="F271" s="0" t="s">
        <v>981</v>
      </c>
      <c r="G271" s="0" t="s">
        <v>981</v>
      </c>
      <c r="I271" s="0" t="n">
        <v>2025</v>
      </c>
      <c r="J271" s="0" t="s">
        <v>981</v>
      </c>
      <c r="K271" s="0" t="s">
        <v>981</v>
      </c>
      <c r="M271" s="0" t="n">
        <v>2025</v>
      </c>
      <c r="N271" s="0" t="s">
        <v>981</v>
      </c>
      <c r="O271" s="0" t="s">
        <v>981</v>
      </c>
    </row>
    <row r="272" customFormat="false" ht="15" hidden="false" customHeight="false" outlineLevel="0" collapsed="false">
      <c r="A272" s="0" t="n">
        <v>2025</v>
      </c>
      <c r="B272" s="0" t="s">
        <v>981</v>
      </c>
      <c r="C272" s="0" t="s">
        <v>981</v>
      </c>
      <c r="E272" s="0" t="n">
        <v>2025</v>
      </c>
      <c r="F272" s="0" t="s">
        <v>981</v>
      </c>
      <c r="G272" s="0" t="s">
        <v>981</v>
      </c>
      <c r="I272" s="0" t="n">
        <v>2025</v>
      </c>
      <c r="J272" s="0" t="s">
        <v>981</v>
      </c>
      <c r="K272" s="0" t="s">
        <v>981</v>
      </c>
      <c r="M272" s="0" t="n">
        <v>2025</v>
      </c>
      <c r="N272" s="0" t="s">
        <v>981</v>
      </c>
      <c r="O272" s="0" t="s">
        <v>981</v>
      </c>
    </row>
    <row r="273" customFormat="false" ht="15" hidden="false" customHeight="false" outlineLevel="0" collapsed="false">
      <c r="A273" s="0" t="n">
        <v>2025</v>
      </c>
      <c r="B273" s="0" t="s">
        <v>981</v>
      </c>
      <c r="C273" s="0" t="s">
        <v>981</v>
      </c>
      <c r="E273" s="0" t="n">
        <v>2025</v>
      </c>
      <c r="F273" s="0" t="s">
        <v>981</v>
      </c>
      <c r="G273" s="0" t="s">
        <v>981</v>
      </c>
      <c r="I273" s="0" t="n">
        <v>2025</v>
      </c>
      <c r="J273" s="0" t="s">
        <v>981</v>
      </c>
      <c r="K273" s="0" t="s">
        <v>981</v>
      </c>
      <c r="M273" s="0" t="n">
        <v>2025</v>
      </c>
      <c r="N273" s="0" t="s">
        <v>981</v>
      </c>
      <c r="O273" s="0" t="s">
        <v>981</v>
      </c>
    </row>
    <row r="274" customFormat="false" ht="15" hidden="false" customHeight="false" outlineLevel="0" collapsed="false">
      <c r="A274" s="0" t="n">
        <v>2025</v>
      </c>
      <c r="B274" s="0" t="s">
        <v>981</v>
      </c>
      <c r="C274" s="0" t="s">
        <v>981</v>
      </c>
      <c r="E274" s="0" t="n">
        <v>2025</v>
      </c>
      <c r="F274" s="0" t="s">
        <v>981</v>
      </c>
      <c r="G274" s="0" t="s">
        <v>981</v>
      </c>
      <c r="I274" s="0" t="n">
        <v>2025</v>
      </c>
      <c r="J274" s="0" t="s">
        <v>981</v>
      </c>
      <c r="K274" s="0" t="s">
        <v>981</v>
      </c>
      <c r="M274" s="0" t="n">
        <v>2025</v>
      </c>
      <c r="N274" s="0" t="s">
        <v>981</v>
      </c>
      <c r="O274" s="0" t="s">
        <v>981</v>
      </c>
    </row>
    <row r="275" customFormat="false" ht="15" hidden="false" customHeight="false" outlineLevel="0" collapsed="false">
      <c r="A275" s="0" t="n">
        <v>2025</v>
      </c>
      <c r="B275" s="0" t="s">
        <v>981</v>
      </c>
      <c r="C275" s="0" t="s">
        <v>981</v>
      </c>
      <c r="E275" s="0" t="n">
        <v>2025</v>
      </c>
      <c r="F275" s="0" t="s">
        <v>981</v>
      </c>
      <c r="G275" s="0" t="s">
        <v>981</v>
      </c>
      <c r="I275" s="0" t="n">
        <v>2025</v>
      </c>
      <c r="J275" s="0" t="s">
        <v>981</v>
      </c>
      <c r="K275" s="0" t="s">
        <v>981</v>
      </c>
      <c r="M275" s="0" t="n">
        <v>2025</v>
      </c>
      <c r="N275" s="0" t="s">
        <v>981</v>
      </c>
      <c r="O275" s="0" t="s">
        <v>981</v>
      </c>
    </row>
    <row r="276" customFormat="false" ht="15" hidden="false" customHeight="false" outlineLevel="0" collapsed="false">
      <c r="A276" s="0" t="n">
        <v>2025</v>
      </c>
      <c r="B276" s="0" t="s">
        <v>981</v>
      </c>
      <c r="C276" s="0" t="s">
        <v>981</v>
      </c>
      <c r="E276" s="0" t="n">
        <v>2025</v>
      </c>
      <c r="F276" s="0" t="s">
        <v>981</v>
      </c>
      <c r="G276" s="0" t="s">
        <v>981</v>
      </c>
      <c r="I276" s="0" t="n">
        <v>2025</v>
      </c>
      <c r="J276" s="0" t="s">
        <v>981</v>
      </c>
      <c r="K276" s="0" t="s">
        <v>981</v>
      </c>
      <c r="M276" s="0" t="n">
        <v>2025</v>
      </c>
      <c r="N276" s="0" t="s">
        <v>981</v>
      </c>
      <c r="O276" s="0" t="s">
        <v>981</v>
      </c>
    </row>
    <row r="277" customFormat="false" ht="15" hidden="false" customHeight="false" outlineLevel="0" collapsed="false">
      <c r="A277" s="0" t="n">
        <v>2025</v>
      </c>
      <c r="B277" s="0" t="s">
        <v>981</v>
      </c>
      <c r="C277" s="0" t="s">
        <v>981</v>
      </c>
      <c r="E277" s="0" t="n">
        <v>2025</v>
      </c>
      <c r="F277" s="0" t="s">
        <v>981</v>
      </c>
      <c r="G277" s="0" t="s">
        <v>981</v>
      </c>
      <c r="I277" s="0" t="n">
        <v>2025</v>
      </c>
      <c r="J277" s="0" t="s">
        <v>981</v>
      </c>
      <c r="K277" s="0" t="s">
        <v>981</v>
      </c>
      <c r="M277" s="0" t="n">
        <v>2025</v>
      </c>
      <c r="N277" s="0" t="s">
        <v>981</v>
      </c>
      <c r="O277" s="0" t="s">
        <v>981</v>
      </c>
    </row>
    <row r="278" customFormat="false" ht="15" hidden="false" customHeight="false" outlineLevel="0" collapsed="false">
      <c r="A278" s="0" t="n">
        <v>2025</v>
      </c>
      <c r="B278" s="0" t="s">
        <v>981</v>
      </c>
      <c r="C278" s="0" t="s">
        <v>981</v>
      </c>
      <c r="E278" s="0" t="n">
        <v>2025</v>
      </c>
      <c r="F278" s="0" t="s">
        <v>981</v>
      </c>
      <c r="G278" s="0" t="s">
        <v>981</v>
      </c>
      <c r="I278" s="0" t="n">
        <v>2025</v>
      </c>
      <c r="J278" s="0" t="s">
        <v>981</v>
      </c>
      <c r="K278" s="0" t="s">
        <v>981</v>
      </c>
      <c r="M278" s="0" t="n">
        <v>2025</v>
      </c>
      <c r="N278" s="0" t="s">
        <v>981</v>
      </c>
      <c r="O278" s="0" t="s">
        <v>981</v>
      </c>
    </row>
    <row r="279" customFormat="false" ht="15" hidden="false" customHeight="false" outlineLevel="0" collapsed="false">
      <c r="A279" s="0" t="n">
        <v>2025</v>
      </c>
      <c r="B279" s="0" t="s">
        <v>981</v>
      </c>
      <c r="C279" s="0" t="s">
        <v>981</v>
      </c>
      <c r="E279" s="0" t="n">
        <v>2025</v>
      </c>
      <c r="F279" s="0" t="s">
        <v>981</v>
      </c>
      <c r="G279" s="0" t="s">
        <v>981</v>
      </c>
      <c r="I279" s="0" t="n">
        <v>2025</v>
      </c>
      <c r="J279" s="0" t="s">
        <v>981</v>
      </c>
      <c r="K279" s="0" t="s">
        <v>981</v>
      </c>
      <c r="M279" s="0" t="n">
        <v>2025</v>
      </c>
      <c r="N279" s="0" t="s">
        <v>981</v>
      </c>
      <c r="O279" s="0" t="s">
        <v>981</v>
      </c>
    </row>
    <row r="280" customFormat="false" ht="15" hidden="false" customHeight="false" outlineLevel="0" collapsed="false">
      <c r="A280" s="0" t="n">
        <v>2025</v>
      </c>
      <c r="B280" s="0" t="s">
        <v>981</v>
      </c>
      <c r="C280" s="0" t="s">
        <v>981</v>
      </c>
      <c r="E280" s="0" t="n">
        <v>2025</v>
      </c>
      <c r="F280" s="0" t="s">
        <v>981</v>
      </c>
      <c r="G280" s="0" t="s">
        <v>981</v>
      </c>
      <c r="I280" s="0" t="n">
        <v>2025</v>
      </c>
      <c r="J280" s="0" t="s">
        <v>981</v>
      </c>
      <c r="K280" s="0" t="s">
        <v>981</v>
      </c>
      <c r="M280" s="0" t="n">
        <v>2025</v>
      </c>
      <c r="N280" s="0" t="s">
        <v>981</v>
      </c>
      <c r="O280" s="0" t="s">
        <v>981</v>
      </c>
    </row>
    <row r="281" customFormat="false" ht="15" hidden="false" customHeight="false" outlineLevel="0" collapsed="false">
      <c r="A281" s="0" t="n">
        <v>2025</v>
      </c>
      <c r="B281" s="0" t="s">
        <v>981</v>
      </c>
      <c r="C281" s="0" t="s">
        <v>981</v>
      </c>
      <c r="E281" s="0" t="n">
        <v>2025</v>
      </c>
      <c r="F281" s="0" t="s">
        <v>981</v>
      </c>
      <c r="G281" s="0" t="s">
        <v>981</v>
      </c>
      <c r="I281" s="0" t="n">
        <v>2025</v>
      </c>
      <c r="J281" s="0" t="s">
        <v>981</v>
      </c>
      <c r="K281" s="0" t="s">
        <v>981</v>
      </c>
      <c r="M281" s="0" t="n">
        <v>2025</v>
      </c>
      <c r="N281" s="0" t="s">
        <v>981</v>
      </c>
      <c r="O281" s="0" t="s">
        <v>981</v>
      </c>
    </row>
    <row r="282" customFormat="false" ht="15" hidden="false" customHeight="false" outlineLevel="0" collapsed="false">
      <c r="A282" s="0" t="n">
        <v>2025</v>
      </c>
      <c r="B282" s="0" t="s">
        <v>981</v>
      </c>
      <c r="C282" s="0" t="s">
        <v>981</v>
      </c>
      <c r="E282" s="0" t="n">
        <v>2025</v>
      </c>
      <c r="F282" s="0" t="s">
        <v>981</v>
      </c>
      <c r="G282" s="0" t="s">
        <v>981</v>
      </c>
      <c r="I282" s="0" t="n">
        <v>2025</v>
      </c>
      <c r="J282" s="0" t="s">
        <v>981</v>
      </c>
      <c r="K282" s="0" t="s">
        <v>981</v>
      </c>
      <c r="M282" s="0" t="n">
        <v>2025</v>
      </c>
      <c r="N282" s="0" t="s">
        <v>981</v>
      </c>
      <c r="O282" s="0" t="s">
        <v>981</v>
      </c>
    </row>
    <row r="283" customFormat="false" ht="15" hidden="false" customHeight="false" outlineLevel="0" collapsed="false">
      <c r="A283" s="0" t="n">
        <v>2025</v>
      </c>
      <c r="B283" s="0" t="s">
        <v>981</v>
      </c>
      <c r="C283" s="0" t="s">
        <v>981</v>
      </c>
      <c r="E283" s="0" t="n">
        <v>2025</v>
      </c>
      <c r="F283" s="0" t="s">
        <v>981</v>
      </c>
      <c r="G283" s="0" t="s">
        <v>981</v>
      </c>
      <c r="I283" s="0" t="n">
        <v>2025</v>
      </c>
      <c r="J283" s="0" t="s">
        <v>981</v>
      </c>
      <c r="K283" s="0" t="s">
        <v>981</v>
      </c>
      <c r="M283" s="0" t="n">
        <v>2025</v>
      </c>
      <c r="N283" s="0" t="s">
        <v>981</v>
      </c>
      <c r="O283" s="0" t="s">
        <v>981</v>
      </c>
    </row>
    <row r="284" customFormat="false" ht="15" hidden="false" customHeight="false" outlineLevel="0" collapsed="false">
      <c r="A284" s="0" t="n">
        <v>2025</v>
      </c>
      <c r="B284" s="0" t="s">
        <v>981</v>
      </c>
      <c r="C284" s="0" t="s">
        <v>981</v>
      </c>
      <c r="E284" s="0" t="n">
        <v>2025</v>
      </c>
      <c r="F284" s="0" t="s">
        <v>981</v>
      </c>
      <c r="G284" s="0" t="s">
        <v>981</v>
      </c>
      <c r="I284" s="0" t="n">
        <v>2025</v>
      </c>
      <c r="J284" s="0" t="s">
        <v>981</v>
      </c>
      <c r="K284" s="0" t="s">
        <v>981</v>
      </c>
      <c r="M284" s="0" t="n">
        <v>2025</v>
      </c>
      <c r="N284" s="0" t="s">
        <v>981</v>
      </c>
      <c r="O284" s="0" t="s">
        <v>981</v>
      </c>
    </row>
    <row r="285" customFormat="false" ht="15" hidden="false" customHeight="false" outlineLevel="0" collapsed="false">
      <c r="A285" s="0" t="n">
        <v>2025</v>
      </c>
      <c r="B285" s="0" t="s">
        <v>981</v>
      </c>
      <c r="C285" s="0" t="s">
        <v>981</v>
      </c>
      <c r="E285" s="0" t="n">
        <v>2025</v>
      </c>
      <c r="F285" s="0" t="s">
        <v>981</v>
      </c>
      <c r="G285" s="0" t="s">
        <v>981</v>
      </c>
      <c r="I285" s="0" t="n">
        <v>2025</v>
      </c>
      <c r="J285" s="0" t="s">
        <v>981</v>
      </c>
      <c r="K285" s="0" t="s">
        <v>981</v>
      </c>
      <c r="M285" s="0" t="n">
        <v>2025</v>
      </c>
      <c r="N285" s="0" t="s">
        <v>981</v>
      </c>
      <c r="O285" s="0" t="s">
        <v>981</v>
      </c>
    </row>
    <row r="286" customFormat="false" ht="15" hidden="false" customHeight="false" outlineLevel="0" collapsed="false">
      <c r="A286" s="0" t="n">
        <v>2025</v>
      </c>
      <c r="B286" s="0" t="s">
        <v>981</v>
      </c>
      <c r="C286" s="0" t="s">
        <v>981</v>
      </c>
      <c r="E286" s="0" t="n">
        <v>2025</v>
      </c>
      <c r="F286" s="0" t="s">
        <v>981</v>
      </c>
      <c r="G286" s="0" t="s">
        <v>981</v>
      </c>
      <c r="I286" s="0" t="n">
        <v>2025</v>
      </c>
      <c r="J286" s="0" t="s">
        <v>981</v>
      </c>
      <c r="K286" s="0" t="s">
        <v>981</v>
      </c>
      <c r="M286" s="0" t="n">
        <v>2025</v>
      </c>
      <c r="N286" s="0" t="s">
        <v>981</v>
      </c>
      <c r="O286" s="0" t="s">
        <v>981</v>
      </c>
    </row>
    <row r="287" customFormat="false" ht="15" hidden="false" customHeight="false" outlineLevel="0" collapsed="false">
      <c r="A287" s="0" t="n">
        <v>2025</v>
      </c>
      <c r="B287" s="0" t="s">
        <v>981</v>
      </c>
      <c r="C287" s="0" t="s">
        <v>981</v>
      </c>
      <c r="E287" s="0" t="n">
        <v>2025</v>
      </c>
      <c r="F287" s="0" t="s">
        <v>981</v>
      </c>
      <c r="G287" s="0" t="s">
        <v>981</v>
      </c>
      <c r="I287" s="0" t="n">
        <v>2025</v>
      </c>
      <c r="J287" s="0" t="s">
        <v>981</v>
      </c>
      <c r="K287" s="0" t="s">
        <v>981</v>
      </c>
      <c r="M287" s="0" t="n">
        <v>2025</v>
      </c>
      <c r="N287" s="0" t="s">
        <v>981</v>
      </c>
      <c r="O287" s="0" t="s">
        <v>981</v>
      </c>
    </row>
    <row r="288" customFormat="false" ht="15" hidden="false" customHeight="false" outlineLevel="0" collapsed="false">
      <c r="A288" s="0" t="n">
        <v>2025</v>
      </c>
      <c r="B288" s="0" t="s">
        <v>981</v>
      </c>
      <c r="C288" s="0" t="s">
        <v>981</v>
      </c>
      <c r="E288" s="0" t="n">
        <v>2025</v>
      </c>
      <c r="F288" s="0" t="s">
        <v>981</v>
      </c>
      <c r="G288" s="0" t="s">
        <v>981</v>
      </c>
      <c r="I288" s="0" t="n">
        <v>2025</v>
      </c>
      <c r="J288" s="0" t="s">
        <v>981</v>
      </c>
      <c r="K288" s="0" t="s">
        <v>981</v>
      </c>
      <c r="M288" s="0" t="n">
        <v>2025</v>
      </c>
      <c r="N288" s="0" t="s">
        <v>981</v>
      </c>
      <c r="O288" s="0" t="s">
        <v>981</v>
      </c>
    </row>
    <row r="289" customFormat="false" ht="15" hidden="false" customHeight="false" outlineLevel="0" collapsed="false">
      <c r="A289" s="0" t="n">
        <v>2025</v>
      </c>
      <c r="B289" s="0" t="s">
        <v>981</v>
      </c>
      <c r="C289" s="0" t="s">
        <v>981</v>
      </c>
      <c r="E289" s="0" t="n">
        <v>2025</v>
      </c>
      <c r="F289" s="0" t="s">
        <v>981</v>
      </c>
      <c r="G289" s="0" t="s">
        <v>981</v>
      </c>
      <c r="I289" s="0" t="n">
        <v>2025</v>
      </c>
      <c r="J289" s="0" t="s">
        <v>981</v>
      </c>
      <c r="K289" s="0" t="s">
        <v>981</v>
      </c>
      <c r="M289" s="0" t="n">
        <v>2025</v>
      </c>
      <c r="N289" s="0" t="s">
        <v>981</v>
      </c>
      <c r="O289" s="0" t="s">
        <v>981</v>
      </c>
    </row>
    <row r="290" customFormat="false" ht="15" hidden="false" customHeight="false" outlineLevel="0" collapsed="false">
      <c r="A290" s="0" t="n">
        <v>2025</v>
      </c>
      <c r="B290" s="0" t="s">
        <v>981</v>
      </c>
      <c r="C290" s="0" t="s">
        <v>981</v>
      </c>
      <c r="E290" s="0" t="n">
        <v>2025</v>
      </c>
      <c r="F290" s="0" t="s">
        <v>981</v>
      </c>
      <c r="G290" s="0" t="s">
        <v>981</v>
      </c>
      <c r="I290" s="0" t="n">
        <v>2025</v>
      </c>
      <c r="J290" s="0" t="s">
        <v>981</v>
      </c>
      <c r="K290" s="0" t="s">
        <v>981</v>
      </c>
      <c r="M290" s="0" t="n">
        <v>2025</v>
      </c>
      <c r="N290" s="0" t="s">
        <v>981</v>
      </c>
      <c r="O290" s="0" t="s">
        <v>981</v>
      </c>
    </row>
    <row r="291" customFormat="false" ht="15" hidden="false" customHeight="false" outlineLevel="0" collapsed="false">
      <c r="A291" s="0" t="n">
        <v>2025</v>
      </c>
      <c r="B291" s="0" t="s">
        <v>981</v>
      </c>
      <c r="C291" s="0" t="s">
        <v>981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981</v>
      </c>
      <c r="K291" s="0" t="s">
        <v>981</v>
      </c>
      <c r="M291" s="0" t="n">
        <v>2025</v>
      </c>
      <c r="N291" s="0" t="s">
        <v>981</v>
      </c>
      <c r="O291" s="0" t="s">
        <v>981</v>
      </c>
    </row>
    <row r="292" customFormat="false" ht="15" hidden="false" customHeight="false" outlineLevel="0" collapsed="false">
      <c r="A292" s="0" t="n">
        <v>2025</v>
      </c>
      <c r="B292" s="0" t="s">
        <v>981</v>
      </c>
      <c r="C292" s="0" t="s">
        <v>981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981</v>
      </c>
      <c r="K292" s="0" t="s">
        <v>981</v>
      </c>
      <c r="M292" s="0" t="n">
        <v>2025</v>
      </c>
      <c r="N292" s="0" t="s">
        <v>981</v>
      </c>
      <c r="O292" s="0" t="s">
        <v>981</v>
      </c>
    </row>
    <row r="293" customFormat="false" ht="15" hidden="false" customHeight="false" outlineLevel="0" collapsed="false">
      <c r="A293" s="0" t="n">
        <v>2025</v>
      </c>
      <c r="B293" s="0" t="s">
        <v>981</v>
      </c>
      <c r="C293" s="0" t="s">
        <v>981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981</v>
      </c>
      <c r="K293" s="0" t="s">
        <v>981</v>
      </c>
      <c r="M293" s="0" t="n">
        <v>2025</v>
      </c>
      <c r="N293" s="0" t="s">
        <v>981</v>
      </c>
      <c r="O293" s="0" t="s">
        <v>981</v>
      </c>
    </row>
    <row r="294" customFormat="false" ht="15" hidden="false" customHeight="false" outlineLevel="0" collapsed="false">
      <c r="A294" s="0" t="n">
        <v>2025</v>
      </c>
      <c r="B294" s="0" t="s">
        <v>981</v>
      </c>
      <c r="C294" s="0" t="s">
        <v>981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981</v>
      </c>
      <c r="K294" s="0" t="s">
        <v>981</v>
      </c>
      <c r="M294" s="0" t="n">
        <v>2025</v>
      </c>
      <c r="N294" s="0" t="s">
        <v>981</v>
      </c>
      <c r="O294" s="0" t="s">
        <v>981</v>
      </c>
    </row>
    <row r="295" customFormat="false" ht="15" hidden="false" customHeight="false" outlineLevel="0" collapsed="false">
      <c r="A295" s="0" t="n">
        <v>2025</v>
      </c>
      <c r="B295" s="0" t="s">
        <v>981</v>
      </c>
      <c r="C295" s="0" t="s">
        <v>981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981</v>
      </c>
      <c r="K295" s="0" t="s">
        <v>981</v>
      </c>
      <c r="M295" s="0" t="n">
        <v>2025</v>
      </c>
      <c r="N295" s="0" t="s">
        <v>981</v>
      </c>
      <c r="O295" s="0" t="s">
        <v>981</v>
      </c>
    </row>
    <row r="296" customFormat="false" ht="15" hidden="false" customHeight="false" outlineLevel="0" collapsed="false">
      <c r="A296" s="0" t="n">
        <v>2025</v>
      </c>
      <c r="B296" s="0" t="s">
        <v>981</v>
      </c>
      <c r="C296" s="0" t="s">
        <v>981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981</v>
      </c>
      <c r="K296" s="0" t="s">
        <v>981</v>
      </c>
      <c r="M296" s="0" t="n">
        <v>2025</v>
      </c>
      <c r="N296" s="0" t="s">
        <v>981</v>
      </c>
      <c r="O296" s="0" t="s">
        <v>981</v>
      </c>
    </row>
    <row r="297" customFormat="false" ht="15" hidden="false" customHeight="false" outlineLevel="0" collapsed="false">
      <c r="A297" s="0" t="n">
        <v>2025</v>
      </c>
      <c r="B297" s="0" t="s">
        <v>981</v>
      </c>
      <c r="C297" s="0" t="s">
        <v>981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981</v>
      </c>
      <c r="K297" s="0" t="s">
        <v>981</v>
      </c>
      <c r="M297" s="0" t="n">
        <v>2025</v>
      </c>
      <c r="N297" s="0" t="s">
        <v>981</v>
      </c>
      <c r="O297" s="0" t="s">
        <v>981</v>
      </c>
    </row>
    <row r="298" customFormat="false" ht="15" hidden="false" customHeight="false" outlineLevel="0" collapsed="false">
      <c r="A298" s="0" t="n">
        <v>2025</v>
      </c>
      <c r="B298" s="0" t="s">
        <v>981</v>
      </c>
      <c r="C298" s="0" t="s">
        <v>981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981</v>
      </c>
      <c r="K298" s="0" t="s">
        <v>981</v>
      </c>
      <c r="M298" s="0" t="n">
        <v>2025</v>
      </c>
      <c r="N298" s="0" t="s">
        <v>981</v>
      </c>
      <c r="O298" s="0" t="s">
        <v>981</v>
      </c>
    </row>
    <row r="299" customFormat="false" ht="15" hidden="false" customHeight="false" outlineLevel="0" collapsed="false">
      <c r="A299" s="0" t="n">
        <v>2025</v>
      </c>
      <c r="B299" s="0" t="s">
        <v>981</v>
      </c>
      <c r="C299" s="0" t="s">
        <v>981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981</v>
      </c>
      <c r="K299" s="0" t="s">
        <v>981</v>
      </c>
      <c r="M299" s="0" t="n">
        <v>2025</v>
      </c>
      <c r="N299" s="0" t="s">
        <v>981</v>
      </c>
      <c r="O299" s="0" t="s">
        <v>981</v>
      </c>
    </row>
    <row r="300" customFormat="false" ht="15" hidden="false" customHeight="false" outlineLevel="0" collapsed="false">
      <c r="A300" s="0" t="n">
        <v>2025</v>
      </c>
      <c r="B300" s="0" t="s">
        <v>981</v>
      </c>
      <c r="C300" s="0" t="s">
        <v>981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981</v>
      </c>
      <c r="K300" s="0" t="s">
        <v>981</v>
      </c>
      <c r="M300" s="0" t="n">
        <v>2025</v>
      </c>
      <c r="N300" s="0" t="s">
        <v>981</v>
      </c>
      <c r="O300" s="0" t="s">
        <v>981</v>
      </c>
    </row>
    <row r="301" customFormat="false" ht="15" hidden="false" customHeight="false" outlineLevel="0" collapsed="false">
      <c r="A301" s="0" t="n">
        <v>2025</v>
      </c>
      <c r="B301" s="0" t="s">
        <v>981</v>
      </c>
      <c r="C301" s="0" t="s">
        <v>981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981</v>
      </c>
      <c r="K301" s="0" t="s">
        <v>981</v>
      </c>
      <c r="M301" s="0" t="n">
        <v>2025</v>
      </c>
      <c r="N301" s="0" t="s">
        <v>981</v>
      </c>
      <c r="O301" s="0" t="s">
        <v>981</v>
      </c>
    </row>
    <row r="302" customFormat="false" ht="15" hidden="false" customHeight="false" outlineLevel="0" collapsed="false">
      <c r="A302" s="0" t="n">
        <v>2025</v>
      </c>
      <c r="B302" s="0" t="s">
        <v>981</v>
      </c>
      <c r="C302" s="0" t="s">
        <v>981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981</v>
      </c>
      <c r="K302" s="0" t="s">
        <v>981</v>
      </c>
      <c r="M302" s="0" t="n">
        <v>2025</v>
      </c>
      <c r="N302" s="0" t="s">
        <v>981</v>
      </c>
      <c r="O302" s="0" t="s">
        <v>981</v>
      </c>
    </row>
    <row r="303" customFormat="false" ht="15" hidden="false" customHeight="false" outlineLevel="0" collapsed="false">
      <c r="A303" s="0" t="n">
        <v>2025</v>
      </c>
      <c r="B303" s="0" t="s">
        <v>981</v>
      </c>
      <c r="C303" s="0" t="s">
        <v>981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981</v>
      </c>
      <c r="K303" s="0" t="s">
        <v>981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981</v>
      </c>
      <c r="C304" s="0" t="s">
        <v>981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981</v>
      </c>
      <c r="K304" s="0" t="s">
        <v>981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981</v>
      </c>
      <c r="C305" s="0" t="s">
        <v>981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981</v>
      </c>
      <c r="K305" s="0" t="s">
        <v>981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981</v>
      </c>
      <c r="C306" s="0" t="s">
        <v>981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981</v>
      </c>
      <c r="K306" s="0" t="s">
        <v>981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981</v>
      </c>
      <c r="C307" s="0" t="s">
        <v>981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981</v>
      </c>
      <c r="K307" s="0" t="s">
        <v>981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981</v>
      </c>
      <c r="C308" s="0" t="s">
        <v>981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981</v>
      </c>
      <c r="K308" s="0" t="s">
        <v>981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981</v>
      </c>
      <c r="C309" s="0" t="s">
        <v>981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981</v>
      </c>
      <c r="K309" s="0" t="s">
        <v>981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981</v>
      </c>
      <c r="C310" s="0" t="s">
        <v>981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981</v>
      </c>
      <c r="K310" s="0" t="s">
        <v>981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981</v>
      </c>
      <c r="C311" s="0" t="s">
        <v>981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981</v>
      </c>
      <c r="K311" s="0" t="s">
        <v>981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981</v>
      </c>
      <c r="C312" s="0" t="s">
        <v>981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981</v>
      </c>
      <c r="K312" s="0" t="s">
        <v>981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981</v>
      </c>
      <c r="C313" s="0" t="s">
        <v>981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981</v>
      </c>
      <c r="K313" s="0" t="s">
        <v>981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981</v>
      </c>
      <c r="C314" s="0" t="s">
        <v>981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981</v>
      </c>
      <c r="K314" s="0" t="s">
        <v>981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981</v>
      </c>
      <c r="C315" s="0" t="s">
        <v>981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981</v>
      </c>
      <c r="K315" s="0" t="s">
        <v>981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981</v>
      </c>
      <c r="C316" s="0" t="s">
        <v>981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981</v>
      </c>
      <c r="K316" s="0" t="s">
        <v>981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981</v>
      </c>
      <c r="C317" s="0" t="s">
        <v>981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981</v>
      </c>
      <c r="K317" s="0" t="s">
        <v>981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981</v>
      </c>
      <c r="C318" s="0" t="s">
        <v>981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981</v>
      </c>
      <c r="K318" s="0" t="s">
        <v>981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981</v>
      </c>
      <c r="C319" s="0" t="s">
        <v>981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981</v>
      </c>
      <c r="K319" s="0" t="s">
        <v>981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981</v>
      </c>
      <c r="C320" s="0" t="s">
        <v>981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981</v>
      </c>
      <c r="K320" s="0" t="s">
        <v>981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981</v>
      </c>
      <c r="C321" s="0" t="s">
        <v>981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981</v>
      </c>
      <c r="K321" s="0" t="s">
        <v>981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981</v>
      </c>
      <c r="C322" s="0" t="s">
        <v>981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981</v>
      </c>
      <c r="K322" s="0" t="s">
        <v>981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981</v>
      </c>
      <c r="C323" s="0" t="s">
        <v>981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981</v>
      </c>
      <c r="K323" s="0" t="s">
        <v>981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981</v>
      </c>
      <c r="C324" s="0" t="s">
        <v>981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981</v>
      </c>
      <c r="K324" s="0" t="s">
        <v>981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981</v>
      </c>
      <c r="C325" s="0" t="s">
        <v>981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981</v>
      </c>
      <c r="K325" s="0" t="s">
        <v>981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981</v>
      </c>
      <c r="C326" s="0" t="s">
        <v>981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981</v>
      </c>
      <c r="K326" s="0" t="s">
        <v>981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981</v>
      </c>
      <c r="K327" s="0" t="s">
        <v>981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981</v>
      </c>
      <c r="K328" s="0" t="s">
        <v>981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981</v>
      </c>
      <c r="K329" s="0" t="s">
        <v>981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981</v>
      </c>
      <c r="K330" s="0" t="s">
        <v>981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981</v>
      </c>
      <c r="K331" s="0" t="s">
        <v>981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981</v>
      </c>
      <c r="K332" s="0" t="s">
        <v>981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981</v>
      </c>
      <c r="K333" s="0" t="s">
        <v>981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981</v>
      </c>
      <c r="K334" s="0" t="s">
        <v>981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981</v>
      </c>
      <c r="K335" s="0" t="s">
        <v>981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981</v>
      </c>
      <c r="K336" s="0" t="s">
        <v>981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981</v>
      </c>
      <c r="K337" s="0" t="s">
        <v>981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981</v>
      </c>
      <c r="K338" s="0" t="s">
        <v>981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981</v>
      </c>
      <c r="K339" s="0" t="s">
        <v>981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981</v>
      </c>
      <c r="K340" s="0" t="s">
        <v>981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981</v>
      </c>
      <c r="K341" s="0" t="s">
        <v>981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981</v>
      </c>
      <c r="K342" s="0" t="s">
        <v>981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981</v>
      </c>
      <c r="K343" s="0" t="s">
        <v>981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981</v>
      </c>
      <c r="K344" s="0" t="s">
        <v>981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981</v>
      </c>
      <c r="K345" s="0" t="s">
        <v>981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981</v>
      </c>
      <c r="K346" s="0" t="s">
        <v>981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981</v>
      </c>
      <c r="K347" s="0" t="s">
        <v>981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981</v>
      </c>
      <c r="K348" s="0" t="s">
        <v>981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981</v>
      </c>
      <c r="K349" s="0" t="s">
        <v>981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981</v>
      </c>
      <c r="K350" s="0" t="s">
        <v>981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981</v>
      </c>
      <c r="K351" s="0" t="s">
        <v>981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981</v>
      </c>
      <c r="K352" s="0" t="s">
        <v>981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981</v>
      </c>
      <c r="K353" s="0" t="s">
        <v>981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981</v>
      </c>
      <c r="K354" s="0" t="s">
        <v>981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981</v>
      </c>
      <c r="K355" s="0" t="s">
        <v>981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981</v>
      </c>
      <c r="K356" s="0" t="s">
        <v>981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981</v>
      </c>
      <c r="K357" s="0" t="s">
        <v>981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981</v>
      </c>
      <c r="K358" s="0" t="s">
        <v>981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981</v>
      </c>
      <c r="K359" s="0" t="s">
        <v>981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981</v>
      </c>
      <c r="K360" s="0" t="s">
        <v>981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981</v>
      </c>
      <c r="K361" s="0" t="s">
        <v>981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981</v>
      </c>
      <c r="K362" s="0" t="s">
        <v>981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981</v>
      </c>
      <c r="K363" s="0" t="s">
        <v>981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981</v>
      </c>
      <c r="K364" s="0" t="s">
        <v>981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981</v>
      </c>
      <c r="K365" s="0" t="s">
        <v>981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981</v>
      </c>
      <c r="K366" s="0" t="s">
        <v>981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981</v>
      </c>
      <c r="K367" s="0" t="s">
        <v>981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981</v>
      </c>
      <c r="K368" s="0" t="s">
        <v>981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981</v>
      </c>
      <c r="K369" s="0" t="s">
        <v>981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981</v>
      </c>
      <c r="K370" s="0" t="s">
        <v>981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981</v>
      </c>
      <c r="K371" s="0" t="s">
        <v>981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981</v>
      </c>
      <c r="K372" s="0" t="s">
        <v>981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981</v>
      </c>
      <c r="K373" s="0" t="s">
        <v>981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981</v>
      </c>
      <c r="K374" s="0" t="s">
        <v>981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981</v>
      </c>
      <c r="K375" s="0" t="s">
        <v>981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981</v>
      </c>
      <c r="K376" s="0" t="s">
        <v>981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981</v>
      </c>
      <c r="K377" s="0" t="s">
        <v>981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981</v>
      </c>
      <c r="K378" s="0" t="s">
        <v>981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981</v>
      </c>
      <c r="K379" s="0" t="s">
        <v>981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981</v>
      </c>
      <c r="K380" s="0" t="s">
        <v>981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981</v>
      </c>
      <c r="K381" s="0" t="s">
        <v>981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981</v>
      </c>
      <c r="K382" s="0" t="s">
        <v>981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981</v>
      </c>
      <c r="K383" s="0" t="s">
        <v>981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981</v>
      </c>
      <c r="K384" s="0" t="s">
        <v>981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981</v>
      </c>
      <c r="K385" s="0" t="s">
        <v>981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981</v>
      </c>
      <c r="K386" s="0" t="s">
        <v>981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981</v>
      </c>
      <c r="K387" s="0" t="s">
        <v>981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981</v>
      </c>
      <c r="K388" s="0" t="s">
        <v>981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981</v>
      </c>
      <c r="K389" s="0" t="s">
        <v>981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981</v>
      </c>
      <c r="K390" s="0" t="s">
        <v>981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981</v>
      </c>
      <c r="K391" s="0" t="s">
        <v>981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981</v>
      </c>
      <c r="K392" s="0" t="s">
        <v>981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981</v>
      </c>
      <c r="K393" s="0" t="s">
        <v>981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981</v>
      </c>
      <c r="K394" s="0" t="s">
        <v>981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981</v>
      </c>
      <c r="K395" s="0" t="s">
        <v>981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981</v>
      </c>
      <c r="K396" s="0" t="s">
        <v>981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981</v>
      </c>
      <c r="K397" s="0" t="s">
        <v>981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981</v>
      </c>
      <c r="K398" s="0" t="s">
        <v>981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981</v>
      </c>
      <c r="K399" s="0" t="s">
        <v>981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981</v>
      </c>
      <c r="K400" s="0" t="s">
        <v>981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981</v>
      </c>
      <c r="K401" s="0" t="s">
        <v>981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981</v>
      </c>
      <c r="K402" s="0" t="s">
        <v>981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981</v>
      </c>
      <c r="K403" s="0" t="s">
        <v>981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981</v>
      </c>
      <c r="K404" s="0" t="s">
        <v>981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981</v>
      </c>
      <c r="K405" s="0" t="s">
        <v>981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981</v>
      </c>
      <c r="K406" s="0" t="s">
        <v>981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981</v>
      </c>
      <c r="K407" s="0" t="s">
        <v>981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981</v>
      </c>
      <c r="K408" s="0" t="s">
        <v>981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981</v>
      </c>
      <c r="K409" s="0" t="s">
        <v>981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981</v>
      </c>
      <c r="K410" s="0" t="s">
        <v>981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981</v>
      </c>
      <c r="K411" s="0" t="s">
        <v>981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981</v>
      </c>
      <c r="K412" s="0" t="s">
        <v>981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981</v>
      </c>
      <c r="K413" s="0" t="s">
        <v>981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981</v>
      </c>
      <c r="K414" s="0" t="s">
        <v>981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981</v>
      </c>
      <c r="K415" s="0" t="s">
        <v>981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981</v>
      </c>
      <c r="K416" s="0" t="s">
        <v>981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981</v>
      </c>
      <c r="K417" s="0" t="s">
        <v>981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981</v>
      </c>
      <c r="K418" s="0" t="s">
        <v>981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981</v>
      </c>
      <c r="K419" s="0" t="s">
        <v>981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981</v>
      </c>
      <c r="K420" s="0" t="s">
        <v>981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981</v>
      </c>
      <c r="K421" s="0" t="s">
        <v>981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981</v>
      </c>
      <c r="K422" s="0" t="s">
        <v>981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981</v>
      </c>
      <c r="K423" s="0" t="s">
        <v>981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981</v>
      </c>
      <c r="K424" s="0" t="s">
        <v>981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981</v>
      </c>
      <c r="K425" s="0" t="s">
        <v>981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981</v>
      </c>
      <c r="K426" s="0" t="s">
        <v>981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981</v>
      </c>
      <c r="K427" s="0" t="s">
        <v>981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981</v>
      </c>
      <c r="K428" s="0" t="s">
        <v>981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981</v>
      </c>
      <c r="K429" s="0" t="s">
        <v>981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981</v>
      </c>
      <c r="K430" s="0" t="s">
        <v>981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981</v>
      </c>
      <c r="K431" s="0" t="s">
        <v>981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981</v>
      </c>
      <c r="K432" s="0" t="s">
        <v>981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981</v>
      </c>
      <c r="K433" s="0" t="s">
        <v>981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981</v>
      </c>
      <c r="K434" s="0" t="s">
        <v>981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981</v>
      </c>
      <c r="K435" s="0" t="s">
        <v>981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981</v>
      </c>
      <c r="K436" s="0" t="s">
        <v>981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981</v>
      </c>
      <c r="K437" s="0" t="s">
        <v>981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981</v>
      </c>
      <c r="K438" s="0" t="s">
        <v>981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981</v>
      </c>
      <c r="K439" s="0" t="s">
        <v>981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981</v>
      </c>
      <c r="K440" s="0" t="s">
        <v>981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981</v>
      </c>
      <c r="K441" s="0" t="s">
        <v>981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981</v>
      </c>
      <c r="K442" s="0" t="s">
        <v>981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981</v>
      </c>
      <c r="K443" s="0" t="s">
        <v>981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981</v>
      </c>
      <c r="K444" s="0" t="s">
        <v>981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981</v>
      </c>
      <c r="K445" s="0" t="s">
        <v>981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981</v>
      </c>
      <c r="K446" s="0" t="s">
        <v>981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981</v>
      </c>
      <c r="K447" s="0" t="s">
        <v>981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981</v>
      </c>
      <c r="K448" s="0" t="s">
        <v>981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981</v>
      </c>
      <c r="K449" s="0" t="s">
        <v>981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981</v>
      </c>
      <c r="K450" s="0" t="s">
        <v>981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981</v>
      </c>
      <c r="K451" s="0" t="s">
        <v>981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981</v>
      </c>
      <c r="K452" s="0" t="s">
        <v>981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981</v>
      </c>
      <c r="K453" s="0" t="s">
        <v>981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981</v>
      </c>
      <c r="K454" s="0" t="s">
        <v>981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981</v>
      </c>
      <c r="K455" s="0" t="s">
        <v>981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981</v>
      </c>
      <c r="K456" s="0" t="s">
        <v>981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981</v>
      </c>
      <c r="K457" s="0" t="s">
        <v>981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981</v>
      </c>
      <c r="K458" s="0" t="s">
        <v>981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981</v>
      </c>
      <c r="K459" s="0" t="s">
        <v>981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981</v>
      </c>
      <c r="K460" s="0" t="s">
        <v>981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981</v>
      </c>
      <c r="K461" s="0" t="s">
        <v>981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981</v>
      </c>
      <c r="K462" s="0" t="s">
        <v>981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981</v>
      </c>
      <c r="K463" s="0" t="s">
        <v>981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981</v>
      </c>
      <c r="K464" s="0" t="s">
        <v>981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981</v>
      </c>
      <c r="K465" s="0" t="s">
        <v>981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981</v>
      </c>
      <c r="K466" s="0" t="s">
        <v>981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981</v>
      </c>
      <c r="K467" s="0" t="s">
        <v>981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981</v>
      </c>
      <c r="K468" s="0" t="s">
        <v>981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981</v>
      </c>
      <c r="K469" s="0" t="s">
        <v>981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981</v>
      </c>
      <c r="K470" s="0" t="s">
        <v>981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981</v>
      </c>
      <c r="K471" s="0" t="s">
        <v>981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981</v>
      </c>
      <c r="K472" s="0" t="s">
        <v>981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981</v>
      </c>
      <c r="K473" s="0" t="s">
        <v>981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981</v>
      </c>
      <c r="K474" s="0" t="s">
        <v>981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981</v>
      </c>
      <c r="K475" s="0" t="s">
        <v>981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981</v>
      </c>
      <c r="K476" s="0" t="s">
        <v>981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981</v>
      </c>
      <c r="K477" s="0" t="s">
        <v>981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981</v>
      </c>
      <c r="K478" s="0" t="s">
        <v>981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981</v>
      </c>
      <c r="K479" s="0" t="s">
        <v>981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981</v>
      </c>
      <c r="K480" s="0" t="s">
        <v>981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981</v>
      </c>
      <c r="K481" s="0" t="s">
        <v>981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981</v>
      </c>
      <c r="K482" s="0" t="s">
        <v>981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981</v>
      </c>
      <c r="K483" s="0" t="s">
        <v>981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981</v>
      </c>
      <c r="K484" s="0" t="s">
        <v>981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981</v>
      </c>
      <c r="K485" s="0" t="s">
        <v>981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981</v>
      </c>
      <c r="K486" s="0" t="s">
        <v>981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981</v>
      </c>
      <c r="K487" s="0" t="s">
        <v>981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981</v>
      </c>
      <c r="K488" s="0" t="s">
        <v>981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981</v>
      </c>
      <c r="K489" s="0" t="s">
        <v>981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981</v>
      </c>
      <c r="K490" s="0" t="s">
        <v>981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981</v>
      </c>
      <c r="K491" s="0" t="s">
        <v>981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981</v>
      </c>
      <c r="K492" s="0" t="s">
        <v>981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981</v>
      </c>
      <c r="K493" s="0" t="s">
        <v>981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981</v>
      </c>
      <c r="K494" s="0" t="s">
        <v>981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981</v>
      </c>
      <c r="K495" s="0" t="s">
        <v>981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981</v>
      </c>
      <c r="K496" s="0" t="s">
        <v>981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981</v>
      </c>
      <c r="K497" s="0" t="s">
        <v>981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981</v>
      </c>
      <c r="K498" s="0" t="s">
        <v>981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981</v>
      </c>
      <c r="K499" s="0" t="s">
        <v>981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981</v>
      </c>
      <c r="K500" s="0" t="s">
        <v>981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981</v>
      </c>
      <c r="K501" s="0" t="s">
        <v>981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981</v>
      </c>
      <c r="K502" s="0" t="s">
        <v>981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981</v>
      </c>
      <c r="K503" s="0" t="s">
        <v>981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981</v>
      </c>
      <c r="K504" s="0" t="s">
        <v>981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981</v>
      </c>
      <c r="K505" s="0" t="s">
        <v>981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981</v>
      </c>
      <c r="K506" s="0" t="s">
        <v>981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981</v>
      </c>
      <c r="K507" s="0" t="s">
        <v>981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981</v>
      </c>
      <c r="K508" s="0" t="s">
        <v>981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981</v>
      </c>
      <c r="K509" s="0" t="s">
        <v>981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981</v>
      </c>
      <c r="K510" s="0" t="s">
        <v>981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981</v>
      </c>
      <c r="K511" s="0" t="s">
        <v>981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981</v>
      </c>
      <c r="K512" s="0" t="s">
        <v>981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981</v>
      </c>
      <c r="K513" s="0" t="s">
        <v>981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981</v>
      </c>
      <c r="K514" s="0" t="s">
        <v>981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981</v>
      </c>
      <c r="K515" s="0" t="s">
        <v>981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981</v>
      </c>
      <c r="K516" s="0" t="s">
        <v>981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981</v>
      </c>
      <c r="K517" s="0" t="s">
        <v>981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981</v>
      </c>
      <c r="K518" s="0" t="s">
        <v>981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981</v>
      </c>
      <c r="K519" s="0" t="s">
        <v>981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981</v>
      </c>
      <c r="K520" s="0" t="s">
        <v>981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981</v>
      </c>
      <c r="K521" s="0" t="s">
        <v>981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981</v>
      </c>
      <c r="K522" s="0" t="s">
        <v>981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981</v>
      </c>
      <c r="K523" s="0" t="s">
        <v>981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981</v>
      </c>
      <c r="K524" s="0" t="s">
        <v>981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981</v>
      </c>
      <c r="K525" s="0" t="s">
        <v>981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981</v>
      </c>
      <c r="K526" s="0" t="s">
        <v>981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981</v>
      </c>
      <c r="K527" s="0" t="s">
        <v>981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981</v>
      </c>
      <c r="K528" s="0" t="s">
        <v>981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981</v>
      </c>
      <c r="K529" s="0" t="s">
        <v>981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981</v>
      </c>
      <c r="K530" s="0" t="s">
        <v>981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981</v>
      </c>
      <c r="K531" s="0" t="s">
        <v>981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981</v>
      </c>
      <c r="K532" s="0" t="s">
        <v>981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981</v>
      </c>
      <c r="K533" s="0" t="s">
        <v>981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981</v>
      </c>
      <c r="K534" s="0" t="s">
        <v>981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981</v>
      </c>
      <c r="K535" s="0" t="s">
        <v>981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981</v>
      </c>
      <c r="K536" s="0" t="s">
        <v>981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981</v>
      </c>
      <c r="K537" s="0" t="s">
        <v>981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981</v>
      </c>
      <c r="K538" s="0" t="s">
        <v>981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981</v>
      </c>
      <c r="K539" s="0" t="s">
        <v>981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981</v>
      </c>
      <c r="K540" s="0" t="s">
        <v>981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981</v>
      </c>
      <c r="K541" s="0" t="s">
        <v>981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981</v>
      </c>
      <c r="K542" s="0" t="s">
        <v>981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981</v>
      </c>
      <c r="K543" s="0" t="s">
        <v>981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981</v>
      </c>
      <c r="K544" s="0" t="s">
        <v>981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981</v>
      </c>
      <c r="K545" s="0" t="s">
        <v>981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981</v>
      </c>
      <c r="K546" s="0" t="s">
        <v>981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981</v>
      </c>
      <c r="K547" s="0" t="s">
        <v>981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981</v>
      </c>
      <c r="K548" s="0" t="s">
        <v>981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981</v>
      </c>
      <c r="K549" s="0" t="s">
        <v>981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981</v>
      </c>
      <c r="K550" s="0" t="s">
        <v>981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981</v>
      </c>
      <c r="K551" s="0" t="s">
        <v>981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981</v>
      </c>
      <c r="K552" s="0" t="s">
        <v>981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981</v>
      </c>
      <c r="K553" s="0" t="s">
        <v>981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981</v>
      </c>
      <c r="K554" s="0" t="s">
        <v>981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981</v>
      </c>
      <c r="K555" s="0" t="s">
        <v>981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981</v>
      </c>
      <c r="K556" s="0" t="s">
        <v>981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981</v>
      </c>
      <c r="K557" s="0" t="s">
        <v>981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981</v>
      </c>
      <c r="K558" s="0" t="s">
        <v>981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981</v>
      </c>
      <c r="K559" s="0" t="s">
        <v>981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981</v>
      </c>
      <c r="K560" s="0" t="s">
        <v>981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981</v>
      </c>
      <c r="K561" s="0" t="s">
        <v>981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981</v>
      </c>
      <c r="K562" s="0" t="s">
        <v>981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981</v>
      </c>
      <c r="K563" s="0" t="s">
        <v>981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981</v>
      </c>
      <c r="K564" s="0" t="s">
        <v>981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981</v>
      </c>
      <c r="K565" s="0" t="s">
        <v>981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981</v>
      </c>
      <c r="K566" s="0" t="s">
        <v>981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981</v>
      </c>
      <c r="K567" s="0" t="s">
        <v>981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981</v>
      </c>
      <c r="K568" s="0" t="s">
        <v>981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981</v>
      </c>
      <c r="K569" s="0" t="s">
        <v>981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981</v>
      </c>
      <c r="K570" s="0" t="s">
        <v>981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981</v>
      </c>
      <c r="K571" s="0" t="s">
        <v>981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981</v>
      </c>
      <c r="K572" s="0" t="s">
        <v>981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981</v>
      </c>
      <c r="K573" s="0" t="s">
        <v>981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981</v>
      </c>
      <c r="K574" s="0" t="s">
        <v>981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981</v>
      </c>
      <c r="K575" s="0" t="s">
        <v>981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981</v>
      </c>
      <c r="K576" s="0" t="s">
        <v>981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981</v>
      </c>
      <c r="K577" s="0" t="s">
        <v>981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981</v>
      </c>
      <c r="K578" s="0" t="s">
        <v>981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981</v>
      </c>
      <c r="K579" s="0" t="s">
        <v>981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981</v>
      </c>
      <c r="K580" s="0" t="s">
        <v>981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981</v>
      </c>
      <c r="K581" s="0" t="s">
        <v>981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981</v>
      </c>
      <c r="K582" s="0" t="s">
        <v>981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981</v>
      </c>
      <c r="K583" s="0" t="s">
        <v>981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981</v>
      </c>
      <c r="K584" s="0" t="s">
        <v>981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981</v>
      </c>
      <c r="K585" s="0" t="s">
        <v>981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981</v>
      </c>
      <c r="K586" s="0" t="s">
        <v>981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981</v>
      </c>
      <c r="K587" s="0" t="s">
        <v>981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981</v>
      </c>
      <c r="K588" s="0" t="s">
        <v>981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981</v>
      </c>
      <c r="K589" s="0" t="s">
        <v>981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981</v>
      </c>
      <c r="K590" s="0" t="s">
        <v>981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981</v>
      </c>
      <c r="K591" s="0" t="s">
        <v>981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981</v>
      </c>
      <c r="K592" s="0" t="s">
        <v>981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981</v>
      </c>
      <c r="K593" s="0" t="s">
        <v>981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981</v>
      </c>
      <c r="K594" s="0" t="s">
        <v>981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981</v>
      </c>
      <c r="K595" s="0" t="s">
        <v>981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981</v>
      </c>
      <c r="K596" s="0" t="s">
        <v>981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981</v>
      </c>
      <c r="K597" s="0" t="s">
        <v>981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981</v>
      </c>
      <c r="K598" s="0" t="s">
        <v>981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981</v>
      </c>
      <c r="K599" s="0" t="s">
        <v>981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981</v>
      </c>
      <c r="K600" s="0" t="s">
        <v>981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981</v>
      </c>
      <c r="K601" s="0" t="s">
        <v>981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981</v>
      </c>
      <c r="K602" s="0" t="s">
        <v>981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981</v>
      </c>
      <c r="K603" s="0" t="s">
        <v>981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981</v>
      </c>
      <c r="K604" s="0" t="s">
        <v>981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981</v>
      </c>
      <c r="K605" s="0" t="s">
        <v>981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981</v>
      </c>
      <c r="K606" s="0" t="s">
        <v>981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981</v>
      </c>
      <c r="K607" s="0" t="s">
        <v>981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981</v>
      </c>
      <c r="K608" s="0" t="s">
        <v>981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981</v>
      </c>
      <c r="K609" s="0" t="s">
        <v>981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981</v>
      </c>
      <c r="K610" s="0" t="s">
        <v>981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981</v>
      </c>
      <c r="K611" s="0" t="s">
        <v>981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981</v>
      </c>
      <c r="K612" s="0" t="s">
        <v>981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981</v>
      </c>
      <c r="K613" s="0" t="s">
        <v>981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981</v>
      </c>
      <c r="K614" s="0" t="s">
        <v>981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981</v>
      </c>
      <c r="K615" s="0" t="s">
        <v>981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981</v>
      </c>
      <c r="K616" s="0" t="s">
        <v>981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981</v>
      </c>
      <c r="K617" s="0" t="s">
        <v>981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981</v>
      </c>
      <c r="K618" s="0" t="s">
        <v>981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981</v>
      </c>
      <c r="K619" s="0" t="s">
        <v>981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981</v>
      </c>
      <c r="K620" s="0" t="s">
        <v>981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981</v>
      </c>
      <c r="K621" s="0" t="s">
        <v>981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981</v>
      </c>
      <c r="K622" s="0" t="s">
        <v>981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981</v>
      </c>
      <c r="K623" s="0" t="s">
        <v>981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981</v>
      </c>
      <c r="K624" s="0" t="s">
        <v>981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981</v>
      </c>
      <c r="K625" s="0" t="s">
        <v>981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981</v>
      </c>
      <c r="K626" s="0" t="s">
        <v>981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981</v>
      </c>
      <c r="K627" s="0" t="s">
        <v>981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981</v>
      </c>
      <c r="K628" s="0" t="s">
        <v>981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981</v>
      </c>
      <c r="K629" s="0" t="s">
        <v>981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981</v>
      </c>
      <c r="K630" s="0" t="s">
        <v>981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981</v>
      </c>
      <c r="K631" s="0" t="s">
        <v>981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981</v>
      </c>
      <c r="K632" s="0" t="s">
        <v>981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981</v>
      </c>
      <c r="K633" s="0" t="s">
        <v>981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981</v>
      </c>
      <c r="K634" s="0" t="s">
        <v>981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981</v>
      </c>
      <c r="K635" s="0" t="s">
        <v>981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981</v>
      </c>
      <c r="K636" s="0" t="s">
        <v>981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981</v>
      </c>
      <c r="K637" s="0" t="s">
        <v>981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981</v>
      </c>
      <c r="K638" s="0" t="s">
        <v>981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981</v>
      </c>
      <c r="K639" s="0" t="s">
        <v>981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981</v>
      </c>
      <c r="K640" s="0" t="s">
        <v>981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981</v>
      </c>
      <c r="K641" s="0" t="s">
        <v>981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981</v>
      </c>
      <c r="K642" s="0" t="s">
        <v>981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981</v>
      </c>
      <c r="K643" s="0" t="s">
        <v>981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981</v>
      </c>
      <c r="K644" s="0" t="s">
        <v>981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981</v>
      </c>
      <c r="K645" s="0" t="s">
        <v>981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981</v>
      </c>
      <c r="K646" s="0" t="s">
        <v>981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981</v>
      </c>
      <c r="K647" s="0" t="s">
        <v>981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981</v>
      </c>
      <c r="K648" s="0" t="s">
        <v>981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981</v>
      </c>
      <c r="K649" s="0" t="s">
        <v>981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981</v>
      </c>
      <c r="K650" s="0" t="s">
        <v>981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981</v>
      </c>
      <c r="K651" s="0" t="s">
        <v>981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981</v>
      </c>
      <c r="K652" s="0" t="s">
        <v>981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981</v>
      </c>
      <c r="K653" s="0" t="s">
        <v>981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981</v>
      </c>
      <c r="K654" s="0" t="s">
        <v>981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981</v>
      </c>
      <c r="K655" s="0" t="s">
        <v>981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981</v>
      </c>
      <c r="K656" s="0" t="s">
        <v>981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981</v>
      </c>
      <c r="K657" s="0" t="s">
        <v>981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981</v>
      </c>
      <c r="K658" s="0" t="s">
        <v>981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981</v>
      </c>
      <c r="K659" s="0" t="s">
        <v>981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981</v>
      </c>
      <c r="K660" s="0" t="s">
        <v>981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981</v>
      </c>
      <c r="K661" s="0" t="s">
        <v>981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981</v>
      </c>
      <c r="K662" s="0" t="s">
        <v>981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981</v>
      </c>
      <c r="K663" s="0" t="s">
        <v>981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981</v>
      </c>
      <c r="K664" s="0" t="s">
        <v>981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981</v>
      </c>
      <c r="K665" s="0" t="s">
        <v>981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981</v>
      </c>
      <c r="K666" s="0" t="s">
        <v>981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981</v>
      </c>
      <c r="K667" s="0" t="s">
        <v>981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981</v>
      </c>
      <c r="K668" s="0" t="s">
        <v>981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981</v>
      </c>
      <c r="K669" s="0" t="s">
        <v>981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981</v>
      </c>
      <c r="K670" s="0" t="s">
        <v>981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981</v>
      </c>
      <c r="K671" s="0" t="s">
        <v>981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981</v>
      </c>
      <c r="K672" s="0" t="s">
        <v>981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981</v>
      </c>
      <c r="K673" s="0" t="s">
        <v>981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981</v>
      </c>
      <c r="K674" s="0" t="s">
        <v>981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981</v>
      </c>
      <c r="K675" s="0" t="s">
        <v>981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981</v>
      </c>
      <c r="K676" s="0" t="s">
        <v>981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981</v>
      </c>
      <c r="K677" s="0" t="s">
        <v>981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981</v>
      </c>
      <c r="K678" s="0" t="s">
        <v>981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981</v>
      </c>
      <c r="K679" s="0" t="s">
        <v>981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981</v>
      </c>
      <c r="K680" s="0" t="s">
        <v>981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981</v>
      </c>
      <c r="K681" s="0" t="s">
        <v>981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981</v>
      </c>
      <c r="K682" s="0" t="s">
        <v>981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981</v>
      </c>
      <c r="K683" s="0" t="s">
        <v>981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981</v>
      </c>
      <c r="K684" s="0" t="s">
        <v>981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981</v>
      </c>
      <c r="K685" s="0" t="s">
        <v>981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981</v>
      </c>
      <c r="K686" s="0" t="s">
        <v>981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981</v>
      </c>
      <c r="K687" s="0" t="s">
        <v>981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981</v>
      </c>
      <c r="K688" s="0" t="s">
        <v>981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981</v>
      </c>
      <c r="K689" s="0" t="s">
        <v>981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981</v>
      </c>
      <c r="K690" s="0" t="s">
        <v>981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981</v>
      </c>
      <c r="K691" s="0" t="s">
        <v>981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981</v>
      </c>
      <c r="K692" s="0" t="s">
        <v>981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981</v>
      </c>
      <c r="K693" s="0" t="s">
        <v>981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981</v>
      </c>
      <c r="K694" s="0" t="s">
        <v>981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981</v>
      </c>
      <c r="K695" s="0" t="s">
        <v>981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981</v>
      </c>
      <c r="K696" s="0" t="s">
        <v>981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981</v>
      </c>
      <c r="K697" s="0" t="s">
        <v>981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981</v>
      </c>
      <c r="K698" s="0" t="s">
        <v>981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981</v>
      </c>
      <c r="K699" s="0" t="s">
        <v>981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981</v>
      </c>
      <c r="K700" s="0" t="s">
        <v>981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981</v>
      </c>
      <c r="K701" s="0" t="s">
        <v>981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981</v>
      </c>
      <c r="K702" s="0" t="s">
        <v>981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981</v>
      </c>
      <c r="K703" s="0" t="s">
        <v>981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981</v>
      </c>
      <c r="K704" s="0" t="s">
        <v>981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981</v>
      </c>
      <c r="K705" s="0" t="s">
        <v>981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981</v>
      </c>
      <c r="K706" s="0" t="s">
        <v>981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981</v>
      </c>
      <c r="K707" s="0" t="s">
        <v>981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981</v>
      </c>
      <c r="K708" s="0" t="s">
        <v>981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981</v>
      </c>
      <c r="K709" s="0" t="s">
        <v>981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981</v>
      </c>
      <c r="K710" s="0" t="s">
        <v>981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981</v>
      </c>
      <c r="K711" s="0" t="s">
        <v>981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981</v>
      </c>
      <c r="K712" s="0" t="s">
        <v>981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981</v>
      </c>
      <c r="K713" s="0" t="s">
        <v>981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981</v>
      </c>
      <c r="K714" s="0" t="s">
        <v>981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981</v>
      </c>
      <c r="K715" s="0" t="s">
        <v>981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981</v>
      </c>
      <c r="K716" s="0" t="s">
        <v>981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981</v>
      </c>
      <c r="K717" s="0" t="s">
        <v>981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981</v>
      </c>
      <c r="K718" s="0" t="s">
        <v>981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981</v>
      </c>
      <c r="K719" s="0" t="s">
        <v>981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981</v>
      </c>
      <c r="K720" s="0" t="s">
        <v>981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981</v>
      </c>
      <c r="K721" s="0" t="s">
        <v>981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981</v>
      </c>
      <c r="K722" s="0" t="s">
        <v>981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981</v>
      </c>
      <c r="K723" s="0" t="s">
        <v>981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981</v>
      </c>
      <c r="K724" s="0" t="s">
        <v>981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981</v>
      </c>
      <c r="K725" s="0" t="s">
        <v>981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981</v>
      </c>
      <c r="K726" s="0" t="s">
        <v>981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981</v>
      </c>
      <c r="K727" s="0" t="s">
        <v>981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981</v>
      </c>
      <c r="K728" s="0" t="s">
        <v>981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981</v>
      </c>
      <c r="K729" s="0" t="s">
        <v>981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981</v>
      </c>
      <c r="K730" s="0" t="s">
        <v>981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981</v>
      </c>
      <c r="K731" s="0" t="s">
        <v>981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981</v>
      </c>
      <c r="K732" s="0" t="s">
        <v>981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981</v>
      </c>
      <c r="K733" s="0" t="s">
        <v>981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981</v>
      </c>
      <c r="K734" s="0" t="s">
        <v>981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981</v>
      </c>
      <c r="K735" s="0" t="s">
        <v>981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981</v>
      </c>
      <c r="K736" s="0" t="s">
        <v>981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981</v>
      </c>
      <c r="K737" s="0" t="s">
        <v>981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981</v>
      </c>
      <c r="K738" s="0" t="s">
        <v>981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981</v>
      </c>
      <c r="K739" s="0" t="s">
        <v>981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981</v>
      </c>
      <c r="K740" s="0" t="s">
        <v>981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981</v>
      </c>
      <c r="K741" s="0" t="s">
        <v>981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981</v>
      </c>
      <c r="K742" s="0" t="s">
        <v>981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981</v>
      </c>
      <c r="K743" s="0" t="s">
        <v>981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981</v>
      </c>
      <c r="K744" s="0" t="s">
        <v>981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981</v>
      </c>
      <c r="K745" s="0" t="s">
        <v>981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981</v>
      </c>
      <c r="K746" s="0" t="s">
        <v>981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981</v>
      </c>
      <c r="K747" s="0" t="s">
        <v>981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981</v>
      </c>
      <c r="K748" s="0" t="s">
        <v>981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981</v>
      </c>
      <c r="K749" s="0" t="s">
        <v>981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981</v>
      </c>
      <c r="K750" s="0" t="s">
        <v>981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981</v>
      </c>
      <c r="K751" s="0" t="s">
        <v>981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981</v>
      </c>
      <c r="K752" s="0" t="s">
        <v>981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981</v>
      </c>
      <c r="K753" s="0" t="s">
        <v>981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981</v>
      </c>
      <c r="K754" s="0" t="s">
        <v>981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981</v>
      </c>
      <c r="K755" s="0" t="s">
        <v>981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981</v>
      </c>
      <c r="K756" s="0" t="s">
        <v>981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981</v>
      </c>
      <c r="K757" s="0" t="s">
        <v>981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981</v>
      </c>
      <c r="K758" s="0" t="s">
        <v>981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981</v>
      </c>
      <c r="K759" s="0" t="s">
        <v>981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981</v>
      </c>
      <c r="K760" s="0" t="s">
        <v>981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981</v>
      </c>
      <c r="K761" s="0" t="s">
        <v>981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981</v>
      </c>
      <c r="K762" s="0" t="s">
        <v>981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981</v>
      </c>
      <c r="K763" s="0" t="s">
        <v>981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981</v>
      </c>
      <c r="K764" s="0" t="s">
        <v>981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981</v>
      </c>
      <c r="K765" s="0" t="s">
        <v>981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981</v>
      </c>
      <c r="K766" s="0" t="s">
        <v>981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981</v>
      </c>
      <c r="K767" s="0" t="s">
        <v>981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981</v>
      </c>
      <c r="K768" s="0" t="s">
        <v>981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981</v>
      </c>
      <c r="K769" s="0" t="s">
        <v>981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981</v>
      </c>
      <c r="K770" s="0" t="s">
        <v>981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981</v>
      </c>
      <c r="K771" s="0" t="s">
        <v>981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981</v>
      </c>
      <c r="K772" s="0" t="s">
        <v>981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981</v>
      </c>
      <c r="K773" s="0" t="s">
        <v>981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981</v>
      </c>
      <c r="K774" s="0" t="s">
        <v>981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981</v>
      </c>
      <c r="K775" s="0" t="s">
        <v>981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981</v>
      </c>
      <c r="K776" s="0" t="s">
        <v>981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981</v>
      </c>
      <c r="K777" s="0" t="s">
        <v>981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981</v>
      </c>
      <c r="K778" s="0" t="s">
        <v>981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981</v>
      </c>
      <c r="K779" s="0" t="s">
        <v>981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981</v>
      </c>
      <c r="K780" s="0" t="s">
        <v>981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981</v>
      </c>
      <c r="K781" s="0" t="s">
        <v>981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981</v>
      </c>
      <c r="K782" s="0" t="s">
        <v>981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981</v>
      </c>
      <c r="K783" s="0" t="s">
        <v>981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981</v>
      </c>
      <c r="K784" s="0" t="s">
        <v>981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981</v>
      </c>
      <c r="K785" s="0" t="s">
        <v>981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981</v>
      </c>
      <c r="K786" s="0" t="s">
        <v>981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981</v>
      </c>
      <c r="K787" s="0" t="s">
        <v>981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981</v>
      </c>
      <c r="K788" s="0" t="s">
        <v>981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981</v>
      </c>
      <c r="K789" s="0" t="s">
        <v>981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981</v>
      </c>
      <c r="K790" s="0" t="s">
        <v>981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981</v>
      </c>
      <c r="K791" s="0" t="s">
        <v>981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981</v>
      </c>
      <c r="K792" s="0" t="s">
        <v>981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981</v>
      </c>
      <c r="K793" s="0" t="s">
        <v>981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981</v>
      </c>
      <c r="K794" s="0" t="s">
        <v>981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2026-10-13T00:25:31Z</dcterms:created>
  <dc:creator>openpyxl</dc:creator>
  <dc:description/>
  <dc:language>en-US</dc:language>
  <cp:lastModifiedBy/>
  <dcterms:modified xsi:type="dcterms:W3CDTF">2026-10-13T00:25:32Z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