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RAMETROS" sheetId="1" state="visible" r:id="rId3"/>
    <sheet name="PROY_INDEXADO" sheetId="2" state="visible" r:id="rId4"/>
    <sheet name="PROY_RESERVAS" sheetId="3" state="visible" r:id="rId5"/>
    <sheet name="DEMANDA" sheetId="4" state="visible" r:id="rId6"/>
    <sheet name="ESTACIONALIDAD" sheetId="5" state="visible" r:id="rId7"/>
    <sheet name="BOM_COEF" sheetId="6" state="visible" r:id="rId8"/>
    <sheet name="FAB_COMPRA" sheetId="7" state="visible" r:id="rId9"/>
    <sheet name="PROCESO" sheetId="8" state="visible" r:id="rId10"/>
    <sheet name="COMPRAS" sheetId="9" state="visible" r:id="rId11"/>
    <sheet name="INSUMOS_DIRECTOS_MANUALES" sheetId="10" state="visible" r:id="rId12"/>
    <sheet name="INSUMOS_INDIRECTOS_MANUALES" sheetId="11" state="visible" r:id="rId13"/>
    <sheet name="INSUMOS_DIRECTOS_RODANTES" sheetId="12" state="visible" r:id="rId14"/>
    <sheet name="INSUMOS_INDIRECTOS_RODANTES" sheetId="13" state="visible" r:id="rId15"/>
    <sheet name="INSUMOS_DIRECTOS_RECARGAS" sheetId="14" state="visible" r:id="rId16"/>
    <sheet name="INSUMOS_INDIRECTOS_RECARGAS" sheetId="15" state="visible" r:id="rId17"/>
    <sheet name="INSUMOS_DIRECTOS_REVENDIDOS" sheetId="16" state="visible" r:id="rId18"/>
    <sheet name="INSUMOS_INDIRECTOS_REVENDIDOS" sheetId="17" state="visible" r:id="rId19"/>
    <sheet name="CONSOLIDADO_INSUMOS" sheetId="18" state="visible" r:id="rId20"/>
    <sheet name="POLITICA_STOCK" sheetId="19" state="visible" r:id="rId21"/>
  </sheets>
  <definedNames>
    <definedName function="false" hidden="false" localSheetId="5" name="_xlnm.Print_Titles" vbProcedure="false">BOM_COEF!$3:$3</definedName>
    <definedName function="false" hidden="true" localSheetId="5" name="_xlnm._FilterDatabase" vbProcedure="false">BOM_COEF!$A$3:$AB$666</definedName>
    <definedName function="false" hidden="false" localSheetId="8" name="_xlnm.Print_Titles" vbProcedure="false">COMPRAS!$3:$3</definedName>
    <definedName function="false" hidden="true" localSheetId="8" name="_xlnm._FilterDatabase" vbProcedure="false">COMPRAS!$A$3:$R$130</definedName>
    <definedName function="false" hidden="false" localSheetId="17" name="_xlnm.Print_Titles" vbProcedure="false">CONSOLIDADO_INSUMOS!$3:$3</definedName>
    <definedName function="false" hidden="true" localSheetId="17" name="_xlnm._FilterDatabase" vbProcedure="false">CONSOLIDADO_INSUMOS!$A$3:$Y$350</definedName>
    <definedName function="false" hidden="false" localSheetId="3" name="_xlnm.Print_Titles" vbProcedure="false">DEMANDA!$3:$3</definedName>
    <definedName function="false" hidden="true" localSheetId="3" name="_xlnm._FilterDatabase" vbProcedure="false">DEMANDA!$A$3:$O$69</definedName>
    <definedName function="false" hidden="false" localSheetId="4" name="_xlnm.Print_Titles" vbProcedure="false">ESTACIONALIDAD!$3:$3</definedName>
    <definedName function="false" hidden="false" localSheetId="6" name="_xlnm.Print_Titles" vbProcedure="false">FAB_COMPRA!$3:$3</definedName>
    <definedName function="false" hidden="false" localSheetId="9" name="_xlnm.Print_Titles" vbProcedure="false">INSUMOS_DIRECTOS_MANUALES!$3:$3</definedName>
    <definedName function="false" hidden="true" localSheetId="9" name="_xlnm._FilterDatabase" vbProcedure="false">INSUMOS_DIRECTOS_MANUALES!$A$3:$R$214</definedName>
    <definedName function="false" hidden="false" localSheetId="13" name="_xlnm.Print_Titles" vbProcedure="false">INSUMOS_DIRECTOS_RECARGAS!$3:$3</definedName>
    <definedName function="false" hidden="true" localSheetId="13" name="_xlnm._FilterDatabase" vbProcedure="false">INSUMOS_DIRECTOS_RECARGAS!$A$3:$R$616</definedName>
    <definedName function="false" hidden="false" localSheetId="15" name="_xlnm.Print_Titles" vbProcedure="false">INSUMOS_DIRECTOS_REVENDIDOS!$3:$3</definedName>
    <definedName function="false" hidden="true" localSheetId="15" name="_xlnm._FilterDatabase" vbProcedure="false">INSUMOS_DIRECTOS_REVENDIDOS!$A$3:$R$31</definedName>
    <definedName function="false" hidden="false" localSheetId="11" name="_xlnm.Print_Titles" vbProcedure="false">INSUMOS_DIRECTOS_RODANTES!$3:$3</definedName>
    <definedName function="false" hidden="true" localSheetId="11" name="_xlnm._FilterDatabase" vbProcedure="false">INSUMOS_DIRECTOS_RODANTES!$A$3:$R$237</definedName>
    <definedName function="false" hidden="false" localSheetId="10" name="_xlnm.Print_Titles" vbProcedure="false">INSUMOS_INDIRECTOS_MANUALES!$3:$3</definedName>
    <definedName function="false" hidden="true" localSheetId="10" name="_xlnm._FilterDatabase" vbProcedure="false">INSUMOS_INDIRECTOS_MANUALES!$A$3:$R$48</definedName>
    <definedName function="false" hidden="false" localSheetId="14" name="_xlnm.Print_Titles" vbProcedure="false">INSUMOS_INDIRECTOS_RECARGAS!$3:$3</definedName>
    <definedName function="false" hidden="true" localSheetId="14" name="_xlnm._FilterDatabase" vbProcedure="false">INSUMOS_INDIRECTOS_RECARGAS!$A$3:$R$46</definedName>
    <definedName function="false" hidden="false" localSheetId="16" name="_xlnm.Print_Titles" vbProcedure="false">INSUMOS_INDIRECTOS_REVENDIDOS!$3:$3</definedName>
    <definedName function="false" hidden="true" localSheetId="16" name="_xlnm._FilterDatabase" vbProcedure="false">INSUMOS_INDIRECTOS_REVENDIDOS!$A$3:$R$4</definedName>
    <definedName function="false" hidden="false" localSheetId="12" name="_xlnm.Print_Titles" vbProcedure="false">INSUMOS_INDIRECTOS_RODANTES!$3:$3</definedName>
    <definedName function="false" hidden="true" localSheetId="12" name="_xlnm._FilterDatabase" vbProcedure="false">INSUMOS_INDIRECTOS_RODANTES!$A$3:$R$86</definedName>
    <definedName function="false" hidden="false" localSheetId="0" name="_xlnm.Print_Titles" vbProcedure="false">PARAMETROS!$3:$3</definedName>
    <definedName function="false" hidden="false" localSheetId="18" name="_xlnm.Print_Titles" vbProcedure="false">POLITICA_STOCK!$3:$3</definedName>
    <definedName function="false" hidden="true" localSheetId="18" name="_xlnm._FilterDatabase" vbProcedure="false">POLITICA_STOCK!$A$3:$AM$126</definedName>
    <definedName function="false" hidden="false" localSheetId="7" name="_xlnm.Print_Titles" vbProcedure="false">PROCESO!$3:$3</definedName>
    <definedName function="false" hidden="true" localSheetId="7" name="_xlnm._FilterDatabase" vbProcedure="false">PROCESO!$A$3:$J$168</definedName>
    <definedName function="false" hidden="false" name="C_COD" vbProcedure="false">COMPRAS!$A$4:$A$130</definedName>
    <definedName function="false" hidden="false" name="C_TAB" vbProcedure="false">COMPRAS!$A$4:$R$130</definedName>
    <definedName function="false" hidden="false" name="PY_ID" vbProcedure="false">PARAMETROS!$A$31:$A$33</definedName>
    <definedName function="false" hidden="false" name="PY_VAL" vbProcedure="false">PARAMETROS!$C$31:$L$33</definedName>
    <definedName function="false" hidden="false" name="P_ID" vbProcedure="false">PARAMETROS!$A$4:$A$27</definedName>
    <definedName function="false" hidden="false" name="P_VAL" vbProcedure="false">PARAMETROS!$C$4:$C$27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<sst xmlns="http://schemas.openxmlformats.org/spreadsheetml/2006/main" count="17098" uniqueCount="3892">
  <si>
    <t xml:space="preserve">PARÁMETROS DEL MRP: cada dato que entra en una cuenta, con ID, valor y fuente</t>
  </si>
  <si>
    <t xml:space="preserve">Las fórmulas de las demás hojas los buscan por ID (INDEX / MATCH). Las normas se citan por cláusula.</t>
  </si>
  <si>
    <t xml:space="preserve">ID</t>
  </si>
  <si>
    <t xml:space="preserve">Dato</t>
  </si>
  <si>
    <t xml:space="preserve">Valor</t>
  </si>
  <si>
    <t xml:space="preserve">Unidad</t>
  </si>
  <si>
    <t xml:space="preserve">Fuente</t>
  </si>
  <si>
    <t xml:space="preserve">Nota</t>
  </si>
  <si>
    <t xml:space="preserve">AÑO_DIS</t>
  </si>
  <si>
    <t xml:space="preserve">Año de diseño de la política de stock (año 10)</t>
  </si>
  <si>
    <t xml:space="preserve">año</t>
  </si>
  <si>
    <t xml:space="preserve">Decisión FLAMA</t>
  </si>
  <si>
    <t xml:space="preserve">DH_MES</t>
  </si>
  <si>
    <t xml:space="preserve">Días hábiles por mes</t>
  </si>
  <si>
    <t xml:space="preserve">día</t>
  </si>
  <si>
    <t xml:space="preserve">Dimensionamiento Técnico V2, hoja Parametros: «Días hábiles/mes: 20»</t>
  </si>
  <si>
    <t xml:space="preserve">Coincide con el proceso de manuales: 72.089 terminados / 300 por día = 240 días</t>
  </si>
  <si>
    <t xml:space="preserve">DH_AÑO</t>
  </si>
  <si>
    <t xml:space="preserve">Días hábiles por año</t>
  </si>
  <si>
    <t xml:space="preserve">12 × DH_MES</t>
  </si>
  <si>
    <t xml:space="preserve">MERMA_POLVO</t>
  </si>
  <si>
    <t xml:space="preserve">Merma de polvo en la carga de fábrica</t>
  </si>
  <si>
    <t xml:space="preserve">fracción</t>
  </si>
  <si>
    <t xml:space="preserve">Proceso de carros, puesto 1, tabla 3: «carga de cada carro + 1 % de merma»</t>
  </si>
  <si>
    <t xml:space="preserve">Se aplica también a manuales (misma máquina de carga por vacío)</t>
  </si>
  <si>
    <t xml:space="preserve">RHO_N2</t>
  </si>
  <si>
    <t xml:space="preserve">Densidad normal del nitrógeno</t>
  </si>
  <si>
    <t xml:space="preserve">kg/m³</t>
  </si>
  <si>
    <t xml:space="preserve">FLAMA_BOM.xlsx, REFERENCIAS, GAS_N2 (masa molar / volumen molar normal)</t>
  </si>
  <si>
    <t xml:space="preserve">Pasa el gas del BOM (kg) a m³ normales, que es como lo vende Air Liquide</t>
  </si>
  <si>
    <t xml:space="preserve">RHO_AR</t>
  </si>
  <si>
    <t xml:space="preserve">Densidad normal del argón</t>
  </si>
  <si>
    <t xml:space="preserve">FLAMA_BOM.xlsx, REFERENCIAS, GAS_AR</t>
  </si>
  <si>
    <t xml:space="preserve">N2_PERD</t>
  </si>
  <si>
    <t xml:space="preserve">Pérdidas de N₂ en la presurización (pinza, mangueras y purgas)</t>
  </si>
  <si>
    <t xml:space="preserve">Planilla de MP (opción D), Coef Fabricación: factor 1,3 (estimado)</t>
  </si>
  <si>
    <t xml:space="preserve">El proceso de manuales las menciona («más las pérdidas de la pinza y las purgas») sin cuantificarlas</t>
  </si>
  <si>
    <t xml:space="preserve">CTRL_AÑO</t>
  </si>
  <si>
    <t xml:space="preserve">Controles periódicos por equipo atendido y por año</t>
  </si>
  <si>
    <t xml:space="preserve">control</t>
  </si>
  <si>
    <t xml:space="preserve">IRAM 3517-2:2020, 8.2: control periódico trimestral</t>
  </si>
  <si>
    <t xml:space="preserve">Supone que FLAMA, como prestador, hace los controles de los equipos que mantiene; si los hace el usuario, poner 0</t>
  </si>
  <si>
    <t xml:space="preserve">P_RETOQUE</t>
  </si>
  <si>
    <t xml:space="preserve">Equipos de recarga que llegan con la pintura deteriorada</t>
  </si>
  <si>
    <t xml:space="preserve">Dimensionamiento Técnico V2, Parametros Recargas (IRAM 3517-2:2020 9.10)</t>
  </si>
  <si>
    <t xml:space="preserve">RETOQUE_L</t>
  </si>
  <si>
    <t xml:space="preserve">Esmalte por retoque</t>
  </si>
  <si>
    <t xml:space="preserve">L/equipo</t>
  </si>
  <si>
    <t xml:space="preserve">Planilla de MP, Coef Recargas (estimado)</t>
  </si>
  <si>
    <t xml:space="preserve">REPO_VALV</t>
  </si>
  <si>
    <t xml:space="preserve">Válvulas que se reemplazan en el mantenimiento (ABC)</t>
  </si>
  <si>
    <t xml:space="preserve">La IRAM 3517-2 manda reemplazar lo que no pasa la inspección, sin fijar una tasa</t>
  </si>
  <si>
    <t xml:space="preserve">REPO_MANO</t>
  </si>
  <si>
    <t xml:space="preserve">Manómetros que se reemplazan en el mantenimiento (ABC)</t>
  </si>
  <si>
    <t xml:space="preserve">Ídem</t>
  </si>
  <si>
    <t xml:space="preserve">REPO_MANG</t>
  </si>
  <si>
    <t xml:space="preserve">Mangueras que se reemplazan en el mantenimiento (ABC)</t>
  </si>
  <si>
    <t xml:space="preserve">PINT_RHO</t>
  </si>
  <si>
    <t xml:space="preserve">Densidad de la pintura en polvo poliéster</t>
  </si>
  <si>
    <t xml:space="preserve">g/cm³</t>
  </si>
  <si>
    <t xml:space="preserve">Ficha técnica WEG Politherm 20 R (densidad 1,63; rendimiento 8,76 m²/kg a 70 µm)</t>
  </si>
  <si>
    <t xml:space="preserve">Rango usual 1,5 a 1,8 g/cm³</t>
  </si>
  <si>
    <t xml:space="preserve">PINT_ESP</t>
  </si>
  <si>
    <t xml:space="preserve">Espesor seco de película</t>
  </si>
  <si>
    <t xml:space="preserve">µm</t>
  </si>
  <si>
    <t xml:space="preserve">Ficha técnica WEG Politherm: «espesura media 70 µm»</t>
  </si>
  <si>
    <t xml:space="preserve">El proceso controla el espesor seco por muestreo; el plano no fija un valor</t>
  </si>
  <si>
    <t xml:space="preserve">PINT_APROV</t>
  </si>
  <si>
    <t xml:space="preserve">Aprovechamiento del polvo con recuperación</t>
  </si>
  <si>
    <t xml:space="preserve">Powder Coating Institute (citado por Products Finishing): 95 a 98 % con recuperación</t>
  </si>
  <si>
    <t xml:space="preserve">El proceso de manuales usa cabina «con recuperación de polvo»; se toma el mínimo del rango</t>
  </si>
  <si>
    <t xml:space="preserve">GRANALLA</t>
  </si>
  <si>
    <t xml:space="preserve">Granalla de reposición por cilindro</t>
  </si>
  <si>
    <t xml:space="preserve">kg</t>
  </si>
  <si>
    <t xml:space="preserve">Proceso de manuales, granallado: «unos 0,08 kg por cilindro según la BOM: unos 133 kg por día en el pico»</t>
  </si>
  <si>
    <t xml:space="preserve">TAPON_CICLOS</t>
  </si>
  <si>
    <t xml:space="preserve">Ciclos de vida de un tapón de silicona</t>
  </si>
  <si>
    <t xml:space="preserve">ciclo</t>
  </si>
  <si>
    <t xml:space="preserve">Planilla de MP, Coef Fabricación (estimado)</t>
  </si>
  <si>
    <t xml:space="preserve">Los tapones circulan (1.665 en el pico); se repone uno cada 50 usos</t>
  </si>
  <si>
    <t xml:space="preserve">DISCO_MAN</t>
  </si>
  <si>
    <t xml:space="preserve">Recipientes por disco de amolado (manuales)</t>
  </si>
  <si>
    <t xml:space="preserve">u</t>
  </si>
  <si>
    <t xml:space="preserve">Corrección de defectos con disco flap</t>
  </si>
  <si>
    <t xml:space="preserve">GAS_MAN_AJ</t>
  </si>
  <si>
    <t xml:space="preserve">Ajuste del gas MAG de manuales al consumo del proceso</t>
  </si>
  <si>
    <t xml:space="preserve">factor</t>
  </si>
  <si>
    <t xml:space="preserve">Proceso de manuales, recepción: «unos 48 m³ por día en el pico»; con la producción del pico de ese proceso (1.216 tramos de 1 kg; 99, 446 y 27 desarrollos de 2,5, 5 y 10 kg) los coeficientes de la planilla dan 43,3 m³</t>
  </si>
  <si>
    <t xml:space="preserve">Es el gas de arranque y cierre de cada costura, que la geometría no cuenta (el proceso de carros lo suma: 0,1 a 0,2 min por costura)</t>
  </si>
  <si>
    <t xml:space="preserve">ALAMBRE_PUNTA</t>
  </si>
  <si>
    <t xml:space="preserve">Alambre por punta de contacto</t>
  </si>
  <si>
    <t xml:space="preserve">APROV_CANO</t>
  </si>
  <si>
    <t xml:space="preserve">Aprovechamiento de las barras de caño (carros)</t>
  </si>
  <si>
    <t xml:space="preserve">Proceso de carros, 8.1: «Se tomó un 95 % de aprovechamiento de las barras de caño»</t>
  </si>
  <si>
    <t xml:space="preserve">FILM_PALLET</t>
  </si>
  <si>
    <t xml:space="preserve">Film stretch por pallet</t>
  </si>
  <si>
    <t xml:space="preserve">Planilla de MP, Coef Fabricación (estimado con el pre-estirado de la envolvedora EDOS PS5)</t>
  </si>
  <si>
    <t xml:space="preserve">ESQ_PALLET</t>
  </si>
  <si>
    <t xml:space="preserve">Esquineros por pallet de cilindros de carro</t>
  </si>
  <si>
    <t xml:space="preserve">Planilla de MP (estimado)</t>
  </si>
  <si>
    <t xml:space="preserve">PARÁMETROS POR AÑO</t>
  </si>
  <si>
    <t xml:space="preserve">P_USADOS</t>
  </si>
  <si>
    <t xml:space="preserve">Recargas de equipos usados (accionados) / recargas totales</t>
  </si>
  <si>
    <t xml:space="preserve">Proyecciones, hojas PROYECCION SALUD / EDUCACION / INDUSTRIASALM / HOTELES: columnas «Mat Usados» / «RECARGAS TOT» (O / P) del año</t>
  </si>
  <si>
    <t xml:space="preserve">P_CABA_REC</t>
  </si>
  <si>
    <t xml:space="preserve">Recargas con destino CABA</t>
  </si>
  <si>
    <t xml:space="preserve">PROY_INDEXADO: CABA Norte/Este/Sur/Oeste (filas 61-64) / subtotal (fila 75)</t>
  </si>
  <si>
    <t xml:space="preserve">P_CABA_NUE</t>
  </si>
  <si>
    <t xml:space="preserve">Unidades nuevas con destino CABA</t>
  </si>
  <si>
    <t xml:space="preserve">PROY_INDEXADO: distribución de unidades nuevas (filas 79-82 / 93); es la única distribución de unidades nuevas de las Proyecciones</t>
  </si>
  <si>
    <t xml:space="preserve">PRODUCCION DE MATAFUEGOS TERMINADOS </t>
  </si>
  <si>
    <t xml:space="preserve">Demanda</t>
  </si>
  <si>
    <t xml:space="preserve">%</t>
  </si>
  <si>
    <t xml:space="preserve">ABC 1 kg</t>
  </si>
  <si>
    <t xml:space="preserve">ABC 2,5 kg</t>
  </si>
  <si>
    <t xml:space="preserve">ABC 5 kg</t>
  </si>
  <si>
    <t xml:space="preserve">ABC 10 kg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</si>
  <si>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</si>
  <si>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</si>
  <si>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</si>
  <si>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</si>
  <si>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</si>
  <si>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</si>
  <si>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</si>
  <si>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</si>
  <si>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</si>
  <si>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</si>
  <si>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</si>
  <si>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</si>
  <si>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</si>
  <si>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</si>
  <si>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</si>
  <si>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RECARGAS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</si>
  <si>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</si>
  <si>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</si>
  <si>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</si>
  <si>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</si>
  <si>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</si>
  <si>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</si>
  <si>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</si>
  <si>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</si>
  <si>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</si>
  <si>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</si>
  <si>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</si>
  <si>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</si>
  <si>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</si>
  <si>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</si>
  <si>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</si>
  <si>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</si>
  <si>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</si>
  <si>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</si>
  <si>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</si>
  <si>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</si>
  <si>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</si>
  <si>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</si>
  <si>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</si>
  <si>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</si>
  <si>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</si>
  <si>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</si>
  <si>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</si>
  <si>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</si>
  <si>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</si>
  <si>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</si>
  <si>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</si>
  <si>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</si>
  <si>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</si>
  <si>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</si>
  <si>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</si>
  <si>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</si>
  <si>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</si>
  <si>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</si>
  <si>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</si>
  <si>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</si>
  <si>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</si>
  <si>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</si>
  <si>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</si>
  <si>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</si>
  <si>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</si>
  <si>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</si>
  <si>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</si>
  <si>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</si>
  <si>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</si>
  <si>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</si>
  <si>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</si>
  <si>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</si>
  <si>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</si>
  <si>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</si>
  <si>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</si>
  <si>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</si>
  <si>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</si>
  <si>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</si>
  <si>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</si>
  <si>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</si>
  <si>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</si>
  <si>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</si>
  <si>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</si>
  <si>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</si>
  <si>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</si>
  <si>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</si>
  <si>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</si>
  <si>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</si>
  <si>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</si>
  <si>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</si>
  <si>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</si>
  <si>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</si>
  <si>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</si>
  <si>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</si>
  <si>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</si>
  <si>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</si>
  <si>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</si>
  <si>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</si>
  <si>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</si>
  <si>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</si>
  <si>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</si>
  <si>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</si>
  <si>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</si>
  <si>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</si>
  <si>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</si>
  <si>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</si>
  <si>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</si>
  <si>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</si>
  <si>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</si>
  <si>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DEMANDA POR PRODUCTO Y LÍNEA (unidades por año)</t>
  </si>
  <si>
    <t xml:space="preserve">Fórmulas sobre PROY_INDEXADO y PROY_RESERVAS (copias de las Proyecciones). Si se pegan valores nuevos en esas dos hojas, todo el MRP se recalcula.</t>
  </si>
  <si>
    <t xml:space="preserve">Línea</t>
  </si>
  <si>
    <t xml:space="preserve">Clave</t>
  </si>
  <si>
    <t xml:space="preserve">Producto</t>
  </si>
  <si>
    <t xml:space="preserve">Origen (fila de las Proyecciones)</t>
  </si>
  <si>
    <t xml:space="preserve">Perfil estacional</t>
  </si>
  <si>
    <t xml:space="preserve">MANUALES</t>
  </si>
  <si>
    <t xml:space="preserve">FL_MAT_ABC_1kg</t>
  </si>
  <si>
    <t xml:space="preserve">Matafuego ABC 1 kg nuevo</t>
  </si>
  <si>
    <t xml:space="preserve">Indexado fila 3</t>
  </si>
  <si>
    <t xml:space="preserve">Ventas automovilístico (1 kg)</t>
  </si>
  <si>
    <t xml:space="preserve">FL_MAT_ABC_2.5kg</t>
  </si>
  <si>
    <t xml:space="preserve">Matafuego ABC 2,5 kg nuevo</t>
  </si>
  <si>
    <t xml:space="preserve">Indexado fila 4</t>
  </si>
  <si>
    <t xml:space="preserve">Ventas manual comercial (2,5 / 5 / 10 kg)</t>
  </si>
  <si>
    <t xml:space="preserve">FL_MAT_ABC_5kg</t>
  </si>
  <si>
    <t xml:space="preserve">Matafuego ABC 5 kg nuevo (incluye la venta de reserva)</t>
  </si>
  <si>
    <t xml:space="preserve">Indexado fila 5 + Reservas fila 30 (venta de reserva, IRAM 3517-2 5.3)</t>
  </si>
  <si>
    <t xml:space="preserve">FL_MAT_ABC_10kg</t>
  </si>
  <si>
    <t xml:space="preserve">Matafuego ABC 10 kg nuevo</t>
  </si>
  <si>
    <t xml:space="preserve">Indexado fila 6</t>
  </si>
  <si>
    <t xml:space="preserve">RODANTES</t>
  </si>
  <si>
    <t xml:space="preserve">FL_MAT_ABC_25kg</t>
  </si>
  <si>
    <t xml:space="preserve">Matafuego ABC 25 kg nuevo</t>
  </si>
  <si>
    <t xml:space="preserve">Indexado fila 7</t>
  </si>
  <si>
    <t xml:space="preserve">Ventas industrial s/ruedas (25 - 100 kg)</t>
  </si>
  <si>
    <t xml:space="preserve">FL_MAT_ABC_50kg</t>
  </si>
  <si>
    <t xml:space="preserve">Matafuego ABC 50 kg nuevo</t>
  </si>
  <si>
    <t xml:space="preserve">Indexado fila 8</t>
  </si>
  <si>
    <t xml:space="preserve">FL_MAT_ABC_70kg</t>
  </si>
  <si>
    <t xml:space="preserve">Matafuego ABC 70 kg nuevo</t>
  </si>
  <si>
    <t xml:space="preserve">Indexado fila 9</t>
  </si>
  <si>
    <t xml:space="preserve">FL_MAT_ABC_100kg</t>
  </si>
  <si>
    <t xml:space="preserve">Matafuego ABC 100 kg nuevo</t>
  </si>
  <si>
    <t xml:space="preserve">Indexado fila 10</t>
  </si>
  <si>
    <t xml:space="preserve">FL_REC_ABC_1kg</t>
  </si>
  <si>
    <t xml:space="preserve">Cilindro vacío ABC 1 kg (venta suelto)</t>
  </si>
  <si>
    <t xml:space="preserve">Indexado fila 15</t>
  </si>
  <si>
    <t xml:space="preserve">FL_REC_ABC_2.5kg</t>
  </si>
  <si>
    <t xml:space="preserve">Cilindro vacío ABC 2,5 kg (venta suelto)</t>
  </si>
  <si>
    <t xml:space="preserve">Indexado fila 16</t>
  </si>
  <si>
    <t xml:space="preserve">FL_REC_ABC_5kg</t>
  </si>
  <si>
    <t xml:space="preserve">Cilindro vacío ABC 5 kg (venta suelto)</t>
  </si>
  <si>
    <t xml:space="preserve">Indexado fila 17</t>
  </si>
  <si>
    <t xml:space="preserve">FL_REC_ABC_10kg</t>
  </si>
  <si>
    <t xml:space="preserve">Cilindro vacío ABC 10 kg (venta suelto)</t>
  </si>
  <si>
    <t xml:space="preserve">Indexado fila 18</t>
  </si>
  <si>
    <t xml:space="preserve">FL_REC_ABC_25kg</t>
  </si>
  <si>
    <t xml:space="preserve">Cilindro vacío ABC 25 kg (venta suelto)</t>
  </si>
  <si>
    <t xml:space="preserve">Indexado fila 19</t>
  </si>
  <si>
    <t xml:space="preserve">FL_REC_ABC_50kg</t>
  </si>
  <si>
    <t xml:space="preserve">Cilindro vacío ABC 50 kg (venta suelto)</t>
  </si>
  <si>
    <t xml:space="preserve">Indexado fila 20</t>
  </si>
  <si>
    <t xml:space="preserve">FL_REC_ABC_70kg</t>
  </si>
  <si>
    <t xml:space="preserve">Cilindro vacío ABC 70 kg (venta suelto)</t>
  </si>
  <si>
    <t xml:space="preserve">Indexado fila 21</t>
  </si>
  <si>
    <t xml:space="preserve">FL_REC_ABC_100kg</t>
  </si>
  <si>
    <t xml:space="preserve">Cilindro vacío ABC 100 kg (venta suelto)</t>
  </si>
  <si>
    <t xml:space="preserve">Indexado fila 22</t>
  </si>
  <si>
    <t xml:space="preserve">RK_ABC_1kg</t>
  </si>
  <si>
    <t xml:space="preserve">Recarga ABC 1 kg (equipos de clientes)</t>
  </si>
  <si>
    <t xml:space="preserve">Indexado fila 27</t>
  </si>
  <si>
    <t xml:space="preserve">Recargas automovilístico (1 kg)</t>
  </si>
  <si>
    <t xml:space="preserve">RK_ABC_2.5kg</t>
  </si>
  <si>
    <t xml:space="preserve">Recarga ABC 2,5 kg (equipos de clientes)</t>
  </si>
  <si>
    <t xml:space="preserve">Indexado fila 28</t>
  </si>
  <si>
    <t xml:space="preserve">Recargas manual comercial</t>
  </si>
  <si>
    <t xml:space="preserve">RK_ABC_5kg</t>
  </si>
  <si>
    <t xml:space="preserve">Recarga ABC 5 kg (equipos de clientes)</t>
  </si>
  <si>
    <t xml:space="preserve">Indexado fila 29</t>
  </si>
  <si>
    <t xml:space="preserve">RK_ABC_10kg</t>
  </si>
  <si>
    <t xml:space="preserve">Recarga ABC 10 kg (equipos de clientes)</t>
  </si>
  <si>
    <t xml:space="preserve">Indexado fila 30</t>
  </si>
  <si>
    <t xml:space="preserve">RK_ABC_25kg</t>
  </si>
  <si>
    <t xml:space="preserve">Recarga ABC 25 kg (equipos de clientes)</t>
  </si>
  <si>
    <t xml:space="preserve">Indexado fila 40</t>
  </si>
  <si>
    <t xml:space="preserve">Recargas industrial s/ruedas</t>
  </si>
  <si>
    <t xml:space="preserve">RK_ABC_50kg</t>
  </si>
  <si>
    <t xml:space="preserve">Recarga ABC 50 kg (equipos de clientes)</t>
  </si>
  <si>
    <t xml:space="preserve">Indexado fila 41</t>
  </si>
  <si>
    <t xml:space="preserve">RK_ABC_70kg</t>
  </si>
  <si>
    <t xml:space="preserve">Recarga ABC 70 kg (equipos de clientes)</t>
  </si>
  <si>
    <t xml:space="preserve">Indexado fila 42</t>
  </si>
  <si>
    <t xml:space="preserve">RK_ABC_100kg</t>
  </si>
  <si>
    <t xml:space="preserve">Recarga ABC 100 kg (equipos de clientes)</t>
  </si>
  <si>
    <t xml:space="preserve">Indexado fila 43</t>
  </si>
  <si>
    <t xml:space="preserve">RK_AGUA_10l</t>
  </si>
  <si>
    <t xml:space="preserve">Recarga Agua 10 l (equipos de clientes)</t>
  </si>
  <si>
    <t xml:space="preserve">Indexado fila 31</t>
  </si>
  <si>
    <t xml:space="preserve">RK_AFFF_10l</t>
  </si>
  <si>
    <t xml:space="preserve">Recarga AFFF 10 l (equipos de clientes)</t>
  </si>
  <si>
    <t xml:space="preserve">Indexado fila 32</t>
  </si>
  <si>
    <t xml:space="preserve">RK_AFFF_50l</t>
  </si>
  <si>
    <t xml:space="preserve">Recarga AFFF 50 l rodante (equipos de clientes)</t>
  </si>
  <si>
    <t xml:space="preserve">Indexado fila 33</t>
  </si>
  <si>
    <t xml:space="preserve">RK_BC_5kg</t>
  </si>
  <si>
    <t xml:space="preserve">Recarga BC 5 kg (equipos de clientes)</t>
  </si>
  <si>
    <t xml:space="preserve">Indexado fila 34</t>
  </si>
  <si>
    <t xml:space="preserve">RK_SALESK_6l</t>
  </si>
  <si>
    <t xml:space="preserve">Recarga Clase K 6 l (equipos de clientes)</t>
  </si>
  <si>
    <t xml:space="preserve">Indexado fila 35</t>
  </si>
  <si>
    <t xml:space="preserve">RK_CO2_2kg</t>
  </si>
  <si>
    <t xml:space="preserve">Recarga CO₂ 2 kg (equipos de clientes)</t>
  </si>
  <si>
    <t xml:space="preserve">Indexado fila 36</t>
  </si>
  <si>
    <t xml:space="preserve">RK_CO2_5kg</t>
  </si>
  <si>
    <t xml:space="preserve">Recarga CO₂ 5 kg (equipos de clientes)</t>
  </si>
  <si>
    <t xml:space="preserve">Indexado fila 37</t>
  </si>
  <si>
    <t xml:space="preserve">RK_HCFC-HFC_5kg</t>
  </si>
  <si>
    <t xml:space="preserve">Recarga HCFC/HFC 5 kg (equipos de clientes)</t>
  </si>
  <si>
    <t xml:space="preserve">Indexado fila 38</t>
  </si>
  <si>
    <t xml:space="preserve">RK_CLASED_9l</t>
  </si>
  <si>
    <t xml:space="preserve">Recarga Clase D 9 l (equipos de clientes)</t>
  </si>
  <si>
    <t xml:space="preserve">Indexado fila 39</t>
  </si>
  <si>
    <t xml:space="preserve">RKP_ABC_5kg</t>
  </si>
  <si>
    <t xml:space="preserve">Recarga ABC 5 kg del pool de sustitutos (9.4.5)</t>
  </si>
  <si>
    <t xml:space="preserve">Reservas fila 54 (stock de sustitutos: se mantiene cada año)</t>
  </si>
  <si>
    <t xml:space="preserve">RKP_ABC_10kg</t>
  </si>
  <si>
    <t xml:space="preserve">Recarga ABC 10 kg del pool de sustitutos (9.4.5)</t>
  </si>
  <si>
    <t xml:space="preserve">Reservas fila 55 (stock de sustitutos: se mantiene cada año)</t>
  </si>
  <si>
    <t xml:space="preserve">RKP_AGUA_10l</t>
  </si>
  <si>
    <t xml:space="preserve">Recarga Agua 10 l del pool de sustitutos (9.4.5)</t>
  </si>
  <si>
    <t xml:space="preserve">Reservas fila 56 (stock de sustitutos: se mantiene cada año)</t>
  </si>
  <si>
    <t xml:space="preserve">RKP_AFFF_10l</t>
  </si>
  <si>
    <t xml:space="preserve">Recarga AFFF 10 l del pool de sustitutos (9.4.5)</t>
  </si>
  <si>
    <t xml:space="preserve">Reservas fila 57 (stock de sustitutos: se mantiene cada año)</t>
  </si>
  <si>
    <t xml:space="preserve">RKP_AFFF_50l</t>
  </si>
  <si>
    <t xml:space="preserve">Recarga AFFF 50 l rodante del pool de sustitutos (9.4.5)</t>
  </si>
  <si>
    <t xml:space="preserve">Reservas fila 58 (stock de sustitutos: se mantiene cada año)</t>
  </si>
  <si>
    <t xml:space="preserve">RKP_BC_5kg</t>
  </si>
  <si>
    <t xml:space="preserve">Recarga BC 5 kg del pool de sustitutos (9.4.5)</t>
  </si>
  <si>
    <t xml:space="preserve">Reservas fila 59 (stock de sustitutos: se mantiene cada año)</t>
  </si>
  <si>
    <t xml:space="preserve">RKP_SALESK_6l</t>
  </si>
  <si>
    <t xml:space="preserve">Recarga Clase K 6 l del pool de sustitutos (9.4.5)</t>
  </si>
  <si>
    <t xml:space="preserve">Reservas fila 60 (stock de sustitutos: se mantiene cada año)</t>
  </si>
  <si>
    <t xml:space="preserve">RKP_CO2_5kg</t>
  </si>
  <si>
    <t xml:space="preserve">Recarga CO₂ 5 kg del pool de sustitutos (9.4.5)</t>
  </si>
  <si>
    <t xml:space="preserve">Reservas fila 61 (stock de sustitutos: se mantiene cada año)</t>
  </si>
  <si>
    <t xml:space="preserve">RKP_HCFC-HFC_5kg</t>
  </si>
  <si>
    <t xml:space="preserve">Recarga HCFC/HFC 5 kg del pool de sustitutos (9.4.5)</t>
  </si>
  <si>
    <t xml:space="preserve">Reservas fila 62 (stock de sustitutos: se mantiene cada año)</t>
  </si>
  <si>
    <t xml:space="preserve">RKP_CLASED_9l</t>
  </si>
  <si>
    <t xml:space="preserve">Recarga Clase D 9 l del pool de sustitutos (9.4.5)</t>
  </si>
  <si>
    <t xml:space="preserve">Reservas fila 63 (stock de sustitutos: se mantiene cada año)</t>
  </si>
  <si>
    <t xml:space="preserve">RKP_ABC_50kg</t>
  </si>
  <si>
    <t xml:space="preserve">Recarga ABC 50 kg del pool de sustitutos (9.4.5)</t>
  </si>
  <si>
    <t xml:space="preserve">Reservas fila 64 (stock de sustitutos: se mantiene cada año)</t>
  </si>
  <si>
    <t xml:space="preserve">RKP_ABC_100kg</t>
  </si>
  <si>
    <t xml:space="preserve">Recarga ABC 100 kg del pool de sustitutos (9.4.5)</t>
  </si>
  <si>
    <t xml:space="preserve">Reservas fila 65 (stock de sustitutos: se mantiene cada año)</t>
  </si>
  <si>
    <t xml:space="preserve">FL_SUS_ABC_5kg</t>
  </si>
  <si>
    <t xml:space="preserve">Alta de sustitutos ABC 5 kg (equipo + kit 9.4.5)</t>
  </si>
  <si>
    <t xml:space="preserve">Reservas fila 69 (alta anual de sustitutos)</t>
  </si>
  <si>
    <t xml:space="preserve">FL_SUS_ABC_10kg</t>
  </si>
  <si>
    <t xml:space="preserve">Alta de sustitutos ABC 10 kg (equipo + kit 9.4.5)</t>
  </si>
  <si>
    <t xml:space="preserve">Reservas fila 70 (alta anual de sustitutos)</t>
  </si>
  <si>
    <t xml:space="preserve">FL_SUS_AGUA_10l</t>
  </si>
  <si>
    <t xml:space="preserve">Alta de sustitutos Agua 10 l (equipo + kit 9.4.5)</t>
  </si>
  <si>
    <t xml:space="preserve">Reservas fila 71 (alta anual de sustitutos)</t>
  </si>
  <si>
    <t xml:space="preserve">FL_SUS_AFFF_10l</t>
  </si>
  <si>
    <t xml:space="preserve">Alta de sustitutos AFFF 10 l (equipo + kit 9.4.5)</t>
  </si>
  <si>
    <t xml:space="preserve">Reservas fila 72 (alta anual de sustitutos)</t>
  </si>
  <si>
    <t xml:space="preserve">FL_SUS_AFFF_50l</t>
  </si>
  <si>
    <t xml:space="preserve">Alta de sustitutos AFFF 50 l rodante (equipo + kit 9.4.5)</t>
  </si>
  <si>
    <t xml:space="preserve">Reservas fila 73 (alta anual de sustitutos)</t>
  </si>
  <si>
    <t xml:space="preserve">FL_SUS_BC_5kg</t>
  </si>
  <si>
    <t xml:space="preserve">Alta de sustitutos BC 5 kg (equipo + kit 9.4.5)</t>
  </si>
  <si>
    <t xml:space="preserve">Reservas fila 74 (alta anual de sustitutos)</t>
  </si>
  <si>
    <t xml:space="preserve">FL_SUS_SALESK_6l</t>
  </si>
  <si>
    <t xml:space="preserve">Alta de sustitutos Clase K 6 l (equipo + kit 9.4.5)</t>
  </si>
  <si>
    <t xml:space="preserve">Reservas fila 75 (alta anual de sustitutos)</t>
  </si>
  <si>
    <t xml:space="preserve">FL_SUS_CO2_5kg</t>
  </si>
  <si>
    <t xml:space="preserve">Alta de sustitutos CO₂ 5 kg (equipo + kit 9.4.5)</t>
  </si>
  <si>
    <t xml:space="preserve">Reservas fila 76 (alta anual de sustitutos)</t>
  </si>
  <si>
    <t xml:space="preserve">FL_SUS_HCFC-HFC_5kg</t>
  </si>
  <si>
    <t xml:space="preserve">Alta de sustitutos HCFC/HFC 5 kg (equipo + kit 9.4.5)</t>
  </si>
  <si>
    <t xml:space="preserve">Reservas fila 77 (alta anual de sustitutos)</t>
  </si>
  <si>
    <t xml:space="preserve">FL_SUS_CLASED_9l</t>
  </si>
  <si>
    <t xml:space="preserve">Alta de sustitutos Clase D 9 l (equipo + kit 9.4.5)</t>
  </si>
  <si>
    <t xml:space="preserve">Reservas fila 78 (alta anual de sustitutos)</t>
  </si>
  <si>
    <t xml:space="preserve">FL_SUS_ABC_50kg</t>
  </si>
  <si>
    <t xml:space="preserve">Alta de sustitutos ABC 50 kg (equipo + kit 9.4.5)</t>
  </si>
  <si>
    <t xml:space="preserve">Reservas fila 79 (alta anual de sustitutos)</t>
  </si>
  <si>
    <t xml:space="preserve">FL_SUS_ABC_100kg</t>
  </si>
  <si>
    <t xml:space="preserve">Alta de sustitutos ABC 100 kg (equipo + kit 9.4.5)</t>
  </si>
  <si>
    <t xml:space="preserve">Reservas fila 80 (alta anual de sustitutos)</t>
  </si>
  <si>
    <t xml:space="preserve">REVENDIDOS</t>
  </si>
  <si>
    <t xml:space="preserve">FL_MAT_AGUA_10l</t>
  </si>
  <si>
    <t xml:space="preserve">Matafuego Agua 10 l revendido</t>
  </si>
  <si>
    <t xml:space="preserve">Indexado fila 48</t>
  </si>
  <si>
    <t xml:space="preserve">FL_MAT_AFFF_10l</t>
  </si>
  <si>
    <t xml:space="preserve">Matafuego AFFF 10 l revendido</t>
  </si>
  <si>
    <t xml:space="preserve">Indexado fila 49</t>
  </si>
  <si>
    <t xml:space="preserve">FL_MAT_AFFF_50l</t>
  </si>
  <si>
    <t xml:space="preserve">Matafuego AFFF 50 l rodante revendido</t>
  </si>
  <si>
    <t xml:space="preserve">Indexado fila 50</t>
  </si>
  <si>
    <t xml:space="preserve">FL_MAT_BC_5kg</t>
  </si>
  <si>
    <t xml:space="preserve">Matafuego BC 5 kg revendido</t>
  </si>
  <si>
    <t xml:space="preserve">Indexado fila 51</t>
  </si>
  <si>
    <t xml:space="preserve">FL_MAT_SALESK_6l</t>
  </si>
  <si>
    <t xml:space="preserve">Matafuego Clase K 6 l revendido</t>
  </si>
  <si>
    <t xml:space="preserve">Indexado fila 52</t>
  </si>
  <si>
    <t xml:space="preserve">FL_MAT_CO2_2kg</t>
  </si>
  <si>
    <t xml:space="preserve">Matafuego CO₂ 2 kg revendido</t>
  </si>
  <si>
    <t xml:space="preserve">Indexado fila 53</t>
  </si>
  <si>
    <t xml:space="preserve">FL_MAT_CO2_5kg</t>
  </si>
  <si>
    <t xml:space="preserve">Matafuego CO₂ 5 kg revendido</t>
  </si>
  <si>
    <t xml:space="preserve">Indexado fila 54</t>
  </si>
  <si>
    <t xml:space="preserve">FL_MAT_HCFC-HFC_5kg</t>
  </si>
  <si>
    <t xml:space="preserve">Matafuego HCFC/HFC 5 kg revendido</t>
  </si>
  <si>
    <t xml:space="preserve">Indexado fila 55</t>
  </si>
  <si>
    <t xml:space="preserve">FL_MAT_CLASED_9l</t>
  </si>
  <si>
    <t xml:space="preserve">Matafuego Clase D 9 l revendido</t>
  </si>
  <si>
    <t xml:space="preserve">Indexado fila 56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</si>
  <si>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</si>
  <si>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</si>
  <si>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</si>
  <si>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</si>
  <si>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ESTACIONALIDAD: perfil mensual de cada producto y de cada línea en el año de diseño</t>
  </si>
  <si>
    <t xml:space="preserve">Fuente: Dimensionamiento_TecnicoV2.xlsx, hoja Parametros (perfiles de estacionalidad ajustados en sept. 2026) y hoja Parametros Recargas (perfiles de estacionalidad de recargas). El perfil de la línea pondera el de cada producto por su demanda del año de diseño; el mes pico de cada ítem sale de la hoja POLITICA_STOCK.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</si>
  <si>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</si>
  <si>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</si>
  <si>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</si>
  <si>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</si>
  <si>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</si>
  <si>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</si>
  <si>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</si>
  <si>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</si>
  <si>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</si>
  <si>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</si>
  <si>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</si>
  <si>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</si>
  <si>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</si>
  <si>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</si>
  <si>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Clave (DEMANDA)</t>
  </si>
  <si>
    <t xml:space="preserve">PERFIL DE CADA LÍNEA EN EL AÑO DE DISEÑO (demanda ponderada)</t>
  </si>
  <si>
    <t xml:space="preserve">Factor de pico</t>
  </si>
  <si>
    <t xml:space="preserve">Factor de pico = mes de mayor demanda / mes promedio (1/12).</t>
  </si>
  <si>
    <t xml:space="preserve">BOM_COEF: lo que se compra por unidad de producto, fila por fila del BOM (FLAMA_BOM.xlsx)</t>
  </si>
  <si>
    <t xml:space="preserve">Cant. ítem = Cant. BOM × factor. Las piezas fabricadas toman el factor de FAB_COMPRA. En recargas, el coeficiente del año = controles × control + (1 − % usados) × mantenimiento + % usados × recarga + prueba hidráulica / años + reposición.</t>
  </si>
  <si>
    <t xml:space="preserve">Código BOM</t>
  </si>
  <si>
    <t xml:space="preserve">Fila BOM</t>
  </si>
  <si>
    <t xml:space="preserve">Pieza / insumo (BOM)</t>
  </si>
  <si>
    <t xml:space="preserve">Cant. BOM</t>
  </si>
  <si>
    <t xml:space="preserve">UM</t>
  </si>
  <si>
    <t xml:space="preserve">Tratamiento</t>
  </si>
  <si>
    <t xml:space="preserve">Ítem de compra</t>
  </si>
  <si>
    <t xml:space="preserve">Factor</t>
  </si>
  <si>
    <t xml:space="preserve">Cant. ítem por unidad</t>
  </si>
  <si>
    <t xml:space="preserve">Destino</t>
  </si>
  <si>
    <t xml:space="preserve">Control</t>
  </si>
  <si>
    <t xml:space="preserve">Mantenimiento</t>
  </si>
  <si>
    <t xml:space="preserve">Recarga</t>
  </si>
  <si>
    <t xml:space="preserve">Prueba hidráulica</t>
  </si>
  <si>
    <t xml:space="preserve">PH cada (años)</t>
  </si>
  <si>
    <t xml:space="preserve">Reposición</t>
  </si>
  <si>
    <t xml:space="preserve">Coef. 2026</t>
  </si>
  <si>
    <t xml:space="preserve">Coef. 2027</t>
  </si>
  <si>
    <t xml:space="preserve">Coef. 2028</t>
  </si>
  <si>
    <t xml:space="preserve">Coef. 2029</t>
  </si>
  <si>
    <t xml:space="preserve">Coef. 2030</t>
  </si>
  <si>
    <t xml:space="preserve">Coef. 2031</t>
  </si>
  <si>
    <t xml:space="preserve">Coef. 2032</t>
  </si>
  <si>
    <t xml:space="preserve">Coef. 2033</t>
  </si>
  <si>
    <t xml:space="preserve">Coef. 2034</t>
  </si>
  <si>
    <t xml:space="preserve">Coef. 2035</t>
  </si>
  <si>
    <t xml:space="preserve">ABC1-01</t>
  </si>
  <si>
    <t xml:space="preserve">Fabricados 4</t>
  </si>
  <si>
    <t xml:space="preserve">Cuerpo</t>
  </si>
  <si>
    <t xml:space="preserve">Fabricada (FAB_COMPRA)</t>
  </si>
  <si>
    <t xml:space="preserve">MP-01</t>
  </si>
  <si>
    <t xml:space="preserve">FAB_COMPRA</t>
  </si>
  <si>
    <t xml:space="preserve">ABC1-02</t>
  </si>
  <si>
    <t xml:space="preserve">Fabricados 5</t>
  </si>
  <si>
    <t xml:space="preserve">Cúpula</t>
  </si>
  <si>
    <t xml:space="preserve">MP-05</t>
  </si>
  <si>
    <t xml:space="preserve">ABC1-03</t>
  </si>
  <si>
    <t xml:space="preserve">Fabricados 6</t>
  </si>
  <si>
    <t xml:space="preserve">Fondo</t>
  </si>
  <si>
    <t xml:space="preserve">MP-13</t>
  </si>
  <si>
    <t xml:space="preserve">ABC1-04</t>
  </si>
  <si>
    <t xml:space="preserve">Fabricados 7</t>
  </si>
  <si>
    <t xml:space="preserve">Cuello roscado</t>
  </si>
  <si>
    <t xml:space="preserve">MP-18</t>
  </si>
  <si>
    <t xml:space="preserve">ABC1-08</t>
  </si>
  <si>
    <t xml:space="preserve">Fabricados 9</t>
  </si>
  <si>
    <t xml:space="preserve">Manómetro</t>
  </si>
  <si>
    <t xml:space="preserve">Compra</t>
  </si>
  <si>
    <t xml:space="preserve">MP-45</t>
  </si>
  <si>
    <t xml:space="preserve">ABC1-21</t>
  </si>
  <si>
    <t xml:space="preserve">Fabricados 10</t>
  </si>
  <si>
    <t xml:space="preserve">Junta tórica de asiento</t>
  </si>
  <si>
    <t xml:space="preserve">MP-50/M22</t>
  </si>
  <si>
    <t xml:space="preserve">ABC1-K2</t>
  </si>
  <si>
    <t xml:space="preserve">Fabricados 11</t>
  </si>
  <si>
    <t xml:space="preserve">Válvula HZ armada M-22 1 kg</t>
  </si>
  <si>
    <t xml:space="preserve">Se compra armada</t>
  </si>
  <si>
    <t xml:space="preserve">MP-42</t>
  </si>
  <si>
    <t xml:space="preserve">ABC1-05</t>
  </si>
  <si>
    <t xml:space="preserve">Fabricados 12</t>
  </si>
  <si>
    <t xml:space="preserve">Espiga roscada</t>
  </si>
  <si>
    <t xml:space="preserve">Incluido en la válvula armada</t>
  </si>
  <si>
    <t xml:space="preserve">ABC1-06</t>
  </si>
  <si>
    <t xml:space="preserve">Fabricados 13</t>
  </si>
  <si>
    <t xml:space="preserve">Collarín de válvula</t>
  </si>
  <si>
    <t xml:space="preserve">ABC1-07</t>
  </si>
  <si>
    <t xml:space="preserve">Fabricados 14</t>
  </si>
  <si>
    <t xml:space="preserve">Cuerpo de válvula</t>
  </si>
  <si>
    <t xml:space="preserve">ABC1-09</t>
  </si>
  <si>
    <t xml:space="preserve">Fabricados 15</t>
  </si>
  <si>
    <t xml:space="preserve">Vástago</t>
  </si>
  <si>
    <t xml:space="preserve">ABC1-10</t>
  </si>
  <si>
    <t xml:space="preserve">Fabricados 16</t>
  </si>
  <si>
    <t xml:space="preserve">Resorte de válvula</t>
  </si>
  <si>
    <t xml:space="preserve">ABC1-11</t>
  </si>
  <si>
    <t xml:space="preserve">Fabricados 17</t>
  </si>
  <si>
    <t xml:space="preserve">Eje de palanca</t>
  </si>
  <si>
    <t xml:space="preserve">ABC1-12</t>
  </si>
  <si>
    <t xml:space="preserve">Fabricados 18</t>
  </si>
  <si>
    <t xml:space="preserve">Pasador de seguridad</t>
  </si>
  <si>
    <t xml:space="preserve">ABC1-13</t>
  </si>
  <si>
    <t xml:space="preserve">Fabricados 19</t>
  </si>
  <si>
    <t xml:space="preserve">Manija de accionamiento</t>
  </si>
  <si>
    <t xml:space="preserve">ABC1-14</t>
  </si>
  <si>
    <t xml:space="preserve">Fabricados 20</t>
  </si>
  <si>
    <t xml:space="preserve">Manija de transporte</t>
  </si>
  <si>
    <t xml:space="preserve">ABC1-15</t>
  </si>
  <si>
    <t xml:space="preserve">Fabricados 21</t>
  </si>
  <si>
    <t xml:space="preserve">Caño de pesca</t>
  </si>
  <si>
    <t xml:space="preserve">ABC1-V2</t>
  </si>
  <si>
    <t xml:space="preserve">Fabricados 22</t>
  </si>
  <si>
    <t xml:space="preserve">Resorte de retorno del vástago</t>
  </si>
  <si>
    <t xml:space="preserve">ABC1-V3</t>
  </si>
  <si>
    <t xml:space="preserve">Fabricados 23</t>
  </si>
  <si>
    <t xml:space="preserve">Junta tórica del vástago</t>
  </si>
  <si>
    <t xml:space="preserve">ABC1-S3</t>
  </si>
  <si>
    <t xml:space="preserve">Fabricados 24</t>
  </si>
  <si>
    <t xml:space="preserve">Dispositivo de descarga</t>
  </si>
  <si>
    <t xml:space="preserve">MP-48/ABC1</t>
  </si>
  <si>
    <t xml:space="preserve">ABC1-16</t>
  </si>
  <si>
    <t xml:space="preserve">Fabricados 25</t>
  </si>
  <si>
    <t xml:space="preserve">Tobera</t>
  </si>
  <si>
    <t xml:space="preserve">Incluido en la manguera armada</t>
  </si>
  <si>
    <t xml:space="preserve">ABC1-A1</t>
  </si>
  <si>
    <t xml:space="preserve">Fabricados 27</t>
  </si>
  <si>
    <t xml:space="preserve">Polvo ABC 60</t>
  </si>
  <si>
    <t xml:space="preserve">MP-33</t>
  </si>
  <si>
    <t xml:space="preserve">ABC1-A2</t>
  </si>
  <si>
    <t xml:space="preserve">Fabricados 28</t>
  </si>
  <si>
    <t xml:space="preserve">Gas impulsor: N₂ (L normales)</t>
  </si>
  <si>
    <t xml:space="preserve">Compra (kg → m³)</t>
  </si>
  <si>
    <t xml:space="preserve">MP-34</t>
  </si>
  <si>
    <t xml:space="preserve">ABC1-17</t>
  </si>
  <si>
    <t xml:space="preserve">Fabricados 30</t>
  </si>
  <si>
    <t xml:space="preserve">Etiqueta / placa de características</t>
  </si>
  <si>
    <t xml:space="preserve">MP-56/ABC1</t>
  </si>
  <si>
    <t xml:space="preserve">ABC1-18</t>
  </si>
  <si>
    <t xml:space="preserve">Fabricados 31</t>
  </si>
  <si>
    <t xml:space="preserve">Oblea de fabricación</t>
  </si>
  <si>
    <t xml:space="preserve">MP-78</t>
  </si>
  <si>
    <t xml:space="preserve">PBA</t>
  </si>
  <si>
    <t xml:space="preserve">ABC1-19</t>
  </si>
  <si>
    <t xml:space="preserve">Fabricados 32</t>
  </si>
  <si>
    <t xml:space="preserve">Estampilla IRAM de conformidad</t>
  </si>
  <si>
    <t xml:space="preserve">MP-79</t>
  </si>
  <si>
    <t xml:space="preserve">ABC1-20</t>
  </si>
  <si>
    <t xml:space="preserve">Fabricados 33</t>
  </si>
  <si>
    <t xml:space="preserve">Etiqueta de n° de serie GS1</t>
  </si>
  <si>
    <t xml:space="preserve">MP-80</t>
  </si>
  <si>
    <t xml:space="preserve">ABC1-22</t>
  </si>
  <si>
    <t xml:space="preserve">Fabricados 34</t>
  </si>
  <si>
    <t xml:space="preserve">Faja de garantía válvula-cuello</t>
  </si>
  <si>
    <t xml:space="preserve">MP-81</t>
  </si>
  <si>
    <t xml:space="preserve">ABC1-23</t>
  </si>
  <si>
    <t xml:space="preserve">Fabricados 35</t>
  </si>
  <si>
    <t xml:space="preserve">Precinto de fábrica</t>
  </si>
  <si>
    <t xml:space="preserve">MP-51</t>
  </si>
  <si>
    <t xml:space="preserve">ABC1-I7</t>
  </si>
  <si>
    <t xml:space="preserve">Fabricados 37</t>
  </si>
  <si>
    <t xml:space="preserve">Soporte vehicular con cierre rápido</t>
  </si>
  <si>
    <t xml:space="preserve">MP-87</t>
  </si>
  <si>
    <t xml:space="preserve">Cilindros 4</t>
  </si>
  <si>
    <t xml:space="preserve">Cilindros 5</t>
  </si>
  <si>
    <t xml:space="preserve">Cilindros 6</t>
  </si>
  <si>
    <t xml:space="preserve">Cilindros 7</t>
  </si>
  <si>
    <t xml:space="preserve">ABC1-T1</t>
  </si>
  <si>
    <t xml:space="preserve">Cilindros 8</t>
  </si>
  <si>
    <t xml:space="preserve">Tapón protector de rosca del cuello</t>
  </si>
  <si>
    <t xml:space="preserve">MP-62/M22</t>
  </si>
  <si>
    <t xml:space="preserve">ABC1-T3</t>
  </si>
  <si>
    <t xml:space="preserve">Cilindros 9</t>
  </si>
  <si>
    <t xml:space="preserve">Etiqueta de identificación del cilindro suelto</t>
  </si>
  <si>
    <t xml:space="preserve">MP-88</t>
  </si>
  <si>
    <t xml:space="preserve">ABC2.5-01</t>
  </si>
  <si>
    <t xml:space="preserve">Fabricados 45</t>
  </si>
  <si>
    <t xml:space="preserve">MP-02</t>
  </si>
  <si>
    <t xml:space="preserve">ABC2.5-02</t>
  </si>
  <si>
    <t xml:space="preserve">Fabricados 46</t>
  </si>
  <si>
    <t xml:space="preserve">MP-06</t>
  </si>
  <si>
    <t xml:space="preserve">ABC2.5-03</t>
  </si>
  <si>
    <t xml:space="preserve">Fabricados 47</t>
  </si>
  <si>
    <t xml:space="preserve">ABC2.5-04</t>
  </si>
  <si>
    <t xml:space="preserve">Fabricados 48</t>
  </si>
  <si>
    <t xml:space="preserve">MP-19</t>
  </si>
  <si>
    <t xml:space="preserve">ABC2.5-08</t>
  </si>
  <si>
    <t xml:space="preserve">Fabricados 50</t>
  </si>
  <si>
    <t xml:space="preserve">ABC2.5-25</t>
  </si>
  <si>
    <t xml:space="preserve">Fabricados 51</t>
  </si>
  <si>
    <t xml:space="preserve">MP-50/M30</t>
  </si>
  <si>
    <t xml:space="preserve">ABC2.5-K2</t>
  </si>
  <si>
    <t xml:space="preserve">Fabricados 52</t>
  </si>
  <si>
    <t xml:space="preserve">Válvula HZ armada M-30</t>
  </si>
  <si>
    <t xml:space="preserve">MP-43</t>
  </si>
  <si>
    <t xml:space="preserve">ABC2.5-05</t>
  </si>
  <si>
    <t xml:space="preserve">Fabricados 53</t>
  </si>
  <si>
    <t xml:space="preserve">ABC2.5-06</t>
  </si>
  <si>
    <t xml:space="preserve">Fabricados 54</t>
  </si>
  <si>
    <t xml:space="preserve">ABC2.5-07</t>
  </si>
  <si>
    <t xml:space="preserve">Fabricados 55</t>
  </si>
  <si>
    <t xml:space="preserve">ABC2.5-09</t>
  </si>
  <si>
    <t xml:space="preserve">Fabricados 56</t>
  </si>
  <si>
    <t xml:space="preserve">ABC2.5-10</t>
  </si>
  <si>
    <t xml:space="preserve">Fabricados 57</t>
  </si>
  <si>
    <t xml:space="preserve">ABC2.5-11</t>
  </si>
  <si>
    <t xml:space="preserve">Fabricados 58</t>
  </si>
  <si>
    <t xml:space="preserve">ABC2.5-12</t>
  </si>
  <si>
    <t xml:space="preserve">Fabricados 59</t>
  </si>
  <si>
    <t xml:space="preserve">ABC2.5-13</t>
  </si>
  <si>
    <t xml:space="preserve">Fabricados 60</t>
  </si>
  <si>
    <t xml:space="preserve">ABC2.5-14</t>
  </si>
  <si>
    <t xml:space="preserve">Fabricados 61</t>
  </si>
  <si>
    <t xml:space="preserve">ABC2.5-15</t>
  </si>
  <si>
    <t xml:space="preserve">Fabricados 62</t>
  </si>
  <si>
    <t xml:space="preserve">ABC2.5-V2</t>
  </si>
  <si>
    <t xml:space="preserve">Fabricados 63</t>
  </si>
  <si>
    <t xml:space="preserve">ABC2.5-V3</t>
  </si>
  <si>
    <t xml:space="preserve">Fabricados 64</t>
  </si>
  <si>
    <t xml:space="preserve">ABC2.5-S3</t>
  </si>
  <si>
    <t xml:space="preserve">Fabricados 65</t>
  </si>
  <si>
    <t xml:space="preserve">MP-48/ABC2.5</t>
  </si>
  <si>
    <t xml:space="preserve">ABC2.5-16</t>
  </si>
  <si>
    <t xml:space="preserve">Fabricados 66</t>
  </si>
  <si>
    <t xml:space="preserve">Racor de manguera</t>
  </si>
  <si>
    <t xml:space="preserve">ABC2.5-17</t>
  </si>
  <si>
    <t xml:space="preserve">Fabricados 67</t>
  </si>
  <si>
    <t xml:space="preserve">Manguera</t>
  </si>
  <si>
    <t xml:space="preserve">ABC2.5-18</t>
  </si>
  <si>
    <t xml:space="preserve">Fabricados 68</t>
  </si>
  <si>
    <t xml:space="preserve">Tobera con portatobera</t>
  </si>
  <si>
    <t xml:space="preserve">ABC2.5-19</t>
  </si>
  <si>
    <t xml:space="preserve">Fabricados 69</t>
  </si>
  <si>
    <t xml:space="preserve">Suncho portatobera</t>
  </si>
  <si>
    <t xml:space="preserve">ABC2.5-A1</t>
  </si>
  <si>
    <t xml:space="preserve">Fabricados 71</t>
  </si>
  <si>
    <t xml:space="preserve">ABC2.5-A2</t>
  </si>
  <si>
    <t xml:space="preserve">Fabricados 72</t>
  </si>
  <si>
    <t xml:space="preserve">ABC2.5-20</t>
  </si>
  <si>
    <t xml:space="preserve">Fabricados 74</t>
  </si>
  <si>
    <t xml:space="preserve">MP-56/ABC2.5</t>
  </si>
  <si>
    <t xml:space="preserve">ABC2.5-21</t>
  </si>
  <si>
    <t xml:space="preserve">Fabricados 75</t>
  </si>
  <si>
    <t xml:space="preserve">ABC2.5-22</t>
  </si>
  <si>
    <t xml:space="preserve">Fabricados 76</t>
  </si>
  <si>
    <t xml:space="preserve">ABC2.5-23</t>
  </si>
  <si>
    <t xml:space="preserve">Fabricados 77</t>
  </si>
  <si>
    <t xml:space="preserve">Tarjeta de identificación AGC</t>
  </si>
  <si>
    <t xml:space="preserve">MP-77</t>
  </si>
  <si>
    <t xml:space="preserve">CABA</t>
  </si>
  <si>
    <t xml:space="preserve">ABC2.5-24</t>
  </si>
  <si>
    <t xml:space="preserve">Fabricados 78</t>
  </si>
  <si>
    <t xml:space="preserve">ABC2.5-26</t>
  </si>
  <si>
    <t xml:space="preserve">Fabricados 79</t>
  </si>
  <si>
    <t xml:space="preserve">ABC2.5-27</t>
  </si>
  <si>
    <t xml:space="preserve">Fabricados 80</t>
  </si>
  <si>
    <t xml:space="preserve">ABC2.5-I5</t>
  </si>
  <si>
    <t xml:space="preserve">Fabricados 82</t>
  </si>
  <si>
    <t xml:space="preserve">Soporte de pared</t>
  </si>
  <si>
    <t xml:space="preserve">MP-52/ABC2.5</t>
  </si>
  <si>
    <t xml:space="preserve">ABC2.5-I6</t>
  </si>
  <si>
    <t xml:space="preserve">Fabricados 83</t>
  </si>
  <si>
    <t xml:space="preserve">Tornillo y tarugo de fijación</t>
  </si>
  <si>
    <t xml:space="preserve">MP-86</t>
  </si>
  <si>
    <t xml:space="preserve">Cilindros 12</t>
  </si>
  <si>
    <t xml:space="preserve">Cilindros 13</t>
  </si>
  <si>
    <t xml:space="preserve">Cilindros 14</t>
  </si>
  <si>
    <t xml:space="preserve">Cilindros 15</t>
  </si>
  <si>
    <t xml:space="preserve">ABC2.5-T1</t>
  </si>
  <si>
    <t xml:space="preserve">Cilindros 16</t>
  </si>
  <si>
    <t xml:space="preserve">MP-62/M30</t>
  </si>
  <si>
    <t xml:space="preserve">ABC2.5-T3</t>
  </si>
  <si>
    <t xml:space="preserve">Cilindros 17</t>
  </si>
  <si>
    <t xml:space="preserve">ABC5-01</t>
  </si>
  <si>
    <t xml:space="preserve">Fabricados 91</t>
  </si>
  <si>
    <t xml:space="preserve">MP-03</t>
  </si>
  <si>
    <t xml:space="preserve">ABC5-02</t>
  </si>
  <si>
    <t xml:space="preserve">Fabricados 92</t>
  </si>
  <si>
    <t xml:space="preserve">MP-07</t>
  </si>
  <si>
    <t xml:space="preserve">ABC5-03</t>
  </si>
  <si>
    <t xml:space="preserve">Fabricados 93</t>
  </si>
  <si>
    <t xml:space="preserve">MP-08</t>
  </si>
  <si>
    <t xml:space="preserve">ABC5-04</t>
  </si>
  <si>
    <t xml:space="preserve">Fabricados 94</t>
  </si>
  <si>
    <t xml:space="preserve">ABC5-08</t>
  </si>
  <si>
    <t xml:space="preserve">Fabricados 96</t>
  </si>
  <si>
    <t xml:space="preserve">ABC5-25</t>
  </si>
  <si>
    <t xml:space="preserve">Fabricados 97</t>
  </si>
  <si>
    <t xml:space="preserve">ABC5-K2</t>
  </si>
  <si>
    <t xml:space="preserve">Fabricados 98</t>
  </si>
  <si>
    <t xml:space="preserve">ABC5-05</t>
  </si>
  <si>
    <t xml:space="preserve">Fabricados 99</t>
  </si>
  <si>
    <t xml:space="preserve">ABC5-06</t>
  </si>
  <si>
    <t xml:space="preserve">Fabricados 100</t>
  </si>
  <si>
    <t xml:space="preserve">ABC5-07</t>
  </si>
  <si>
    <t xml:space="preserve">Fabricados 101</t>
  </si>
  <si>
    <t xml:space="preserve">ABC5-09</t>
  </si>
  <si>
    <t xml:space="preserve">Fabricados 102</t>
  </si>
  <si>
    <t xml:space="preserve">ABC5-10</t>
  </si>
  <si>
    <t xml:space="preserve">Fabricados 103</t>
  </si>
  <si>
    <t xml:space="preserve">ABC5-11</t>
  </si>
  <si>
    <t xml:space="preserve">Fabricados 104</t>
  </si>
  <si>
    <t xml:space="preserve">ABC5-12</t>
  </si>
  <si>
    <t xml:space="preserve">Fabricados 105</t>
  </si>
  <si>
    <t xml:space="preserve">ABC5-13</t>
  </si>
  <si>
    <t xml:space="preserve">Fabricados 106</t>
  </si>
  <si>
    <t xml:space="preserve">ABC5-14</t>
  </si>
  <si>
    <t xml:space="preserve">Fabricados 107</t>
  </si>
  <si>
    <t xml:space="preserve">ABC5-15</t>
  </si>
  <si>
    <t xml:space="preserve">Fabricados 108</t>
  </si>
  <si>
    <t xml:space="preserve">ABC5-V2</t>
  </si>
  <si>
    <t xml:space="preserve">Fabricados 109</t>
  </si>
  <si>
    <t xml:space="preserve">ABC5-V3</t>
  </si>
  <si>
    <t xml:space="preserve">Fabricados 110</t>
  </si>
  <si>
    <t xml:space="preserve">ABC5-S3</t>
  </si>
  <si>
    <t xml:space="preserve">Fabricados 111</t>
  </si>
  <si>
    <t xml:space="preserve">MP-48/ABC5</t>
  </si>
  <si>
    <t xml:space="preserve">ABC5-16</t>
  </si>
  <si>
    <t xml:space="preserve">Fabricados 112</t>
  </si>
  <si>
    <t xml:space="preserve">ABC5-17</t>
  </si>
  <si>
    <t xml:space="preserve">Fabricados 113</t>
  </si>
  <si>
    <t xml:space="preserve">ABC5-18</t>
  </si>
  <si>
    <t xml:space="preserve">Fabricados 114</t>
  </si>
  <si>
    <t xml:space="preserve">ABC5-19</t>
  </si>
  <si>
    <t xml:space="preserve">Fabricados 115</t>
  </si>
  <si>
    <t xml:space="preserve">ABC5-A1</t>
  </si>
  <si>
    <t xml:space="preserve">Fabricados 117</t>
  </si>
  <si>
    <t xml:space="preserve">ABC5-A2</t>
  </si>
  <si>
    <t xml:space="preserve">Fabricados 118</t>
  </si>
  <si>
    <t xml:space="preserve">ABC5-20</t>
  </si>
  <si>
    <t xml:space="preserve">Fabricados 120</t>
  </si>
  <si>
    <t xml:space="preserve">MP-56/ABC5</t>
  </si>
  <si>
    <t xml:space="preserve">ABC5-21</t>
  </si>
  <si>
    <t xml:space="preserve">Fabricados 121</t>
  </si>
  <si>
    <t xml:space="preserve">ABC5-22</t>
  </si>
  <si>
    <t xml:space="preserve">Fabricados 122</t>
  </si>
  <si>
    <t xml:space="preserve">ABC5-23</t>
  </si>
  <si>
    <t xml:space="preserve">Fabricados 123</t>
  </si>
  <si>
    <t xml:space="preserve">ABC5-24</t>
  </si>
  <si>
    <t xml:space="preserve">Fabricados 124</t>
  </si>
  <si>
    <t xml:space="preserve">ABC5-26</t>
  </si>
  <si>
    <t xml:space="preserve">Fabricados 125</t>
  </si>
  <si>
    <t xml:space="preserve">ABC5-27</t>
  </si>
  <si>
    <t xml:space="preserve">Fabricados 126</t>
  </si>
  <si>
    <t xml:space="preserve">ABC5-I5</t>
  </si>
  <si>
    <t xml:space="preserve">Fabricados 128</t>
  </si>
  <si>
    <t xml:space="preserve">MP-52/ABC5</t>
  </si>
  <si>
    <t xml:space="preserve">ABC5-I6</t>
  </si>
  <si>
    <t xml:space="preserve">Fabricados 129</t>
  </si>
  <si>
    <t xml:space="preserve">Cilindros 20</t>
  </si>
  <si>
    <t xml:space="preserve">Cilindros 21</t>
  </si>
  <si>
    <t xml:space="preserve">Cilindros 22</t>
  </si>
  <si>
    <t xml:space="preserve">Cilindros 23</t>
  </si>
  <si>
    <t xml:space="preserve">ABC5-T1</t>
  </si>
  <si>
    <t xml:space="preserve">Cilindros 24</t>
  </si>
  <si>
    <t xml:space="preserve">ABC5-T3</t>
  </si>
  <si>
    <t xml:space="preserve">Cilindros 25</t>
  </si>
  <si>
    <t xml:space="preserve">ABC10-01</t>
  </si>
  <si>
    <t xml:space="preserve">Fabricados 137</t>
  </si>
  <si>
    <t xml:space="preserve">MP-04</t>
  </si>
  <si>
    <t xml:space="preserve">ABC10-02</t>
  </si>
  <si>
    <t xml:space="preserve">Fabricados 138</t>
  </si>
  <si>
    <t xml:space="preserve">MP-09</t>
  </si>
  <si>
    <t xml:space="preserve">ABC10-03</t>
  </si>
  <si>
    <t xml:space="preserve">Fabricados 139</t>
  </si>
  <si>
    <t xml:space="preserve">MP-10</t>
  </si>
  <si>
    <t xml:space="preserve">ABC10-04</t>
  </si>
  <si>
    <t xml:space="preserve">Fabricados 140</t>
  </si>
  <si>
    <t xml:space="preserve">ABC10-08</t>
  </si>
  <si>
    <t xml:space="preserve">Fabricados 142</t>
  </si>
  <si>
    <t xml:space="preserve">ABC10-25</t>
  </si>
  <si>
    <t xml:space="preserve">Fabricados 143</t>
  </si>
  <si>
    <t xml:space="preserve">ABC10-K2</t>
  </si>
  <si>
    <t xml:space="preserve">Fabricados 144</t>
  </si>
  <si>
    <t xml:space="preserve">ABC10-05</t>
  </si>
  <si>
    <t xml:space="preserve">Fabricados 145</t>
  </si>
  <si>
    <t xml:space="preserve">ABC10-06</t>
  </si>
  <si>
    <t xml:space="preserve">Fabricados 146</t>
  </si>
  <si>
    <t xml:space="preserve">ABC10-07</t>
  </si>
  <si>
    <t xml:space="preserve">Fabricados 147</t>
  </si>
  <si>
    <t xml:space="preserve">ABC10-09</t>
  </si>
  <si>
    <t xml:space="preserve">Fabricados 148</t>
  </si>
  <si>
    <t xml:space="preserve">ABC10-10</t>
  </si>
  <si>
    <t xml:space="preserve">Fabricados 149</t>
  </si>
  <si>
    <t xml:space="preserve">ABC10-11</t>
  </si>
  <si>
    <t xml:space="preserve">Fabricados 150</t>
  </si>
  <si>
    <t xml:space="preserve">ABC10-12</t>
  </si>
  <si>
    <t xml:space="preserve">Fabricados 151</t>
  </si>
  <si>
    <t xml:space="preserve">ABC10-13</t>
  </si>
  <si>
    <t xml:space="preserve">Fabricados 152</t>
  </si>
  <si>
    <t xml:space="preserve">ABC10-14</t>
  </si>
  <si>
    <t xml:space="preserve">Fabricados 153</t>
  </si>
  <si>
    <t xml:space="preserve">ABC10-15</t>
  </si>
  <si>
    <t xml:space="preserve">Fabricados 154</t>
  </si>
  <si>
    <t xml:space="preserve">ABC10-V2</t>
  </si>
  <si>
    <t xml:space="preserve">Fabricados 155</t>
  </si>
  <si>
    <t xml:space="preserve">ABC10-V3</t>
  </si>
  <si>
    <t xml:space="preserve">Fabricados 156</t>
  </si>
  <si>
    <t xml:space="preserve">ABC10-S3</t>
  </si>
  <si>
    <t xml:space="preserve">Fabricados 157</t>
  </si>
  <si>
    <t xml:space="preserve">MP-48/ABC10</t>
  </si>
  <si>
    <t xml:space="preserve">ABC10-16</t>
  </si>
  <si>
    <t xml:space="preserve">Fabricados 158</t>
  </si>
  <si>
    <t xml:space="preserve">ABC10-17</t>
  </si>
  <si>
    <t xml:space="preserve">Fabricados 159</t>
  </si>
  <si>
    <t xml:space="preserve">ABC10-18</t>
  </si>
  <si>
    <t xml:space="preserve">Fabricados 160</t>
  </si>
  <si>
    <t xml:space="preserve">ABC10-19</t>
  </si>
  <si>
    <t xml:space="preserve">Fabricados 161</t>
  </si>
  <si>
    <t xml:space="preserve">ABC10-A1</t>
  </si>
  <si>
    <t xml:space="preserve">Fabricados 163</t>
  </si>
  <si>
    <t xml:space="preserve">ABC10-A2</t>
  </si>
  <si>
    <t xml:space="preserve">Fabricados 164</t>
  </si>
  <si>
    <t xml:space="preserve">ABC10-20</t>
  </si>
  <si>
    <t xml:space="preserve">Fabricados 166</t>
  </si>
  <si>
    <t xml:space="preserve">MP-56/ABC10</t>
  </si>
  <si>
    <t xml:space="preserve">ABC10-21</t>
  </si>
  <si>
    <t xml:space="preserve">Fabricados 167</t>
  </si>
  <si>
    <t xml:space="preserve">ABC10-22</t>
  </si>
  <si>
    <t xml:space="preserve">Fabricados 168</t>
  </si>
  <si>
    <t xml:space="preserve">ABC10-23</t>
  </si>
  <si>
    <t xml:space="preserve">Fabricados 169</t>
  </si>
  <si>
    <t xml:space="preserve">ABC10-24</t>
  </si>
  <si>
    <t xml:space="preserve">Fabricados 170</t>
  </si>
  <si>
    <t xml:space="preserve">ABC10-26</t>
  </si>
  <si>
    <t xml:space="preserve">Fabricados 171</t>
  </si>
  <si>
    <t xml:space="preserve">ABC10-27</t>
  </si>
  <si>
    <t xml:space="preserve">Fabricados 172</t>
  </si>
  <si>
    <t xml:space="preserve">ABC10-I5</t>
  </si>
  <si>
    <t xml:space="preserve">Fabricados 174</t>
  </si>
  <si>
    <t xml:space="preserve">MP-52/ABC10</t>
  </si>
  <si>
    <t xml:space="preserve">ABC10-I6</t>
  </si>
  <si>
    <t xml:space="preserve">Fabricados 175</t>
  </si>
  <si>
    <t xml:space="preserve">Cilindros 28</t>
  </si>
  <si>
    <t xml:space="preserve">Cilindros 29</t>
  </si>
  <si>
    <t xml:space="preserve">Cilindros 30</t>
  </si>
  <si>
    <t xml:space="preserve">Cilindros 31</t>
  </si>
  <si>
    <t xml:space="preserve">ABC10-T1</t>
  </si>
  <si>
    <t xml:space="preserve">Cilindros 32</t>
  </si>
  <si>
    <t xml:space="preserve">ABC10-T3</t>
  </si>
  <si>
    <t xml:space="preserve">Cilindros 33</t>
  </si>
  <si>
    <t xml:space="preserve">ABC25-01</t>
  </si>
  <si>
    <t xml:space="preserve">Fabricados 183</t>
  </si>
  <si>
    <t xml:space="preserve">MP-11</t>
  </si>
  <si>
    <t xml:space="preserve">ABC25-02</t>
  </si>
  <si>
    <t xml:space="preserve">Fabricados 184</t>
  </si>
  <si>
    <t xml:space="preserve">MP-15</t>
  </si>
  <si>
    <t xml:space="preserve">ABC25-03</t>
  </si>
  <si>
    <t xml:space="preserve">Fabricados 185</t>
  </si>
  <si>
    <t xml:space="preserve">ABC25-04</t>
  </si>
  <si>
    <t xml:space="preserve">Fabricados 186</t>
  </si>
  <si>
    <t xml:space="preserve">MP-20</t>
  </si>
  <si>
    <t xml:space="preserve">ABC25-17</t>
  </si>
  <si>
    <t xml:space="preserve">Fabricados 188</t>
  </si>
  <si>
    <t xml:space="preserve">ABC25-36</t>
  </si>
  <si>
    <t xml:space="preserve">Fabricados 189</t>
  </si>
  <si>
    <t xml:space="preserve">ABC25-K2</t>
  </si>
  <si>
    <t xml:space="preserve">Fabricados 190</t>
  </si>
  <si>
    <t xml:space="preserve">Válvula HZ armada de carro 25 kg</t>
  </si>
  <si>
    <t xml:space="preserve">MP-44/25</t>
  </si>
  <si>
    <t xml:space="preserve">ABC25-14</t>
  </si>
  <si>
    <t xml:space="preserve">Fabricados 191</t>
  </si>
  <si>
    <t xml:space="preserve">ABC25-15</t>
  </si>
  <si>
    <t xml:space="preserve">Fabricados 192</t>
  </si>
  <si>
    <t xml:space="preserve">ABC25-16</t>
  </si>
  <si>
    <t xml:space="preserve">Fabricados 193</t>
  </si>
  <si>
    <t xml:space="preserve">ABC25-18</t>
  </si>
  <si>
    <t xml:space="preserve">Fabricados 194</t>
  </si>
  <si>
    <t xml:space="preserve">ABC25-19</t>
  </si>
  <si>
    <t xml:space="preserve">Fabricados 195</t>
  </si>
  <si>
    <t xml:space="preserve">ABC25-20</t>
  </si>
  <si>
    <t xml:space="preserve">Fabricados 196</t>
  </si>
  <si>
    <t xml:space="preserve">ABC25-21</t>
  </si>
  <si>
    <t xml:space="preserve">Fabricados 197</t>
  </si>
  <si>
    <t xml:space="preserve">ABC25-22</t>
  </si>
  <si>
    <t xml:space="preserve">Fabricados 198</t>
  </si>
  <si>
    <t xml:space="preserve">ABC25-23</t>
  </si>
  <si>
    <t xml:space="preserve">Fabricados 199</t>
  </si>
  <si>
    <t xml:space="preserve">ABC25-24</t>
  </si>
  <si>
    <t xml:space="preserve">Fabricados 200</t>
  </si>
  <si>
    <t xml:space="preserve">ABC25-V2</t>
  </si>
  <si>
    <t xml:space="preserve">Fabricados 201</t>
  </si>
  <si>
    <t xml:space="preserve">ABC25-V3</t>
  </si>
  <si>
    <t xml:space="preserve">Fabricados 202</t>
  </si>
  <si>
    <t xml:space="preserve">ABC25-S3</t>
  </si>
  <si>
    <t xml:space="preserve">Fabricados 203</t>
  </si>
  <si>
    <t xml:space="preserve">MP-49/ABC25</t>
  </si>
  <si>
    <t xml:space="preserve">ABC25-25</t>
  </si>
  <si>
    <t xml:space="preserve">Fabricados 204</t>
  </si>
  <si>
    <t xml:space="preserve">ABC25-26</t>
  </si>
  <si>
    <t xml:space="preserve">Fabricados 205</t>
  </si>
  <si>
    <t xml:space="preserve">Manguera (tramo enrollado)</t>
  </si>
  <si>
    <t xml:space="preserve">ABC25-27</t>
  </si>
  <si>
    <t xml:space="preserve">Fabricados 206</t>
  </si>
  <si>
    <t xml:space="preserve">ABC25-29</t>
  </si>
  <si>
    <t xml:space="preserve">Fabricados 207</t>
  </si>
  <si>
    <t xml:space="preserve">Válvula esférica</t>
  </si>
  <si>
    <t xml:space="preserve">ABC25-30</t>
  </si>
  <si>
    <t xml:space="preserve">Fabricados 208</t>
  </si>
  <si>
    <t xml:space="preserve">Tobera campana</t>
  </si>
  <si>
    <t xml:space="preserve">ABC25-05</t>
  </si>
  <si>
    <t xml:space="preserve">Fabricados 210</t>
  </si>
  <si>
    <t xml:space="preserve">Pata delantera</t>
  </si>
  <si>
    <t xml:space="preserve">Sale de las orillas del corte (sin compra)</t>
  </si>
  <si>
    <t xml:space="preserve">ABC25-06</t>
  </si>
  <si>
    <t xml:space="preserve">Fabricados 211</t>
  </si>
  <si>
    <t xml:space="preserve">Triángulos con V (2)</t>
  </si>
  <si>
    <t xml:space="preserve">ABC25-07</t>
  </si>
  <si>
    <t xml:space="preserve">Fabricados 212</t>
  </si>
  <si>
    <t xml:space="preserve">Caño del eje</t>
  </si>
  <si>
    <t xml:space="preserve">Fabricada (caño)</t>
  </si>
  <si>
    <t xml:space="preserve">MP-66</t>
  </si>
  <si>
    <t xml:space="preserve">Corte 354 mm (proceso de carros, 8.1)</t>
  </si>
  <si>
    <t xml:space="preserve">ABC25-08</t>
  </si>
  <si>
    <t xml:space="preserve">Fabricados 213</t>
  </si>
  <si>
    <t xml:space="preserve">Neumático macizo</t>
  </si>
  <si>
    <t xml:space="preserve">Compra (rueda completa)</t>
  </si>
  <si>
    <t xml:space="preserve">MP-54/300</t>
  </si>
  <si>
    <t xml:space="preserve">ABC25-09</t>
  </si>
  <si>
    <t xml:space="preserve">Fabricados 214</t>
  </si>
  <si>
    <t xml:space="preserve">Llanta con cubo</t>
  </si>
  <si>
    <t xml:space="preserve">Incluida en la rueda completa</t>
  </si>
  <si>
    <t xml:space="preserve">ABC25-10</t>
  </si>
  <si>
    <t xml:space="preserve">Fabricados 215</t>
  </si>
  <si>
    <t xml:space="preserve">Eje de ruedas</t>
  </si>
  <si>
    <t xml:space="preserve">Fabricada (barra)</t>
  </si>
  <si>
    <t xml:space="preserve">MP-68</t>
  </si>
  <si>
    <t xml:space="preserve">8 ejes de 490 mm por barra de 4 m (proceso de carros, 8.1)</t>
  </si>
  <si>
    <t xml:space="preserve">ABC25-11</t>
  </si>
  <si>
    <t xml:space="preserve">Fabricados 216</t>
  </si>
  <si>
    <t xml:space="preserve">Arandelas de tope (4)</t>
  </si>
  <si>
    <t xml:space="preserve">MP-70</t>
  </si>
  <si>
    <t xml:space="preserve">4 por carro</t>
  </si>
  <si>
    <t xml:space="preserve">ABC25-12</t>
  </si>
  <si>
    <t xml:space="preserve">Fabricados 217</t>
  </si>
  <si>
    <t xml:space="preserve">Pasadores del eje (2)</t>
  </si>
  <si>
    <t xml:space="preserve">MP-71</t>
  </si>
  <si>
    <t xml:space="preserve">2 por carro</t>
  </si>
  <si>
    <t xml:space="preserve">ABC25-13</t>
  </si>
  <si>
    <t xml:space="preserve">Fabricados 218</t>
  </si>
  <si>
    <t xml:space="preserve">Manija del carro</t>
  </si>
  <si>
    <t xml:space="preserve">Corte 1440 mm de caño 1" (proceso de carros, 8.1)</t>
  </si>
  <si>
    <t xml:space="preserve">ABC25-28</t>
  </si>
  <si>
    <t xml:space="preserve">Fabricados 219</t>
  </si>
  <si>
    <t xml:space="preserve">Flejes del soporte de manga (2)</t>
  </si>
  <si>
    <t xml:space="preserve">ABC25-A1</t>
  </si>
  <si>
    <t xml:space="preserve">Fabricados 221</t>
  </si>
  <si>
    <t xml:space="preserve">Polvo ABC 90</t>
  </si>
  <si>
    <t xml:space="preserve">MP-33B</t>
  </si>
  <si>
    <t xml:space="preserve">ABC25-A2</t>
  </si>
  <si>
    <t xml:space="preserve">Fabricados 222</t>
  </si>
  <si>
    <t xml:space="preserve">ABC25-31</t>
  </si>
  <si>
    <t xml:space="preserve">Fabricados 224</t>
  </si>
  <si>
    <t xml:space="preserve">MP-56/ABC25</t>
  </si>
  <si>
    <t xml:space="preserve">ABC25-32</t>
  </si>
  <si>
    <t xml:space="preserve">Fabricados 225</t>
  </si>
  <si>
    <t xml:space="preserve">ABC25-33</t>
  </si>
  <si>
    <t xml:space="preserve">Fabricados 226</t>
  </si>
  <si>
    <t xml:space="preserve">ABC25-34</t>
  </si>
  <si>
    <t xml:space="preserve">Fabricados 227</t>
  </si>
  <si>
    <t xml:space="preserve">ABC25-35</t>
  </si>
  <si>
    <t xml:space="preserve">Fabricados 228</t>
  </si>
  <si>
    <t xml:space="preserve">ABC25-37</t>
  </si>
  <si>
    <t xml:space="preserve">Fabricados 229</t>
  </si>
  <si>
    <t xml:space="preserve">ABC25-38</t>
  </si>
  <si>
    <t xml:space="preserve">Fabricados 230</t>
  </si>
  <si>
    <t xml:space="preserve">Cilindros 36</t>
  </si>
  <si>
    <t xml:space="preserve">Cilindros 37</t>
  </si>
  <si>
    <t xml:space="preserve">Cilindros 38</t>
  </si>
  <si>
    <t xml:space="preserve">Cilindros 39</t>
  </si>
  <si>
    <t xml:space="preserve">ABC25-T1</t>
  </si>
  <si>
    <t xml:space="preserve">Cilindros 40</t>
  </si>
  <si>
    <t xml:space="preserve">ABC25-T3</t>
  </si>
  <si>
    <t xml:space="preserve">Cilindros 41</t>
  </si>
  <si>
    <t xml:space="preserve">ABC50-01</t>
  </si>
  <si>
    <t xml:space="preserve">Fabricados 238</t>
  </si>
  <si>
    <t xml:space="preserve">ABC50-02</t>
  </si>
  <si>
    <t xml:space="preserve">Fabricados 239</t>
  </si>
  <si>
    <t xml:space="preserve">MP-16</t>
  </si>
  <si>
    <t xml:space="preserve">ABC50-03</t>
  </si>
  <si>
    <t xml:space="preserve">Fabricados 240</t>
  </si>
  <si>
    <t xml:space="preserve">ABC50-04</t>
  </si>
  <si>
    <t xml:space="preserve">Fabricados 241</t>
  </si>
  <si>
    <t xml:space="preserve">ABC50-17</t>
  </si>
  <si>
    <t xml:space="preserve">Fabricados 243</t>
  </si>
  <si>
    <t xml:space="preserve">ABC50-35</t>
  </si>
  <si>
    <t xml:space="preserve">Fabricados 244</t>
  </si>
  <si>
    <t xml:space="preserve">ABC50-K2</t>
  </si>
  <si>
    <t xml:space="preserve">Fabricados 245</t>
  </si>
  <si>
    <t xml:space="preserve">Válvula HZ armada de carro 50-70-100 kg</t>
  </si>
  <si>
    <t xml:space="preserve">MP-44/50</t>
  </si>
  <si>
    <t xml:space="preserve">ABC50-14</t>
  </si>
  <si>
    <t xml:space="preserve">Fabricados 246</t>
  </si>
  <si>
    <t xml:space="preserve">ABC50-15</t>
  </si>
  <si>
    <t xml:space="preserve">Fabricados 247</t>
  </si>
  <si>
    <t xml:space="preserve">ABC50-16</t>
  </si>
  <si>
    <t xml:space="preserve">Fabricados 248</t>
  </si>
  <si>
    <t xml:space="preserve">ABC50-18</t>
  </si>
  <si>
    <t xml:space="preserve">Fabricados 249</t>
  </si>
  <si>
    <t xml:space="preserve">ABC50-19</t>
  </si>
  <si>
    <t xml:space="preserve">Fabricados 250</t>
  </si>
  <si>
    <t xml:space="preserve">ABC50-20</t>
  </si>
  <si>
    <t xml:space="preserve">Fabricados 251</t>
  </si>
  <si>
    <t xml:space="preserve">Palanca de accionamiento</t>
  </si>
  <si>
    <t xml:space="preserve">ABC50-21</t>
  </si>
  <si>
    <t xml:space="preserve">Fabricados 252</t>
  </si>
  <si>
    <t xml:space="preserve">ABC50-22</t>
  </si>
  <si>
    <t xml:space="preserve">Fabricados 253</t>
  </si>
  <si>
    <t xml:space="preserve">ABC50-23</t>
  </si>
  <si>
    <t xml:space="preserve">Fabricados 254</t>
  </si>
  <si>
    <t xml:space="preserve">ABC50-V2</t>
  </si>
  <si>
    <t xml:space="preserve">Fabricados 255</t>
  </si>
  <si>
    <t xml:space="preserve">ABC50-V3</t>
  </si>
  <si>
    <t xml:space="preserve">Fabricados 256</t>
  </si>
  <si>
    <t xml:space="preserve">ABC50-S3</t>
  </si>
  <si>
    <t xml:space="preserve">Fabricados 257</t>
  </si>
  <si>
    <t xml:space="preserve">MP-49/ABC50</t>
  </si>
  <si>
    <t xml:space="preserve">ABC50-24</t>
  </si>
  <si>
    <t xml:space="preserve">Fabricados 258</t>
  </si>
  <si>
    <t xml:space="preserve">ABC50-25</t>
  </si>
  <si>
    <t xml:space="preserve">Fabricados 259</t>
  </si>
  <si>
    <t xml:space="preserve">ABC50-26</t>
  </si>
  <si>
    <t xml:space="preserve">Fabricados 260</t>
  </si>
  <si>
    <t xml:space="preserve">ABC50-28</t>
  </si>
  <si>
    <t xml:space="preserve">Fabricados 261</t>
  </si>
  <si>
    <t xml:space="preserve">ABC50-29</t>
  </si>
  <si>
    <t xml:space="preserve">Fabricados 262</t>
  </si>
  <si>
    <t xml:space="preserve">ABC50-05</t>
  </si>
  <si>
    <t xml:space="preserve">Fabricados 264</t>
  </si>
  <si>
    <t xml:space="preserve">ABC50-06</t>
  </si>
  <si>
    <t xml:space="preserve">Fabricados 265</t>
  </si>
  <si>
    <t xml:space="preserve">ABC50-07</t>
  </si>
  <si>
    <t xml:space="preserve">Fabricados 266</t>
  </si>
  <si>
    <t xml:space="preserve">MP-67</t>
  </si>
  <si>
    <t xml:space="preserve">ABC50-08</t>
  </si>
  <si>
    <t xml:space="preserve">Fabricados 267</t>
  </si>
  <si>
    <t xml:space="preserve">MP-54/350</t>
  </si>
  <si>
    <t xml:space="preserve">ABC50-09</t>
  </si>
  <si>
    <t xml:space="preserve">Fabricados 268</t>
  </si>
  <si>
    <t xml:space="preserve">ABC50-10</t>
  </si>
  <si>
    <t xml:space="preserve">Fabricados 269</t>
  </si>
  <si>
    <t xml:space="preserve">MP-69</t>
  </si>
  <si>
    <t xml:space="preserve">11 ejes de 510 mm por barra de 6 m (proceso de carros, 8.1)</t>
  </si>
  <si>
    <t xml:space="preserve">ABC50-11</t>
  </si>
  <si>
    <t xml:space="preserve">Fabricados 270</t>
  </si>
  <si>
    <t xml:space="preserve">ABC50-12</t>
  </si>
  <si>
    <t xml:space="preserve">Fabricados 271</t>
  </si>
  <si>
    <t xml:space="preserve">ABC50-13</t>
  </si>
  <si>
    <t xml:space="preserve">Fabricados 272</t>
  </si>
  <si>
    <t xml:space="preserve">Corte 1520 mm de caño 1" (proceso de carros, 8.1)</t>
  </si>
  <si>
    <t xml:space="preserve">ABC50-27</t>
  </si>
  <si>
    <t xml:space="preserve">Fabricados 273</t>
  </si>
  <si>
    <t xml:space="preserve">ABC50-A1</t>
  </si>
  <si>
    <t xml:space="preserve">Fabricados 275</t>
  </si>
  <si>
    <t xml:space="preserve">ABC50-A2</t>
  </si>
  <si>
    <t xml:space="preserve">Fabricados 276</t>
  </si>
  <si>
    <t xml:space="preserve">ABC50-30</t>
  </si>
  <si>
    <t xml:space="preserve">Fabricados 278</t>
  </si>
  <si>
    <t xml:space="preserve">MP-56/ABC50</t>
  </si>
  <si>
    <t xml:space="preserve">ABC50-31</t>
  </si>
  <si>
    <t xml:space="preserve">Fabricados 279</t>
  </si>
  <si>
    <t xml:space="preserve">ABC50-32</t>
  </si>
  <si>
    <t xml:space="preserve">Fabricados 280</t>
  </si>
  <si>
    <t xml:space="preserve">ABC50-33</t>
  </si>
  <si>
    <t xml:space="preserve">Fabricados 281</t>
  </si>
  <si>
    <t xml:space="preserve">ABC50-34</t>
  </si>
  <si>
    <t xml:space="preserve">Fabricados 282</t>
  </si>
  <si>
    <t xml:space="preserve">ABC50-36</t>
  </si>
  <si>
    <t xml:space="preserve">Fabricados 283</t>
  </si>
  <si>
    <t xml:space="preserve">ABC50-37</t>
  </si>
  <si>
    <t xml:space="preserve">Fabricados 284</t>
  </si>
  <si>
    <t xml:space="preserve">Cilindros 44</t>
  </si>
  <si>
    <t xml:space="preserve">Cilindros 45</t>
  </si>
  <si>
    <t xml:space="preserve">Cilindros 46</t>
  </si>
  <si>
    <t xml:space="preserve">Cilindros 47</t>
  </si>
  <si>
    <t xml:space="preserve">ABC50-T1</t>
  </si>
  <si>
    <t xml:space="preserve">Cilindros 48</t>
  </si>
  <si>
    <t xml:space="preserve">ABC50-T3</t>
  </si>
  <si>
    <t xml:space="preserve">Cilindros 49</t>
  </si>
  <si>
    <t xml:space="preserve">ABC70-01</t>
  </si>
  <si>
    <t xml:space="preserve">Fabricados 292</t>
  </si>
  <si>
    <t xml:space="preserve">MP-12</t>
  </si>
  <si>
    <t xml:space="preserve">ABC70-02</t>
  </si>
  <si>
    <t xml:space="preserve">Fabricados 293</t>
  </si>
  <si>
    <t xml:space="preserve">MP-17</t>
  </si>
  <si>
    <t xml:space="preserve">ABC70-03</t>
  </si>
  <si>
    <t xml:space="preserve">Fabricados 294</t>
  </si>
  <si>
    <t xml:space="preserve">ABC70-04</t>
  </si>
  <si>
    <t xml:space="preserve">Fabricados 295</t>
  </si>
  <si>
    <t xml:space="preserve">MP-21</t>
  </si>
  <si>
    <t xml:space="preserve">ABC70-05</t>
  </si>
  <si>
    <t xml:space="preserve">Fabricados 296</t>
  </si>
  <si>
    <t xml:space="preserve">Placas de refuerzo (2)</t>
  </si>
  <si>
    <t xml:space="preserve">ABC70-18</t>
  </si>
  <si>
    <t xml:space="preserve">Fabricados 298</t>
  </si>
  <si>
    <t xml:space="preserve">ABC70-36</t>
  </si>
  <si>
    <t xml:space="preserve">Fabricados 299</t>
  </si>
  <si>
    <t xml:space="preserve">MP-50/2½</t>
  </si>
  <si>
    <t xml:space="preserve">ABC70-K2</t>
  </si>
  <si>
    <t xml:space="preserve">Fabricados 300</t>
  </si>
  <si>
    <t xml:space="preserve">ABC70-15</t>
  </si>
  <si>
    <t xml:space="preserve">Fabricados 301</t>
  </si>
  <si>
    <t xml:space="preserve">ABC70-16</t>
  </si>
  <si>
    <t xml:space="preserve">Fabricados 302</t>
  </si>
  <si>
    <t xml:space="preserve">ABC70-17</t>
  </si>
  <si>
    <t xml:space="preserve">Fabricados 303</t>
  </si>
  <si>
    <t xml:space="preserve">ABC70-19</t>
  </si>
  <si>
    <t xml:space="preserve">Fabricados 304</t>
  </si>
  <si>
    <t xml:space="preserve">ABC70-20</t>
  </si>
  <si>
    <t xml:space="preserve">Fabricados 305</t>
  </si>
  <si>
    <t xml:space="preserve">ABC70-21</t>
  </si>
  <si>
    <t xml:space="preserve">Fabricados 306</t>
  </si>
  <si>
    <t xml:space="preserve">ABC70-22</t>
  </si>
  <si>
    <t xml:space="preserve">Fabricados 307</t>
  </si>
  <si>
    <t xml:space="preserve">ABC70-23</t>
  </si>
  <si>
    <t xml:space="preserve">Fabricados 308</t>
  </si>
  <si>
    <t xml:space="preserve">ABC70-24</t>
  </si>
  <si>
    <t xml:space="preserve">Fabricados 309</t>
  </si>
  <si>
    <t xml:space="preserve">ABC70-V2</t>
  </si>
  <si>
    <t xml:space="preserve">Fabricados 310</t>
  </si>
  <si>
    <t xml:space="preserve">ABC70-V3</t>
  </si>
  <si>
    <t xml:space="preserve">Fabricados 311</t>
  </si>
  <si>
    <t xml:space="preserve">ABC70-S3</t>
  </si>
  <si>
    <t xml:space="preserve">Fabricados 312</t>
  </si>
  <si>
    <t xml:space="preserve">MP-49/ABC70</t>
  </si>
  <si>
    <t xml:space="preserve">ABC70-25</t>
  </si>
  <si>
    <t xml:space="preserve">Fabricados 313</t>
  </si>
  <si>
    <t xml:space="preserve">ABC70-26</t>
  </si>
  <si>
    <t xml:space="preserve">Fabricados 314</t>
  </si>
  <si>
    <t xml:space="preserve">ABC70-27</t>
  </si>
  <si>
    <t xml:space="preserve">Fabricados 315</t>
  </si>
  <si>
    <t xml:space="preserve">ABC70-29</t>
  </si>
  <si>
    <t xml:space="preserve">Fabricados 316</t>
  </si>
  <si>
    <t xml:space="preserve">ABC70-30</t>
  </si>
  <si>
    <t xml:space="preserve">Fabricados 317</t>
  </si>
  <si>
    <t xml:space="preserve">ABC70-06</t>
  </si>
  <si>
    <t xml:space="preserve">Fabricados 319</t>
  </si>
  <si>
    <t xml:space="preserve">ABC70-07</t>
  </si>
  <si>
    <t xml:space="preserve">Fabricados 320</t>
  </si>
  <si>
    <t xml:space="preserve">ABC70-08</t>
  </si>
  <si>
    <t xml:space="preserve">Fabricados 321</t>
  </si>
  <si>
    <t xml:space="preserve">Corte 434 mm (proceso de carros, 8.1)</t>
  </si>
  <si>
    <t xml:space="preserve">ABC70-09</t>
  </si>
  <si>
    <t xml:space="preserve">Fabricados 322</t>
  </si>
  <si>
    <t xml:space="preserve">MP-54/400</t>
  </si>
  <si>
    <t xml:space="preserve">ABC70-10</t>
  </si>
  <si>
    <t xml:space="preserve">Fabricados 323</t>
  </si>
  <si>
    <t xml:space="preserve">ABC70-11</t>
  </si>
  <si>
    <t xml:space="preserve">Fabricados 324</t>
  </si>
  <si>
    <t xml:space="preserve">10 ejes de 590 mm por barra de 6 m (proceso de carros, 8.1)</t>
  </si>
  <si>
    <t xml:space="preserve">ABC70-12</t>
  </si>
  <si>
    <t xml:space="preserve">Fabricados 325</t>
  </si>
  <si>
    <t xml:space="preserve">ABC70-13</t>
  </si>
  <si>
    <t xml:space="preserve">Fabricados 326</t>
  </si>
  <si>
    <t xml:space="preserve">ABC70-14</t>
  </si>
  <si>
    <t xml:space="preserve">Fabricados 327</t>
  </si>
  <si>
    <t xml:space="preserve">Corte 1590 mm de caño 1" (proceso de carros, 8.1)</t>
  </si>
  <si>
    <t xml:space="preserve">ABC70-28</t>
  </si>
  <si>
    <t xml:space="preserve">Fabricados 328</t>
  </si>
  <si>
    <t xml:space="preserve">ABC70-A1</t>
  </si>
  <si>
    <t xml:space="preserve">Fabricados 330</t>
  </si>
  <si>
    <t xml:space="preserve">ABC70-A2</t>
  </si>
  <si>
    <t xml:space="preserve">Fabricados 331</t>
  </si>
  <si>
    <t xml:space="preserve">ABC70-31</t>
  </si>
  <si>
    <t xml:space="preserve">Fabricados 333</t>
  </si>
  <si>
    <t xml:space="preserve">MP-56/ABC70</t>
  </si>
  <si>
    <t xml:space="preserve">ABC70-32</t>
  </si>
  <si>
    <t xml:space="preserve">Fabricados 334</t>
  </si>
  <si>
    <t xml:space="preserve">ABC70-33</t>
  </si>
  <si>
    <t xml:space="preserve">Fabricados 335</t>
  </si>
  <si>
    <t xml:space="preserve">ABC70-34</t>
  </si>
  <si>
    <t xml:space="preserve">Fabricados 336</t>
  </si>
  <si>
    <t xml:space="preserve">ABC70-35</t>
  </si>
  <si>
    <t xml:space="preserve">Fabricados 337</t>
  </si>
  <si>
    <t xml:space="preserve">ABC70-37</t>
  </si>
  <si>
    <t xml:space="preserve">Fabricados 338</t>
  </si>
  <si>
    <t xml:space="preserve">ABC70-38</t>
  </si>
  <si>
    <t xml:space="preserve">Fabricados 339</t>
  </si>
  <si>
    <t xml:space="preserve">Cilindros 52</t>
  </si>
  <si>
    <t xml:space="preserve">Cilindros 53</t>
  </si>
  <si>
    <t xml:space="preserve">Cilindros 54</t>
  </si>
  <si>
    <t xml:space="preserve">Cilindros 55</t>
  </si>
  <si>
    <t xml:space="preserve">Cilindros 56</t>
  </si>
  <si>
    <t xml:space="preserve">ABC70-T1</t>
  </si>
  <si>
    <t xml:space="preserve">Cilindros 57</t>
  </si>
  <si>
    <t xml:space="preserve">MP-62/2½</t>
  </si>
  <si>
    <t xml:space="preserve">ABC70-T3</t>
  </si>
  <si>
    <t xml:space="preserve">Cilindros 58</t>
  </si>
  <si>
    <t xml:space="preserve">ABC100-01</t>
  </si>
  <si>
    <t xml:space="preserve">Fabricados 347</t>
  </si>
  <si>
    <t xml:space="preserve">ABC100-02</t>
  </si>
  <si>
    <t xml:space="preserve">Fabricados 348</t>
  </si>
  <si>
    <t xml:space="preserve">ABC100-03</t>
  </si>
  <si>
    <t xml:space="preserve">Fabricados 349</t>
  </si>
  <si>
    <t xml:space="preserve">ABC100-04</t>
  </si>
  <si>
    <t xml:space="preserve">Fabricados 350</t>
  </si>
  <si>
    <t xml:space="preserve">ABC100-05</t>
  </si>
  <si>
    <t xml:space="preserve">Fabricados 351</t>
  </si>
  <si>
    <t xml:space="preserve">ABC100-18</t>
  </si>
  <si>
    <t xml:space="preserve">Fabricados 353</t>
  </si>
  <si>
    <t xml:space="preserve">ABC100-36</t>
  </si>
  <si>
    <t xml:space="preserve">Fabricados 354</t>
  </si>
  <si>
    <t xml:space="preserve">ABC100-K2</t>
  </si>
  <si>
    <t xml:space="preserve">Fabricados 355</t>
  </si>
  <si>
    <t xml:space="preserve">ABC100-15</t>
  </si>
  <si>
    <t xml:space="preserve">Fabricados 356</t>
  </si>
  <si>
    <t xml:space="preserve">ABC100-16</t>
  </si>
  <si>
    <t xml:space="preserve">Fabricados 357</t>
  </si>
  <si>
    <t xml:space="preserve">ABC100-17</t>
  </si>
  <si>
    <t xml:space="preserve">Fabricados 358</t>
  </si>
  <si>
    <t xml:space="preserve">ABC100-19</t>
  </si>
  <si>
    <t xml:space="preserve">Fabricados 359</t>
  </si>
  <si>
    <t xml:space="preserve">ABC100-20</t>
  </si>
  <si>
    <t xml:space="preserve">Fabricados 360</t>
  </si>
  <si>
    <t xml:space="preserve">ABC100-21</t>
  </si>
  <si>
    <t xml:space="preserve">Fabricados 361</t>
  </si>
  <si>
    <t xml:space="preserve">ABC100-22</t>
  </si>
  <si>
    <t xml:space="preserve">Fabricados 362</t>
  </si>
  <si>
    <t xml:space="preserve">ABC100-23</t>
  </si>
  <si>
    <t xml:space="preserve">Fabricados 363</t>
  </si>
  <si>
    <t xml:space="preserve">ABC100-24</t>
  </si>
  <si>
    <t xml:space="preserve">Fabricados 364</t>
  </si>
  <si>
    <t xml:space="preserve">ABC100-V2</t>
  </si>
  <si>
    <t xml:space="preserve">Fabricados 365</t>
  </si>
  <si>
    <t xml:space="preserve">ABC100-V3</t>
  </si>
  <si>
    <t xml:space="preserve">Fabricados 366</t>
  </si>
  <si>
    <t xml:space="preserve">ABC100-S3</t>
  </si>
  <si>
    <t xml:space="preserve">Fabricados 367</t>
  </si>
  <si>
    <t xml:space="preserve">MP-49/ABC100</t>
  </si>
  <si>
    <t xml:space="preserve">ABC100-25</t>
  </si>
  <si>
    <t xml:space="preserve">Fabricados 368</t>
  </si>
  <si>
    <t xml:space="preserve">ABC100-26</t>
  </si>
  <si>
    <t xml:space="preserve">Fabricados 369</t>
  </si>
  <si>
    <t xml:space="preserve">ABC100-27</t>
  </si>
  <si>
    <t xml:space="preserve">Fabricados 370</t>
  </si>
  <si>
    <t xml:space="preserve">ABC100-29</t>
  </si>
  <si>
    <t xml:space="preserve">Fabricados 371</t>
  </si>
  <si>
    <t xml:space="preserve">ABC100-30</t>
  </si>
  <si>
    <t xml:space="preserve">Fabricados 372</t>
  </si>
  <si>
    <t xml:space="preserve">ABC100-06</t>
  </si>
  <si>
    <t xml:space="preserve">Fabricados 374</t>
  </si>
  <si>
    <t xml:space="preserve">ABC100-07</t>
  </si>
  <si>
    <t xml:space="preserve">Fabricados 375</t>
  </si>
  <si>
    <t xml:space="preserve">ABC100-08</t>
  </si>
  <si>
    <t xml:space="preserve">Fabricados 376</t>
  </si>
  <si>
    <t xml:space="preserve">ABC100-09</t>
  </si>
  <si>
    <t xml:space="preserve">Fabricados 377</t>
  </si>
  <si>
    <t xml:space="preserve">ABC100-10</t>
  </si>
  <si>
    <t xml:space="preserve">Fabricados 378</t>
  </si>
  <si>
    <t xml:space="preserve">ABC100-11</t>
  </si>
  <si>
    <t xml:space="preserve">Fabricados 379</t>
  </si>
  <si>
    <t xml:space="preserve">ABC100-12</t>
  </si>
  <si>
    <t xml:space="preserve">Fabricados 380</t>
  </si>
  <si>
    <t xml:space="preserve">ABC100-13</t>
  </si>
  <si>
    <t xml:space="preserve">Fabricados 381</t>
  </si>
  <si>
    <t xml:space="preserve">ABC100-14</t>
  </si>
  <si>
    <t xml:space="preserve">Fabricados 382</t>
  </si>
  <si>
    <t xml:space="preserve">ABC100-28</t>
  </si>
  <si>
    <t xml:space="preserve">Fabricados 383</t>
  </si>
  <si>
    <t xml:space="preserve">Flejes del soporte de manga (3)</t>
  </si>
  <si>
    <t xml:space="preserve">ABC100-A1</t>
  </si>
  <si>
    <t xml:space="preserve">Fabricados 385</t>
  </si>
  <si>
    <t xml:space="preserve">ABC100-A2</t>
  </si>
  <si>
    <t xml:space="preserve">Fabricados 386</t>
  </si>
  <si>
    <t xml:space="preserve">ABC100-31</t>
  </si>
  <si>
    <t xml:space="preserve">Fabricados 388</t>
  </si>
  <si>
    <t xml:space="preserve">MP-56/ABC100</t>
  </si>
  <si>
    <t xml:space="preserve">ABC100-32</t>
  </si>
  <si>
    <t xml:space="preserve">Fabricados 389</t>
  </si>
  <si>
    <t xml:space="preserve">ABC100-33</t>
  </si>
  <si>
    <t xml:space="preserve">Fabricados 390</t>
  </si>
  <si>
    <t xml:space="preserve">ABC100-34</t>
  </si>
  <si>
    <t xml:space="preserve">Fabricados 391</t>
  </si>
  <si>
    <t xml:space="preserve">ABC100-35</t>
  </si>
  <si>
    <t xml:space="preserve">Fabricados 392</t>
  </si>
  <si>
    <t xml:space="preserve">ABC100-37</t>
  </si>
  <si>
    <t xml:space="preserve">Fabricados 393</t>
  </si>
  <si>
    <t xml:space="preserve">ABC100-38</t>
  </si>
  <si>
    <t xml:space="preserve">Fabricados 394</t>
  </si>
  <si>
    <t xml:space="preserve">Cilindros 61</t>
  </si>
  <si>
    <t xml:space="preserve">Cilindros 62</t>
  </si>
  <si>
    <t xml:space="preserve">Cilindros 63</t>
  </si>
  <si>
    <t xml:space="preserve">Cilindros 64</t>
  </si>
  <si>
    <t xml:space="preserve">Cilindros 65</t>
  </si>
  <si>
    <t xml:space="preserve">ABC100-T1</t>
  </si>
  <si>
    <t xml:space="preserve">Cilindros 66</t>
  </si>
  <si>
    <t xml:space="preserve">ABC100-T3</t>
  </si>
  <si>
    <t xml:space="preserve">Cilindros 67</t>
  </si>
  <si>
    <t xml:space="preserve">Equipo terminado comprado al fabricante</t>
  </si>
  <si>
    <t xml:space="preserve">RV-AGUA_10l</t>
  </si>
  <si>
    <t xml:space="preserve">Se compra terminado e identificado por su fabricante</t>
  </si>
  <si>
    <t xml:space="preserve">Tarjeta AGC (sólo destino CABA)</t>
  </si>
  <si>
    <t xml:space="preserve">Ord. 40.473 / Res. AGC 32/15: la tarjeta la agrega quien vende en CABA</t>
  </si>
  <si>
    <t xml:space="preserve">RV-AFFF_10l</t>
  </si>
  <si>
    <t xml:space="preserve">RV-AFFF_50l</t>
  </si>
  <si>
    <t xml:space="preserve">RV-BC_5kg</t>
  </si>
  <si>
    <t xml:space="preserve">RV-SALESK_6l</t>
  </si>
  <si>
    <t xml:space="preserve">RV-CO2_2kg</t>
  </si>
  <si>
    <t xml:space="preserve">RV-CO2_5kg</t>
  </si>
  <si>
    <t xml:space="preserve">RV-HCFC-HFC_5kg</t>
  </si>
  <si>
    <t xml:space="preserve">RV-CLASED_9l</t>
  </si>
  <si>
    <t xml:space="preserve">C1</t>
  </si>
  <si>
    <t xml:space="preserve">Recargas 4</t>
  </si>
  <si>
    <t xml:space="preserve">Etiqueta de control (celeste 35 × 50)</t>
  </si>
  <si>
    <t xml:space="preserve">Compra por servicio</t>
  </si>
  <si>
    <t xml:space="preserve">MP-73</t>
  </si>
  <si>
    <t xml:space="preserve">FLAMA_BOM, hoja Recargas (IRAM 3517-2:2020)</t>
  </si>
  <si>
    <t xml:space="preserve">A1</t>
  </si>
  <si>
    <t xml:space="preserve">Recargas 6, 16</t>
  </si>
  <si>
    <t xml:space="preserve">Polvo ABC 60 (reposición) / Polvo ABC 60</t>
  </si>
  <si>
    <t xml:space="preserve">A2</t>
  </si>
  <si>
    <t xml:space="preserve">Recargas 7, 17</t>
  </si>
  <si>
    <t xml:space="preserve">P1</t>
  </si>
  <si>
    <t xml:space="preserve">Recargas 8, 18</t>
  </si>
  <si>
    <t xml:space="preserve">Precinto con identificación del recargador</t>
  </si>
  <si>
    <t xml:space="preserve">MP-97</t>
  </si>
  <si>
    <t xml:space="preserve">P6</t>
  </si>
  <si>
    <t xml:space="preserve">Recargas 9, 19</t>
  </si>
  <si>
    <t xml:space="preserve">Marbete indicador</t>
  </si>
  <si>
    <t xml:space="preserve">MP-57</t>
  </si>
  <si>
    <t xml:space="preserve">P2</t>
  </si>
  <si>
    <t xml:space="preserve">Recargas 10, 20</t>
  </si>
  <si>
    <t xml:space="preserve">Etiqueta de servicio del recargador</t>
  </si>
  <si>
    <t xml:space="preserve">MP-72</t>
  </si>
  <si>
    <t xml:space="preserve">P3</t>
  </si>
  <si>
    <t xml:space="preserve">Recargas 11, 21</t>
  </si>
  <si>
    <t xml:space="preserve">Estampilla y oblea de recarga (PBA)</t>
  </si>
  <si>
    <t xml:space="preserve">MP-75</t>
  </si>
  <si>
    <t xml:space="preserve">P4</t>
  </si>
  <si>
    <t xml:space="preserve">Recargas 12, 22</t>
  </si>
  <si>
    <t xml:space="preserve">Tarjeta de identificación DPS (PBA)</t>
  </si>
  <si>
    <t xml:space="preserve">MP-76</t>
  </si>
  <si>
    <t xml:space="preserve">P5</t>
  </si>
  <si>
    <t xml:space="preserve">Recargas 13, 23</t>
  </si>
  <si>
    <t xml:space="preserve">Tarjeta de identificación AGC (CABA)</t>
  </si>
  <si>
    <t xml:space="preserve">P7</t>
  </si>
  <si>
    <t xml:space="preserve">Recargas 14, 24</t>
  </si>
  <si>
    <t xml:space="preserve">Junta tórica de asiento del cuello</t>
  </si>
  <si>
    <t xml:space="preserve">H1</t>
  </si>
  <si>
    <t xml:space="preserve">Recargas 27</t>
  </si>
  <si>
    <t xml:space="preserve">Oblea de vencimiento de la prueba hidráulica</t>
  </si>
  <si>
    <t xml:space="preserve">MP-74</t>
  </si>
  <si>
    <t xml:space="preserve">RA1</t>
  </si>
  <si>
    <t xml:space="preserve">Recargas 26</t>
  </si>
  <si>
    <t xml:space="preserve">Polvo ABC 60 recuperado</t>
  </si>
  <si>
    <t xml:space="preserve">Sin compra</t>
  </si>
  <si>
    <t xml:space="preserve">No se compra: se recupera</t>
  </si>
  <si>
    <t xml:space="preserve">Válvula de reemplazo</t>
  </si>
  <si>
    <t xml:space="preserve">Reposición en el mantenimiento: planilla de MP (estimado)</t>
  </si>
  <si>
    <t xml:space="preserve">Manómetro de reemplazo</t>
  </si>
  <si>
    <t xml:space="preserve">Recargas 30</t>
  </si>
  <si>
    <t xml:space="preserve">Recargas 32, 42</t>
  </si>
  <si>
    <t xml:space="preserve">Recargas 33, 43</t>
  </si>
  <si>
    <t xml:space="preserve">Recargas 34, 44</t>
  </si>
  <si>
    <t xml:space="preserve">Recargas 35, 45</t>
  </si>
  <si>
    <t xml:space="preserve">Recargas 36, 46</t>
  </si>
  <si>
    <t xml:space="preserve">Recargas 37, 47</t>
  </si>
  <si>
    <t xml:space="preserve">Recargas 38, 48</t>
  </si>
  <si>
    <t xml:space="preserve">Recargas 39, 49</t>
  </si>
  <si>
    <t xml:space="preserve">Recargas 40, 50</t>
  </si>
  <si>
    <t xml:space="preserve">Recargas 53</t>
  </si>
  <si>
    <t xml:space="preserve">Recargas 52</t>
  </si>
  <si>
    <t xml:space="preserve">Manguera de reemplazo</t>
  </si>
  <si>
    <t xml:space="preserve">Recargas 56</t>
  </si>
  <si>
    <t xml:space="preserve">Recargas 58, 68</t>
  </si>
  <si>
    <t xml:space="preserve">Recargas 59, 69</t>
  </si>
  <si>
    <t xml:space="preserve">Recargas 60, 70</t>
  </si>
  <si>
    <t xml:space="preserve">Recargas 61, 71</t>
  </si>
  <si>
    <t xml:space="preserve">Recargas 62, 72</t>
  </si>
  <si>
    <t xml:space="preserve">Recargas 63, 73</t>
  </si>
  <si>
    <t xml:space="preserve">Recargas 64, 74</t>
  </si>
  <si>
    <t xml:space="preserve">Recargas 65, 75</t>
  </si>
  <si>
    <t xml:space="preserve">Recargas 66, 76</t>
  </si>
  <si>
    <t xml:space="preserve">Recargas 79</t>
  </si>
  <si>
    <t xml:space="preserve">Recargas 78</t>
  </si>
  <si>
    <t xml:space="preserve">Recargas 82</t>
  </si>
  <si>
    <t xml:space="preserve">Recargas 84, 94</t>
  </si>
  <si>
    <t xml:space="preserve">Recargas 85, 95</t>
  </si>
  <si>
    <t xml:space="preserve">Recargas 86, 96</t>
  </si>
  <si>
    <t xml:space="preserve">Recargas 87, 97</t>
  </si>
  <si>
    <t xml:space="preserve">Recargas 88, 98</t>
  </si>
  <si>
    <t xml:space="preserve">Recargas 89, 99</t>
  </si>
  <si>
    <t xml:space="preserve">Recargas 90, 100</t>
  </si>
  <si>
    <t xml:space="preserve">Recargas 91, 101</t>
  </si>
  <si>
    <t xml:space="preserve">Recargas 92, 102</t>
  </si>
  <si>
    <t xml:space="preserve">Recargas 105</t>
  </si>
  <si>
    <t xml:space="preserve">Recargas 104</t>
  </si>
  <si>
    <t xml:space="preserve">Recargas 108</t>
  </si>
  <si>
    <t xml:space="preserve">Recargas 110, 120</t>
  </si>
  <si>
    <t xml:space="preserve">Polvo ABC 90 (reposición) / Polvo ABC 90</t>
  </si>
  <si>
    <t xml:space="preserve">Recargas 111, 121</t>
  </si>
  <si>
    <t xml:space="preserve">Recargas 112, 122</t>
  </si>
  <si>
    <t xml:space="preserve">Recargas 113, 123</t>
  </si>
  <si>
    <t xml:space="preserve">Recargas 114, 124</t>
  </si>
  <si>
    <t xml:space="preserve">Recargas 115, 125</t>
  </si>
  <si>
    <t xml:space="preserve">Recargas 116, 126</t>
  </si>
  <si>
    <t xml:space="preserve">Recargas 117, 127</t>
  </si>
  <si>
    <t xml:space="preserve">Recargas 118, 128</t>
  </si>
  <si>
    <t xml:space="preserve">Recargas 131</t>
  </si>
  <si>
    <t xml:space="preserve">Recargas 130</t>
  </si>
  <si>
    <t xml:space="preserve">Polvo ABC 90 recuperado</t>
  </si>
  <si>
    <t xml:space="preserve">Recargas 134</t>
  </si>
  <si>
    <t xml:space="preserve">Recargas 136, 146</t>
  </si>
  <si>
    <t xml:space="preserve">Recargas 137, 147</t>
  </si>
  <si>
    <t xml:space="preserve">Recargas 138, 148</t>
  </si>
  <si>
    <t xml:space="preserve">Recargas 139, 149</t>
  </si>
  <si>
    <t xml:space="preserve">Recargas 140, 150</t>
  </si>
  <si>
    <t xml:space="preserve">Recargas 141, 151</t>
  </si>
  <si>
    <t xml:space="preserve">Recargas 142, 152</t>
  </si>
  <si>
    <t xml:space="preserve">Recargas 143, 153</t>
  </si>
  <si>
    <t xml:space="preserve">Recargas 144, 154</t>
  </si>
  <si>
    <t xml:space="preserve">Recargas 157</t>
  </si>
  <si>
    <t xml:space="preserve">Recargas 156</t>
  </si>
  <si>
    <t xml:space="preserve">Recargas 160</t>
  </si>
  <si>
    <t xml:space="preserve">Recargas 162, 172</t>
  </si>
  <si>
    <t xml:space="preserve">Recargas 163, 173</t>
  </si>
  <si>
    <t xml:space="preserve">Recargas 164, 174</t>
  </si>
  <si>
    <t xml:space="preserve">Recargas 165, 175</t>
  </si>
  <si>
    <t xml:space="preserve">Recargas 166, 176</t>
  </si>
  <si>
    <t xml:space="preserve">Recargas 167, 177</t>
  </si>
  <si>
    <t xml:space="preserve">Recargas 168, 178</t>
  </si>
  <si>
    <t xml:space="preserve">Recargas 169, 179</t>
  </si>
  <si>
    <t xml:space="preserve">Recargas 170, 180</t>
  </si>
  <si>
    <t xml:space="preserve">Recargas 183</t>
  </si>
  <si>
    <t xml:space="preserve">Recargas 182</t>
  </si>
  <si>
    <t xml:space="preserve">Recargas 186</t>
  </si>
  <si>
    <t xml:space="preserve">Recargas 188, 198</t>
  </si>
  <si>
    <t xml:space="preserve">Recargas 189, 199</t>
  </si>
  <si>
    <t xml:space="preserve">Recargas 190, 200</t>
  </si>
  <si>
    <t xml:space="preserve">Recargas 191, 201</t>
  </si>
  <si>
    <t xml:space="preserve">Recargas 192, 202</t>
  </si>
  <si>
    <t xml:space="preserve">Recargas 193, 203</t>
  </si>
  <si>
    <t xml:space="preserve">Recargas 194, 204</t>
  </si>
  <si>
    <t xml:space="preserve">Recargas 195, 205</t>
  </si>
  <si>
    <t xml:space="preserve">Recargas 196, 206</t>
  </si>
  <si>
    <t xml:space="preserve">Recargas 209</t>
  </si>
  <si>
    <t xml:space="preserve">Recargas 208</t>
  </si>
  <si>
    <t xml:space="preserve">Recargas 212</t>
  </si>
  <si>
    <t xml:space="preserve">Recargas 216, 226</t>
  </si>
  <si>
    <t xml:space="preserve">Recargas 217, 227</t>
  </si>
  <si>
    <t xml:space="preserve">Recargas 218, 228</t>
  </si>
  <si>
    <t xml:space="preserve">Recargas 219, 229</t>
  </si>
  <si>
    <t xml:space="preserve">Recargas 220, 230</t>
  </si>
  <si>
    <t xml:space="preserve">Recargas 221, 231</t>
  </si>
  <si>
    <t xml:space="preserve">Recargas 222, 232</t>
  </si>
  <si>
    <t xml:space="preserve">MP-50/OT</t>
  </si>
  <si>
    <t xml:space="preserve">Recargas 234</t>
  </si>
  <si>
    <t xml:space="preserve">Recargas 214</t>
  </si>
  <si>
    <t xml:space="preserve">Agua</t>
  </si>
  <si>
    <t xml:space="preserve">L</t>
  </si>
  <si>
    <t xml:space="preserve">No se compra: agua de red o aire del compresor de planta</t>
  </si>
  <si>
    <t xml:space="preserve">Recargas 215</t>
  </si>
  <si>
    <t xml:space="preserve">Gas impulsor: Aire comprimido (L normales)</t>
  </si>
  <si>
    <t xml:space="preserve">Recargas 224</t>
  </si>
  <si>
    <t xml:space="preserve">Recargas 225</t>
  </si>
  <si>
    <t xml:space="preserve">Recargas 237</t>
  </si>
  <si>
    <t xml:space="preserve">A1b</t>
  </si>
  <si>
    <t xml:space="preserve">Recargas 239, 250</t>
  </si>
  <si>
    <t xml:space="preserve">Concentrado AFFF 3 %</t>
  </si>
  <si>
    <t xml:space="preserve">MP-40</t>
  </si>
  <si>
    <t xml:space="preserve">Recargas 242, 253</t>
  </si>
  <si>
    <t xml:space="preserve">Recargas 243, 254</t>
  </si>
  <si>
    <t xml:space="preserve">Recargas 244, 255</t>
  </si>
  <si>
    <t xml:space="preserve">Recargas 245, 256</t>
  </si>
  <si>
    <t xml:space="preserve">Recargas 246, 257</t>
  </si>
  <si>
    <t xml:space="preserve">Recargas 247, 258</t>
  </si>
  <si>
    <t xml:space="preserve">Recargas 248, 259</t>
  </si>
  <si>
    <t xml:space="preserve">Recargas 261</t>
  </si>
  <si>
    <t xml:space="preserve">Recargas 240</t>
  </si>
  <si>
    <t xml:space="preserve">Agua (premezcla)</t>
  </si>
  <si>
    <t xml:space="preserve">Recargas 241</t>
  </si>
  <si>
    <t xml:space="preserve">Recargas 251</t>
  </si>
  <si>
    <t xml:space="preserve">Recargas 252</t>
  </si>
  <si>
    <t xml:space="preserve">Recargas 264</t>
  </si>
  <si>
    <t xml:space="preserve">Recargas 266, 277</t>
  </si>
  <si>
    <t xml:space="preserve">Recargas 269, 280</t>
  </si>
  <si>
    <t xml:space="preserve">Recargas 270, 281</t>
  </si>
  <si>
    <t xml:space="preserve">Recargas 271, 282</t>
  </si>
  <si>
    <t xml:space="preserve">Recargas 272, 283</t>
  </si>
  <si>
    <t xml:space="preserve">Recargas 273, 284</t>
  </si>
  <si>
    <t xml:space="preserve">Recargas 274, 285</t>
  </si>
  <si>
    <t xml:space="preserve">Recargas 275, 286</t>
  </si>
  <si>
    <t xml:space="preserve">Recargas 288</t>
  </si>
  <si>
    <t xml:space="preserve">Recargas 267</t>
  </si>
  <si>
    <t xml:space="preserve">Recargas 268</t>
  </si>
  <si>
    <t xml:space="preserve">Recargas 278</t>
  </si>
  <si>
    <t xml:space="preserve">Recargas 279</t>
  </si>
  <si>
    <t xml:space="preserve">Recargas 291</t>
  </si>
  <si>
    <t xml:space="preserve">Recargas 293, 303</t>
  </si>
  <si>
    <t xml:space="preserve">Polvo BC (reposición) / Polvo BC</t>
  </si>
  <si>
    <t xml:space="preserve">MP-35</t>
  </si>
  <si>
    <t xml:space="preserve">Recargas 294, 304</t>
  </si>
  <si>
    <t xml:space="preserve">Recargas 295, 305</t>
  </si>
  <si>
    <t xml:space="preserve">Recargas 296, 306</t>
  </si>
  <si>
    <t xml:space="preserve">Recargas 297, 307</t>
  </si>
  <si>
    <t xml:space="preserve">Recargas 298, 308</t>
  </si>
  <si>
    <t xml:space="preserve">Recargas 299, 309</t>
  </si>
  <si>
    <t xml:space="preserve">Recargas 300, 310</t>
  </si>
  <si>
    <t xml:space="preserve">Recargas 301, 311</t>
  </si>
  <si>
    <t xml:space="preserve">Recargas 314</t>
  </si>
  <si>
    <t xml:space="preserve">Recargas 313</t>
  </si>
  <si>
    <t xml:space="preserve">Polvo BC recuperado</t>
  </si>
  <si>
    <t xml:space="preserve">Recargas 317</t>
  </si>
  <si>
    <t xml:space="preserve">Recargas 319, 329</t>
  </si>
  <si>
    <t xml:space="preserve">Acetato de potasio</t>
  </si>
  <si>
    <t xml:space="preserve">MP-41</t>
  </si>
  <si>
    <t xml:space="preserve">Recargas 320, 330</t>
  </si>
  <si>
    <t xml:space="preserve">Recargas 321, 331</t>
  </si>
  <si>
    <t xml:space="preserve">Recargas 322, 332</t>
  </si>
  <si>
    <t xml:space="preserve">Recargas 323, 333</t>
  </si>
  <si>
    <t xml:space="preserve">Recargas 324, 334</t>
  </si>
  <si>
    <t xml:space="preserve">Recargas 325, 335</t>
  </si>
  <si>
    <t xml:space="preserve">Recargas 326, 336</t>
  </si>
  <si>
    <t xml:space="preserve">Recargas 327, 337</t>
  </si>
  <si>
    <t xml:space="preserve">Recargas 339</t>
  </si>
  <si>
    <t xml:space="preserve">Recargas 342</t>
  </si>
  <si>
    <t xml:space="preserve">Recargas 344, 351</t>
  </si>
  <si>
    <t xml:space="preserve">Dióxido de carbono (reposición) / Dióxido de carbono</t>
  </si>
  <si>
    <t xml:space="preserve">MP-37</t>
  </si>
  <si>
    <t xml:space="preserve">Recargas 345, 352</t>
  </si>
  <si>
    <t xml:space="preserve">Recargas 346, 353</t>
  </si>
  <si>
    <t xml:space="preserve">Recargas 347, 354</t>
  </si>
  <si>
    <t xml:space="preserve">Recargas 348, 355</t>
  </si>
  <si>
    <t xml:space="preserve">Recargas 349, 356</t>
  </si>
  <si>
    <t xml:space="preserve">S1</t>
  </si>
  <si>
    <t xml:space="preserve">Recargas 357, 360</t>
  </si>
  <si>
    <t xml:space="preserve">Conjunto de seguridad (disco)</t>
  </si>
  <si>
    <t xml:space="preserve">MP-55</t>
  </si>
  <si>
    <t xml:space="preserve">Recargas 361</t>
  </si>
  <si>
    <t xml:space="preserve">Recargas 362</t>
  </si>
  <si>
    <t xml:space="preserve">Recargas 359</t>
  </si>
  <si>
    <t xml:space="preserve">Dióxido de carbono recuperado</t>
  </si>
  <si>
    <t xml:space="preserve">Recargas 365</t>
  </si>
  <si>
    <t xml:space="preserve">Recargas 367, 374</t>
  </si>
  <si>
    <t xml:space="preserve">Recargas 368, 375</t>
  </si>
  <si>
    <t xml:space="preserve">Recargas 369, 376</t>
  </si>
  <si>
    <t xml:space="preserve">Recargas 370, 377</t>
  </si>
  <si>
    <t xml:space="preserve">Recargas 371, 378</t>
  </si>
  <si>
    <t xml:space="preserve">Recargas 372, 379</t>
  </si>
  <si>
    <t xml:space="preserve">Recargas 380, 383</t>
  </si>
  <si>
    <t xml:space="preserve">Recargas 384</t>
  </si>
  <si>
    <t xml:space="preserve">Recargas 385</t>
  </si>
  <si>
    <t xml:space="preserve">Recargas 382</t>
  </si>
  <si>
    <t xml:space="preserve">Recargas 388</t>
  </si>
  <si>
    <t xml:space="preserve">Recargas 390, 400</t>
  </si>
  <si>
    <t xml:space="preserve">HCFC 123 / HFC 236fa (reposición) / HCFC 123 / HFC 236fa</t>
  </si>
  <si>
    <t xml:space="preserve">MP-38</t>
  </si>
  <si>
    <t xml:space="preserve">Recargas 391, 401</t>
  </si>
  <si>
    <t xml:space="preserve">Gas impulsor: Argón (L normales)</t>
  </si>
  <si>
    <t xml:space="preserve">MP-39</t>
  </si>
  <si>
    <t xml:space="preserve">Recargas 392, 402</t>
  </si>
  <si>
    <t xml:space="preserve">Recargas 393, 403</t>
  </si>
  <si>
    <t xml:space="preserve">Recargas 394, 404</t>
  </si>
  <si>
    <t xml:space="preserve">Recargas 395, 405</t>
  </si>
  <si>
    <t xml:space="preserve">Recargas 396, 406</t>
  </si>
  <si>
    <t xml:space="preserve">Recargas 397, 407</t>
  </si>
  <si>
    <t xml:space="preserve">Recargas 398, 408</t>
  </si>
  <si>
    <t xml:space="preserve">Recargas 411</t>
  </si>
  <si>
    <t xml:space="preserve">Recargas 410</t>
  </si>
  <si>
    <t xml:space="preserve">HCFC 123 / HFC 236fa recuperado</t>
  </si>
  <si>
    <t xml:space="preserve">Recargas 414</t>
  </si>
  <si>
    <t xml:space="preserve">Recargas 416, 426</t>
  </si>
  <si>
    <t xml:space="preserve">Polvo para metales combustibles clase D (reposición) / Polvo para metales combustibles clase D</t>
  </si>
  <si>
    <t xml:space="preserve">MP-36</t>
  </si>
  <si>
    <t xml:space="preserve">Recargas 417, 427</t>
  </si>
  <si>
    <t xml:space="preserve">Recargas 418, 428</t>
  </si>
  <si>
    <t xml:space="preserve">Recargas 419, 429</t>
  </si>
  <si>
    <t xml:space="preserve">Recargas 420, 430</t>
  </si>
  <si>
    <t xml:space="preserve">Recargas 421, 431</t>
  </si>
  <si>
    <t xml:space="preserve">Recargas 422, 432</t>
  </si>
  <si>
    <t xml:space="preserve">Recargas 423, 433</t>
  </si>
  <si>
    <t xml:space="preserve">Recargas 424, 434</t>
  </si>
  <si>
    <t xml:space="preserve">Recargas 437</t>
  </si>
  <si>
    <t xml:space="preserve">Recargas 436</t>
  </si>
  <si>
    <t xml:space="preserve">Polvo para metales combustibles clase D recuperado</t>
  </si>
  <si>
    <t xml:space="preserve">SUS-ABC_5kg-01</t>
  </si>
  <si>
    <t xml:space="preserve">Fabricados 131</t>
  </si>
  <si>
    <t xml:space="preserve">Faja amarilla de sustituto en la pollera</t>
  </si>
  <si>
    <t xml:space="preserve">Kit de sustituto</t>
  </si>
  <si>
    <t xml:space="preserve">MP-82</t>
  </si>
  <si>
    <t xml:space="preserve">IRAM 3517-2:2020 9.4.5</t>
  </si>
  <si>
    <t xml:space="preserve">SUS-ABC_5kg-02</t>
  </si>
  <si>
    <t xml:space="preserve">Fabricados 132</t>
  </si>
  <si>
    <t xml:space="preserve">Tarjeta DPS «SUSTITUTO HABILITADO»</t>
  </si>
  <si>
    <t xml:space="preserve">MP-83</t>
  </si>
  <si>
    <t xml:space="preserve">SUS-ABC_5kg-03</t>
  </si>
  <si>
    <t xml:space="preserve">Fabricados 133</t>
  </si>
  <si>
    <t xml:space="preserve">Tarjeta AGC con «Es sustituto»</t>
  </si>
  <si>
    <t xml:space="preserve">MP-84</t>
  </si>
  <si>
    <t xml:space="preserve">SUS-ABC_5kg-04</t>
  </si>
  <si>
    <t xml:space="preserve">Fabricados 134</t>
  </si>
  <si>
    <t xml:space="preserve">Remito de préstamo con membrete</t>
  </si>
  <si>
    <t xml:space="preserve">MP-85</t>
  </si>
  <si>
    <t xml:space="preserve">SUS-ABC_10kg-01</t>
  </si>
  <si>
    <t xml:space="preserve">Fabricados 177</t>
  </si>
  <si>
    <t xml:space="preserve">SUS-ABC_10kg-02</t>
  </si>
  <si>
    <t xml:space="preserve">Fabricados 178</t>
  </si>
  <si>
    <t xml:space="preserve">SUS-ABC_10kg-03</t>
  </si>
  <si>
    <t xml:space="preserve">Fabricados 179</t>
  </si>
  <si>
    <t xml:space="preserve">SUS-ABC_10kg-04</t>
  </si>
  <si>
    <t xml:space="preserve">Fabricados 180</t>
  </si>
  <si>
    <t xml:space="preserve">Equipo base del sustituto (terminado)</t>
  </si>
  <si>
    <t xml:space="preserve">IRAM 3517-2:2020 9.4.5: igual clasificación y capacidad</t>
  </si>
  <si>
    <t xml:space="preserve">SUS-AGUA_10l-01</t>
  </si>
  <si>
    <t xml:space="preserve">Revendidos 44</t>
  </si>
  <si>
    <t xml:space="preserve">SUS-AGUA_10l-02</t>
  </si>
  <si>
    <t xml:space="preserve">Revendidos 45</t>
  </si>
  <si>
    <t xml:space="preserve">SUS-AGUA_10l-03</t>
  </si>
  <si>
    <t xml:space="preserve">Revendidos 46</t>
  </si>
  <si>
    <t xml:space="preserve">SUS-AGUA_10l-04</t>
  </si>
  <si>
    <t xml:space="preserve">Revendidos 47</t>
  </si>
  <si>
    <t xml:space="preserve">SUS-AFFF_10l-01</t>
  </si>
  <si>
    <t xml:space="preserve">Revendidos 91</t>
  </si>
  <si>
    <t xml:space="preserve">SUS-AFFF_10l-02</t>
  </si>
  <si>
    <t xml:space="preserve">Revendidos 92</t>
  </si>
  <si>
    <t xml:space="preserve">SUS-AFFF_10l-03</t>
  </si>
  <si>
    <t xml:space="preserve">Revendidos 93</t>
  </si>
  <si>
    <t xml:space="preserve">SUS-AFFF_10l-04</t>
  </si>
  <si>
    <t xml:space="preserve">Revendidos 94</t>
  </si>
  <si>
    <t xml:space="preserve">SUS-AFFF_50l-01</t>
  </si>
  <si>
    <t xml:space="preserve">Revendidos 145</t>
  </si>
  <si>
    <t xml:space="preserve">SUS-AFFF_50l-02</t>
  </si>
  <si>
    <t xml:space="preserve">Revendidos 146</t>
  </si>
  <si>
    <t xml:space="preserve">SUS-AFFF_50l-03</t>
  </si>
  <si>
    <t xml:space="preserve">Revendidos 147</t>
  </si>
  <si>
    <t xml:space="preserve">SUS-AFFF_50l-04</t>
  </si>
  <si>
    <t xml:space="preserve">Revendidos 148</t>
  </si>
  <si>
    <t xml:space="preserve">SUS-BC_5kg-01</t>
  </si>
  <si>
    <t xml:space="preserve">Revendidos 190</t>
  </si>
  <si>
    <t xml:space="preserve">SUS-BC_5kg-02</t>
  </si>
  <si>
    <t xml:space="preserve">Revendidos 191</t>
  </si>
  <si>
    <t xml:space="preserve">SUS-BC_5kg-03</t>
  </si>
  <si>
    <t xml:space="preserve">Revendidos 192</t>
  </si>
  <si>
    <t xml:space="preserve">SUS-BC_5kg-04</t>
  </si>
  <si>
    <t xml:space="preserve">Revendidos 193</t>
  </si>
  <si>
    <t xml:space="preserve">SUS-SALESK_6l-01</t>
  </si>
  <si>
    <t xml:space="preserve">Revendidos 236</t>
  </si>
  <si>
    <t xml:space="preserve">SUS-SALESK_6l-02</t>
  </si>
  <si>
    <t xml:space="preserve">Revendidos 237</t>
  </si>
  <si>
    <t xml:space="preserve">SUS-SALESK_6l-03</t>
  </si>
  <si>
    <t xml:space="preserve">Revendidos 238</t>
  </si>
  <si>
    <t xml:space="preserve">SUS-SALESK_6l-04</t>
  </si>
  <si>
    <t xml:space="preserve">Revendidos 239</t>
  </si>
  <si>
    <t xml:space="preserve">SUS-CO2_5kg-01</t>
  </si>
  <si>
    <t xml:space="preserve">Revendidos 318</t>
  </si>
  <si>
    <t xml:space="preserve">SUS-CO2_5kg-02</t>
  </si>
  <si>
    <t xml:space="preserve">Revendidos 319</t>
  </si>
  <si>
    <t xml:space="preserve">SUS-CO2_5kg-03</t>
  </si>
  <si>
    <t xml:space="preserve">Revendidos 320</t>
  </si>
  <si>
    <t xml:space="preserve">SUS-CO2_5kg-04</t>
  </si>
  <si>
    <t xml:space="preserve">Revendidos 321</t>
  </si>
  <si>
    <t xml:space="preserve">SUS-HCFC-HFC_5kg-01</t>
  </si>
  <si>
    <t xml:space="preserve">Revendidos 363</t>
  </si>
  <si>
    <t xml:space="preserve">SUS-HCFC-HFC_5kg-02</t>
  </si>
  <si>
    <t xml:space="preserve">Revendidos 364</t>
  </si>
  <si>
    <t xml:space="preserve">SUS-HCFC-HFC_5kg-03</t>
  </si>
  <si>
    <t xml:space="preserve">Revendidos 365</t>
  </si>
  <si>
    <t xml:space="preserve">SUS-HCFC-HFC_5kg-04</t>
  </si>
  <si>
    <t xml:space="preserve">Revendidos 366</t>
  </si>
  <si>
    <t xml:space="preserve">SUS-CLASED_9l-01</t>
  </si>
  <si>
    <t xml:space="preserve">Revendidos 409</t>
  </si>
  <si>
    <t xml:space="preserve">SUS-CLASED_9l-02</t>
  </si>
  <si>
    <t xml:space="preserve">Revendidos 410</t>
  </si>
  <si>
    <t xml:space="preserve">SUS-CLASED_9l-03</t>
  </si>
  <si>
    <t xml:space="preserve">Revendidos 411</t>
  </si>
  <si>
    <t xml:space="preserve">SUS-CLASED_9l-04</t>
  </si>
  <si>
    <t xml:space="preserve">Revendidos 412</t>
  </si>
  <si>
    <t xml:space="preserve">SUS-ABC_50kg-01</t>
  </si>
  <si>
    <t xml:space="preserve">Fabricados 286</t>
  </si>
  <si>
    <t xml:space="preserve">SUS-ABC_50kg-02</t>
  </si>
  <si>
    <t xml:space="preserve">Fabricados 287</t>
  </si>
  <si>
    <t xml:space="preserve">SUS-ABC_50kg-03</t>
  </si>
  <si>
    <t xml:space="preserve">Fabricados 288</t>
  </si>
  <si>
    <t xml:space="preserve">SUS-ABC_50kg-04</t>
  </si>
  <si>
    <t xml:space="preserve">Fabricados 289</t>
  </si>
  <si>
    <t xml:space="preserve">SUS-ABC_100kg-01</t>
  </si>
  <si>
    <t xml:space="preserve">Fabricados 396</t>
  </si>
  <si>
    <t xml:space="preserve">SUS-ABC_100kg-02</t>
  </si>
  <si>
    <t xml:space="preserve">Fabricados 397</t>
  </si>
  <si>
    <t xml:space="preserve">SUS-ABC_100kg-03</t>
  </si>
  <si>
    <t xml:space="preserve">Fabricados 398</t>
  </si>
  <si>
    <t xml:space="preserve">SUS-ABC_100kg-04</t>
  </si>
  <si>
    <t xml:space="preserve">Fabricados 399</t>
  </si>
  <si>
    <t xml:space="preserve">FAB_COMPRA: de qué materia prima sale cada pieza que se fabrica y cuánto rinde</t>
  </si>
  <si>
    <t xml:space="preserve">Cuerpos: piezas por hoja o por caño del plan de corte. Discos de cúpula y fondo: kg de fleje = ancho × paso × espesor × 7,85 kg/dm³, con paso = Ø del disco + puente (puente = espesor). Casquetes y cuellos de carros: se compran.</t>
  </si>
  <si>
    <t xml:space="preserve">Modelo</t>
  </si>
  <si>
    <t xml:space="preserve">Pieza</t>
  </si>
  <si>
    <t xml:space="preserve">Se hace en</t>
  </si>
  <si>
    <t xml:space="preserve">UM ítem</t>
  </si>
  <si>
    <t xml:space="preserve">Base de cálculo</t>
  </si>
  <si>
    <t xml:space="preserve">Ancho (mm)</t>
  </si>
  <si>
    <t xml:space="preserve">Ø disco (mm)</t>
  </si>
  <si>
    <t xml:space="preserve">Espesor (mm)</t>
  </si>
  <si>
    <t xml:space="preserve">Rendimiento</t>
  </si>
  <si>
    <t xml:space="preserve">Factor (ítem por pieza)</t>
  </si>
  <si>
    <t xml:space="preserve">ABC1</t>
  </si>
  <si>
    <t xml:space="preserve">Corte de tubo</t>
  </si>
  <si>
    <t xml:space="preserve">barra</t>
  </si>
  <si>
    <t xml:space="preserve">tramos de 255 mm por caño de 6 m</t>
  </si>
  <si>
    <t xml:space="preserve">Proceso de manuales, corte de tubo: «Cortar 23 tramos» por caño</t>
  </si>
  <si>
    <t xml:space="preserve">Corte de disco y embutido (fleje)</t>
  </si>
  <si>
    <t xml:space="preserve">kg de fleje por disco = ancho × (Ø + e) × e × 7,85e-6</t>
  </si>
  <si>
    <t xml:space="preserve">Ø disco: planilla de MP (Lineamientos, con sobremedida de recorte); ancho: cotización Pacheco PR-42021 / planilla; espesor: plano y proceso de manuales</t>
  </si>
  <si>
    <t xml:space="preserve">Se compra mecanizado</t>
  </si>
  <si>
    <t xml:space="preserve">1 por recipiente</t>
  </si>
  <si>
    <t xml:space="preserve">Proceso de manuales (cuellos comprados) / carros (cuplas)</t>
  </si>
  <si>
    <t xml:space="preserve">ABC2.5</t>
  </si>
  <si>
    <t xml:space="preserve">Guillotina</t>
  </si>
  <si>
    <t xml:space="preserve">hoja</t>
  </si>
  <si>
    <t xml:space="preserve">cuerpos por hoja 1220 × 2440</t>
  </si>
  <si>
    <t xml:space="preserve">Proceso de manuales, guillotina: 27 por hoja (94 %)</t>
  </si>
  <si>
    <t xml:space="preserve">ABC5</t>
  </si>
  <si>
    <t xml:space="preserve">cuerpos por hoja 1000 × 2000</t>
  </si>
  <si>
    <t xml:space="preserve">Proceso de manuales, guillotina: 12 por hoja (94 %)</t>
  </si>
  <si>
    <t xml:space="preserve">ABC10</t>
  </si>
  <si>
    <t xml:space="preserve">cuerpos por hoja 1500 × 3000</t>
  </si>
  <si>
    <t xml:space="preserve">Proceso de manuales, guillotina: 15 por hoja (93 %)</t>
  </si>
  <si>
    <t xml:space="preserve">ABC25</t>
  </si>
  <si>
    <t xml:space="preserve">Proceso de carros, puesto 2: 9 por hoja (84,1 %)</t>
  </si>
  <si>
    <t xml:space="preserve">Se compra embutido (casquete)</t>
  </si>
  <si>
    <t xml:space="preserve">1 casquete por pieza (cúpula y fondo son iguales)</t>
  </si>
  <si>
    <t xml:space="preserve">Proceso de carros, puesto 1: casquetes MP-15 a 17</t>
  </si>
  <si>
    <t xml:space="preserve">ABC50</t>
  </si>
  <si>
    <t xml:space="preserve">Proceso de carros, puesto 2: 6 por hoja (84,8 %)</t>
  </si>
  <si>
    <t xml:space="preserve">ABC70</t>
  </si>
  <si>
    <t xml:space="preserve">cuerpos por hoja sola (la mixta se calcula en la hoja RODANTES)</t>
  </si>
  <si>
    <t xml:space="preserve">Proceso de carros, puesto 2: 4 por hoja sola (73,3 %); mixta 3 + 1 (79,2 %)</t>
  </si>
  <si>
    <t xml:space="preserve">ABC100</t>
  </si>
  <si>
    <t xml:space="preserve">Proceso de carros, puesto 2: 3 por hoja sola (72,7 %); mixta 3 + 1 (79,2 %)</t>
  </si>
  <si>
    <t xml:space="preserve">PROCESO: insumos de proceso y embalaje por unidad, puesto por puesto</t>
  </si>
  <si>
    <t xml:space="preserve">Coeficiente por unidad de producto. Tipo: Directo si queda en el producto o sale con él (alambre, pintura, embalaje); Indirecto si se gasta en el puesto (gas de protección, discos, granalla, tapones).</t>
  </si>
  <si>
    <t xml:space="preserve">Puesto</t>
  </si>
  <si>
    <t xml:space="preserve">Ítem</t>
  </si>
  <si>
    <t xml:space="preserve">Tipo</t>
  </si>
  <si>
    <t xml:space="preserve">Aplica a</t>
  </si>
  <si>
    <t xml:space="preserve">Coef. por unidad</t>
  </si>
  <si>
    <t xml:space="preserve">Soldadura longitudinal, de cuello y circunferencial (MAG 135)</t>
  </si>
  <si>
    <t xml:space="preserve">MP-25</t>
  </si>
  <si>
    <t xml:space="preserve">m³</t>
  </si>
  <si>
    <t xml:space="preserve">Indirecto</t>
  </si>
  <si>
    <t xml:space="preserve">Recipiente (terminado y cilindro)</t>
  </si>
  <si>
    <t xml:space="preserve">m³ de Ar + 8 % CO₂ por recipiente (largo de costura × caudal) × GAS_MAN_AJ</t>
  </si>
  <si>
    <t xml:space="preserve">Planilla de MP (opción D), Coef Fabricación MP-25 (geometría de costuras) × ajuste al consumo del proceso de manuales (GAS_MAN_AJ)</t>
  </si>
  <si>
    <t xml:space="preserve">Soldadura (MAG 135)</t>
  </si>
  <si>
    <t xml:space="preserve">MP-23</t>
  </si>
  <si>
    <t xml:space="preserve">Directo</t>
  </si>
  <si>
    <t xml:space="preserve">kg de alambre Ø0,9 por recipiente</t>
  </si>
  <si>
    <t xml:space="preserve">Planilla de MP, Coef Fabricación MP-23 (geometría); proceso de manuales: alambre de 0,9 mm</t>
  </si>
  <si>
    <t xml:space="preserve">MP-26</t>
  </si>
  <si>
    <t xml:space="preserve">1 punta cada ALAMBRE_PUNTA kg de alambre</t>
  </si>
  <si>
    <t xml:space="preserve">Inspección y corrección de defectos (amoladora con disco flap)</t>
  </si>
  <si>
    <t xml:space="preserve">MP-93</t>
  </si>
  <si>
    <t xml:space="preserve">1 disco cada DISCO_MAN recipientes</t>
  </si>
  <si>
    <t xml:space="preserve">Planilla de MP (estimado); proceso de manuales: amoladora 115 mm con disco flap</t>
  </si>
  <si>
    <t xml:space="preserve">Granallado (AirBlast G-100)</t>
  </si>
  <si>
    <t xml:space="preserve">MP-28</t>
  </si>
  <si>
    <t xml:space="preserve">kg de granalla por cilindro</t>
  </si>
  <si>
    <t xml:space="preserve">Proceso de manuales, granallado</t>
  </si>
  <si>
    <t xml:space="preserve">Granallado y pintura (enmascarado de la rosca)</t>
  </si>
  <si>
    <t xml:space="preserve">MP-32</t>
  </si>
  <si>
    <t xml:space="preserve">1 tapón cada TAPON_CICLOS cilindros</t>
  </si>
  <si>
    <t xml:space="preserve">Proceso de manuales (tapones-gancho que circulan); planilla de MP (vida útil estimada)</t>
  </si>
  <si>
    <t xml:space="preserve">Pintura en polvo y horno (Firesafer)</t>
  </si>
  <si>
    <t xml:space="preserve">MP-31</t>
  </si>
  <si>
    <t xml:space="preserve">kg = área exterior 0.0764 m² × ρ × espesor / 1000 / aprovechamiento</t>
  </si>
  <si>
    <t xml:space="preserve">Área exterior = (S cuerpo 12.45 + S cúpula 1.38 + S fondo 1.46) / 2 dm² (FLAMA_BOM, superficie de las dos caras); rendimiento m²/kg = 1000 / (ρ × espesor) (Tiger Drylac)</t>
  </si>
  <si>
    <t xml:space="preserve">Embalaje y palletizado</t>
  </si>
  <si>
    <t xml:space="preserve">MP-59/ABC1</t>
  </si>
  <si>
    <t xml:space="preserve">1 caja por recipiente</t>
  </si>
  <si>
    <t xml:space="preserve">Proceso de manuales, embalaje: «una caja de cartón corrugado por recipiente (simple hasta el 5 kg, doble en el 10 kg)»</t>
  </si>
  <si>
    <t xml:space="preserve">MP-89</t>
  </si>
  <si>
    <t xml:space="preserve">1 etiqueta de caja por recipiente</t>
  </si>
  <si>
    <t xml:space="preserve">Proceso de manuales, embalaje</t>
  </si>
  <si>
    <t xml:space="preserve">MP-60</t>
  </si>
  <si>
    <t xml:space="preserve">1 pallet cada 400 recipientes</t>
  </si>
  <si>
    <t xml:space="preserve">Proceso de manuales, embalaje: tabla de unidades por pallet (BOM)</t>
  </si>
  <si>
    <t xml:space="preserve">MP-63</t>
  </si>
  <si>
    <t xml:space="preserve">FILM_PALLET kg por pallet</t>
  </si>
  <si>
    <t xml:space="preserve">MP-90</t>
  </si>
  <si>
    <t xml:space="preserve">1 etiqueta por pallet</t>
  </si>
  <si>
    <t xml:space="preserve">Embalaje (cilindro vacío)</t>
  </si>
  <si>
    <t xml:space="preserve">Sólo cilindro vacío</t>
  </si>
  <si>
    <t xml:space="preserve">1 protocolo de ensayo por cilindro</t>
  </si>
  <si>
    <t xml:space="preserve">Proceso de manuales, embalaje: «El protocolo de ensayo hidrostático (R5 del plano) acompaña a cada cilindro vacío»</t>
  </si>
  <si>
    <t xml:space="preserve">kg = área exterior 0.1375 m² × ρ × espesor / 1000 / aprovechamiento</t>
  </si>
  <si>
    <t xml:space="preserve">Área exterior = (S cuerpo 20.71 + S cúpula 3.70 + S fondo 3.10) / 2 dm² (FLAMA_BOM, superficie de las dos caras); rendimiento m²/kg = 1000 / (ρ × espesor) (Tiger Drylac)</t>
  </si>
  <si>
    <t xml:space="preserve">MP-59/ABC2.5</t>
  </si>
  <si>
    <t xml:space="preserve">1 pallet cada 167 recipientes</t>
  </si>
  <si>
    <t xml:space="preserve">kg = área exterior 0.2091 m² × ρ × espesor / 1000 / aprovechamiento</t>
  </si>
  <si>
    <t xml:space="preserve">Área exterior = (S cuerpo 31.29 + S cúpula 5.98 + S fondo 4.54) / 2 dm² (FLAMA_BOM, superficie de las dos caras); rendimiento m²/kg = 1000 / (ρ × espesor) (Tiger Drylac)</t>
  </si>
  <si>
    <t xml:space="preserve">MP-59/ABC5</t>
  </si>
  <si>
    <t xml:space="preserve">1 pallet cada 90 recipientes</t>
  </si>
  <si>
    <t xml:space="preserve">kg = área exterior 0.3510 m² × ρ × espesor / 1000 / aprovechamiento</t>
  </si>
  <si>
    <t xml:space="preserve">Área exterior = (S cuerpo 55.85 + S cúpula 8.31 + S fondo 6.03) / 2 dm² (FLAMA_BOM, superficie de las dos caras); rendimiento m²/kg = 1000 / (ρ × espesor) (Tiger Drylac)</t>
  </si>
  <si>
    <t xml:space="preserve">MP-59/ABC10</t>
  </si>
  <si>
    <t xml:space="preserve">1 pallet cada 40 recipientes</t>
  </si>
  <si>
    <t xml:space="preserve">Puesto 4, punteo del cuerpo</t>
  </si>
  <si>
    <t xml:space="preserve">3.4 L de Ar + 8 % CO₂ por unidad</t>
  </si>
  <si>
    <t xml:space="preserve">Proceso de carros, puesto 4: tabla de consumo de gas y alambre</t>
  </si>
  <si>
    <t xml:space="preserve">MP-24</t>
  </si>
  <si>
    <t xml:space="preserve">6.0 g de alambre Ø1,0 por unidad</t>
  </si>
  <si>
    <t xml:space="preserve">Proceso de carros, puesto 4: tabla de consumo</t>
  </si>
  <si>
    <t xml:space="preserve">Puesto 5, soldadura longitudinal</t>
  </si>
  <si>
    <t xml:space="preserve">18 L de Ar + 8 % CO₂ por unidad</t>
  </si>
  <si>
    <t xml:space="preserve">Proceso de carros, puesto 5: tabla de consumo de gas y alambre</t>
  </si>
  <si>
    <t xml:space="preserve">48 g de alambre Ø1,0 por unidad</t>
  </si>
  <si>
    <t xml:space="preserve">Proceso de carros, puesto 5: tabla de consumo</t>
  </si>
  <si>
    <t xml:space="preserve">Puesto 6, soldadura de cupla</t>
  </si>
  <si>
    <t xml:space="preserve">10 L de Ar + 8 % CO₂ por unidad</t>
  </si>
  <si>
    <t xml:space="preserve">Proceso de carros, puesto 6: tabla de consumo de gas y alambre</t>
  </si>
  <si>
    <t xml:space="preserve">10.5 g de alambre Ø1,0 por unidad</t>
  </si>
  <si>
    <t xml:space="preserve">Proceso de carros, puesto 6: tabla de consumo</t>
  </si>
  <si>
    <t xml:space="preserve">Puesto 7, soldadura circunferencial</t>
  </si>
  <si>
    <t xml:space="preserve">66 L de Ar + 8 % CO₂ por unidad</t>
  </si>
  <si>
    <t xml:space="preserve">Proceso de carros, puesto 7: tabla de consumo de gas y alambre</t>
  </si>
  <si>
    <t xml:space="preserve">190 g de alambre Ø1,0 por unidad</t>
  </si>
  <si>
    <t xml:space="preserve">Proceso de carros, puesto 7: tabla de consumo</t>
  </si>
  <si>
    <t xml:space="preserve">Puesto 8, soldadura de accesorios</t>
  </si>
  <si>
    <t xml:space="preserve">Sólo carro terminado</t>
  </si>
  <si>
    <t xml:space="preserve">96 L de Ar + 8 % CO₂ por unidad</t>
  </si>
  <si>
    <t xml:space="preserve">Proceso de carros, puesto 8: tabla de consumo de gas y alambre</t>
  </si>
  <si>
    <t xml:space="preserve">141 g de alambre Ø1,0 por unidad</t>
  </si>
  <si>
    <t xml:space="preserve">Proceso de carros, puesto 8: tabla de consumo</t>
  </si>
  <si>
    <t xml:space="preserve">Soldadura (todos los puestos)</t>
  </si>
  <si>
    <t xml:space="preserve">Planilla de MP (estimado), sobre el alambre de los cinco puestos</t>
  </si>
  <si>
    <t xml:space="preserve">MP-95</t>
  </si>
  <si>
    <t xml:space="preserve">1 ml por cúpula; aerosol de 400 ml</t>
  </si>
  <si>
    <t xml:space="preserve">Proceso de carros, puesto 6: «un disparo corto, de alrededor de 1 segundo (unos 1 ml)»</t>
  </si>
  <si>
    <t xml:space="preserve">Puesto 8.1, fabricación de accesorios</t>
  </si>
  <si>
    <t xml:space="preserve">MP-92</t>
  </si>
  <si>
    <t xml:space="preserve">3 cortes por juego / 200 cortes por disco</t>
  </si>
  <si>
    <t xml:space="preserve">Proceso de carros, 8.1: tabla de consumos («unos 200 cortes por disco de sensitiva»)</t>
  </si>
  <si>
    <t xml:space="preserve">MP-27</t>
  </si>
  <si>
    <t xml:space="preserve">1 disco cada 40 juegos de triángulos</t>
  </si>
  <si>
    <t xml:space="preserve">Proceso de carros, 8.1: «40 juegos de triángulos por disco de corte de 115 mm»</t>
  </si>
  <si>
    <t xml:space="preserve">2 discos flap por mes pico / 400 juegos</t>
  </si>
  <si>
    <t xml:space="preserve">Proceso de carros, 8.1: tabla de consumos</t>
  </si>
  <si>
    <t xml:space="preserve">MP-94</t>
  </si>
  <si>
    <t xml:space="preserve">2 agujeros por juego / 200 agujeros por mecha</t>
  </si>
  <si>
    <t xml:space="preserve">Proceso de carros, 8.1: «200 agujeros por mecha»</t>
  </si>
  <si>
    <t xml:space="preserve">Puesto 12, pintura (tercerizada)</t>
  </si>
  <si>
    <t xml:space="preserve">MP-96/ABC25</t>
  </si>
  <si>
    <t xml:space="preserve">1 servicio por unidad</t>
  </si>
  <si>
    <t xml:space="preserve">Proceso de carros, 8.1: «luego del pintado que es tercerizado»; cotización por carro</t>
  </si>
  <si>
    <t xml:space="preserve">Embalaje (carro terminado)</t>
  </si>
  <si>
    <t xml:space="preserve">MP-91</t>
  </si>
  <si>
    <t xml:space="preserve">1 funda por carro</t>
  </si>
  <si>
    <t xml:space="preserve">Investigación de proveedores (funda de PE de rodantes); el proceso de carros no tiene escrito el embalaje (estimado)</t>
  </si>
  <si>
    <t xml:space="preserve">1 pallet cada 24 cilindros</t>
  </si>
  <si>
    <t xml:space="preserve">Planilla de MP, hoja Pallets PT (estimado)</t>
  </si>
  <si>
    <t xml:space="preserve">MP-64</t>
  </si>
  <si>
    <t xml:space="preserve">ESQ_PALLET esquineros por pallet</t>
  </si>
  <si>
    <t xml:space="preserve">Ídem manuales</t>
  </si>
  <si>
    <t xml:space="preserve">4.1 L de Ar + 8 % CO₂ por unidad</t>
  </si>
  <si>
    <t xml:space="preserve">7.2 g de alambre Ø1,0 por unidad</t>
  </si>
  <si>
    <t xml:space="preserve">22 L de Ar + 8 % CO₂ por unidad</t>
  </si>
  <si>
    <t xml:space="preserve">63 g de alambre Ø1,0 por unidad</t>
  </si>
  <si>
    <t xml:space="preserve">75 L de Ar + 8 % CO₂ por unidad</t>
  </si>
  <si>
    <t xml:space="preserve">218 g de alambre Ø1,0 por unidad</t>
  </si>
  <si>
    <t xml:space="preserve">98 L de Ar + 8 % CO₂ por unidad</t>
  </si>
  <si>
    <t xml:space="preserve">146 g de alambre Ø1,0 por unidad</t>
  </si>
  <si>
    <t xml:space="preserve">MP-96/ABC50</t>
  </si>
  <si>
    <t xml:space="preserve">1 pallet cada 9 cilindros</t>
  </si>
  <si>
    <t xml:space="preserve">9.5 L de Ar + 8 % CO₂ por unidad</t>
  </si>
  <si>
    <t xml:space="preserve">16.8 g de alambre Ø1,0 por unidad</t>
  </si>
  <si>
    <t xml:space="preserve">32 L de Ar + 8 % CO₂ por unidad</t>
  </si>
  <si>
    <t xml:space="preserve">120 g de alambre Ø1,0 por unidad</t>
  </si>
  <si>
    <t xml:space="preserve">17 L de Ar + 8 % CO₂ por unidad</t>
  </si>
  <si>
    <t xml:space="preserve">29 g de alambre Ø1,0 por unidad</t>
  </si>
  <si>
    <t xml:space="preserve">122 L de Ar + 8 % CO₂ por unidad</t>
  </si>
  <si>
    <t xml:space="preserve">463 g de alambre Ø1,0 por unidad</t>
  </si>
  <si>
    <t xml:space="preserve">109 L de Ar + 8 % CO₂ por unidad</t>
  </si>
  <si>
    <t xml:space="preserve">199 g de alambre Ø1,0 por unidad</t>
  </si>
  <si>
    <t xml:space="preserve">Puesto 4, placas de refuerzo</t>
  </si>
  <si>
    <t xml:space="preserve">7 discos por mes pico / 80 cuerpos de 70 y 100 kg por mes</t>
  </si>
  <si>
    <t xml:space="preserve">Proceso de carros, puesto 4: «un disco de corte por tanda (7 por mes en el pico)»; 4 cuerpos por día × 20 días</t>
  </si>
  <si>
    <t xml:space="preserve">1 disco flap cada 4 tandas</t>
  </si>
  <si>
    <t xml:space="preserve">Proceso de carros, puesto 4: «un disco flap cada 4 tandas»</t>
  </si>
  <si>
    <t xml:space="preserve">MP-96/ABC70</t>
  </si>
  <si>
    <t xml:space="preserve">1 pallet cada 6 cilindros</t>
  </si>
  <si>
    <t xml:space="preserve">10.2 L de Ar + 8 % CO₂ por unidad</t>
  </si>
  <si>
    <t xml:space="preserve">18.0 g de alambre Ø1,0 por unidad</t>
  </si>
  <si>
    <t xml:space="preserve">42 L de Ar + 8 % CO₂ por unidad</t>
  </si>
  <si>
    <t xml:space="preserve">158 g de alambre Ø1,0 por unidad</t>
  </si>
  <si>
    <t xml:space="preserve">MP-96/ABC100</t>
  </si>
  <si>
    <t xml:space="preserve">Retoque de pintura</t>
  </si>
  <si>
    <t xml:space="preserve">MP-65</t>
  </si>
  <si>
    <t xml:space="preserve">ABC_1kg</t>
  </si>
  <si>
    <t xml:space="preserve">P_RETOQUE × RETOQUE_L litros por equipo</t>
  </si>
  <si>
    <t xml:space="preserve">Dimensionamiento Técnico V2, Parametros Recargas (15 %); planilla de MP (0,05 L)</t>
  </si>
  <si>
    <t xml:space="preserve">ABC_2.5kg</t>
  </si>
  <si>
    <t xml:space="preserve">ABC_5kg</t>
  </si>
  <si>
    <t xml:space="preserve">ABC_10kg</t>
  </si>
  <si>
    <t xml:space="preserve">ABC_25kg</t>
  </si>
  <si>
    <t xml:space="preserve">ABC_50kg</t>
  </si>
  <si>
    <t xml:space="preserve">ABC_70kg</t>
  </si>
  <si>
    <t xml:space="preserve">ABC_100kg</t>
  </si>
  <si>
    <t xml:space="preserve">AGUA_10l</t>
  </si>
  <si>
    <t xml:space="preserve">AFFF_10l</t>
  </si>
  <si>
    <t xml:space="preserve">AFFF_50l</t>
  </si>
  <si>
    <t xml:space="preserve">BC_5kg</t>
  </si>
  <si>
    <t xml:space="preserve">SALESK_6l</t>
  </si>
  <si>
    <t xml:space="preserve">CO2_2kg</t>
  </si>
  <si>
    <t xml:space="preserve">CO2_5kg</t>
  </si>
  <si>
    <t xml:space="preserve">HCFC-HFC_5kg</t>
  </si>
  <si>
    <t xml:space="preserve">CLASED_9l</t>
  </si>
  <si>
    <t xml:space="preserve">COMPRAS: catálogo de ítems con tipo, clase, almacén, proveedor, unidad de compra y lead time</t>
  </si>
  <si>
    <t xml:space="preserve">Lead time en días hábiles. Origen: Cotización (presupuesto o mensaje del proveedor), Proceso (documento de proceso de FLAMA), Planilla de MP (estimado del equipo), Supuesto (a confirmar). T = días hábiles entre pedidos: 5 MP crítica y gases, 10 nacionales y organismos, 20 importados.</t>
  </si>
  <si>
    <t xml:space="preserve">Código</t>
  </si>
  <si>
    <t xml:space="preserve">Clase</t>
  </si>
  <si>
    <t xml:space="preserve">Almacén</t>
  </si>
  <si>
    <t xml:space="preserve">Proveedor principal</t>
  </si>
  <si>
    <t xml:space="preserve">Alternativa</t>
  </si>
  <si>
    <t xml:space="preserve">Estado</t>
  </si>
  <si>
    <t xml:space="preserve">Unidad de compra (UC)</t>
  </si>
  <si>
    <t xml:space="preserve">Contenido por UC (UM)</t>
  </si>
  <si>
    <t xml:space="preserve">Lead time (días háb.)</t>
  </si>
  <si>
    <t xml:space="preserve">Origen del lead time</t>
  </si>
  <si>
    <t xml:space="preserve">Fuente del lead time</t>
  </si>
  <si>
    <t xml:space="preserve">T (días háb.)</t>
  </si>
  <si>
    <t xml:space="preserve">UC por posición</t>
  </si>
  <si>
    <t xml:space="preserve">m² por posición</t>
  </si>
  <si>
    <t xml:space="preserve">Caño c/costura LF SAE 1010 Ø76,2 × 1,25 × 6 m (cuerpo 1 kg)</t>
  </si>
  <si>
    <t xml:space="preserve">Materia prima</t>
  </si>
  <si>
    <t xml:space="preserve">Cantilever de caños y barras</t>
  </si>
  <si>
    <t xml:space="preserve">Metalpri / Prilux</t>
  </si>
  <si>
    <t xml:space="preserve">Comercial MID</t>
  </si>
  <si>
    <t xml:space="preserve">Cotizado</t>
  </si>
  <si>
    <t xml:space="preserve">Atado de 16 barras</t>
  </si>
  <si>
    <t xml:space="preserve">Cotización</t>
  </si>
  <si>
    <t xml:space="preserve">Comercial MID (27626): «entrega inmediata salvo ventas»; Metalprisa no informa plazo; se toman 5 días hábiles de la planilla de MP para armar el pedido y el flete</t>
  </si>
  <si>
    <t xml:space="preserve">Proceso de manuales: atados de 16 tubos de 14 kg</t>
  </si>
  <si>
    <t xml:space="preserve">Hoja LAF 1,25 × 1220 × 2440 mm (cuerpo 2,5 kg, 27 por hoja)</t>
  </si>
  <si>
    <t xml:space="preserve">Chapa y fleje (manuales)</t>
  </si>
  <si>
    <t xml:space="preserve">Pradecon</t>
  </si>
  <si>
    <t xml:space="preserve">Hierros Parrotta</t>
  </si>
  <si>
    <t xml:space="preserve">Paquete de 50 hojas</t>
  </si>
  <si>
    <t xml:space="preserve">Pradecon, mail del 28/09/2026: «son 7/10 días el plazo de entrega» si hay bobina en piso; se toma el máximo</t>
  </si>
  <si>
    <t xml:space="preserve">Proceso de manuales: paquetes de 50 hojas</t>
  </si>
  <si>
    <t xml:space="preserve">Hoja LAF 1,6 × 1000 × 2000 mm (cuerpo 5 kg, 12 por hoja)</t>
  </si>
  <si>
    <t xml:space="preserve">Paquete de 80 hojas</t>
  </si>
  <si>
    <t xml:space="preserve">Proceso de manuales: paquete de 80 hojas, unos 2 t</t>
  </si>
  <si>
    <t xml:space="preserve">Hoja LAF 2,0 × 1500 × 3000 mm (cuerpo 10 kg, 15 por hoja)</t>
  </si>
  <si>
    <t xml:space="preserve">Paquete de 20 hojas</t>
  </si>
  <si>
    <t xml:space="preserve">Proceso de manuales: paquetes de 20 hojas</t>
  </si>
  <si>
    <t xml:space="preserve">Fleje LAF 0,9 × 114 mm (cúpula 1 kg, disco Ø95)</t>
  </si>
  <si>
    <t xml:space="preserve">Pacheco Chapas</t>
  </si>
  <si>
    <t xml:space="preserve">Rollo de fleje ≈1.900 kg</t>
  </si>
  <si>
    <t xml:space="preserve">Pradecon: «el peso promedio por bobina de fleje es entre 1.8 y 2 tn»</t>
  </si>
  <si>
    <t xml:space="preserve">Fleje LAF 1,25 × 135 mm (fondo 1 kg, disco Ø112)</t>
  </si>
  <si>
    <t xml:space="preserve">Cotizado (a recotizar)</t>
  </si>
  <si>
    <t xml:space="preserve">Corregido: la planilla decía 0,9 × 106; el plano y el proceso piden 1,25 mm y el disco Ø112 no entra en 106</t>
  </si>
  <si>
    <t xml:space="preserve">Fleje LAF 1,25 × 200 mm (cúpula Ø179 y fondo Ø148, 2,5 kg)</t>
  </si>
  <si>
    <t xml:space="preserve">Rollo de 492 kg</t>
  </si>
  <si>
    <t xml:space="preserve">Pacheco (PR-42021) no informa plazo; se toma el de Pradecon, que cotizó lo mismo: «7/10 días»</t>
  </si>
  <si>
    <t xml:space="preserve">Pacheco PR-42021: 2.951 kg en 6 rollos</t>
  </si>
  <si>
    <t xml:space="preserve">Fleje LAF 1,6 × 250 mm (cúpula Ø221, 5 kg)</t>
  </si>
  <si>
    <t xml:space="preserve">Rollo de 615 kg</t>
  </si>
  <si>
    <t xml:space="preserve">Pacheco PR-42021: 2.459 kg en 4 rollos</t>
  </si>
  <si>
    <t xml:space="preserve">Fleje LAF 1,6 × 200 mm (fondo Ø177, 5 kg)</t>
  </si>
  <si>
    <t xml:space="preserve">Fleje LAF 1,6 × 300 mm (cúpula Ø258, 10 kg)</t>
  </si>
  <si>
    <t xml:space="preserve">Cotizado (a recotizar en 1,6)</t>
  </si>
  <si>
    <t xml:space="preserve">Rollo ≈590 kg</t>
  </si>
  <si>
    <t xml:space="preserve">Corregido: se cotizó en 2,0 mm; el plano y el proceso piden 1,6 mm (mismo largo de rollo: 738 × 1,6 / 2,0)</t>
  </si>
  <si>
    <t xml:space="preserve">Fleje LAF 2,0 × 249 mm (fondo Ø205, 10 kg)</t>
  </si>
  <si>
    <t xml:space="preserve">Rollo de 498 kg</t>
  </si>
  <si>
    <t xml:space="preserve">Pacheco: 619 fondos por bobina</t>
  </si>
  <si>
    <t xml:space="preserve">Hoja LAC 3,2 × 1500 × 3000 mm (cuerpo 25 kg: 9 por hoja; 50 kg: 6)</t>
  </si>
  <si>
    <t xml:space="preserve">Calle de chapa (carros)</t>
  </si>
  <si>
    <t xml:space="preserve">Proceso de carros: paquetes de 20 hojas de 113 kg</t>
  </si>
  <si>
    <t xml:space="preserve">Hoja LAC 4,75 × 1500 × 3000 mm (cuerpos 70 y 100 kg)</t>
  </si>
  <si>
    <t xml:space="preserve">Paquete de 15 hojas</t>
  </si>
  <si>
    <t xml:space="preserve">Proceso de carros: paquetes de 15 hojas de 168 kg</t>
  </si>
  <si>
    <t xml:space="preserve">Casquete embutido 10" × 3,2 mm (cúpula y fondo, carro 25 kg)</t>
  </si>
  <si>
    <t xml:space="preserve">Componente comprado</t>
  </si>
  <si>
    <t xml:space="preserve">Rack de casquetes y cuplas (carros)</t>
  </si>
  <si>
    <t xml:space="preserve">Importado (EKC / chinafiresafety)</t>
  </si>
  <si>
    <t xml:space="preserve">Gockel Ingeniería (a cotizar)</t>
  </si>
  <si>
    <t xml:space="preserve">A cotizar</t>
  </si>
  <si>
    <t xml:space="preserve">Pallet de 400 u</t>
  </si>
  <si>
    <t xml:space="preserve">Proceso</t>
  </si>
  <si>
    <t xml:space="preserve">Proceso de carros, puesto 1, tabla 3: «60 días háb. (importado)». Investigación: tránsito marítimo Shanghái - Buenos Aires de 38 a 40 días puerto a puerto (iContainers), más fabricación y despacho</t>
  </si>
  <si>
    <t xml:space="preserve">Proceso de carros: 400 casquetes por pallet (200 cúpulas + 200 fondos)</t>
  </si>
  <si>
    <t xml:space="preserve">Casquete embutido 12" × 3,2 mm (cúpula y fondo, carro 50 kg)</t>
  </si>
  <si>
    <t xml:space="preserve">Pallet de 300 u</t>
  </si>
  <si>
    <t xml:space="preserve">Proceso de carros: 300 por pallet</t>
  </si>
  <si>
    <t xml:space="preserve">Casquete embutido 15" × 4,75 mm (cúpula y fondo, carros 70 y 100 kg)</t>
  </si>
  <si>
    <t xml:space="preserve">Pallet de 150 u</t>
  </si>
  <si>
    <t xml:space="preserve">Proceso de carros: 150 por pallet</t>
  </si>
  <si>
    <t xml:space="preserve">Asiento de válvula roscado M22 × 1,5 (cúpula 1 kg)</t>
  </si>
  <si>
    <t xml:space="preserve">Insumos de montaje (manuales)</t>
  </si>
  <si>
    <t xml:space="preserve">Eli-Met</t>
  </si>
  <si>
    <t xml:space="preserve">-</t>
  </si>
  <si>
    <t xml:space="preserve">Caja de 1.000 u</t>
  </si>
  <si>
    <t xml:space="preserve">Eli-Met no cotizó el asiento; se toma el plazo de su cupla: «35 a 40 días» corridos = 28 hábiles</t>
  </si>
  <si>
    <t xml:space="preserve">Planilla de MP: cajas de 1.000 u</t>
  </si>
  <si>
    <t xml:space="preserve">Asiento de válvula roscado M30 × 1,5 (cúpula 2,5 a 10 kg)</t>
  </si>
  <si>
    <t xml:space="preserve">Cupla soldable M30 × 1,5 (carros 25 y 50 kg)</t>
  </si>
  <si>
    <t xml:space="preserve">Caja de 100 u</t>
  </si>
  <si>
    <t xml:space="preserve">Eli-Met (cotizaciones de MP por WhatsApp): «plazo de entrega 35 a 40 días» corridos = 28 días hábiles</t>
  </si>
  <si>
    <t xml:space="preserve">Proceso de carros: cajas de 100 u de 25 kg</t>
  </si>
  <si>
    <t xml:space="preserve">Cupla soldable 2½" BSP (carros 70 y 100 kg)</t>
  </si>
  <si>
    <t xml:space="preserve">Caja de 40 u</t>
  </si>
  <si>
    <t xml:space="preserve">Proceso de carros: cajas de 40 u de 24 kg</t>
  </si>
  <si>
    <t xml:space="preserve">Caño estructural SAE 1010 1" × 2,0 × 6 m (manija; caño del eje 25 kg)</t>
  </si>
  <si>
    <t xml:space="preserve">Centrosider</t>
  </si>
  <si>
    <t xml:space="preserve">Barra de 6 m</t>
  </si>
  <si>
    <t xml:space="preserve">Supuesto</t>
  </si>
  <si>
    <t xml:space="preserve">El proceso de carros (8.1) dice «las demoras de los dos proveedores están a confirmar»; se toma el mismo plazo que el caño cotizado (entrega inmediata del distribuidor siderúrgico)</t>
  </si>
  <si>
    <t xml:space="preserve">Proceso de carros 8.1: se vende por barra entera de 6 m</t>
  </si>
  <si>
    <t xml:space="preserve">Caño estructural SAE 1010 1¼" × 2,0 × 6 m (caño del eje 50 a 100 kg)</t>
  </si>
  <si>
    <t xml:space="preserve">Barra trefilada SAE 1045 3/4" × 4 m (eje 25 kg)</t>
  </si>
  <si>
    <t xml:space="preserve">Vladimirsky</t>
  </si>
  <si>
    <t xml:space="preserve">Barra de 4 m</t>
  </si>
  <si>
    <t xml:space="preserve">Proceso de carros 8.1: barras de 4 m hasta Ø20</t>
  </si>
  <si>
    <t xml:space="preserve">Barra trefilada SAE 1045 1" × 6 m (eje 50 a 100 kg)</t>
  </si>
  <si>
    <t xml:space="preserve">Proceso de carros 8.1: barras de 6 m de 21 a 30 mm</t>
  </si>
  <si>
    <t xml:space="preserve">Arandela de tope del eje del carro</t>
  </si>
  <si>
    <t xml:space="preserve">Rack de insumos de montaje (carros)</t>
  </si>
  <si>
    <t xml:space="preserve">Bolsa de 100 u</t>
  </si>
  <si>
    <t xml:space="preserve">Pasador partido del eje del carro</t>
  </si>
  <si>
    <t xml:space="preserve">Polvo ABC 60 (IRAM 3569), manuales y sus recargas</t>
  </si>
  <si>
    <t xml:space="preserve">Depósito de polvo químico</t>
  </si>
  <si>
    <t xml:space="preserve">DEMSA</t>
  </si>
  <si>
    <t xml:space="preserve">Polvex</t>
  </si>
  <si>
    <t xml:space="preserve">Big bag de 1.000 kg</t>
  </si>
  <si>
    <t xml:space="preserve">Proceso de carros, puesto 1, tabla 3: «7 días háb. (Polvex)»</t>
  </si>
  <si>
    <t xml:space="preserve">Proceso: big bags de 1.000 kg apilados de a 2 en el depósito de polvo</t>
  </si>
  <si>
    <t xml:space="preserve">Polvo ABC 90 (IRAM 3569), rodantes y sus recargas</t>
  </si>
  <si>
    <t xml:space="preserve">El BOM define ABC 90 en rodantes (decisión FLAMA); el proceso de carros lo llama MP-33</t>
  </si>
  <si>
    <t xml:space="preserve">Nitrógeno seco ≥ 99,8 % (gas impulsor)</t>
  </si>
  <si>
    <t xml:space="preserve">Jaula de gases</t>
  </si>
  <si>
    <t xml:space="preserve">Air Liquide</t>
  </si>
  <si>
    <t xml:space="preserve">Gogniat</t>
  </si>
  <si>
    <t xml:space="preserve">Pack de 12 cilindros (≈110 m³)</t>
  </si>
  <si>
    <t xml:space="preserve">Air Liquide (cotizaciones de MP por WhatsApp): «El plazo de entrega es a día + 1»</t>
  </si>
  <si>
    <t xml:space="preserve">Proceso de manuales, tabla 27: pack de 12 cilindros</t>
  </si>
  <si>
    <t xml:space="preserve">Argón (gas impulsor del agente limpio)</t>
  </si>
  <si>
    <t xml:space="preserve">Cilindro de 9,5 m³</t>
  </si>
  <si>
    <t xml:space="preserve">Alambre MAG ER70S-6 Ø0,9 mm (manuales)</t>
  </si>
  <si>
    <t xml:space="preserve">Insumos de soldadura y superficie</t>
  </si>
  <si>
    <t xml:space="preserve">Conarco (ESAB)</t>
  </si>
  <si>
    <t xml:space="preserve">Distribuidor zona sur</t>
  </si>
  <si>
    <t xml:space="preserve">Carrete de 15 kg</t>
  </si>
  <si>
    <t xml:space="preserve">Proceso de carros, puestos 5 a 8: «el alambre en rollos (5 días hábiles)»</t>
  </si>
  <si>
    <t xml:space="preserve">Proceso de manuales: alambre de 0,9 mm</t>
  </si>
  <si>
    <t xml:space="preserve">Alambre MAG ER70S-6 Ø1,0 mm (carros)</t>
  </si>
  <si>
    <t xml:space="preserve">El proceso de carros usa 1,0 mm en todos los puestos (la planilla decía 1,2)</t>
  </si>
  <si>
    <t xml:space="preserve">Gas de protección MAG Ar + 8 % CO₂ (Arcal 21)</t>
  </si>
  <si>
    <t xml:space="preserve">Consumible de proceso</t>
  </si>
  <si>
    <t xml:space="preserve">Batería de 11 cilindros (115,5 m³)</t>
  </si>
  <si>
    <t xml:space="preserve">Air Liquide: baterías de 11 cilindros de 10,5 m³, recambio semanal</t>
  </si>
  <si>
    <t xml:space="preserve">Puntas de contacto y toberas MAG</t>
  </si>
  <si>
    <t xml:space="preserve">ESAB / Binzel (distribuidor)</t>
  </si>
  <si>
    <t xml:space="preserve">Caja de 25 u</t>
  </si>
  <si>
    <t xml:space="preserve">Planilla de MP</t>
  </si>
  <si>
    <t xml:space="preserve">Planilla «MP Abastecimiento» (opción D), estimado del equipo; ningún presupuesto trae plazo</t>
  </si>
  <si>
    <t xml:space="preserve">Disco de corte 115 × 1,0 mm</t>
  </si>
  <si>
    <t xml:space="preserve">Norton / Pferd (distribuidor)</t>
  </si>
  <si>
    <t xml:space="preserve">Disco flap 115 mm grano 60</t>
  </si>
  <si>
    <t xml:space="preserve">Caja de 10 u</t>
  </si>
  <si>
    <t xml:space="preserve">Disco de sensitiva 355 mm</t>
  </si>
  <si>
    <t xml:space="preserve">Mecha de acero rápido 4,5 mm</t>
  </si>
  <si>
    <t xml:space="preserve">Ferretería industrial</t>
  </si>
  <si>
    <t xml:space="preserve">Spray antiproyecciones MIG 400 ml (Würth)</t>
  </si>
  <si>
    <t xml:space="preserve">Würth Argentina</t>
  </si>
  <si>
    <t xml:space="preserve">Aerosol de 400 ml</t>
  </si>
  <si>
    <t xml:space="preserve">Granalla de acero S330 / S390 (reposición)</t>
  </si>
  <si>
    <t xml:space="preserve">CyM Materiales</t>
  </si>
  <si>
    <t xml:space="preserve">Roca Ingeniería</t>
  </si>
  <si>
    <t xml:space="preserve">Pallet de 40 bolsas de 25 kg</t>
  </si>
  <si>
    <t xml:space="preserve">Precio cotizado ($2.000/kg), sin plazo</t>
  </si>
  <si>
    <t xml:space="preserve">Pintura en polvo poliéster rojo 03-1-050 (IRAM-DEF D 10-54)</t>
  </si>
  <si>
    <t xml:space="preserve">Sinteplast Industria</t>
  </si>
  <si>
    <t xml:space="preserve">Tersuave</t>
  </si>
  <si>
    <t xml:space="preserve">Caja de 20 kg</t>
  </si>
  <si>
    <t xml:space="preserve">Proceso de manuales: sector seco con el polvo ABC</t>
  </si>
  <si>
    <t xml:space="preserve">Tapón-gancho de silicona M22 / M30 (enmascarado)</t>
  </si>
  <si>
    <t xml:space="preserve">Distribuidor de enmascarado</t>
  </si>
  <si>
    <t xml:space="preserve">Caja de 500 u</t>
  </si>
  <si>
    <t xml:space="preserve">Válvula HZ M-22 con tubo de pesca (1 kg)</t>
  </si>
  <si>
    <t xml:space="preserve">Polvex (HZ)</t>
  </si>
  <si>
    <t xml:space="preserve">Mozart</t>
  </si>
  <si>
    <t xml:space="preserve">Proceso de carros, puesto 1: «válvula de carro y manómetro, 20 días hábiles» (planilla de MP)</t>
  </si>
  <si>
    <t xml:space="preserve">Lista de precios: $4.200 c/u</t>
  </si>
  <si>
    <t xml:space="preserve">Válvula HZ M-30 con resorte y tubo 7/8 (2,5 a 10 kg)</t>
  </si>
  <si>
    <t xml:space="preserve">Caja de 50 u</t>
  </si>
  <si>
    <t xml:space="preserve">Lista de precios: $6.800 c/u</t>
  </si>
  <si>
    <t xml:space="preserve">Válvula HZ de carro 25 kg (traba, manija y resorte)</t>
  </si>
  <si>
    <t xml:space="preserve">Lista de precios: $7.500 c/u</t>
  </si>
  <si>
    <t xml:space="preserve">Válvula HZ de carro 50-70-100 kg</t>
  </si>
  <si>
    <t xml:space="preserve">Manómetro IRAM 3533, 1,4 MPa</t>
  </si>
  <si>
    <t xml:space="preserve">Yukon</t>
  </si>
  <si>
    <t xml:space="preserve">Matafuegos Iglesias</t>
  </si>
  <si>
    <t xml:space="preserve">A validar</t>
  </si>
  <si>
    <t xml:space="preserve">Tobera ABC 1 kg (armada)</t>
  </si>
  <si>
    <t xml:space="preserve">Proceso de carros, puesto 1: «manguera con lanza, 15» días hábiles (planilla de MP)</t>
  </si>
  <si>
    <t xml:space="preserve">Manguera con racor y tobera ABC 2,5 kg (armada)</t>
  </si>
  <si>
    <t xml:space="preserve">Manguera con racor y tobera ABC 5 kg (armada)</t>
  </si>
  <si>
    <t xml:space="preserve">Manguera con racor y tobera ABC 10 kg (armada)</t>
  </si>
  <si>
    <t xml:space="preserve">Manguera armada con válvula esférica y tobera campana, carro 25 kg</t>
  </si>
  <si>
    <t xml:space="preserve">Manguera armada con válvula esférica y tobera campana, carro 50 kg</t>
  </si>
  <si>
    <t xml:space="preserve">Manguera armada con válvula esférica y tobera campana, carro 70 kg</t>
  </si>
  <si>
    <t xml:space="preserve">Manguera armada con válvula esférica y tobera campana, carro 100 kg</t>
  </si>
  <si>
    <t xml:space="preserve">Junta tórica NBR 70 del cuello M22</t>
  </si>
  <si>
    <t xml:space="preserve">Argensold</t>
  </si>
  <si>
    <t xml:space="preserve">Bolsa de 1.000 u</t>
  </si>
  <si>
    <t xml:space="preserve">Junta tórica NBR 70 del cuello M30</t>
  </si>
  <si>
    <t xml:space="preserve">Junta tórica NBR 70 del cuello 2½" (carros 70 y 100 kg)</t>
  </si>
  <si>
    <t xml:space="preserve">Junta tórica del cuello de los equipos de otros fabricantes (recargas)</t>
  </si>
  <si>
    <t xml:space="preserve">Insumos de recargas</t>
  </si>
  <si>
    <t xml:space="preserve">Medida según el fabricante del equipo</t>
  </si>
  <si>
    <t xml:space="preserve">Soporte de pared ABC 2,5 kg</t>
  </si>
  <si>
    <t xml:space="preserve">Maxiseguridad</t>
  </si>
  <si>
    <t xml:space="preserve">CM Representaciones</t>
  </si>
  <si>
    <t xml:space="preserve">Soporte de pared ABC 5 kg</t>
  </si>
  <si>
    <t xml:space="preserve">Soporte de pared ABC 10 kg</t>
  </si>
  <si>
    <t xml:space="preserve">Soporte vehicular con cierre rápido (1 kg)</t>
  </si>
  <si>
    <t xml:space="preserve">Tornillo M8 y tarugo Ø10 de fijación</t>
  </si>
  <si>
    <t xml:space="preserve">Rueda de chapa y goma Ø300 × 50, buje 3/4" (carro 25 kg)</t>
  </si>
  <si>
    <t xml:space="preserve">Ruedar</t>
  </si>
  <si>
    <t xml:space="preserve">Atado de 10 u</t>
  </si>
  <si>
    <t xml:space="preserve">Proceso de carros, puesto 1: «ruedas, 15» días hábiles (planilla de MP)</t>
  </si>
  <si>
    <t xml:space="preserve">Rueda de chapa y goma Ø350 × 60, buje 1" (carro 50 kg)</t>
  </si>
  <si>
    <t xml:space="preserve">Escanort</t>
  </si>
  <si>
    <t xml:space="preserve">Rueda de chapa y goma Ø400 × 60, buje 1" (carros 70 y 100 kg)</t>
  </si>
  <si>
    <t xml:space="preserve">Etiqueta / placa de características ABC 1 kg</t>
  </si>
  <si>
    <t xml:space="preserve">Identificación</t>
  </si>
  <si>
    <t xml:space="preserve">Astuprint</t>
  </si>
  <si>
    <t xml:space="preserve">Multilabel</t>
  </si>
  <si>
    <t xml:space="preserve">Rollo de 1.000 u</t>
  </si>
  <si>
    <t xml:space="preserve">Etiqueta / placa de características ABC 2,5 kg</t>
  </si>
  <si>
    <t xml:space="preserve">Etiqueta / placa de características ABC 5 kg</t>
  </si>
  <si>
    <t xml:space="preserve">Etiqueta / placa de características ABC 10 kg</t>
  </si>
  <si>
    <t xml:space="preserve">Etiqueta / placa de características ABC 25 kg</t>
  </si>
  <si>
    <t xml:space="preserve">Etiqueta / placa de características ABC 50 kg</t>
  </si>
  <si>
    <t xml:space="preserve">Etiqueta / placa de características ABC 70 kg</t>
  </si>
  <si>
    <t xml:space="preserve">Etiqueta / placa de características ABC 100 kg</t>
  </si>
  <si>
    <t xml:space="preserve">Oblea de fabricación PBA (Res. 522/07)</t>
  </si>
  <si>
    <t xml:space="preserve">Ministerio de Ambiente PBA (DPS)</t>
  </si>
  <si>
    <t xml:space="preserve">Arancel oficial</t>
  </si>
  <si>
    <t xml:space="preserve">Paquete de 1.000 u</t>
  </si>
  <si>
    <t xml:space="preserve">Se compra al organismo (DPS, AGC, IRAM); trámite estimado en 2 semanas</t>
  </si>
  <si>
    <t xml:space="preserve">Sólo destino PBA</t>
  </si>
  <si>
    <t xml:space="preserve">IRAM</t>
  </si>
  <si>
    <t xml:space="preserve">Arancel de licencia</t>
  </si>
  <si>
    <t xml:space="preserve">AGC (CABA)</t>
  </si>
  <si>
    <t xml:space="preserve">Paquete de 500 u</t>
  </si>
  <si>
    <t xml:space="preserve">Sólo destino CABA</t>
  </si>
  <si>
    <t xml:space="preserve">Tarjeta de identificación DPS (PBA), recargas</t>
  </si>
  <si>
    <t xml:space="preserve">Etiqueta de n° de serie GS1 con QR</t>
  </si>
  <si>
    <t xml:space="preserve">GS1 Argentina (códigos)</t>
  </si>
  <si>
    <t xml:space="preserve">Precinto de fábrica numerado «FLAMA»</t>
  </si>
  <si>
    <t xml:space="preserve">SonFuertes</t>
  </si>
  <si>
    <t xml:space="preserve">Precinter</t>
  </si>
  <si>
    <t xml:space="preserve">Etiqueta de control periódico (celeste 35 × 50)</t>
  </si>
  <si>
    <t xml:space="preserve">Marbete indicador de mantenimiento (color del año)</t>
  </si>
  <si>
    <t xml:space="preserve">Conjunto de seguridad (disco) de CO₂, IRAM 2736</t>
  </si>
  <si>
    <t xml:space="preserve">Georgia</t>
  </si>
  <si>
    <t xml:space="preserve">HZ</t>
  </si>
  <si>
    <t xml:space="preserve">Faja amarilla de sustituto (≤ 40 mm)</t>
  </si>
  <si>
    <t xml:space="preserve">Rollo de 500 u</t>
  </si>
  <si>
    <t xml:space="preserve">Paquete de 100 u</t>
  </si>
  <si>
    <t xml:space="preserve">Impresos (protocolo de ensayo, remito de préstamo)</t>
  </si>
  <si>
    <t xml:space="preserve">Polvo BC (IRAM 3566), recargas</t>
  </si>
  <si>
    <t xml:space="preserve">Bolsa de 25 kg</t>
  </si>
  <si>
    <t xml:space="preserve">Polvo para metales combustibles clase D, recargas</t>
  </si>
  <si>
    <t xml:space="preserve">CO₂ líquido grado industrial, recargas</t>
  </si>
  <si>
    <t xml:space="preserve">Cilindro con sifón de 25 kg</t>
  </si>
  <si>
    <t xml:space="preserve">Agente limpio HCFC-123 / HFC-236fa, recargas</t>
  </si>
  <si>
    <t xml:space="preserve">A definir (importado)</t>
  </si>
  <si>
    <t xml:space="preserve">A definir</t>
  </si>
  <si>
    <t xml:space="preserve">Cilindro de 50 kg</t>
  </si>
  <si>
    <t xml:space="preserve">Concentrado AFFF 3 % (IRAM 3515), recargas</t>
  </si>
  <si>
    <t xml:space="preserve">Bidón de 20 L</t>
  </si>
  <si>
    <t xml:space="preserve">Lista de precios: bidón de 20 L</t>
  </si>
  <si>
    <t xml:space="preserve">Solución de acetato de potasio (clase K), recargas</t>
  </si>
  <si>
    <t xml:space="preserve">Polvex (Gastro K)</t>
  </si>
  <si>
    <t xml:space="preserve">Lista de precios: bidones de 10, 20 y 30 L</t>
  </si>
  <si>
    <t xml:space="preserve">Esmalte rojo de retoque, recargas</t>
  </si>
  <si>
    <t xml:space="preserve">Sinteplast</t>
  </si>
  <si>
    <t xml:space="preserve">Lata de 4 L</t>
  </si>
  <si>
    <t xml:space="preserve">Caja de cartón corrugado simple ABC 1 kg</t>
  </si>
  <si>
    <t xml:space="preserve">Embalaje</t>
  </si>
  <si>
    <t xml:space="preserve">Maxipack</t>
  </si>
  <si>
    <t xml:space="preserve">Cartocan</t>
  </si>
  <si>
    <t xml:space="preserve">Pallet de 600 cajas plegadas</t>
  </si>
  <si>
    <t xml:space="preserve">Caja de cartón corrugado simple ABC 2,5 kg</t>
  </si>
  <si>
    <t xml:space="preserve">Caja de cartón corrugado simple ABC 5 kg</t>
  </si>
  <si>
    <t xml:space="preserve">Caja de cartón corrugado doble ABC 10 kg</t>
  </si>
  <si>
    <t xml:space="preserve">Etiqueta de caja (código, serie y lote)</t>
  </si>
  <si>
    <t xml:space="preserve">Pallet de madera 1200 × 1000 (IRAM 10016)</t>
  </si>
  <si>
    <t xml:space="preserve">IndusPallets</t>
  </si>
  <si>
    <t xml:space="preserve">Pila de 15 u</t>
  </si>
  <si>
    <t xml:space="preserve">Film stretch 500 mm pre-estirable</t>
  </si>
  <si>
    <t xml:space="preserve">MV Embalajes</t>
  </si>
  <si>
    <t xml:space="preserve">Embalpack</t>
  </si>
  <si>
    <t xml:space="preserve">Bobina de 16 kg</t>
  </si>
  <si>
    <t xml:space="preserve">Etiqueta de pallet</t>
  </si>
  <si>
    <t xml:space="preserve">Esquinero de cartón 50 × 50 × 1200</t>
  </si>
  <si>
    <t xml:space="preserve">Funda de polietileno para rodante</t>
  </si>
  <si>
    <t xml:space="preserve">Rollo de 100 u</t>
  </si>
  <si>
    <t xml:space="preserve">Tapón protector de rosca PE M22 (cilindro suelto)</t>
  </si>
  <si>
    <t xml:space="preserve">A definir (inyectora)</t>
  </si>
  <si>
    <t xml:space="preserve">Sin proveedor</t>
  </si>
  <si>
    <t xml:space="preserve">Caja de 5.000 u</t>
  </si>
  <si>
    <t xml:space="preserve">Tapón protector de rosca PE M30 (cilindro suelto)</t>
  </si>
  <si>
    <t xml:space="preserve">Tapón protector de rosca PE 2½" (cilindro suelto)</t>
  </si>
  <si>
    <t xml:space="preserve">Servicio de pintura en polvo, carro 25 kg (tercerizado)</t>
  </si>
  <si>
    <t xml:space="preserve">Servicio</t>
  </si>
  <si>
    <t xml:space="preserve">Servicio (no se almacena)</t>
  </si>
  <si>
    <t xml:space="preserve">Pintor de carros (cotización por mensaje)</t>
  </si>
  <si>
    <t xml:space="preserve">Prymax</t>
  </si>
  <si>
    <t xml:space="preserve">Servicio de pintura tercerizado por tandas semanales (sin plazo en la cotización)</t>
  </si>
  <si>
    <t xml:space="preserve">Cotización: USD 13,5 / 20,3 / 27,5 / 32 por carro</t>
  </si>
  <si>
    <t xml:space="preserve">Servicio de pintura en polvo, carro 50 kg (tercerizado)</t>
  </si>
  <si>
    <t xml:space="preserve">Servicio de pintura en polvo, carro 70 kg (tercerizado)</t>
  </si>
  <si>
    <t xml:space="preserve">Servicio de pintura en polvo, carro 100 kg (tercerizado)</t>
  </si>
  <si>
    <t xml:space="preserve">Matafuego Agua 10 l terminado (reventa)</t>
  </si>
  <si>
    <t xml:space="preserve">Reventa</t>
  </si>
  <si>
    <t xml:space="preserve">Equipos revendidos (almacén de PT)</t>
  </si>
  <si>
    <t xml:space="preserve">Drago</t>
  </si>
  <si>
    <t xml:space="preserve">Equipo terminado de un fabricante nacional; mismo plazo que los componentes que se les compran (manguera, 15 días hábiles)</t>
  </si>
  <si>
    <t xml:space="preserve">Equipos por posición de pallet: supuesto con la caja del fabricante</t>
  </si>
  <si>
    <t xml:space="preserve">Matafuego AFFF 10 l terminado (reventa)</t>
  </si>
  <si>
    <t xml:space="preserve">Matafuego AFFF 50 l rodante terminado (reventa)</t>
  </si>
  <si>
    <t xml:space="preserve">Matafuego BC 5 kg terminado (reventa)</t>
  </si>
  <si>
    <t xml:space="preserve">Melisam</t>
  </si>
  <si>
    <t xml:space="preserve">Matafuego Clase K 6 l terminado (reventa)</t>
  </si>
  <si>
    <t xml:space="preserve">Matafuego CO₂ 2 kg terminado (reventa)</t>
  </si>
  <si>
    <t xml:space="preserve">Matafuego CO₂ 5 kg terminado (reventa)</t>
  </si>
  <si>
    <t xml:space="preserve">Matafuego HCFC/HFC 5 kg terminado (reventa)</t>
  </si>
  <si>
    <t xml:space="preserve">Matafuego Clase D 9 l terminado (reventa)</t>
  </si>
  <si>
    <t xml:space="preserve">INSUMOS DIRECTOS MANUALES: requerimiento bruto por año</t>
  </si>
  <si>
    <t xml:space="preserve">Fila gris = total del ítem (suma de las filas de abajo). Cada fila de abajo = coeficiente por unidad × demanda del producto × % del destino si el ítem es sólo de CABA o de PBA. El coeficiente sale de la celda indicada en la última columna.</t>
  </si>
  <si>
    <t xml:space="preserve">Nivel</t>
  </si>
  <si>
    <t xml:space="preserve">Ítem / origen</t>
  </si>
  <si>
    <t xml:space="preserve">Producto (DEMANDA)</t>
  </si>
  <si>
    <t xml:space="preserve">Coef. año de diseño</t>
  </si>
  <si>
    <t xml:space="preserve">Coeficiente en</t>
  </si>
  <si>
    <t xml:space="preserve">ABC 1 kg terminado · Cuerpo</t>
  </si>
  <si>
    <t xml:space="preserve">Todos</t>
  </si>
  <si>
    <t xml:space="preserve">BOM_COEF!R4 (por año)</t>
  </si>
  <si>
    <t xml:space="preserve">ABC 1 kg cilindro · Cuerpo</t>
  </si>
  <si>
    <t xml:space="preserve">BOM_COEF!R34 (por año)</t>
  </si>
  <si>
    <t xml:space="preserve">ABC 2,5 kg terminado · Cuerpo</t>
  </si>
  <si>
    <t xml:space="preserve">BOM_COEF!R40 (por año)</t>
  </si>
  <si>
    <t xml:space="preserve">ABC 2,5 kg cilindro · Cuerpo</t>
  </si>
  <si>
    <t xml:space="preserve">BOM_COEF!R75 (por año)</t>
  </si>
  <si>
    <t xml:space="preserve">ABC 5 kg terminado · Cuerpo</t>
  </si>
  <si>
    <t xml:space="preserve">BOM_COEF!R81 (por año)</t>
  </si>
  <si>
    <t xml:space="preserve">ABC 5 kg cilindro · Cuerpo</t>
  </si>
  <si>
    <t xml:space="preserve">BOM_COEF!R116 (por año)</t>
  </si>
  <si>
    <t xml:space="preserve">ABC 10 kg terminado · Cuerpo</t>
  </si>
  <si>
    <t xml:space="preserve">BOM_COEF!R122 (por año)</t>
  </si>
  <si>
    <t xml:space="preserve">ABC 10 kg cilindro · Cuerpo</t>
  </si>
  <si>
    <t xml:space="preserve">BOM_COEF!R157 (por año)</t>
  </si>
  <si>
    <t xml:space="preserve">ABC 1 kg terminado · Cúpula</t>
  </si>
  <si>
    <t xml:space="preserve">BOM_COEF!R5 (por año)</t>
  </si>
  <si>
    <t xml:space="preserve">ABC 1 kg cilindro · Cúpula</t>
  </si>
  <si>
    <t xml:space="preserve">BOM_COEF!R35 (por año)</t>
  </si>
  <si>
    <t xml:space="preserve">ABC 1 kg terminado · Fondo</t>
  </si>
  <si>
    <t xml:space="preserve">BOM_COEF!R6 (por año)</t>
  </si>
  <si>
    <t xml:space="preserve">ABC 1 kg cilindro · Fondo</t>
  </si>
  <si>
    <t xml:space="preserve">BOM_COEF!R36 (por año)</t>
  </si>
  <si>
    <t xml:space="preserve">ABC 2,5 kg terminado · Cúpula</t>
  </si>
  <si>
    <t xml:space="preserve">BOM_COEF!R41 (por año)</t>
  </si>
  <si>
    <t xml:space="preserve">ABC 2,5 kg terminado · Fondo</t>
  </si>
  <si>
    <t xml:space="preserve">BOM_COEF!R42 (por año)</t>
  </si>
  <si>
    <t xml:space="preserve">ABC 2,5 kg cilindro · Cúpula</t>
  </si>
  <si>
    <t xml:space="preserve">BOM_COEF!R76 (por año)</t>
  </si>
  <si>
    <t xml:space="preserve">ABC 2,5 kg cilindro · Fondo</t>
  </si>
  <si>
    <t xml:space="preserve">BOM_COEF!R77 (por año)</t>
  </si>
  <si>
    <t xml:space="preserve">ABC 5 kg terminado · Cúpula</t>
  </si>
  <si>
    <t xml:space="preserve">BOM_COEF!R82 (por año)</t>
  </si>
  <si>
    <t xml:space="preserve">ABC 5 kg cilindro · Cúpula</t>
  </si>
  <si>
    <t xml:space="preserve">BOM_COEF!R117 (por año)</t>
  </si>
  <si>
    <t xml:space="preserve">ABC 5 kg terminado · Fondo</t>
  </si>
  <si>
    <t xml:space="preserve">BOM_COEF!R83 (por año)</t>
  </si>
  <si>
    <t xml:space="preserve">ABC 5 kg cilindro · Fondo</t>
  </si>
  <si>
    <t xml:space="preserve">BOM_COEF!R118 (por año)</t>
  </si>
  <si>
    <t xml:space="preserve">ABC 10 kg terminado · Cúpula</t>
  </si>
  <si>
    <t xml:space="preserve">BOM_COEF!R123 (por año)</t>
  </si>
  <si>
    <t xml:space="preserve">ABC 10 kg cilindro · Cúpula</t>
  </si>
  <si>
    <t xml:space="preserve">BOM_COEF!R158 (por año)</t>
  </si>
  <si>
    <t xml:space="preserve">ABC 10 kg terminado · Fondo</t>
  </si>
  <si>
    <t xml:space="preserve">BOM_COEF!R124 (por año)</t>
  </si>
  <si>
    <t xml:space="preserve">ABC 10 kg cilindro · Fondo</t>
  </si>
  <si>
    <t xml:space="preserve">BOM_COEF!R159 (por año)</t>
  </si>
  <si>
    <t xml:space="preserve">ABC 1 kg terminado · Cuello roscado</t>
  </si>
  <si>
    <t xml:space="preserve">BOM_COEF!R7 (por año)</t>
  </si>
  <si>
    <t xml:space="preserve">ABC 1 kg cilindro · Cuello roscado</t>
  </si>
  <si>
    <t xml:space="preserve">BOM_COEF!R37 (por año)</t>
  </si>
  <si>
    <t xml:space="preserve">ABC 2,5 kg terminado · Cuello roscado</t>
  </si>
  <si>
    <t xml:space="preserve">BOM_COEF!R43 (por año)</t>
  </si>
  <si>
    <t xml:space="preserve">ABC 2,5 kg cilindro · Cuello roscado</t>
  </si>
  <si>
    <t xml:space="preserve">BOM_COEF!R78 (por año)</t>
  </si>
  <si>
    <t xml:space="preserve">ABC 5 kg terminado · Cuello roscado</t>
  </si>
  <si>
    <t xml:space="preserve">BOM_COEF!R84 (por año)</t>
  </si>
  <si>
    <t xml:space="preserve">ABC 5 kg cilindro · Cuello roscado</t>
  </si>
  <si>
    <t xml:space="preserve">BOM_COEF!R119 (por año)</t>
  </si>
  <si>
    <t xml:space="preserve">ABC 10 kg terminado · Cuello roscado</t>
  </si>
  <si>
    <t xml:space="preserve">BOM_COEF!R125 (por año)</t>
  </si>
  <si>
    <t xml:space="preserve">ABC 10 kg cilindro · Cuello roscado</t>
  </si>
  <si>
    <t xml:space="preserve">BOM_COEF!R160 (por año)</t>
  </si>
  <si>
    <t xml:space="preserve">ABC 1 kg terminado · Polvo ABC 60</t>
  </si>
  <si>
    <t xml:space="preserve">BOM_COEF!R25 (por año)</t>
  </si>
  <si>
    <t xml:space="preserve">ABC 2,5 kg terminado · Polvo ABC 60</t>
  </si>
  <si>
    <t xml:space="preserve">BOM_COEF!R64 (por año)</t>
  </si>
  <si>
    <t xml:space="preserve">ABC 5 kg terminado · Polvo ABC 60</t>
  </si>
  <si>
    <t xml:space="preserve">BOM_COEF!R105 (por año)</t>
  </si>
  <si>
    <t xml:space="preserve">ABC 10 kg terminado · Polvo ABC 60</t>
  </si>
  <si>
    <t xml:space="preserve">BOM_COEF!R146 (por año)</t>
  </si>
  <si>
    <t xml:space="preserve">ABC 1 kg terminado · Gas impulsor: N₂ (L normales)</t>
  </si>
  <si>
    <t xml:space="preserve">BOM_COEF!R26 (por año)</t>
  </si>
  <si>
    <t xml:space="preserve">ABC 2,5 kg terminado · Gas impulsor: N₂ (L normales)</t>
  </si>
  <si>
    <t xml:space="preserve">BOM_COEF!R65 (por año)</t>
  </si>
  <si>
    <t xml:space="preserve">ABC 5 kg terminado · Gas impulsor: N₂ (L normales)</t>
  </si>
  <si>
    <t xml:space="preserve">BOM_COEF!R106 (por año)</t>
  </si>
  <si>
    <t xml:space="preserve">ABC 10 kg terminado · Gas impulsor: N₂ (L normales)</t>
  </si>
  <si>
    <t xml:space="preserve">BOM_COEF!R147 (por año)</t>
  </si>
  <si>
    <t xml:space="preserve">ABC 1 kg terminado · Soldadura (MAG 135)</t>
  </si>
  <si>
    <t xml:space="preserve">PROCESO!I5</t>
  </si>
  <si>
    <t xml:space="preserve">ABC 1 kg cilindro · Soldadura (MAG 135)</t>
  </si>
  <si>
    <t xml:space="preserve">ABC 2,5 kg terminado · Soldadura (MAG 135)</t>
  </si>
  <si>
    <t xml:space="preserve">PROCESO!I18</t>
  </si>
  <si>
    <t xml:space="preserve">ABC 2,5 kg cilindro · Soldadura (MAG 135)</t>
  </si>
  <si>
    <t xml:space="preserve">ABC 5 kg terminado · Soldadura (MAG 135)</t>
  </si>
  <si>
    <t xml:space="preserve">PROCESO!I31</t>
  </si>
  <si>
    <t xml:space="preserve">ABC 5 kg cilindro · Soldadura (MAG 135)</t>
  </si>
  <si>
    <t xml:space="preserve">ABC 10 kg terminado · Soldadura (MAG 135)</t>
  </si>
  <si>
    <t xml:space="preserve">PROCESO!I44</t>
  </si>
  <si>
    <t xml:space="preserve">ABC 10 kg cilindro · Soldadura (MAG 135)</t>
  </si>
  <si>
    <t xml:space="preserve">ABC 1 kg terminado · Pintura en polvo y horno (Firesafer)</t>
  </si>
  <si>
    <t xml:space="preserve">PROCESO!I10</t>
  </si>
  <si>
    <t xml:space="preserve">ABC 1 kg cilindro · Pintura en polvo y horno (Firesafer)</t>
  </si>
  <si>
    <t xml:space="preserve">ABC 2,5 kg terminado · Pintura en polvo y horno (Firesafer)</t>
  </si>
  <si>
    <t xml:space="preserve">PROCESO!I23</t>
  </si>
  <si>
    <t xml:space="preserve">ABC 2,5 kg cilindro · Pintura en polvo y horno (Firesafer)</t>
  </si>
  <si>
    <t xml:space="preserve">ABC 5 kg terminado · Pintura en polvo y horno (Firesafer)</t>
  </si>
  <si>
    <t xml:space="preserve">PROCESO!I36</t>
  </si>
  <si>
    <t xml:space="preserve">ABC 5 kg cilindro · Pintura en polvo y horno (Firesafer)</t>
  </si>
  <si>
    <t xml:space="preserve">ABC 10 kg terminado · Pintura en polvo y horno (Firesafer)</t>
  </si>
  <si>
    <t xml:space="preserve">PROCESO!I49</t>
  </si>
  <si>
    <t xml:space="preserve">ABC 10 kg cilindro · Pintura en polvo y horno (Firesafer)</t>
  </si>
  <si>
    <t xml:space="preserve">ABC 1 kg terminado · Válvula HZ armada M-22 1 kg</t>
  </si>
  <si>
    <t xml:space="preserve">BOM_COEF!R10 (por año)</t>
  </si>
  <si>
    <t xml:space="preserve">ABC 2,5 kg terminado · Válvula HZ armada M-30</t>
  </si>
  <si>
    <t xml:space="preserve">BOM_COEF!R46 (por año)</t>
  </si>
  <si>
    <t xml:space="preserve">ABC 5 kg terminado · Válvula HZ armada M-30</t>
  </si>
  <si>
    <t xml:space="preserve">BOM_COEF!R87 (por año)</t>
  </si>
  <si>
    <t xml:space="preserve">ABC 10 kg terminado · Válvula HZ armada M-30</t>
  </si>
  <si>
    <t xml:space="preserve">BOM_COEF!R128 (por año)</t>
  </si>
  <si>
    <t xml:space="preserve">ABC 1 kg terminado · Manómetro</t>
  </si>
  <si>
    <t xml:space="preserve">BOM_COEF!R8 (por año)</t>
  </si>
  <si>
    <t xml:space="preserve">ABC 2,5 kg terminado · Manómetro</t>
  </si>
  <si>
    <t xml:space="preserve">BOM_COEF!R44 (por año)</t>
  </si>
  <si>
    <t xml:space="preserve">ABC 5 kg terminado · Manómetro</t>
  </si>
  <si>
    <t xml:space="preserve">BOM_COEF!R85 (por año)</t>
  </si>
  <si>
    <t xml:space="preserve">ABC 10 kg terminado · Manómetro</t>
  </si>
  <si>
    <t xml:space="preserve">BOM_COEF!R126 (por año)</t>
  </si>
  <si>
    <t xml:space="preserve">ABC 1 kg terminado · Dispositivo de descarga</t>
  </si>
  <si>
    <t xml:space="preserve">BOM_COEF!R23 (por año)</t>
  </si>
  <si>
    <t xml:space="preserve">ABC 2,5 kg terminado · Dispositivo de descarga</t>
  </si>
  <si>
    <t xml:space="preserve">BOM_COEF!R59 (por año)</t>
  </si>
  <si>
    <t xml:space="preserve">ABC 5 kg terminado · Dispositivo de descarga</t>
  </si>
  <si>
    <t xml:space="preserve">BOM_COEF!R100 (por año)</t>
  </si>
  <si>
    <t xml:space="preserve">ABC 10 kg terminado · Dispositivo de descarga</t>
  </si>
  <si>
    <t xml:space="preserve">BOM_COEF!R141 (por año)</t>
  </si>
  <si>
    <t xml:space="preserve">ABC 1 kg terminado · Junta tórica de asiento</t>
  </si>
  <si>
    <t xml:space="preserve">BOM_COEF!R9 (por año)</t>
  </si>
  <si>
    <t xml:space="preserve">ABC 2,5 kg terminado · Junta tórica de asiento</t>
  </si>
  <si>
    <t xml:space="preserve">BOM_COEF!R45 (por año)</t>
  </si>
  <si>
    <t xml:space="preserve">ABC 5 kg terminado · Junta tórica de asiento</t>
  </si>
  <si>
    <t xml:space="preserve">BOM_COEF!R86 (por año)</t>
  </si>
  <si>
    <t xml:space="preserve">ABC 10 kg terminado · Junta tórica de asiento</t>
  </si>
  <si>
    <t xml:space="preserve">BOM_COEF!R127 (por año)</t>
  </si>
  <si>
    <t xml:space="preserve">ABC 2,5 kg terminado · Soporte de pared</t>
  </si>
  <si>
    <t xml:space="preserve">BOM_COEF!R73 (por año)</t>
  </si>
  <si>
    <t xml:space="preserve">ABC 5 kg terminado · Soporte de pared</t>
  </si>
  <si>
    <t xml:space="preserve">BOM_COEF!R114 (por año)</t>
  </si>
  <si>
    <t xml:space="preserve">ABC 10 kg terminado · Soporte de pared</t>
  </si>
  <si>
    <t xml:space="preserve">BOM_COEF!R155 (por año)</t>
  </si>
  <si>
    <t xml:space="preserve">ABC 1 kg terminado · Soporte vehicular con cierre rápido</t>
  </si>
  <si>
    <t xml:space="preserve">BOM_COEF!R33 (por año)</t>
  </si>
  <si>
    <t xml:space="preserve">ABC 2,5 kg terminado · Tornillo y tarugo de fijación</t>
  </si>
  <si>
    <t xml:space="preserve">BOM_COEF!R74 (por año)</t>
  </si>
  <si>
    <t xml:space="preserve">ABC 5 kg terminado · Tornillo y tarugo de fijación</t>
  </si>
  <si>
    <t xml:space="preserve">BOM_COEF!R115 (por año)</t>
  </si>
  <si>
    <t xml:space="preserve">ABC 10 kg terminado · Tornillo y tarugo de fijación</t>
  </si>
  <si>
    <t xml:space="preserve">BOM_COEF!R156 (por año)</t>
  </si>
  <si>
    <t xml:space="preserve">ABC 1 kg terminado · Etiqueta / placa de características</t>
  </si>
  <si>
    <t xml:space="preserve">BOM_COEF!R27 (por año)</t>
  </si>
  <si>
    <t xml:space="preserve">ABC 2,5 kg terminado · Etiqueta / placa de características</t>
  </si>
  <si>
    <t xml:space="preserve">BOM_COEF!R66 (por año)</t>
  </si>
  <si>
    <t xml:space="preserve">ABC 5 kg terminado · Etiqueta / placa de características</t>
  </si>
  <si>
    <t xml:space="preserve">BOM_COEF!R107 (por año)</t>
  </si>
  <si>
    <t xml:space="preserve">ABC 10 kg terminado · Etiqueta / placa de características</t>
  </si>
  <si>
    <t xml:space="preserve">BOM_COEF!R148 (por año)</t>
  </si>
  <si>
    <t xml:space="preserve">ABC 1 kg terminado · Oblea de fabricación</t>
  </si>
  <si>
    <t xml:space="preserve">BOM_COEF!R28 (por año)</t>
  </si>
  <si>
    <t xml:space="preserve">ABC 2,5 kg terminado · Oblea de fabricación</t>
  </si>
  <si>
    <t xml:space="preserve">BOM_COEF!R67 (por año)</t>
  </si>
  <si>
    <t xml:space="preserve">ABC 5 kg terminado · Oblea de fabricación</t>
  </si>
  <si>
    <t xml:space="preserve">BOM_COEF!R108 (por año)</t>
  </si>
  <si>
    <t xml:space="preserve">ABC 10 kg terminado · Oblea de fabricación</t>
  </si>
  <si>
    <t xml:space="preserve">BOM_COEF!R149 (por año)</t>
  </si>
  <si>
    <t xml:space="preserve">ABC 1 kg terminado · Estampilla IRAM de conformidad</t>
  </si>
  <si>
    <t xml:space="preserve">BOM_COEF!R29 (por año)</t>
  </si>
  <si>
    <t xml:space="preserve">ABC 2,5 kg terminado · Estampilla IRAM de conformidad</t>
  </si>
  <si>
    <t xml:space="preserve">BOM_COEF!R68 (por año)</t>
  </si>
  <si>
    <t xml:space="preserve">ABC 5 kg terminado · Estampilla IRAM de conformidad</t>
  </si>
  <si>
    <t xml:space="preserve">BOM_COEF!R109 (por año)</t>
  </si>
  <si>
    <t xml:space="preserve">ABC 10 kg terminado · Estampilla IRAM de conformidad</t>
  </si>
  <si>
    <t xml:space="preserve">BOM_COEF!R150 (por año)</t>
  </si>
  <si>
    <t xml:space="preserve">ABC 2,5 kg terminado · Tarjeta de identificación AGC</t>
  </si>
  <si>
    <t xml:space="preserve">BOM_COEF!R69 (por año)</t>
  </si>
  <si>
    <t xml:space="preserve">ABC 5 kg terminado · Tarjeta de identificación AGC</t>
  </si>
  <si>
    <t xml:space="preserve">BOM_COEF!R110 (por año)</t>
  </si>
  <si>
    <t xml:space="preserve">ABC 10 kg terminado · Tarjeta de identificación AGC</t>
  </si>
  <si>
    <t xml:space="preserve">BOM_COEF!R151 (por año)</t>
  </si>
  <si>
    <t xml:space="preserve">ABC 1 kg terminado · Etiqueta de n° de serie GS1</t>
  </si>
  <si>
    <t xml:space="preserve">BOM_COEF!R30 (por año)</t>
  </si>
  <si>
    <t xml:space="preserve">ABC 2,5 kg terminado · Etiqueta de n° de serie GS1</t>
  </si>
  <si>
    <t xml:space="preserve">BOM_COEF!R70 (por año)</t>
  </si>
  <si>
    <t xml:space="preserve">ABC 5 kg terminado · Etiqueta de n° de serie GS1</t>
  </si>
  <si>
    <t xml:space="preserve">BOM_COEF!R111 (por año)</t>
  </si>
  <si>
    <t xml:space="preserve">ABC 10 kg terminado · Etiqueta de n° de serie GS1</t>
  </si>
  <si>
    <t xml:space="preserve">BOM_COEF!R152 (por año)</t>
  </si>
  <si>
    <t xml:space="preserve">ABC 1 kg terminado · Faja de garantía válvula-cuello</t>
  </si>
  <si>
    <t xml:space="preserve">BOM_COEF!R31 (por año)</t>
  </si>
  <si>
    <t xml:space="preserve">ABC 2,5 kg terminado · Faja de garantía válvula-cuello</t>
  </si>
  <si>
    <t xml:space="preserve">BOM_COEF!R71 (por año)</t>
  </si>
  <si>
    <t xml:space="preserve">ABC 5 kg terminado · Faja de garantía válvula-cuello</t>
  </si>
  <si>
    <t xml:space="preserve">BOM_COEF!R112 (por año)</t>
  </si>
  <si>
    <t xml:space="preserve">ABC 10 kg terminado · Faja de garantía válvula-cuello</t>
  </si>
  <si>
    <t xml:space="preserve">BOM_COEF!R153 (por año)</t>
  </si>
  <si>
    <t xml:space="preserve">ABC 1 kg terminado · Precinto de fábrica</t>
  </si>
  <si>
    <t xml:space="preserve">BOM_COEF!R32 (por año)</t>
  </si>
  <si>
    <t xml:space="preserve">ABC 2,5 kg terminado · Precinto de fábrica</t>
  </si>
  <si>
    <t xml:space="preserve">BOM_COEF!R72 (por año)</t>
  </si>
  <si>
    <t xml:space="preserve">ABC 5 kg terminado · Precinto de fábrica</t>
  </si>
  <si>
    <t xml:space="preserve">BOM_COEF!R113 (por año)</t>
  </si>
  <si>
    <t xml:space="preserve">ABC 10 kg terminado · Precinto de fábrica</t>
  </si>
  <si>
    <t xml:space="preserve">BOM_COEF!R154 (por año)</t>
  </si>
  <si>
    <t xml:space="preserve">ABC 1 kg cilindro · Etiqueta de identificación del cilindro suelto</t>
  </si>
  <si>
    <t xml:space="preserve">BOM_COEF!R39 (por año)</t>
  </si>
  <si>
    <t xml:space="preserve">ABC 2,5 kg cilindro · Etiqueta de identificación del cilindro suelto</t>
  </si>
  <si>
    <t xml:space="preserve">BOM_COEF!R80 (por año)</t>
  </si>
  <si>
    <t xml:space="preserve">ABC 5 kg cilindro · Etiqueta de identificación del cilindro suelto</t>
  </si>
  <si>
    <t xml:space="preserve">BOM_COEF!R121 (por año)</t>
  </si>
  <si>
    <t xml:space="preserve">ABC 10 kg cilindro · Etiqueta de identificación del cilindro suelto</t>
  </si>
  <si>
    <t xml:space="preserve">BOM_COEF!R162 (por año)</t>
  </si>
  <si>
    <t xml:space="preserve">ABC 1 kg cilindro · Embalaje (cilindro vacío)</t>
  </si>
  <si>
    <t xml:space="preserve">PROCESO!I16</t>
  </si>
  <si>
    <t xml:space="preserve">ABC 2,5 kg cilindro · Embalaje (cilindro vacío)</t>
  </si>
  <si>
    <t xml:space="preserve">PROCESO!I29</t>
  </si>
  <si>
    <t xml:space="preserve">ABC 5 kg cilindro · Embalaje (cilindro vacío)</t>
  </si>
  <si>
    <t xml:space="preserve">PROCESO!I42</t>
  </si>
  <si>
    <t xml:space="preserve">ABC 10 kg cilindro · Embalaje (cilindro vacío)</t>
  </si>
  <si>
    <t xml:space="preserve">PROCESO!I55</t>
  </si>
  <si>
    <t xml:space="preserve">ABC 1 kg terminado · Embalaje y palletizado</t>
  </si>
  <si>
    <t xml:space="preserve">PROCESO!I11</t>
  </si>
  <si>
    <t xml:space="preserve">ABC 1 kg cilindro · Embalaje y palletizado</t>
  </si>
  <si>
    <t xml:space="preserve">ABC 2,5 kg terminado · Embalaje y palletizado</t>
  </si>
  <si>
    <t xml:space="preserve">PROCESO!I24</t>
  </si>
  <si>
    <t xml:space="preserve">ABC 2,5 kg cilindro · Embalaje y palletizado</t>
  </si>
  <si>
    <t xml:space="preserve">ABC 5 kg terminado · Embalaje y palletizado</t>
  </si>
  <si>
    <t xml:space="preserve">PROCESO!I37</t>
  </si>
  <si>
    <t xml:space="preserve">ABC 5 kg cilindro · Embalaje y palletizado</t>
  </si>
  <si>
    <t xml:space="preserve">ABC 10 kg terminado · Embalaje y palletizado</t>
  </si>
  <si>
    <t xml:space="preserve">PROCESO!I50</t>
  </si>
  <si>
    <t xml:space="preserve">ABC 10 kg cilindro · Embalaje y palletizado</t>
  </si>
  <si>
    <t xml:space="preserve">PROCESO!I12</t>
  </si>
  <si>
    <t xml:space="preserve">PROCESO!I25</t>
  </si>
  <si>
    <t xml:space="preserve">PROCESO!I38</t>
  </si>
  <si>
    <t xml:space="preserve">PROCESO!I51</t>
  </si>
  <si>
    <t xml:space="preserve">PROCESO!I13</t>
  </si>
  <si>
    <t xml:space="preserve">PROCESO!I26</t>
  </si>
  <si>
    <t xml:space="preserve">PROCESO!I39</t>
  </si>
  <si>
    <t xml:space="preserve">PROCESO!I52</t>
  </si>
  <si>
    <t xml:space="preserve">PROCESO!I14</t>
  </si>
  <si>
    <t xml:space="preserve">PROCESO!I27</t>
  </si>
  <si>
    <t xml:space="preserve">PROCESO!I40</t>
  </si>
  <si>
    <t xml:space="preserve">PROCESO!I53</t>
  </si>
  <si>
    <t xml:space="preserve">PROCESO!I15</t>
  </si>
  <si>
    <t xml:space="preserve">PROCESO!I28</t>
  </si>
  <si>
    <t xml:space="preserve">PROCESO!I41</t>
  </si>
  <si>
    <t xml:space="preserve">PROCESO!I54</t>
  </si>
  <si>
    <t xml:space="preserve">ABC 1 kg cilindro · Tapón protector de rosca del cuello</t>
  </si>
  <si>
    <t xml:space="preserve">BOM_COEF!R38 (por año)</t>
  </si>
  <si>
    <t xml:space="preserve">ABC 2,5 kg cilindro · Tapón protector de rosca del cuello</t>
  </si>
  <si>
    <t xml:space="preserve">BOM_COEF!R79 (por año)</t>
  </si>
  <si>
    <t xml:space="preserve">ABC 5 kg cilindro · Tapón protector de rosca del cuello</t>
  </si>
  <si>
    <t xml:space="preserve">BOM_COEF!R120 (por año)</t>
  </si>
  <si>
    <t xml:space="preserve">ABC 10 kg cilindro · Tapón protector de rosca del cuello</t>
  </si>
  <si>
    <t xml:space="preserve">BOM_COEF!R161 (por año)</t>
  </si>
  <si>
    <t xml:space="preserve">INSUMOS INDIRECTOS MANUALES: requerimiento bruto por año</t>
  </si>
  <si>
    <t xml:space="preserve">ABC 1 kg terminado · Soldadura longitudinal, de cuello y circunferencial (MAG 135)</t>
  </si>
  <si>
    <t xml:space="preserve">PROCESO!I4</t>
  </si>
  <si>
    <t xml:space="preserve">ABC 1 kg cilindro · Soldadura longitudinal, de cuello y circunferencial (MAG 135)</t>
  </si>
  <si>
    <t xml:space="preserve">ABC 2,5 kg terminado · Soldadura longitudinal, de cuello y circunferencial (MAG 135)</t>
  </si>
  <si>
    <t xml:space="preserve">PROCESO!I17</t>
  </si>
  <si>
    <t xml:space="preserve">ABC 2,5 kg cilindro · Soldadura longitudinal, de cuello y circunferencial (MAG 135)</t>
  </si>
  <si>
    <t xml:space="preserve">ABC 5 kg terminado · Soldadura longitudinal, de cuello y circunferencial (MAG 135)</t>
  </si>
  <si>
    <t xml:space="preserve">PROCESO!I30</t>
  </si>
  <si>
    <t xml:space="preserve">ABC 5 kg cilindro · Soldadura longitudinal, de cuello y circunferencial (MAG 135)</t>
  </si>
  <si>
    <t xml:space="preserve">ABC 10 kg terminado · Soldadura longitudinal, de cuello y circunferencial (MAG 135)</t>
  </si>
  <si>
    <t xml:space="preserve">PROCESO!I43</t>
  </si>
  <si>
    <t xml:space="preserve">ABC 10 kg cilindro · Soldadura longitudinal, de cuello y circunferencial (MAG 135)</t>
  </si>
  <si>
    <t xml:space="preserve">PROCESO!I6</t>
  </si>
  <si>
    <t xml:space="preserve">PROCESO!I19</t>
  </si>
  <si>
    <t xml:space="preserve">PROCESO!I32</t>
  </si>
  <si>
    <t xml:space="preserve">PROCESO!I45</t>
  </si>
  <si>
    <t xml:space="preserve">ABC 1 kg terminado · Inspección y corrección de defectos (amoladora con disco flap)</t>
  </si>
  <si>
    <t xml:space="preserve">PROCESO!I7</t>
  </si>
  <si>
    <t xml:space="preserve">ABC 1 kg cilindro · Inspección y corrección de defectos (amoladora con disco flap)</t>
  </si>
  <si>
    <t xml:space="preserve">ABC 2,5 kg terminado · Inspección y corrección de defectos (amoladora con disco flap)</t>
  </si>
  <si>
    <t xml:space="preserve">PROCESO!I20</t>
  </si>
  <si>
    <t xml:space="preserve">ABC 2,5 kg cilindro · Inspección y corrección de defectos (amoladora con disco flap)</t>
  </si>
  <si>
    <t xml:space="preserve">ABC 5 kg terminado · Inspección y corrección de defectos (amoladora con disco flap)</t>
  </si>
  <si>
    <t xml:space="preserve">PROCESO!I33</t>
  </si>
  <si>
    <t xml:space="preserve">ABC 5 kg cilindro · Inspección y corrección de defectos (amoladora con disco flap)</t>
  </si>
  <si>
    <t xml:space="preserve">ABC 10 kg terminado · Inspección y corrección de defectos (amoladora con disco flap)</t>
  </si>
  <si>
    <t xml:space="preserve">PROCESO!I46</t>
  </si>
  <si>
    <t xml:space="preserve">ABC 10 kg cilindro · Inspección y corrección de defectos (amoladora con disco flap)</t>
  </si>
  <si>
    <t xml:space="preserve">ABC 1 kg terminado · Granallado (AirBlast G-100)</t>
  </si>
  <si>
    <t xml:space="preserve">PROCESO!I8</t>
  </si>
  <si>
    <t xml:space="preserve">ABC 1 kg cilindro · Granallado (AirBlast G-100)</t>
  </si>
  <si>
    <t xml:space="preserve">ABC 2,5 kg terminado · Granallado (AirBlast G-100)</t>
  </si>
  <si>
    <t xml:space="preserve">PROCESO!I21</t>
  </si>
  <si>
    <t xml:space="preserve">ABC 2,5 kg cilindro · Granallado (AirBlast G-100)</t>
  </si>
  <si>
    <t xml:space="preserve">ABC 5 kg terminado · Granallado (AirBlast G-100)</t>
  </si>
  <si>
    <t xml:space="preserve">PROCESO!I34</t>
  </si>
  <si>
    <t xml:space="preserve">ABC 5 kg cilindro · Granallado (AirBlast G-100)</t>
  </si>
  <si>
    <t xml:space="preserve">ABC 10 kg terminado · Granallado (AirBlast G-100)</t>
  </si>
  <si>
    <t xml:space="preserve">PROCESO!I47</t>
  </si>
  <si>
    <t xml:space="preserve">ABC 10 kg cilindro · Granallado (AirBlast G-100)</t>
  </si>
  <si>
    <t xml:space="preserve">ABC 1 kg terminado · Granallado y pintura (enmascarado de la rosca)</t>
  </si>
  <si>
    <t xml:space="preserve">PROCESO!I9</t>
  </si>
  <si>
    <t xml:space="preserve">ABC 1 kg cilindro · Granallado y pintura (enmascarado de la rosca)</t>
  </si>
  <si>
    <t xml:space="preserve">ABC 2,5 kg terminado · Granallado y pintura (enmascarado de la rosca)</t>
  </si>
  <si>
    <t xml:space="preserve">PROCESO!I22</t>
  </si>
  <si>
    <t xml:space="preserve">ABC 2,5 kg cilindro · Granallado y pintura (enmascarado de la rosca)</t>
  </si>
  <si>
    <t xml:space="preserve">ABC 5 kg terminado · Granallado y pintura (enmascarado de la rosca)</t>
  </si>
  <si>
    <t xml:space="preserve">PROCESO!I35</t>
  </si>
  <si>
    <t xml:space="preserve">ABC 5 kg cilindro · Granallado y pintura (enmascarado de la rosca)</t>
  </si>
  <si>
    <t xml:space="preserve">ABC 10 kg terminado · Granallado y pintura (enmascarado de la rosca)</t>
  </si>
  <si>
    <t xml:space="preserve">PROCESO!I48</t>
  </si>
  <si>
    <t xml:space="preserve">ABC 10 kg cilindro · Granallado y pintura (enmascarado de la rosca)</t>
  </si>
  <si>
    <t xml:space="preserve">INSUMOS DIRECTOS RODANTES: requerimiento bruto por año</t>
  </si>
  <si>
    <t xml:space="preserve">ABC 25 kg terminado · Cuerpo</t>
  </si>
  <si>
    <t xml:space="preserve">BOM_COEF!R163 (por año)</t>
  </si>
  <si>
    <t xml:space="preserve">ABC 25 kg cilindro · Cuerpo</t>
  </si>
  <si>
    <t xml:space="preserve">BOM_COEF!R207 (por año)</t>
  </si>
  <si>
    <t xml:space="preserve">ABC 50 kg terminado · Cuerpo</t>
  </si>
  <si>
    <t xml:space="preserve">BOM_COEF!R213 (por año)</t>
  </si>
  <si>
    <t xml:space="preserve">ABC 50 kg cilindro · Cuerpo</t>
  </si>
  <si>
    <t xml:space="preserve">BOM_COEF!R256 (por año)</t>
  </si>
  <si>
    <t xml:space="preserve">Hojas mixtas: 3 cuerpos de 70 kg + 1 de 100 kg (79,2 %)</t>
  </si>
  <si>
    <t xml:space="preserve">FL_MAT + FL_REC 70 y 100 kg</t>
  </si>
  <si>
    <t xml:space="preserve">Proceso de carros, puesto 2 (planes de corte)</t>
  </si>
  <si>
    <t xml:space="preserve">Hojas de 70 kg solas: 4 cuerpos (73,3 %)</t>
  </si>
  <si>
    <t xml:space="preserve">Hojas de 100 kg solas: 3 cuerpos (72,7 %)</t>
  </si>
  <si>
    <t xml:space="preserve">ABC 25 kg terminado · Cúpula</t>
  </si>
  <si>
    <t xml:space="preserve">BOM_COEF!R164 (por año)</t>
  </si>
  <si>
    <t xml:space="preserve">ABC 25 kg terminado · Fondo</t>
  </si>
  <si>
    <t xml:space="preserve">BOM_COEF!R165 (por año)</t>
  </si>
  <si>
    <t xml:space="preserve">ABC 25 kg cilindro · Cúpula</t>
  </si>
  <si>
    <t xml:space="preserve">BOM_COEF!R208 (por año)</t>
  </si>
  <si>
    <t xml:space="preserve">ABC 25 kg cilindro · Fondo</t>
  </si>
  <si>
    <t xml:space="preserve">BOM_COEF!R209 (por año)</t>
  </si>
  <si>
    <t xml:space="preserve">ABC 50 kg terminado · Cúpula</t>
  </si>
  <si>
    <t xml:space="preserve">BOM_COEF!R214 (por año)</t>
  </si>
  <si>
    <t xml:space="preserve">ABC 50 kg terminado · Fondo</t>
  </si>
  <si>
    <t xml:space="preserve">BOM_COEF!R215 (por año)</t>
  </si>
  <si>
    <t xml:space="preserve">ABC 50 kg cilindro · Cúpula</t>
  </si>
  <si>
    <t xml:space="preserve">BOM_COEF!R257 (por año)</t>
  </si>
  <si>
    <t xml:space="preserve">ABC 50 kg cilindro · Fondo</t>
  </si>
  <si>
    <t xml:space="preserve">BOM_COEF!R258 (por año)</t>
  </si>
  <si>
    <t xml:space="preserve">ABC 70 kg terminado · Cúpula</t>
  </si>
  <si>
    <t xml:space="preserve">BOM_COEF!R263 (por año)</t>
  </si>
  <si>
    <t xml:space="preserve">ABC 70 kg terminado · Fondo</t>
  </si>
  <si>
    <t xml:space="preserve">BOM_COEF!R264 (por año)</t>
  </si>
  <si>
    <t xml:space="preserve">ABC 70 kg cilindro · Cúpula</t>
  </si>
  <si>
    <t xml:space="preserve">BOM_COEF!R307 (por año)</t>
  </si>
  <si>
    <t xml:space="preserve">ABC 70 kg cilindro · Fondo</t>
  </si>
  <si>
    <t xml:space="preserve">BOM_COEF!R308 (por año)</t>
  </si>
  <si>
    <t xml:space="preserve">ABC 100 kg terminado · Cúpula</t>
  </si>
  <si>
    <t xml:space="preserve">BOM_COEF!R314 (por año)</t>
  </si>
  <si>
    <t xml:space="preserve">ABC 100 kg terminado · Fondo</t>
  </si>
  <si>
    <t xml:space="preserve">BOM_COEF!R315 (por año)</t>
  </si>
  <si>
    <t xml:space="preserve">ABC 100 kg cilindro · Cúpula</t>
  </si>
  <si>
    <t xml:space="preserve">BOM_COEF!R358 (por año)</t>
  </si>
  <si>
    <t xml:space="preserve">ABC 100 kg cilindro · Fondo</t>
  </si>
  <si>
    <t xml:space="preserve">BOM_COEF!R359 (por año)</t>
  </si>
  <si>
    <t xml:space="preserve">ABC 25 kg terminado · Cuello roscado</t>
  </si>
  <si>
    <t xml:space="preserve">BOM_COEF!R166 (por año)</t>
  </si>
  <si>
    <t xml:space="preserve">ABC 25 kg cilindro · Cuello roscado</t>
  </si>
  <si>
    <t xml:space="preserve">BOM_COEF!R210 (por año)</t>
  </si>
  <si>
    <t xml:space="preserve">ABC 50 kg terminado · Cuello roscado</t>
  </si>
  <si>
    <t xml:space="preserve">BOM_COEF!R216 (por año)</t>
  </si>
  <si>
    <t xml:space="preserve">ABC 50 kg cilindro · Cuello roscado</t>
  </si>
  <si>
    <t xml:space="preserve">BOM_COEF!R259 (por año)</t>
  </si>
  <si>
    <t xml:space="preserve">ABC 70 kg terminado · Cuello roscado</t>
  </si>
  <si>
    <t xml:space="preserve">BOM_COEF!R265 (por año)</t>
  </si>
  <si>
    <t xml:space="preserve">ABC 70 kg cilindro · Cuello roscado</t>
  </si>
  <si>
    <t xml:space="preserve">BOM_COEF!R309 (por año)</t>
  </si>
  <si>
    <t xml:space="preserve">ABC 100 kg terminado · Cuello roscado</t>
  </si>
  <si>
    <t xml:space="preserve">BOM_COEF!R316 (por año)</t>
  </si>
  <si>
    <t xml:space="preserve">ABC 100 kg cilindro · Cuello roscado</t>
  </si>
  <si>
    <t xml:space="preserve">BOM_COEF!R360 (por año)</t>
  </si>
  <si>
    <t xml:space="preserve">ABC 25 kg terminado · Caño del eje</t>
  </si>
  <si>
    <t xml:space="preserve">BOM_COEF!R190 (por año)</t>
  </si>
  <si>
    <t xml:space="preserve">ABC 25 kg terminado · Manija del carro</t>
  </si>
  <si>
    <t xml:space="preserve">BOM_COEF!R196 (por año)</t>
  </si>
  <si>
    <t xml:space="preserve">ABC 50 kg terminado · Manija del carro</t>
  </si>
  <si>
    <t xml:space="preserve">BOM_COEF!R245 (por año)</t>
  </si>
  <si>
    <t xml:space="preserve">ABC 70 kg terminado · Manija del carro</t>
  </si>
  <si>
    <t xml:space="preserve">BOM_COEF!R295 (por año)</t>
  </si>
  <si>
    <t xml:space="preserve">ABC 100 kg terminado · Manija del carro</t>
  </si>
  <si>
    <t xml:space="preserve">BOM_COEF!R346 (por año)</t>
  </si>
  <si>
    <t xml:space="preserve">ABC 50 kg terminado · Caño del eje</t>
  </si>
  <si>
    <t xml:space="preserve">BOM_COEF!R239 (por año)</t>
  </si>
  <si>
    <t xml:space="preserve">ABC 70 kg terminado · Caño del eje</t>
  </si>
  <si>
    <t xml:space="preserve">BOM_COEF!R289 (por año)</t>
  </si>
  <si>
    <t xml:space="preserve">ABC 100 kg terminado · Caño del eje</t>
  </si>
  <si>
    <t xml:space="preserve">BOM_COEF!R340 (por año)</t>
  </si>
  <si>
    <t xml:space="preserve">ABC 25 kg terminado · Eje de ruedas</t>
  </si>
  <si>
    <t xml:space="preserve">BOM_COEF!R193 (por año)</t>
  </si>
  <si>
    <t xml:space="preserve">ABC 50 kg terminado · Eje de ruedas</t>
  </si>
  <si>
    <t xml:space="preserve">BOM_COEF!R242 (por año)</t>
  </si>
  <si>
    <t xml:space="preserve">ABC 70 kg terminado · Eje de ruedas</t>
  </si>
  <si>
    <t xml:space="preserve">BOM_COEF!R292 (por año)</t>
  </si>
  <si>
    <t xml:space="preserve">ABC 100 kg terminado · Eje de ruedas</t>
  </si>
  <si>
    <t xml:space="preserve">BOM_COEF!R343 (por año)</t>
  </si>
  <si>
    <t xml:space="preserve">ABC 25 kg terminado · Arandelas de tope (4)</t>
  </si>
  <si>
    <t xml:space="preserve">BOM_COEF!R194 (por año)</t>
  </si>
  <si>
    <t xml:space="preserve">ABC 50 kg terminado · Arandelas de tope (4)</t>
  </si>
  <si>
    <t xml:space="preserve">BOM_COEF!R243 (por año)</t>
  </si>
  <si>
    <t xml:space="preserve">ABC 70 kg terminado · Arandelas de tope (4)</t>
  </si>
  <si>
    <t xml:space="preserve">BOM_COEF!R293 (por año)</t>
  </si>
  <si>
    <t xml:space="preserve">ABC 100 kg terminado · Arandelas de tope (4)</t>
  </si>
  <si>
    <t xml:space="preserve">BOM_COEF!R344 (por año)</t>
  </si>
  <si>
    <t xml:space="preserve">ABC 25 kg terminado · Pasadores del eje (2)</t>
  </si>
  <si>
    <t xml:space="preserve">BOM_COEF!R195 (por año)</t>
  </si>
  <si>
    <t xml:space="preserve">ABC 50 kg terminado · Pasadores del eje (2)</t>
  </si>
  <si>
    <t xml:space="preserve">BOM_COEF!R244 (por año)</t>
  </si>
  <si>
    <t xml:space="preserve">ABC 70 kg terminado · Pasadores del eje (2)</t>
  </si>
  <si>
    <t xml:space="preserve">BOM_COEF!R294 (por año)</t>
  </si>
  <si>
    <t xml:space="preserve">ABC 100 kg terminado · Pasadores del eje (2)</t>
  </si>
  <si>
    <t xml:space="preserve">BOM_COEF!R345 (por año)</t>
  </si>
  <si>
    <t xml:space="preserve">ABC 25 kg terminado · Polvo ABC 90</t>
  </si>
  <si>
    <t xml:space="preserve">BOM_COEF!R198 (por año)</t>
  </si>
  <si>
    <t xml:space="preserve">ABC 50 kg terminado · Polvo ABC 90</t>
  </si>
  <si>
    <t xml:space="preserve">BOM_COEF!R247 (por año)</t>
  </si>
  <si>
    <t xml:space="preserve">ABC 70 kg terminado · Polvo ABC 90</t>
  </si>
  <si>
    <t xml:space="preserve">BOM_COEF!R297 (por año)</t>
  </si>
  <si>
    <t xml:space="preserve">ABC 100 kg terminado · Polvo ABC 90</t>
  </si>
  <si>
    <t xml:space="preserve">BOM_COEF!R348 (por año)</t>
  </si>
  <si>
    <t xml:space="preserve">ABC 25 kg terminado · Gas impulsor: N₂ (L normales)</t>
  </si>
  <si>
    <t xml:space="preserve">BOM_COEF!R199 (por año)</t>
  </si>
  <si>
    <t xml:space="preserve">ABC 50 kg terminado · Gas impulsor: N₂ (L normales)</t>
  </si>
  <si>
    <t xml:space="preserve">BOM_COEF!R248 (por año)</t>
  </si>
  <si>
    <t xml:space="preserve">ABC 70 kg terminado · Gas impulsor: N₂ (L normales)</t>
  </si>
  <si>
    <t xml:space="preserve">BOM_COEF!R298 (por año)</t>
  </si>
  <si>
    <t xml:space="preserve">ABC 100 kg terminado · Gas impulsor: N₂ (L normales)</t>
  </si>
  <si>
    <t xml:space="preserve">BOM_COEF!R349 (por año)</t>
  </si>
  <si>
    <t xml:space="preserve">ABC 25 kg terminado · Puesto 4, punteo del cuerpo</t>
  </si>
  <si>
    <t xml:space="preserve">PROCESO!I57</t>
  </si>
  <si>
    <t xml:space="preserve">ABC 25 kg terminado · Puesto 5, soldadura longitudinal</t>
  </si>
  <si>
    <t xml:space="preserve">PROCESO!I59</t>
  </si>
  <si>
    <t xml:space="preserve">ABC 25 kg terminado · Puesto 6, soldadura de cupla</t>
  </si>
  <si>
    <t xml:space="preserve">PROCESO!I61</t>
  </si>
  <si>
    <t xml:space="preserve">ABC 25 kg terminado · Puesto 7, soldadura circunferencial</t>
  </si>
  <si>
    <t xml:space="preserve">PROCESO!I63</t>
  </si>
  <si>
    <t xml:space="preserve">ABC 25 kg terminado · Puesto 8, soldadura de accesorios</t>
  </si>
  <si>
    <t xml:space="preserve">PROCESO!I65</t>
  </si>
  <si>
    <t xml:space="preserve">ABC 25 kg cilindro · Puesto 4, punteo del cuerpo</t>
  </si>
  <si>
    <t xml:space="preserve">ABC 25 kg cilindro · Puesto 5, soldadura longitudinal</t>
  </si>
  <si>
    <t xml:space="preserve">ABC 25 kg cilindro · Puesto 6, soldadura de cupla</t>
  </si>
  <si>
    <t xml:space="preserve">ABC 25 kg cilindro · Puesto 7, soldadura circunferencial</t>
  </si>
  <si>
    <t xml:space="preserve">ABC 50 kg terminado · Puesto 4, punteo del cuerpo</t>
  </si>
  <si>
    <t xml:space="preserve">PROCESO!I80</t>
  </si>
  <si>
    <t xml:space="preserve">ABC 50 kg terminado · Puesto 5, soldadura longitudinal</t>
  </si>
  <si>
    <t xml:space="preserve">PROCESO!I82</t>
  </si>
  <si>
    <t xml:space="preserve">ABC 50 kg terminado · Puesto 6, soldadura de cupla</t>
  </si>
  <si>
    <t xml:space="preserve">PROCESO!I84</t>
  </si>
  <si>
    <t xml:space="preserve">ABC 50 kg terminado · Puesto 7, soldadura circunferencial</t>
  </si>
  <si>
    <t xml:space="preserve">PROCESO!I86</t>
  </si>
  <si>
    <t xml:space="preserve">ABC 50 kg terminado · Puesto 8, soldadura de accesorios</t>
  </si>
  <si>
    <t xml:space="preserve">PROCESO!I88</t>
  </si>
  <si>
    <t xml:space="preserve">ABC 50 kg cilindro · Puesto 4, punteo del cuerpo</t>
  </si>
  <si>
    <t xml:space="preserve">ABC 50 kg cilindro · Puesto 5, soldadura longitudinal</t>
  </si>
  <si>
    <t xml:space="preserve">ABC 50 kg cilindro · Puesto 6, soldadura de cupla</t>
  </si>
  <si>
    <t xml:space="preserve">ABC 50 kg cilindro · Puesto 7, soldadura circunferencial</t>
  </si>
  <si>
    <t xml:space="preserve">ABC 70 kg terminado · Puesto 4, punteo del cuerpo</t>
  </si>
  <si>
    <t xml:space="preserve">PROCESO!I103</t>
  </si>
  <si>
    <t xml:space="preserve">ABC 70 kg terminado · Puesto 5, soldadura longitudinal</t>
  </si>
  <si>
    <t xml:space="preserve">PROCESO!I105</t>
  </si>
  <si>
    <t xml:space="preserve">ABC 70 kg terminado · Puesto 6, soldadura de cupla</t>
  </si>
  <si>
    <t xml:space="preserve">PROCESO!I107</t>
  </si>
  <si>
    <t xml:space="preserve">ABC 70 kg terminado · Puesto 7, soldadura circunferencial</t>
  </si>
  <si>
    <t xml:space="preserve">PROCESO!I109</t>
  </si>
  <si>
    <t xml:space="preserve">ABC 70 kg terminado · Puesto 8, soldadura de accesorios</t>
  </si>
  <si>
    <t xml:space="preserve">PROCESO!I111</t>
  </si>
  <si>
    <t xml:space="preserve">ABC 70 kg cilindro · Puesto 4, punteo del cuerpo</t>
  </si>
  <si>
    <t xml:space="preserve">ABC 70 kg cilindro · Puesto 5, soldadura longitudinal</t>
  </si>
  <si>
    <t xml:space="preserve">ABC 70 kg cilindro · Puesto 6, soldadura de cupla</t>
  </si>
  <si>
    <t xml:space="preserve">ABC 70 kg cilindro · Puesto 7, soldadura circunferencial</t>
  </si>
  <si>
    <t xml:space="preserve">ABC 100 kg terminado · Puesto 4, punteo del cuerpo</t>
  </si>
  <si>
    <t xml:space="preserve">PROCESO!I128</t>
  </si>
  <si>
    <t xml:space="preserve">ABC 100 kg terminado · Puesto 5, soldadura longitudinal</t>
  </si>
  <si>
    <t xml:space="preserve">PROCESO!I130</t>
  </si>
  <si>
    <t xml:space="preserve">ABC 100 kg terminado · Puesto 6, soldadura de cupla</t>
  </si>
  <si>
    <t xml:space="preserve">PROCESO!I132</t>
  </si>
  <si>
    <t xml:space="preserve">ABC 100 kg terminado · Puesto 7, soldadura circunferencial</t>
  </si>
  <si>
    <t xml:space="preserve">PROCESO!I134</t>
  </si>
  <si>
    <t xml:space="preserve">ABC 100 kg terminado · Puesto 8, soldadura de accesorios</t>
  </si>
  <si>
    <t xml:space="preserve">PROCESO!I136</t>
  </si>
  <si>
    <t xml:space="preserve">ABC 100 kg cilindro · Puesto 4, punteo del cuerpo</t>
  </si>
  <si>
    <t xml:space="preserve">ABC 100 kg cilindro · Puesto 5, soldadura longitudinal</t>
  </si>
  <si>
    <t xml:space="preserve">ABC 100 kg cilindro · Puesto 6, soldadura de cupla</t>
  </si>
  <si>
    <t xml:space="preserve">ABC 100 kg cilindro · Puesto 7, soldadura circunferencial</t>
  </si>
  <si>
    <t xml:space="preserve">ABC 25 kg terminado · Válvula HZ armada de carro 25 kg</t>
  </si>
  <si>
    <t xml:space="preserve">BOM_COEF!R169 (por año)</t>
  </si>
  <si>
    <t xml:space="preserve">ABC 50 kg terminado · Válvula HZ armada de carro 50-70-100 kg</t>
  </si>
  <si>
    <t xml:space="preserve">BOM_COEF!R219 (por año)</t>
  </si>
  <si>
    <t xml:space="preserve">ABC 70 kg terminado · Válvula HZ armada de carro 50-70-100 kg</t>
  </si>
  <si>
    <t xml:space="preserve">BOM_COEF!R269 (por año)</t>
  </si>
  <si>
    <t xml:space="preserve">ABC 100 kg terminado · Válvula HZ armada de carro 50-70-100 kg</t>
  </si>
  <si>
    <t xml:space="preserve">BOM_COEF!R320 (por año)</t>
  </si>
  <si>
    <t xml:space="preserve">ABC 25 kg terminado · Manómetro</t>
  </si>
  <si>
    <t xml:space="preserve">BOM_COEF!R167 (por año)</t>
  </si>
  <si>
    <t xml:space="preserve">ABC 50 kg terminado · Manómetro</t>
  </si>
  <si>
    <t xml:space="preserve">BOM_COEF!R217 (por año)</t>
  </si>
  <si>
    <t xml:space="preserve">ABC 70 kg terminado · Manómetro</t>
  </si>
  <si>
    <t xml:space="preserve">BOM_COEF!R267 (por año)</t>
  </si>
  <si>
    <t xml:space="preserve">ABC 100 kg terminado · Manómetro</t>
  </si>
  <si>
    <t xml:space="preserve">BOM_COEF!R318 (por año)</t>
  </si>
  <si>
    <t xml:space="preserve">ABC 25 kg terminado · Dispositivo de descarga</t>
  </si>
  <si>
    <t xml:space="preserve">BOM_COEF!R182 (por año)</t>
  </si>
  <si>
    <t xml:space="preserve">ABC 50 kg terminado · Dispositivo de descarga</t>
  </si>
  <si>
    <t xml:space="preserve">BOM_COEF!R231 (por año)</t>
  </si>
  <si>
    <t xml:space="preserve">ABC 70 kg terminado · Dispositivo de descarga</t>
  </si>
  <si>
    <t xml:space="preserve">BOM_COEF!R281 (por año)</t>
  </si>
  <si>
    <t xml:space="preserve">ABC 100 kg terminado · Dispositivo de descarga</t>
  </si>
  <si>
    <t xml:space="preserve">BOM_COEF!R332 (por año)</t>
  </si>
  <si>
    <t xml:space="preserve">ABC 25 kg terminado · Junta tórica de asiento</t>
  </si>
  <si>
    <t xml:space="preserve">BOM_COEF!R168 (por año)</t>
  </si>
  <si>
    <t xml:space="preserve">ABC 50 kg terminado · Junta tórica de asiento</t>
  </si>
  <si>
    <t xml:space="preserve">BOM_COEF!R218 (por año)</t>
  </si>
  <si>
    <t xml:space="preserve">ABC 70 kg terminado · Junta tórica de asiento</t>
  </si>
  <si>
    <t xml:space="preserve">BOM_COEF!R268 (por año)</t>
  </si>
  <si>
    <t xml:space="preserve">ABC 100 kg terminado · Junta tórica de asiento</t>
  </si>
  <si>
    <t xml:space="preserve">BOM_COEF!R319 (por año)</t>
  </si>
  <si>
    <t xml:space="preserve">ABC 25 kg terminado · Neumático macizo</t>
  </si>
  <si>
    <t xml:space="preserve">BOM_COEF!R191 (por año)</t>
  </si>
  <si>
    <t xml:space="preserve">ABC 50 kg terminado · Neumático macizo</t>
  </si>
  <si>
    <t xml:space="preserve">BOM_COEF!R240 (por año)</t>
  </si>
  <si>
    <t xml:space="preserve">ABC 70 kg terminado · Neumático macizo</t>
  </si>
  <si>
    <t xml:space="preserve">BOM_COEF!R290 (por año)</t>
  </si>
  <si>
    <t xml:space="preserve">ABC 100 kg terminado · Neumático macizo</t>
  </si>
  <si>
    <t xml:space="preserve">BOM_COEF!R341 (por año)</t>
  </si>
  <si>
    <t xml:space="preserve">ABC 25 kg terminado · Etiqueta / placa de características</t>
  </si>
  <si>
    <t xml:space="preserve">BOM_COEF!R200 (por año)</t>
  </si>
  <si>
    <t xml:space="preserve">ABC 50 kg terminado · Etiqueta / placa de características</t>
  </si>
  <si>
    <t xml:space="preserve">BOM_COEF!R249 (por año)</t>
  </si>
  <si>
    <t xml:space="preserve">ABC 70 kg terminado · Etiqueta / placa de características</t>
  </si>
  <si>
    <t xml:space="preserve">BOM_COEF!R299 (por año)</t>
  </si>
  <si>
    <t xml:space="preserve">ABC 100 kg terminado · Etiqueta / placa de características</t>
  </si>
  <si>
    <t xml:space="preserve">BOM_COEF!R350 (por año)</t>
  </si>
  <si>
    <t xml:space="preserve">ABC 25 kg terminado · Oblea de fabricación</t>
  </si>
  <si>
    <t xml:space="preserve">BOM_COEF!R201 (por año)</t>
  </si>
  <si>
    <t xml:space="preserve">ABC 50 kg terminado · Oblea de fabricación</t>
  </si>
  <si>
    <t xml:space="preserve">BOM_COEF!R250 (por año)</t>
  </si>
  <si>
    <t xml:space="preserve">ABC 70 kg terminado · Oblea de fabricación</t>
  </si>
  <si>
    <t xml:space="preserve">BOM_COEF!R300 (por año)</t>
  </si>
  <si>
    <t xml:space="preserve">ABC 100 kg terminado · Oblea de fabricación</t>
  </si>
  <si>
    <t xml:space="preserve">BOM_COEF!R351 (por año)</t>
  </si>
  <si>
    <t xml:space="preserve">ABC 25 kg terminado · Estampilla IRAM de conformidad</t>
  </si>
  <si>
    <t xml:space="preserve">BOM_COEF!R202 (por año)</t>
  </si>
  <si>
    <t xml:space="preserve">ABC 50 kg terminado · Estampilla IRAM de conformidad</t>
  </si>
  <si>
    <t xml:space="preserve">BOM_COEF!R251 (por año)</t>
  </si>
  <si>
    <t xml:space="preserve">ABC 70 kg terminado · Estampilla IRAM de conformidad</t>
  </si>
  <si>
    <t xml:space="preserve">BOM_COEF!R301 (por año)</t>
  </si>
  <si>
    <t xml:space="preserve">ABC 100 kg terminado · Estampilla IRAM de conformidad</t>
  </si>
  <si>
    <t xml:space="preserve">BOM_COEF!R352 (por año)</t>
  </si>
  <si>
    <t xml:space="preserve">ABC 25 kg terminado · Tarjeta de identificación AGC</t>
  </si>
  <si>
    <t xml:space="preserve">BOM_COEF!R203 (por año)</t>
  </si>
  <si>
    <t xml:space="preserve">ABC 50 kg terminado · Tarjeta de identificación AGC</t>
  </si>
  <si>
    <t xml:space="preserve">BOM_COEF!R252 (por año)</t>
  </si>
  <si>
    <t xml:space="preserve">ABC 70 kg terminado · Tarjeta de identificación AGC</t>
  </si>
  <si>
    <t xml:space="preserve">BOM_COEF!R302 (por año)</t>
  </si>
  <si>
    <t xml:space="preserve">ABC 100 kg terminado · Tarjeta de identificación AGC</t>
  </si>
  <si>
    <t xml:space="preserve">BOM_COEF!R353 (por año)</t>
  </si>
  <si>
    <t xml:space="preserve">ABC 25 kg terminado · Etiqueta de n° de serie GS1</t>
  </si>
  <si>
    <t xml:space="preserve">BOM_COEF!R204 (por año)</t>
  </si>
  <si>
    <t xml:space="preserve">ABC 50 kg terminado · Etiqueta de n° de serie GS1</t>
  </si>
  <si>
    <t xml:space="preserve">BOM_COEF!R253 (por año)</t>
  </si>
  <si>
    <t xml:space="preserve">ABC 70 kg terminado · Etiqueta de n° de serie GS1</t>
  </si>
  <si>
    <t xml:space="preserve">BOM_COEF!R303 (por año)</t>
  </si>
  <si>
    <t xml:space="preserve">ABC 100 kg terminado · Etiqueta de n° de serie GS1</t>
  </si>
  <si>
    <t xml:space="preserve">BOM_COEF!R354 (por año)</t>
  </si>
  <si>
    <t xml:space="preserve">ABC 25 kg terminado · Faja de garantía válvula-cuello</t>
  </si>
  <si>
    <t xml:space="preserve">BOM_COEF!R205 (por año)</t>
  </si>
  <si>
    <t xml:space="preserve">ABC 50 kg terminado · Faja de garantía válvula-cuello</t>
  </si>
  <si>
    <t xml:space="preserve">BOM_COEF!R254 (por año)</t>
  </si>
  <si>
    <t xml:space="preserve">ABC 70 kg terminado · Faja de garantía válvula-cuello</t>
  </si>
  <si>
    <t xml:space="preserve">BOM_COEF!R304 (por año)</t>
  </si>
  <si>
    <t xml:space="preserve">ABC 100 kg terminado · Faja de garantía válvula-cuello</t>
  </si>
  <si>
    <t xml:space="preserve">BOM_COEF!R355 (por año)</t>
  </si>
  <si>
    <t xml:space="preserve">ABC 25 kg terminado · Precinto de fábrica</t>
  </si>
  <si>
    <t xml:space="preserve">BOM_COEF!R206 (por año)</t>
  </si>
  <si>
    <t xml:space="preserve">ABC 50 kg terminado · Precinto de fábrica</t>
  </si>
  <si>
    <t xml:space="preserve">BOM_COEF!R255 (por año)</t>
  </si>
  <si>
    <t xml:space="preserve">ABC 70 kg terminado · Precinto de fábrica</t>
  </si>
  <si>
    <t xml:space="preserve">BOM_COEF!R305 (por año)</t>
  </si>
  <si>
    <t xml:space="preserve">ABC 100 kg terminado · Precinto de fábrica</t>
  </si>
  <si>
    <t xml:space="preserve">BOM_COEF!R356 (por año)</t>
  </si>
  <si>
    <t xml:space="preserve">ABC 25 kg cilindro · Etiqueta de identificación del cilindro suelto</t>
  </si>
  <si>
    <t xml:space="preserve">BOM_COEF!R212 (por año)</t>
  </si>
  <si>
    <t xml:space="preserve">ABC 50 kg cilindro · Etiqueta de identificación del cilindro suelto</t>
  </si>
  <si>
    <t xml:space="preserve">BOM_COEF!R261 (por año)</t>
  </si>
  <si>
    <t xml:space="preserve">ABC 70 kg cilindro · Etiqueta de identificación del cilindro suelto</t>
  </si>
  <si>
    <t xml:space="preserve">BOM_COEF!R312 (por año)</t>
  </si>
  <si>
    <t xml:space="preserve">ABC 100 kg cilindro · Etiqueta de identificación del cilindro suelto</t>
  </si>
  <si>
    <t xml:space="preserve">BOM_COEF!R363 (por año)</t>
  </si>
  <si>
    <t xml:space="preserve">ABC 25 kg cilindro · Embalaje (cilindro vacío)</t>
  </si>
  <si>
    <t xml:space="preserve">PROCESO!I78</t>
  </si>
  <si>
    <t xml:space="preserve">ABC 50 kg cilindro · Embalaje (cilindro vacío)</t>
  </si>
  <si>
    <t xml:space="preserve">PROCESO!I101</t>
  </si>
  <si>
    <t xml:space="preserve">ABC 70 kg cilindro · Embalaje (cilindro vacío)</t>
  </si>
  <si>
    <t xml:space="preserve">PROCESO!I126</t>
  </si>
  <si>
    <t xml:space="preserve">ABC 100 kg cilindro · Embalaje (cilindro vacío)</t>
  </si>
  <si>
    <t xml:space="preserve">PROCESO!I151</t>
  </si>
  <si>
    <t xml:space="preserve">PROCESO!I74</t>
  </si>
  <si>
    <t xml:space="preserve">PROCESO!I97</t>
  </si>
  <si>
    <t xml:space="preserve">PROCESO!I122</t>
  </si>
  <si>
    <t xml:space="preserve">PROCESO!I147</t>
  </si>
  <si>
    <t xml:space="preserve">PROCESO!I75</t>
  </si>
  <si>
    <t xml:space="preserve">PROCESO!I98</t>
  </si>
  <si>
    <t xml:space="preserve">PROCESO!I123</t>
  </si>
  <si>
    <t xml:space="preserve">PROCESO!I148</t>
  </si>
  <si>
    <t xml:space="preserve">PROCESO!I77</t>
  </si>
  <si>
    <t xml:space="preserve">PROCESO!I100</t>
  </si>
  <si>
    <t xml:space="preserve">PROCESO!I125</t>
  </si>
  <si>
    <t xml:space="preserve">PROCESO!I150</t>
  </si>
  <si>
    <t xml:space="preserve">PROCESO!I76</t>
  </si>
  <si>
    <t xml:space="preserve">PROCESO!I99</t>
  </si>
  <si>
    <t xml:space="preserve">PROCESO!I124</t>
  </si>
  <si>
    <t xml:space="preserve">PROCESO!I149</t>
  </si>
  <si>
    <t xml:space="preserve">ABC 25 kg terminado · Embalaje (carro terminado)</t>
  </si>
  <si>
    <t xml:space="preserve">PROCESO!I73</t>
  </si>
  <si>
    <t xml:space="preserve">ABC 50 kg terminado · Embalaje (carro terminado)</t>
  </si>
  <si>
    <t xml:space="preserve">PROCESO!I96</t>
  </si>
  <si>
    <t xml:space="preserve">ABC 70 kg terminado · Embalaje (carro terminado)</t>
  </si>
  <si>
    <t xml:space="preserve">PROCESO!I121</t>
  </si>
  <si>
    <t xml:space="preserve">ABC 100 kg terminado · Embalaje (carro terminado)</t>
  </si>
  <si>
    <t xml:space="preserve">PROCESO!I146</t>
  </si>
  <si>
    <t xml:space="preserve">ABC 25 kg cilindro · Tapón protector de rosca del cuello</t>
  </si>
  <si>
    <t xml:space="preserve">BOM_COEF!R211 (por año)</t>
  </si>
  <si>
    <t xml:space="preserve">ABC 50 kg cilindro · Tapón protector de rosca del cuello</t>
  </si>
  <si>
    <t xml:space="preserve">BOM_COEF!R260 (por año)</t>
  </si>
  <si>
    <t xml:space="preserve">ABC 70 kg cilindro · Tapón protector de rosca del cuello</t>
  </si>
  <si>
    <t xml:space="preserve">BOM_COEF!R311 (por año)</t>
  </si>
  <si>
    <t xml:space="preserve">ABC 100 kg cilindro · Tapón protector de rosca del cuello</t>
  </si>
  <si>
    <t xml:space="preserve">BOM_COEF!R362 (por año)</t>
  </si>
  <si>
    <t xml:space="preserve">ABC 25 kg terminado · Puesto 12, pintura (tercerizada)</t>
  </si>
  <si>
    <t xml:space="preserve">PROCESO!I72</t>
  </si>
  <si>
    <t xml:space="preserve">ABC 25 kg cilindro · Puesto 12, pintura (tercerizada)</t>
  </si>
  <si>
    <t xml:space="preserve">ABC 50 kg terminado · Puesto 12, pintura (tercerizada)</t>
  </si>
  <si>
    <t xml:space="preserve">PROCESO!I95</t>
  </si>
  <si>
    <t xml:space="preserve">ABC 50 kg cilindro · Puesto 12, pintura (tercerizada)</t>
  </si>
  <si>
    <t xml:space="preserve">ABC 70 kg terminado · Puesto 12, pintura (tercerizada)</t>
  </si>
  <si>
    <t xml:space="preserve">PROCESO!I120</t>
  </si>
  <si>
    <t xml:space="preserve">ABC 70 kg cilindro · Puesto 12, pintura (tercerizada)</t>
  </si>
  <si>
    <t xml:space="preserve">ABC 100 kg terminado · Puesto 12, pintura (tercerizada)</t>
  </si>
  <si>
    <t xml:space="preserve">PROCESO!I145</t>
  </si>
  <si>
    <t xml:space="preserve">ABC 100 kg cilindro · Puesto 12, pintura (tercerizada)</t>
  </si>
  <si>
    <t xml:space="preserve">INSUMOS INDIRECTOS RODANTES: requerimiento bruto por año</t>
  </si>
  <si>
    <t xml:space="preserve">PROCESO!I56</t>
  </si>
  <si>
    <t xml:space="preserve">PROCESO!I58</t>
  </si>
  <si>
    <t xml:space="preserve">PROCESO!I60</t>
  </si>
  <si>
    <t xml:space="preserve">PROCESO!I62</t>
  </si>
  <si>
    <t xml:space="preserve">PROCESO!I64</t>
  </si>
  <si>
    <t xml:space="preserve">PROCESO!I79</t>
  </si>
  <si>
    <t xml:space="preserve">PROCESO!I81</t>
  </si>
  <si>
    <t xml:space="preserve">PROCESO!I83</t>
  </si>
  <si>
    <t xml:space="preserve">PROCESO!I85</t>
  </si>
  <si>
    <t xml:space="preserve">PROCESO!I87</t>
  </si>
  <si>
    <t xml:space="preserve">PROCESO!I102</t>
  </si>
  <si>
    <t xml:space="preserve">PROCESO!I104</t>
  </si>
  <si>
    <t xml:space="preserve">PROCESO!I106</t>
  </si>
  <si>
    <t xml:space="preserve">PROCESO!I108</t>
  </si>
  <si>
    <t xml:space="preserve">PROCESO!I110</t>
  </si>
  <si>
    <t xml:space="preserve">PROCESO!I127</t>
  </si>
  <si>
    <t xml:space="preserve">PROCESO!I129</t>
  </si>
  <si>
    <t xml:space="preserve">PROCESO!I131</t>
  </si>
  <si>
    <t xml:space="preserve">PROCESO!I133</t>
  </si>
  <si>
    <t xml:space="preserve">PROCESO!I135</t>
  </si>
  <si>
    <t xml:space="preserve">ABC 25 kg terminado · Soldadura (todos los puestos)</t>
  </si>
  <si>
    <t xml:space="preserve">PROCESO!I66</t>
  </si>
  <si>
    <t xml:space="preserve">ABC 25 kg cilindro · Soldadura (todos los puestos)</t>
  </si>
  <si>
    <t xml:space="preserve">ABC 50 kg terminado · Soldadura (todos los puestos)</t>
  </si>
  <si>
    <t xml:space="preserve">PROCESO!I89</t>
  </si>
  <si>
    <t xml:space="preserve">ABC 50 kg cilindro · Soldadura (todos los puestos)</t>
  </si>
  <si>
    <t xml:space="preserve">ABC 70 kg terminado · Soldadura (todos los puestos)</t>
  </si>
  <si>
    <t xml:space="preserve">PROCESO!I112</t>
  </si>
  <si>
    <t xml:space="preserve">ABC 70 kg cilindro · Soldadura (todos los puestos)</t>
  </si>
  <si>
    <t xml:space="preserve">ABC 100 kg terminado · Soldadura (todos los puestos)</t>
  </si>
  <si>
    <t xml:space="preserve">PROCESO!I137</t>
  </si>
  <si>
    <t xml:space="preserve">ABC 100 kg cilindro · Soldadura (todos los puestos)</t>
  </si>
  <si>
    <t xml:space="preserve">ABC 25 kg terminado · Puesto 8.1, fabricación de accesorios</t>
  </si>
  <si>
    <t xml:space="preserve">PROCESO!I69</t>
  </si>
  <si>
    <t xml:space="preserve">ABC 50 kg terminado · Puesto 8.1, fabricación de accesorios</t>
  </si>
  <si>
    <t xml:space="preserve">PROCESO!I92</t>
  </si>
  <si>
    <t xml:space="preserve">ABC 70 kg terminado · Puesto 4, placas de refuerzo</t>
  </si>
  <si>
    <t xml:space="preserve">PROCESO!I114</t>
  </si>
  <si>
    <t xml:space="preserve">ABC 70 kg terminado · Puesto 8.1, fabricación de accesorios</t>
  </si>
  <si>
    <t xml:space="preserve">PROCESO!I117</t>
  </si>
  <si>
    <t xml:space="preserve">ABC 70 kg cilindro · Puesto 4, placas de refuerzo</t>
  </si>
  <si>
    <t xml:space="preserve">ABC 100 kg terminado · Puesto 4, placas de refuerzo</t>
  </si>
  <si>
    <t xml:space="preserve">PROCESO!I139</t>
  </si>
  <si>
    <t xml:space="preserve">ABC 100 kg terminado · Puesto 8.1, fabricación de accesorios</t>
  </si>
  <si>
    <t xml:space="preserve">PROCESO!I142</t>
  </si>
  <si>
    <t xml:space="preserve">ABC 100 kg cilindro · Puesto 4, placas de refuerzo</t>
  </si>
  <si>
    <t xml:space="preserve">PROCESO!I70</t>
  </si>
  <si>
    <t xml:space="preserve">PROCESO!I93</t>
  </si>
  <si>
    <t xml:space="preserve">PROCESO!I115</t>
  </si>
  <si>
    <t xml:space="preserve">PROCESO!I118</t>
  </si>
  <si>
    <t xml:space="preserve">PROCESO!I140</t>
  </si>
  <si>
    <t xml:space="preserve">PROCESO!I143</t>
  </si>
  <si>
    <t xml:space="preserve">PROCESO!I68</t>
  </si>
  <si>
    <t xml:space="preserve">PROCESO!I91</t>
  </si>
  <si>
    <t xml:space="preserve">PROCESO!I116</t>
  </si>
  <si>
    <t xml:space="preserve">PROCESO!I141</t>
  </si>
  <si>
    <t xml:space="preserve">PROCESO!I71</t>
  </si>
  <si>
    <t xml:space="preserve">PROCESO!I94</t>
  </si>
  <si>
    <t xml:space="preserve">PROCESO!I119</t>
  </si>
  <si>
    <t xml:space="preserve">PROCESO!I144</t>
  </si>
  <si>
    <t xml:space="preserve">PROCESO!I67</t>
  </si>
  <si>
    <t xml:space="preserve">PROCESO!I90</t>
  </si>
  <si>
    <t xml:space="preserve">PROCESO!I113</t>
  </si>
  <si>
    <t xml:space="preserve">PROCESO!I138</t>
  </si>
  <si>
    <t xml:space="preserve">INSUMOS DIRECTOS RECARGAS: requerimiento bruto por año</t>
  </si>
  <si>
    <t xml:space="preserve">Sustituto ABC 5 kg · Cuerpo</t>
  </si>
  <si>
    <t xml:space="preserve">Sustituto ABC 10 kg · Cuerpo</t>
  </si>
  <si>
    <t xml:space="preserve">Sustituto ABC 5 kg · Cúpula</t>
  </si>
  <si>
    <t xml:space="preserve">Sustituto ABC 5 kg · Fondo</t>
  </si>
  <si>
    <t xml:space="preserve">Sustituto ABC 10 kg · Cúpula</t>
  </si>
  <si>
    <t xml:space="preserve">Sustituto ABC 10 kg · Fondo</t>
  </si>
  <si>
    <t xml:space="preserve">Sustituto ABC 50 kg · Cuerpo</t>
  </si>
  <si>
    <t xml:space="preserve">Sustituto ABC 100 kg · Cuerpo</t>
  </si>
  <si>
    <t xml:space="preserve">BOM_COEF!R313 (por año)</t>
  </si>
  <si>
    <t xml:space="preserve">Sustituto ABC 50 kg · Cúpula</t>
  </si>
  <si>
    <t xml:space="preserve">Sustituto ABC 50 kg · Fondo</t>
  </si>
  <si>
    <t xml:space="preserve">Sustituto ABC 100 kg · Cúpula</t>
  </si>
  <si>
    <t xml:space="preserve">Sustituto ABC 100 kg · Fondo</t>
  </si>
  <si>
    <t xml:space="preserve">Sustituto ABC 5 kg · Cuello roscado</t>
  </si>
  <si>
    <t xml:space="preserve">Sustituto ABC 10 kg · Cuello roscado</t>
  </si>
  <si>
    <t xml:space="preserve">Sustituto ABC 50 kg · Cuello roscado</t>
  </si>
  <si>
    <t xml:space="preserve">Sustituto ABC 100 kg · Cuello roscado</t>
  </si>
  <si>
    <t xml:space="preserve">Sustituto ABC 50 kg · Manija del carro</t>
  </si>
  <si>
    <t xml:space="preserve">Sustituto ABC 100 kg · Manija del carro</t>
  </si>
  <si>
    <t xml:space="preserve">Sustituto ABC 50 kg · Caño del eje</t>
  </si>
  <si>
    <t xml:space="preserve">Sustituto ABC 100 kg · Caño del eje</t>
  </si>
  <si>
    <t xml:space="preserve">Sustituto ABC 50 kg · Eje de ruedas</t>
  </si>
  <si>
    <t xml:space="preserve">Sustituto ABC 100 kg · Eje de ruedas</t>
  </si>
  <si>
    <t xml:space="preserve">Sustituto ABC 50 kg · Arandelas de tope (4)</t>
  </si>
  <si>
    <t xml:space="preserve">Sustituto ABC 100 kg · Arandelas de tope (4)</t>
  </si>
  <si>
    <t xml:space="preserve">Sustituto ABC 50 kg · Pasadores del eje (2)</t>
  </si>
  <si>
    <t xml:space="preserve">Sustituto ABC 100 kg · Pasadores del eje (2)</t>
  </si>
  <si>
    <t xml:space="preserve">ABC 1 kg recarga de clientes · Polvo ABC 60 (reposición) / Polvo ABC 60</t>
  </si>
  <si>
    <t xml:space="preserve">BOM_COEF!R383 (por año)</t>
  </si>
  <si>
    <t xml:space="preserve">ABC 2,5 kg recarga de clientes · Polvo ABC 60 (reposición) / Polvo ABC 60</t>
  </si>
  <si>
    <t xml:space="preserve">BOM_COEF!R397 (por año)</t>
  </si>
  <si>
    <t xml:space="preserve">ABC 5 kg recarga de clientes · Polvo ABC 60 (reposición) / Polvo ABC 60</t>
  </si>
  <si>
    <t xml:space="preserve">BOM_COEF!R412 (por año)</t>
  </si>
  <si>
    <t xml:space="preserve">ABC 5 kg recarga del pool de sustitutos · Polvo ABC 60 (reposición) / Polvo ABC 60</t>
  </si>
  <si>
    <t xml:space="preserve">ABC 10 kg recarga de clientes · Polvo ABC 60 (reposición) / Polvo ABC 60</t>
  </si>
  <si>
    <t xml:space="preserve">BOM_COEF!R427 (por año)</t>
  </si>
  <si>
    <t xml:space="preserve">ABC 10 kg recarga del pool de sustitutos · Polvo ABC 60 (reposición) / Polvo ABC 60</t>
  </si>
  <si>
    <t xml:space="preserve">Sustituto ABC 5 kg · Polvo ABC 60</t>
  </si>
  <si>
    <t xml:space="preserve">Sustituto ABC 10 kg · Polvo ABC 60</t>
  </si>
  <si>
    <t xml:space="preserve">ABC 25 kg recarga de clientes · Polvo ABC 90 (reposición) / Polvo ABC 90</t>
  </si>
  <si>
    <t xml:space="preserve">BOM_COEF!R442 (por año)</t>
  </si>
  <si>
    <t xml:space="preserve">ABC 50 kg recarga de clientes · Polvo ABC 90 (reposición) / Polvo ABC 90</t>
  </si>
  <si>
    <t xml:space="preserve">BOM_COEF!R457 (por año)</t>
  </si>
  <si>
    <t xml:space="preserve">ABC 50 kg recarga del pool de sustitutos · Polvo ABC 90 (reposición) / Polvo ABC 90</t>
  </si>
  <si>
    <t xml:space="preserve">ABC 70 kg recarga de clientes · Polvo ABC 90 (reposición) / Polvo ABC 90</t>
  </si>
  <si>
    <t xml:space="preserve">BOM_COEF!R472 (por año)</t>
  </si>
  <si>
    <t xml:space="preserve">ABC 100 kg recarga de clientes · Polvo ABC 90 (reposición) / Polvo ABC 90</t>
  </si>
  <si>
    <t xml:space="preserve">BOM_COEF!R487 (por año)</t>
  </si>
  <si>
    <t xml:space="preserve">ABC 100 kg recarga del pool de sustitutos · Polvo ABC 90 (reposición) / Polvo ABC 90</t>
  </si>
  <si>
    <t xml:space="preserve">Sustituto ABC 50 kg · Polvo ABC 90</t>
  </si>
  <si>
    <t xml:space="preserve">Sustituto ABC 100 kg · Polvo ABC 90</t>
  </si>
  <si>
    <t xml:space="preserve">ABC 1 kg recarga de clientes · Gas impulsor: N₂ (L normales)</t>
  </si>
  <si>
    <t xml:space="preserve">BOM_COEF!R384 (por año)</t>
  </si>
  <si>
    <t xml:space="preserve">ABC 2,5 kg recarga de clientes · Gas impulsor: N₂ (L normales)</t>
  </si>
  <si>
    <t xml:space="preserve">BOM_COEF!R398 (por año)</t>
  </si>
  <si>
    <t xml:space="preserve">ABC 5 kg recarga de clientes · Gas impulsor: N₂ (L normales)</t>
  </si>
  <si>
    <t xml:space="preserve">BOM_COEF!R413 (por año)</t>
  </si>
  <si>
    <t xml:space="preserve">ABC 5 kg recarga del pool de sustitutos · Gas impulsor: N₂ (L normales)</t>
  </si>
  <si>
    <t xml:space="preserve">ABC 10 kg recarga de clientes · Gas impulsor: N₂ (L normales)</t>
  </si>
  <si>
    <t xml:space="preserve">BOM_COEF!R428 (por año)</t>
  </si>
  <si>
    <t xml:space="preserve">ABC 10 kg recarga del pool de sustitutos · Gas impulsor: N₂ (L normales)</t>
  </si>
  <si>
    <t xml:space="preserve">ABC 25 kg recarga de clientes · Gas impulsor: N₂ (L normales)</t>
  </si>
  <si>
    <t xml:space="preserve">BOM_COEF!R443 (por año)</t>
  </si>
  <si>
    <t xml:space="preserve">ABC 50 kg recarga de clientes · Gas impulsor: N₂ (L normales)</t>
  </si>
  <si>
    <t xml:space="preserve">BOM_COEF!R458 (por año)</t>
  </si>
  <si>
    <t xml:space="preserve">ABC 50 kg recarga del pool de sustitutos · Gas impulsor: N₂ (L normales)</t>
  </si>
  <si>
    <t xml:space="preserve">ABC 70 kg recarga de clientes · Gas impulsor: N₂ (L normales)</t>
  </si>
  <si>
    <t xml:space="preserve">BOM_COEF!R473 (por año)</t>
  </si>
  <si>
    <t xml:space="preserve">ABC 100 kg recarga de clientes · Gas impulsor: N₂ (L normales)</t>
  </si>
  <si>
    <t xml:space="preserve">BOM_COEF!R488 (por año)</t>
  </si>
  <si>
    <t xml:space="preserve">ABC 100 kg recarga del pool de sustitutos · Gas impulsor: N₂ (L normales)</t>
  </si>
  <si>
    <t xml:space="preserve">BC 5 kg recarga de clientes · Gas impulsor: N₂ (L normales)</t>
  </si>
  <si>
    <t xml:space="preserve">BOM_COEF!R544 (por año)</t>
  </si>
  <si>
    <t xml:space="preserve">BC 5 kg recarga del pool de sustitutos · Gas impulsor: N₂ (L normales)</t>
  </si>
  <si>
    <t xml:space="preserve">Clase K 6 l recarga de clientes · Gas impulsor: N₂ (L normales)</t>
  </si>
  <si>
    <t xml:space="preserve">BOM_COEF!R556 (por año)</t>
  </si>
  <si>
    <t xml:space="preserve">Clase K 6 l recarga del pool de sustitutos · Gas impulsor: N₂ (L normales)</t>
  </si>
  <si>
    <t xml:space="preserve">Clase D 9 l recarga de clientes · Gas impulsor: N₂ (L normales)</t>
  </si>
  <si>
    <t xml:space="preserve">BOM_COEF!R601 (por año)</t>
  </si>
  <si>
    <t xml:space="preserve">Clase D 9 l recarga del pool de sustitutos · Gas impulsor: N₂ (L normales)</t>
  </si>
  <si>
    <t xml:space="preserve">Sustituto ABC 5 kg · Gas impulsor: N₂ (L normales)</t>
  </si>
  <si>
    <t xml:space="preserve">Sustituto ABC 10 kg · Gas impulsor: N₂ (L normales)</t>
  </si>
  <si>
    <t xml:space="preserve">Sustituto ABC 50 kg · Gas impulsor: N₂ (L normales)</t>
  </si>
  <si>
    <t xml:space="preserve">Sustituto ABC 100 kg · Gas impulsor: N₂ (L normales)</t>
  </si>
  <si>
    <t xml:space="preserve">HCFC/HFC 5 kg recarga de clientes · Gas impulsor: Argón (L normales)</t>
  </si>
  <si>
    <t xml:space="preserve">BOM_COEF!R589 (por año)</t>
  </si>
  <si>
    <t xml:space="preserve">HCFC/HFC 5 kg recarga del pool de sustitutos · Gas impulsor: Argón (L normales)</t>
  </si>
  <si>
    <t xml:space="preserve">Sustituto ABC 5 kg · Soldadura (MAG 135)</t>
  </si>
  <si>
    <t xml:space="preserve">Sustituto ABC 10 kg · Soldadura (MAG 135)</t>
  </si>
  <si>
    <t xml:space="preserve">Sustituto ABC 50 kg · Puesto 4, punteo del cuerpo</t>
  </si>
  <si>
    <t xml:space="preserve">Sustituto ABC 50 kg · Puesto 5, soldadura longitudinal</t>
  </si>
  <si>
    <t xml:space="preserve">Sustituto ABC 50 kg · Puesto 6, soldadura de cupla</t>
  </si>
  <si>
    <t xml:space="preserve">Sustituto ABC 50 kg · Puesto 7, soldadura circunferencial</t>
  </si>
  <si>
    <t xml:space="preserve">Sustituto ABC 50 kg · Puesto 8, soldadura de accesorios</t>
  </si>
  <si>
    <t xml:space="preserve">Sustituto ABC 100 kg · Puesto 4, punteo del cuerpo</t>
  </si>
  <si>
    <t xml:space="preserve">Sustituto ABC 100 kg · Puesto 5, soldadura longitudinal</t>
  </si>
  <si>
    <t xml:space="preserve">Sustituto ABC 100 kg · Puesto 6, soldadura de cupla</t>
  </si>
  <si>
    <t xml:space="preserve">Sustituto ABC 100 kg · Puesto 7, soldadura circunferencial</t>
  </si>
  <si>
    <t xml:space="preserve">Sustituto ABC 100 kg · Puesto 8, soldadura de accesorios</t>
  </si>
  <si>
    <t xml:space="preserve">Sustituto ABC 5 kg · Pintura en polvo y horno (Firesafer)</t>
  </si>
  <si>
    <t xml:space="preserve">Sustituto ABC 10 kg · Pintura en polvo y horno (Firesafer)</t>
  </si>
  <si>
    <t xml:space="preserve">ABC 1 kg recarga de clientes · Válvula de reemplazo</t>
  </si>
  <si>
    <t xml:space="preserve">BOM_COEF!R394 (por año)</t>
  </si>
  <si>
    <t xml:space="preserve">ABC 2,5 kg recarga de clientes · Válvula de reemplazo</t>
  </si>
  <si>
    <t xml:space="preserve">BOM_COEF!R408 (por año)</t>
  </si>
  <si>
    <t xml:space="preserve">ABC 5 kg recarga de clientes · Válvula de reemplazo</t>
  </si>
  <si>
    <t xml:space="preserve">BOM_COEF!R423 (por año)</t>
  </si>
  <si>
    <t xml:space="preserve">ABC 5 kg recarga del pool de sustitutos · Válvula de reemplazo</t>
  </si>
  <si>
    <t xml:space="preserve">ABC 10 kg recarga de clientes · Válvula de reemplazo</t>
  </si>
  <si>
    <t xml:space="preserve">BOM_COEF!R438 (por año)</t>
  </si>
  <si>
    <t xml:space="preserve">ABC 10 kg recarga del pool de sustitutos · Válvula de reemplazo</t>
  </si>
  <si>
    <t xml:space="preserve">Sustituto ABC 5 kg · Válvula HZ armada M-30</t>
  </si>
  <si>
    <t xml:space="preserve">Sustituto ABC 10 kg · Válvula HZ armada M-30</t>
  </si>
  <si>
    <t xml:space="preserve">ABC 25 kg recarga de clientes · Válvula de reemplazo</t>
  </si>
  <si>
    <t xml:space="preserve">BOM_COEF!R453 (por año)</t>
  </si>
  <si>
    <t xml:space="preserve">ABC 50 kg recarga de clientes · Válvula de reemplazo</t>
  </si>
  <si>
    <t xml:space="preserve">BOM_COEF!R468 (por año)</t>
  </si>
  <si>
    <t xml:space="preserve">ABC 50 kg recarga del pool de sustitutos · Válvula de reemplazo</t>
  </si>
  <si>
    <t xml:space="preserve">ABC 70 kg recarga de clientes · Válvula de reemplazo</t>
  </si>
  <si>
    <t xml:space="preserve">BOM_COEF!R483 (por año)</t>
  </si>
  <si>
    <t xml:space="preserve">ABC 100 kg recarga de clientes · Válvula de reemplazo</t>
  </si>
  <si>
    <t xml:space="preserve">BOM_COEF!R498 (por año)</t>
  </si>
  <si>
    <t xml:space="preserve">ABC 100 kg recarga del pool de sustitutos · Válvula de reemplazo</t>
  </si>
  <si>
    <t xml:space="preserve">Sustituto ABC 50 kg · Válvula HZ armada de carro 50-70-100 kg</t>
  </si>
  <si>
    <t xml:space="preserve">Sustituto ABC 100 kg · Válvula HZ armada de carro 50-70-100 kg</t>
  </si>
  <si>
    <t xml:space="preserve">ABC 1 kg recarga de clientes · Manómetro de reemplazo</t>
  </si>
  <si>
    <t xml:space="preserve">BOM_COEF!R395 (por año)</t>
  </si>
  <si>
    <t xml:space="preserve">ABC 2,5 kg recarga de clientes · Manómetro de reemplazo</t>
  </si>
  <si>
    <t xml:space="preserve">BOM_COEF!R409 (por año)</t>
  </si>
  <si>
    <t xml:space="preserve">ABC 5 kg recarga de clientes · Manómetro de reemplazo</t>
  </si>
  <si>
    <t xml:space="preserve">BOM_COEF!R424 (por año)</t>
  </si>
  <si>
    <t xml:space="preserve">ABC 5 kg recarga del pool de sustitutos · Manómetro de reemplazo</t>
  </si>
  <si>
    <t xml:space="preserve">ABC 10 kg recarga de clientes · Manómetro de reemplazo</t>
  </si>
  <si>
    <t xml:space="preserve">BOM_COEF!R439 (por año)</t>
  </si>
  <si>
    <t xml:space="preserve">ABC 10 kg recarga del pool de sustitutos · Manómetro de reemplazo</t>
  </si>
  <si>
    <t xml:space="preserve">ABC 25 kg recarga de clientes · Manómetro de reemplazo</t>
  </si>
  <si>
    <t xml:space="preserve">BOM_COEF!R454 (por año)</t>
  </si>
  <si>
    <t xml:space="preserve">ABC 50 kg recarga de clientes · Manómetro de reemplazo</t>
  </si>
  <si>
    <t xml:space="preserve">BOM_COEF!R469 (por año)</t>
  </si>
  <si>
    <t xml:space="preserve">ABC 50 kg recarga del pool de sustitutos · Manómetro de reemplazo</t>
  </si>
  <si>
    <t xml:space="preserve">ABC 70 kg recarga de clientes · Manómetro de reemplazo</t>
  </si>
  <si>
    <t xml:space="preserve">BOM_COEF!R484 (por año)</t>
  </si>
  <si>
    <t xml:space="preserve">ABC 100 kg recarga de clientes · Manómetro de reemplazo</t>
  </si>
  <si>
    <t xml:space="preserve">BOM_COEF!R499 (por año)</t>
  </si>
  <si>
    <t xml:space="preserve">ABC 100 kg recarga del pool de sustitutos · Manómetro de reemplazo</t>
  </si>
  <si>
    <t xml:space="preserve">Sustituto ABC 5 kg · Manómetro</t>
  </si>
  <si>
    <t xml:space="preserve">Sustituto ABC 10 kg · Manómetro</t>
  </si>
  <si>
    <t xml:space="preserve">Sustituto ABC 50 kg · Manómetro</t>
  </si>
  <si>
    <t xml:space="preserve">Sustituto ABC 100 kg · Manómetro</t>
  </si>
  <si>
    <t xml:space="preserve">ABC 2,5 kg recarga de clientes · Manguera de reemplazo</t>
  </si>
  <si>
    <t xml:space="preserve">BOM_COEF!R410 (por año)</t>
  </si>
  <si>
    <t xml:space="preserve">ABC 5 kg recarga de clientes · Manguera de reemplazo</t>
  </si>
  <si>
    <t xml:space="preserve">BOM_COEF!R425 (por año)</t>
  </si>
  <si>
    <t xml:space="preserve">ABC 5 kg recarga del pool de sustitutos · Manguera de reemplazo</t>
  </si>
  <si>
    <t xml:space="preserve">Sustituto ABC 5 kg · Dispositivo de descarga</t>
  </si>
  <si>
    <t xml:space="preserve">ABC 10 kg recarga de clientes · Manguera de reemplazo</t>
  </si>
  <si>
    <t xml:space="preserve">BOM_COEF!R440 (por año)</t>
  </si>
  <si>
    <t xml:space="preserve">ABC 10 kg recarga del pool de sustitutos · Manguera de reemplazo</t>
  </si>
  <si>
    <t xml:space="preserve">Sustituto ABC 10 kg · Dispositivo de descarga</t>
  </si>
  <si>
    <t xml:space="preserve">ABC 25 kg recarga de clientes · Manguera de reemplazo</t>
  </si>
  <si>
    <t xml:space="preserve">BOM_COEF!R455 (por año)</t>
  </si>
  <si>
    <t xml:space="preserve">ABC 50 kg recarga de clientes · Manguera de reemplazo</t>
  </si>
  <si>
    <t xml:space="preserve">BOM_COEF!R470 (por año)</t>
  </si>
  <si>
    <t xml:space="preserve">ABC 50 kg recarga del pool de sustitutos · Manguera de reemplazo</t>
  </si>
  <si>
    <t xml:space="preserve">Sustituto ABC 50 kg · Dispositivo de descarga</t>
  </si>
  <si>
    <t xml:space="preserve">ABC 70 kg recarga de clientes · Manguera de reemplazo</t>
  </si>
  <si>
    <t xml:space="preserve">BOM_COEF!R485 (por año)</t>
  </si>
  <si>
    <t xml:space="preserve">ABC 100 kg recarga de clientes · Manguera de reemplazo</t>
  </si>
  <si>
    <t xml:space="preserve">BOM_COEF!R500 (por año)</t>
  </si>
  <si>
    <t xml:space="preserve">ABC 100 kg recarga del pool de sustitutos · Manguera de reemplazo</t>
  </si>
  <si>
    <t xml:space="preserve">Sustituto ABC 100 kg · Dispositivo de descarga</t>
  </si>
  <si>
    <t xml:space="preserve">ABC 1 kg recarga de clientes · Junta tórica de asiento del cuello</t>
  </si>
  <si>
    <t xml:space="preserve">BOM_COEF!R391 (por año)</t>
  </si>
  <si>
    <t xml:space="preserve">ABC 2,5 kg recarga de clientes · Junta tórica de asiento del cuello</t>
  </si>
  <si>
    <t xml:space="preserve">BOM_COEF!R405 (por año)</t>
  </si>
  <si>
    <t xml:space="preserve">ABC 5 kg recarga de clientes · Junta tórica de asiento del cuello</t>
  </si>
  <si>
    <t xml:space="preserve">BOM_COEF!R420 (por año)</t>
  </si>
  <si>
    <t xml:space="preserve">ABC 5 kg recarga del pool de sustitutos · Junta tórica de asiento del cuello</t>
  </si>
  <si>
    <t xml:space="preserve">ABC 10 kg recarga de clientes · Junta tórica de asiento del cuello</t>
  </si>
  <si>
    <t xml:space="preserve">BOM_COEF!R435 (por año)</t>
  </si>
  <si>
    <t xml:space="preserve">ABC 10 kg recarga del pool de sustitutos · Junta tórica de asiento del cuello</t>
  </si>
  <si>
    <t xml:space="preserve">ABC 25 kg recarga de clientes · Junta tórica de asiento del cuello</t>
  </si>
  <si>
    <t xml:space="preserve">BOM_COEF!R450 (por año)</t>
  </si>
  <si>
    <t xml:space="preserve">ABC 50 kg recarga de clientes · Junta tórica de asiento del cuello</t>
  </si>
  <si>
    <t xml:space="preserve">BOM_COEF!R465 (por año)</t>
  </si>
  <si>
    <t xml:space="preserve">ABC 50 kg recarga del pool de sustitutos · Junta tórica de asiento del cuello</t>
  </si>
  <si>
    <t xml:space="preserve">Sustituto ABC 5 kg · Junta tórica de asiento</t>
  </si>
  <si>
    <t xml:space="preserve">Sustituto ABC 10 kg · Junta tórica de asiento</t>
  </si>
  <si>
    <t xml:space="preserve">Sustituto ABC 50 kg · Junta tórica de asiento</t>
  </si>
  <si>
    <t xml:space="preserve">ABC 70 kg recarga de clientes · Junta tórica de asiento del cuello</t>
  </si>
  <si>
    <t xml:space="preserve">BOM_COEF!R480 (por año)</t>
  </si>
  <si>
    <t xml:space="preserve">ABC 100 kg recarga de clientes · Junta tórica de asiento del cuello</t>
  </si>
  <si>
    <t xml:space="preserve">BOM_COEF!R495 (por año)</t>
  </si>
  <si>
    <t xml:space="preserve">ABC 100 kg recarga del pool de sustitutos · Junta tórica de asiento del cuello</t>
  </si>
  <si>
    <t xml:space="preserve">Sustituto ABC 100 kg · Junta tórica de asiento</t>
  </si>
  <si>
    <t xml:space="preserve">Agua 10 l recarga de clientes · Junta tórica de asiento del cuello</t>
  </si>
  <si>
    <t xml:space="preserve">BOM_COEF!R508 (por año)</t>
  </si>
  <si>
    <t xml:space="preserve">Agua 10 l recarga del pool de sustitutos · Junta tórica de asiento del cuello</t>
  </si>
  <si>
    <t xml:space="preserve">AFFF 10 l recarga de clientes · Junta tórica de asiento del cuello</t>
  </si>
  <si>
    <t xml:space="preserve">BOM_COEF!R522 (por año)</t>
  </si>
  <si>
    <t xml:space="preserve">AFFF 10 l recarga del pool de sustitutos · Junta tórica de asiento del cuello</t>
  </si>
  <si>
    <t xml:space="preserve">AFFF 50 l rodante recarga de clientes · Junta tórica de asiento del cuello</t>
  </si>
  <si>
    <t xml:space="preserve">BOM_COEF!R536 (por año)</t>
  </si>
  <si>
    <t xml:space="preserve">AFFF 50 l rodante recarga del pool de sustitutos · Junta tórica de asiento del cuello</t>
  </si>
  <si>
    <t xml:space="preserve">BC 5 kg recarga de clientes · Junta tórica de asiento del cuello</t>
  </si>
  <si>
    <t xml:space="preserve">BOM_COEF!R551 (por año)</t>
  </si>
  <si>
    <t xml:space="preserve">BC 5 kg recarga del pool de sustitutos · Junta tórica de asiento del cuello</t>
  </si>
  <si>
    <t xml:space="preserve">Clase K 6 l recarga de clientes · Junta tórica de asiento del cuello</t>
  </si>
  <si>
    <t xml:space="preserve">BOM_COEF!R563 (por año)</t>
  </si>
  <si>
    <t xml:space="preserve">Clase K 6 l recarga del pool de sustitutos · Junta tórica de asiento del cuello</t>
  </si>
  <si>
    <t xml:space="preserve">CO₂ 2 kg recarga de clientes · Junta tórica de asiento del cuello</t>
  </si>
  <si>
    <t xml:space="preserve">BOM_COEF!R574 (por año)</t>
  </si>
  <si>
    <t xml:space="preserve">CO₂ 5 kg recarga de clientes · Junta tórica de asiento del cuello</t>
  </si>
  <si>
    <t xml:space="preserve">BOM_COEF!R585 (por año)</t>
  </si>
  <si>
    <t xml:space="preserve">CO₂ 5 kg recarga del pool de sustitutos · Junta tórica de asiento del cuello</t>
  </si>
  <si>
    <t xml:space="preserve">HCFC/HFC 5 kg recarga de clientes · Junta tórica de asiento del cuello</t>
  </si>
  <si>
    <t xml:space="preserve">BOM_COEF!R596 (por año)</t>
  </si>
  <si>
    <t xml:space="preserve">HCFC/HFC 5 kg recarga del pool de sustitutos · Junta tórica de asiento del cuello</t>
  </si>
  <si>
    <t xml:space="preserve">Clase D 9 l recarga de clientes · Junta tórica de asiento del cuello</t>
  </si>
  <si>
    <t xml:space="preserve">BOM_COEF!R608 (por año)</t>
  </si>
  <si>
    <t xml:space="preserve">Clase D 9 l recarga del pool de sustitutos · Junta tórica de asiento del cuello</t>
  </si>
  <si>
    <t xml:space="preserve">Sustituto ABC 5 kg · Soporte de pared</t>
  </si>
  <si>
    <t xml:space="preserve">Sustituto ABC 10 kg · Soporte de pared</t>
  </si>
  <si>
    <t xml:space="preserve">Sustituto ABC 5 kg · Tornillo y tarugo de fijación</t>
  </si>
  <si>
    <t xml:space="preserve">Sustituto ABC 10 kg · Tornillo y tarugo de fijación</t>
  </si>
  <si>
    <t xml:space="preserve">Sustituto ABC 50 kg · Neumático macizo</t>
  </si>
  <si>
    <t xml:space="preserve">Sustituto ABC 100 kg · Neumático macizo</t>
  </si>
  <si>
    <t xml:space="preserve">Sustituto ABC 5 kg · Etiqueta / placa de características</t>
  </si>
  <si>
    <t xml:space="preserve">Sustituto ABC 10 kg · Etiqueta / placa de características</t>
  </si>
  <si>
    <t xml:space="preserve">Sustituto ABC 50 kg · Etiqueta / placa de características</t>
  </si>
  <si>
    <t xml:space="preserve">Sustituto ABC 100 kg · Etiqueta / placa de características</t>
  </si>
  <si>
    <t xml:space="preserve">Sustituto ABC 5 kg · Oblea de fabricación</t>
  </si>
  <si>
    <t xml:space="preserve">Sustituto ABC 10 kg · Oblea de fabricación</t>
  </si>
  <si>
    <t xml:space="preserve">Sustituto ABC 50 kg · Oblea de fabricación</t>
  </si>
  <si>
    <t xml:space="preserve">Sustituto ABC 100 kg · Oblea de fabricación</t>
  </si>
  <si>
    <t xml:space="preserve">Sustituto ABC 5 kg · Estampilla IRAM de conformidad</t>
  </si>
  <si>
    <t xml:space="preserve">Sustituto ABC 10 kg · Estampilla IRAM de conformidad</t>
  </si>
  <si>
    <t xml:space="preserve">Sustituto ABC 50 kg · Estampilla IRAM de conformidad</t>
  </si>
  <si>
    <t xml:space="preserve">Sustituto ABC 100 kg · Estampilla IRAM de conformidad</t>
  </si>
  <si>
    <t xml:space="preserve">ABC 1 kg recarga de clientes · Tarjeta de identificación AGC (CABA)</t>
  </si>
  <si>
    <t xml:space="preserve">BOM_COEF!R390 (por año)</t>
  </si>
  <si>
    <t xml:space="preserve">ABC 2,5 kg recarga de clientes · Tarjeta de identificación AGC (CABA)</t>
  </si>
  <si>
    <t xml:space="preserve">BOM_COEF!R404 (por año)</t>
  </si>
  <si>
    <t xml:space="preserve">ABC 5 kg recarga de clientes · Tarjeta de identificación AGC (CABA)</t>
  </si>
  <si>
    <t xml:space="preserve">BOM_COEF!R419 (por año)</t>
  </si>
  <si>
    <t xml:space="preserve">ABC 5 kg recarga del pool de sustitutos · Tarjeta de identificación AGC (CABA)</t>
  </si>
  <si>
    <t xml:space="preserve">ABC 10 kg recarga de clientes · Tarjeta de identificación AGC (CABA)</t>
  </si>
  <si>
    <t xml:space="preserve">BOM_COEF!R434 (por año)</t>
  </si>
  <si>
    <t xml:space="preserve">ABC 10 kg recarga del pool de sustitutos · Tarjeta de identificación AGC (CABA)</t>
  </si>
  <si>
    <t xml:space="preserve">ABC 25 kg recarga de clientes · Tarjeta de identificación AGC (CABA)</t>
  </si>
  <si>
    <t xml:space="preserve">BOM_COEF!R449 (por año)</t>
  </si>
  <si>
    <t xml:space="preserve">ABC 50 kg recarga de clientes · Tarjeta de identificación AGC (CABA)</t>
  </si>
  <si>
    <t xml:space="preserve">BOM_COEF!R464 (por año)</t>
  </si>
  <si>
    <t xml:space="preserve">ABC 50 kg recarga del pool de sustitutos · Tarjeta de identificación AGC (CABA)</t>
  </si>
  <si>
    <t xml:space="preserve">ABC 70 kg recarga de clientes · Tarjeta de identificación AGC (CABA)</t>
  </si>
  <si>
    <t xml:space="preserve">BOM_COEF!R479 (por año)</t>
  </si>
  <si>
    <t xml:space="preserve">ABC 100 kg recarga de clientes · Tarjeta de identificación AGC (CABA)</t>
  </si>
  <si>
    <t xml:space="preserve">BOM_COEF!R494 (por año)</t>
  </si>
  <si>
    <t xml:space="preserve">ABC 100 kg recarga del pool de sustitutos · Tarjeta de identificación AGC (CABA)</t>
  </si>
  <si>
    <t xml:space="preserve">Agua 10 l recarga de clientes · Tarjeta de identificación AGC (CABA)</t>
  </si>
  <si>
    <t xml:space="preserve">BOM_COEF!R507 (por año)</t>
  </si>
  <si>
    <t xml:space="preserve">Agua 10 l recarga del pool de sustitutos · Tarjeta de identificación AGC (CABA)</t>
  </si>
  <si>
    <t xml:space="preserve">AFFF 10 l recarga de clientes · Tarjeta de identificación AGC (CABA)</t>
  </si>
  <si>
    <t xml:space="preserve">BOM_COEF!R521 (por año)</t>
  </si>
  <si>
    <t xml:space="preserve">AFFF 10 l recarga del pool de sustitutos · Tarjeta de identificación AGC (CABA)</t>
  </si>
  <si>
    <t xml:space="preserve">AFFF 50 l rodante recarga de clientes · Tarjeta de identificación AGC (CABA)</t>
  </si>
  <si>
    <t xml:space="preserve">BOM_COEF!R535 (por año)</t>
  </si>
  <si>
    <t xml:space="preserve">AFFF 50 l rodante recarga del pool de sustitutos · Tarjeta de identificación AGC (CABA)</t>
  </si>
  <si>
    <t xml:space="preserve">BC 5 kg recarga de clientes · Tarjeta de identificación AGC (CABA)</t>
  </si>
  <si>
    <t xml:space="preserve">BOM_COEF!R550 (por año)</t>
  </si>
  <si>
    <t xml:space="preserve">BC 5 kg recarga del pool de sustitutos · Tarjeta de identificación AGC (CABA)</t>
  </si>
  <si>
    <t xml:space="preserve">Clase K 6 l recarga de clientes · Tarjeta de identificación AGC (CABA)</t>
  </si>
  <si>
    <t xml:space="preserve">BOM_COEF!R562 (por año)</t>
  </si>
  <si>
    <t xml:space="preserve">Clase K 6 l recarga del pool de sustitutos · Tarjeta de identificación AGC (CABA)</t>
  </si>
  <si>
    <t xml:space="preserve">CO₂ 2 kg recarga de clientes · Tarjeta de identificación AGC (CABA)</t>
  </si>
  <si>
    <t xml:space="preserve">BOM_COEF!R571 (por año)</t>
  </si>
  <si>
    <t xml:space="preserve">CO₂ 5 kg recarga de clientes · Tarjeta de identificación AGC (CABA)</t>
  </si>
  <si>
    <t xml:space="preserve">BOM_COEF!R582 (por año)</t>
  </si>
  <si>
    <t xml:space="preserve">CO₂ 5 kg recarga del pool de sustitutos · Tarjeta de identificación AGC (CABA)</t>
  </si>
  <si>
    <t xml:space="preserve">HCFC/HFC 5 kg recarga de clientes · Tarjeta de identificación AGC (CABA)</t>
  </si>
  <si>
    <t xml:space="preserve">BOM_COEF!R595 (por año)</t>
  </si>
  <si>
    <t xml:space="preserve">HCFC/HFC 5 kg recarga del pool de sustitutos · Tarjeta de identificación AGC (CABA)</t>
  </si>
  <si>
    <t xml:space="preserve">Clase D 9 l recarga de clientes · Tarjeta de identificación AGC (CABA)</t>
  </si>
  <si>
    <t xml:space="preserve">BOM_COEF!R607 (por año)</t>
  </si>
  <si>
    <t xml:space="preserve">Clase D 9 l recarga del pool de sustitutos · Tarjeta de identificación AGC (CABA)</t>
  </si>
  <si>
    <t xml:space="preserve">Sustituto ABC 5 kg · Tarjeta de identificación AGC</t>
  </si>
  <si>
    <t xml:space="preserve">Sustituto ABC 10 kg · Tarjeta de identificación AGC</t>
  </si>
  <si>
    <t xml:space="preserve">Sustituto ABC 50 kg · Tarjeta de identificación AGC</t>
  </si>
  <si>
    <t xml:space="preserve">Sustituto ABC 100 kg · Tarjeta de identificación AGC</t>
  </si>
  <si>
    <t xml:space="preserve">ABC 1 kg recarga de clientes · Tarjeta de identificación DPS (PBA)</t>
  </si>
  <si>
    <t xml:space="preserve">BOM_COEF!R389 (por año)</t>
  </si>
  <si>
    <t xml:space="preserve">ABC 2,5 kg recarga de clientes · Tarjeta de identificación DPS (PBA)</t>
  </si>
  <si>
    <t xml:space="preserve">BOM_COEF!R403 (por año)</t>
  </si>
  <si>
    <t xml:space="preserve">ABC 5 kg recarga de clientes · Tarjeta de identificación DPS (PBA)</t>
  </si>
  <si>
    <t xml:space="preserve">BOM_COEF!R418 (por año)</t>
  </si>
  <si>
    <t xml:space="preserve">ABC 5 kg recarga del pool de sustitutos · Tarjeta de identificación DPS (PBA)</t>
  </si>
  <si>
    <t xml:space="preserve">ABC 10 kg recarga de clientes · Tarjeta de identificación DPS (PBA)</t>
  </si>
  <si>
    <t xml:space="preserve">BOM_COEF!R433 (por año)</t>
  </si>
  <si>
    <t xml:space="preserve">ABC 10 kg recarga del pool de sustitutos · Tarjeta de identificación DPS (PBA)</t>
  </si>
  <si>
    <t xml:space="preserve">ABC 25 kg recarga de clientes · Tarjeta de identificación DPS (PBA)</t>
  </si>
  <si>
    <t xml:space="preserve">BOM_COEF!R448 (por año)</t>
  </si>
  <si>
    <t xml:space="preserve">ABC 50 kg recarga de clientes · Tarjeta de identificación DPS (PBA)</t>
  </si>
  <si>
    <t xml:space="preserve">BOM_COEF!R463 (por año)</t>
  </si>
  <si>
    <t xml:space="preserve">ABC 50 kg recarga del pool de sustitutos · Tarjeta de identificación DPS (PBA)</t>
  </si>
  <si>
    <t xml:space="preserve">ABC 70 kg recarga de clientes · Tarjeta de identificación DPS (PBA)</t>
  </si>
  <si>
    <t xml:space="preserve">BOM_COEF!R478 (por año)</t>
  </si>
  <si>
    <t xml:space="preserve">ABC 100 kg recarga de clientes · Tarjeta de identificación DPS (PBA)</t>
  </si>
  <si>
    <t xml:space="preserve">BOM_COEF!R493 (por año)</t>
  </si>
  <si>
    <t xml:space="preserve">ABC 100 kg recarga del pool de sustitutos · Tarjeta de identificación DPS (PBA)</t>
  </si>
  <si>
    <t xml:space="preserve">Agua 10 l recarga de clientes · Tarjeta de identificación DPS (PBA)</t>
  </si>
  <si>
    <t xml:space="preserve">BOM_COEF!R506 (por año)</t>
  </si>
  <si>
    <t xml:space="preserve">Agua 10 l recarga del pool de sustitutos · Tarjeta de identificación DPS (PBA)</t>
  </si>
  <si>
    <t xml:space="preserve">AFFF 10 l recarga de clientes · Tarjeta de identificación DPS (PBA)</t>
  </si>
  <si>
    <t xml:space="preserve">BOM_COEF!R520 (por año)</t>
  </si>
  <si>
    <t xml:space="preserve">AFFF 10 l recarga del pool de sustitutos · Tarjeta de identificación DPS (PBA)</t>
  </si>
  <si>
    <t xml:space="preserve">AFFF 50 l rodante recarga de clientes · Tarjeta de identificación DPS (PBA)</t>
  </si>
  <si>
    <t xml:space="preserve">BOM_COEF!R534 (por año)</t>
  </si>
  <si>
    <t xml:space="preserve">AFFF 50 l rodante recarga del pool de sustitutos · Tarjeta de identificación DPS (PBA)</t>
  </si>
  <si>
    <t xml:space="preserve">BC 5 kg recarga de clientes · Tarjeta de identificación DPS (PBA)</t>
  </si>
  <si>
    <t xml:space="preserve">BOM_COEF!R549 (por año)</t>
  </si>
  <si>
    <t xml:space="preserve">BC 5 kg recarga del pool de sustitutos · Tarjeta de identificación DPS (PBA)</t>
  </si>
  <si>
    <t xml:space="preserve">Clase K 6 l recarga de clientes · Tarjeta de identificación DPS (PBA)</t>
  </si>
  <si>
    <t xml:space="preserve">BOM_COEF!R561 (por año)</t>
  </si>
  <si>
    <t xml:space="preserve">Clase K 6 l recarga del pool de sustitutos · Tarjeta de identificación DPS (PBA)</t>
  </si>
  <si>
    <t xml:space="preserve">CO₂ 2 kg recarga de clientes · Tarjeta de identificación DPS (PBA)</t>
  </si>
  <si>
    <t xml:space="preserve">BOM_COEF!R570 (por año)</t>
  </si>
  <si>
    <t xml:space="preserve">CO₂ 5 kg recarga de clientes · Tarjeta de identificación DPS (PBA)</t>
  </si>
  <si>
    <t xml:space="preserve">BOM_COEF!R581 (por año)</t>
  </si>
  <si>
    <t xml:space="preserve">CO₂ 5 kg recarga del pool de sustitutos · Tarjeta de identificación DPS (PBA)</t>
  </si>
  <si>
    <t xml:space="preserve">HCFC/HFC 5 kg recarga de clientes · Tarjeta de identificación DPS (PBA)</t>
  </si>
  <si>
    <t xml:space="preserve">BOM_COEF!R594 (por año)</t>
  </si>
  <si>
    <t xml:space="preserve">HCFC/HFC 5 kg recarga del pool de sustitutos · Tarjeta de identificación DPS (PBA)</t>
  </si>
  <si>
    <t xml:space="preserve">Clase D 9 l recarga de clientes · Tarjeta de identificación DPS (PBA)</t>
  </si>
  <si>
    <t xml:space="preserve">BOM_COEF!R606 (por año)</t>
  </si>
  <si>
    <t xml:space="preserve">Clase D 9 l recarga del pool de sustitutos · Tarjeta de identificación DPS (PBA)</t>
  </si>
  <si>
    <t xml:space="preserve">ABC 1 kg recarga de clientes · Estampilla y oblea de recarga (PBA)</t>
  </si>
  <si>
    <t xml:space="preserve">BOM_COEF!R388 (por año)</t>
  </si>
  <si>
    <t xml:space="preserve">ABC 2,5 kg recarga de clientes · Estampilla y oblea de recarga (PBA)</t>
  </si>
  <si>
    <t xml:space="preserve">BOM_COEF!R402 (por año)</t>
  </si>
  <si>
    <t xml:space="preserve">ABC 5 kg recarga de clientes · Estampilla y oblea de recarga (PBA)</t>
  </si>
  <si>
    <t xml:space="preserve">BOM_COEF!R417 (por año)</t>
  </si>
  <si>
    <t xml:space="preserve">ABC 5 kg recarga del pool de sustitutos · Estampilla y oblea de recarga (PBA)</t>
  </si>
  <si>
    <t xml:space="preserve">ABC 10 kg recarga de clientes · Estampilla y oblea de recarga (PBA)</t>
  </si>
  <si>
    <t xml:space="preserve">BOM_COEF!R432 (por año)</t>
  </si>
  <si>
    <t xml:space="preserve">ABC 10 kg recarga del pool de sustitutos · Estampilla y oblea de recarga (PBA)</t>
  </si>
  <si>
    <t xml:space="preserve">ABC 25 kg recarga de clientes · Estampilla y oblea de recarga (PBA)</t>
  </si>
  <si>
    <t xml:space="preserve">BOM_COEF!R447 (por año)</t>
  </si>
  <si>
    <t xml:space="preserve">ABC 50 kg recarga de clientes · Estampilla y oblea de recarga (PBA)</t>
  </si>
  <si>
    <t xml:space="preserve">BOM_COEF!R462 (por año)</t>
  </si>
  <si>
    <t xml:space="preserve">ABC 50 kg recarga del pool de sustitutos · Estampilla y oblea de recarga (PBA)</t>
  </si>
  <si>
    <t xml:space="preserve">ABC 70 kg recarga de clientes · Estampilla y oblea de recarga (PBA)</t>
  </si>
  <si>
    <t xml:space="preserve">BOM_COEF!R477 (por año)</t>
  </si>
  <si>
    <t xml:space="preserve">ABC 100 kg recarga de clientes · Estampilla y oblea de recarga (PBA)</t>
  </si>
  <si>
    <t xml:space="preserve">BOM_COEF!R492 (por año)</t>
  </si>
  <si>
    <t xml:space="preserve">ABC 100 kg recarga del pool de sustitutos · Estampilla y oblea de recarga (PBA)</t>
  </si>
  <si>
    <t xml:space="preserve">Agua 10 l recarga de clientes · Estampilla y oblea de recarga (PBA)</t>
  </si>
  <si>
    <t xml:space="preserve">BOM_COEF!R505 (por año)</t>
  </si>
  <si>
    <t xml:space="preserve">Agua 10 l recarga del pool de sustitutos · Estampilla y oblea de recarga (PBA)</t>
  </si>
  <si>
    <t xml:space="preserve">AFFF 10 l recarga de clientes · Estampilla y oblea de recarga (PBA)</t>
  </si>
  <si>
    <t xml:space="preserve">BOM_COEF!R519 (por año)</t>
  </si>
  <si>
    <t xml:space="preserve">AFFF 10 l recarga del pool de sustitutos · Estampilla y oblea de recarga (PBA)</t>
  </si>
  <si>
    <t xml:space="preserve">AFFF 50 l rodante recarga de clientes · Estampilla y oblea de recarga (PBA)</t>
  </si>
  <si>
    <t xml:space="preserve">BOM_COEF!R533 (por año)</t>
  </si>
  <si>
    <t xml:space="preserve">AFFF 50 l rodante recarga del pool de sustitutos · Estampilla y oblea de recarga (PBA)</t>
  </si>
  <si>
    <t xml:space="preserve">BC 5 kg recarga de clientes · Estampilla y oblea de recarga (PBA)</t>
  </si>
  <si>
    <t xml:space="preserve">BOM_COEF!R548 (por año)</t>
  </si>
  <si>
    <t xml:space="preserve">BC 5 kg recarga del pool de sustitutos · Estampilla y oblea de recarga (PBA)</t>
  </si>
  <si>
    <t xml:space="preserve">Clase K 6 l recarga de clientes · Estampilla y oblea de recarga (PBA)</t>
  </si>
  <si>
    <t xml:space="preserve">BOM_COEF!R560 (por año)</t>
  </si>
  <si>
    <t xml:space="preserve">Clase K 6 l recarga del pool de sustitutos · Estampilla y oblea de recarga (PBA)</t>
  </si>
  <si>
    <t xml:space="preserve">CO₂ 2 kg recarga de clientes · Estampilla y oblea de recarga (PBA)</t>
  </si>
  <si>
    <t xml:space="preserve">BOM_COEF!R569 (por año)</t>
  </si>
  <si>
    <t xml:space="preserve">CO₂ 5 kg recarga de clientes · Estampilla y oblea de recarga (PBA)</t>
  </si>
  <si>
    <t xml:space="preserve">BOM_COEF!R580 (por año)</t>
  </si>
  <si>
    <t xml:space="preserve">CO₂ 5 kg recarga del pool de sustitutos · Estampilla y oblea de recarga (PBA)</t>
  </si>
  <si>
    <t xml:space="preserve">HCFC/HFC 5 kg recarga de clientes · Estampilla y oblea de recarga (PBA)</t>
  </si>
  <si>
    <t xml:space="preserve">BOM_COEF!R593 (por año)</t>
  </si>
  <si>
    <t xml:space="preserve">HCFC/HFC 5 kg recarga del pool de sustitutos · Estampilla y oblea de recarga (PBA)</t>
  </si>
  <si>
    <t xml:space="preserve">Clase D 9 l recarga de clientes · Estampilla y oblea de recarga (PBA)</t>
  </si>
  <si>
    <t xml:space="preserve">BOM_COEF!R605 (por año)</t>
  </si>
  <si>
    <t xml:space="preserve">Clase D 9 l recarga del pool de sustitutos · Estampilla y oblea de recarga (PBA)</t>
  </si>
  <si>
    <t xml:space="preserve">Sustituto ABC 5 kg · Etiqueta de n° de serie GS1</t>
  </si>
  <si>
    <t xml:space="preserve">Sustituto ABC 10 kg · Etiqueta de n° de serie GS1</t>
  </si>
  <si>
    <t xml:space="preserve">Sustituto ABC 50 kg · Etiqueta de n° de serie GS1</t>
  </si>
  <si>
    <t xml:space="preserve">Sustituto ABC 100 kg · Etiqueta de n° de serie GS1</t>
  </si>
  <si>
    <t xml:space="preserve">Sustituto ABC 5 kg · Faja de garantía válvula-cuello</t>
  </si>
  <si>
    <t xml:space="preserve">Sustituto ABC 10 kg · Faja de garantía válvula-cuello</t>
  </si>
  <si>
    <t xml:space="preserve">Sustituto ABC 50 kg · Faja de garantía válvula-cuello</t>
  </si>
  <si>
    <t xml:space="preserve">Sustituto ABC 100 kg · Faja de garantía válvula-cuello</t>
  </si>
  <si>
    <t xml:space="preserve">Sustituto ABC 5 kg · Precinto de fábrica</t>
  </si>
  <si>
    <t xml:space="preserve">Sustituto ABC 10 kg · Precinto de fábrica</t>
  </si>
  <si>
    <t xml:space="preserve">Sustituto ABC 50 kg · Precinto de fábrica</t>
  </si>
  <si>
    <t xml:space="preserve">Sustituto ABC 100 kg · Precinto de fábrica</t>
  </si>
  <si>
    <t xml:space="preserve">ABC 1 kg recarga de clientes · Etiqueta de control (celeste 35 × 50)</t>
  </si>
  <si>
    <t xml:space="preserve">BOM_COEF!R382 (por año)</t>
  </si>
  <si>
    <t xml:space="preserve">ABC 2,5 kg recarga de clientes · Etiqueta de control (celeste 35 × 50)</t>
  </si>
  <si>
    <t xml:space="preserve">BOM_COEF!R396 (por año)</t>
  </si>
  <si>
    <t xml:space="preserve">ABC 5 kg recarga de clientes · Etiqueta de control (celeste 35 × 50)</t>
  </si>
  <si>
    <t xml:space="preserve">BOM_COEF!R411 (por año)</t>
  </si>
  <si>
    <t xml:space="preserve">ABC 5 kg recarga del pool de sustitutos · Etiqueta de control (celeste 35 × 50)</t>
  </si>
  <si>
    <t xml:space="preserve">ABC 10 kg recarga de clientes · Etiqueta de control (celeste 35 × 50)</t>
  </si>
  <si>
    <t xml:space="preserve">BOM_COEF!R426 (por año)</t>
  </si>
  <si>
    <t xml:space="preserve">ABC 10 kg recarga del pool de sustitutos · Etiqueta de control (celeste 35 × 50)</t>
  </si>
  <si>
    <t xml:space="preserve">ABC 25 kg recarga de clientes · Etiqueta de control (celeste 35 × 50)</t>
  </si>
  <si>
    <t xml:space="preserve">BOM_COEF!R441 (por año)</t>
  </si>
  <si>
    <t xml:space="preserve">ABC 50 kg recarga de clientes · Etiqueta de control (celeste 35 × 50)</t>
  </si>
  <si>
    <t xml:space="preserve">BOM_COEF!R456 (por año)</t>
  </si>
  <si>
    <t xml:space="preserve">ABC 50 kg recarga del pool de sustitutos · Etiqueta de control (celeste 35 × 50)</t>
  </si>
  <si>
    <t xml:space="preserve">ABC 70 kg recarga de clientes · Etiqueta de control (celeste 35 × 50)</t>
  </si>
  <si>
    <t xml:space="preserve">BOM_COEF!R471 (por año)</t>
  </si>
  <si>
    <t xml:space="preserve">ABC 100 kg recarga de clientes · Etiqueta de control (celeste 35 × 50)</t>
  </si>
  <si>
    <t xml:space="preserve">BOM_COEF!R486 (por año)</t>
  </si>
  <si>
    <t xml:space="preserve">ABC 100 kg recarga del pool de sustitutos · Etiqueta de control (celeste 35 × 50)</t>
  </si>
  <si>
    <t xml:space="preserve">Agua 10 l recarga de clientes · Etiqueta de control (celeste 35 × 50)</t>
  </si>
  <si>
    <t xml:space="preserve">BOM_COEF!R501 (por año)</t>
  </si>
  <si>
    <t xml:space="preserve">Agua 10 l recarga del pool de sustitutos · Etiqueta de control (celeste 35 × 50)</t>
  </si>
  <si>
    <t xml:space="preserve">AFFF 10 l recarga de clientes · Etiqueta de control (celeste 35 × 50)</t>
  </si>
  <si>
    <t xml:space="preserve">BOM_COEF!R514 (por año)</t>
  </si>
  <si>
    <t xml:space="preserve">AFFF 10 l recarga del pool de sustitutos · Etiqueta de control (celeste 35 × 50)</t>
  </si>
  <si>
    <t xml:space="preserve">AFFF 50 l rodante recarga de clientes · Etiqueta de control (celeste 35 × 50)</t>
  </si>
  <si>
    <t xml:space="preserve">BOM_COEF!R528 (por año)</t>
  </si>
  <si>
    <t xml:space="preserve">AFFF 50 l rodante recarga del pool de sustitutos · Etiqueta de control (celeste 35 × 50)</t>
  </si>
  <si>
    <t xml:space="preserve">BC 5 kg recarga de clientes · Etiqueta de control (celeste 35 × 50)</t>
  </si>
  <si>
    <t xml:space="preserve">BOM_COEF!R542 (por año)</t>
  </si>
  <si>
    <t xml:space="preserve">BC 5 kg recarga del pool de sustitutos · Etiqueta de control (celeste 35 × 50)</t>
  </si>
  <si>
    <t xml:space="preserve">Clase K 6 l recarga de clientes · Etiqueta de control (celeste 35 × 50)</t>
  </si>
  <si>
    <t xml:space="preserve">BOM_COEF!R554 (por año)</t>
  </si>
  <si>
    <t xml:space="preserve">Clase K 6 l recarga del pool de sustitutos · Etiqueta de control (celeste 35 × 50)</t>
  </si>
  <si>
    <t xml:space="preserve">CO₂ 2 kg recarga de clientes · Etiqueta de control (celeste 35 × 50)</t>
  </si>
  <si>
    <t xml:space="preserve">BOM_COEF!R565 (por año)</t>
  </si>
  <si>
    <t xml:space="preserve">CO₂ 5 kg recarga de clientes · Etiqueta de control (celeste 35 × 50)</t>
  </si>
  <si>
    <t xml:space="preserve">BOM_COEF!R576 (por año)</t>
  </si>
  <si>
    <t xml:space="preserve">CO₂ 5 kg recarga del pool de sustitutos · Etiqueta de control (celeste 35 × 50)</t>
  </si>
  <si>
    <t xml:space="preserve">HCFC/HFC 5 kg recarga de clientes · Etiqueta de control (celeste 35 × 50)</t>
  </si>
  <si>
    <t xml:space="preserve">BOM_COEF!R587 (por año)</t>
  </si>
  <si>
    <t xml:space="preserve">HCFC/HFC 5 kg recarga del pool de sustitutos · Etiqueta de control (celeste 35 × 50)</t>
  </si>
  <si>
    <t xml:space="preserve">Clase D 9 l recarga de clientes · Etiqueta de control (celeste 35 × 50)</t>
  </si>
  <si>
    <t xml:space="preserve">BOM_COEF!R599 (por año)</t>
  </si>
  <si>
    <t xml:space="preserve">Clase D 9 l recarga del pool de sustitutos · Etiqueta de control (celeste 35 × 50)</t>
  </si>
  <si>
    <t xml:space="preserve">ABC 1 kg recarga de clientes · Etiqueta de servicio del recargador</t>
  </si>
  <si>
    <t xml:space="preserve">BOM_COEF!R387 (por año)</t>
  </si>
  <si>
    <t xml:space="preserve">ABC 2,5 kg recarga de clientes · Etiqueta de servicio del recargador</t>
  </si>
  <si>
    <t xml:space="preserve">BOM_COEF!R401 (por año)</t>
  </si>
  <si>
    <t xml:space="preserve">ABC 5 kg recarga de clientes · Etiqueta de servicio del recargador</t>
  </si>
  <si>
    <t xml:space="preserve">BOM_COEF!R416 (por año)</t>
  </si>
  <si>
    <t xml:space="preserve">ABC 5 kg recarga del pool de sustitutos · Etiqueta de servicio del recargador</t>
  </si>
  <si>
    <t xml:space="preserve">ABC 10 kg recarga de clientes · Etiqueta de servicio del recargador</t>
  </si>
  <si>
    <t xml:space="preserve">BOM_COEF!R431 (por año)</t>
  </si>
  <si>
    <t xml:space="preserve">ABC 10 kg recarga del pool de sustitutos · Etiqueta de servicio del recargador</t>
  </si>
  <si>
    <t xml:space="preserve">ABC 25 kg recarga de clientes · Etiqueta de servicio del recargador</t>
  </si>
  <si>
    <t xml:space="preserve">BOM_COEF!R446 (por año)</t>
  </si>
  <si>
    <t xml:space="preserve">ABC 50 kg recarga de clientes · Etiqueta de servicio del recargador</t>
  </si>
  <si>
    <t xml:space="preserve">BOM_COEF!R461 (por año)</t>
  </si>
  <si>
    <t xml:space="preserve">ABC 50 kg recarga del pool de sustitutos · Etiqueta de servicio del recargador</t>
  </si>
  <si>
    <t xml:space="preserve">ABC 70 kg recarga de clientes · Etiqueta de servicio del recargador</t>
  </si>
  <si>
    <t xml:space="preserve">BOM_COEF!R476 (por año)</t>
  </si>
  <si>
    <t xml:space="preserve">ABC 100 kg recarga de clientes · Etiqueta de servicio del recargador</t>
  </si>
  <si>
    <t xml:space="preserve">BOM_COEF!R491 (por año)</t>
  </si>
  <si>
    <t xml:space="preserve">ABC 100 kg recarga del pool de sustitutos · Etiqueta de servicio del recargador</t>
  </si>
  <si>
    <t xml:space="preserve">Agua 10 l recarga de clientes · Etiqueta de servicio del recargador</t>
  </si>
  <si>
    <t xml:space="preserve">BOM_COEF!R504 (por año)</t>
  </si>
  <si>
    <t xml:space="preserve">Agua 10 l recarga del pool de sustitutos · Etiqueta de servicio del recargador</t>
  </si>
  <si>
    <t xml:space="preserve">AFFF 10 l recarga de clientes · Etiqueta de servicio del recargador</t>
  </si>
  <si>
    <t xml:space="preserve">BOM_COEF!R518 (por año)</t>
  </si>
  <si>
    <t xml:space="preserve">AFFF 10 l recarga del pool de sustitutos · Etiqueta de servicio del recargador</t>
  </si>
  <si>
    <t xml:space="preserve">AFFF 50 l rodante recarga de clientes · Etiqueta de servicio del recargador</t>
  </si>
  <si>
    <t xml:space="preserve">BOM_COEF!R532 (por año)</t>
  </si>
  <si>
    <t xml:space="preserve">AFFF 50 l rodante recarga del pool de sustitutos · Etiqueta de servicio del recargador</t>
  </si>
  <si>
    <t xml:space="preserve">BC 5 kg recarga de clientes · Etiqueta de servicio del recargador</t>
  </si>
  <si>
    <t xml:space="preserve">BOM_COEF!R547 (por año)</t>
  </si>
  <si>
    <t xml:space="preserve">BC 5 kg recarga del pool de sustitutos · Etiqueta de servicio del recargador</t>
  </si>
  <si>
    <t xml:space="preserve">Clase K 6 l recarga de clientes · Etiqueta de servicio del recargador</t>
  </si>
  <si>
    <t xml:space="preserve">BOM_COEF!R559 (por año)</t>
  </si>
  <si>
    <t xml:space="preserve">Clase K 6 l recarga del pool de sustitutos · Etiqueta de servicio del recargador</t>
  </si>
  <si>
    <t xml:space="preserve">CO₂ 2 kg recarga de clientes · Etiqueta de servicio del recargador</t>
  </si>
  <si>
    <t xml:space="preserve">BOM_COEF!R568 (por año)</t>
  </si>
  <si>
    <t xml:space="preserve">CO₂ 5 kg recarga de clientes · Etiqueta de servicio del recargador</t>
  </si>
  <si>
    <t xml:space="preserve">BOM_COEF!R579 (por año)</t>
  </si>
  <si>
    <t xml:space="preserve">CO₂ 5 kg recarga del pool de sustitutos · Etiqueta de servicio del recargador</t>
  </si>
  <si>
    <t xml:space="preserve">HCFC/HFC 5 kg recarga de clientes · Etiqueta de servicio del recargador</t>
  </si>
  <si>
    <t xml:space="preserve">BOM_COEF!R592 (por año)</t>
  </si>
  <si>
    <t xml:space="preserve">HCFC/HFC 5 kg recarga del pool de sustitutos · Etiqueta de servicio del recargador</t>
  </si>
  <si>
    <t xml:space="preserve">Clase D 9 l recarga de clientes · Etiqueta de servicio del recargador</t>
  </si>
  <si>
    <t xml:space="preserve">BOM_COEF!R604 (por año)</t>
  </si>
  <si>
    <t xml:space="preserve">Clase D 9 l recarga del pool de sustitutos · Etiqueta de servicio del recargador</t>
  </si>
  <si>
    <t xml:space="preserve">ABC 1 kg recarga de clientes · Marbete indicador</t>
  </si>
  <si>
    <t xml:space="preserve">BOM_COEF!R386 (por año)</t>
  </si>
  <si>
    <t xml:space="preserve">ABC 2,5 kg recarga de clientes · Marbete indicador</t>
  </si>
  <si>
    <t xml:space="preserve">BOM_COEF!R400 (por año)</t>
  </si>
  <si>
    <t xml:space="preserve">ABC 5 kg recarga de clientes · Marbete indicador</t>
  </si>
  <si>
    <t xml:space="preserve">BOM_COEF!R415 (por año)</t>
  </si>
  <si>
    <t xml:space="preserve">ABC 5 kg recarga del pool de sustitutos · Marbete indicador</t>
  </si>
  <si>
    <t xml:space="preserve">ABC 10 kg recarga de clientes · Marbete indicador</t>
  </si>
  <si>
    <t xml:space="preserve">BOM_COEF!R430 (por año)</t>
  </si>
  <si>
    <t xml:space="preserve">ABC 10 kg recarga del pool de sustitutos · Marbete indicador</t>
  </si>
  <si>
    <t xml:space="preserve">ABC 25 kg recarga de clientes · Marbete indicador</t>
  </si>
  <si>
    <t xml:space="preserve">BOM_COEF!R445 (por año)</t>
  </si>
  <si>
    <t xml:space="preserve">ABC 50 kg recarga de clientes · Marbete indicador</t>
  </si>
  <si>
    <t xml:space="preserve">BOM_COEF!R460 (por año)</t>
  </si>
  <si>
    <t xml:space="preserve">ABC 50 kg recarga del pool de sustitutos · Marbete indicador</t>
  </si>
  <si>
    <t xml:space="preserve">ABC 70 kg recarga de clientes · Marbete indicador</t>
  </si>
  <si>
    <t xml:space="preserve">BOM_COEF!R475 (por año)</t>
  </si>
  <si>
    <t xml:space="preserve">ABC 100 kg recarga de clientes · Marbete indicador</t>
  </si>
  <si>
    <t xml:space="preserve">BOM_COEF!R490 (por año)</t>
  </si>
  <si>
    <t xml:space="preserve">ABC 100 kg recarga del pool de sustitutos · Marbete indicador</t>
  </si>
  <si>
    <t xml:space="preserve">Agua 10 l recarga de clientes · Marbete indicador</t>
  </si>
  <si>
    <t xml:space="preserve">BOM_COEF!R503 (por año)</t>
  </si>
  <si>
    <t xml:space="preserve">Agua 10 l recarga del pool de sustitutos · Marbete indicador</t>
  </si>
  <si>
    <t xml:space="preserve">AFFF 10 l recarga de clientes · Marbete indicador</t>
  </si>
  <si>
    <t xml:space="preserve">BOM_COEF!R517 (por año)</t>
  </si>
  <si>
    <t xml:space="preserve">AFFF 10 l recarga del pool de sustitutos · Marbete indicador</t>
  </si>
  <si>
    <t xml:space="preserve">AFFF 50 l rodante recarga de clientes · Marbete indicador</t>
  </si>
  <si>
    <t xml:space="preserve">BOM_COEF!R531 (por año)</t>
  </si>
  <si>
    <t xml:space="preserve">AFFF 50 l rodante recarga del pool de sustitutos · Marbete indicador</t>
  </si>
  <si>
    <t xml:space="preserve">BC 5 kg recarga de clientes · Marbete indicador</t>
  </si>
  <si>
    <t xml:space="preserve">BOM_COEF!R546 (por año)</t>
  </si>
  <si>
    <t xml:space="preserve">BC 5 kg recarga del pool de sustitutos · Marbete indicador</t>
  </si>
  <si>
    <t xml:space="preserve">Clase K 6 l recarga de clientes · Marbete indicador</t>
  </si>
  <si>
    <t xml:space="preserve">BOM_COEF!R558 (por año)</t>
  </si>
  <si>
    <t xml:space="preserve">Clase K 6 l recarga del pool de sustitutos · Marbete indicador</t>
  </si>
  <si>
    <t xml:space="preserve">CO₂ 2 kg recarga de clientes · Marbete indicador</t>
  </si>
  <si>
    <t xml:space="preserve">BOM_COEF!R573 (por año)</t>
  </si>
  <si>
    <t xml:space="preserve">CO₂ 5 kg recarga de clientes · Marbete indicador</t>
  </si>
  <si>
    <t xml:space="preserve">BOM_COEF!R584 (por año)</t>
  </si>
  <si>
    <t xml:space="preserve">CO₂ 5 kg recarga del pool de sustitutos · Marbete indicador</t>
  </si>
  <si>
    <t xml:space="preserve">HCFC/HFC 5 kg recarga de clientes · Marbete indicador</t>
  </si>
  <si>
    <t xml:space="preserve">BOM_COEF!R591 (por año)</t>
  </si>
  <si>
    <t xml:space="preserve">HCFC/HFC 5 kg recarga del pool de sustitutos · Marbete indicador</t>
  </si>
  <si>
    <t xml:space="preserve">Clase D 9 l recarga de clientes · Marbete indicador</t>
  </si>
  <si>
    <t xml:space="preserve">BOM_COEF!R603 (por año)</t>
  </si>
  <si>
    <t xml:space="preserve">Clase D 9 l recarga del pool de sustitutos · Marbete indicador</t>
  </si>
  <si>
    <t xml:space="preserve">ABC 1 kg recarga de clientes · Oblea de vencimiento de la prueba hidráulica</t>
  </si>
  <si>
    <t xml:space="preserve">BOM_COEF!R392 (por año)</t>
  </si>
  <si>
    <t xml:space="preserve">ABC 2,5 kg recarga de clientes · Oblea de vencimiento de la prueba hidráulica</t>
  </si>
  <si>
    <t xml:space="preserve">BOM_COEF!R406 (por año)</t>
  </si>
  <si>
    <t xml:space="preserve">ABC 5 kg recarga de clientes · Oblea de vencimiento de la prueba hidráulica</t>
  </si>
  <si>
    <t xml:space="preserve">BOM_COEF!R421 (por año)</t>
  </si>
  <si>
    <t xml:space="preserve">ABC 5 kg recarga del pool de sustitutos · Oblea de vencimiento de la prueba hidráulica</t>
  </si>
  <si>
    <t xml:space="preserve">ABC 10 kg recarga de clientes · Oblea de vencimiento de la prueba hidráulica</t>
  </si>
  <si>
    <t xml:space="preserve">BOM_COEF!R436 (por año)</t>
  </si>
  <si>
    <t xml:space="preserve">ABC 10 kg recarga del pool de sustitutos · Oblea de vencimiento de la prueba hidráulica</t>
  </si>
  <si>
    <t xml:space="preserve">ABC 25 kg recarga de clientes · Oblea de vencimiento de la prueba hidráulica</t>
  </si>
  <si>
    <t xml:space="preserve">BOM_COEF!R451 (por año)</t>
  </si>
  <si>
    <t xml:space="preserve">ABC 50 kg recarga de clientes · Oblea de vencimiento de la prueba hidráulica</t>
  </si>
  <si>
    <t xml:space="preserve">BOM_COEF!R466 (por año)</t>
  </si>
  <si>
    <t xml:space="preserve">ABC 50 kg recarga del pool de sustitutos · Oblea de vencimiento de la prueba hidráulica</t>
  </si>
  <si>
    <t xml:space="preserve">ABC 70 kg recarga de clientes · Oblea de vencimiento de la prueba hidráulica</t>
  </si>
  <si>
    <t xml:space="preserve">BOM_COEF!R481 (por año)</t>
  </si>
  <si>
    <t xml:space="preserve">ABC 100 kg recarga de clientes · Oblea de vencimiento de la prueba hidráulica</t>
  </si>
  <si>
    <t xml:space="preserve">BOM_COEF!R496 (por año)</t>
  </si>
  <si>
    <t xml:space="preserve">ABC 100 kg recarga del pool de sustitutos · Oblea de vencimiento de la prueba hidráulica</t>
  </si>
  <si>
    <t xml:space="preserve">Agua 10 l recarga de clientes · Oblea de vencimiento de la prueba hidráulica</t>
  </si>
  <si>
    <t xml:space="preserve">BOM_COEF!R509 (por año)</t>
  </si>
  <si>
    <t xml:space="preserve">Agua 10 l recarga del pool de sustitutos · Oblea de vencimiento de la prueba hidráulica</t>
  </si>
  <si>
    <t xml:space="preserve">AFFF 10 l recarga de clientes · Oblea de vencimiento de la prueba hidráulica</t>
  </si>
  <si>
    <t xml:space="preserve">BOM_COEF!R523 (por año)</t>
  </si>
  <si>
    <t xml:space="preserve">AFFF 10 l recarga del pool de sustitutos · Oblea de vencimiento de la prueba hidráulica</t>
  </si>
  <si>
    <t xml:space="preserve">AFFF 50 l rodante recarga de clientes · Oblea de vencimiento de la prueba hidráulica</t>
  </si>
  <si>
    <t xml:space="preserve">BOM_COEF!R537 (por año)</t>
  </si>
  <si>
    <t xml:space="preserve">AFFF 50 l rodante recarga del pool de sustitutos · Oblea de vencimiento de la prueba hidráulica</t>
  </si>
  <si>
    <t xml:space="preserve">BC 5 kg recarga de clientes · Oblea de vencimiento de la prueba hidráulica</t>
  </si>
  <si>
    <t xml:space="preserve">BOM_COEF!R552 (por año)</t>
  </si>
  <si>
    <t xml:space="preserve">BC 5 kg recarga del pool de sustitutos · Oblea de vencimiento de la prueba hidráulica</t>
  </si>
  <si>
    <t xml:space="preserve">Clase K 6 l recarga de clientes · Oblea de vencimiento de la prueba hidráulica</t>
  </si>
  <si>
    <t xml:space="preserve">BOM_COEF!R564 (por año)</t>
  </si>
  <si>
    <t xml:space="preserve">Clase K 6 l recarga del pool de sustitutos · Oblea de vencimiento de la prueba hidráulica</t>
  </si>
  <si>
    <t xml:space="preserve">HCFC/HFC 5 kg recarga de clientes · Oblea de vencimiento de la prueba hidráulica</t>
  </si>
  <si>
    <t xml:space="preserve">BOM_COEF!R597 (por año)</t>
  </si>
  <si>
    <t xml:space="preserve">HCFC/HFC 5 kg recarga del pool de sustitutos · Oblea de vencimiento de la prueba hidráulica</t>
  </si>
  <si>
    <t xml:space="preserve">Clase D 9 l recarga de clientes · Oblea de vencimiento de la prueba hidráulica</t>
  </si>
  <si>
    <t xml:space="preserve">BOM_COEF!R609 (por año)</t>
  </si>
  <si>
    <t xml:space="preserve">Clase D 9 l recarga del pool de sustitutos · Oblea de vencimiento de la prueba hidráulica</t>
  </si>
  <si>
    <t xml:space="preserve">ABC 1 kg recarga de clientes · Precinto con identificación del recargador</t>
  </si>
  <si>
    <t xml:space="preserve">BOM_COEF!R385 (por año)</t>
  </si>
  <si>
    <t xml:space="preserve">ABC 2,5 kg recarga de clientes · Precinto con identificación del recargador</t>
  </si>
  <si>
    <t xml:space="preserve">BOM_COEF!R399 (por año)</t>
  </si>
  <si>
    <t xml:space="preserve">ABC 5 kg recarga de clientes · Precinto con identificación del recargador</t>
  </si>
  <si>
    <t xml:space="preserve">BOM_COEF!R414 (por año)</t>
  </si>
  <si>
    <t xml:space="preserve">ABC 5 kg recarga del pool de sustitutos · Precinto con identificación del recargador</t>
  </si>
  <si>
    <t xml:space="preserve">ABC 10 kg recarga de clientes · Precinto con identificación del recargador</t>
  </si>
  <si>
    <t xml:space="preserve">BOM_COEF!R429 (por año)</t>
  </si>
  <si>
    <t xml:space="preserve">ABC 10 kg recarga del pool de sustitutos · Precinto con identificación del recargador</t>
  </si>
  <si>
    <t xml:space="preserve">ABC 25 kg recarga de clientes · Precinto con identificación del recargador</t>
  </si>
  <si>
    <t xml:space="preserve">BOM_COEF!R444 (por año)</t>
  </si>
  <si>
    <t xml:space="preserve">ABC 50 kg recarga de clientes · Precinto con identificación del recargador</t>
  </si>
  <si>
    <t xml:space="preserve">BOM_COEF!R459 (por año)</t>
  </si>
  <si>
    <t xml:space="preserve">ABC 50 kg recarga del pool de sustitutos · Precinto con identificación del recargador</t>
  </si>
  <si>
    <t xml:space="preserve">ABC 70 kg recarga de clientes · Precinto con identificación del recargador</t>
  </si>
  <si>
    <t xml:space="preserve">BOM_COEF!R474 (por año)</t>
  </si>
  <si>
    <t xml:space="preserve">ABC 100 kg recarga de clientes · Precinto con identificación del recargador</t>
  </si>
  <si>
    <t xml:space="preserve">BOM_COEF!R489 (por año)</t>
  </si>
  <si>
    <t xml:space="preserve">ABC 100 kg recarga del pool de sustitutos · Precinto con identificación del recargador</t>
  </si>
  <si>
    <t xml:space="preserve">Agua 10 l recarga de clientes · Precinto con identificación del recargador</t>
  </si>
  <si>
    <t xml:space="preserve">BOM_COEF!R502 (por año)</t>
  </si>
  <si>
    <t xml:space="preserve">Agua 10 l recarga del pool de sustitutos · Precinto con identificación del recargador</t>
  </si>
  <si>
    <t xml:space="preserve">AFFF 10 l recarga de clientes · Precinto con identificación del recargador</t>
  </si>
  <si>
    <t xml:space="preserve">BOM_COEF!R516 (por año)</t>
  </si>
  <si>
    <t xml:space="preserve">AFFF 10 l recarga del pool de sustitutos · Precinto con identificación del recargador</t>
  </si>
  <si>
    <t xml:space="preserve">AFFF 50 l rodante recarga de clientes · Precinto con identificación del recargador</t>
  </si>
  <si>
    <t xml:space="preserve">BOM_COEF!R530 (por año)</t>
  </si>
  <si>
    <t xml:space="preserve">AFFF 50 l rodante recarga del pool de sustitutos · Precinto con identificación del recargador</t>
  </si>
  <si>
    <t xml:space="preserve">BC 5 kg recarga de clientes · Precinto con identificación del recargador</t>
  </si>
  <si>
    <t xml:space="preserve">BOM_COEF!R545 (por año)</t>
  </si>
  <si>
    <t xml:space="preserve">BC 5 kg recarga del pool de sustitutos · Precinto con identificación del recargador</t>
  </si>
  <si>
    <t xml:space="preserve">Clase K 6 l recarga de clientes · Precinto con identificación del recargador</t>
  </si>
  <si>
    <t xml:space="preserve">BOM_COEF!R557 (por año)</t>
  </si>
  <si>
    <t xml:space="preserve">Clase K 6 l recarga del pool de sustitutos · Precinto con identificación del recargador</t>
  </si>
  <si>
    <t xml:space="preserve">CO₂ 2 kg recarga de clientes · Precinto con identificación del recargador</t>
  </si>
  <si>
    <t xml:space="preserve">BOM_COEF!R567 (por año)</t>
  </si>
  <si>
    <t xml:space="preserve">CO₂ 5 kg recarga de clientes · Precinto con identificación del recargador</t>
  </si>
  <si>
    <t xml:space="preserve">BOM_COEF!R578 (por año)</t>
  </si>
  <si>
    <t xml:space="preserve">CO₂ 5 kg recarga del pool de sustitutos · Precinto con identificación del recargador</t>
  </si>
  <si>
    <t xml:space="preserve">HCFC/HFC 5 kg recarga de clientes · Precinto con identificación del recargador</t>
  </si>
  <si>
    <t xml:space="preserve">BOM_COEF!R590 (por año)</t>
  </si>
  <si>
    <t xml:space="preserve">HCFC/HFC 5 kg recarga del pool de sustitutos · Precinto con identificación del recargador</t>
  </si>
  <si>
    <t xml:space="preserve">Clase D 9 l recarga de clientes · Precinto con identificación del recargador</t>
  </si>
  <si>
    <t xml:space="preserve">BOM_COEF!R602 (por año)</t>
  </si>
  <si>
    <t xml:space="preserve">Clase D 9 l recarga del pool de sustitutos · Precinto con identificación del recargador</t>
  </si>
  <si>
    <t xml:space="preserve">CO₂ 2 kg recarga de clientes · Conjunto de seguridad (disco)</t>
  </si>
  <si>
    <t xml:space="preserve">BOM_COEF!R572 (por año)</t>
  </si>
  <si>
    <t xml:space="preserve">CO₂ 5 kg recarga de clientes · Conjunto de seguridad (disco)</t>
  </si>
  <si>
    <t xml:space="preserve">BOM_COEF!R583 (por año)</t>
  </si>
  <si>
    <t xml:space="preserve">CO₂ 5 kg recarga del pool de sustitutos · Conjunto de seguridad (disco)</t>
  </si>
  <si>
    <t xml:space="preserve">Sustituto ABC 5 kg · Faja amarilla de sustituto en la pollera</t>
  </si>
  <si>
    <t xml:space="preserve">BOM_COEF!R611 (por año)</t>
  </si>
  <si>
    <t xml:space="preserve">Sustituto ABC 10 kg · Faja amarilla de sustituto en la pollera</t>
  </si>
  <si>
    <t xml:space="preserve">BOM_COEF!R615 (por año)</t>
  </si>
  <si>
    <t xml:space="preserve">Sustituto Agua 10 l · Faja amarilla de sustituto en la pollera</t>
  </si>
  <si>
    <t xml:space="preserve">BOM_COEF!R620 (por año)</t>
  </si>
  <si>
    <t xml:space="preserve">Sustituto AFFF 10 l · Faja amarilla de sustituto en la pollera</t>
  </si>
  <si>
    <t xml:space="preserve">BOM_COEF!R625 (por año)</t>
  </si>
  <si>
    <t xml:space="preserve">Sustituto AFFF 50 l rodante · Faja amarilla de sustituto en la pollera</t>
  </si>
  <si>
    <t xml:space="preserve">BOM_COEF!R630 (por año)</t>
  </si>
  <si>
    <t xml:space="preserve">Sustituto BC 5 kg · Faja amarilla de sustituto en la pollera</t>
  </si>
  <si>
    <t xml:space="preserve">BOM_COEF!R635 (por año)</t>
  </si>
  <si>
    <t xml:space="preserve">Sustituto Clase K 6 l · Faja amarilla de sustituto en la pollera</t>
  </si>
  <si>
    <t xml:space="preserve">BOM_COEF!R640 (por año)</t>
  </si>
  <si>
    <t xml:space="preserve">Sustituto CO₂ 5 kg · Faja amarilla de sustituto en la pollera</t>
  </si>
  <si>
    <t xml:space="preserve">BOM_COEF!R645 (por año)</t>
  </si>
  <si>
    <t xml:space="preserve">Sustituto HCFC/HFC 5 kg · Faja amarilla de sustituto en la pollera</t>
  </si>
  <si>
    <t xml:space="preserve">BOM_COEF!R650 (por año)</t>
  </si>
  <si>
    <t xml:space="preserve">Sustituto Clase D 9 l · Faja amarilla de sustituto en la pollera</t>
  </si>
  <si>
    <t xml:space="preserve">BOM_COEF!R655 (por año)</t>
  </si>
  <si>
    <t xml:space="preserve">Sustituto ABC 50 kg · Faja amarilla de sustituto en la pollera</t>
  </si>
  <si>
    <t xml:space="preserve">BOM_COEF!R659 (por año)</t>
  </si>
  <si>
    <t xml:space="preserve">Sustituto ABC 100 kg · Faja amarilla de sustituto en la pollera</t>
  </si>
  <si>
    <t xml:space="preserve">BOM_COEF!R663 (por año)</t>
  </si>
  <si>
    <t xml:space="preserve">Sustituto ABC 5 kg · Tarjeta DPS «SUSTITUTO HABILITADO»</t>
  </si>
  <si>
    <t xml:space="preserve">BOM_COEF!R612 (por año)</t>
  </si>
  <si>
    <t xml:space="preserve">Sustituto ABC 10 kg · Tarjeta DPS «SUSTITUTO HABILITADO»</t>
  </si>
  <si>
    <t xml:space="preserve">BOM_COEF!R616 (por año)</t>
  </si>
  <si>
    <t xml:space="preserve">Sustituto Agua 10 l · Tarjeta DPS «SUSTITUTO HABILITADO»</t>
  </si>
  <si>
    <t xml:space="preserve">BOM_COEF!R621 (por año)</t>
  </si>
  <si>
    <t xml:space="preserve">Sustituto AFFF 10 l · Tarjeta DPS «SUSTITUTO HABILITADO»</t>
  </si>
  <si>
    <t xml:space="preserve">BOM_COEF!R626 (por año)</t>
  </si>
  <si>
    <t xml:space="preserve">Sustituto AFFF 50 l rodante · Tarjeta DPS «SUSTITUTO HABILITADO»</t>
  </si>
  <si>
    <t xml:space="preserve">BOM_COEF!R631 (por año)</t>
  </si>
  <si>
    <t xml:space="preserve">Sustituto BC 5 kg · Tarjeta DPS «SUSTITUTO HABILITADO»</t>
  </si>
  <si>
    <t xml:space="preserve">BOM_COEF!R636 (por año)</t>
  </si>
  <si>
    <t xml:space="preserve">Sustituto Clase K 6 l · Tarjeta DPS «SUSTITUTO HABILITADO»</t>
  </si>
  <si>
    <t xml:space="preserve">BOM_COEF!R641 (por año)</t>
  </si>
  <si>
    <t xml:space="preserve">Sustituto CO₂ 5 kg · Tarjeta DPS «SUSTITUTO HABILITADO»</t>
  </si>
  <si>
    <t xml:space="preserve">BOM_COEF!R646 (por año)</t>
  </si>
  <si>
    <t xml:space="preserve">Sustituto HCFC/HFC 5 kg · Tarjeta DPS «SUSTITUTO HABILITADO»</t>
  </si>
  <si>
    <t xml:space="preserve">BOM_COEF!R651 (por año)</t>
  </si>
  <si>
    <t xml:space="preserve">Sustituto Clase D 9 l · Tarjeta DPS «SUSTITUTO HABILITADO»</t>
  </si>
  <si>
    <t xml:space="preserve">BOM_COEF!R656 (por año)</t>
  </si>
  <si>
    <t xml:space="preserve">Sustituto ABC 50 kg · Tarjeta DPS «SUSTITUTO HABILITADO»</t>
  </si>
  <si>
    <t xml:space="preserve">BOM_COEF!R660 (por año)</t>
  </si>
  <si>
    <t xml:space="preserve">Sustituto ABC 100 kg · Tarjeta DPS «SUSTITUTO HABILITADO»</t>
  </si>
  <si>
    <t xml:space="preserve">BOM_COEF!R664 (por año)</t>
  </si>
  <si>
    <t xml:space="preserve">Sustituto ABC 5 kg · Tarjeta AGC con «Es sustituto»</t>
  </si>
  <si>
    <t xml:space="preserve">BOM_COEF!R613 (por año)</t>
  </si>
  <si>
    <t xml:space="preserve">Sustituto ABC 10 kg · Tarjeta AGC con «Es sustituto»</t>
  </si>
  <si>
    <t xml:space="preserve">BOM_COEF!R617 (por año)</t>
  </si>
  <si>
    <t xml:space="preserve">Sustituto Agua 10 l · Tarjeta AGC con «Es sustituto»</t>
  </si>
  <si>
    <t xml:space="preserve">BOM_COEF!R622 (por año)</t>
  </si>
  <si>
    <t xml:space="preserve">Sustituto AFFF 10 l · Tarjeta AGC con «Es sustituto»</t>
  </si>
  <si>
    <t xml:space="preserve">BOM_COEF!R627 (por año)</t>
  </si>
  <si>
    <t xml:space="preserve">Sustituto AFFF 50 l rodante · Tarjeta AGC con «Es sustituto»</t>
  </si>
  <si>
    <t xml:space="preserve">BOM_COEF!R632 (por año)</t>
  </si>
  <si>
    <t xml:space="preserve">Sustituto BC 5 kg · Tarjeta AGC con «Es sustituto»</t>
  </si>
  <si>
    <t xml:space="preserve">BOM_COEF!R637 (por año)</t>
  </si>
  <si>
    <t xml:space="preserve">Sustituto Clase K 6 l · Tarjeta AGC con «Es sustituto»</t>
  </si>
  <si>
    <t xml:space="preserve">BOM_COEF!R642 (por año)</t>
  </si>
  <si>
    <t xml:space="preserve">Sustituto CO₂ 5 kg · Tarjeta AGC con «Es sustituto»</t>
  </si>
  <si>
    <t xml:space="preserve">BOM_COEF!R647 (por año)</t>
  </si>
  <si>
    <t xml:space="preserve">Sustituto HCFC/HFC 5 kg · Tarjeta AGC con «Es sustituto»</t>
  </si>
  <si>
    <t xml:space="preserve">BOM_COEF!R652 (por año)</t>
  </si>
  <si>
    <t xml:space="preserve">Sustituto Clase D 9 l · Tarjeta AGC con «Es sustituto»</t>
  </si>
  <si>
    <t xml:space="preserve">BOM_COEF!R657 (por año)</t>
  </si>
  <si>
    <t xml:space="preserve">Sustituto ABC 50 kg · Tarjeta AGC con «Es sustituto»</t>
  </si>
  <si>
    <t xml:space="preserve">BOM_COEF!R661 (por año)</t>
  </si>
  <si>
    <t xml:space="preserve">Sustituto ABC 100 kg · Tarjeta AGC con «Es sustituto»</t>
  </si>
  <si>
    <t xml:space="preserve">BOM_COEF!R665 (por año)</t>
  </si>
  <si>
    <t xml:space="preserve">Sustituto ABC 5 kg · Remito de préstamo con membrete</t>
  </si>
  <si>
    <t xml:space="preserve">BOM_COEF!R614 (por año)</t>
  </si>
  <si>
    <t xml:space="preserve">Sustituto ABC 10 kg · Remito de préstamo con membrete</t>
  </si>
  <si>
    <t xml:space="preserve">BOM_COEF!R618 (por año)</t>
  </si>
  <si>
    <t xml:space="preserve">Sustituto Agua 10 l · Remito de préstamo con membrete</t>
  </si>
  <si>
    <t xml:space="preserve">BOM_COEF!R623 (por año)</t>
  </si>
  <si>
    <t xml:space="preserve">Sustituto AFFF 10 l · Remito de préstamo con membrete</t>
  </si>
  <si>
    <t xml:space="preserve">BOM_COEF!R628 (por año)</t>
  </si>
  <si>
    <t xml:space="preserve">Sustituto AFFF 50 l rodante · Remito de préstamo con membrete</t>
  </si>
  <si>
    <t xml:space="preserve">BOM_COEF!R633 (por año)</t>
  </si>
  <si>
    <t xml:space="preserve">Sustituto BC 5 kg · Remito de préstamo con membrete</t>
  </si>
  <si>
    <t xml:space="preserve">BOM_COEF!R638 (por año)</t>
  </si>
  <si>
    <t xml:space="preserve">Sustituto Clase K 6 l · Remito de préstamo con membrete</t>
  </si>
  <si>
    <t xml:space="preserve">BOM_COEF!R643 (por año)</t>
  </si>
  <si>
    <t xml:space="preserve">Sustituto CO₂ 5 kg · Remito de préstamo con membrete</t>
  </si>
  <si>
    <t xml:space="preserve">BOM_COEF!R648 (por año)</t>
  </si>
  <si>
    <t xml:space="preserve">Sustituto HCFC/HFC 5 kg · Remito de préstamo con membrete</t>
  </si>
  <si>
    <t xml:space="preserve">BOM_COEF!R653 (por año)</t>
  </si>
  <si>
    <t xml:space="preserve">Sustituto Clase D 9 l · Remito de préstamo con membrete</t>
  </si>
  <si>
    <t xml:space="preserve">BOM_COEF!R658 (por año)</t>
  </si>
  <si>
    <t xml:space="preserve">Sustituto ABC 50 kg · Remito de préstamo con membrete</t>
  </si>
  <si>
    <t xml:space="preserve">BOM_COEF!R662 (por año)</t>
  </si>
  <si>
    <t xml:space="preserve">Sustituto ABC 100 kg · Remito de préstamo con membrete</t>
  </si>
  <si>
    <t xml:space="preserve">BOM_COEF!R666 (por año)</t>
  </si>
  <si>
    <t xml:space="preserve">BC 5 kg recarga de clientes · Polvo BC (reposición) / Polvo BC</t>
  </si>
  <si>
    <t xml:space="preserve">BOM_COEF!R543 (por año)</t>
  </si>
  <si>
    <t xml:space="preserve">BC 5 kg recarga del pool de sustitutos · Polvo BC (reposición) / Polvo BC</t>
  </si>
  <si>
    <t xml:space="preserve">Clase D 9 l recarga de clientes · Polvo para metales combustibles clase D (reposición) / Polvo para metales combustibles clase D</t>
  </si>
  <si>
    <t xml:space="preserve">BOM_COEF!R600 (por año)</t>
  </si>
  <si>
    <t xml:space="preserve">Clase D 9 l recarga del pool de sustitutos · Polvo para metales combustibles clase D (reposición) / Polvo para metales combustibles clase D</t>
  </si>
  <si>
    <t xml:space="preserve">CO₂ 2 kg recarga de clientes · Dióxido de carbono (reposición) / Dióxido de carbono</t>
  </si>
  <si>
    <t xml:space="preserve">BOM_COEF!R566 (por año)</t>
  </si>
  <si>
    <t xml:space="preserve">CO₂ 5 kg recarga de clientes · Dióxido de carbono (reposición) / Dióxido de carbono</t>
  </si>
  <si>
    <t xml:space="preserve">BOM_COEF!R577 (por año)</t>
  </si>
  <si>
    <t xml:space="preserve">CO₂ 5 kg recarga del pool de sustitutos · Dióxido de carbono (reposición) / Dióxido de carbono</t>
  </si>
  <si>
    <t xml:space="preserve">HCFC/HFC 5 kg recarga de clientes · HCFC 123 / HFC 236fa (reposición) / HCFC 123 / HFC 236fa</t>
  </si>
  <si>
    <t xml:space="preserve">BOM_COEF!R588 (por año)</t>
  </si>
  <si>
    <t xml:space="preserve">HCFC/HFC 5 kg recarga del pool de sustitutos · HCFC 123 / HFC 236fa (reposición) / HCFC 123 / HFC 236fa</t>
  </si>
  <si>
    <t xml:space="preserve">AFFF 10 l recarga de clientes · Concentrado AFFF 3 %</t>
  </si>
  <si>
    <t xml:space="preserve">BOM_COEF!R515 (por año)</t>
  </si>
  <si>
    <t xml:space="preserve">AFFF 10 l recarga del pool de sustitutos · Concentrado AFFF 3 %</t>
  </si>
  <si>
    <t xml:space="preserve">AFFF 50 l rodante recarga de clientes · Concentrado AFFF 3 %</t>
  </si>
  <si>
    <t xml:space="preserve">BOM_COEF!R529 (por año)</t>
  </si>
  <si>
    <t xml:space="preserve">AFFF 50 l rodante recarga del pool de sustitutos · Concentrado AFFF 3 %</t>
  </si>
  <si>
    <t xml:space="preserve">Clase K 6 l recarga de clientes · Acetato de potasio</t>
  </si>
  <si>
    <t xml:space="preserve">BOM_COEF!R555 (por año)</t>
  </si>
  <si>
    <t xml:space="preserve">Clase K 6 l recarga del pool de sustitutos · Acetato de potasio</t>
  </si>
  <si>
    <t xml:space="preserve">ABC 1 kg recarga de clientes · retoque de pintura</t>
  </si>
  <si>
    <t xml:space="preserve">PROCESO!I152</t>
  </si>
  <si>
    <t xml:space="preserve">ABC 2,5 kg recarga de clientes · retoque de pintura</t>
  </si>
  <si>
    <t xml:space="preserve">PROCESO!I153</t>
  </si>
  <si>
    <t xml:space="preserve">ABC 5 kg recarga de clientes · retoque de pintura</t>
  </si>
  <si>
    <t xml:space="preserve">PROCESO!I154</t>
  </si>
  <si>
    <t xml:space="preserve">ABC 5 kg recarga del pool de sustitutos · retoque de pintura</t>
  </si>
  <si>
    <t xml:space="preserve">ABC 10 kg recarga de clientes · retoque de pintura</t>
  </si>
  <si>
    <t xml:space="preserve">PROCESO!I155</t>
  </si>
  <si>
    <t xml:space="preserve">ABC 10 kg recarga del pool de sustitutos · retoque de pintura</t>
  </si>
  <si>
    <t xml:space="preserve">ABC 25 kg recarga de clientes · retoque de pintura</t>
  </si>
  <si>
    <t xml:space="preserve">PROCESO!I156</t>
  </si>
  <si>
    <t xml:space="preserve">ABC 50 kg recarga de clientes · retoque de pintura</t>
  </si>
  <si>
    <t xml:space="preserve">PROCESO!I157</t>
  </si>
  <si>
    <t xml:space="preserve">ABC 50 kg recarga del pool de sustitutos · retoque de pintura</t>
  </si>
  <si>
    <t xml:space="preserve">ABC 70 kg recarga de clientes · retoque de pintura</t>
  </si>
  <si>
    <t xml:space="preserve">PROCESO!I158</t>
  </si>
  <si>
    <t xml:space="preserve">ABC 100 kg recarga de clientes · retoque de pintura</t>
  </si>
  <si>
    <t xml:space="preserve">PROCESO!I159</t>
  </si>
  <si>
    <t xml:space="preserve">ABC 100 kg recarga del pool de sustitutos · retoque de pintura</t>
  </si>
  <si>
    <t xml:space="preserve">Agua 10 l recarga de clientes · retoque de pintura</t>
  </si>
  <si>
    <t xml:space="preserve">PROCESO!I160</t>
  </si>
  <si>
    <t xml:space="preserve">Agua 10 l recarga del pool de sustitutos · retoque de pintura</t>
  </si>
  <si>
    <t xml:space="preserve">AFFF 10 l recarga de clientes · retoque de pintura</t>
  </si>
  <si>
    <t xml:space="preserve">PROCESO!I161</t>
  </si>
  <si>
    <t xml:space="preserve">AFFF 10 l recarga del pool de sustitutos · retoque de pintura</t>
  </si>
  <si>
    <t xml:space="preserve">AFFF 50 l rodante recarga de clientes · retoque de pintura</t>
  </si>
  <si>
    <t xml:space="preserve">PROCESO!I162</t>
  </si>
  <si>
    <t xml:space="preserve">AFFF 50 l rodante recarga del pool de sustitutos · retoque de pintura</t>
  </si>
  <si>
    <t xml:space="preserve">BC 5 kg recarga de clientes · retoque de pintura</t>
  </si>
  <si>
    <t xml:space="preserve">PROCESO!I163</t>
  </si>
  <si>
    <t xml:space="preserve">BC 5 kg recarga del pool de sustitutos · retoque de pintura</t>
  </si>
  <si>
    <t xml:space="preserve">Clase K 6 l recarga de clientes · retoque de pintura</t>
  </si>
  <si>
    <t xml:space="preserve">PROCESO!I164</t>
  </si>
  <si>
    <t xml:space="preserve">Clase K 6 l recarga del pool de sustitutos · retoque de pintura</t>
  </si>
  <si>
    <t xml:space="preserve">CO₂ 2 kg recarga de clientes · retoque de pintura</t>
  </si>
  <si>
    <t xml:space="preserve">PROCESO!I165</t>
  </si>
  <si>
    <t xml:space="preserve">CO₂ 5 kg recarga de clientes · retoque de pintura</t>
  </si>
  <si>
    <t xml:space="preserve">PROCESO!I166</t>
  </si>
  <si>
    <t xml:space="preserve">CO₂ 5 kg recarga del pool de sustitutos · retoque de pintura</t>
  </si>
  <si>
    <t xml:space="preserve">HCFC/HFC 5 kg recarga de clientes · retoque de pintura</t>
  </si>
  <si>
    <t xml:space="preserve">PROCESO!I167</t>
  </si>
  <si>
    <t xml:space="preserve">HCFC/HFC 5 kg recarga del pool de sustitutos · retoque de pintura</t>
  </si>
  <si>
    <t xml:space="preserve">Clase D 9 l recarga de clientes · retoque de pintura</t>
  </si>
  <si>
    <t xml:space="preserve">PROCESO!I168</t>
  </si>
  <si>
    <t xml:space="preserve">Clase D 9 l recarga del pool de sustitutos · retoque de pintura</t>
  </si>
  <si>
    <t xml:space="preserve">Sustituto ABC 50 kg · Puesto 12, pintura (tercerizada)</t>
  </si>
  <si>
    <t xml:space="preserve">Sustituto ABC 100 kg · Puesto 12, pintura (tercerizada)</t>
  </si>
  <si>
    <t xml:space="preserve">Sustituto Agua 10 l · equipo terminado</t>
  </si>
  <si>
    <t xml:space="preserve">BOM_COEF!R619 (por año)</t>
  </si>
  <si>
    <t xml:space="preserve">Sustituto AFFF 10 l · equipo terminado</t>
  </si>
  <si>
    <t xml:space="preserve">BOM_COEF!R624 (por año)</t>
  </si>
  <si>
    <t xml:space="preserve">Sustituto AFFF 50 l rodante · equipo terminado</t>
  </si>
  <si>
    <t xml:space="preserve">BOM_COEF!R629 (por año)</t>
  </si>
  <si>
    <t xml:space="preserve">Sustituto BC 5 kg · equipo terminado</t>
  </si>
  <si>
    <t xml:space="preserve">BOM_COEF!R634 (por año)</t>
  </si>
  <si>
    <t xml:space="preserve">Sustituto Clase K 6 l · equipo terminado</t>
  </si>
  <si>
    <t xml:space="preserve">BOM_COEF!R639 (por año)</t>
  </si>
  <si>
    <t xml:space="preserve">Sustituto CO₂ 5 kg · equipo terminado</t>
  </si>
  <si>
    <t xml:space="preserve">BOM_COEF!R644 (por año)</t>
  </si>
  <si>
    <t xml:space="preserve">Sustituto HCFC/HFC 5 kg · equipo terminado</t>
  </si>
  <si>
    <t xml:space="preserve">BOM_COEF!R649 (por año)</t>
  </si>
  <si>
    <t xml:space="preserve">Sustituto Clase D 9 l · equipo terminado</t>
  </si>
  <si>
    <t xml:space="preserve">BOM_COEF!R654 (por año)</t>
  </si>
  <si>
    <t xml:space="preserve">INSUMOS INDIRECTOS RECARGAS: requerimiento bruto por año</t>
  </si>
  <si>
    <t xml:space="preserve">Sustituto ABC 5 kg · Soldadura longitudinal, de cuello y circunferencial (MAG 135)</t>
  </si>
  <si>
    <t xml:space="preserve">Sustituto ABC 10 kg · Soldadura longitudinal, de cuello y circunferencial (MAG 135)</t>
  </si>
  <si>
    <t xml:space="preserve">Sustituto ABC 50 kg · Soldadura (todos los puestos)</t>
  </si>
  <si>
    <t xml:space="preserve">Sustituto ABC 100 kg · Soldadura (todos los puestos)</t>
  </si>
  <si>
    <t xml:space="preserve">Sustituto ABC 50 kg · Puesto 8.1, fabricación de accesorios</t>
  </si>
  <si>
    <t xml:space="preserve">Sustituto ABC 100 kg · Puesto 4, placas de refuerzo</t>
  </si>
  <si>
    <t xml:space="preserve">Sustituto ABC 100 kg · Puesto 8.1, fabricación de accesorios</t>
  </si>
  <si>
    <t xml:space="preserve">Sustituto ABC 5 kg · Inspección y corrección de defectos (amoladora con disco flap)</t>
  </si>
  <si>
    <t xml:space="preserve">Sustituto ABC 10 kg · Inspección y corrección de defectos (amoladora con disco flap)</t>
  </si>
  <si>
    <t xml:space="preserve">Sustituto ABC 5 kg · Granallado (AirBlast G-100)</t>
  </si>
  <si>
    <t xml:space="preserve">Sustituto ABC 10 kg · Granallado (AirBlast G-100)</t>
  </si>
  <si>
    <t xml:space="preserve">Sustituto ABC 5 kg · Granallado y pintura (enmascarado de la rosca)</t>
  </si>
  <si>
    <t xml:space="preserve">Sustituto ABC 10 kg · Granallado y pintura (enmascarado de la rosca)</t>
  </si>
  <si>
    <t xml:space="preserve">INSUMOS DIRECTOS REVENDIDOS: requerimiento bruto por año</t>
  </si>
  <si>
    <t xml:space="preserve">Agua 10 l · tarjeta AGC</t>
  </si>
  <si>
    <t xml:space="preserve">BOM_COEF!R365 (por año)</t>
  </si>
  <si>
    <t xml:space="preserve">AFFF 10 l · tarjeta AGC</t>
  </si>
  <si>
    <t xml:space="preserve">BOM_COEF!R367 (por año)</t>
  </si>
  <si>
    <t xml:space="preserve">AFFF 50 l rodante · tarjeta AGC</t>
  </si>
  <si>
    <t xml:space="preserve">BOM_COEF!R369 (por año)</t>
  </si>
  <si>
    <t xml:space="preserve">BC 5 kg · tarjeta AGC</t>
  </si>
  <si>
    <t xml:space="preserve">BOM_COEF!R371 (por año)</t>
  </si>
  <si>
    <t xml:space="preserve">Clase K 6 l · tarjeta AGC</t>
  </si>
  <si>
    <t xml:space="preserve">BOM_COEF!R373 (por año)</t>
  </si>
  <si>
    <t xml:space="preserve">CO₂ 2 kg · tarjeta AGC</t>
  </si>
  <si>
    <t xml:space="preserve">BOM_COEF!R375 (por año)</t>
  </si>
  <si>
    <t xml:space="preserve">CO₂ 5 kg · tarjeta AGC</t>
  </si>
  <si>
    <t xml:space="preserve">BOM_COEF!R377 (por año)</t>
  </si>
  <si>
    <t xml:space="preserve">HCFC/HFC 5 kg · tarjeta AGC</t>
  </si>
  <si>
    <t xml:space="preserve">BOM_COEF!R379 (por año)</t>
  </si>
  <si>
    <t xml:space="preserve">Clase D 9 l · tarjeta AGC</t>
  </si>
  <si>
    <t xml:space="preserve">BOM_COEF!R381 (por año)</t>
  </si>
  <si>
    <t xml:space="preserve">Agua 10 l · equipo terminado</t>
  </si>
  <si>
    <t xml:space="preserve">BOM_COEF!R364 (por año)</t>
  </si>
  <si>
    <t xml:space="preserve">AFFF 10 l · equipo terminado</t>
  </si>
  <si>
    <t xml:space="preserve">BOM_COEF!R366 (por año)</t>
  </si>
  <si>
    <t xml:space="preserve">AFFF 50 l rodante · equipo terminado</t>
  </si>
  <si>
    <t xml:space="preserve">BOM_COEF!R368 (por año)</t>
  </si>
  <si>
    <t xml:space="preserve">BC 5 kg · equipo terminado</t>
  </si>
  <si>
    <t xml:space="preserve">BOM_COEF!R370 (por año)</t>
  </si>
  <si>
    <t xml:space="preserve">Clase K 6 l · equipo terminado</t>
  </si>
  <si>
    <t xml:space="preserve">BOM_COEF!R372 (por año)</t>
  </si>
  <si>
    <t xml:space="preserve">CO₂ 2 kg · equipo terminado</t>
  </si>
  <si>
    <t xml:space="preserve">BOM_COEF!R374 (por año)</t>
  </si>
  <si>
    <t xml:space="preserve">CO₂ 5 kg · equipo terminado</t>
  </si>
  <si>
    <t xml:space="preserve">BOM_COEF!R376 (por año)</t>
  </si>
  <si>
    <t xml:space="preserve">HCFC/HFC 5 kg · equipo terminado</t>
  </si>
  <si>
    <t xml:space="preserve">BOM_COEF!R378 (por año)</t>
  </si>
  <si>
    <t xml:space="preserve">Clase D 9 l · equipo terminado</t>
  </si>
  <si>
    <t xml:space="preserve">BOM_COEF!R380 (por año)</t>
  </si>
  <si>
    <t xml:space="preserve">INSUMOS INDIRECTOS REVENDIDOS: requerimiento bruto por año</t>
  </si>
  <si>
    <t xml:space="preserve">Sin insumos de este tipo: los equipos revendidos llegan terminados del fabricante; el manipuleo es del almacén</t>
  </si>
  <si>
    <t xml:space="preserve">CONSOLIDADO DE INSUMOS: requerimiento bruto por ítem, de qué línea y hoja sale</t>
  </si>
  <si>
    <t xml:space="preserve">Fila gris = total del ítem; abajo, una fila por hoja de origen (referencia a la fila de total del ítem en esa hoja). Tipo, clase, almacén, unidad de compra, proveedor y lead time se buscan en COMPRAS.</t>
  </si>
  <si>
    <t xml:space="preserve">Hoja de origen</t>
  </si>
  <si>
    <t xml:space="preserve">Año de diseño</t>
  </si>
  <si>
    <t xml:space="preserve">Unidad de compra</t>
  </si>
  <si>
    <t xml:space="preserve">Contenido por UC</t>
  </si>
  <si>
    <t xml:space="preserve">UC en el año de diseño</t>
  </si>
  <si>
    <t xml:space="preserve">Sale de INSUMOS_DIRECTOS_MANUALES</t>
  </si>
  <si>
    <t xml:space="preserve">INSUMOS_DIRECTOS_MANUALES</t>
  </si>
  <si>
    <t xml:space="preserve">Sale de INSUMOS_DIRECTOS_RECARGAS</t>
  </si>
  <si>
    <t xml:space="preserve">INSUMOS_DIRECTOS_RECARGAS</t>
  </si>
  <si>
    <t xml:space="preserve">Sale de INSUMOS_DIRECTOS_RODANTES</t>
  </si>
  <si>
    <t xml:space="preserve">INSUMOS_DIRECTOS_RODANTES</t>
  </si>
  <si>
    <t xml:space="preserve">Sale de INSUMOS_INDIRECTOS_MANUALES</t>
  </si>
  <si>
    <t xml:space="preserve">INSUMOS_INDIRECTOS_MANUALES</t>
  </si>
  <si>
    <t xml:space="preserve">Sale de INSUMOS_INDIRECTOS_RODANTES</t>
  </si>
  <si>
    <t xml:space="preserve">INSUMOS_INDIRECTOS_RODANTES</t>
  </si>
  <si>
    <t xml:space="preserve">Sale de INSUMOS_INDIRECTOS_RECARGAS</t>
  </si>
  <si>
    <t xml:space="preserve">INSUMOS_INDIRECTOS_RECARGAS</t>
  </si>
  <si>
    <t xml:space="preserve">Sale de INSUMOS_DIRECTOS_REVENDIDOS</t>
  </si>
  <si>
    <t xml:space="preserve">INSUMOS_DIRECTOS_REVENDIDOS</t>
  </si>
  <si>
    <t xml:space="preserve">POLÍTICA DE STOCK EN EL AÑO DE DISEÑO (año 10): por ítem y almacén</t>
  </si>
  <si>
    <t xml:space="preserve">d prom = consumo del año / días hábiles; d pico = consumo del mes pico / días hábiles del mes. SS = (d pico − d prom) × LT. Punto de pedido = d prom × LT + SS. Lote = consumo de T días en el pico, redondeado hacia arriba a la unidad de compra. Stock máximo = SS + lote. Las posiciones se suman por almacén y se redondean al final (los ítems chicos comparten posición). Los servicios no se almacenan.</t>
  </si>
  <si>
    <t xml:space="preserve">Consumo del año de diseño</t>
  </si>
  <si>
    <t xml:space="preserve">Mes pico (UM)</t>
  </si>
  <si>
    <t xml:space="preserve">d prom (UM/día)</t>
  </si>
  <si>
    <t xml:space="preserve">d pico (UM/día)</t>
  </si>
  <si>
    <t xml:space="preserve">Stock de seguridad (UM)</t>
  </si>
  <si>
    <t xml:space="preserve">Punto de pedido (UM)</t>
  </si>
  <si>
    <t xml:space="preserve">Lote (UM)</t>
  </si>
  <si>
    <t xml:space="preserve">Lote (UC)</t>
  </si>
  <si>
    <t xml:space="preserve">Stock máximo (UM)</t>
  </si>
  <si>
    <t xml:space="preserve">Stock máximo (UC)</t>
  </si>
  <si>
    <t xml:space="preserve">Cobertura del stock máx. (días)</t>
  </si>
  <si>
    <t xml:space="preserve">Entregas por año</t>
  </si>
  <si>
    <t xml:space="preserve">Posiciones (fracción)</t>
  </si>
  <si>
    <t xml:space="preserve">m²</t>
  </si>
  <si>
    <t xml:space="preserve">VERIFICACIÓN DE LOS ALMACENES (año de diseño)</t>
  </si>
  <si>
    <t xml:space="preserve">Posiciones requeridas</t>
  </si>
  <si>
    <t xml:space="preserve">Capacidad (posiciones)</t>
  </si>
  <si>
    <t xml:space="preserve">Resultado</t>
  </si>
  <si>
    <t xml:space="preserve">m² requeridos</t>
  </si>
  <si>
    <t xml:space="preserve">Capacidad según</t>
  </si>
  <si>
    <t xml:space="preserve">Sin capacidad fijada en el proceso: el layout debe prever los m²</t>
  </si>
  <si>
    <t xml:space="preserve">3 posiciones de 3,0 × 1,5 m con hasta 2 paquetes cada una (proceso de carros, puesto 1)</t>
  </si>
  <si>
    <t xml:space="preserve">3 módulos de 2,3 m × 2 niveles = 12 posiciones (proceso de carros, puesto 1)</t>
  </si>
  <si>
    <t xml:space="preserve">2 módulos × 2 niveles = 8 posiciones (proceso de carros, puesto 1)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</si>
</sst>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%"/>
    <numFmt numFmtId="166" formatCode="#,##0"/>
    <numFmt numFmtId="167" formatCode="0.00%"/>
    <numFmt numFmtId="168" formatCode="\$#,##0"/>
    <numFmt numFmtId="169" formatCode="0"/>
    <numFmt numFmtId="170" formatCode="#,##0.00"/>
    <numFmt numFmtId="171" formatCode="0%"/>
    <numFmt numFmtId="172" formatCode="0.000"/>
    <numFmt numFmtId="173" formatCode="0.######"/>
    <numFmt numFmtId="174" formatCode="0.##"/>
    <numFmt numFmtId="175" formatCode="0.000000"/>
    <numFmt numFmtId="176" formatCode="#,##0.0"/>
    <numFmt numFmtId="177" formatCode="#,##0.000"/>
    <numFmt numFmtId="178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2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3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8"/>
    <col collapsed="false" customWidth="true" hidden="false" outlineLevel="0" max="4" min="3" style="0" width="11"/>
    <col collapsed="false" customWidth="true" hidden="false" outlineLevel="0" max="5" min="5" style="0" width="70"/>
    <col collapsed="false" customWidth="true" hidden="false" outlineLevel="0" max="6" min="6" style="0" width="50"/>
    <col collapsed="false" customWidth="true" hidden="false" outlineLevel="0" max="13" min="13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15" hidden="false" customHeight="false" outlineLevel="0" collapsed="false">
      <c r="A4" s="4" t="s">
        <v>8</v>
      </c>
      <c r="B4" s="5" t="s">
        <v>9</v>
      </c>
      <c r="C4" s="4" t="n">
        <v>2035</v>
      </c>
      <c r="D4" s="4" t="s">
        <v>10</v>
      </c>
      <c r="E4" s="5" t="s">
        <v>11</v>
      </c>
      <c r="F4" s="5"/>
      <c r="G4" s="6"/>
      <c r="H4" s="6"/>
      <c r="I4" s="6"/>
      <c r="J4" s="6"/>
      <c r="K4" s="6"/>
      <c r="L4" s="6"/>
      <c r="M4" s="7"/>
    </row>
    <row r="5" customFormat="false" ht="23.85" hidden="false" customHeight="false" outlineLevel="0" collapsed="false">
      <c r="A5" s="4" t="s">
        <v>12</v>
      </c>
      <c r="B5" s="5" t="s">
        <v>13</v>
      </c>
      <c r="C5" s="4" t="n">
        <v>20</v>
      </c>
      <c r="D5" s="4" t="s">
        <v>14</v>
      </c>
      <c r="E5" s="5" t="s">
        <v>15</v>
      </c>
      <c r="F5" s="5" t="s">
        <v>16</v>
      </c>
      <c r="G5" s="6"/>
      <c r="H5" s="6"/>
      <c r="I5" s="6"/>
      <c r="J5" s="6"/>
      <c r="K5" s="6"/>
      <c r="L5" s="6"/>
      <c r="M5" s="7"/>
    </row>
    <row r="6" customFormat="false" ht="15" hidden="false" customHeight="false" outlineLevel="0" collapsed="false">
      <c r="A6" s="4" t="s">
        <v>17</v>
      </c>
      <c r="B6" s="5" t="s">
        <v>18</v>
      </c>
      <c r="C6" s="4" t="n">
        <f aca="false">12*INDEX(P_VAL,MATCH("DH_MES",P_ID,0))</f>
        <v>240</v>
      </c>
      <c r="D6" s="4" t="s">
        <v>14</v>
      </c>
      <c r="E6" s="5" t="s">
        <v>19</v>
      </c>
      <c r="F6" s="5"/>
      <c r="G6" s="6"/>
      <c r="H6" s="6"/>
      <c r="I6" s="6"/>
      <c r="J6" s="6"/>
      <c r="K6" s="6"/>
      <c r="L6" s="6"/>
      <c r="M6" s="7"/>
    </row>
    <row r="7" customFormat="false" ht="15" hidden="false" customHeight="false" outlineLevel="0" collapsed="false">
      <c r="A7" s="4" t="s">
        <v>20</v>
      </c>
      <c r="B7" s="5" t="s">
        <v>21</v>
      </c>
      <c r="C7" s="4" t="n">
        <v>0.01</v>
      </c>
      <c r="D7" s="4" t="s">
        <v>22</v>
      </c>
      <c r="E7" s="5" t="s">
        <v>23</v>
      </c>
      <c r="F7" s="5" t="s">
        <v>24</v>
      </c>
      <c r="G7" s="6"/>
      <c r="H7" s="6"/>
      <c r="I7" s="6"/>
      <c r="J7" s="6"/>
      <c r="K7" s="6"/>
      <c r="L7" s="6"/>
      <c r="M7" s="7"/>
    </row>
    <row r="8" customFormat="false" ht="15" hidden="false" customHeight="false" outlineLevel="0" collapsed="false">
      <c r="A8" s="4" t="s">
        <v>25</v>
      </c>
      <c r="B8" s="5" t="s">
        <v>26</v>
      </c>
      <c r="C8" s="4" t="n">
        <v>1.2492</v>
      </c>
      <c r="D8" s="4" t="s">
        <v>27</v>
      </c>
      <c r="E8" s="5" t="s">
        <v>28</v>
      </c>
      <c r="F8" s="5" t="s">
        <v>29</v>
      </c>
      <c r="G8" s="6"/>
      <c r="H8" s="6"/>
      <c r="I8" s="6"/>
      <c r="J8" s="6"/>
      <c r="K8" s="6"/>
      <c r="L8" s="6"/>
      <c r="M8" s="7"/>
    </row>
    <row r="9" customFormat="false" ht="15" hidden="false" customHeight="false" outlineLevel="0" collapsed="false">
      <c r="A9" s="4" t="s">
        <v>30</v>
      </c>
      <c r="B9" s="5" t="s">
        <v>31</v>
      </c>
      <c r="C9" s="4" t="n">
        <v>1.7846</v>
      </c>
      <c r="D9" s="4" t="s">
        <v>27</v>
      </c>
      <c r="E9" s="5" t="s">
        <v>32</v>
      </c>
      <c r="F9" s="5"/>
      <c r="G9" s="6"/>
      <c r="H9" s="6"/>
      <c r="I9" s="6"/>
      <c r="J9" s="6"/>
      <c r="K9" s="6"/>
      <c r="L9" s="6"/>
      <c r="M9" s="7"/>
    </row>
    <row r="10" customFormat="false" ht="23.85" hidden="false" customHeight="false" outlineLevel="0" collapsed="false">
      <c r="A10" s="4" t="s">
        <v>33</v>
      </c>
      <c r="B10" s="5" t="s">
        <v>34</v>
      </c>
      <c r="C10" s="4" t="n">
        <v>0.3</v>
      </c>
      <c r="D10" s="4" t="s">
        <v>22</v>
      </c>
      <c r="E10" s="5" t="s">
        <v>35</v>
      </c>
      <c r="F10" s="5" t="s">
        <v>36</v>
      </c>
      <c r="G10" s="6"/>
      <c r="H10" s="6"/>
      <c r="I10" s="6"/>
      <c r="J10" s="6"/>
      <c r="K10" s="6"/>
      <c r="L10" s="6"/>
      <c r="M10" s="7"/>
    </row>
    <row r="11" customFormat="false" ht="23.85" hidden="false" customHeight="false" outlineLevel="0" collapsed="false">
      <c r="A11" s="4" t="s">
        <v>37</v>
      </c>
      <c r="B11" s="5" t="s">
        <v>38</v>
      </c>
      <c r="C11" s="4" t="n">
        <v>4</v>
      </c>
      <c r="D11" s="4" t="s">
        <v>39</v>
      </c>
      <c r="E11" s="5" t="s">
        <v>40</v>
      </c>
      <c r="F11" s="5" t="s">
        <v>41</v>
      </c>
      <c r="G11" s="6"/>
      <c r="H11" s="6"/>
      <c r="I11" s="6"/>
      <c r="J11" s="6"/>
      <c r="K11" s="6"/>
      <c r="L11" s="6"/>
      <c r="M11" s="7"/>
    </row>
    <row r="12" customFormat="false" ht="15" hidden="false" customHeight="false" outlineLevel="0" collapsed="false">
      <c r="A12" s="4" t="s">
        <v>42</v>
      </c>
      <c r="B12" s="5" t="s">
        <v>43</v>
      </c>
      <c r="C12" s="4" t="n">
        <v>0.15</v>
      </c>
      <c r="D12" s="4" t="s">
        <v>22</v>
      </c>
      <c r="E12" s="5" t="s">
        <v>44</v>
      </c>
      <c r="F12" s="5"/>
      <c r="G12" s="6"/>
      <c r="H12" s="6"/>
      <c r="I12" s="6"/>
      <c r="J12" s="6"/>
      <c r="K12" s="6"/>
      <c r="L12" s="6"/>
      <c r="M12" s="7"/>
    </row>
    <row r="13" customFormat="false" ht="15" hidden="false" customHeight="false" outlineLevel="0" collapsed="false">
      <c r="A13" s="4" t="s">
        <v>45</v>
      </c>
      <c r="B13" s="5" t="s">
        <v>46</v>
      </c>
      <c r="C13" s="4" t="n">
        <v>0.05</v>
      </c>
      <c r="D13" s="4" t="s">
        <v>47</v>
      </c>
      <c r="E13" s="5" t="s">
        <v>48</v>
      </c>
      <c r="F13" s="5"/>
      <c r="G13" s="6"/>
      <c r="H13" s="6"/>
      <c r="I13" s="6"/>
      <c r="J13" s="6"/>
      <c r="K13" s="6"/>
      <c r="L13" s="6"/>
      <c r="M13" s="7"/>
    </row>
    <row r="14" customFormat="false" ht="23.85" hidden="false" customHeight="false" outlineLevel="0" collapsed="false">
      <c r="A14" s="4" t="s">
        <v>49</v>
      </c>
      <c r="B14" s="5" t="s">
        <v>50</v>
      </c>
      <c r="C14" s="4" t="n">
        <v>0.03</v>
      </c>
      <c r="D14" s="4" t="s">
        <v>22</v>
      </c>
      <c r="E14" s="5" t="s">
        <v>48</v>
      </c>
      <c r="F14" s="5" t="s">
        <v>51</v>
      </c>
      <c r="G14" s="6"/>
      <c r="H14" s="6"/>
      <c r="I14" s="6"/>
      <c r="J14" s="6"/>
      <c r="K14" s="6"/>
      <c r="L14" s="6"/>
      <c r="M14" s="7"/>
    </row>
    <row r="15" customFormat="false" ht="15" hidden="false" customHeight="false" outlineLevel="0" collapsed="false">
      <c r="A15" s="4" t="s">
        <v>52</v>
      </c>
      <c r="B15" s="5" t="s">
        <v>53</v>
      </c>
      <c r="C15" s="4" t="n">
        <v>0.08</v>
      </c>
      <c r="D15" s="4" t="s">
        <v>22</v>
      </c>
      <c r="E15" s="5" t="s">
        <v>48</v>
      </c>
      <c r="F15" s="5" t="s">
        <v>54</v>
      </c>
      <c r="G15" s="6"/>
      <c r="H15" s="6"/>
      <c r="I15" s="6"/>
      <c r="J15" s="6"/>
      <c r="K15" s="6"/>
      <c r="L15" s="6"/>
      <c r="M15" s="7"/>
    </row>
    <row r="16" customFormat="false" ht="15" hidden="false" customHeight="false" outlineLevel="0" collapsed="false">
      <c r="A16" s="4" t="s">
        <v>55</v>
      </c>
      <c r="B16" s="5" t="s">
        <v>56</v>
      </c>
      <c r="C16" s="4" t="n">
        <v>0.05</v>
      </c>
      <c r="D16" s="4" t="s">
        <v>22</v>
      </c>
      <c r="E16" s="5" t="s">
        <v>48</v>
      </c>
      <c r="F16" s="5" t="s">
        <v>54</v>
      </c>
      <c r="G16" s="6"/>
      <c r="H16" s="6"/>
      <c r="I16" s="6"/>
      <c r="J16" s="6"/>
      <c r="K16" s="6"/>
      <c r="L16" s="6"/>
      <c r="M16" s="7"/>
    </row>
    <row r="17" customFormat="false" ht="15" hidden="false" customHeight="false" outlineLevel="0" collapsed="false">
      <c r="A17" s="4" t="s">
        <v>57</v>
      </c>
      <c r="B17" s="5" t="s">
        <v>58</v>
      </c>
      <c r="C17" s="4" t="n">
        <v>1.63</v>
      </c>
      <c r="D17" s="4" t="s">
        <v>59</v>
      </c>
      <c r="E17" s="5" t="s">
        <v>60</v>
      </c>
      <c r="F17" s="5" t="s">
        <v>61</v>
      </c>
      <c r="G17" s="6"/>
      <c r="H17" s="6"/>
      <c r="I17" s="6"/>
      <c r="J17" s="6"/>
      <c r="K17" s="6"/>
      <c r="L17" s="6"/>
      <c r="M17" s="7"/>
    </row>
    <row r="18" customFormat="false" ht="15" hidden="false" customHeight="false" outlineLevel="0" collapsed="false">
      <c r="A18" s="4" t="s">
        <v>62</v>
      </c>
      <c r="B18" s="5" t="s">
        <v>63</v>
      </c>
      <c r="C18" s="4" t="n">
        <v>70</v>
      </c>
      <c r="D18" s="4" t="s">
        <v>64</v>
      </c>
      <c r="E18" s="5" t="s">
        <v>65</v>
      </c>
      <c r="F18" s="5" t="s">
        <v>66</v>
      </c>
      <c r="G18" s="6"/>
      <c r="H18" s="6"/>
      <c r="I18" s="6"/>
      <c r="J18" s="6"/>
      <c r="K18" s="6"/>
      <c r="L18" s="6"/>
      <c r="M18" s="7"/>
    </row>
    <row r="19" customFormat="false" ht="23.85" hidden="false" customHeight="false" outlineLevel="0" collapsed="false">
      <c r="A19" s="4" t="s">
        <v>67</v>
      </c>
      <c r="B19" s="5" t="s">
        <v>68</v>
      </c>
      <c r="C19" s="4" t="n">
        <v>0.95</v>
      </c>
      <c r="D19" s="4" t="s">
        <v>22</v>
      </c>
      <c r="E19" s="5" t="s">
        <v>69</v>
      </c>
      <c r="F19" s="5" t="s">
        <v>70</v>
      </c>
      <c r="G19" s="6"/>
      <c r="H19" s="6"/>
      <c r="I19" s="6"/>
      <c r="J19" s="6"/>
      <c r="K19" s="6"/>
      <c r="L19" s="6"/>
      <c r="M19" s="7"/>
    </row>
    <row r="20" customFormat="false" ht="15" hidden="false" customHeight="false" outlineLevel="0" collapsed="false">
      <c r="A20" s="4" t="s">
        <v>71</v>
      </c>
      <c r="B20" s="5" t="s">
        <v>72</v>
      </c>
      <c r="C20" s="4" t="n">
        <v>0.08</v>
      </c>
      <c r="D20" s="4" t="s">
        <v>73</v>
      </c>
      <c r="E20" s="5" t="s">
        <v>74</v>
      </c>
      <c r="F20" s="5"/>
      <c r="G20" s="6"/>
      <c r="H20" s="6"/>
      <c r="I20" s="6"/>
      <c r="J20" s="6"/>
      <c r="K20" s="6"/>
      <c r="L20" s="6"/>
      <c r="M20" s="7"/>
    </row>
    <row r="21" customFormat="false" ht="15" hidden="false" customHeight="false" outlineLevel="0" collapsed="false">
      <c r="A21" s="4" t="s">
        <v>75</v>
      </c>
      <c r="B21" s="5" t="s">
        <v>76</v>
      </c>
      <c r="C21" s="4" t="n">
        <v>50</v>
      </c>
      <c r="D21" s="4" t="s">
        <v>77</v>
      </c>
      <c r="E21" s="5" t="s">
        <v>78</v>
      </c>
      <c r="F21" s="5" t="s">
        <v>79</v>
      </c>
      <c r="G21" s="6"/>
      <c r="H21" s="6"/>
      <c r="I21" s="6"/>
      <c r="J21" s="6"/>
      <c r="K21" s="6"/>
      <c r="L21" s="6"/>
      <c r="M21" s="7"/>
    </row>
    <row r="22" customFormat="false" ht="15" hidden="false" customHeight="false" outlineLevel="0" collapsed="false">
      <c r="A22" s="4" t="s">
        <v>80</v>
      </c>
      <c r="B22" s="5" t="s">
        <v>81</v>
      </c>
      <c r="C22" s="4" t="n">
        <v>150</v>
      </c>
      <c r="D22" s="4" t="s">
        <v>82</v>
      </c>
      <c r="E22" s="5" t="s">
        <v>78</v>
      </c>
      <c r="F22" s="5" t="s">
        <v>83</v>
      </c>
      <c r="G22" s="6"/>
      <c r="H22" s="6"/>
      <c r="I22" s="6"/>
      <c r="J22" s="6"/>
      <c r="K22" s="6"/>
      <c r="L22" s="6"/>
      <c r="M22" s="7"/>
    </row>
    <row r="23" customFormat="false" ht="23.85" hidden="false" customHeight="false" outlineLevel="0" collapsed="false">
      <c r="A23" s="4" t="s">
        <v>84</v>
      </c>
      <c r="B23" s="5" t="s">
        <v>85</v>
      </c>
      <c r="C23" s="4" t="n">
        <f aca="false">48/(1216*0.01671+99*0.03388+446*0.04096+27*0.051)</f>
        <v>1.1080680279898</v>
      </c>
      <c r="D23" s="4" t="s">
        <v>86</v>
      </c>
      <c r="E23" s="5" t="s">
        <v>87</v>
      </c>
      <c r="F23" s="5" t="s">
        <v>88</v>
      </c>
      <c r="G23" s="6"/>
      <c r="H23" s="6"/>
      <c r="I23" s="6"/>
      <c r="J23" s="6"/>
      <c r="K23" s="6"/>
      <c r="L23" s="6"/>
      <c r="M23" s="7"/>
    </row>
    <row r="24" customFormat="false" ht="15" hidden="false" customHeight="false" outlineLevel="0" collapsed="false">
      <c r="A24" s="4" t="s">
        <v>89</v>
      </c>
      <c r="B24" s="5" t="s">
        <v>90</v>
      </c>
      <c r="C24" s="4" t="n">
        <v>4</v>
      </c>
      <c r="D24" s="4" t="s">
        <v>73</v>
      </c>
      <c r="E24" s="5" t="s">
        <v>78</v>
      </c>
      <c r="F24" s="5"/>
      <c r="G24" s="6"/>
      <c r="H24" s="6"/>
      <c r="I24" s="6"/>
      <c r="J24" s="6"/>
      <c r="K24" s="6"/>
      <c r="L24" s="6"/>
      <c r="M24" s="7"/>
    </row>
    <row r="25" customFormat="false" ht="15" hidden="false" customHeight="false" outlineLevel="0" collapsed="false">
      <c r="A25" s="4" t="s">
        <v>91</v>
      </c>
      <c r="B25" s="5" t="s">
        <v>92</v>
      </c>
      <c r="C25" s="4" t="n">
        <v>0.95</v>
      </c>
      <c r="D25" s="4" t="s">
        <v>22</v>
      </c>
      <c r="E25" s="5" t="s">
        <v>93</v>
      </c>
      <c r="F25" s="5"/>
      <c r="G25" s="6"/>
      <c r="H25" s="6"/>
      <c r="I25" s="6"/>
      <c r="J25" s="6"/>
      <c r="K25" s="6"/>
      <c r="L25" s="6"/>
      <c r="M25" s="7"/>
    </row>
    <row r="26" customFormat="false" ht="15" hidden="false" customHeight="false" outlineLevel="0" collapsed="false">
      <c r="A26" s="4" t="s">
        <v>94</v>
      </c>
      <c r="B26" s="5" t="s">
        <v>95</v>
      </c>
      <c r="C26" s="4" t="n">
        <v>0.35</v>
      </c>
      <c r="D26" s="4" t="s">
        <v>73</v>
      </c>
      <c r="E26" s="5" t="s">
        <v>96</v>
      </c>
      <c r="F26" s="5"/>
      <c r="G26" s="6"/>
      <c r="H26" s="6"/>
      <c r="I26" s="6"/>
      <c r="J26" s="6"/>
      <c r="K26" s="6"/>
      <c r="L26" s="6"/>
      <c r="M26" s="7"/>
    </row>
    <row r="27" customFormat="false" ht="15" hidden="false" customHeight="false" outlineLevel="0" collapsed="false">
      <c r="A27" s="4" t="s">
        <v>97</v>
      </c>
      <c r="B27" s="5" t="s">
        <v>98</v>
      </c>
      <c r="C27" s="4" t="n">
        <v>4</v>
      </c>
      <c r="D27" s="4" t="s">
        <v>82</v>
      </c>
      <c r="E27" s="5" t="s">
        <v>99</v>
      </c>
      <c r="F27" s="5"/>
      <c r="G27" s="6"/>
      <c r="H27" s="6"/>
      <c r="I27" s="6"/>
      <c r="J27" s="6"/>
      <c r="K27" s="6"/>
      <c r="L27" s="6"/>
      <c r="M27" s="7"/>
    </row>
    <row r="28" customFormat="false" ht="15" hidden="false" customHeight="false" outlineLevel="0" collapsed="false">
      <c r="A28" s="6"/>
      <c r="B28" s="7"/>
      <c r="C28" s="6"/>
      <c r="D28" s="6"/>
      <c r="E28" s="7"/>
      <c r="F28" s="7"/>
      <c r="G28" s="6"/>
      <c r="H28" s="6"/>
      <c r="I28" s="6"/>
      <c r="J28" s="6"/>
      <c r="K28" s="6"/>
      <c r="L28" s="6"/>
      <c r="M28" s="7"/>
    </row>
    <row r="29" customFormat="false" ht="15" hidden="false" customHeight="false" outlineLevel="0" collapsed="false">
      <c r="A29" s="8" t="s">
        <v>100</v>
      </c>
      <c r="B29" s="7"/>
      <c r="C29" s="6"/>
      <c r="D29" s="6"/>
      <c r="E29" s="7"/>
      <c r="F29" s="7"/>
      <c r="G29" s="6"/>
      <c r="H29" s="6"/>
      <c r="I29" s="6"/>
      <c r="J29" s="6"/>
      <c r="K29" s="6"/>
      <c r="L29" s="6"/>
      <c r="M29" s="7"/>
    </row>
    <row r="30" customFormat="false" ht="31.5" hidden="false" customHeight="true" outlineLevel="0" collapsed="false">
      <c r="A30" s="9" t="s">
        <v>2</v>
      </c>
      <c r="B30" s="10" t="s">
        <v>3</v>
      </c>
      <c r="C30" s="9" t="n">
        <v>2026</v>
      </c>
      <c r="D30" s="9" t="n">
        <v>2027</v>
      </c>
      <c r="E30" s="10" t="n">
        <v>2028</v>
      </c>
      <c r="F30" s="10" t="n">
        <v>2029</v>
      </c>
      <c r="G30" s="9" t="n">
        <v>2030</v>
      </c>
      <c r="H30" s="9" t="n">
        <v>2031</v>
      </c>
      <c r="I30" s="9" t="n">
        <v>2032</v>
      </c>
      <c r="J30" s="9" t="n">
        <v>2033</v>
      </c>
      <c r="K30" s="9" t="n">
        <v>2034</v>
      </c>
      <c r="L30" s="9" t="n">
        <v>2035</v>
      </c>
      <c r="M30" s="10" t="s">
        <v>6</v>
      </c>
    </row>
    <row r="31" customFormat="false" ht="23.85" hidden="false" customHeight="false" outlineLevel="0" collapsed="false">
      <c r="A31" s="4" t="s">
        <v>101</v>
      </c>
      <c r="B31" s="5" t="s">
        <v>102</v>
      </c>
      <c r="C31" s="11" t="n">
        <v>0.04764</v>
      </c>
      <c r="D31" s="11" t="n">
        <v>0.047636</v>
      </c>
      <c r="E31" s="12" t="n">
        <v>0.047637</v>
      </c>
      <c r="F31" s="12" t="n">
        <v>0.047639</v>
      </c>
      <c r="G31" s="11" t="n">
        <v>0.047636</v>
      </c>
      <c r="H31" s="11" t="n">
        <v>0.047637</v>
      </c>
      <c r="I31" s="11" t="n">
        <v>0.047636</v>
      </c>
      <c r="J31" s="11" t="n">
        <v>0.047638</v>
      </c>
      <c r="K31" s="11" t="n">
        <v>0.047636</v>
      </c>
      <c r="L31" s="11" t="n">
        <v>0.047633</v>
      </c>
      <c r="M31" s="5" t="s">
        <v>103</v>
      </c>
    </row>
    <row r="32" customFormat="false" ht="15" hidden="false" customHeight="false" outlineLevel="0" collapsed="false">
      <c r="A32" s="4" t="s">
        <v>104</v>
      </c>
      <c r="B32" s="5" t="s">
        <v>105</v>
      </c>
      <c r="C32" s="11" t="n">
        <f aca="false">(PROY_INDEXADO!B61+PROY_INDEXADO!B62+PROY_INDEXADO!B63+PROY_INDEXADO!B64)/PROY_INDEXADO!B75</f>
        <v>0.257376478873826</v>
      </c>
      <c r="D32" s="11" t="n">
        <f aca="false">(PROY_INDEXADO!C61+PROY_INDEXADO!C62+PROY_INDEXADO!C63+PROY_INDEXADO!C64)/PROY_INDEXADO!C75</f>
        <v>0.256927394513333</v>
      </c>
      <c r="E32" s="12" t="n">
        <f aca="false">(PROY_INDEXADO!D61+PROY_INDEXADO!D62+PROY_INDEXADO!D63+PROY_INDEXADO!D64)/PROY_INDEXADO!D75</f>
        <v>0.256522292791618</v>
      </c>
      <c r="F32" s="12" t="n">
        <f aca="false">(PROY_INDEXADO!E61+PROY_INDEXADO!E62+PROY_INDEXADO!E63+PROY_INDEXADO!E64)/PROY_INDEXADO!E75</f>
        <v>0.256166766242474</v>
      </c>
      <c r="G32" s="11" t="n">
        <f aca="false">(PROY_INDEXADO!F61+PROY_INDEXADO!F62+PROY_INDEXADO!F63+PROY_INDEXADO!F64)/PROY_INDEXADO!F75</f>
        <v>0.25587060997446</v>
      </c>
      <c r="H32" s="11" t="n">
        <f aca="false">(PROY_INDEXADO!G61+PROY_INDEXADO!G62+PROY_INDEXADO!G63+PROY_INDEXADO!G64)/PROY_INDEXADO!G75</f>
        <v>0.255640904745145</v>
      </c>
      <c r="I32" s="11" t="n">
        <f aca="false">(PROY_INDEXADO!H61+PROY_INDEXADO!H62+PROY_INDEXADO!H63+PROY_INDEXADO!H64)/PROY_INDEXADO!H75</f>
        <v>0.255490530736656</v>
      </c>
      <c r="J32" s="11" t="n">
        <f aca="false">(PROY_INDEXADO!I61+PROY_INDEXADO!I62+PROY_INDEXADO!I63+PROY_INDEXADO!I64)/PROY_INDEXADO!I75</f>
        <v>0.255430625601109</v>
      </c>
      <c r="K32" s="11" t="n">
        <f aca="false">(PROY_INDEXADO!J61+PROY_INDEXADO!J62+PROY_INDEXADO!J63+PROY_INDEXADO!J64)/PROY_INDEXADO!J75</f>
        <v>0.255476934050293</v>
      </c>
      <c r="L32" s="11" t="n">
        <f aca="false">(PROY_INDEXADO!K61+PROY_INDEXADO!K62+PROY_INDEXADO!K63+PROY_INDEXADO!K64)/PROY_INDEXADO!K75</f>
        <v>0.255645713301218</v>
      </c>
      <c r="M32" s="5" t="s">
        <v>106</v>
      </c>
    </row>
    <row r="33" customFormat="false" ht="23.85" hidden="false" customHeight="false" outlineLevel="0" collapsed="false">
      <c r="A33" s="4" t="s">
        <v>107</v>
      </c>
      <c r="B33" s="5" t="s">
        <v>108</v>
      </c>
      <c r="C33" s="11" t="n">
        <f aca="false">(PROY_INDEXADO!B79+PROY_INDEXADO!B80+PROY_INDEXADO!B81+PROY_INDEXADO!B82)/PROY_INDEXADO!B93</f>
        <v>0.233152989787015</v>
      </c>
      <c r="D33" s="11" t="n">
        <f aca="false">(PROY_INDEXADO!C79+PROY_INDEXADO!C80+PROY_INDEXADO!C81+PROY_INDEXADO!C82)/PROY_INDEXADO!C93</f>
        <v>0.233064757025375</v>
      </c>
      <c r="E33" s="12" t="n">
        <f aca="false">(PROY_INDEXADO!D79+PROY_INDEXADO!D80+PROY_INDEXADO!D81+PROY_INDEXADO!D82)/PROY_INDEXADO!D93</f>
        <v>0.233059716513857</v>
      </c>
      <c r="F33" s="12" t="n">
        <f aca="false">(PROY_INDEXADO!E79+PROY_INDEXADO!E80+PROY_INDEXADO!E81+PROY_INDEXADO!E82)/PROY_INDEXADO!E93</f>
        <v>0.233125194449726</v>
      </c>
      <c r="G33" s="11" t="n">
        <f aca="false">(PROY_INDEXADO!F79+PROY_INDEXADO!F80+PROY_INDEXADO!F81+PROY_INDEXADO!F82)/PROY_INDEXADO!F93</f>
        <v>0.233289483857775</v>
      </c>
      <c r="H33" s="11" t="n">
        <f aca="false">(PROY_INDEXADO!G79+PROY_INDEXADO!G80+PROY_INDEXADO!G81+PROY_INDEXADO!G82)/PROY_INDEXADO!G93</f>
        <v>0.233568531672242</v>
      </c>
      <c r="I33" s="11" t="n">
        <f aca="false">(PROY_INDEXADO!H79+PROY_INDEXADO!H80+PROY_INDEXADO!H81+PROY_INDEXADO!H82)/PROY_INDEXADO!H93</f>
        <v>0.233980575645323</v>
      </c>
      <c r="J33" s="11" t="n">
        <f aca="false">(PROY_INDEXADO!I79+PROY_INDEXADO!I80+PROY_INDEXADO!I81+PROY_INDEXADO!I82)/PROY_INDEXADO!I93</f>
        <v>0.234541859730553</v>
      </c>
      <c r="K33" s="11" t="n">
        <f aca="false">(PROY_INDEXADO!J79+PROY_INDEXADO!J80+PROY_INDEXADO!J81+PROY_INDEXADO!J82)/PROY_INDEXADO!J93</f>
        <v>0.235274813271159</v>
      </c>
      <c r="L33" s="11" t="n">
        <f aca="false">(PROY_INDEXADO!K79+PROY_INDEXADO!K80+PROY_INDEXADO!K81+PROY_INDEXADO!K82)/PROY_INDEXADO!K93</f>
        <v>0.236215167137701</v>
      </c>
      <c r="M33" s="5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3" t="s">
        <v>110</v>
      </c>
    </row>
    <row r="2" customFormat="false" ht="15" hidden="false" customHeight="false" outlineLevel="0" collapsed="false">
      <c r="A2" s="13" t="s">
        <v>111</v>
      </c>
      <c r="B2" s="13" t="n">
        <v>2026</v>
      </c>
      <c r="C2" s="13" t="n">
        <v>2027</v>
      </c>
      <c r="D2" s="13" t="n">
        <v>2028</v>
      </c>
      <c r="E2" s="13" t="n">
        <v>2029</v>
      </c>
      <c r="F2" s="13" t="n">
        <v>2030</v>
      </c>
      <c r="G2" s="13" t="n">
        <v>2031</v>
      </c>
      <c r="H2" s="13" t="n">
        <v>2032</v>
      </c>
      <c r="I2" s="13" t="n">
        <v>2033</v>
      </c>
      <c r="J2" s="13" t="n">
        <v>2034</v>
      </c>
      <c r="K2" s="13" t="n">
        <v>2035</v>
      </c>
      <c r="L2" s="13" t="s">
        <v>112</v>
      </c>
    </row>
    <row r="3" customFormat="false" ht="15" hidden="false" customHeight="false" outlineLevel="0" collapsed="false">
      <c r="A3" s="14" t="s">
        <v>113</v>
      </c>
      <c r="B3" s="15" t="n">
        <v>4178.736543</v>
      </c>
      <c r="C3" s="15" t="n">
        <v>5997.303977</v>
      </c>
      <c r="D3" s="15" t="n">
        <v>6851.747758</v>
      </c>
      <c r="E3" s="15" t="n">
        <v>8467.135549</v>
      </c>
      <c r="F3" s="15" t="n">
        <v>12680.63271</v>
      </c>
      <c r="G3" s="15" t="n">
        <v>15620.25307</v>
      </c>
      <c r="H3" s="15" t="n">
        <v>20332.55326</v>
      </c>
      <c r="I3" s="15" t="n">
        <v>25132.07848</v>
      </c>
      <c r="J3" s="15" t="n">
        <v>28573.33614</v>
      </c>
      <c r="K3" s="15" t="n">
        <v>32072.63913</v>
      </c>
      <c r="L3" s="16" t="n">
        <v>0.4339875715</v>
      </c>
    </row>
    <row r="4" customFormat="false" ht="15" hidden="false" customHeight="false" outlineLevel="0" collapsed="false">
      <c r="A4" s="14" t="s">
        <v>114</v>
      </c>
      <c r="B4" s="15" t="n">
        <v>295.0303572</v>
      </c>
      <c r="C4" s="15" t="n">
        <v>709.7274503</v>
      </c>
      <c r="D4" s="15" t="n">
        <v>986.8680576</v>
      </c>
      <c r="E4" s="15" t="n">
        <v>1500.638174</v>
      </c>
      <c r="F4" s="15" t="n">
        <v>2312.627726</v>
      </c>
      <c r="G4" s="15" t="n">
        <v>3252.869887</v>
      </c>
      <c r="H4" s="15" t="n">
        <v>4102.315524</v>
      </c>
      <c r="I4" s="15" t="n">
        <v>5104.306587</v>
      </c>
      <c r="J4" s="15" t="n">
        <v>6195.186243</v>
      </c>
      <c r="K4" s="15" t="n">
        <v>7424.858444</v>
      </c>
      <c r="L4" s="16" t="n">
        <v>0.1004686977</v>
      </c>
    </row>
    <row r="5" customFormat="false" ht="15" hidden="false" customHeight="false" outlineLevel="0" collapsed="false">
      <c r="A5" s="14" t="s">
        <v>115</v>
      </c>
      <c r="B5" s="15" t="n">
        <v>2255.773025</v>
      </c>
      <c r="C5" s="15" t="n">
        <v>3846.978881</v>
      </c>
      <c r="D5" s="15" t="n">
        <v>5093.537591</v>
      </c>
      <c r="E5" s="15" t="n">
        <v>6823.115313</v>
      </c>
      <c r="F5" s="15" t="n">
        <v>10819.30694</v>
      </c>
      <c r="G5" s="15" t="n">
        <v>14605.96411</v>
      </c>
      <c r="H5" s="15" t="n">
        <v>18877.75984</v>
      </c>
      <c r="I5" s="15" t="n">
        <v>23368.18637</v>
      </c>
      <c r="J5" s="15" t="n">
        <v>26967.72455</v>
      </c>
      <c r="K5" s="15" t="n">
        <v>30750.77872</v>
      </c>
      <c r="L5" s="16" t="n">
        <v>0.4161009552</v>
      </c>
    </row>
    <row r="6" customFormat="false" ht="15" hidden="false" customHeight="false" outlineLevel="0" collapsed="false">
      <c r="A6" s="14" t="s">
        <v>116</v>
      </c>
      <c r="B6" s="15" t="n">
        <v>91.83318153</v>
      </c>
      <c r="C6" s="15" t="n">
        <v>177.2472967</v>
      </c>
      <c r="D6" s="15" t="n">
        <v>252.9787798</v>
      </c>
      <c r="E6" s="15" t="n">
        <v>358.0204941</v>
      </c>
      <c r="F6" s="15" t="n">
        <v>602.7181519</v>
      </c>
      <c r="G6" s="15" t="n">
        <v>872.605032</v>
      </c>
      <c r="H6" s="15" t="n">
        <v>1127.160545</v>
      </c>
      <c r="I6" s="15" t="n">
        <v>1395.444812</v>
      </c>
      <c r="J6" s="15" t="n">
        <v>1612.350054</v>
      </c>
      <c r="K6" s="15" t="n">
        <v>1840.848079</v>
      </c>
      <c r="L6" s="16" t="n">
        <v>0.02490924379</v>
      </c>
    </row>
    <row r="7" customFormat="false" ht="15" hidden="false" customHeight="false" outlineLevel="0" collapsed="false">
      <c r="A7" s="14" t="s">
        <v>117</v>
      </c>
      <c r="B7" s="15" t="n">
        <v>34.05179136</v>
      </c>
      <c r="C7" s="15" t="n">
        <v>58.46214745</v>
      </c>
      <c r="D7" s="15" t="n">
        <v>75.20853998</v>
      </c>
      <c r="E7" s="15" t="n">
        <v>100.5298529</v>
      </c>
      <c r="F7" s="15" t="n">
        <v>155.8760035</v>
      </c>
      <c r="G7" s="15" t="n">
        <v>211.9344827</v>
      </c>
      <c r="H7" s="15" t="n">
        <v>272.6682332</v>
      </c>
      <c r="I7" s="15" t="n">
        <v>337.8486707</v>
      </c>
      <c r="J7" s="15" t="n">
        <v>393.6274156</v>
      </c>
      <c r="K7" s="15" t="n">
        <v>453.2705332</v>
      </c>
      <c r="L7" s="16" t="n">
        <v>0.006133382949</v>
      </c>
    </row>
    <row r="8" customFormat="false" ht="15" hidden="false" customHeight="false" outlineLevel="0" collapsed="false">
      <c r="A8" s="14" t="s">
        <v>118</v>
      </c>
      <c r="B8" s="15" t="n">
        <v>74.913941</v>
      </c>
      <c r="C8" s="15" t="n">
        <v>128.6167244</v>
      </c>
      <c r="D8" s="15" t="n">
        <v>165.458788</v>
      </c>
      <c r="E8" s="15" t="n">
        <v>221.1656765</v>
      </c>
      <c r="F8" s="15" t="n">
        <v>342.9272077</v>
      </c>
      <c r="G8" s="15" t="n">
        <v>466.255862</v>
      </c>
      <c r="H8" s="15" t="n">
        <v>599.8701129</v>
      </c>
      <c r="I8" s="15" t="n">
        <v>743.2670756</v>
      </c>
      <c r="J8" s="15" t="n">
        <v>865.9803143</v>
      </c>
      <c r="K8" s="15" t="n">
        <v>997.1951731</v>
      </c>
      <c r="L8" s="16" t="n">
        <v>0.01349344249</v>
      </c>
    </row>
    <row r="9" customFormat="false" ht="15" hidden="false" customHeight="false" outlineLevel="0" collapsed="false">
      <c r="A9" s="14" t="s">
        <v>119</v>
      </c>
      <c r="B9" s="15" t="n">
        <v>16.34485985</v>
      </c>
      <c r="C9" s="15" t="n">
        <v>28.06183078</v>
      </c>
      <c r="D9" s="15" t="n">
        <v>36.10009919</v>
      </c>
      <c r="E9" s="15" t="n">
        <v>48.25432941</v>
      </c>
      <c r="F9" s="15" t="n">
        <v>74.82048167</v>
      </c>
      <c r="G9" s="15" t="n">
        <v>101.7285517</v>
      </c>
      <c r="H9" s="15" t="n">
        <v>130.8807519</v>
      </c>
      <c r="I9" s="15" t="n">
        <v>162.1673619</v>
      </c>
      <c r="J9" s="15" t="n">
        <v>188.9411595</v>
      </c>
      <c r="K9" s="15" t="n">
        <v>217.569856</v>
      </c>
      <c r="L9" s="16" t="n">
        <v>0.002944023815</v>
      </c>
    </row>
    <row r="10" customFormat="false" ht="15" hidden="false" customHeight="false" outlineLevel="0" collapsed="false">
      <c r="A10" s="14" t="s">
        <v>120</v>
      </c>
      <c r="B10" s="15" t="n">
        <v>10.89657324</v>
      </c>
      <c r="C10" s="15" t="n">
        <v>18.70788719</v>
      </c>
      <c r="D10" s="15" t="n">
        <v>24.06673279</v>
      </c>
      <c r="E10" s="15" t="n">
        <v>32.16955294</v>
      </c>
      <c r="F10" s="15" t="n">
        <v>49.88032112</v>
      </c>
      <c r="G10" s="15" t="n">
        <v>67.81903447</v>
      </c>
      <c r="H10" s="15" t="n">
        <v>87.25383461</v>
      </c>
      <c r="I10" s="15" t="n">
        <v>108.1115746</v>
      </c>
      <c r="J10" s="15" t="n">
        <v>125.960773</v>
      </c>
      <c r="K10" s="15" t="n">
        <v>145.0465706</v>
      </c>
      <c r="L10" s="16" t="n">
        <v>0.001962682544</v>
      </c>
    </row>
    <row r="11" customFormat="false" ht="15" hidden="false" customHeight="false" outlineLevel="0" collapsed="false">
      <c r="A11" s="13" t="s">
        <v>121</v>
      </c>
      <c r="B11" s="17" t="n">
        <v>6957.580272</v>
      </c>
      <c r="C11" s="17" t="n">
        <v>10965.10619</v>
      </c>
      <c r="D11" s="17" t="n">
        <v>13485.96635</v>
      </c>
      <c r="E11" s="17" t="n">
        <v>17551.02894</v>
      </c>
      <c r="F11" s="17" t="n">
        <v>27038.78955</v>
      </c>
      <c r="G11" s="17" t="n">
        <v>35199.43004</v>
      </c>
      <c r="H11" s="17" t="n">
        <v>45530.46211</v>
      </c>
      <c r="I11" s="17" t="n">
        <v>56351.41093</v>
      </c>
      <c r="J11" s="17" t="n">
        <v>64923.10665</v>
      </c>
      <c r="K11" s="17" t="n">
        <v>73902.20651</v>
      </c>
      <c r="L11" s="18" t="n">
        <v>1</v>
      </c>
    </row>
    <row r="13" customFormat="false" ht="15" hidden="false" customHeight="false" outlineLevel="0" collapsed="false">
      <c r="A13" s="13" t="s">
        <v>122</v>
      </c>
    </row>
    <row r="14" customFormat="false" ht="15" hidden="false" customHeight="false" outlineLevel="0" collapsed="false">
      <c r="A14" s="13" t="s">
        <v>111</v>
      </c>
      <c r="B14" s="13" t="n">
        <v>2026</v>
      </c>
      <c r="C14" s="13" t="n">
        <v>2027</v>
      </c>
      <c r="D14" s="13" t="n">
        <v>2028</v>
      </c>
      <c r="E14" s="13" t="n">
        <v>2029</v>
      </c>
      <c r="F14" s="13" t="n">
        <v>2030</v>
      </c>
      <c r="G14" s="13" t="n">
        <v>2031</v>
      </c>
      <c r="H14" s="13" t="n">
        <v>2032</v>
      </c>
      <c r="I14" s="13" t="n">
        <v>2033</v>
      </c>
      <c r="J14" s="13" t="n">
        <v>2034</v>
      </c>
      <c r="K14" s="13" t="n">
        <v>2035</v>
      </c>
      <c r="L14" s="13" t="s">
        <v>112</v>
      </c>
    </row>
    <row r="15" customFormat="false" ht="15" hidden="false" customHeight="false" outlineLevel="0" collapsed="false">
      <c r="A15" s="14" t="s">
        <v>123</v>
      </c>
      <c r="B15" s="15" t="n">
        <v>0</v>
      </c>
      <c r="C15" s="15" t="n">
        <v>0</v>
      </c>
      <c r="D15" s="15" t="n">
        <v>7662.4</v>
      </c>
      <c r="E15" s="15" t="n">
        <v>26694.8</v>
      </c>
      <c r="F15" s="15" t="n">
        <v>49434.8</v>
      </c>
      <c r="G15" s="15" t="n">
        <v>71680.2</v>
      </c>
      <c r="H15" s="15" t="n">
        <v>101340.6</v>
      </c>
      <c r="I15" s="15" t="n">
        <v>131001</v>
      </c>
      <c r="J15" s="15" t="n">
        <v>146819.8</v>
      </c>
      <c r="K15" s="15" t="n">
        <v>170548</v>
      </c>
      <c r="L15" s="16" t="n">
        <v>0.7990816661</v>
      </c>
    </row>
    <row r="16" customFormat="false" ht="15" hidden="false" customHeight="false" outlineLevel="0" collapsed="false">
      <c r="A16" s="14" t="s">
        <v>124</v>
      </c>
      <c r="B16" s="15" t="n">
        <v>0</v>
      </c>
      <c r="C16" s="15" t="n">
        <v>0</v>
      </c>
      <c r="D16" s="15" t="n">
        <v>299.6</v>
      </c>
      <c r="E16" s="15" t="n">
        <v>1043.8</v>
      </c>
      <c r="F16" s="15" t="n">
        <v>1933</v>
      </c>
      <c r="G16" s="15" t="n">
        <v>2803</v>
      </c>
      <c r="H16" s="15" t="n">
        <v>3963</v>
      </c>
      <c r="I16" s="15" t="n">
        <v>5123</v>
      </c>
      <c r="J16" s="15" t="n">
        <v>5741.4</v>
      </c>
      <c r="K16" s="15" t="n">
        <v>6669</v>
      </c>
      <c r="L16" s="16" t="n">
        <v>0.0312467788</v>
      </c>
    </row>
    <row r="17" customFormat="false" ht="15" hidden="false" customHeight="false" outlineLevel="0" collapsed="false">
      <c r="A17" s="14" t="s">
        <v>125</v>
      </c>
      <c r="B17" s="15" t="n">
        <v>0</v>
      </c>
      <c r="C17" s="15" t="n">
        <v>0</v>
      </c>
      <c r="D17" s="15" t="n">
        <v>1478.8</v>
      </c>
      <c r="E17" s="15" t="n">
        <v>5152</v>
      </c>
      <c r="F17" s="15" t="n">
        <v>9540.8</v>
      </c>
      <c r="G17" s="15" t="n">
        <v>13834.2</v>
      </c>
      <c r="H17" s="15" t="n">
        <v>19558.6</v>
      </c>
      <c r="I17" s="15" t="n">
        <v>25283</v>
      </c>
      <c r="J17" s="15" t="n">
        <v>28335.8</v>
      </c>
      <c r="K17" s="15" t="n">
        <v>32915</v>
      </c>
      <c r="L17" s="16" t="n">
        <v>0.1542191819</v>
      </c>
    </row>
    <row r="18" customFormat="false" ht="15" hidden="false" customHeight="false" outlineLevel="0" collapsed="false">
      <c r="A18" s="14" t="s">
        <v>126</v>
      </c>
      <c r="B18" s="15" t="n">
        <v>0</v>
      </c>
      <c r="C18" s="15" t="n">
        <v>0</v>
      </c>
      <c r="D18" s="15" t="n">
        <v>90.4</v>
      </c>
      <c r="E18" s="15" t="n">
        <v>315</v>
      </c>
      <c r="F18" s="15" t="n">
        <v>583.4</v>
      </c>
      <c r="G18" s="15" t="n">
        <v>845.8</v>
      </c>
      <c r="H18" s="15" t="n">
        <v>1195.4</v>
      </c>
      <c r="I18" s="15" t="n">
        <v>1545</v>
      </c>
      <c r="J18" s="15" t="n">
        <v>1731.4</v>
      </c>
      <c r="K18" s="15" t="n">
        <v>2011</v>
      </c>
      <c r="L18" s="16" t="n">
        <v>0.009422293023</v>
      </c>
    </row>
    <row r="19" customFormat="false" ht="15" hidden="false" customHeight="false" outlineLevel="0" collapsed="false">
      <c r="A19" s="14" t="s">
        <v>127</v>
      </c>
      <c r="B19" s="15" t="n">
        <v>0</v>
      </c>
      <c r="C19" s="15" t="n">
        <v>0</v>
      </c>
      <c r="D19" s="15" t="n">
        <v>14.4</v>
      </c>
      <c r="E19" s="15" t="n">
        <v>50.2</v>
      </c>
      <c r="F19" s="15" t="n">
        <v>93</v>
      </c>
      <c r="G19" s="15" t="n">
        <v>135</v>
      </c>
      <c r="H19" s="15" t="n">
        <v>191</v>
      </c>
      <c r="I19" s="15" t="n">
        <v>247</v>
      </c>
      <c r="J19" s="15" t="n">
        <v>277</v>
      </c>
      <c r="K19" s="15" t="n">
        <v>322</v>
      </c>
      <c r="L19" s="16" t="n">
        <v>0.001508691374</v>
      </c>
    </row>
    <row r="20" customFormat="false" ht="15" hidden="false" customHeight="false" outlineLevel="0" collapsed="false">
      <c r="A20" s="14" t="s">
        <v>128</v>
      </c>
      <c r="B20" s="15" t="n">
        <v>0</v>
      </c>
      <c r="C20" s="15" t="n">
        <v>0</v>
      </c>
      <c r="D20" s="15" t="n">
        <v>31.8</v>
      </c>
      <c r="E20" s="15" t="n">
        <v>110.8</v>
      </c>
      <c r="F20" s="15" t="n">
        <v>205.2</v>
      </c>
      <c r="G20" s="15" t="n">
        <v>297.6</v>
      </c>
      <c r="H20" s="15" t="n">
        <v>420.8</v>
      </c>
      <c r="I20" s="15" t="n">
        <v>544</v>
      </c>
      <c r="J20" s="15" t="n">
        <v>609.6</v>
      </c>
      <c r="K20" s="15" t="n">
        <v>708</v>
      </c>
      <c r="L20" s="16" t="n">
        <v>0.003317246873</v>
      </c>
    </row>
    <row r="21" customFormat="false" ht="15" hidden="false" customHeight="false" outlineLevel="0" collapsed="false">
      <c r="A21" s="14" t="s">
        <v>129</v>
      </c>
      <c r="B21" s="15" t="n">
        <v>0</v>
      </c>
      <c r="C21" s="15" t="n">
        <v>0</v>
      </c>
      <c r="D21" s="15" t="n">
        <v>7</v>
      </c>
      <c r="E21" s="15" t="n">
        <v>24.4</v>
      </c>
      <c r="F21" s="15" t="n">
        <v>45.2</v>
      </c>
      <c r="G21" s="15" t="n">
        <v>65.4</v>
      </c>
      <c r="H21" s="15" t="n">
        <v>92.2</v>
      </c>
      <c r="I21" s="15" t="n">
        <v>119</v>
      </c>
      <c r="J21" s="15" t="n">
        <v>133.4</v>
      </c>
      <c r="K21" s="15" t="n">
        <v>155</v>
      </c>
      <c r="L21" s="16" t="n">
        <v>0.0007262334255</v>
      </c>
    </row>
    <row r="22" customFormat="false" ht="15" hidden="false" customHeight="false" outlineLevel="0" collapsed="false">
      <c r="A22" s="14" t="s">
        <v>130</v>
      </c>
      <c r="B22" s="15" t="n">
        <v>0</v>
      </c>
      <c r="C22" s="15" t="n">
        <v>0</v>
      </c>
      <c r="D22" s="15" t="n">
        <v>4.6</v>
      </c>
      <c r="E22" s="15" t="n">
        <v>16</v>
      </c>
      <c r="F22" s="15" t="n">
        <v>29.6</v>
      </c>
      <c r="G22" s="15" t="n">
        <v>42.8</v>
      </c>
      <c r="H22" s="15" t="n">
        <v>60.4</v>
      </c>
      <c r="I22" s="15" t="n">
        <v>78</v>
      </c>
      <c r="J22" s="15" t="n">
        <v>87.6</v>
      </c>
      <c r="K22" s="15" t="n">
        <v>102</v>
      </c>
      <c r="L22" s="16" t="n">
        <v>0.0004779084477</v>
      </c>
    </row>
    <row r="23" customFormat="false" ht="15" hidden="false" customHeight="false" outlineLevel="0" collapsed="false">
      <c r="A23" s="13" t="s">
        <v>131</v>
      </c>
      <c r="B23" s="17" t="n">
        <v>0</v>
      </c>
      <c r="C23" s="17" t="n">
        <v>0</v>
      </c>
      <c r="D23" s="17" t="n">
        <v>9589</v>
      </c>
      <c r="E23" s="17" t="n">
        <v>33407</v>
      </c>
      <c r="F23" s="17" t="n">
        <v>61865</v>
      </c>
      <c r="G23" s="17" t="n">
        <v>89704</v>
      </c>
      <c r="H23" s="17" t="n">
        <v>126822</v>
      </c>
      <c r="I23" s="17" t="n">
        <v>163940</v>
      </c>
      <c r="J23" s="17" t="n">
        <v>183736</v>
      </c>
      <c r="K23" s="17" t="n">
        <v>213430</v>
      </c>
      <c r="L23" s="18" t="n">
        <v>1</v>
      </c>
    </row>
    <row r="25" customFormat="false" ht="15" hidden="false" customHeight="false" outlineLevel="0" collapsed="false">
      <c r="A25" s="13" t="s">
        <v>132</v>
      </c>
    </row>
    <row r="26" customFormat="false" ht="15" hidden="false" customHeight="false" outlineLevel="0" collapsed="false">
      <c r="A26" s="13" t="s">
        <v>111</v>
      </c>
      <c r="B26" s="13" t="n">
        <v>2026</v>
      </c>
      <c r="C26" s="13" t="n">
        <v>2027</v>
      </c>
      <c r="D26" s="13" t="n">
        <v>2028</v>
      </c>
      <c r="E26" s="13" t="n">
        <v>2029</v>
      </c>
      <c r="F26" s="13" t="n">
        <v>2030</v>
      </c>
      <c r="G26" s="13" t="n">
        <v>2031</v>
      </c>
      <c r="H26" s="13" t="n">
        <v>2032</v>
      </c>
      <c r="I26" s="13" t="n">
        <v>2033</v>
      </c>
      <c r="J26" s="13" t="n">
        <v>2034</v>
      </c>
      <c r="K26" s="13" t="n">
        <v>2035</v>
      </c>
      <c r="L26" s="13" t="s">
        <v>112</v>
      </c>
    </row>
    <row r="27" customFormat="false" ht="15" hidden="false" customHeight="false" outlineLevel="0" collapsed="false">
      <c r="A27" s="14" t="s">
        <v>113</v>
      </c>
      <c r="B27" s="15" t="n">
        <v>3477.482124</v>
      </c>
      <c r="C27" s="15" t="n">
        <v>16970.58564</v>
      </c>
      <c r="D27" s="15" t="n">
        <v>30546.08951</v>
      </c>
      <c r="E27" s="15" t="n">
        <v>56048.31106</v>
      </c>
      <c r="F27" s="15" t="n">
        <v>84270.22613</v>
      </c>
      <c r="G27" s="15" t="n">
        <v>117407.8231</v>
      </c>
      <c r="H27" s="15" t="n">
        <v>147610.6356</v>
      </c>
      <c r="I27" s="15" t="n">
        <v>171404.3607</v>
      </c>
      <c r="J27" s="15" t="n">
        <v>183690.566</v>
      </c>
      <c r="K27" s="15" t="n">
        <v>196282.6907</v>
      </c>
      <c r="L27" s="16" t="n">
        <v>0.5277726064</v>
      </c>
    </row>
    <row r="28" customFormat="false" ht="15" hidden="false" customHeight="false" outlineLevel="0" collapsed="false">
      <c r="A28" s="14" t="s">
        <v>114</v>
      </c>
      <c r="B28" s="15" t="n">
        <v>329.9966675</v>
      </c>
      <c r="C28" s="15" t="n">
        <v>1287.414024</v>
      </c>
      <c r="D28" s="15" t="n">
        <v>2947.169216</v>
      </c>
      <c r="E28" s="15" t="n">
        <v>5426.043269</v>
      </c>
      <c r="F28" s="15" t="n">
        <v>7850.875806</v>
      </c>
      <c r="G28" s="15" t="n">
        <v>10423.94365</v>
      </c>
      <c r="H28" s="15" t="n">
        <v>12809.89571</v>
      </c>
      <c r="I28" s="15" t="n">
        <v>14263.06831</v>
      </c>
      <c r="J28" s="15" t="n">
        <v>15432.86983</v>
      </c>
      <c r="K28" s="15" t="n">
        <v>16620.76117</v>
      </c>
      <c r="L28" s="16" t="n">
        <v>0.04469055529</v>
      </c>
    </row>
    <row r="29" customFormat="false" ht="15" hidden="false" customHeight="false" outlineLevel="0" collapsed="false">
      <c r="A29" s="14" t="s">
        <v>115</v>
      </c>
      <c r="B29" s="15" t="n">
        <v>1950.394097</v>
      </c>
      <c r="C29" s="15" t="n">
        <v>7852.61852</v>
      </c>
      <c r="D29" s="15" t="n">
        <v>17775.85701</v>
      </c>
      <c r="E29" s="15" t="n">
        <v>33605.56835</v>
      </c>
      <c r="F29" s="15" t="n">
        <v>48407.57189</v>
      </c>
      <c r="G29" s="15" t="n">
        <v>64323.04276</v>
      </c>
      <c r="H29" s="15" t="n">
        <v>78721.10039</v>
      </c>
      <c r="I29" s="15" t="n">
        <v>87237.2124</v>
      </c>
      <c r="J29" s="15" t="n">
        <v>94103.66761</v>
      </c>
      <c r="K29" s="15" t="n">
        <v>101095.1762</v>
      </c>
      <c r="L29" s="16" t="n">
        <v>0.2718286797</v>
      </c>
    </row>
    <row r="30" customFormat="false" ht="15" hidden="false" customHeight="false" outlineLevel="0" collapsed="false">
      <c r="A30" s="14" t="s">
        <v>116</v>
      </c>
      <c r="B30" s="15" t="n">
        <v>118.3436325</v>
      </c>
      <c r="C30" s="15" t="n">
        <v>437.7165779</v>
      </c>
      <c r="D30" s="15" t="n">
        <v>1024.974821</v>
      </c>
      <c r="E30" s="15" t="n">
        <v>1960.409862</v>
      </c>
      <c r="F30" s="15" t="n">
        <v>2844.976846</v>
      </c>
      <c r="G30" s="15" t="n">
        <v>3810.390622</v>
      </c>
      <c r="H30" s="15" t="n">
        <v>4663.67807</v>
      </c>
      <c r="I30" s="15" t="n">
        <v>5164.514584</v>
      </c>
      <c r="J30" s="15" t="n">
        <v>5571.544328</v>
      </c>
      <c r="K30" s="15" t="n">
        <v>5985.950855</v>
      </c>
      <c r="L30" s="16" t="n">
        <v>0.01609525972</v>
      </c>
    </row>
    <row r="31" customFormat="false" ht="15" hidden="false" customHeight="false" outlineLevel="0" collapsed="false">
      <c r="A31" s="14" t="s">
        <v>133</v>
      </c>
      <c r="B31" s="15" t="n">
        <v>159.308736</v>
      </c>
      <c r="C31" s="15" t="n">
        <v>643.4235418</v>
      </c>
      <c r="D31" s="15" t="n">
        <v>1474.362741</v>
      </c>
      <c r="E31" s="15" t="n">
        <v>2766.451205</v>
      </c>
      <c r="F31" s="15" t="n">
        <v>3991.465221</v>
      </c>
      <c r="G31" s="15" t="n">
        <v>5335.75578</v>
      </c>
      <c r="H31" s="15" t="n">
        <v>6538.958887</v>
      </c>
      <c r="I31" s="15" t="n">
        <v>7269.819681</v>
      </c>
      <c r="J31" s="15" t="n">
        <v>7855.44139</v>
      </c>
      <c r="K31" s="15" t="n">
        <v>8450.814081</v>
      </c>
      <c r="L31" s="16" t="n">
        <v>0.02272288075</v>
      </c>
    </row>
    <row r="32" customFormat="false" ht="15" hidden="false" customHeight="false" outlineLevel="0" collapsed="false">
      <c r="A32" s="14" t="s">
        <v>134</v>
      </c>
      <c r="B32" s="15" t="n">
        <v>22.75839086</v>
      </c>
      <c r="C32" s="15" t="n">
        <v>161.315751</v>
      </c>
      <c r="D32" s="15" t="n">
        <v>316.6072761</v>
      </c>
      <c r="E32" s="15" t="n">
        <v>527.3946199</v>
      </c>
      <c r="F32" s="15" t="n">
        <v>743.7889463</v>
      </c>
      <c r="G32" s="15" t="n">
        <v>962.8743352</v>
      </c>
      <c r="H32" s="15" t="n">
        <v>1194.942207</v>
      </c>
      <c r="I32" s="15" t="n">
        <v>1351.617183</v>
      </c>
      <c r="J32" s="15" t="n">
        <v>1477.54886</v>
      </c>
      <c r="K32" s="15" t="n">
        <v>1604.441422</v>
      </c>
      <c r="L32" s="16" t="n">
        <v>0.0043140851</v>
      </c>
    </row>
    <row r="33" customFormat="false" ht="15" hidden="false" customHeight="false" outlineLevel="0" collapsed="false">
      <c r="A33" s="14" t="s">
        <v>135</v>
      </c>
      <c r="B33" s="15" t="n">
        <v>11.37919543</v>
      </c>
      <c r="C33" s="15" t="n">
        <v>83.22351964</v>
      </c>
      <c r="D33" s="15" t="n">
        <v>164.4638337</v>
      </c>
      <c r="E33" s="15" t="n">
        <v>281.3411453</v>
      </c>
      <c r="F33" s="15" t="n">
        <v>398.9025091</v>
      </c>
      <c r="G33" s="15" t="n">
        <v>514.5272844</v>
      </c>
      <c r="H33" s="15" t="n">
        <v>629.0655051</v>
      </c>
      <c r="I33" s="15" t="n">
        <v>711.1780237</v>
      </c>
      <c r="J33" s="15" t="n">
        <v>773.4109798</v>
      </c>
      <c r="K33" s="15" t="n">
        <v>836.3508051</v>
      </c>
      <c r="L33" s="16" t="n">
        <v>0.002248812887</v>
      </c>
    </row>
    <row r="34" customFormat="false" ht="15" hidden="false" customHeight="false" outlineLevel="0" collapsed="false">
      <c r="A34" s="14" t="s">
        <v>136</v>
      </c>
      <c r="B34" s="15" t="n">
        <v>6.827517259</v>
      </c>
      <c r="C34" s="15" t="n">
        <v>47.07311209</v>
      </c>
      <c r="D34" s="15" t="n">
        <v>88.88967623</v>
      </c>
      <c r="E34" s="15" t="n">
        <v>159.5024913</v>
      </c>
      <c r="F34" s="15" t="n">
        <v>219.7962019</v>
      </c>
      <c r="G34" s="15" t="n">
        <v>291.8698531</v>
      </c>
      <c r="H34" s="15" t="n">
        <v>368.8441692</v>
      </c>
      <c r="I34" s="15" t="n">
        <v>408.4089531</v>
      </c>
      <c r="J34" s="15" t="n">
        <v>445.7819443</v>
      </c>
      <c r="K34" s="15" t="n">
        <v>483.4792034</v>
      </c>
      <c r="L34" s="16" t="n">
        <v>0.001299997867</v>
      </c>
    </row>
    <row r="35" customFormat="false" ht="15" hidden="false" customHeight="false" outlineLevel="0" collapsed="false">
      <c r="A35" s="14" t="s">
        <v>137</v>
      </c>
      <c r="B35" s="15" t="n">
        <v>81.93020711</v>
      </c>
      <c r="C35" s="15" t="n">
        <v>335.3988553</v>
      </c>
      <c r="D35" s="15" t="n">
        <v>746.5983521</v>
      </c>
      <c r="E35" s="15" t="n">
        <v>1358.899837</v>
      </c>
      <c r="F35" s="15" t="n">
        <v>1961.125522</v>
      </c>
      <c r="G35" s="15" t="n">
        <v>2598.541412</v>
      </c>
      <c r="H35" s="15" t="n">
        <v>3197.263477</v>
      </c>
      <c r="I35" s="15" t="n">
        <v>3578.539452</v>
      </c>
      <c r="J35" s="15" t="n">
        <v>3870.747997</v>
      </c>
      <c r="K35" s="15" t="n">
        <v>4167.559622</v>
      </c>
      <c r="L35" s="16" t="n">
        <v>0.01120589796</v>
      </c>
    </row>
    <row r="36" customFormat="false" ht="15" hidden="false" customHeight="false" outlineLevel="0" collapsed="false">
      <c r="A36" s="14" t="s">
        <v>138</v>
      </c>
      <c r="B36" s="15" t="n">
        <v>450.6161391</v>
      </c>
      <c r="C36" s="15" t="n">
        <v>1697.18149</v>
      </c>
      <c r="D36" s="15" t="n">
        <v>3955.196858</v>
      </c>
      <c r="E36" s="15" t="n">
        <v>7561.26033</v>
      </c>
      <c r="F36" s="15" t="n">
        <v>10920.14481</v>
      </c>
      <c r="G36" s="15" t="n">
        <v>14514.88522</v>
      </c>
      <c r="H36" s="15" t="n">
        <v>17746.49927</v>
      </c>
      <c r="I36" s="15" t="n">
        <v>19617.20546</v>
      </c>
      <c r="J36" s="15" t="n">
        <v>21161.80625</v>
      </c>
      <c r="K36" s="15" t="n">
        <v>22734.50171</v>
      </c>
      <c r="L36" s="16" t="n">
        <v>0.06112942093</v>
      </c>
    </row>
    <row r="37" customFormat="false" ht="15" hidden="false" customHeight="false" outlineLevel="0" collapsed="false">
      <c r="A37" s="14" t="s">
        <v>139</v>
      </c>
      <c r="B37" s="15" t="n">
        <v>125.1711497</v>
      </c>
      <c r="C37" s="15" t="n">
        <v>643.6303708</v>
      </c>
      <c r="D37" s="15" t="n">
        <v>1375.626719</v>
      </c>
      <c r="E37" s="15" t="n">
        <v>2460.284265</v>
      </c>
      <c r="F37" s="15" t="n">
        <v>3545.257683</v>
      </c>
      <c r="G37" s="15" t="n">
        <v>4723.461784</v>
      </c>
      <c r="H37" s="15" t="n">
        <v>5853.905178</v>
      </c>
      <c r="I37" s="15" t="n">
        <v>6608.459909</v>
      </c>
      <c r="J37" s="15" t="n">
        <v>7185.708397</v>
      </c>
      <c r="K37" s="15" t="n">
        <v>7769.577127</v>
      </c>
      <c r="L37" s="16" t="n">
        <v>0.02089114408</v>
      </c>
    </row>
    <row r="38" customFormat="false" ht="15" hidden="false" customHeight="false" outlineLevel="0" collapsed="false">
      <c r="A38" s="14" t="s">
        <v>140</v>
      </c>
      <c r="B38" s="15" t="n">
        <v>18.20671269</v>
      </c>
      <c r="C38" s="15" t="n">
        <v>112.0751219</v>
      </c>
      <c r="D38" s="15" t="n">
        <v>230.8540412</v>
      </c>
      <c r="E38" s="15" t="n">
        <v>400.7153345</v>
      </c>
      <c r="F38" s="15" t="n">
        <v>574.5077895</v>
      </c>
      <c r="G38" s="15" t="n">
        <v>754.3456228</v>
      </c>
      <c r="H38" s="15" t="n">
        <v>944.8488404</v>
      </c>
      <c r="I38" s="15" t="n">
        <v>1072.234671</v>
      </c>
      <c r="J38" s="15" t="n">
        <v>1171.695753</v>
      </c>
      <c r="K38" s="15" t="n">
        <v>1271.941099</v>
      </c>
      <c r="L38" s="16" t="n">
        <v>0.003420045173</v>
      </c>
    </row>
    <row r="39" customFormat="false" ht="15" hidden="false" customHeight="false" outlineLevel="0" collapsed="false">
      <c r="A39" s="14" t="s">
        <v>141</v>
      </c>
      <c r="B39" s="15" t="n">
        <v>6.827517259</v>
      </c>
      <c r="C39" s="15" t="n">
        <v>47.07311209</v>
      </c>
      <c r="D39" s="15" t="n">
        <v>88.88967623</v>
      </c>
      <c r="E39" s="15" t="n">
        <v>148.2791824</v>
      </c>
      <c r="F39" s="15" t="n">
        <v>205.2260532</v>
      </c>
      <c r="G39" s="15" t="n">
        <v>255.765145</v>
      </c>
      <c r="H39" s="15" t="n">
        <v>328.4179018</v>
      </c>
      <c r="I39" s="15" t="n">
        <v>366.9080713</v>
      </c>
      <c r="J39" s="15" t="n">
        <v>401.6817071</v>
      </c>
      <c r="K39" s="15" t="n">
        <v>436.6867823</v>
      </c>
      <c r="L39" s="16" t="n">
        <v>0.001174180568</v>
      </c>
    </row>
    <row r="40" customFormat="false" ht="15" hidden="false" customHeight="false" outlineLevel="0" collapsed="false">
      <c r="A40" s="14" t="s">
        <v>117</v>
      </c>
      <c r="B40" s="15" t="n">
        <v>17.63775292</v>
      </c>
      <c r="C40" s="15" t="n">
        <v>85.9878194</v>
      </c>
      <c r="D40" s="15" t="n">
        <v>186.8695673</v>
      </c>
      <c r="E40" s="15" t="n">
        <v>336.5836208</v>
      </c>
      <c r="F40" s="15" t="n">
        <v>484.1325977</v>
      </c>
      <c r="G40" s="15" t="n">
        <v>643.2203854</v>
      </c>
      <c r="H40" s="15" t="n">
        <v>792.4317423</v>
      </c>
      <c r="I40" s="15" t="n">
        <v>889.677707</v>
      </c>
      <c r="J40" s="15" t="n">
        <v>965.3111095</v>
      </c>
      <c r="K40" s="15" t="n">
        <v>1041.939702</v>
      </c>
      <c r="L40" s="16" t="n">
        <v>0.002801608385</v>
      </c>
    </row>
    <row r="41" customFormat="false" ht="15" hidden="false" customHeight="false" outlineLevel="0" collapsed="false">
      <c r="A41" s="14" t="s">
        <v>118</v>
      </c>
      <c r="B41" s="15" t="n">
        <v>38.80305642</v>
      </c>
      <c r="C41" s="15" t="n">
        <v>189.1732027</v>
      </c>
      <c r="D41" s="15" t="n">
        <v>411.113048</v>
      </c>
      <c r="E41" s="15" t="n">
        <v>740.4839657</v>
      </c>
      <c r="F41" s="15" t="n">
        <v>1065.091715</v>
      </c>
      <c r="G41" s="15" t="n">
        <v>1415.084848</v>
      </c>
      <c r="H41" s="15" t="n">
        <v>1743.349833</v>
      </c>
      <c r="I41" s="15" t="n">
        <v>1957.290955</v>
      </c>
      <c r="J41" s="15" t="n">
        <v>2123.684441</v>
      </c>
      <c r="K41" s="15" t="n">
        <v>2292.267343</v>
      </c>
      <c r="L41" s="16" t="n">
        <v>0.006163538446</v>
      </c>
    </row>
    <row r="42" customFormat="false" ht="15" hidden="false" customHeight="false" outlineLevel="0" collapsed="false">
      <c r="A42" s="14" t="s">
        <v>119</v>
      </c>
      <c r="B42" s="15" t="n">
        <v>8.466121401</v>
      </c>
      <c r="C42" s="15" t="n">
        <v>41.27415331</v>
      </c>
      <c r="D42" s="15" t="n">
        <v>89.69739229</v>
      </c>
      <c r="E42" s="15" t="n">
        <v>161.560138</v>
      </c>
      <c r="F42" s="15" t="n">
        <v>232.3836469</v>
      </c>
      <c r="G42" s="15" t="n">
        <v>308.745785</v>
      </c>
      <c r="H42" s="15" t="n">
        <v>380.3672363</v>
      </c>
      <c r="I42" s="15" t="n">
        <v>427.0452993</v>
      </c>
      <c r="J42" s="15" t="n">
        <v>463.3493326</v>
      </c>
      <c r="K42" s="15" t="n">
        <v>500.1310567</v>
      </c>
      <c r="L42" s="16" t="n">
        <v>0.001344772025</v>
      </c>
    </row>
    <row r="43" customFormat="false" ht="15" hidden="false" customHeight="false" outlineLevel="0" collapsed="false">
      <c r="A43" s="14" t="s">
        <v>120</v>
      </c>
      <c r="B43" s="15" t="n">
        <v>5.644080934</v>
      </c>
      <c r="C43" s="15" t="n">
        <v>27.51610221</v>
      </c>
      <c r="D43" s="15" t="n">
        <v>59.79826153</v>
      </c>
      <c r="E43" s="15" t="n">
        <v>107.7067586</v>
      </c>
      <c r="F43" s="15" t="n">
        <v>154.9224313</v>
      </c>
      <c r="G43" s="15" t="n">
        <v>205.8305233</v>
      </c>
      <c r="H43" s="15" t="n">
        <v>253.5781575</v>
      </c>
      <c r="I43" s="15" t="n">
        <v>284.6968662</v>
      </c>
      <c r="J43" s="15" t="n">
        <v>308.899555</v>
      </c>
      <c r="K43" s="15" t="n">
        <v>333.4207045</v>
      </c>
      <c r="L43" s="16" t="n">
        <v>0.0008965146831</v>
      </c>
    </row>
    <row r="44" customFormat="false" ht="15" hidden="false" customHeight="false" outlineLevel="0" collapsed="false">
      <c r="A44" s="13" t="s">
        <v>142</v>
      </c>
      <c r="B44" s="17" t="n">
        <v>6829.793098</v>
      </c>
      <c r="C44" s="17" t="n">
        <v>30662.68091</v>
      </c>
      <c r="D44" s="17" t="n">
        <v>61483.058</v>
      </c>
      <c r="E44" s="17" t="n">
        <v>114050.7954</v>
      </c>
      <c r="F44" s="17" t="n">
        <v>167870.3958</v>
      </c>
      <c r="G44" s="17" t="n">
        <v>228490.1081</v>
      </c>
      <c r="H44" s="17" t="n">
        <v>283777.7821</v>
      </c>
      <c r="I44" s="17" t="n">
        <v>322612.2382</v>
      </c>
      <c r="J44" s="17" t="n">
        <v>347003.7155</v>
      </c>
      <c r="K44" s="17" t="n">
        <v>371907.6896</v>
      </c>
      <c r="L44" s="18" t="n">
        <v>1</v>
      </c>
    </row>
    <row r="46" customFormat="false" ht="15" hidden="false" customHeight="false" outlineLevel="0" collapsed="false">
      <c r="A46" s="13" t="s">
        <v>143</v>
      </c>
    </row>
    <row r="47" customFormat="false" ht="15" hidden="false" customHeight="false" outlineLevel="0" collapsed="false">
      <c r="A47" s="13" t="s">
        <v>111</v>
      </c>
      <c r="B47" s="13" t="n">
        <v>2026</v>
      </c>
      <c r="C47" s="13" t="n">
        <v>2027</v>
      </c>
      <c r="D47" s="13" t="n">
        <v>2028</v>
      </c>
      <c r="E47" s="13" t="n">
        <v>2029</v>
      </c>
      <c r="F47" s="13" t="n">
        <v>2030</v>
      </c>
      <c r="G47" s="13" t="n">
        <v>2031</v>
      </c>
      <c r="H47" s="13" t="n">
        <v>2032</v>
      </c>
      <c r="I47" s="13" t="n">
        <v>2033</v>
      </c>
      <c r="J47" s="13" t="n">
        <v>2034</v>
      </c>
      <c r="K47" s="13" t="n">
        <v>2035</v>
      </c>
      <c r="L47" s="13" t="s">
        <v>112</v>
      </c>
    </row>
    <row r="48" customFormat="false" ht="15" hidden="false" customHeight="false" outlineLevel="0" collapsed="false">
      <c r="A48" s="14" t="s">
        <v>133</v>
      </c>
      <c r="B48" s="15" t="n">
        <v>175.6079593</v>
      </c>
      <c r="C48" s="15" t="n">
        <v>320.3906115</v>
      </c>
      <c r="D48" s="15" t="n">
        <v>436.5887807</v>
      </c>
      <c r="E48" s="15" t="n">
        <v>602.2865757</v>
      </c>
      <c r="F48" s="15" t="n">
        <v>974.7593754</v>
      </c>
      <c r="G48" s="15" t="n">
        <v>1370.081328</v>
      </c>
      <c r="H48" s="15" t="n">
        <v>1767.18337</v>
      </c>
      <c r="I48" s="15" t="n">
        <v>2188.466718</v>
      </c>
      <c r="J48" s="15" t="n">
        <v>2536.343254</v>
      </c>
      <c r="K48" s="15" t="n">
        <v>2904.897406</v>
      </c>
      <c r="L48" s="16" t="n">
        <v>0.1612887482</v>
      </c>
    </row>
    <row r="49" customFormat="false" ht="15" hidden="false" customHeight="false" outlineLevel="0" collapsed="false">
      <c r="A49" s="14" t="s">
        <v>134</v>
      </c>
      <c r="B49" s="15" t="n">
        <v>99.50178533</v>
      </c>
      <c r="C49" s="15" t="n">
        <v>159.8868424</v>
      </c>
      <c r="D49" s="15" t="n">
        <v>193.4151498</v>
      </c>
      <c r="E49" s="15" t="n">
        <v>247.8822329</v>
      </c>
      <c r="F49" s="15" t="n">
        <v>360.2676432</v>
      </c>
      <c r="G49" s="15" t="n">
        <v>447.8696133</v>
      </c>
      <c r="H49" s="15" t="n">
        <v>573.9459793</v>
      </c>
      <c r="I49" s="15" t="n">
        <v>711.731345</v>
      </c>
      <c r="J49" s="15" t="n">
        <v>836.044561</v>
      </c>
      <c r="K49" s="15" t="n">
        <v>970.7041311</v>
      </c>
      <c r="L49" s="16" t="n">
        <v>0.05389644876</v>
      </c>
    </row>
    <row r="50" customFormat="false" ht="15" hidden="false" customHeight="false" outlineLevel="0" collapsed="false">
      <c r="A50" s="14" t="s">
        <v>135</v>
      </c>
      <c r="B50" s="15" t="n">
        <v>42.64362229</v>
      </c>
      <c r="C50" s="15" t="n">
        <v>68.52293247</v>
      </c>
      <c r="D50" s="15" t="n">
        <v>82.89220707</v>
      </c>
      <c r="E50" s="15" t="n">
        <v>106.2352427</v>
      </c>
      <c r="F50" s="15" t="n">
        <v>154.4004185</v>
      </c>
      <c r="G50" s="15" t="n">
        <v>191.94412</v>
      </c>
      <c r="H50" s="15" t="n">
        <v>245.9768483</v>
      </c>
      <c r="I50" s="15" t="n">
        <v>305.0277193</v>
      </c>
      <c r="J50" s="15" t="n">
        <v>358.3048119</v>
      </c>
      <c r="K50" s="15" t="n">
        <v>416.0160562</v>
      </c>
      <c r="L50" s="16" t="n">
        <v>0.02309847804</v>
      </c>
    </row>
    <row r="51" customFormat="false" ht="15" hidden="false" customHeight="false" outlineLevel="0" collapsed="false">
      <c r="A51" s="14" t="s">
        <v>136</v>
      </c>
      <c r="B51" s="15" t="n">
        <v>28.42908152</v>
      </c>
      <c r="C51" s="15" t="n">
        <v>45.68195498</v>
      </c>
      <c r="D51" s="15" t="n">
        <v>55.26147138</v>
      </c>
      <c r="E51" s="15" t="n">
        <v>70.82349512</v>
      </c>
      <c r="F51" s="15" t="n">
        <v>102.9336123</v>
      </c>
      <c r="G51" s="15" t="n">
        <v>127.9627467</v>
      </c>
      <c r="H51" s="15" t="n">
        <v>163.9845655</v>
      </c>
      <c r="I51" s="15" t="n">
        <v>203.3518129</v>
      </c>
      <c r="J51" s="15" t="n">
        <v>238.8698746</v>
      </c>
      <c r="K51" s="15" t="n">
        <v>277.3440374</v>
      </c>
      <c r="L51" s="16" t="n">
        <v>0.01539898536</v>
      </c>
    </row>
    <row r="52" customFormat="false" ht="15" hidden="false" customHeight="false" outlineLevel="0" collapsed="false">
      <c r="A52" s="14" t="s">
        <v>137</v>
      </c>
      <c r="B52" s="15" t="n">
        <v>100.6111337</v>
      </c>
      <c r="C52" s="15" t="n">
        <v>188.8972271</v>
      </c>
      <c r="D52" s="15" t="n">
        <v>248.9891832</v>
      </c>
      <c r="E52" s="15" t="n">
        <v>348.413746</v>
      </c>
      <c r="F52" s="15" t="n">
        <v>546.1766841</v>
      </c>
      <c r="G52" s="15" t="n">
        <v>751.8580799</v>
      </c>
      <c r="H52" s="15" t="n">
        <v>960.0471253</v>
      </c>
      <c r="I52" s="15" t="n">
        <v>1191.419103</v>
      </c>
      <c r="J52" s="15" t="n">
        <v>1409.930374</v>
      </c>
      <c r="K52" s="15" t="n">
        <v>1649.135599</v>
      </c>
      <c r="L52" s="16" t="n">
        <v>0.0915650294</v>
      </c>
    </row>
    <row r="53" customFormat="false" ht="15" hidden="false" customHeight="false" outlineLevel="0" collapsed="false">
      <c r="A53" s="14" t="s">
        <v>138</v>
      </c>
      <c r="B53" s="15" t="n">
        <v>421.9843726</v>
      </c>
      <c r="C53" s="15" t="n">
        <v>772.3206222</v>
      </c>
      <c r="D53" s="15" t="n">
        <v>1066.363722</v>
      </c>
      <c r="E53" s="15" t="n">
        <v>1474.963344</v>
      </c>
      <c r="F53" s="15" t="n">
        <v>2394.644883</v>
      </c>
      <c r="G53" s="15" t="n">
        <v>3311.547454</v>
      </c>
      <c r="H53" s="15" t="n">
        <v>4274.187843</v>
      </c>
      <c r="I53" s="15" t="n">
        <v>5292.394724</v>
      </c>
      <c r="J53" s="15" t="n">
        <v>6125.204809</v>
      </c>
      <c r="K53" s="15" t="n">
        <v>7005.27737</v>
      </c>
      <c r="L53" s="16" t="n">
        <v>0.3889543279</v>
      </c>
    </row>
    <row r="54" customFormat="false" ht="15" hidden="false" customHeight="false" outlineLevel="0" collapsed="false">
      <c r="A54" s="14" t="s">
        <v>139</v>
      </c>
      <c r="B54" s="15" t="n">
        <v>284.0395051</v>
      </c>
      <c r="C54" s="15" t="n">
        <v>489.4529733</v>
      </c>
      <c r="D54" s="15" t="n">
        <v>625.4306114</v>
      </c>
      <c r="E54" s="15" t="n">
        <v>836.9518675</v>
      </c>
      <c r="F54" s="15" t="n">
        <v>1289.143315</v>
      </c>
      <c r="G54" s="15" t="n">
        <v>1751.735715</v>
      </c>
      <c r="H54" s="15" t="n">
        <v>2250.247068</v>
      </c>
      <c r="I54" s="15" t="n">
        <v>2789.059394</v>
      </c>
      <c r="J54" s="15" t="n">
        <v>3259.974804</v>
      </c>
      <c r="K54" s="15" t="n">
        <v>3766.175472</v>
      </c>
      <c r="L54" s="16" t="n">
        <v>0.2091095287</v>
      </c>
    </row>
    <row r="55" customFormat="false" ht="15" hidden="false" customHeight="false" outlineLevel="0" collapsed="false">
      <c r="A55" s="19" t="s">
        <v>140</v>
      </c>
      <c r="B55" s="15" t="n">
        <v>58.85960407</v>
      </c>
      <c r="C55" s="15" t="n">
        <v>100.2618958</v>
      </c>
      <c r="D55" s="15" t="n">
        <v>126.5296618</v>
      </c>
      <c r="E55" s="15" t="n">
        <v>167.8179923</v>
      </c>
      <c r="F55" s="15" t="n">
        <v>256.5901403</v>
      </c>
      <c r="G55" s="15" t="n">
        <v>346.1145766</v>
      </c>
      <c r="H55" s="15" t="n">
        <v>444.6989087</v>
      </c>
      <c r="I55" s="15" t="n">
        <v>551.1578445</v>
      </c>
      <c r="J55" s="15" t="n">
        <v>643.9574165</v>
      </c>
      <c r="K55" s="15" t="n">
        <v>743.6456074</v>
      </c>
      <c r="L55" s="16" t="n">
        <v>0.04128946823</v>
      </c>
    </row>
    <row r="56" customFormat="false" ht="15" hidden="false" customHeight="false" outlineLevel="0" collapsed="false">
      <c r="A56" s="19" t="s">
        <v>141</v>
      </c>
      <c r="B56" s="15" t="n">
        <v>28.42908152</v>
      </c>
      <c r="C56" s="15" t="n">
        <v>45.68195498</v>
      </c>
      <c r="D56" s="15" t="n">
        <v>55.26147138</v>
      </c>
      <c r="E56" s="15" t="n">
        <v>70.82349512</v>
      </c>
      <c r="F56" s="15" t="n">
        <v>102.9336123</v>
      </c>
      <c r="G56" s="15" t="n">
        <v>127.9627467</v>
      </c>
      <c r="H56" s="15" t="n">
        <v>163.9845655</v>
      </c>
      <c r="I56" s="15" t="n">
        <v>203.3518129</v>
      </c>
      <c r="J56" s="15" t="n">
        <v>238.8698746</v>
      </c>
      <c r="K56" s="15" t="n">
        <v>277.3440374</v>
      </c>
      <c r="L56" s="16" t="n">
        <v>0.01539898536</v>
      </c>
    </row>
    <row r="57" customFormat="false" ht="15" hidden="false" customHeight="false" outlineLevel="0" collapsed="false">
      <c r="A57" s="13" t="s">
        <v>144</v>
      </c>
      <c r="B57" s="17" t="n">
        <v>1240.106145</v>
      </c>
      <c r="C57" s="17" t="n">
        <v>2191.097015</v>
      </c>
      <c r="D57" s="17" t="n">
        <v>2890.732259</v>
      </c>
      <c r="E57" s="17" t="n">
        <v>3926.197991</v>
      </c>
      <c r="F57" s="17" t="n">
        <v>6181.849685</v>
      </c>
      <c r="G57" s="17" t="n">
        <v>8427.076381</v>
      </c>
      <c r="H57" s="17" t="n">
        <v>10844.25627</v>
      </c>
      <c r="I57" s="17" t="n">
        <v>13435.96047</v>
      </c>
      <c r="J57" s="17" t="n">
        <v>15647.49978</v>
      </c>
      <c r="K57" s="17" t="n">
        <v>18010.53972</v>
      </c>
      <c r="L57" s="18" t="n">
        <v>1</v>
      </c>
    </row>
    <row r="59" customFormat="false" ht="15" hidden="false" customHeight="false" outlineLevel="0" collapsed="false">
      <c r="A59" s="13" t="s">
        <v>145</v>
      </c>
    </row>
    <row r="60" customFormat="false" ht="15" hidden="false" customHeight="false" outlineLevel="0" collapsed="false">
      <c r="A60" s="13" t="s">
        <v>146</v>
      </c>
      <c r="B60" s="13" t="n">
        <v>2026</v>
      </c>
      <c r="C60" s="13" t="n">
        <v>2027</v>
      </c>
      <c r="D60" s="13" t="n">
        <v>2028</v>
      </c>
      <c r="E60" s="13" t="n">
        <v>2029</v>
      </c>
      <c r="F60" s="13" t="n">
        <v>2030</v>
      </c>
      <c r="G60" s="13" t="n">
        <v>2031</v>
      </c>
      <c r="H60" s="13" t="n">
        <v>2032</v>
      </c>
      <c r="I60" s="13" t="n">
        <v>2033</v>
      </c>
      <c r="J60" s="13" t="n">
        <v>2034</v>
      </c>
      <c r="K60" s="13" t="n">
        <v>2035</v>
      </c>
      <c r="L60" s="13" t="s">
        <v>147</v>
      </c>
      <c r="M60" s="13" t="s">
        <v>148</v>
      </c>
      <c r="N60" s="13" t="s">
        <v>149</v>
      </c>
      <c r="O60" s="13" t="s">
        <v>150</v>
      </c>
      <c r="P60" s="13" t="s">
        <v>151</v>
      </c>
      <c r="Q60" s="13" t="s">
        <v>152</v>
      </c>
      <c r="R60" s="13" t="s">
        <v>153</v>
      </c>
      <c r="S60" s="13" t="s">
        <v>154</v>
      </c>
      <c r="T60" s="13" t="s">
        <v>155</v>
      </c>
      <c r="U60" s="13" t="s">
        <v>156</v>
      </c>
      <c r="V60" s="13" t="s">
        <v>157</v>
      </c>
    </row>
    <row r="61" customFormat="false" ht="15" hidden="false" customHeight="false" outlineLevel="0" collapsed="false">
      <c r="A61" s="15" t="s">
        <v>158</v>
      </c>
      <c r="B61" s="15" t="n">
        <v>372.5578681</v>
      </c>
      <c r="C61" s="15" t="n">
        <v>1662.24271</v>
      </c>
      <c r="D61" s="15" t="n">
        <v>3313.049363</v>
      </c>
      <c r="E61" s="15" t="n">
        <v>6110.276863</v>
      </c>
      <c r="F61" s="15" t="n">
        <v>8944.56445</v>
      </c>
      <c r="G61" s="15" t="n">
        <v>12112.06552</v>
      </c>
      <c r="H61" s="15" t="n">
        <v>14971.75851</v>
      </c>
      <c r="I61" s="15" t="n">
        <v>16948.14182</v>
      </c>
      <c r="J61" s="15" t="n">
        <v>18162.04352</v>
      </c>
      <c r="K61" s="15" t="n">
        <v>19406.04652</v>
      </c>
      <c r="L61" s="16" t="n">
        <v>0.0545489245</v>
      </c>
      <c r="M61" s="16" t="n">
        <v>0.05421061239</v>
      </c>
      <c r="N61" s="16" t="n">
        <v>0.05388556572</v>
      </c>
      <c r="O61" s="16" t="n">
        <v>0.0535750482</v>
      </c>
      <c r="P61" s="16" t="n">
        <v>0.05328256008</v>
      </c>
      <c r="Q61" s="16" t="n">
        <v>0.0530091461</v>
      </c>
      <c r="R61" s="16" t="n">
        <v>0.05275874102</v>
      </c>
      <c r="S61" s="16" t="n">
        <v>0.05253409453</v>
      </c>
      <c r="T61" s="16" t="n">
        <v>0.05233962263</v>
      </c>
      <c r="U61" s="16" t="n">
        <v>0.05217973992</v>
      </c>
      <c r="V61" s="20" t="n">
        <v>0.3848886263</v>
      </c>
    </row>
    <row r="62" customFormat="false" ht="15" hidden="false" customHeight="false" outlineLevel="0" collapsed="false">
      <c r="A62" s="15" t="s">
        <v>159</v>
      </c>
      <c r="B62" s="15" t="n">
        <v>528.0264245</v>
      </c>
      <c r="C62" s="15" t="n">
        <v>2376.820601</v>
      </c>
      <c r="D62" s="15" t="n">
        <v>4779.184318</v>
      </c>
      <c r="E62" s="15" t="n">
        <v>8891.842726</v>
      </c>
      <c r="F62" s="15" t="n">
        <v>13129.92165</v>
      </c>
      <c r="G62" s="15" t="n">
        <v>17933.54836</v>
      </c>
      <c r="H62" s="15" t="n">
        <v>22357.66155</v>
      </c>
      <c r="I62" s="15" t="n">
        <v>25523.28074</v>
      </c>
      <c r="J62" s="15" t="n">
        <v>27579.27179</v>
      </c>
      <c r="K62" s="15" t="n">
        <v>29709.33113</v>
      </c>
      <c r="L62" s="16" t="n">
        <v>0.07731221384</v>
      </c>
      <c r="M62" s="16" t="n">
        <v>0.07751509424</v>
      </c>
      <c r="N62" s="16" t="n">
        <v>0.07773172762</v>
      </c>
      <c r="O62" s="16" t="n">
        <v>0.07796388173</v>
      </c>
      <c r="P62" s="16" t="n">
        <v>0.07821463451</v>
      </c>
      <c r="Q62" s="16" t="n">
        <v>0.07848719801</v>
      </c>
      <c r="R62" s="16" t="n">
        <v>0.07878580691</v>
      </c>
      <c r="S62" s="16" t="n">
        <v>0.07911442193</v>
      </c>
      <c r="T62" s="16" t="n">
        <v>0.0794783184</v>
      </c>
      <c r="U62" s="16" t="n">
        <v>0.07988361617</v>
      </c>
      <c r="V62" s="13" t="s">
        <v>160</v>
      </c>
    </row>
    <row r="63" customFormat="false" ht="15" hidden="false" customHeight="false" outlineLevel="0" collapsed="false">
      <c r="A63" s="15" t="s">
        <v>161</v>
      </c>
      <c r="B63" s="15" t="n">
        <v>415.7960908</v>
      </c>
      <c r="C63" s="15" t="n">
        <v>1860.58443</v>
      </c>
      <c r="D63" s="15" t="n">
        <v>3719.281371</v>
      </c>
      <c r="E63" s="15" t="n">
        <v>6879.802354</v>
      </c>
      <c r="F63" s="15" t="n">
        <v>10100.91475</v>
      </c>
      <c r="G63" s="15" t="n">
        <v>13718.7249</v>
      </c>
      <c r="H63" s="15" t="n">
        <v>17008.50253</v>
      </c>
      <c r="I63" s="15" t="n">
        <v>19311.75536</v>
      </c>
      <c r="J63" s="15" t="n">
        <v>20757.43519</v>
      </c>
      <c r="K63" s="15" t="n">
        <v>22246.50863</v>
      </c>
      <c r="L63" s="16" t="n">
        <v>0.06087974919</v>
      </c>
      <c r="M63" s="16" t="n">
        <v>0.06067911789</v>
      </c>
      <c r="N63" s="16" t="n">
        <v>0.06049278438</v>
      </c>
      <c r="O63" s="16" t="n">
        <v>0.06032226542</v>
      </c>
      <c r="P63" s="16" t="n">
        <v>0.06017091164</v>
      </c>
      <c r="Q63" s="16" t="n">
        <v>0.06004078256</v>
      </c>
      <c r="R63" s="16" t="n">
        <v>0.05993599077</v>
      </c>
      <c r="S63" s="16" t="n">
        <v>0.05986057895</v>
      </c>
      <c r="T63" s="16" t="n">
        <v>0.05981905743</v>
      </c>
      <c r="U63" s="16" t="n">
        <v>0.05981728598</v>
      </c>
      <c r="V63" s="20" t="n">
        <v>0.6151113737</v>
      </c>
    </row>
    <row r="64" customFormat="false" ht="15" hidden="false" customHeight="false" outlineLevel="0" collapsed="false">
      <c r="A64" s="15" t="s">
        <v>162</v>
      </c>
      <c r="B64" s="15" t="n">
        <v>441.4477156</v>
      </c>
      <c r="C64" s="15" t="n">
        <v>1978.434974</v>
      </c>
      <c r="D64" s="15" t="n">
        <v>3960.259954</v>
      </c>
      <c r="E64" s="15" t="n">
        <v>7334.101502</v>
      </c>
      <c r="F64" s="15" t="n">
        <v>10777.69972</v>
      </c>
      <c r="G64" s="15" t="n">
        <v>14647.07918</v>
      </c>
      <c r="H64" s="15" t="n">
        <v>18164.61357</v>
      </c>
      <c r="I64" s="15" t="n">
        <v>20621.86791</v>
      </c>
      <c r="J64" s="15" t="n">
        <v>22152.69484</v>
      </c>
      <c r="K64" s="15" t="n">
        <v>23714.72031</v>
      </c>
      <c r="L64" s="16" t="n">
        <v>0.06463559134</v>
      </c>
      <c r="M64" s="16" t="n">
        <v>0.06452256993</v>
      </c>
      <c r="N64" s="16" t="n">
        <v>0.06441221504</v>
      </c>
      <c r="O64" s="16" t="n">
        <v>0.06430557081</v>
      </c>
      <c r="P64" s="16" t="n">
        <v>0.06420250377</v>
      </c>
      <c r="Q64" s="16" t="n">
        <v>0.06410377808</v>
      </c>
      <c r="R64" s="16" t="n">
        <v>0.06400999202</v>
      </c>
      <c r="S64" s="16" t="n">
        <v>0.06392153014</v>
      </c>
      <c r="T64" s="16" t="n">
        <v>0.06383993555</v>
      </c>
      <c r="U64" s="16" t="n">
        <v>0.0637650712</v>
      </c>
    </row>
    <row r="65" customFormat="false" ht="15" hidden="false" customHeight="false" outlineLevel="0" collapsed="false">
      <c r="A65" s="15" t="s">
        <v>163</v>
      </c>
      <c r="B65" s="15" t="n">
        <v>458.7077749</v>
      </c>
      <c r="C65" s="15" t="n">
        <v>2061.932829</v>
      </c>
      <c r="D65" s="15" t="n">
        <v>4139.299058</v>
      </c>
      <c r="E65" s="15" t="n">
        <v>7686.812477</v>
      </c>
      <c r="F65" s="15" t="n">
        <v>11325.45979</v>
      </c>
      <c r="G65" s="15" t="n">
        <v>15429.1071</v>
      </c>
      <c r="H65" s="15" t="n">
        <v>19177.45706</v>
      </c>
      <c r="I65" s="15" t="n">
        <v>21816.32819</v>
      </c>
      <c r="J65" s="15" t="n">
        <v>23477.64602</v>
      </c>
      <c r="K65" s="15" t="n">
        <v>25170.76644</v>
      </c>
      <c r="L65" s="16" t="n">
        <v>0.06716276296</v>
      </c>
      <c r="M65" s="16" t="n">
        <v>0.06724568</v>
      </c>
      <c r="N65" s="16" t="n">
        <v>0.06732422219</v>
      </c>
      <c r="O65" s="16" t="n">
        <v>0.06739814876</v>
      </c>
      <c r="P65" s="16" t="n">
        <v>0.06746549764</v>
      </c>
      <c r="Q65" s="16" t="n">
        <v>0.06752636789</v>
      </c>
      <c r="R65" s="16" t="n">
        <v>0.06757913505</v>
      </c>
      <c r="S65" s="16" t="n">
        <v>0.0676239944</v>
      </c>
      <c r="T65" s="16" t="n">
        <v>0.0676581978</v>
      </c>
      <c r="U65" s="16" t="n">
        <v>0.06768014522</v>
      </c>
    </row>
    <row r="66" customFormat="false" ht="15" hidden="false" customHeight="false" outlineLevel="0" collapsed="false">
      <c r="A66" s="15" t="s">
        <v>164</v>
      </c>
      <c r="B66" s="15" t="n">
        <v>636.3885052</v>
      </c>
      <c r="C66" s="15" t="n">
        <v>2858.302353</v>
      </c>
      <c r="D66" s="15" t="n">
        <v>5733.315478</v>
      </c>
      <c r="E66" s="15" t="n">
        <v>10638.22032</v>
      </c>
      <c r="F66" s="15" t="n">
        <v>15661.31817</v>
      </c>
      <c r="G66" s="15" t="n">
        <v>21318.84853</v>
      </c>
      <c r="H66" s="15" t="n">
        <v>26476.85412</v>
      </c>
      <c r="I66" s="15" t="n">
        <v>30095.90856</v>
      </c>
      <c r="J66" s="15" t="n">
        <v>32361.71713</v>
      </c>
      <c r="K66" s="15" t="n">
        <v>34668.23012</v>
      </c>
      <c r="L66" s="16" t="n">
        <v>0.09317829927</v>
      </c>
      <c r="M66" s="16" t="n">
        <v>0.09321762703</v>
      </c>
      <c r="N66" s="16" t="n">
        <v>0.09325033048</v>
      </c>
      <c r="O66" s="16" t="n">
        <v>0.09327616065</v>
      </c>
      <c r="P66" s="16" t="n">
        <v>0.09329410402</v>
      </c>
      <c r="Q66" s="16" t="n">
        <v>0.09330315747</v>
      </c>
      <c r="R66" s="16" t="n">
        <v>0.09330136391</v>
      </c>
      <c r="S66" s="16" t="n">
        <v>0.09328818003</v>
      </c>
      <c r="T66" s="16" t="n">
        <v>0.09326043405</v>
      </c>
      <c r="U66" s="16" t="n">
        <v>0.0932172985</v>
      </c>
    </row>
    <row r="67" customFormat="false" ht="15" hidden="false" customHeight="false" outlineLevel="0" collapsed="false">
      <c r="A67" s="15" t="s">
        <v>165</v>
      </c>
      <c r="B67" s="15" t="n">
        <v>454.6292721</v>
      </c>
      <c r="C67" s="15" t="n">
        <v>2045.10724</v>
      </c>
      <c r="D67" s="15" t="n">
        <v>4108.556483</v>
      </c>
      <c r="E67" s="15" t="n">
        <v>7635.29826</v>
      </c>
      <c r="F67" s="15" t="n">
        <v>11257.83942</v>
      </c>
      <c r="G67" s="15" t="n">
        <v>15348.23912</v>
      </c>
      <c r="H67" s="15" t="n">
        <v>19090.97627</v>
      </c>
      <c r="I67" s="15" t="n">
        <v>21733.53584</v>
      </c>
      <c r="J67" s="15" t="n">
        <v>23405.61598</v>
      </c>
      <c r="K67" s="15" t="n">
        <v>25111.86765</v>
      </c>
      <c r="L67" s="16" t="n">
        <v>0.06656559951</v>
      </c>
      <c r="M67" s="16" t="n">
        <v>0.06669694817</v>
      </c>
      <c r="N67" s="16" t="n">
        <v>0.06682420518</v>
      </c>
      <c r="O67" s="16" t="n">
        <v>0.06694647092</v>
      </c>
      <c r="P67" s="16" t="n">
        <v>0.0670626847</v>
      </c>
      <c r="Q67" s="16" t="n">
        <v>0.06717244456</v>
      </c>
      <c r="R67" s="16" t="n">
        <v>0.06727438677</v>
      </c>
      <c r="S67" s="16" t="n">
        <v>0.06736736325</v>
      </c>
      <c r="T67" s="16" t="n">
        <v>0.06745062065</v>
      </c>
      <c r="U67" s="16" t="n">
        <v>0.06752177585</v>
      </c>
    </row>
    <row r="68" customFormat="false" ht="15" hidden="false" customHeight="false" outlineLevel="0" collapsed="false">
      <c r="A68" s="15" t="s">
        <v>166</v>
      </c>
      <c r="B68" s="15" t="n">
        <v>359.9487589</v>
      </c>
      <c r="C68" s="15" t="n">
        <v>1618.861915</v>
      </c>
      <c r="D68" s="15" t="n">
        <v>3251.547844</v>
      </c>
      <c r="E68" s="15" t="n">
        <v>6041.286981</v>
      </c>
      <c r="F68" s="15" t="n">
        <v>8905.631366</v>
      </c>
      <c r="G68" s="15" t="n">
        <v>12138.70505</v>
      </c>
      <c r="H68" s="15" t="n">
        <v>15095.51626</v>
      </c>
      <c r="I68" s="15" t="n">
        <v>17181.35364</v>
      </c>
      <c r="J68" s="15" t="n">
        <v>18499.25584</v>
      </c>
      <c r="K68" s="15" t="n">
        <v>19843.46332</v>
      </c>
      <c r="L68" s="16" t="n">
        <v>0.05270273253</v>
      </c>
      <c r="M68" s="16" t="n">
        <v>0.05279583736</v>
      </c>
      <c r="N68" s="16" t="n">
        <v>0.05288526547</v>
      </c>
      <c r="O68" s="16" t="n">
        <v>0.05297014333</v>
      </c>
      <c r="P68" s="16" t="n">
        <v>0.05305063661</v>
      </c>
      <c r="Q68" s="16" t="n">
        <v>0.05312573551</v>
      </c>
      <c r="R68" s="16" t="n">
        <v>0.05319484896</v>
      </c>
      <c r="S68" s="16" t="n">
        <v>0.05325698037</v>
      </c>
      <c r="T68" s="16" t="n">
        <v>0.05331140566</v>
      </c>
      <c r="U68" s="16" t="n">
        <v>0.05335588339</v>
      </c>
    </row>
    <row r="69" customFormat="false" ht="15" hidden="false" customHeight="false" outlineLevel="0" collapsed="false">
      <c r="A69" s="15" t="s">
        <v>167</v>
      </c>
      <c r="B69" s="15" t="n">
        <v>597.3416232</v>
      </c>
      <c r="C69" s="15" t="n">
        <v>2686.667428</v>
      </c>
      <c r="D69" s="15" t="n">
        <v>5396.521871</v>
      </c>
      <c r="E69" s="15" t="n">
        <v>10027.09856</v>
      </c>
      <c r="F69" s="15" t="n">
        <v>14781.80777</v>
      </c>
      <c r="G69" s="15" t="n">
        <v>20148.82106</v>
      </c>
      <c r="H69" s="15" t="n">
        <v>25057.42855</v>
      </c>
      <c r="I69" s="15" t="n">
        <v>28520.16121</v>
      </c>
      <c r="J69" s="15" t="n">
        <v>30707.69594</v>
      </c>
      <c r="K69" s="15" t="n">
        <v>32939.19647</v>
      </c>
      <c r="L69" s="16" t="n">
        <v>0.08746115946</v>
      </c>
      <c r="M69" s="16" t="n">
        <v>0.08762010848</v>
      </c>
      <c r="N69" s="16" t="n">
        <v>0.08777250263</v>
      </c>
      <c r="O69" s="16" t="n">
        <v>0.08791783102</v>
      </c>
      <c r="P69" s="16" t="n">
        <v>0.08805488129</v>
      </c>
      <c r="Q69" s="16" t="n">
        <v>0.08818246544</v>
      </c>
      <c r="R69" s="16" t="n">
        <v>0.08829947277</v>
      </c>
      <c r="S69" s="16" t="n">
        <v>0.08840384162</v>
      </c>
      <c r="T69" s="16" t="n">
        <v>0.08849385342</v>
      </c>
      <c r="U69" s="16" t="n">
        <v>0.08856820492</v>
      </c>
    </row>
    <row r="70" customFormat="false" ht="15" hidden="false" customHeight="false" outlineLevel="0" collapsed="false">
      <c r="A70" s="15" t="s">
        <v>168</v>
      </c>
      <c r="B70" s="15" t="n">
        <v>319.1232273</v>
      </c>
      <c r="C70" s="15" t="n">
        <v>1434.662368</v>
      </c>
      <c r="D70" s="15" t="n">
        <v>2880.380922</v>
      </c>
      <c r="E70" s="15" t="n">
        <v>5349.543623</v>
      </c>
      <c r="F70" s="15" t="n">
        <v>7882.759521</v>
      </c>
      <c r="G70" s="15" t="n">
        <v>10740.34523</v>
      </c>
      <c r="H70" s="15" t="n">
        <v>13351.32928</v>
      </c>
      <c r="I70" s="15" t="n">
        <v>15190.192</v>
      </c>
      <c r="J70" s="15" t="n">
        <v>16349.03157</v>
      </c>
      <c r="K70" s="15" t="n">
        <v>17530.28203</v>
      </c>
      <c r="L70" s="16" t="n">
        <v>0.04672516762</v>
      </c>
      <c r="M70" s="16" t="n">
        <v>0.04678854965</v>
      </c>
      <c r="N70" s="16" t="n">
        <v>0.04684836791</v>
      </c>
      <c r="O70" s="16" t="n">
        <v>0.04690492164</v>
      </c>
      <c r="P70" s="16" t="n">
        <v>0.04695741309</v>
      </c>
      <c r="Q70" s="16" t="n">
        <v>0.04700573396</v>
      </c>
      <c r="R70" s="16" t="n">
        <v>0.04704853629</v>
      </c>
      <c r="S70" s="16" t="n">
        <v>0.04708498378</v>
      </c>
      <c r="T70" s="16" t="n">
        <v>0.04711486028</v>
      </c>
      <c r="U70" s="16" t="n">
        <v>0.04713611071</v>
      </c>
    </row>
    <row r="71" customFormat="false" ht="15" hidden="false" customHeight="false" outlineLevel="0" collapsed="false">
      <c r="A71" s="15" t="s">
        <v>169</v>
      </c>
      <c r="B71" s="15" t="n">
        <v>584.1099198</v>
      </c>
      <c r="C71" s="15" t="n">
        <v>2621.157122</v>
      </c>
      <c r="D71" s="15" t="n">
        <v>5253.002382</v>
      </c>
      <c r="E71" s="15" t="n">
        <v>9738.39993</v>
      </c>
      <c r="F71" s="15" t="n">
        <v>14324.08353</v>
      </c>
      <c r="G71" s="15" t="n">
        <v>19481.48607</v>
      </c>
      <c r="H71" s="15" t="n">
        <v>24173.9614</v>
      </c>
      <c r="I71" s="15" t="n">
        <v>27454.47796</v>
      </c>
      <c r="J71" s="15" t="n">
        <v>29496.08899</v>
      </c>
      <c r="K71" s="15" t="n">
        <v>31571.26847</v>
      </c>
      <c r="L71" s="16" t="n">
        <v>0.08552380891</v>
      </c>
      <c r="M71" s="16" t="n">
        <v>0.08548362517</v>
      </c>
      <c r="N71" s="16" t="n">
        <v>0.08543820936</v>
      </c>
      <c r="O71" s="16" t="n">
        <v>0.08538651478</v>
      </c>
      <c r="P71" s="16" t="n">
        <v>0.08532822871</v>
      </c>
      <c r="Q71" s="16" t="n">
        <v>0.08526183577</v>
      </c>
      <c r="R71" s="16" t="n">
        <v>0.08518623698</v>
      </c>
      <c r="S71" s="16" t="n">
        <v>0.08510054706</v>
      </c>
      <c r="T71" s="16" t="n">
        <v>0.08500222812</v>
      </c>
      <c r="U71" s="16" t="n">
        <v>0.08489006641</v>
      </c>
    </row>
    <row r="72" customFormat="false" ht="15" hidden="false" customHeight="false" outlineLevel="0" collapsed="false">
      <c r="A72" s="15" t="s">
        <v>170</v>
      </c>
      <c r="B72" s="15" t="n">
        <v>456.2408143</v>
      </c>
      <c r="C72" s="15" t="n">
        <v>2050.713914</v>
      </c>
      <c r="D72" s="15" t="n">
        <v>4116.48809</v>
      </c>
      <c r="E72" s="15" t="n">
        <v>7643.861156</v>
      </c>
      <c r="F72" s="15" t="n">
        <v>11261.27727</v>
      </c>
      <c r="G72" s="15" t="n">
        <v>15340.40022</v>
      </c>
      <c r="H72" s="15" t="n">
        <v>19065.60463</v>
      </c>
      <c r="I72" s="15" t="n">
        <v>21686.68762</v>
      </c>
      <c r="J72" s="15" t="n">
        <v>23335.73245</v>
      </c>
      <c r="K72" s="15" t="n">
        <v>25016.1113</v>
      </c>
      <c r="L72" s="16" t="n">
        <v>0.0668015572</v>
      </c>
      <c r="M72" s="16" t="n">
        <v>0.06687979828</v>
      </c>
      <c r="N72" s="16" t="n">
        <v>0.06695320993</v>
      </c>
      <c r="O72" s="16" t="n">
        <v>0.06702155059</v>
      </c>
      <c r="P72" s="16" t="n">
        <v>0.06708316389</v>
      </c>
      <c r="Q72" s="16" t="n">
        <v>0.06713813719</v>
      </c>
      <c r="R72" s="16" t="n">
        <v>0.06718498003</v>
      </c>
      <c r="S72" s="16" t="n">
        <v>0.06722214799</v>
      </c>
      <c r="T72" s="16" t="n">
        <v>0.06724922936</v>
      </c>
      <c r="U72" s="16" t="n">
        <v>0.0672643024</v>
      </c>
    </row>
    <row r="73" customFormat="false" ht="15" hidden="false" customHeight="false" outlineLevel="0" collapsed="false">
      <c r="A73" s="15" t="s">
        <v>171</v>
      </c>
      <c r="B73" s="15" t="n">
        <v>117.0880233</v>
      </c>
      <c r="C73" s="15" t="n">
        <v>527.0142639</v>
      </c>
      <c r="D73" s="15" t="n">
        <v>1059.361861</v>
      </c>
      <c r="E73" s="15" t="n">
        <v>1969.844752</v>
      </c>
      <c r="F73" s="15" t="n">
        <v>2906.005078</v>
      </c>
      <c r="G73" s="15" t="n">
        <v>3964.086353</v>
      </c>
      <c r="H73" s="15" t="n">
        <v>4933.53607</v>
      </c>
      <c r="I73" s="15" t="n">
        <v>5619.423908</v>
      </c>
      <c r="J73" s="15" t="n">
        <v>6054.902822</v>
      </c>
      <c r="K73" s="15" t="n">
        <v>6499.735416</v>
      </c>
      <c r="L73" s="16" t="n">
        <v>0.01714371455</v>
      </c>
      <c r="M73" s="16" t="n">
        <v>0.0171874816</v>
      </c>
      <c r="N73" s="16" t="n">
        <v>0.01723014267</v>
      </c>
      <c r="O73" s="16" t="n">
        <v>0.01727164413</v>
      </c>
      <c r="P73" s="16" t="n">
        <v>0.01731100391</v>
      </c>
      <c r="Q73" s="16" t="n">
        <v>0.01734905019</v>
      </c>
      <c r="R73" s="16" t="n">
        <v>0.01738520906</v>
      </c>
      <c r="S73" s="16" t="n">
        <v>0.01741850817</v>
      </c>
      <c r="T73" s="16" t="n">
        <v>0.01744910083</v>
      </c>
      <c r="U73" s="16" t="n">
        <v>0.01747674382</v>
      </c>
    </row>
    <row r="74" customFormat="false" ht="15" hidden="false" customHeight="false" outlineLevel="0" collapsed="false">
      <c r="A74" s="15" t="s">
        <v>172</v>
      </c>
      <c r="B74" s="15" t="n">
        <v>1088.38708</v>
      </c>
      <c r="C74" s="15" t="n">
        <v>4880.178768</v>
      </c>
      <c r="D74" s="15" t="n">
        <v>9772.80901</v>
      </c>
      <c r="E74" s="15" t="n">
        <v>18104.40593</v>
      </c>
      <c r="F74" s="15" t="n">
        <v>26611.1133</v>
      </c>
      <c r="G74" s="15" t="n">
        <v>36168.65139</v>
      </c>
      <c r="H74" s="15" t="n">
        <v>44852.58234</v>
      </c>
      <c r="I74" s="15" t="n">
        <v>50909.12347</v>
      </c>
      <c r="J74" s="15" t="n">
        <v>54664.58344</v>
      </c>
      <c r="K74" s="15" t="n">
        <v>58480.16182</v>
      </c>
      <c r="L74" s="16" t="n">
        <v>0.1593587191</v>
      </c>
      <c r="M74" s="16" t="n">
        <v>0.1591569498</v>
      </c>
      <c r="N74" s="16" t="n">
        <v>0.1589512514</v>
      </c>
      <c r="O74" s="16" t="n">
        <v>0.158739848</v>
      </c>
      <c r="P74" s="16" t="n">
        <v>0.1585217761</v>
      </c>
      <c r="Q74" s="16" t="n">
        <v>0.1582941673</v>
      </c>
      <c r="R74" s="16" t="n">
        <v>0.1580552995</v>
      </c>
      <c r="S74" s="16" t="n">
        <v>0.1578028278</v>
      </c>
      <c r="T74" s="16" t="n">
        <v>0.1575331358</v>
      </c>
      <c r="U74" s="16" t="n">
        <v>0.1572437555</v>
      </c>
    </row>
    <row r="75" customFormat="false" ht="15" hidden="false" customHeight="false" outlineLevel="0" collapsed="false">
      <c r="A75" s="13" t="s">
        <v>173</v>
      </c>
      <c r="B75" s="17" t="n">
        <v>6829.793098</v>
      </c>
      <c r="C75" s="17" t="n">
        <v>30662.68091</v>
      </c>
      <c r="D75" s="17" t="n">
        <v>61483.058</v>
      </c>
      <c r="E75" s="17" t="n">
        <v>114050.7954</v>
      </c>
      <c r="F75" s="17" t="n">
        <v>167870.3958</v>
      </c>
      <c r="G75" s="17" t="n">
        <v>228490.1081</v>
      </c>
      <c r="H75" s="17" t="n">
        <v>283777.7821</v>
      </c>
      <c r="I75" s="17" t="n">
        <v>322612.2382</v>
      </c>
      <c r="J75" s="17" t="n">
        <v>347003.7155</v>
      </c>
      <c r="K75" s="17" t="n">
        <v>371907.6896</v>
      </c>
      <c r="L75" s="18" t="n">
        <v>1</v>
      </c>
      <c r="M75" s="18" t="n">
        <v>1</v>
      </c>
      <c r="N75" s="18" t="n">
        <v>1</v>
      </c>
      <c r="O75" s="18" t="n">
        <v>1</v>
      </c>
      <c r="P75" s="18" t="n">
        <v>1</v>
      </c>
      <c r="Q75" s="18" t="n">
        <v>1</v>
      </c>
      <c r="R75" s="18" t="n">
        <v>1</v>
      </c>
      <c r="S75" s="18" t="n">
        <v>1</v>
      </c>
      <c r="T75" s="18" t="n">
        <v>1</v>
      </c>
      <c r="U75" s="18" t="n">
        <v>1</v>
      </c>
    </row>
    <row r="77" customFormat="false" ht="15" hidden="false" customHeight="false" outlineLevel="0" collapsed="false">
      <c r="A77" s="13" t="s">
        <v>174</v>
      </c>
    </row>
    <row r="78" customFormat="false" ht="15" hidden="false" customHeight="false" outlineLevel="0" collapsed="false">
      <c r="A78" s="13" t="s">
        <v>146</v>
      </c>
      <c r="B78" s="13" t="n">
        <v>2026</v>
      </c>
      <c r="C78" s="13" t="n">
        <v>2027</v>
      </c>
      <c r="D78" s="13" t="n">
        <v>2028</v>
      </c>
      <c r="E78" s="13" t="n">
        <v>2029</v>
      </c>
      <c r="F78" s="13" t="n">
        <v>2030</v>
      </c>
      <c r="G78" s="13" t="n">
        <v>2031</v>
      </c>
      <c r="H78" s="13" t="n">
        <v>2032</v>
      </c>
      <c r="I78" s="13" t="n">
        <v>2033</v>
      </c>
      <c r="J78" s="13" t="n">
        <v>2034</v>
      </c>
      <c r="K78" s="13" t="n">
        <v>2035</v>
      </c>
      <c r="L78" s="13" t="s">
        <v>147</v>
      </c>
      <c r="M78" s="13" t="s">
        <v>148</v>
      </c>
      <c r="N78" s="13" t="s">
        <v>149</v>
      </c>
      <c r="O78" s="13" t="s">
        <v>150</v>
      </c>
      <c r="P78" s="13" t="s">
        <v>151</v>
      </c>
      <c r="Q78" s="13" t="s">
        <v>152</v>
      </c>
      <c r="R78" s="13" t="s">
        <v>153</v>
      </c>
      <c r="S78" s="13" t="s">
        <v>154</v>
      </c>
      <c r="T78" s="13" t="s">
        <v>155</v>
      </c>
      <c r="U78" s="13" t="s">
        <v>156</v>
      </c>
      <c r="V78" s="13" t="s">
        <v>157</v>
      </c>
    </row>
    <row r="79" customFormat="false" ht="15" hidden="false" customHeight="false" outlineLevel="0" collapsed="false">
      <c r="A79" s="15" t="s">
        <v>158</v>
      </c>
      <c r="B79" s="15" t="n">
        <v>44.57232481</v>
      </c>
      <c r="C79" s="15" t="n">
        <v>78.37282962</v>
      </c>
      <c r="D79" s="15" t="n">
        <v>102.947211</v>
      </c>
      <c r="E79" s="15" t="n">
        <v>139.3121874</v>
      </c>
      <c r="F79" s="15" t="n">
        <v>218.746109</v>
      </c>
      <c r="G79" s="15" t="n">
        <v>297.6324488</v>
      </c>
      <c r="H79" s="15" t="n">
        <v>382.6430286</v>
      </c>
      <c r="I79" s="15" t="n">
        <v>474.378255</v>
      </c>
      <c r="J79" s="15" t="n">
        <v>553.5231369</v>
      </c>
      <c r="K79" s="15" t="n">
        <v>639.3736032</v>
      </c>
      <c r="L79" s="16" t="n">
        <v>0.03594234653</v>
      </c>
      <c r="M79" s="16" t="n">
        <v>0.0357687629</v>
      </c>
      <c r="N79" s="16" t="n">
        <v>0.03561284885</v>
      </c>
      <c r="O79" s="16" t="n">
        <v>0.03548272087</v>
      </c>
      <c r="P79" s="16" t="n">
        <v>0.03538521965</v>
      </c>
      <c r="Q79" s="16" t="n">
        <v>0.03531858919</v>
      </c>
      <c r="R79" s="16" t="n">
        <v>0.03528531777</v>
      </c>
      <c r="S79" s="16" t="n">
        <v>0.03530661287</v>
      </c>
      <c r="T79" s="16" t="n">
        <v>0.03537454192</v>
      </c>
      <c r="U79" s="16" t="n">
        <v>0.03549996909</v>
      </c>
      <c r="V79" s="20" t="n">
        <v>0.3873481014</v>
      </c>
    </row>
    <row r="80" customFormat="false" ht="15" hidden="false" customHeight="false" outlineLevel="0" collapsed="false">
      <c r="A80" s="15" t="s">
        <v>159</v>
      </c>
      <c r="B80" s="15" t="n">
        <v>104.5860924</v>
      </c>
      <c r="C80" s="15" t="n">
        <v>185.2896162</v>
      </c>
      <c r="D80" s="15" t="n">
        <v>245.1882686</v>
      </c>
      <c r="E80" s="15" t="n">
        <v>334.1236697</v>
      </c>
      <c r="F80" s="15" t="n">
        <v>527.9603228</v>
      </c>
      <c r="G80" s="15" t="n">
        <v>722.6195017</v>
      </c>
      <c r="H80" s="15" t="n">
        <v>934.1104719</v>
      </c>
      <c r="I80" s="15" t="n">
        <v>1163.211854</v>
      </c>
      <c r="J80" s="15" t="n">
        <v>1362.367719</v>
      </c>
      <c r="K80" s="15" t="n">
        <v>1578.186148</v>
      </c>
      <c r="L80" s="16" t="n">
        <v>0.08433640363</v>
      </c>
      <c r="M80" s="16" t="n">
        <v>0.08456477048</v>
      </c>
      <c r="N80" s="16" t="n">
        <v>0.08481874025</v>
      </c>
      <c r="O80" s="16" t="n">
        <v>0.08510107499</v>
      </c>
      <c r="P80" s="16" t="n">
        <v>0.0854049111</v>
      </c>
      <c r="Q80" s="16" t="n">
        <v>0.08574972732</v>
      </c>
      <c r="R80" s="16" t="n">
        <v>0.0861387308</v>
      </c>
      <c r="S80" s="16" t="n">
        <v>0.08657452191</v>
      </c>
      <c r="T80" s="16" t="n">
        <v>0.08706615999</v>
      </c>
      <c r="U80" s="16" t="n">
        <v>0.08762569987</v>
      </c>
      <c r="V80" s="13" t="s">
        <v>160</v>
      </c>
    </row>
    <row r="81" customFormat="false" ht="15" hidden="false" customHeight="false" outlineLevel="0" collapsed="false">
      <c r="A81" s="15" t="s">
        <v>161</v>
      </c>
      <c r="B81" s="15" t="n">
        <v>64.37273051</v>
      </c>
      <c r="C81" s="15" t="n">
        <v>113.5654226</v>
      </c>
      <c r="D81" s="15" t="n">
        <v>149.6931426</v>
      </c>
      <c r="E81" s="15" t="n">
        <v>203.207132</v>
      </c>
      <c r="F81" s="15" t="n">
        <v>320.0214767</v>
      </c>
      <c r="G81" s="15" t="n">
        <v>436.6129788</v>
      </c>
      <c r="H81" s="15" t="n">
        <v>562.8399986</v>
      </c>
      <c r="I81" s="15" t="n">
        <v>699.1598608</v>
      </c>
      <c r="J81" s="15" t="n">
        <v>817.2415568</v>
      </c>
      <c r="K81" s="15" t="n">
        <v>945.396208</v>
      </c>
      <c r="L81" s="16" t="n">
        <v>0.05190904887</v>
      </c>
      <c r="M81" s="16" t="n">
        <v>0.05183039449</v>
      </c>
      <c r="N81" s="16" t="n">
        <v>0.05178381435</v>
      </c>
      <c r="O81" s="16" t="n">
        <v>0.05175672047</v>
      </c>
      <c r="P81" s="16" t="n">
        <v>0.05176791623</v>
      </c>
      <c r="Q81" s="16" t="n">
        <v>0.05181072998</v>
      </c>
      <c r="R81" s="16" t="n">
        <v>0.05190212997</v>
      </c>
      <c r="S81" s="16" t="n">
        <v>0.05203646305</v>
      </c>
      <c r="T81" s="16" t="n">
        <v>0.05222825169</v>
      </c>
      <c r="U81" s="16" t="n">
        <v>0.05249127582</v>
      </c>
      <c r="V81" s="20" t="n">
        <v>0.6126518986</v>
      </c>
    </row>
    <row r="82" customFormat="false" ht="15" hidden="false" customHeight="false" outlineLevel="0" collapsed="false">
      <c r="A82" s="15" t="s">
        <v>162</v>
      </c>
      <c r="B82" s="15" t="n">
        <v>75.60330764</v>
      </c>
      <c r="C82" s="15" t="n">
        <v>133.439625</v>
      </c>
      <c r="D82" s="15" t="n">
        <v>175.8846186</v>
      </c>
      <c r="E82" s="15" t="n">
        <v>238.652681</v>
      </c>
      <c r="F82" s="15" t="n">
        <v>375.4326138</v>
      </c>
      <c r="G82" s="15" t="n">
        <v>511.4349273</v>
      </c>
      <c r="H82" s="15" t="n">
        <v>657.7518254</v>
      </c>
      <c r="I82" s="15" t="n">
        <v>814.5451861</v>
      </c>
      <c r="J82" s="15" t="n">
        <v>948.3301762</v>
      </c>
      <c r="K82" s="15" t="n">
        <v>1091.406691</v>
      </c>
      <c r="L82" s="16" t="n">
        <v>0.0609651907</v>
      </c>
      <c r="M82" s="16" t="n">
        <v>0.06090082918</v>
      </c>
      <c r="N82" s="16" t="n">
        <v>0.06084431308</v>
      </c>
      <c r="O82" s="16" t="n">
        <v>0.06078467808</v>
      </c>
      <c r="P82" s="16" t="n">
        <v>0.06073143686</v>
      </c>
      <c r="Q82" s="16" t="n">
        <v>0.0606894852</v>
      </c>
      <c r="R82" s="16" t="n">
        <v>0.06065439702</v>
      </c>
      <c r="S82" s="16" t="n">
        <v>0.06062426186</v>
      </c>
      <c r="T82" s="16" t="n">
        <v>0.0606058597</v>
      </c>
      <c r="U82" s="16" t="n">
        <v>0.0605982224</v>
      </c>
    </row>
    <row r="83" customFormat="false" ht="15" hidden="false" customHeight="false" outlineLevel="0" collapsed="false">
      <c r="A83" s="15" t="s">
        <v>163</v>
      </c>
      <c r="B83" s="15" t="n">
        <v>87.61934294</v>
      </c>
      <c r="C83" s="15" t="n">
        <v>154.8932639</v>
      </c>
      <c r="D83" s="15" t="n">
        <v>204.4283337</v>
      </c>
      <c r="E83" s="15" t="n">
        <v>277.74315</v>
      </c>
      <c r="F83" s="15" t="n">
        <v>437.3829629</v>
      </c>
      <c r="G83" s="15" t="n">
        <v>596.2237952</v>
      </c>
      <c r="H83" s="15" t="n">
        <v>767.1033326</v>
      </c>
      <c r="I83" s="15" t="n">
        <v>950.0922739</v>
      </c>
      <c r="J83" s="15" t="n">
        <v>1105.817813</v>
      </c>
      <c r="K83" s="15" t="n">
        <v>1271.665928</v>
      </c>
      <c r="L83" s="16" t="n">
        <v>0.07065471231</v>
      </c>
      <c r="M83" s="16" t="n">
        <v>0.07069210669</v>
      </c>
      <c r="N83" s="16" t="n">
        <v>0.0707185292</v>
      </c>
      <c r="O83" s="16" t="n">
        <v>0.07074099436</v>
      </c>
      <c r="P83" s="16" t="n">
        <v>0.07075276579</v>
      </c>
      <c r="Q83" s="16" t="n">
        <v>0.07075096608</v>
      </c>
      <c r="R83" s="16" t="n">
        <v>0.07073821508</v>
      </c>
      <c r="S83" s="16" t="n">
        <v>0.07071264282</v>
      </c>
      <c r="T83" s="16" t="n">
        <v>0.07067057541</v>
      </c>
      <c r="U83" s="16" t="n">
        <v>0.07060676402</v>
      </c>
    </row>
    <row r="84" customFormat="false" ht="15" hidden="false" customHeight="false" outlineLevel="0" collapsed="false">
      <c r="A84" s="15" t="s">
        <v>164</v>
      </c>
      <c r="B84" s="15" t="n">
        <v>118.210211</v>
      </c>
      <c r="C84" s="15" t="n">
        <v>208.8518295</v>
      </c>
      <c r="D84" s="15" t="n">
        <v>275.504676</v>
      </c>
      <c r="E84" s="15" t="n">
        <v>374.0934341</v>
      </c>
      <c r="F84" s="15" t="n">
        <v>588.7935271</v>
      </c>
      <c r="G84" s="15" t="n">
        <v>802.2680655</v>
      </c>
      <c r="H84" s="15" t="n">
        <v>1031.629148</v>
      </c>
      <c r="I84" s="15" t="n">
        <v>1277.042694</v>
      </c>
      <c r="J84" s="15" t="n">
        <v>1485.561175</v>
      </c>
      <c r="K84" s="15" t="n">
        <v>1707.547136</v>
      </c>
      <c r="L84" s="16" t="n">
        <v>0.0953226556</v>
      </c>
      <c r="M84" s="16" t="n">
        <v>0.09531838532</v>
      </c>
      <c r="N84" s="16" t="n">
        <v>0.09530618934</v>
      </c>
      <c r="O84" s="16" t="n">
        <v>0.09528134722</v>
      </c>
      <c r="P84" s="16" t="n">
        <v>0.09524552635</v>
      </c>
      <c r="Q84" s="16" t="n">
        <v>0.09520123341</v>
      </c>
      <c r="R84" s="16" t="n">
        <v>0.09513138771</v>
      </c>
      <c r="S84" s="16" t="n">
        <v>0.09504662483</v>
      </c>
      <c r="T84" s="16" t="n">
        <v>0.09493920406</v>
      </c>
      <c r="U84" s="16" t="n">
        <v>0.0948082158</v>
      </c>
    </row>
    <row r="85" customFormat="false" ht="15" hidden="false" customHeight="false" outlineLevel="0" collapsed="false">
      <c r="A85" s="15" t="s">
        <v>165</v>
      </c>
      <c r="B85" s="15" t="n">
        <v>91.96465879</v>
      </c>
      <c r="C85" s="15" t="n">
        <v>162.6521432</v>
      </c>
      <c r="D85" s="15" t="n">
        <v>214.7869864</v>
      </c>
      <c r="E85" s="15" t="n">
        <v>291.9583575</v>
      </c>
      <c r="F85" s="15" t="n">
        <v>460.003771</v>
      </c>
      <c r="G85" s="15" t="n">
        <v>627.4148263</v>
      </c>
      <c r="H85" s="15" t="n">
        <v>807.6147204</v>
      </c>
      <c r="I85" s="15" t="n">
        <v>1000.749373</v>
      </c>
      <c r="J85" s="15" t="n">
        <v>1165.34522</v>
      </c>
      <c r="K85" s="15" t="n">
        <v>1340.821442</v>
      </c>
      <c r="L85" s="16" t="n">
        <v>0.07415869934</v>
      </c>
      <c r="M85" s="16" t="n">
        <v>0.07423320013</v>
      </c>
      <c r="N85" s="16" t="n">
        <v>0.07430193015</v>
      </c>
      <c r="O85" s="16" t="n">
        <v>0.07436159821</v>
      </c>
      <c r="P85" s="16" t="n">
        <v>0.07441199552</v>
      </c>
      <c r="Q85" s="16" t="n">
        <v>0.07445225342</v>
      </c>
      <c r="R85" s="16" t="n">
        <v>0.07447396115</v>
      </c>
      <c r="S85" s="16" t="n">
        <v>0.07448290542</v>
      </c>
      <c r="T85" s="16" t="n">
        <v>0.07447485135</v>
      </c>
      <c r="U85" s="16" t="n">
        <v>0.07444648871</v>
      </c>
    </row>
    <row r="86" customFormat="false" ht="15" hidden="false" customHeight="false" outlineLevel="0" collapsed="false">
      <c r="A86" s="15" t="s">
        <v>166</v>
      </c>
      <c r="B86" s="15" t="n">
        <v>68.8442948</v>
      </c>
      <c r="C86" s="15" t="n">
        <v>121.7294831</v>
      </c>
      <c r="D86" s="15" t="n">
        <v>160.7182483</v>
      </c>
      <c r="E86" s="15" t="n">
        <v>218.4025459</v>
      </c>
      <c r="F86" s="15" t="n">
        <v>344.0538105</v>
      </c>
      <c r="G86" s="15" t="n">
        <v>469.1276303</v>
      </c>
      <c r="H86" s="15" t="n">
        <v>603.7723845</v>
      </c>
      <c r="I86" s="15" t="n">
        <v>747.9773314</v>
      </c>
      <c r="J86" s="15" t="n">
        <v>870.8130385</v>
      </c>
      <c r="K86" s="15" t="n">
        <v>1001.699796</v>
      </c>
      <c r="L86" s="16" t="n">
        <v>0.05551484045</v>
      </c>
      <c r="M86" s="16" t="n">
        <v>0.05555640955</v>
      </c>
      <c r="N86" s="16" t="n">
        <v>0.05559776342</v>
      </c>
      <c r="O86" s="16" t="n">
        <v>0.05562698222</v>
      </c>
      <c r="P86" s="16" t="n">
        <v>0.05565547983</v>
      </c>
      <c r="Q86" s="16" t="n">
        <v>0.05566908488</v>
      </c>
      <c r="R86" s="16" t="n">
        <v>0.05567669827</v>
      </c>
      <c r="S86" s="16" t="n">
        <v>0.05566980737</v>
      </c>
      <c r="T86" s="16" t="n">
        <v>0.05565189652</v>
      </c>
      <c r="U86" s="16" t="n">
        <v>0.05561742243</v>
      </c>
    </row>
    <row r="87" customFormat="false" ht="15" hidden="false" customHeight="false" outlineLevel="0" collapsed="false">
      <c r="A87" s="15" t="s">
        <v>167</v>
      </c>
      <c r="B87" s="15" t="n">
        <v>120.7137646</v>
      </c>
      <c r="C87" s="15" t="n">
        <v>213.4859608</v>
      </c>
      <c r="D87" s="15" t="n">
        <v>281.8742302</v>
      </c>
      <c r="E87" s="15" t="n">
        <v>383.1068383</v>
      </c>
      <c r="F87" s="15" t="n">
        <v>603.528202</v>
      </c>
      <c r="G87" s="15" t="n">
        <v>823.0395331</v>
      </c>
      <c r="H87" s="15" t="n">
        <v>1059.318806</v>
      </c>
      <c r="I87" s="15" t="n">
        <v>1312.476308</v>
      </c>
      <c r="J87" s="15" t="n">
        <v>1528.060817</v>
      </c>
      <c r="K87" s="15" t="n">
        <v>1757.868142</v>
      </c>
      <c r="L87" s="16" t="n">
        <v>0.09734147764</v>
      </c>
      <c r="M87" s="16" t="n">
        <v>0.09743336756</v>
      </c>
      <c r="N87" s="16" t="n">
        <v>0.09750962902</v>
      </c>
      <c r="O87" s="16" t="n">
        <v>0.09757705523</v>
      </c>
      <c r="P87" s="16" t="n">
        <v>0.09762906457</v>
      </c>
      <c r="Q87" s="16" t="n">
        <v>0.09766608203</v>
      </c>
      <c r="R87" s="16" t="n">
        <v>0.09768478167</v>
      </c>
      <c r="S87" s="16" t="n">
        <v>0.09768384706</v>
      </c>
      <c r="T87" s="16" t="n">
        <v>0.09765527005</v>
      </c>
      <c r="U87" s="16" t="n">
        <v>0.09760219124</v>
      </c>
    </row>
    <row r="88" customFormat="false" ht="15" hidden="false" customHeight="false" outlineLevel="0" collapsed="false">
      <c r="A88" s="15" t="s">
        <v>168</v>
      </c>
      <c r="B88" s="15" t="n">
        <v>62.48272333</v>
      </c>
      <c r="C88" s="15" t="n">
        <v>110.4726846</v>
      </c>
      <c r="D88" s="15" t="n">
        <v>145.8197094</v>
      </c>
      <c r="E88" s="15" t="n">
        <v>198.1360452</v>
      </c>
      <c r="F88" s="15" t="n">
        <v>312.071875</v>
      </c>
      <c r="G88" s="15" t="n">
        <v>425.4388951</v>
      </c>
      <c r="H88" s="15" t="n">
        <v>547.4474048</v>
      </c>
      <c r="I88" s="15" t="n">
        <v>678.0753001</v>
      </c>
      <c r="J88" s="15" t="n">
        <v>789.3445277</v>
      </c>
      <c r="K88" s="15" t="n">
        <v>907.8139843</v>
      </c>
      <c r="L88" s="16" t="n">
        <v>0.05038497999</v>
      </c>
      <c r="M88" s="16" t="n">
        <v>0.05041889238</v>
      </c>
      <c r="N88" s="16" t="n">
        <v>0.05044386556</v>
      </c>
      <c r="O88" s="16" t="n">
        <v>0.05046511807</v>
      </c>
      <c r="P88" s="16" t="n">
        <v>0.05048195782</v>
      </c>
      <c r="Q88" s="16" t="n">
        <v>0.05048475603</v>
      </c>
      <c r="R88" s="16" t="n">
        <v>0.05048270633</v>
      </c>
      <c r="S88" s="16" t="n">
        <v>0.05046719968</v>
      </c>
      <c r="T88" s="16" t="n">
        <v>0.0504454091</v>
      </c>
      <c r="U88" s="16" t="n">
        <v>0.05040459634</v>
      </c>
    </row>
    <row r="89" customFormat="false" ht="15" hidden="false" customHeight="false" outlineLevel="0" collapsed="false">
      <c r="A89" s="15" t="s">
        <v>169</v>
      </c>
      <c r="B89" s="15" t="n">
        <v>100.4011767</v>
      </c>
      <c r="C89" s="15" t="n">
        <v>177.2511495</v>
      </c>
      <c r="D89" s="15" t="n">
        <v>233.6376462</v>
      </c>
      <c r="E89" s="15" t="n">
        <v>317.0088743</v>
      </c>
      <c r="F89" s="15" t="n">
        <v>498.5738242</v>
      </c>
      <c r="G89" s="15" t="n">
        <v>678.7937902</v>
      </c>
      <c r="H89" s="15" t="n">
        <v>872.2414836</v>
      </c>
      <c r="I89" s="15" t="n">
        <v>1078.97369</v>
      </c>
      <c r="J89" s="15" t="n">
        <v>1254.266342</v>
      </c>
      <c r="K89" s="15" t="n">
        <v>1440.638811</v>
      </c>
      <c r="L89" s="16" t="n">
        <v>0.08096176046</v>
      </c>
      <c r="M89" s="16" t="n">
        <v>0.08089607548</v>
      </c>
      <c r="N89" s="16" t="n">
        <v>0.08082299751</v>
      </c>
      <c r="O89" s="16" t="n">
        <v>0.08074194805</v>
      </c>
      <c r="P89" s="16" t="n">
        <v>0.08065123703</v>
      </c>
      <c r="Q89" s="16" t="n">
        <v>0.08054914415</v>
      </c>
      <c r="R89" s="16" t="n">
        <v>0.08043349968</v>
      </c>
      <c r="S89" s="16" t="n">
        <v>0.08030491699</v>
      </c>
      <c r="T89" s="16" t="n">
        <v>0.08015762002</v>
      </c>
      <c r="U89" s="16" t="n">
        <v>0.07998865298</v>
      </c>
    </row>
    <row r="90" customFormat="false" ht="15" hidden="false" customHeight="false" outlineLevel="0" collapsed="false">
      <c r="A90" s="15" t="s">
        <v>170</v>
      </c>
      <c r="B90" s="15" t="n">
        <v>90.02768737</v>
      </c>
      <c r="C90" s="15" t="n">
        <v>159.1493825</v>
      </c>
      <c r="D90" s="15" t="n">
        <v>210.04307</v>
      </c>
      <c r="E90" s="15" t="n">
        <v>285.3710161</v>
      </c>
      <c r="F90" s="15" t="n">
        <v>449.3715257</v>
      </c>
      <c r="G90" s="15" t="n">
        <v>612.5504926</v>
      </c>
      <c r="H90" s="15" t="n">
        <v>788.1413372</v>
      </c>
      <c r="I90" s="15" t="n">
        <v>976.08346</v>
      </c>
      <c r="J90" s="15" t="n">
        <v>1136.017916</v>
      </c>
      <c r="K90" s="15" t="n">
        <v>1306.365887</v>
      </c>
      <c r="L90" s="16" t="n">
        <v>0.07259675932</v>
      </c>
      <c r="M90" s="16" t="n">
        <v>0.0726345668</v>
      </c>
      <c r="N90" s="16" t="n">
        <v>0.0726608524</v>
      </c>
      <c r="O90" s="16" t="n">
        <v>0.07268380675</v>
      </c>
      <c r="P90" s="16" t="n">
        <v>0.07269208225</v>
      </c>
      <c r="Q90" s="16" t="n">
        <v>0.07268837553</v>
      </c>
      <c r="R90" s="16" t="n">
        <v>0.07267822867</v>
      </c>
      <c r="S90" s="16" t="n">
        <v>0.07264709225</v>
      </c>
      <c r="T90" s="16" t="n">
        <v>0.07260060281</v>
      </c>
      <c r="U90" s="16" t="n">
        <v>0.07253341143</v>
      </c>
    </row>
    <row r="91" customFormat="false" ht="15" hidden="false" customHeight="false" outlineLevel="0" collapsed="false">
      <c r="A91" s="15" t="s">
        <v>171</v>
      </c>
      <c r="B91" s="15" t="n">
        <v>24.64853976</v>
      </c>
      <c r="C91" s="15" t="n">
        <v>43.60594865</v>
      </c>
      <c r="D91" s="15" t="n">
        <v>57.6078999</v>
      </c>
      <c r="E91" s="15" t="n">
        <v>78.33167997</v>
      </c>
      <c r="F91" s="15" t="n">
        <v>123.4504894</v>
      </c>
      <c r="G91" s="15" t="n">
        <v>168.4604717</v>
      </c>
      <c r="H91" s="15" t="n">
        <v>216.9159325</v>
      </c>
      <c r="I91" s="15" t="n">
        <v>268.8936344</v>
      </c>
      <c r="J91" s="15" t="n">
        <v>313.1558848</v>
      </c>
      <c r="K91" s="15" t="n">
        <v>360.4409941</v>
      </c>
      <c r="L91" s="16" t="n">
        <v>0.01987615322</v>
      </c>
      <c r="M91" s="16" t="n">
        <v>0.01990142306</v>
      </c>
      <c r="N91" s="16" t="n">
        <v>0.01992847996</v>
      </c>
      <c r="O91" s="16" t="n">
        <v>0.01995102645</v>
      </c>
      <c r="P91" s="16" t="n">
        <v>0.01996983034</v>
      </c>
      <c r="Q91" s="16" t="n">
        <v>0.01999038149</v>
      </c>
      <c r="R91" s="16" t="n">
        <v>0.02000284086</v>
      </c>
      <c r="S91" s="16" t="n">
        <v>0.02001298195</v>
      </c>
      <c r="T91" s="16" t="n">
        <v>0.02001315796</v>
      </c>
      <c r="U91" s="16" t="n">
        <v>0.02001278139</v>
      </c>
    </row>
    <row r="92" customFormat="false" ht="15" hidden="false" customHeight="false" outlineLevel="0" collapsed="false">
      <c r="A92" s="15" t="s">
        <v>172</v>
      </c>
      <c r="B92" s="15" t="n">
        <v>186.0592907</v>
      </c>
      <c r="C92" s="15" t="n">
        <v>328.3376756</v>
      </c>
      <c r="D92" s="15" t="n">
        <v>432.5982182</v>
      </c>
      <c r="E92" s="15" t="n">
        <v>586.7503802</v>
      </c>
      <c r="F92" s="15" t="n">
        <v>922.4591747</v>
      </c>
      <c r="G92" s="15" t="n">
        <v>1255.459024</v>
      </c>
      <c r="H92" s="15" t="n">
        <v>1612.726399</v>
      </c>
      <c r="I92" s="15" t="n">
        <v>1994.301252</v>
      </c>
      <c r="J92" s="15" t="n">
        <v>2317.654457</v>
      </c>
      <c r="K92" s="15" t="n">
        <v>2661.314947</v>
      </c>
      <c r="L92" s="16" t="n">
        <v>0.1500349719</v>
      </c>
      <c r="M92" s="16" t="n">
        <v>0.149850816</v>
      </c>
      <c r="N92" s="16" t="n">
        <v>0.1496500469</v>
      </c>
      <c r="O92" s="16" t="n">
        <v>0.149444929</v>
      </c>
      <c r="P92" s="16" t="n">
        <v>0.1492205766</v>
      </c>
      <c r="Q92" s="16" t="n">
        <v>0.1489791913</v>
      </c>
      <c r="R92" s="16" t="n">
        <v>0.148717105</v>
      </c>
      <c r="S92" s="16" t="n">
        <v>0.1484301219</v>
      </c>
      <c r="T92" s="16" t="n">
        <v>0.1481165994</v>
      </c>
      <c r="U92" s="16" t="n">
        <v>0.1477643085</v>
      </c>
    </row>
    <row r="93" customFormat="false" ht="15" hidden="false" customHeight="false" outlineLevel="0" collapsed="false">
      <c r="A93" s="13" t="s">
        <v>173</v>
      </c>
      <c r="B93" s="17" t="n">
        <v>1240.106145</v>
      </c>
      <c r="C93" s="17" t="n">
        <v>2191.097015</v>
      </c>
      <c r="D93" s="17" t="n">
        <v>2890.732259</v>
      </c>
      <c r="E93" s="17" t="n">
        <v>3926.197991</v>
      </c>
      <c r="F93" s="17" t="n">
        <v>6181.849685</v>
      </c>
      <c r="G93" s="17" t="n">
        <v>8427.076381</v>
      </c>
      <c r="H93" s="17" t="n">
        <v>10844.25627</v>
      </c>
      <c r="I93" s="17" t="n">
        <v>13435.96047</v>
      </c>
      <c r="J93" s="17" t="n">
        <v>15647.49978</v>
      </c>
      <c r="K93" s="17" t="n">
        <v>18010.53972</v>
      </c>
      <c r="L93" s="20" t="n">
        <v>1</v>
      </c>
      <c r="M93" s="18" t="n">
        <v>1</v>
      </c>
      <c r="N93" s="18" t="n">
        <v>1</v>
      </c>
      <c r="O93" s="20" t="n">
        <v>1</v>
      </c>
      <c r="P93" s="18" t="n">
        <v>1</v>
      </c>
      <c r="Q93" s="18" t="n">
        <v>1</v>
      </c>
      <c r="R93" s="18" t="n">
        <v>1</v>
      </c>
      <c r="S93" s="18" t="n">
        <v>1</v>
      </c>
      <c r="T93" s="18" t="n">
        <v>1</v>
      </c>
      <c r="U93" s="18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3" t="s">
        <v>175</v>
      </c>
    </row>
    <row r="2" customFormat="false" ht="15" hidden="false" customHeight="false" outlineLevel="0" collapsed="false">
      <c r="A2" s="14" t="s">
        <v>176</v>
      </c>
    </row>
    <row r="3" customFormat="false" ht="15" hidden="false" customHeight="false" outlineLevel="0" collapsed="false">
      <c r="A3" s="14" t="s">
        <v>177</v>
      </c>
    </row>
    <row r="5" customFormat="false" ht="15" hidden="false" customHeight="false" outlineLevel="0" collapsed="false">
      <c r="A5" s="13" t="s">
        <v>178</v>
      </c>
    </row>
    <row r="6" customFormat="false" ht="15" hidden="false" customHeight="false" outlineLevel="0" collapsed="false">
      <c r="A6" s="14" t="s">
        <v>179</v>
      </c>
      <c r="B6" s="15" t="n">
        <v>260</v>
      </c>
      <c r="E6" s="14" t="s">
        <v>180</v>
      </c>
      <c r="L6" s="14" t="s">
        <v>181</v>
      </c>
    </row>
    <row r="7" customFormat="false" ht="15" hidden="false" customHeight="false" outlineLevel="0" collapsed="false">
      <c r="A7" s="14" t="s">
        <v>182</v>
      </c>
      <c r="B7" s="15" t="n">
        <v>3</v>
      </c>
      <c r="L7" s="14" t="s">
        <v>183</v>
      </c>
    </row>
    <row r="8" customFormat="false" ht="15" hidden="false" customHeight="false" outlineLevel="0" collapsed="false">
      <c r="A8" s="14" t="s">
        <v>184</v>
      </c>
      <c r="B8" s="16" t="n">
        <v>0.1</v>
      </c>
      <c r="L8" s="14" t="s">
        <v>185</v>
      </c>
    </row>
    <row r="9" customFormat="false" ht="15" hidden="false" customHeight="false" outlineLevel="0" collapsed="false">
      <c r="A9" s="14" t="s">
        <v>186</v>
      </c>
      <c r="B9" s="21" t="n">
        <v>20</v>
      </c>
      <c r="L9" s="14" t="s">
        <v>187</v>
      </c>
    </row>
    <row r="10" customFormat="false" ht="15" hidden="false" customHeight="false" outlineLevel="0" collapsed="false">
      <c r="A10" s="14" t="s">
        <v>188</v>
      </c>
      <c r="B10" s="21" t="n">
        <v>30</v>
      </c>
      <c r="L10" s="14" t="s">
        <v>187</v>
      </c>
    </row>
    <row r="12" customFormat="false" ht="15" hidden="false" customHeight="false" outlineLevel="0" collapsed="false">
      <c r="A12" s="13" t="s">
        <v>189</v>
      </c>
      <c r="B12" s="22" t="n">
        <v>2026</v>
      </c>
      <c r="C12" s="22" t="n">
        <v>2027</v>
      </c>
      <c r="D12" s="22" t="n">
        <v>2028</v>
      </c>
      <c r="E12" s="22" t="n">
        <v>2029</v>
      </c>
      <c r="F12" s="22" t="n">
        <v>2030</v>
      </c>
      <c r="G12" s="22" t="n">
        <v>2031</v>
      </c>
      <c r="H12" s="22" t="n">
        <v>2032</v>
      </c>
      <c r="I12" s="22" t="n">
        <v>2033</v>
      </c>
      <c r="J12" s="22" t="n">
        <v>2034</v>
      </c>
      <c r="K12" s="22" t="n">
        <v>2035</v>
      </c>
    </row>
    <row r="14" customFormat="false" ht="15" hidden="false" customHeight="false" outlineLevel="0" collapsed="false">
      <c r="A14" s="13" t="s">
        <v>190</v>
      </c>
    </row>
    <row r="15" customFormat="false" ht="15" hidden="false" customHeight="false" outlineLevel="0" collapsed="false">
      <c r="A15" s="14" t="s">
        <v>191</v>
      </c>
      <c r="B15" s="15" t="n">
        <v>39725</v>
      </c>
      <c r="C15" s="15" t="n">
        <v>39940</v>
      </c>
      <c r="D15" s="15" t="n">
        <v>40154</v>
      </c>
      <c r="E15" s="15" t="n">
        <v>40369</v>
      </c>
      <c r="F15" s="15" t="n">
        <v>40593</v>
      </c>
      <c r="G15" s="15" t="n">
        <v>40811</v>
      </c>
      <c r="H15" s="15" t="n">
        <v>41042</v>
      </c>
      <c r="I15" s="15" t="n">
        <v>41258</v>
      </c>
      <c r="J15" s="15" t="n">
        <v>41486</v>
      </c>
      <c r="K15" s="15" t="n">
        <v>41707</v>
      </c>
    </row>
    <row r="16" customFormat="false" ht="15" hidden="false" customHeight="false" outlineLevel="0" collapsed="false">
      <c r="A16" s="14" t="s">
        <v>192</v>
      </c>
      <c r="B16" s="15" t="n">
        <v>3393423</v>
      </c>
      <c r="C16" s="15" t="n">
        <v>3525669</v>
      </c>
      <c r="D16" s="15" t="n">
        <v>3663072</v>
      </c>
      <c r="E16" s="15" t="n">
        <v>3805830</v>
      </c>
      <c r="F16" s="15" t="n">
        <v>3954150</v>
      </c>
      <c r="G16" s="15" t="n">
        <v>4108248</v>
      </c>
      <c r="H16" s="15" t="n">
        <v>4268358</v>
      </c>
      <c r="I16" s="15" t="n">
        <v>4434705</v>
      </c>
      <c r="J16" s="15" t="n">
        <v>4607532</v>
      </c>
      <c r="K16" s="15" t="n">
        <v>4787100</v>
      </c>
    </row>
    <row r="17" customFormat="false" ht="15" hidden="false" customHeight="false" outlineLevel="0" collapsed="false">
      <c r="A17" s="14" t="s">
        <v>193</v>
      </c>
      <c r="B17" s="15" t="n">
        <v>703633</v>
      </c>
      <c r="C17" s="15" t="n">
        <v>704099</v>
      </c>
      <c r="D17" s="15" t="n">
        <v>704578</v>
      </c>
      <c r="E17" s="15" t="n">
        <v>705077</v>
      </c>
      <c r="F17" s="15" t="n">
        <v>705582</v>
      </c>
      <c r="G17" s="15" t="n">
        <v>706103</v>
      </c>
      <c r="H17" s="15" t="n">
        <v>706636</v>
      </c>
      <c r="I17" s="15" t="n">
        <v>707181</v>
      </c>
      <c r="J17" s="15" t="n">
        <v>707746</v>
      </c>
      <c r="K17" s="15" t="n">
        <v>708321</v>
      </c>
    </row>
    <row r="18" customFormat="false" ht="15" hidden="false" customHeight="false" outlineLevel="0" collapsed="false">
      <c r="A18" s="14" t="s">
        <v>194</v>
      </c>
      <c r="B18" s="15" t="n">
        <v>12094003</v>
      </c>
      <c r="C18" s="15" t="n">
        <v>12355237</v>
      </c>
      <c r="D18" s="15" t="n">
        <v>12622105</v>
      </c>
      <c r="E18" s="15" t="n">
        <v>12894744</v>
      </c>
      <c r="F18" s="15" t="n">
        <v>13173268</v>
      </c>
      <c r="G18" s="15" t="n">
        <v>13457809</v>
      </c>
      <c r="H18" s="15" t="n">
        <v>13748498</v>
      </c>
      <c r="I18" s="15" t="n">
        <v>14045462</v>
      </c>
      <c r="J18" s="15" t="n">
        <v>14348845</v>
      </c>
      <c r="K18" s="15" t="n">
        <v>14658783</v>
      </c>
    </row>
    <row r="19" customFormat="false" ht="15" hidden="false" customHeight="false" outlineLevel="0" collapsed="false">
      <c r="A19" s="14" t="s">
        <v>195</v>
      </c>
      <c r="B19" s="15" t="n">
        <v>480202</v>
      </c>
      <c r="C19" s="15" t="n">
        <v>491487</v>
      </c>
      <c r="D19" s="15" t="n">
        <v>503046</v>
      </c>
      <c r="E19" s="15" t="n">
        <v>514886</v>
      </c>
      <c r="F19" s="15" t="n">
        <v>527016</v>
      </c>
      <c r="G19" s="15" t="n">
        <v>539450</v>
      </c>
      <c r="H19" s="15" t="n">
        <v>552192</v>
      </c>
      <c r="I19" s="15" t="n">
        <v>565246</v>
      </c>
      <c r="J19" s="15" t="n">
        <v>578626</v>
      </c>
      <c r="K19" s="15" t="n">
        <v>592334</v>
      </c>
    </row>
    <row r="20" customFormat="false" ht="15" hidden="false" customHeight="false" outlineLevel="0" collapsed="false">
      <c r="A20" s="14" t="s">
        <v>196</v>
      </c>
      <c r="B20" s="15" t="n">
        <v>18972632</v>
      </c>
      <c r="C20" s="15" t="n">
        <v>19153968</v>
      </c>
      <c r="D20" s="15" t="n">
        <v>19337280</v>
      </c>
      <c r="E20" s="15" t="n">
        <v>19522464</v>
      </c>
      <c r="F20" s="15" t="n">
        <v>19709624</v>
      </c>
      <c r="G20" s="15" t="n">
        <v>19898792</v>
      </c>
      <c r="H20" s="15" t="n">
        <v>20089920</v>
      </c>
      <c r="I20" s="15" t="n">
        <v>20283056</v>
      </c>
      <c r="J20" s="15" t="n">
        <v>20478312</v>
      </c>
      <c r="K20" s="15" t="n">
        <v>20675608</v>
      </c>
    </row>
    <row r="21" customFormat="false" ht="15" hidden="false" customHeight="false" outlineLevel="0" collapsed="false">
      <c r="A21" s="14" t="s">
        <v>197</v>
      </c>
      <c r="B21" s="15" t="n">
        <v>327007</v>
      </c>
      <c r="C21" s="15" t="n">
        <v>330622</v>
      </c>
      <c r="D21" s="15" t="n">
        <v>334864</v>
      </c>
      <c r="E21" s="15" t="n">
        <v>339841</v>
      </c>
      <c r="F21" s="15" t="n">
        <v>345690</v>
      </c>
      <c r="G21" s="15" t="n">
        <v>352567</v>
      </c>
      <c r="H21" s="15" t="n">
        <v>360658</v>
      </c>
      <c r="I21" s="15" t="n">
        <v>370183</v>
      </c>
      <c r="J21" s="15" t="n">
        <v>381402</v>
      </c>
      <c r="K21" s="15" t="n">
        <v>394627</v>
      </c>
    </row>
    <row r="22" customFormat="false" ht="15" hidden="false" customHeight="false" outlineLevel="0" collapsed="false">
      <c r="A22" s="13" t="s">
        <v>198</v>
      </c>
      <c r="B22" s="17" t="n">
        <v>36010625</v>
      </c>
      <c r="C22" s="17" t="n">
        <v>36601022</v>
      </c>
      <c r="D22" s="17" t="n">
        <v>37205099</v>
      </c>
      <c r="E22" s="17" t="n">
        <v>37823211</v>
      </c>
      <c r="F22" s="17" t="n">
        <v>38455923</v>
      </c>
      <c r="G22" s="17" t="n">
        <v>39103780</v>
      </c>
      <c r="H22" s="17" t="n">
        <v>39767304</v>
      </c>
      <c r="I22" s="17" t="n">
        <v>40447091</v>
      </c>
      <c r="J22" s="17" t="n">
        <v>41143949</v>
      </c>
      <c r="K22" s="17" t="n">
        <v>41858480</v>
      </c>
    </row>
    <row r="23" customFormat="false" ht="15" hidden="false" customHeight="false" outlineLevel="0" collapsed="false">
      <c r="A23" s="14" t="s">
        <v>199</v>
      </c>
      <c r="B23" s="15" t="n">
        <v>23916622</v>
      </c>
      <c r="C23" s="15" t="n">
        <v>24245785</v>
      </c>
      <c r="D23" s="15" t="n">
        <v>24582994</v>
      </c>
      <c r="E23" s="15" t="n">
        <v>24928467</v>
      </c>
      <c r="F23" s="15" t="n">
        <v>25282655</v>
      </c>
      <c r="G23" s="15" t="n">
        <v>25645971</v>
      </c>
      <c r="H23" s="15" t="n">
        <v>26018806</v>
      </c>
      <c r="I23" s="15" t="n">
        <v>26401629</v>
      </c>
      <c r="J23" s="15" t="n">
        <v>26795104</v>
      </c>
      <c r="K23" s="15" t="n">
        <v>27199697</v>
      </c>
    </row>
    <row r="24" customFormat="false" ht="15" hidden="false" customHeight="false" outlineLevel="0" collapsed="false">
      <c r="A24" s="14" t="s">
        <v>200</v>
      </c>
      <c r="B24" s="16" t="n">
        <v>0.6641545933</v>
      </c>
      <c r="C24" s="16" t="n">
        <v>0.6624346446</v>
      </c>
      <c r="D24" s="16" t="n">
        <v>0.6607426041</v>
      </c>
      <c r="E24" s="16" t="n">
        <v>0.6590785484</v>
      </c>
      <c r="F24" s="16" t="n">
        <v>0.6574450183</v>
      </c>
      <c r="G24" s="16" t="n">
        <v>0.6558437829</v>
      </c>
      <c r="H24" s="16" t="n">
        <v>0.6542763372</v>
      </c>
      <c r="I24" s="16" t="n">
        <v>0.6527448167</v>
      </c>
      <c r="J24" s="16" t="n">
        <v>0.6512526058</v>
      </c>
      <c r="K24" s="16" t="n">
        <v>0.6498013545</v>
      </c>
      <c r="L24" s="14" t="s">
        <v>201</v>
      </c>
    </row>
    <row r="26" customFormat="false" ht="15" hidden="false" customHeight="false" outlineLevel="0" collapsed="false">
      <c r="A26" s="13" t="s">
        <v>202</v>
      </c>
    </row>
    <row r="27" customFormat="false" ht="15" hidden="false" customHeight="false" outlineLevel="0" collapsed="false">
      <c r="A27" s="14" t="s">
        <v>203</v>
      </c>
      <c r="B27" s="15" t="n">
        <v>6829.793098</v>
      </c>
      <c r="C27" s="15" t="n">
        <v>30662.68091</v>
      </c>
      <c r="D27" s="15" t="n">
        <v>61483.058</v>
      </c>
      <c r="E27" s="15" t="n">
        <v>114050.7954</v>
      </c>
      <c r="F27" s="15" t="n">
        <v>167870.3958</v>
      </c>
      <c r="G27" s="15" t="n">
        <v>228490.1081</v>
      </c>
      <c r="H27" s="15" t="n">
        <v>283777.7821</v>
      </c>
      <c r="I27" s="15" t="n">
        <v>322612.2382</v>
      </c>
      <c r="J27" s="15" t="n">
        <v>347003.7155</v>
      </c>
      <c r="K27" s="15" t="n">
        <v>371907.6896</v>
      </c>
      <c r="L27" s="14" t="s">
        <v>204</v>
      </c>
    </row>
    <row r="28" customFormat="false" ht="15" hidden="false" customHeight="false" outlineLevel="0" collapsed="false">
      <c r="A28" s="14" t="s">
        <v>205</v>
      </c>
      <c r="B28" s="15" t="n">
        <v>4536.038457</v>
      </c>
      <c r="C28" s="15" t="n">
        <v>20312.02213</v>
      </c>
      <c r="D28" s="15" t="n">
        <v>40624.47586</v>
      </c>
      <c r="E28" s="15" t="n">
        <v>75168.43269</v>
      </c>
      <c r="F28" s="15" t="n">
        <v>110365.5554</v>
      </c>
      <c r="G28" s="15" t="n">
        <v>149853.8168</v>
      </c>
      <c r="H28" s="15" t="n">
        <v>185669.0879</v>
      </c>
      <c r="I28" s="15" t="n">
        <v>210583.4663</v>
      </c>
      <c r="J28" s="15" t="n">
        <v>225987.074</v>
      </c>
      <c r="K28" s="15" t="n">
        <v>241666.1205</v>
      </c>
    </row>
    <row r="29" customFormat="false" ht="15" hidden="false" customHeight="false" outlineLevel="0" collapsed="false">
      <c r="A29" s="13" t="s">
        <v>206</v>
      </c>
      <c r="B29" s="17" t="n">
        <v>454</v>
      </c>
      <c r="C29" s="17" t="n">
        <v>2032</v>
      </c>
      <c r="D29" s="17" t="n">
        <v>4063</v>
      </c>
      <c r="E29" s="17" t="n">
        <v>7517</v>
      </c>
      <c r="F29" s="17" t="n">
        <v>11037</v>
      </c>
      <c r="G29" s="17" t="n">
        <v>14986</v>
      </c>
      <c r="H29" s="17" t="n">
        <v>18567</v>
      </c>
      <c r="I29" s="17" t="n">
        <v>21059</v>
      </c>
      <c r="J29" s="17" t="n">
        <v>22599</v>
      </c>
      <c r="K29" s="17" t="n">
        <v>24167</v>
      </c>
      <c r="L29" s="14" t="s">
        <v>207</v>
      </c>
    </row>
    <row r="30" customFormat="false" ht="15" hidden="false" customHeight="false" outlineLevel="0" collapsed="false">
      <c r="A30" s="13" t="s">
        <v>208</v>
      </c>
      <c r="B30" s="17" t="n">
        <v>454</v>
      </c>
      <c r="C30" s="17" t="n">
        <v>1578</v>
      </c>
      <c r="D30" s="17" t="n">
        <v>2031</v>
      </c>
      <c r="E30" s="17" t="n">
        <v>3454</v>
      </c>
      <c r="F30" s="17" t="n">
        <v>3520</v>
      </c>
      <c r="G30" s="17" t="n">
        <v>3949</v>
      </c>
      <c r="H30" s="17" t="n">
        <v>3581</v>
      </c>
      <c r="I30" s="17" t="n">
        <v>2492</v>
      </c>
      <c r="J30" s="17" t="n">
        <v>1540</v>
      </c>
      <c r="K30" s="17" t="n">
        <v>1568</v>
      </c>
    </row>
    <row r="32" customFormat="false" ht="15" hidden="false" customHeight="false" outlineLevel="0" collapsed="false">
      <c r="A32" s="13" t="s">
        <v>209</v>
      </c>
    </row>
    <row r="33" customFormat="false" ht="15" hidden="false" customHeight="false" outlineLevel="0" collapsed="false">
      <c r="A33" s="14" t="s">
        <v>210</v>
      </c>
      <c r="B33" s="16" t="n">
        <v>0.06647346318</v>
      </c>
      <c r="C33" s="16" t="n">
        <v>0.06626948262</v>
      </c>
      <c r="D33" s="16" t="n">
        <v>0.06608324524</v>
      </c>
      <c r="E33" s="16" t="n">
        <v>0.06590922905</v>
      </c>
      <c r="F33" s="16" t="n">
        <v>0.06574714945</v>
      </c>
      <c r="G33" s="16" t="n">
        <v>0.06558708439</v>
      </c>
      <c r="H33" s="16" t="n">
        <v>0.06542795514</v>
      </c>
      <c r="I33" s="16" t="n">
        <v>0.06527650691</v>
      </c>
      <c r="J33" s="16" t="n">
        <v>0.06512610381</v>
      </c>
      <c r="K33" s="16" t="n">
        <v>0.06498117859</v>
      </c>
      <c r="L33" s="14" t="s">
        <v>211</v>
      </c>
    </row>
    <row r="34" customFormat="false" ht="15" hidden="false" customHeight="false" outlineLevel="0" collapsed="false">
      <c r="A34" s="13" t="s">
        <v>212</v>
      </c>
    </row>
    <row r="35" customFormat="false" ht="15" hidden="false" customHeight="false" outlineLevel="0" collapsed="false">
      <c r="A35" s="14" t="s">
        <v>113</v>
      </c>
      <c r="B35" s="23" t="n">
        <v>37.45755974</v>
      </c>
      <c r="C35" s="23" t="n">
        <v>182.8379274</v>
      </c>
      <c r="D35" s="23" t="n">
        <v>329.1635168</v>
      </c>
      <c r="E35" s="23" t="n">
        <v>604.0870395</v>
      </c>
      <c r="F35" s="23" t="n">
        <v>908.4196036</v>
      </c>
      <c r="G35" s="23" t="n">
        <v>1265.854457</v>
      </c>
      <c r="H35" s="23" t="n">
        <v>1591.762771</v>
      </c>
      <c r="I35" s="23" t="n">
        <v>1848.642494</v>
      </c>
      <c r="J35" s="23" t="n">
        <v>1981.471329</v>
      </c>
      <c r="K35" s="23" t="n">
        <v>2117.630886</v>
      </c>
    </row>
    <row r="36" customFormat="false" ht="15" hidden="false" customHeight="false" outlineLevel="0" collapsed="false">
      <c r="A36" s="14" t="s">
        <v>114</v>
      </c>
      <c r="B36" s="23" t="n">
        <v>3.554545917</v>
      </c>
      <c r="C36" s="23" t="n">
        <v>13.8703588</v>
      </c>
      <c r="D36" s="23" t="n">
        <v>31.75858511</v>
      </c>
      <c r="E36" s="23" t="n">
        <v>58.48173393</v>
      </c>
      <c r="F36" s="23" t="n">
        <v>84.63118963</v>
      </c>
      <c r="G36" s="23" t="n">
        <v>112.3877028</v>
      </c>
      <c r="H36" s="23" t="n">
        <v>138.1358126</v>
      </c>
      <c r="I36" s="23" t="n">
        <v>153.831058</v>
      </c>
      <c r="J36" s="23" t="n">
        <v>166.4744671</v>
      </c>
      <c r="K36" s="23" t="n">
        <v>179.3160521</v>
      </c>
    </row>
    <row r="37" customFormat="false" ht="15" hidden="false" customHeight="false" outlineLevel="0" collapsed="false">
      <c r="A37" s="14" t="s">
        <v>115</v>
      </c>
      <c r="B37" s="23" t="n">
        <v>21.00859208</v>
      </c>
      <c r="C37" s="23" t="n">
        <v>84.6026487</v>
      </c>
      <c r="D37" s="23" t="n">
        <v>191.5519695</v>
      </c>
      <c r="E37" s="23" t="n">
        <v>362.1998221</v>
      </c>
      <c r="F37" s="23" t="n">
        <v>521.825908</v>
      </c>
      <c r="G37" s="23" t="n">
        <v>693.5109453</v>
      </c>
      <c r="H37" s="23" t="n">
        <v>848.8908434</v>
      </c>
      <c r="I37" s="23" t="n">
        <v>940.8769835</v>
      </c>
      <c r="J37" s="23" t="n">
        <v>1015.096874</v>
      </c>
      <c r="K37" s="23" t="n">
        <v>1090.683375</v>
      </c>
    </row>
    <row r="38" customFormat="false" ht="15" hidden="false" customHeight="false" outlineLevel="0" collapsed="false">
      <c r="A38" s="14" t="s">
        <v>116</v>
      </c>
      <c r="B38" s="23" t="n">
        <v>1.274733708</v>
      </c>
      <c r="C38" s="23" t="n">
        <v>4.715876847</v>
      </c>
      <c r="D38" s="23" t="n">
        <v>11.04509029</v>
      </c>
      <c r="E38" s="23" t="n">
        <v>21.12923953</v>
      </c>
      <c r="F38" s="23" t="n">
        <v>30.66839686</v>
      </c>
      <c r="G38" s="23" t="n">
        <v>41.08244089</v>
      </c>
      <c r="H38" s="23" t="n">
        <v>50.29088251</v>
      </c>
      <c r="I38" s="23" t="n">
        <v>55.70068976</v>
      </c>
      <c r="J38" s="23" t="n">
        <v>60.10028485</v>
      </c>
      <c r="K38" s="23" t="n">
        <v>64.58050054</v>
      </c>
    </row>
    <row r="39" customFormat="false" ht="15" hidden="false" customHeight="false" outlineLevel="0" collapsed="false">
      <c r="A39" s="14" t="s">
        <v>133</v>
      </c>
      <c r="B39" s="23" t="n">
        <v>1.715987684</v>
      </c>
      <c r="C39" s="23" t="n">
        <v>6.932125345</v>
      </c>
      <c r="D39" s="23" t="n">
        <v>15.88767769</v>
      </c>
      <c r="E39" s="23" t="n">
        <v>29.8167293</v>
      </c>
      <c r="F39" s="23" t="n">
        <v>43.02735878</v>
      </c>
      <c r="G39" s="23" t="n">
        <v>57.52845133</v>
      </c>
      <c r="H39" s="23" t="n">
        <v>70.51301744</v>
      </c>
      <c r="I39" s="23" t="n">
        <v>78.40697592</v>
      </c>
      <c r="J39" s="23" t="n">
        <v>84.73669729</v>
      </c>
      <c r="K39" s="23" t="n">
        <v>91.17311795</v>
      </c>
    </row>
    <row r="40" customFormat="false" ht="15" hidden="false" customHeight="false" outlineLevel="0" collapsed="false">
      <c r="A40" s="14" t="s">
        <v>134</v>
      </c>
      <c r="B40" s="23" t="n">
        <v>0.2451410978</v>
      </c>
      <c r="C40" s="23" t="n">
        <v>1.737985842</v>
      </c>
      <c r="D40" s="23" t="n">
        <v>3.411748152</v>
      </c>
      <c r="E40" s="23" t="n">
        <v>5.684243621</v>
      </c>
      <c r="F40" s="23" t="n">
        <v>8.017926269</v>
      </c>
      <c r="G40" s="23" t="n">
        <v>10.38141017</v>
      </c>
      <c r="H40" s="23" t="n">
        <v>12.88568749</v>
      </c>
      <c r="I40" s="23" t="n">
        <v>14.5775577</v>
      </c>
      <c r="J40" s="23" t="n">
        <v>15.93832915</v>
      </c>
      <c r="K40" s="23" t="n">
        <v>17.30980301</v>
      </c>
    </row>
    <row r="41" customFormat="false" ht="15" hidden="false" customHeight="false" outlineLevel="0" collapsed="false">
      <c r="A41" s="14" t="s">
        <v>135</v>
      </c>
      <c r="B41" s="23" t="n">
        <v>0.1225705489</v>
      </c>
      <c r="C41" s="23" t="n">
        <v>0.8966346929</v>
      </c>
      <c r="D41" s="23" t="n">
        <v>1.772256113</v>
      </c>
      <c r="E41" s="23" t="n">
        <v>3.032286546</v>
      </c>
      <c r="F41" s="23" t="n">
        <v>4.300105456</v>
      </c>
      <c r="G41" s="23" t="n">
        <v>5.547472384</v>
      </c>
      <c r="H41" s="23" t="n">
        <v>6.783542717</v>
      </c>
      <c r="I41" s="23" t="n">
        <v>7.670247767</v>
      </c>
      <c r="J41" s="23" t="n">
        <v>8.342789262</v>
      </c>
      <c r="K41" s="23" t="n">
        <v>9.023120124</v>
      </c>
    </row>
    <row r="42" customFormat="false" ht="15" hidden="false" customHeight="false" outlineLevel="0" collapsed="false">
      <c r="A42" s="14" t="s">
        <v>136</v>
      </c>
      <c r="B42" s="23" t="n">
        <v>0.07354232933</v>
      </c>
      <c r="C42" s="23" t="n">
        <v>0.5071569382</v>
      </c>
      <c r="D42" s="23" t="n">
        <v>0.9578718226</v>
      </c>
      <c r="E42" s="23" t="n">
        <v>1.719113135</v>
      </c>
      <c r="F42" s="23" t="n">
        <v>2.369368017</v>
      </c>
      <c r="G42" s="23" t="n">
        <v>3.146849543</v>
      </c>
      <c r="H42" s="23" t="n">
        <v>3.977439801</v>
      </c>
      <c r="I42" s="23" t="n">
        <v>4.404801268</v>
      </c>
      <c r="J42" s="23" t="n">
        <v>4.808652728</v>
      </c>
      <c r="K42" s="23" t="n">
        <v>5.216101788</v>
      </c>
    </row>
    <row r="43" customFormat="false" ht="15" hidden="false" customHeight="false" outlineLevel="0" collapsed="false">
      <c r="A43" s="14" t="s">
        <v>137</v>
      </c>
      <c r="B43" s="23" t="n">
        <v>0.8825079519</v>
      </c>
      <c r="C43" s="23" t="n">
        <v>3.613524769</v>
      </c>
      <c r="D43" s="23" t="n">
        <v>8.045315885</v>
      </c>
      <c r="E43" s="23" t="n">
        <v>14.64618227</v>
      </c>
      <c r="F43" s="23" t="n">
        <v>21.14062049</v>
      </c>
      <c r="G43" s="23" t="n">
        <v>28.01666142</v>
      </c>
      <c r="H43" s="23" t="n">
        <v>34.47776614</v>
      </c>
      <c r="I43" s="23" t="n">
        <v>38.59551804</v>
      </c>
      <c r="J43" s="23" t="n">
        <v>41.75378378</v>
      </c>
      <c r="K43" s="23" t="n">
        <v>44.96246176</v>
      </c>
    </row>
    <row r="44" customFormat="false" ht="15" hidden="false" customHeight="false" outlineLevel="0" collapsed="false">
      <c r="A44" s="14" t="s">
        <v>138</v>
      </c>
      <c r="B44" s="23" t="n">
        <v>4.853793736</v>
      </c>
      <c r="C44" s="23" t="n">
        <v>18.28511713</v>
      </c>
      <c r="D44" s="23" t="n">
        <v>42.62105324</v>
      </c>
      <c r="E44" s="23" t="n">
        <v>81.49504029</v>
      </c>
      <c r="F44" s="23" t="n">
        <v>117.7174202</v>
      </c>
      <c r="G44" s="23" t="n">
        <v>156.4949564</v>
      </c>
      <c r="H44" s="23" t="n">
        <v>191.3697936</v>
      </c>
      <c r="I44" s="23" t="n">
        <v>211.5768786</v>
      </c>
      <c r="J44" s="23" t="n">
        <v>228.2725415</v>
      </c>
      <c r="K44" s="23" t="n">
        <v>245.2752345</v>
      </c>
    </row>
    <row r="45" customFormat="false" ht="15" hidden="false" customHeight="false" outlineLevel="0" collapsed="false">
      <c r="A45" s="14" t="s">
        <v>139</v>
      </c>
      <c r="B45" s="23" t="n">
        <v>1.348276038</v>
      </c>
      <c r="C45" s="23" t="n">
        <v>6.934353682</v>
      </c>
      <c r="D45" s="23" t="n">
        <v>14.82370201</v>
      </c>
      <c r="E45" s="23" t="n">
        <v>26.51687107</v>
      </c>
      <c r="F45" s="23" t="n">
        <v>38.21731265</v>
      </c>
      <c r="G45" s="23" t="n">
        <v>50.92688882</v>
      </c>
      <c r="H45" s="23" t="n">
        <v>63.12572461</v>
      </c>
      <c r="I45" s="23" t="n">
        <v>71.2740315</v>
      </c>
      <c r="J45" s="23" t="n">
        <v>77.51228315</v>
      </c>
      <c r="K45" s="23" t="n">
        <v>83.82347133</v>
      </c>
    </row>
    <row r="46" customFormat="false" ht="15" hidden="false" customHeight="false" outlineLevel="0" collapsed="false">
      <c r="A46" s="14" t="s">
        <v>140</v>
      </c>
      <c r="B46" s="23" t="n">
        <v>0.1961128782</v>
      </c>
      <c r="C46" s="23" t="n">
        <v>1.20747648</v>
      </c>
      <c r="D46" s="23" t="n">
        <v>2.487674503</v>
      </c>
      <c r="E46" s="23" t="n">
        <v>4.318898028</v>
      </c>
      <c r="F46" s="23" t="n">
        <v>6.193102385</v>
      </c>
      <c r="G46" s="23" t="n">
        <v>8.133118763</v>
      </c>
      <c r="H46" s="23" t="n">
        <v>10.18879976</v>
      </c>
      <c r="I46" s="23" t="n">
        <v>11.56434158</v>
      </c>
      <c r="J46" s="23" t="n">
        <v>12.63908969</v>
      </c>
      <c r="K46" s="23" t="n">
        <v>13.72256385</v>
      </c>
    </row>
    <row r="47" customFormat="false" ht="15" hidden="false" customHeight="false" outlineLevel="0" collapsed="false">
      <c r="A47" s="14" t="s">
        <v>141</v>
      </c>
      <c r="B47" s="23" t="n">
        <v>0.07354232933</v>
      </c>
      <c r="C47" s="23" t="n">
        <v>0.5071569382</v>
      </c>
      <c r="D47" s="23" t="n">
        <v>0.9578718226</v>
      </c>
      <c r="E47" s="23" t="n">
        <v>1.598148643</v>
      </c>
      <c r="F47" s="23" t="n">
        <v>2.212304137</v>
      </c>
      <c r="G47" s="23" t="n">
        <v>2.757579864</v>
      </c>
      <c r="H47" s="23" t="n">
        <v>3.541502193</v>
      </c>
      <c r="I47" s="23" t="n">
        <v>3.957203009</v>
      </c>
      <c r="J47" s="23" t="n">
        <v>4.332943183</v>
      </c>
      <c r="K47" s="23" t="n">
        <v>4.711273391</v>
      </c>
    </row>
    <row r="48" customFormat="false" ht="15" hidden="false" customHeight="false" outlineLevel="0" collapsed="false">
      <c r="A48" s="14" t="s">
        <v>117</v>
      </c>
      <c r="B48" s="23" t="n">
        <v>0.1899843508</v>
      </c>
      <c r="C48" s="23" t="n">
        <v>0.9264167434</v>
      </c>
      <c r="D48" s="23" t="n">
        <v>2.01369946</v>
      </c>
      <c r="E48" s="23" t="n">
        <v>3.627688313</v>
      </c>
      <c r="F48" s="23" t="n">
        <v>5.218872224</v>
      </c>
      <c r="G48" s="23" t="n">
        <v>6.935001181</v>
      </c>
      <c r="H48" s="23" t="n">
        <v>8.54520639</v>
      </c>
      <c r="I48" s="23" t="n">
        <v>9.595415238</v>
      </c>
      <c r="J48" s="23" t="n">
        <v>10.41281721</v>
      </c>
      <c r="K48" s="23" t="n">
        <v>11.24115267</v>
      </c>
    </row>
    <row r="49" customFormat="false" ht="15" hidden="false" customHeight="false" outlineLevel="0" collapsed="false">
      <c r="A49" s="14" t="s">
        <v>118</v>
      </c>
      <c r="B49" s="23" t="n">
        <v>0.4179655717</v>
      </c>
      <c r="C49" s="23" t="n">
        <v>2.038116836</v>
      </c>
      <c r="D49" s="23" t="n">
        <v>4.430138811</v>
      </c>
      <c r="E49" s="23" t="n">
        <v>7.980914289</v>
      </c>
      <c r="F49" s="23" t="n">
        <v>11.48151889</v>
      </c>
      <c r="G49" s="23" t="n">
        <v>15.2570026</v>
      </c>
      <c r="H49" s="23" t="n">
        <v>18.79945406</v>
      </c>
      <c r="I49" s="23" t="n">
        <v>21.10991352</v>
      </c>
      <c r="J49" s="23" t="n">
        <v>22.90819786</v>
      </c>
      <c r="K49" s="23" t="n">
        <v>24.73053588</v>
      </c>
    </row>
    <row r="50" customFormat="false" ht="15" hidden="false" customHeight="false" outlineLevel="0" collapsed="false">
      <c r="A50" s="14" t="s">
        <v>119</v>
      </c>
      <c r="B50" s="23" t="n">
        <v>0.09119248837</v>
      </c>
      <c r="C50" s="23" t="n">
        <v>0.4446800368</v>
      </c>
      <c r="D50" s="23" t="n">
        <v>0.9665757406</v>
      </c>
      <c r="E50" s="23" t="n">
        <v>1.74129039</v>
      </c>
      <c r="F50" s="23" t="n">
        <v>2.505058668</v>
      </c>
      <c r="G50" s="23" t="n">
        <v>3.328800567</v>
      </c>
      <c r="H50" s="23" t="n">
        <v>4.101699067</v>
      </c>
      <c r="I50" s="23" t="n">
        <v>4.605799314</v>
      </c>
      <c r="J50" s="23" t="n">
        <v>4.99815226</v>
      </c>
      <c r="K50" s="23" t="n">
        <v>5.395753283</v>
      </c>
    </row>
    <row r="51" customFormat="false" ht="15" hidden="false" customHeight="false" outlineLevel="0" collapsed="false">
      <c r="A51" s="14" t="s">
        <v>120</v>
      </c>
      <c r="B51" s="23" t="n">
        <v>0.06079499224</v>
      </c>
      <c r="C51" s="23" t="n">
        <v>0.2964533579</v>
      </c>
      <c r="D51" s="23" t="n">
        <v>0.6443838271</v>
      </c>
      <c r="E51" s="23" t="n">
        <v>1.16086026</v>
      </c>
      <c r="F51" s="23" t="n">
        <v>1.670039112</v>
      </c>
      <c r="G51" s="23" t="n">
        <v>2.219200378</v>
      </c>
      <c r="H51" s="23" t="n">
        <v>2.734466045</v>
      </c>
      <c r="I51" s="23" t="n">
        <v>3.070532876</v>
      </c>
      <c r="J51" s="23" t="n">
        <v>3.332101506</v>
      </c>
      <c r="K51" s="23" t="n">
        <v>3.597168856</v>
      </c>
    </row>
    <row r="53" customFormat="false" ht="15" hidden="false" customHeight="false" outlineLevel="0" collapsed="false">
      <c r="A53" s="13" t="s">
        <v>213</v>
      </c>
    </row>
    <row r="54" customFormat="false" ht="15" hidden="false" customHeight="false" outlineLevel="0" collapsed="false">
      <c r="A54" s="14" t="s">
        <v>214</v>
      </c>
      <c r="B54" s="15" t="n">
        <v>63</v>
      </c>
      <c r="C54" s="15" t="n">
        <v>282</v>
      </c>
      <c r="D54" s="15" t="n">
        <v>553</v>
      </c>
      <c r="E54" s="15" t="n">
        <v>1025</v>
      </c>
      <c r="F54" s="15" t="n">
        <v>1515</v>
      </c>
      <c r="G54" s="15" t="n">
        <v>2072</v>
      </c>
      <c r="H54" s="15" t="n">
        <v>2579</v>
      </c>
      <c r="I54" s="15" t="n">
        <v>2944</v>
      </c>
      <c r="J54" s="15" t="n">
        <v>3164</v>
      </c>
      <c r="K54" s="15" t="n">
        <v>3388</v>
      </c>
    </row>
    <row r="55" customFormat="false" ht="15" hidden="false" customHeight="false" outlineLevel="0" collapsed="false">
      <c r="A55" s="14" t="s">
        <v>116</v>
      </c>
      <c r="B55" s="15" t="n">
        <v>2</v>
      </c>
      <c r="C55" s="15" t="n">
        <v>5</v>
      </c>
      <c r="D55" s="15" t="n">
        <v>12</v>
      </c>
      <c r="E55" s="15" t="n">
        <v>22</v>
      </c>
      <c r="F55" s="15" t="n">
        <v>31</v>
      </c>
      <c r="G55" s="15" t="n">
        <v>42</v>
      </c>
      <c r="H55" s="15" t="n">
        <v>51</v>
      </c>
      <c r="I55" s="15" t="n">
        <v>56</v>
      </c>
      <c r="J55" s="15" t="n">
        <v>61</v>
      </c>
      <c r="K55" s="15" t="n">
        <v>65</v>
      </c>
    </row>
    <row r="56" customFormat="false" ht="15" hidden="false" customHeight="false" outlineLevel="0" collapsed="false">
      <c r="A56" s="14" t="s">
        <v>133</v>
      </c>
      <c r="B56" s="15" t="n">
        <v>2</v>
      </c>
      <c r="C56" s="15" t="n">
        <v>7</v>
      </c>
      <c r="D56" s="15" t="n">
        <v>16</v>
      </c>
      <c r="E56" s="15" t="n">
        <v>30</v>
      </c>
      <c r="F56" s="15" t="n">
        <v>44</v>
      </c>
      <c r="G56" s="15" t="n">
        <v>58</v>
      </c>
      <c r="H56" s="15" t="n">
        <v>71</v>
      </c>
      <c r="I56" s="15" t="n">
        <v>79</v>
      </c>
      <c r="J56" s="15" t="n">
        <v>85</v>
      </c>
      <c r="K56" s="15" t="n">
        <v>92</v>
      </c>
    </row>
    <row r="57" customFormat="false" ht="15" hidden="false" customHeight="false" outlineLevel="0" collapsed="false">
      <c r="A57" s="14" t="s">
        <v>134</v>
      </c>
      <c r="B57" s="15" t="n">
        <v>1</v>
      </c>
      <c r="C57" s="15" t="n">
        <v>2</v>
      </c>
      <c r="D57" s="15" t="n">
        <v>4</v>
      </c>
      <c r="E57" s="15" t="n">
        <v>6</v>
      </c>
      <c r="F57" s="15" t="n">
        <v>9</v>
      </c>
      <c r="G57" s="15" t="n">
        <v>11</v>
      </c>
      <c r="H57" s="15" t="n">
        <v>13</v>
      </c>
      <c r="I57" s="15" t="n">
        <v>15</v>
      </c>
      <c r="J57" s="15" t="n">
        <v>16</v>
      </c>
      <c r="K57" s="15" t="n">
        <v>18</v>
      </c>
    </row>
    <row r="58" customFormat="false" ht="15" hidden="false" customHeight="false" outlineLevel="0" collapsed="false">
      <c r="A58" s="14" t="s">
        <v>135</v>
      </c>
      <c r="B58" s="15" t="n">
        <v>1</v>
      </c>
      <c r="C58" s="15" t="n">
        <v>1</v>
      </c>
      <c r="D58" s="15" t="n">
        <v>2</v>
      </c>
      <c r="E58" s="15" t="n">
        <v>4</v>
      </c>
      <c r="F58" s="15" t="n">
        <v>5</v>
      </c>
      <c r="G58" s="15" t="n">
        <v>6</v>
      </c>
      <c r="H58" s="15" t="n">
        <v>7</v>
      </c>
      <c r="I58" s="15" t="n">
        <v>8</v>
      </c>
      <c r="J58" s="15" t="n">
        <v>9</v>
      </c>
      <c r="K58" s="15" t="n">
        <v>10</v>
      </c>
    </row>
    <row r="59" customFormat="false" ht="15" hidden="false" customHeight="false" outlineLevel="0" collapsed="false">
      <c r="A59" s="14" t="s">
        <v>136</v>
      </c>
      <c r="B59" s="15" t="n">
        <v>1</v>
      </c>
      <c r="C59" s="15" t="n">
        <v>1</v>
      </c>
      <c r="D59" s="15" t="n">
        <v>1</v>
      </c>
      <c r="E59" s="15" t="n">
        <v>2</v>
      </c>
      <c r="F59" s="15" t="n">
        <v>3</v>
      </c>
      <c r="G59" s="15" t="n">
        <v>4</v>
      </c>
      <c r="H59" s="15" t="n">
        <v>4</v>
      </c>
      <c r="I59" s="15" t="n">
        <v>5</v>
      </c>
      <c r="J59" s="15" t="n">
        <v>5</v>
      </c>
      <c r="K59" s="15" t="n">
        <v>6</v>
      </c>
    </row>
    <row r="60" customFormat="false" ht="15" hidden="false" customHeight="false" outlineLevel="0" collapsed="false">
      <c r="A60" s="14" t="s">
        <v>137</v>
      </c>
      <c r="B60" s="15" t="n">
        <v>1</v>
      </c>
      <c r="C60" s="15" t="n">
        <v>4</v>
      </c>
      <c r="D60" s="15" t="n">
        <v>9</v>
      </c>
      <c r="E60" s="15" t="n">
        <v>15</v>
      </c>
      <c r="F60" s="15" t="n">
        <v>22</v>
      </c>
      <c r="G60" s="15" t="n">
        <v>29</v>
      </c>
      <c r="H60" s="15" t="n">
        <v>35</v>
      </c>
      <c r="I60" s="15" t="n">
        <v>39</v>
      </c>
      <c r="J60" s="15" t="n">
        <v>42</v>
      </c>
      <c r="K60" s="15" t="n">
        <v>45</v>
      </c>
    </row>
    <row r="61" customFormat="false" ht="15" hidden="false" customHeight="false" outlineLevel="0" collapsed="false">
      <c r="A61" s="14" t="s">
        <v>215</v>
      </c>
      <c r="B61" s="15" t="n">
        <v>7</v>
      </c>
      <c r="C61" s="15" t="n">
        <v>26</v>
      </c>
      <c r="D61" s="15" t="n">
        <v>58</v>
      </c>
      <c r="E61" s="15" t="n">
        <v>109</v>
      </c>
      <c r="F61" s="15" t="n">
        <v>156</v>
      </c>
      <c r="G61" s="15" t="n">
        <v>208</v>
      </c>
      <c r="H61" s="15" t="n">
        <v>255</v>
      </c>
      <c r="I61" s="15" t="n">
        <v>283</v>
      </c>
      <c r="J61" s="15" t="n">
        <v>306</v>
      </c>
      <c r="K61" s="15" t="n">
        <v>330</v>
      </c>
    </row>
    <row r="62" customFormat="false" ht="15" hidden="false" customHeight="false" outlineLevel="0" collapsed="false">
      <c r="A62" s="14" t="s">
        <v>140</v>
      </c>
      <c r="B62" s="15" t="n">
        <v>1</v>
      </c>
      <c r="C62" s="15" t="n">
        <v>2</v>
      </c>
      <c r="D62" s="15" t="n">
        <v>3</v>
      </c>
      <c r="E62" s="15" t="n">
        <v>5</v>
      </c>
      <c r="F62" s="15" t="n">
        <v>7</v>
      </c>
      <c r="G62" s="15" t="n">
        <v>9</v>
      </c>
      <c r="H62" s="15" t="n">
        <v>11</v>
      </c>
      <c r="I62" s="15" t="n">
        <v>12</v>
      </c>
      <c r="J62" s="15" t="n">
        <v>13</v>
      </c>
      <c r="K62" s="15" t="n">
        <v>14</v>
      </c>
    </row>
    <row r="63" customFormat="false" ht="15" hidden="false" customHeight="false" outlineLevel="0" collapsed="false">
      <c r="A63" s="14" t="s">
        <v>141</v>
      </c>
      <c r="B63" s="15" t="n">
        <v>1</v>
      </c>
      <c r="C63" s="15" t="n">
        <v>1</v>
      </c>
      <c r="D63" s="15" t="n">
        <v>1</v>
      </c>
      <c r="E63" s="15" t="n">
        <v>2</v>
      </c>
      <c r="F63" s="15" t="n">
        <v>3</v>
      </c>
      <c r="G63" s="15" t="n">
        <v>3</v>
      </c>
      <c r="H63" s="15" t="n">
        <v>4</v>
      </c>
      <c r="I63" s="15" t="n">
        <v>4</v>
      </c>
      <c r="J63" s="15" t="n">
        <v>5</v>
      </c>
      <c r="K63" s="15" t="n">
        <v>5</v>
      </c>
    </row>
    <row r="64" customFormat="false" ht="15" hidden="false" customHeight="false" outlineLevel="0" collapsed="false">
      <c r="A64" s="14" t="s">
        <v>216</v>
      </c>
      <c r="B64" s="15" t="n">
        <v>1</v>
      </c>
      <c r="C64" s="15" t="n">
        <v>3</v>
      </c>
      <c r="D64" s="15" t="n">
        <v>7</v>
      </c>
      <c r="E64" s="15" t="n">
        <v>12</v>
      </c>
      <c r="F64" s="15" t="n">
        <v>17</v>
      </c>
      <c r="G64" s="15" t="n">
        <v>23</v>
      </c>
      <c r="H64" s="15" t="n">
        <v>28</v>
      </c>
      <c r="I64" s="15" t="n">
        <v>31</v>
      </c>
      <c r="J64" s="15" t="n">
        <v>34</v>
      </c>
      <c r="K64" s="15" t="n">
        <v>36</v>
      </c>
    </row>
    <row r="65" customFormat="false" ht="15" hidden="false" customHeight="false" outlineLevel="0" collapsed="false">
      <c r="A65" s="14" t="s">
        <v>217</v>
      </c>
      <c r="B65" s="15" t="n">
        <v>1</v>
      </c>
      <c r="C65" s="15" t="n">
        <v>1</v>
      </c>
      <c r="D65" s="15" t="n">
        <v>2</v>
      </c>
      <c r="E65" s="15" t="n">
        <v>3</v>
      </c>
      <c r="F65" s="15" t="n">
        <v>5</v>
      </c>
      <c r="G65" s="15" t="n">
        <v>6</v>
      </c>
      <c r="H65" s="15" t="n">
        <v>7</v>
      </c>
      <c r="I65" s="15" t="n">
        <v>8</v>
      </c>
      <c r="J65" s="15" t="n">
        <v>9</v>
      </c>
      <c r="K65" s="15" t="n">
        <v>9</v>
      </c>
    </row>
    <row r="66" customFormat="false" ht="15" hidden="false" customHeight="false" outlineLevel="0" collapsed="false">
      <c r="A66" s="13" t="s">
        <v>218</v>
      </c>
      <c r="B66" s="17" t="n">
        <v>82</v>
      </c>
      <c r="C66" s="17" t="n">
        <v>335</v>
      </c>
      <c r="D66" s="17" t="n">
        <v>668</v>
      </c>
      <c r="E66" s="17" t="n">
        <v>1235</v>
      </c>
      <c r="F66" s="17" t="n">
        <v>1817</v>
      </c>
      <c r="G66" s="17" t="n">
        <v>2471</v>
      </c>
      <c r="H66" s="17" t="n">
        <v>3065</v>
      </c>
      <c r="I66" s="17" t="n">
        <v>3484</v>
      </c>
      <c r="J66" s="17" t="n">
        <v>3749</v>
      </c>
      <c r="K66" s="17" t="n">
        <v>4018</v>
      </c>
    </row>
    <row r="68" customFormat="false" ht="15" hidden="false" customHeight="false" outlineLevel="0" collapsed="false">
      <c r="A68" s="13" t="s">
        <v>219</v>
      </c>
    </row>
    <row r="69" customFormat="false" ht="15" hidden="false" customHeight="false" outlineLevel="0" collapsed="false">
      <c r="A69" s="14" t="s">
        <v>214</v>
      </c>
      <c r="B69" s="15" t="n">
        <v>63</v>
      </c>
      <c r="C69" s="15" t="n">
        <v>222.15</v>
      </c>
      <c r="D69" s="15" t="n">
        <v>285.1</v>
      </c>
      <c r="E69" s="15" t="n">
        <v>499.65</v>
      </c>
      <c r="F69" s="15" t="n">
        <v>541.25</v>
      </c>
      <c r="G69" s="15" t="n">
        <v>632.75</v>
      </c>
      <c r="H69" s="15" t="n">
        <v>610.6</v>
      </c>
      <c r="I69" s="15" t="n">
        <v>493.95</v>
      </c>
      <c r="J69" s="15" t="n">
        <v>367.2</v>
      </c>
      <c r="K69" s="15" t="n">
        <v>382.2</v>
      </c>
    </row>
    <row r="70" customFormat="false" ht="15" hidden="false" customHeight="false" outlineLevel="0" collapsed="false">
      <c r="A70" s="14" t="s">
        <v>116</v>
      </c>
      <c r="B70" s="15" t="n">
        <v>2</v>
      </c>
      <c r="C70" s="15" t="n">
        <v>3.1</v>
      </c>
      <c r="D70" s="15" t="n">
        <v>7.25</v>
      </c>
      <c r="E70" s="15" t="n">
        <v>10.6</v>
      </c>
      <c r="F70" s="15" t="n">
        <v>10.1</v>
      </c>
      <c r="G70" s="15" t="n">
        <v>12.55</v>
      </c>
      <c r="H70" s="15" t="n">
        <v>11.1</v>
      </c>
      <c r="I70" s="15" t="n">
        <v>7.55</v>
      </c>
      <c r="J70" s="15" t="n">
        <v>7.8</v>
      </c>
      <c r="K70" s="15" t="n">
        <v>7.05</v>
      </c>
    </row>
    <row r="71" customFormat="false" ht="15" hidden="false" customHeight="false" outlineLevel="0" collapsed="false">
      <c r="A71" s="14" t="s">
        <v>133</v>
      </c>
      <c r="B71" s="15" t="n">
        <v>2</v>
      </c>
      <c r="C71" s="15" t="n">
        <v>5.1</v>
      </c>
      <c r="D71" s="15" t="n">
        <v>9.35</v>
      </c>
      <c r="E71" s="15" t="n">
        <v>14.8</v>
      </c>
      <c r="F71" s="15" t="n">
        <v>15.5</v>
      </c>
      <c r="G71" s="15" t="n">
        <v>16.2</v>
      </c>
      <c r="H71" s="15" t="n">
        <v>15.9</v>
      </c>
      <c r="I71" s="15" t="n">
        <v>11.55</v>
      </c>
      <c r="J71" s="15" t="n">
        <v>9.95</v>
      </c>
      <c r="K71" s="15" t="n">
        <v>11.25</v>
      </c>
    </row>
    <row r="72" customFormat="false" ht="15" hidden="false" customHeight="false" outlineLevel="0" collapsed="false">
      <c r="A72" s="14" t="s">
        <v>134</v>
      </c>
      <c r="B72" s="15" t="n">
        <v>1</v>
      </c>
      <c r="C72" s="15" t="n">
        <v>1.05</v>
      </c>
      <c r="D72" s="15" t="n">
        <v>2.1</v>
      </c>
      <c r="E72" s="15" t="n">
        <v>2.2</v>
      </c>
      <c r="F72" s="15" t="n">
        <v>3.3</v>
      </c>
      <c r="G72" s="15" t="n">
        <v>2.45</v>
      </c>
      <c r="H72" s="15" t="n">
        <v>2.55</v>
      </c>
      <c r="I72" s="15" t="n">
        <v>2.65</v>
      </c>
      <c r="J72" s="15" t="n">
        <v>1.75</v>
      </c>
      <c r="K72" s="15" t="n">
        <v>2.8</v>
      </c>
    </row>
    <row r="73" customFormat="false" ht="15" hidden="false" customHeight="false" outlineLevel="0" collapsed="false">
      <c r="A73" s="14" t="s">
        <v>135</v>
      </c>
      <c r="B73" s="15" t="n">
        <v>1</v>
      </c>
      <c r="C73" s="15" t="n">
        <v>0.05</v>
      </c>
      <c r="D73" s="15" t="n">
        <v>1.05</v>
      </c>
      <c r="E73" s="15" t="n">
        <v>2.1</v>
      </c>
      <c r="F73" s="15" t="n">
        <v>1.2</v>
      </c>
      <c r="G73" s="15" t="n">
        <v>1.25</v>
      </c>
      <c r="H73" s="15" t="n">
        <v>1.3</v>
      </c>
      <c r="I73" s="15" t="n">
        <v>1.35</v>
      </c>
      <c r="J73" s="15" t="n">
        <v>1.4</v>
      </c>
      <c r="K73" s="15" t="n">
        <v>1.45</v>
      </c>
    </row>
    <row r="74" customFormat="false" ht="15" hidden="false" customHeight="false" outlineLevel="0" collapsed="false">
      <c r="A74" s="14" t="s">
        <v>136</v>
      </c>
      <c r="B74" s="15" t="n">
        <v>1</v>
      </c>
      <c r="C74" s="15" t="n">
        <v>0.05</v>
      </c>
      <c r="D74" s="15" t="n">
        <v>0.05</v>
      </c>
      <c r="E74" s="15" t="n">
        <v>1.05</v>
      </c>
      <c r="F74" s="15" t="n">
        <v>1.1</v>
      </c>
      <c r="G74" s="15" t="n">
        <v>1.15</v>
      </c>
      <c r="H74" s="15" t="n">
        <v>0.2</v>
      </c>
      <c r="I74" s="15" t="n">
        <v>1.2</v>
      </c>
      <c r="J74" s="15" t="n">
        <v>0.25</v>
      </c>
      <c r="K74" s="15" t="n">
        <v>1.25</v>
      </c>
    </row>
    <row r="75" customFormat="false" ht="15" hidden="false" customHeight="false" outlineLevel="0" collapsed="false">
      <c r="A75" s="14" t="s">
        <v>137</v>
      </c>
      <c r="B75" s="15" t="n">
        <v>1</v>
      </c>
      <c r="C75" s="15" t="n">
        <v>3.05</v>
      </c>
      <c r="D75" s="15" t="n">
        <v>5.2</v>
      </c>
      <c r="E75" s="15" t="n">
        <v>6.45</v>
      </c>
      <c r="F75" s="15" t="n">
        <v>7.75</v>
      </c>
      <c r="G75" s="15" t="n">
        <v>8.1</v>
      </c>
      <c r="H75" s="15" t="n">
        <v>7.45</v>
      </c>
      <c r="I75" s="15" t="n">
        <v>5.75</v>
      </c>
      <c r="J75" s="15" t="n">
        <v>4.95</v>
      </c>
      <c r="K75" s="15" t="n">
        <v>5.1</v>
      </c>
    </row>
    <row r="76" customFormat="false" ht="15" hidden="false" customHeight="false" outlineLevel="0" collapsed="false">
      <c r="A76" s="14" t="s">
        <v>215</v>
      </c>
      <c r="B76" s="15" t="n">
        <v>7</v>
      </c>
      <c r="C76" s="15" t="n">
        <v>19.23333333</v>
      </c>
      <c r="D76" s="15" t="n">
        <v>32.86666667</v>
      </c>
      <c r="E76" s="15" t="n">
        <v>52.93333333</v>
      </c>
      <c r="F76" s="15" t="n">
        <v>50.63333333</v>
      </c>
      <c r="G76" s="15" t="n">
        <v>57.2</v>
      </c>
      <c r="H76" s="15" t="n">
        <v>53.93333333</v>
      </c>
      <c r="I76" s="15" t="n">
        <v>36.5</v>
      </c>
      <c r="J76" s="15" t="n">
        <v>32.43333333</v>
      </c>
      <c r="K76" s="15" t="n">
        <v>34.2</v>
      </c>
    </row>
    <row r="77" customFormat="false" ht="15" hidden="false" customHeight="false" outlineLevel="0" collapsed="false">
      <c r="A77" s="14" t="s">
        <v>140</v>
      </c>
      <c r="B77" s="15" t="n">
        <v>1</v>
      </c>
      <c r="C77" s="15" t="n">
        <v>1.05</v>
      </c>
      <c r="D77" s="15" t="n">
        <v>1.1</v>
      </c>
      <c r="E77" s="15" t="n">
        <v>2.15</v>
      </c>
      <c r="F77" s="15" t="n">
        <v>2.25</v>
      </c>
      <c r="G77" s="15" t="n">
        <v>2.35</v>
      </c>
      <c r="H77" s="15" t="n">
        <v>2.45</v>
      </c>
      <c r="I77" s="15" t="n">
        <v>1.55</v>
      </c>
      <c r="J77" s="15" t="n">
        <v>1.6</v>
      </c>
      <c r="K77" s="15" t="n">
        <v>1.65</v>
      </c>
    </row>
    <row r="78" customFormat="false" ht="15" hidden="false" customHeight="false" outlineLevel="0" collapsed="false">
      <c r="A78" s="14" t="s">
        <v>141</v>
      </c>
      <c r="B78" s="15" t="n">
        <v>1</v>
      </c>
      <c r="C78" s="15" t="n">
        <v>0.05</v>
      </c>
      <c r="D78" s="15" t="n">
        <v>0.05</v>
      </c>
      <c r="E78" s="15" t="n">
        <v>1.05</v>
      </c>
      <c r="F78" s="15" t="n">
        <v>1.1</v>
      </c>
      <c r="G78" s="15" t="n">
        <v>0.15</v>
      </c>
      <c r="H78" s="15" t="n">
        <v>1.15</v>
      </c>
      <c r="I78" s="15" t="n">
        <v>0.2</v>
      </c>
      <c r="J78" s="15" t="n">
        <v>1.2</v>
      </c>
      <c r="K78" s="15" t="n">
        <v>0.25</v>
      </c>
    </row>
    <row r="79" customFormat="false" ht="15" hidden="false" customHeight="false" outlineLevel="0" collapsed="false">
      <c r="A79" s="14" t="s">
        <v>216</v>
      </c>
      <c r="B79" s="15" t="n">
        <v>1</v>
      </c>
      <c r="C79" s="15" t="n">
        <v>2.05</v>
      </c>
      <c r="D79" s="15" t="n">
        <v>4.15</v>
      </c>
      <c r="E79" s="15" t="n">
        <v>5.35</v>
      </c>
      <c r="F79" s="15" t="n">
        <v>5.6</v>
      </c>
      <c r="G79" s="15" t="n">
        <v>6.85</v>
      </c>
      <c r="H79" s="15" t="n">
        <v>6.15</v>
      </c>
      <c r="I79" s="15" t="n">
        <v>4.4</v>
      </c>
      <c r="J79" s="15" t="n">
        <v>4.55</v>
      </c>
      <c r="K79" s="15" t="n">
        <v>3.7</v>
      </c>
    </row>
    <row r="80" customFormat="false" ht="15" hidden="false" customHeight="false" outlineLevel="0" collapsed="false">
      <c r="A80" s="14" t="s">
        <v>217</v>
      </c>
      <c r="B80" s="15" t="n">
        <v>1</v>
      </c>
      <c r="C80" s="15" t="n">
        <v>0.05</v>
      </c>
      <c r="D80" s="15" t="n">
        <v>1.05</v>
      </c>
      <c r="E80" s="15" t="n">
        <v>1.1</v>
      </c>
      <c r="F80" s="15" t="n">
        <v>2.15</v>
      </c>
      <c r="G80" s="15" t="n">
        <v>1.25</v>
      </c>
      <c r="H80" s="15" t="n">
        <v>1.3</v>
      </c>
      <c r="I80" s="15" t="n">
        <v>1.35</v>
      </c>
      <c r="J80" s="15" t="n">
        <v>1.4</v>
      </c>
      <c r="K80" s="15" t="n">
        <v>0.45</v>
      </c>
    </row>
    <row r="81" customFormat="false" ht="15" hidden="false" customHeight="false" outlineLevel="0" collapsed="false">
      <c r="A81" s="13" t="s">
        <v>220</v>
      </c>
      <c r="B81" s="17" t="n">
        <v>82</v>
      </c>
      <c r="C81" s="17" t="n">
        <v>256.9833333</v>
      </c>
      <c r="D81" s="17" t="n">
        <v>349.3166667</v>
      </c>
      <c r="E81" s="17" t="n">
        <v>599.4333333</v>
      </c>
      <c r="F81" s="17" t="n">
        <v>641.9333333</v>
      </c>
      <c r="G81" s="17" t="n">
        <v>742.25</v>
      </c>
      <c r="H81" s="17" t="n">
        <v>714.0833333</v>
      </c>
      <c r="I81" s="17" t="n">
        <v>568</v>
      </c>
      <c r="J81" s="17" t="n">
        <v>434.4833333</v>
      </c>
      <c r="K81" s="17" t="n">
        <v>451.35</v>
      </c>
    </row>
    <row r="82" customFormat="false" ht="15" hidden="false" customHeight="false" outlineLevel="0" collapsed="false">
      <c r="A82" s="14" t="s">
        <v>221</v>
      </c>
      <c r="B82" s="15" t="n">
        <v>82</v>
      </c>
      <c r="C82" s="15" t="n">
        <v>335</v>
      </c>
      <c r="D82" s="15" t="n">
        <v>668</v>
      </c>
      <c r="E82" s="15" t="n">
        <v>1235</v>
      </c>
      <c r="F82" s="15" t="n">
        <v>1817</v>
      </c>
      <c r="G82" s="15" t="n">
        <v>2471</v>
      </c>
      <c r="H82" s="15" t="n">
        <v>3065</v>
      </c>
      <c r="I82" s="15" t="n">
        <v>3484</v>
      </c>
      <c r="J82" s="15" t="n">
        <v>3749</v>
      </c>
      <c r="K82" s="15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O7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4" min="3" style="0" width="44"/>
    <col collapsed="false" customWidth="true" hidden="false" outlineLevel="0" max="5" min="5" style="0" width="34"/>
    <col collapsed="false" customWidth="true" hidden="false" outlineLevel="0" max="15" min="6" style="0" width="10"/>
  </cols>
  <sheetData>
    <row r="1" customFormat="false" ht="15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223</v>
      </c>
    </row>
    <row r="3" customFormat="false" ht="31.5" hidden="false" customHeight="true" outlineLevel="0" collapsed="false">
      <c r="A3" s="3" t="s">
        <v>224</v>
      </c>
      <c r="B3" s="3" t="s">
        <v>225</v>
      </c>
      <c r="C3" s="3" t="s">
        <v>226</v>
      </c>
      <c r="D3" s="3" t="s">
        <v>227</v>
      </c>
      <c r="E3" s="3" t="s">
        <v>228</v>
      </c>
      <c r="F3" s="3" t="n">
        <v>2026</v>
      </c>
      <c r="G3" s="3" t="n">
        <v>2027</v>
      </c>
      <c r="H3" s="3" t="n">
        <v>2028</v>
      </c>
      <c r="I3" s="3" t="n">
        <v>2029</v>
      </c>
      <c r="J3" s="3" t="n">
        <v>2030</v>
      </c>
      <c r="K3" s="3" t="n">
        <v>2031</v>
      </c>
      <c r="L3" s="3" t="n">
        <v>2032</v>
      </c>
      <c r="M3" s="3" t="n">
        <v>2033</v>
      </c>
      <c r="N3" s="3" t="n">
        <v>2034</v>
      </c>
      <c r="O3" s="3" t="n">
        <v>2035</v>
      </c>
    </row>
    <row r="4" customFormat="false" ht="15" hidden="false" customHeight="false" outlineLevel="0" collapsed="false">
      <c r="A4" s="24" t="s">
        <v>229</v>
      </c>
      <c r="B4" s="24" t="s">
        <v>230</v>
      </c>
      <c r="C4" s="24" t="s">
        <v>231</v>
      </c>
      <c r="D4" s="24" t="s">
        <v>232</v>
      </c>
      <c r="E4" s="24" t="s">
        <v>233</v>
      </c>
      <c r="F4" s="25" t="n">
        <f aca="false">PROY_INDEXADO!B3</f>
        <v>4178.736543</v>
      </c>
      <c r="G4" s="25" t="n">
        <f aca="false">PROY_INDEXADO!C3</f>
        <v>5997.303977</v>
      </c>
      <c r="H4" s="25" t="n">
        <f aca="false">PROY_INDEXADO!D3</f>
        <v>6851.747758</v>
      </c>
      <c r="I4" s="25" t="n">
        <f aca="false">PROY_INDEXADO!E3</f>
        <v>8467.135549</v>
      </c>
      <c r="J4" s="25" t="n">
        <f aca="false">PROY_INDEXADO!F3</f>
        <v>12680.63271</v>
      </c>
      <c r="K4" s="25" t="n">
        <f aca="false">PROY_INDEXADO!G3</f>
        <v>15620.25307</v>
      </c>
      <c r="L4" s="25" t="n">
        <f aca="false">PROY_INDEXADO!H3</f>
        <v>20332.55326</v>
      </c>
      <c r="M4" s="25" t="n">
        <f aca="false">PROY_INDEXADO!I3</f>
        <v>25132.07848</v>
      </c>
      <c r="N4" s="25" t="n">
        <f aca="false">PROY_INDEXADO!J3</f>
        <v>28573.33614</v>
      </c>
      <c r="O4" s="25" t="n">
        <f aca="false">PROY_INDEXADO!K3</f>
        <v>32072.63913</v>
      </c>
    </row>
    <row r="5" customFormat="false" ht="15" hidden="false" customHeight="false" outlineLevel="0" collapsed="false">
      <c r="A5" s="24" t="s">
        <v>229</v>
      </c>
      <c r="B5" s="24" t="s">
        <v>234</v>
      </c>
      <c r="C5" s="24" t="s">
        <v>235</v>
      </c>
      <c r="D5" s="24" t="s">
        <v>236</v>
      </c>
      <c r="E5" s="24" t="s">
        <v>237</v>
      </c>
      <c r="F5" s="25" t="n">
        <f aca="false">PROY_INDEXADO!B4</f>
        <v>295.0303572</v>
      </c>
      <c r="G5" s="25" t="n">
        <f aca="false">PROY_INDEXADO!C4</f>
        <v>709.7274503</v>
      </c>
      <c r="H5" s="25" t="n">
        <f aca="false">PROY_INDEXADO!D4</f>
        <v>986.8680576</v>
      </c>
      <c r="I5" s="25" t="n">
        <f aca="false">PROY_INDEXADO!E4</f>
        <v>1500.638174</v>
      </c>
      <c r="J5" s="25" t="n">
        <f aca="false">PROY_INDEXADO!F4</f>
        <v>2312.627726</v>
      </c>
      <c r="K5" s="25" t="n">
        <f aca="false">PROY_INDEXADO!G4</f>
        <v>3252.869887</v>
      </c>
      <c r="L5" s="25" t="n">
        <f aca="false">PROY_INDEXADO!H4</f>
        <v>4102.315524</v>
      </c>
      <c r="M5" s="25" t="n">
        <f aca="false">PROY_INDEXADO!I4</f>
        <v>5104.306587</v>
      </c>
      <c r="N5" s="25" t="n">
        <f aca="false">PROY_INDEXADO!J4</f>
        <v>6195.186243</v>
      </c>
      <c r="O5" s="25" t="n">
        <f aca="false">PROY_INDEXADO!K4</f>
        <v>7424.858444</v>
      </c>
    </row>
    <row r="6" customFormat="false" ht="15" hidden="false" customHeight="false" outlineLevel="0" collapsed="false">
      <c r="A6" s="24" t="s">
        <v>229</v>
      </c>
      <c r="B6" s="24" t="s">
        <v>238</v>
      </c>
      <c r="C6" s="24" t="s">
        <v>239</v>
      </c>
      <c r="D6" s="24" t="s">
        <v>240</v>
      </c>
      <c r="E6" s="24" t="s">
        <v>237</v>
      </c>
      <c r="F6" s="25" t="n">
        <f aca="false">PROY_INDEXADO!B5+PROY_RESERVAS!B30</f>
        <v>2709.773025</v>
      </c>
      <c r="G6" s="25" t="n">
        <f aca="false">PROY_INDEXADO!C5+PROY_RESERVAS!C30</f>
        <v>5424.978881</v>
      </c>
      <c r="H6" s="25" t="n">
        <f aca="false">PROY_INDEXADO!D5+PROY_RESERVAS!D30</f>
        <v>7124.537591</v>
      </c>
      <c r="I6" s="25" t="n">
        <f aca="false">PROY_INDEXADO!E5+PROY_RESERVAS!E30</f>
        <v>10277.115313</v>
      </c>
      <c r="J6" s="25" t="n">
        <f aca="false">PROY_INDEXADO!F5+PROY_RESERVAS!F30</f>
        <v>14339.30694</v>
      </c>
      <c r="K6" s="25" t="n">
        <f aca="false">PROY_INDEXADO!G5+PROY_RESERVAS!G30</f>
        <v>18554.96411</v>
      </c>
      <c r="L6" s="25" t="n">
        <f aca="false">PROY_INDEXADO!H5+PROY_RESERVAS!H30</f>
        <v>22458.75984</v>
      </c>
      <c r="M6" s="25" t="n">
        <f aca="false">PROY_INDEXADO!I5+PROY_RESERVAS!I30</f>
        <v>25860.18637</v>
      </c>
      <c r="N6" s="25" t="n">
        <f aca="false">PROY_INDEXADO!J5+PROY_RESERVAS!J30</f>
        <v>28507.72455</v>
      </c>
      <c r="O6" s="25" t="n">
        <f aca="false">PROY_INDEXADO!K5+PROY_RESERVAS!K30</f>
        <v>32318.77872</v>
      </c>
    </row>
    <row r="7" customFormat="false" ht="15" hidden="false" customHeight="false" outlineLevel="0" collapsed="false">
      <c r="A7" s="24" t="s">
        <v>229</v>
      </c>
      <c r="B7" s="24" t="s">
        <v>241</v>
      </c>
      <c r="C7" s="24" t="s">
        <v>242</v>
      </c>
      <c r="D7" s="24" t="s">
        <v>243</v>
      </c>
      <c r="E7" s="24" t="s">
        <v>237</v>
      </c>
      <c r="F7" s="25" t="n">
        <f aca="false">PROY_INDEXADO!B6</f>
        <v>91.83318153</v>
      </c>
      <c r="G7" s="25" t="n">
        <f aca="false">PROY_INDEXADO!C6</f>
        <v>177.2472967</v>
      </c>
      <c r="H7" s="25" t="n">
        <f aca="false">PROY_INDEXADO!D6</f>
        <v>252.9787798</v>
      </c>
      <c r="I7" s="25" t="n">
        <f aca="false">PROY_INDEXADO!E6</f>
        <v>358.0204941</v>
      </c>
      <c r="J7" s="25" t="n">
        <f aca="false">PROY_INDEXADO!F6</f>
        <v>602.7181519</v>
      </c>
      <c r="K7" s="25" t="n">
        <f aca="false">PROY_INDEXADO!G6</f>
        <v>872.605032</v>
      </c>
      <c r="L7" s="25" t="n">
        <f aca="false">PROY_INDEXADO!H6</f>
        <v>1127.160545</v>
      </c>
      <c r="M7" s="25" t="n">
        <f aca="false">PROY_INDEXADO!I6</f>
        <v>1395.444812</v>
      </c>
      <c r="N7" s="25" t="n">
        <f aca="false">PROY_INDEXADO!J6</f>
        <v>1612.350054</v>
      </c>
      <c r="O7" s="25" t="n">
        <f aca="false">PROY_INDEXADO!K6</f>
        <v>1840.848079</v>
      </c>
    </row>
    <row r="8" customFormat="false" ht="15" hidden="false" customHeight="false" outlineLevel="0" collapsed="false">
      <c r="A8" s="24" t="s">
        <v>244</v>
      </c>
      <c r="B8" s="24" t="s">
        <v>245</v>
      </c>
      <c r="C8" s="24" t="s">
        <v>246</v>
      </c>
      <c r="D8" s="24" t="s">
        <v>247</v>
      </c>
      <c r="E8" s="24" t="s">
        <v>248</v>
      </c>
      <c r="F8" s="25" t="n">
        <f aca="false">PROY_INDEXADO!B7</f>
        <v>34.05179136</v>
      </c>
      <c r="G8" s="25" t="n">
        <f aca="false">PROY_INDEXADO!C7</f>
        <v>58.46214745</v>
      </c>
      <c r="H8" s="25" t="n">
        <f aca="false">PROY_INDEXADO!D7</f>
        <v>75.20853998</v>
      </c>
      <c r="I8" s="25" t="n">
        <f aca="false">PROY_INDEXADO!E7</f>
        <v>100.5298529</v>
      </c>
      <c r="J8" s="25" t="n">
        <f aca="false">PROY_INDEXADO!F7</f>
        <v>155.8760035</v>
      </c>
      <c r="K8" s="25" t="n">
        <f aca="false">PROY_INDEXADO!G7</f>
        <v>211.9344827</v>
      </c>
      <c r="L8" s="25" t="n">
        <f aca="false">PROY_INDEXADO!H7</f>
        <v>272.6682332</v>
      </c>
      <c r="M8" s="25" t="n">
        <f aca="false">PROY_INDEXADO!I7</f>
        <v>337.8486707</v>
      </c>
      <c r="N8" s="25" t="n">
        <f aca="false">PROY_INDEXADO!J7</f>
        <v>393.6274156</v>
      </c>
      <c r="O8" s="25" t="n">
        <f aca="false">PROY_INDEXADO!K7</f>
        <v>453.2705332</v>
      </c>
    </row>
    <row r="9" customFormat="false" ht="15" hidden="false" customHeight="false" outlineLevel="0" collapsed="false">
      <c r="A9" s="24" t="s">
        <v>244</v>
      </c>
      <c r="B9" s="24" t="s">
        <v>249</v>
      </c>
      <c r="C9" s="24" t="s">
        <v>250</v>
      </c>
      <c r="D9" s="24" t="s">
        <v>251</v>
      </c>
      <c r="E9" s="24" t="s">
        <v>248</v>
      </c>
      <c r="F9" s="25" t="n">
        <f aca="false">PROY_INDEXADO!B8</f>
        <v>74.913941</v>
      </c>
      <c r="G9" s="25" t="n">
        <f aca="false">PROY_INDEXADO!C8</f>
        <v>128.6167244</v>
      </c>
      <c r="H9" s="25" t="n">
        <f aca="false">PROY_INDEXADO!D8</f>
        <v>165.458788</v>
      </c>
      <c r="I9" s="25" t="n">
        <f aca="false">PROY_INDEXADO!E8</f>
        <v>221.1656765</v>
      </c>
      <c r="J9" s="25" t="n">
        <f aca="false">PROY_INDEXADO!F8</f>
        <v>342.9272077</v>
      </c>
      <c r="K9" s="25" t="n">
        <f aca="false">PROY_INDEXADO!G8</f>
        <v>466.255862</v>
      </c>
      <c r="L9" s="25" t="n">
        <f aca="false">PROY_INDEXADO!H8</f>
        <v>599.8701129</v>
      </c>
      <c r="M9" s="25" t="n">
        <f aca="false">PROY_INDEXADO!I8</f>
        <v>743.2670756</v>
      </c>
      <c r="N9" s="25" t="n">
        <f aca="false">PROY_INDEXADO!J8</f>
        <v>865.9803143</v>
      </c>
      <c r="O9" s="25" t="n">
        <f aca="false">PROY_INDEXADO!K8</f>
        <v>997.1951731</v>
      </c>
    </row>
    <row r="10" customFormat="false" ht="15" hidden="false" customHeight="false" outlineLevel="0" collapsed="false">
      <c r="A10" s="24" t="s">
        <v>244</v>
      </c>
      <c r="B10" s="24" t="s">
        <v>252</v>
      </c>
      <c r="C10" s="24" t="s">
        <v>253</v>
      </c>
      <c r="D10" s="24" t="s">
        <v>254</v>
      </c>
      <c r="E10" s="24" t="s">
        <v>248</v>
      </c>
      <c r="F10" s="25" t="n">
        <f aca="false">PROY_INDEXADO!B9</f>
        <v>16.34485985</v>
      </c>
      <c r="G10" s="25" t="n">
        <f aca="false">PROY_INDEXADO!C9</f>
        <v>28.06183078</v>
      </c>
      <c r="H10" s="25" t="n">
        <f aca="false">PROY_INDEXADO!D9</f>
        <v>36.10009919</v>
      </c>
      <c r="I10" s="25" t="n">
        <f aca="false">PROY_INDEXADO!E9</f>
        <v>48.25432941</v>
      </c>
      <c r="J10" s="25" t="n">
        <f aca="false">PROY_INDEXADO!F9</f>
        <v>74.82048167</v>
      </c>
      <c r="K10" s="25" t="n">
        <f aca="false">PROY_INDEXADO!G9</f>
        <v>101.7285517</v>
      </c>
      <c r="L10" s="25" t="n">
        <f aca="false">PROY_INDEXADO!H9</f>
        <v>130.8807519</v>
      </c>
      <c r="M10" s="25" t="n">
        <f aca="false">PROY_INDEXADO!I9</f>
        <v>162.1673619</v>
      </c>
      <c r="N10" s="25" t="n">
        <f aca="false">PROY_INDEXADO!J9</f>
        <v>188.9411595</v>
      </c>
      <c r="O10" s="25" t="n">
        <f aca="false">PROY_INDEXADO!K9</f>
        <v>217.569856</v>
      </c>
    </row>
    <row r="11" customFormat="false" ht="15" hidden="false" customHeight="false" outlineLevel="0" collapsed="false">
      <c r="A11" s="24" t="s">
        <v>244</v>
      </c>
      <c r="B11" s="24" t="s">
        <v>255</v>
      </c>
      <c r="C11" s="24" t="s">
        <v>256</v>
      </c>
      <c r="D11" s="24" t="s">
        <v>257</v>
      </c>
      <c r="E11" s="24" t="s">
        <v>248</v>
      </c>
      <c r="F11" s="25" t="n">
        <f aca="false">PROY_INDEXADO!B10</f>
        <v>10.89657324</v>
      </c>
      <c r="G11" s="25" t="n">
        <f aca="false">PROY_INDEXADO!C10</f>
        <v>18.70788719</v>
      </c>
      <c r="H11" s="25" t="n">
        <f aca="false">PROY_INDEXADO!D10</f>
        <v>24.06673279</v>
      </c>
      <c r="I11" s="25" t="n">
        <f aca="false">PROY_INDEXADO!E10</f>
        <v>32.16955294</v>
      </c>
      <c r="J11" s="25" t="n">
        <f aca="false">PROY_INDEXADO!F10</f>
        <v>49.88032112</v>
      </c>
      <c r="K11" s="25" t="n">
        <f aca="false">PROY_INDEXADO!G10</f>
        <v>67.81903447</v>
      </c>
      <c r="L11" s="25" t="n">
        <f aca="false">PROY_INDEXADO!H10</f>
        <v>87.25383461</v>
      </c>
      <c r="M11" s="25" t="n">
        <f aca="false">PROY_INDEXADO!I10</f>
        <v>108.1115746</v>
      </c>
      <c r="N11" s="25" t="n">
        <f aca="false">PROY_INDEXADO!J10</f>
        <v>125.960773</v>
      </c>
      <c r="O11" s="25" t="n">
        <f aca="false">PROY_INDEXADO!K10</f>
        <v>145.0465706</v>
      </c>
    </row>
    <row r="12" customFormat="false" ht="15" hidden="false" customHeight="false" outlineLevel="0" collapsed="false">
      <c r="A12" s="24" t="s">
        <v>229</v>
      </c>
      <c r="B12" s="24" t="s">
        <v>258</v>
      </c>
      <c r="C12" s="24" t="s">
        <v>259</v>
      </c>
      <c r="D12" s="24" t="s">
        <v>260</v>
      </c>
      <c r="E12" s="24" t="s">
        <v>233</v>
      </c>
      <c r="F12" s="25" t="n">
        <f aca="false">PROY_INDEXADO!B15</f>
        <v>0</v>
      </c>
      <c r="G12" s="25" t="n">
        <f aca="false">PROY_INDEXADO!C15</f>
        <v>0</v>
      </c>
      <c r="H12" s="25" t="n">
        <f aca="false">PROY_INDEXADO!D15</f>
        <v>7662.4</v>
      </c>
      <c r="I12" s="25" t="n">
        <f aca="false">PROY_INDEXADO!E15</f>
        <v>26694.8</v>
      </c>
      <c r="J12" s="25" t="n">
        <f aca="false">PROY_INDEXADO!F15</f>
        <v>49434.8</v>
      </c>
      <c r="K12" s="25" t="n">
        <f aca="false">PROY_INDEXADO!G15</f>
        <v>71680.2</v>
      </c>
      <c r="L12" s="25" t="n">
        <f aca="false">PROY_INDEXADO!H15</f>
        <v>101340.6</v>
      </c>
      <c r="M12" s="25" t="n">
        <f aca="false">PROY_INDEXADO!I15</f>
        <v>131001</v>
      </c>
      <c r="N12" s="25" t="n">
        <f aca="false">PROY_INDEXADO!J15</f>
        <v>146819.8</v>
      </c>
      <c r="O12" s="25" t="n">
        <f aca="false">PROY_INDEXADO!K15</f>
        <v>170548</v>
      </c>
    </row>
    <row r="13" customFormat="false" ht="15" hidden="false" customHeight="false" outlineLevel="0" collapsed="false">
      <c r="A13" s="24" t="s">
        <v>229</v>
      </c>
      <c r="B13" s="24" t="s">
        <v>261</v>
      </c>
      <c r="C13" s="24" t="s">
        <v>262</v>
      </c>
      <c r="D13" s="24" t="s">
        <v>263</v>
      </c>
      <c r="E13" s="24" t="s">
        <v>237</v>
      </c>
      <c r="F13" s="25" t="n">
        <f aca="false">PROY_INDEXADO!B16</f>
        <v>0</v>
      </c>
      <c r="G13" s="25" t="n">
        <f aca="false">PROY_INDEXADO!C16</f>
        <v>0</v>
      </c>
      <c r="H13" s="25" t="n">
        <f aca="false">PROY_INDEXADO!D16</f>
        <v>299.6</v>
      </c>
      <c r="I13" s="25" t="n">
        <f aca="false">PROY_INDEXADO!E16</f>
        <v>1043.8</v>
      </c>
      <c r="J13" s="25" t="n">
        <f aca="false">PROY_INDEXADO!F16</f>
        <v>1933</v>
      </c>
      <c r="K13" s="25" t="n">
        <f aca="false">PROY_INDEXADO!G16</f>
        <v>2803</v>
      </c>
      <c r="L13" s="25" t="n">
        <f aca="false">PROY_INDEXADO!H16</f>
        <v>3963</v>
      </c>
      <c r="M13" s="25" t="n">
        <f aca="false">PROY_INDEXADO!I16</f>
        <v>5123</v>
      </c>
      <c r="N13" s="25" t="n">
        <f aca="false">PROY_INDEXADO!J16</f>
        <v>5741.4</v>
      </c>
      <c r="O13" s="25" t="n">
        <f aca="false">PROY_INDEXADO!K16</f>
        <v>6669</v>
      </c>
    </row>
    <row r="14" customFormat="false" ht="15" hidden="false" customHeight="false" outlineLevel="0" collapsed="false">
      <c r="A14" s="24" t="s">
        <v>229</v>
      </c>
      <c r="B14" s="24" t="s">
        <v>264</v>
      </c>
      <c r="C14" s="24" t="s">
        <v>265</v>
      </c>
      <c r="D14" s="24" t="s">
        <v>266</v>
      </c>
      <c r="E14" s="24" t="s">
        <v>237</v>
      </c>
      <c r="F14" s="25" t="n">
        <f aca="false">PROY_INDEXADO!B17</f>
        <v>0</v>
      </c>
      <c r="G14" s="25" t="n">
        <f aca="false">PROY_INDEXADO!C17</f>
        <v>0</v>
      </c>
      <c r="H14" s="25" t="n">
        <f aca="false">PROY_INDEXADO!D17</f>
        <v>1478.8</v>
      </c>
      <c r="I14" s="25" t="n">
        <f aca="false">PROY_INDEXADO!E17</f>
        <v>5152</v>
      </c>
      <c r="J14" s="25" t="n">
        <f aca="false">PROY_INDEXADO!F17</f>
        <v>9540.8</v>
      </c>
      <c r="K14" s="25" t="n">
        <f aca="false">PROY_INDEXADO!G17</f>
        <v>13834.2</v>
      </c>
      <c r="L14" s="25" t="n">
        <f aca="false">PROY_INDEXADO!H17</f>
        <v>19558.6</v>
      </c>
      <c r="M14" s="25" t="n">
        <f aca="false">PROY_INDEXADO!I17</f>
        <v>25283</v>
      </c>
      <c r="N14" s="25" t="n">
        <f aca="false">PROY_INDEXADO!J17</f>
        <v>28335.8</v>
      </c>
      <c r="O14" s="25" t="n">
        <f aca="false">PROY_INDEXADO!K17</f>
        <v>32915</v>
      </c>
    </row>
    <row r="15" customFormat="false" ht="15" hidden="false" customHeight="false" outlineLevel="0" collapsed="false">
      <c r="A15" s="24" t="s">
        <v>229</v>
      </c>
      <c r="B15" s="24" t="s">
        <v>267</v>
      </c>
      <c r="C15" s="24" t="s">
        <v>268</v>
      </c>
      <c r="D15" s="24" t="s">
        <v>269</v>
      </c>
      <c r="E15" s="24" t="s">
        <v>237</v>
      </c>
      <c r="F15" s="25" t="n">
        <f aca="false">PROY_INDEXADO!B18</f>
        <v>0</v>
      </c>
      <c r="G15" s="25" t="n">
        <f aca="false">PROY_INDEXADO!C18</f>
        <v>0</v>
      </c>
      <c r="H15" s="25" t="n">
        <f aca="false">PROY_INDEXADO!D18</f>
        <v>90.4</v>
      </c>
      <c r="I15" s="25" t="n">
        <f aca="false">PROY_INDEXADO!E18</f>
        <v>315</v>
      </c>
      <c r="J15" s="25" t="n">
        <f aca="false">PROY_INDEXADO!F18</f>
        <v>583.4</v>
      </c>
      <c r="K15" s="25" t="n">
        <f aca="false">PROY_INDEXADO!G18</f>
        <v>845.8</v>
      </c>
      <c r="L15" s="25" t="n">
        <f aca="false">PROY_INDEXADO!H18</f>
        <v>1195.4</v>
      </c>
      <c r="M15" s="25" t="n">
        <f aca="false">PROY_INDEXADO!I18</f>
        <v>1545</v>
      </c>
      <c r="N15" s="25" t="n">
        <f aca="false">PROY_INDEXADO!J18</f>
        <v>1731.4</v>
      </c>
      <c r="O15" s="25" t="n">
        <f aca="false">PROY_INDEXADO!K18</f>
        <v>2011</v>
      </c>
    </row>
    <row r="16" customFormat="false" ht="15" hidden="false" customHeight="false" outlineLevel="0" collapsed="false">
      <c r="A16" s="24" t="s">
        <v>244</v>
      </c>
      <c r="B16" s="24" t="s">
        <v>270</v>
      </c>
      <c r="C16" s="24" t="s">
        <v>271</v>
      </c>
      <c r="D16" s="24" t="s">
        <v>272</v>
      </c>
      <c r="E16" s="24" t="s">
        <v>248</v>
      </c>
      <c r="F16" s="25" t="n">
        <f aca="false">PROY_INDEXADO!B19</f>
        <v>0</v>
      </c>
      <c r="G16" s="25" t="n">
        <f aca="false">PROY_INDEXADO!C19</f>
        <v>0</v>
      </c>
      <c r="H16" s="25" t="n">
        <f aca="false">PROY_INDEXADO!D19</f>
        <v>14.4</v>
      </c>
      <c r="I16" s="25" t="n">
        <f aca="false">PROY_INDEXADO!E19</f>
        <v>50.2</v>
      </c>
      <c r="J16" s="25" t="n">
        <f aca="false">PROY_INDEXADO!F19</f>
        <v>93</v>
      </c>
      <c r="K16" s="25" t="n">
        <f aca="false">PROY_INDEXADO!G19</f>
        <v>135</v>
      </c>
      <c r="L16" s="25" t="n">
        <f aca="false">PROY_INDEXADO!H19</f>
        <v>191</v>
      </c>
      <c r="M16" s="25" t="n">
        <f aca="false">PROY_INDEXADO!I19</f>
        <v>247</v>
      </c>
      <c r="N16" s="25" t="n">
        <f aca="false">PROY_INDEXADO!J19</f>
        <v>277</v>
      </c>
      <c r="O16" s="25" t="n">
        <f aca="false">PROY_INDEXADO!K19</f>
        <v>322</v>
      </c>
    </row>
    <row r="17" customFormat="false" ht="15" hidden="false" customHeight="false" outlineLevel="0" collapsed="false">
      <c r="A17" s="24" t="s">
        <v>244</v>
      </c>
      <c r="B17" s="24" t="s">
        <v>273</v>
      </c>
      <c r="C17" s="24" t="s">
        <v>274</v>
      </c>
      <c r="D17" s="24" t="s">
        <v>275</v>
      </c>
      <c r="E17" s="24" t="s">
        <v>248</v>
      </c>
      <c r="F17" s="25" t="n">
        <f aca="false">PROY_INDEXADO!B20</f>
        <v>0</v>
      </c>
      <c r="G17" s="25" t="n">
        <f aca="false">PROY_INDEXADO!C20</f>
        <v>0</v>
      </c>
      <c r="H17" s="25" t="n">
        <f aca="false">PROY_INDEXADO!D20</f>
        <v>31.8</v>
      </c>
      <c r="I17" s="25" t="n">
        <f aca="false">PROY_INDEXADO!E20</f>
        <v>110.8</v>
      </c>
      <c r="J17" s="25" t="n">
        <f aca="false">PROY_INDEXADO!F20</f>
        <v>205.2</v>
      </c>
      <c r="K17" s="25" t="n">
        <f aca="false">PROY_INDEXADO!G20</f>
        <v>297.6</v>
      </c>
      <c r="L17" s="25" t="n">
        <f aca="false">PROY_INDEXADO!H20</f>
        <v>420.8</v>
      </c>
      <c r="M17" s="25" t="n">
        <f aca="false">PROY_INDEXADO!I20</f>
        <v>544</v>
      </c>
      <c r="N17" s="25" t="n">
        <f aca="false">PROY_INDEXADO!J20</f>
        <v>609.6</v>
      </c>
      <c r="O17" s="25" t="n">
        <f aca="false">PROY_INDEXADO!K20</f>
        <v>708</v>
      </c>
    </row>
    <row r="18" customFormat="false" ht="15" hidden="false" customHeight="false" outlineLevel="0" collapsed="false">
      <c r="A18" s="24" t="s">
        <v>244</v>
      </c>
      <c r="B18" s="24" t="s">
        <v>276</v>
      </c>
      <c r="C18" s="24" t="s">
        <v>277</v>
      </c>
      <c r="D18" s="24" t="s">
        <v>278</v>
      </c>
      <c r="E18" s="24" t="s">
        <v>248</v>
      </c>
      <c r="F18" s="25" t="n">
        <f aca="false">PROY_INDEXADO!B21</f>
        <v>0</v>
      </c>
      <c r="G18" s="25" t="n">
        <f aca="false">PROY_INDEXADO!C21</f>
        <v>0</v>
      </c>
      <c r="H18" s="25" t="n">
        <f aca="false">PROY_INDEXADO!D21</f>
        <v>7</v>
      </c>
      <c r="I18" s="25" t="n">
        <f aca="false">PROY_INDEXADO!E21</f>
        <v>24.4</v>
      </c>
      <c r="J18" s="25" t="n">
        <f aca="false">PROY_INDEXADO!F21</f>
        <v>45.2</v>
      </c>
      <c r="K18" s="25" t="n">
        <f aca="false">PROY_INDEXADO!G21</f>
        <v>65.4</v>
      </c>
      <c r="L18" s="25" t="n">
        <f aca="false">PROY_INDEXADO!H21</f>
        <v>92.2</v>
      </c>
      <c r="M18" s="25" t="n">
        <f aca="false">PROY_INDEXADO!I21</f>
        <v>119</v>
      </c>
      <c r="N18" s="25" t="n">
        <f aca="false">PROY_INDEXADO!J21</f>
        <v>133.4</v>
      </c>
      <c r="O18" s="25" t="n">
        <f aca="false">PROY_INDEXADO!K21</f>
        <v>155</v>
      </c>
    </row>
    <row r="19" customFormat="false" ht="15" hidden="false" customHeight="false" outlineLevel="0" collapsed="false">
      <c r="A19" s="24" t="s">
        <v>244</v>
      </c>
      <c r="B19" s="24" t="s">
        <v>279</v>
      </c>
      <c r="C19" s="24" t="s">
        <v>280</v>
      </c>
      <c r="D19" s="24" t="s">
        <v>281</v>
      </c>
      <c r="E19" s="24" t="s">
        <v>248</v>
      </c>
      <c r="F19" s="25" t="n">
        <f aca="false">PROY_INDEXADO!B22</f>
        <v>0</v>
      </c>
      <c r="G19" s="25" t="n">
        <f aca="false">PROY_INDEXADO!C22</f>
        <v>0</v>
      </c>
      <c r="H19" s="25" t="n">
        <f aca="false">PROY_INDEXADO!D22</f>
        <v>4.6</v>
      </c>
      <c r="I19" s="25" t="n">
        <f aca="false">PROY_INDEXADO!E22</f>
        <v>16</v>
      </c>
      <c r="J19" s="25" t="n">
        <f aca="false">PROY_INDEXADO!F22</f>
        <v>29.6</v>
      </c>
      <c r="K19" s="25" t="n">
        <f aca="false">PROY_INDEXADO!G22</f>
        <v>42.8</v>
      </c>
      <c r="L19" s="25" t="n">
        <f aca="false">PROY_INDEXADO!H22</f>
        <v>60.4</v>
      </c>
      <c r="M19" s="25" t="n">
        <f aca="false">PROY_INDEXADO!I22</f>
        <v>78</v>
      </c>
      <c r="N19" s="25" t="n">
        <f aca="false">PROY_INDEXADO!J22</f>
        <v>87.6</v>
      </c>
      <c r="O19" s="25" t="n">
        <f aca="false">PROY_INDEXADO!K22</f>
        <v>102</v>
      </c>
    </row>
    <row r="20" customFormat="false" ht="15" hidden="false" customHeight="false" outlineLevel="0" collapsed="false">
      <c r="A20" s="24" t="s">
        <v>132</v>
      </c>
      <c r="B20" s="24" t="s">
        <v>282</v>
      </c>
      <c r="C20" s="24" t="s">
        <v>283</v>
      </c>
      <c r="D20" s="24" t="s">
        <v>284</v>
      </c>
      <c r="E20" s="24" t="s">
        <v>285</v>
      </c>
      <c r="F20" s="25" t="n">
        <f aca="false">PROY_INDEXADO!B27</f>
        <v>3477.482124</v>
      </c>
      <c r="G20" s="25" t="n">
        <f aca="false">PROY_INDEXADO!C27</f>
        <v>16970.58564</v>
      </c>
      <c r="H20" s="25" t="n">
        <f aca="false">PROY_INDEXADO!D27</f>
        <v>30546.08951</v>
      </c>
      <c r="I20" s="25" t="n">
        <f aca="false">PROY_INDEXADO!E27</f>
        <v>56048.31106</v>
      </c>
      <c r="J20" s="25" t="n">
        <f aca="false">PROY_INDEXADO!F27</f>
        <v>84270.22613</v>
      </c>
      <c r="K20" s="25" t="n">
        <f aca="false">PROY_INDEXADO!G27</f>
        <v>117407.8231</v>
      </c>
      <c r="L20" s="25" t="n">
        <f aca="false">PROY_INDEXADO!H27</f>
        <v>147610.6356</v>
      </c>
      <c r="M20" s="25" t="n">
        <f aca="false">PROY_INDEXADO!I27</f>
        <v>171404.3607</v>
      </c>
      <c r="N20" s="25" t="n">
        <f aca="false">PROY_INDEXADO!J27</f>
        <v>183690.566</v>
      </c>
      <c r="O20" s="25" t="n">
        <f aca="false">PROY_INDEXADO!K27</f>
        <v>196282.6907</v>
      </c>
    </row>
    <row r="21" customFormat="false" ht="15" hidden="false" customHeight="false" outlineLevel="0" collapsed="false">
      <c r="A21" s="24" t="s">
        <v>132</v>
      </c>
      <c r="B21" s="24" t="s">
        <v>286</v>
      </c>
      <c r="C21" s="24" t="s">
        <v>287</v>
      </c>
      <c r="D21" s="24" t="s">
        <v>288</v>
      </c>
      <c r="E21" s="24" t="s">
        <v>289</v>
      </c>
      <c r="F21" s="25" t="n">
        <f aca="false">PROY_INDEXADO!B28</f>
        <v>329.9966675</v>
      </c>
      <c r="G21" s="25" t="n">
        <f aca="false">PROY_INDEXADO!C28</f>
        <v>1287.414024</v>
      </c>
      <c r="H21" s="25" t="n">
        <f aca="false">PROY_INDEXADO!D28</f>
        <v>2947.169216</v>
      </c>
      <c r="I21" s="25" t="n">
        <f aca="false">PROY_INDEXADO!E28</f>
        <v>5426.043269</v>
      </c>
      <c r="J21" s="25" t="n">
        <f aca="false">PROY_INDEXADO!F28</f>
        <v>7850.875806</v>
      </c>
      <c r="K21" s="25" t="n">
        <f aca="false">PROY_INDEXADO!G28</f>
        <v>10423.94365</v>
      </c>
      <c r="L21" s="25" t="n">
        <f aca="false">PROY_INDEXADO!H28</f>
        <v>12809.89571</v>
      </c>
      <c r="M21" s="25" t="n">
        <f aca="false">PROY_INDEXADO!I28</f>
        <v>14263.06831</v>
      </c>
      <c r="N21" s="25" t="n">
        <f aca="false">PROY_INDEXADO!J28</f>
        <v>15432.86983</v>
      </c>
      <c r="O21" s="25" t="n">
        <f aca="false">PROY_INDEXADO!K28</f>
        <v>16620.76117</v>
      </c>
    </row>
    <row r="22" customFormat="false" ht="15" hidden="false" customHeight="false" outlineLevel="0" collapsed="false">
      <c r="A22" s="24" t="s">
        <v>132</v>
      </c>
      <c r="B22" s="24" t="s">
        <v>290</v>
      </c>
      <c r="C22" s="24" t="s">
        <v>291</v>
      </c>
      <c r="D22" s="24" t="s">
        <v>292</v>
      </c>
      <c r="E22" s="24" t="s">
        <v>289</v>
      </c>
      <c r="F22" s="25" t="n">
        <f aca="false">PROY_INDEXADO!B29</f>
        <v>1950.394097</v>
      </c>
      <c r="G22" s="25" t="n">
        <f aca="false">PROY_INDEXADO!C29</f>
        <v>7852.61852</v>
      </c>
      <c r="H22" s="25" t="n">
        <f aca="false">PROY_INDEXADO!D29</f>
        <v>17775.85701</v>
      </c>
      <c r="I22" s="25" t="n">
        <f aca="false">PROY_INDEXADO!E29</f>
        <v>33605.56835</v>
      </c>
      <c r="J22" s="25" t="n">
        <f aca="false">PROY_INDEXADO!F29</f>
        <v>48407.57189</v>
      </c>
      <c r="K22" s="25" t="n">
        <f aca="false">PROY_INDEXADO!G29</f>
        <v>64323.04276</v>
      </c>
      <c r="L22" s="25" t="n">
        <f aca="false">PROY_INDEXADO!H29</f>
        <v>78721.10039</v>
      </c>
      <c r="M22" s="25" t="n">
        <f aca="false">PROY_INDEXADO!I29</f>
        <v>87237.2124</v>
      </c>
      <c r="N22" s="25" t="n">
        <f aca="false">PROY_INDEXADO!J29</f>
        <v>94103.66761</v>
      </c>
      <c r="O22" s="25" t="n">
        <f aca="false">PROY_INDEXADO!K29</f>
        <v>101095.1762</v>
      </c>
    </row>
    <row r="23" customFormat="false" ht="15" hidden="false" customHeight="false" outlineLevel="0" collapsed="false">
      <c r="A23" s="24" t="s">
        <v>132</v>
      </c>
      <c r="B23" s="24" t="s">
        <v>293</v>
      </c>
      <c r="C23" s="24" t="s">
        <v>294</v>
      </c>
      <c r="D23" s="24" t="s">
        <v>295</v>
      </c>
      <c r="E23" s="24" t="s">
        <v>289</v>
      </c>
      <c r="F23" s="25" t="n">
        <f aca="false">PROY_INDEXADO!B30</f>
        <v>118.3436325</v>
      </c>
      <c r="G23" s="25" t="n">
        <f aca="false">PROY_INDEXADO!C30</f>
        <v>437.7165779</v>
      </c>
      <c r="H23" s="25" t="n">
        <f aca="false">PROY_INDEXADO!D30</f>
        <v>1024.974821</v>
      </c>
      <c r="I23" s="25" t="n">
        <f aca="false">PROY_INDEXADO!E30</f>
        <v>1960.409862</v>
      </c>
      <c r="J23" s="25" t="n">
        <f aca="false">PROY_INDEXADO!F30</f>
        <v>2844.976846</v>
      </c>
      <c r="K23" s="25" t="n">
        <f aca="false">PROY_INDEXADO!G30</f>
        <v>3810.390622</v>
      </c>
      <c r="L23" s="25" t="n">
        <f aca="false">PROY_INDEXADO!H30</f>
        <v>4663.67807</v>
      </c>
      <c r="M23" s="25" t="n">
        <f aca="false">PROY_INDEXADO!I30</f>
        <v>5164.514584</v>
      </c>
      <c r="N23" s="25" t="n">
        <f aca="false">PROY_INDEXADO!J30</f>
        <v>5571.544328</v>
      </c>
      <c r="O23" s="25" t="n">
        <f aca="false">PROY_INDEXADO!K30</f>
        <v>5985.950855</v>
      </c>
    </row>
    <row r="24" customFormat="false" ht="15" hidden="false" customHeight="false" outlineLevel="0" collapsed="false">
      <c r="A24" s="24" t="s">
        <v>132</v>
      </c>
      <c r="B24" s="24" t="s">
        <v>296</v>
      </c>
      <c r="C24" s="24" t="s">
        <v>297</v>
      </c>
      <c r="D24" s="24" t="s">
        <v>298</v>
      </c>
      <c r="E24" s="24" t="s">
        <v>299</v>
      </c>
      <c r="F24" s="25" t="n">
        <f aca="false">PROY_INDEXADO!B40</f>
        <v>17.63775292</v>
      </c>
      <c r="G24" s="25" t="n">
        <f aca="false">PROY_INDEXADO!C40</f>
        <v>85.9878194</v>
      </c>
      <c r="H24" s="25" t="n">
        <f aca="false">PROY_INDEXADO!D40</f>
        <v>186.8695673</v>
      </c>
      <c r="I24" s="25" t="n">
        <f aca="false">PROY_INDEXADO!E40</f>
        <v>336.5836208</v>
      </c>
      <c r="J24" s="25" t="n">
        <f aca="false">PROY_INDEXADO!F40</f>
        <v>484.1325977</v>
      </c>
      <c r="K24" s="25" t="n">
        <f aca="false">PROY_INDEXADO!G40</f>
        <v>643.2203854</v>
      </c>
      <c r="L24" s="25" t="n">
        <f aca="false">PROY_INDEXADO!H40</f>
        <v>792.4317423</v>
      </c>
      <c r="M24" s="25" t="n">
        <f aca="false">PROY_INDEXADO!I40</f>
        <v>889.677707</v>
      </c>
      <c r="N24" s="25" t="n">
        <f aca="false">PROY_INDEXADO!J40</f>
        <v>965.3111095</v>
      </c>
      <c r="O24" s="25" t="n">
        <f aca="false">PROY_INDEXADO!K40</f>
        <v>1041.939702</v>
      </c>
    </row>
    <row r="25" customFormat="false" ht="15" hidden="false" customHeight="false" outlineLevel="0" collapsed="false">
      <c r="A25" s="24" t="s">
        <v>132</v>
      </c>
      <c r="B25" s="24" t="s">
        <v>300</v>
      </c>
      <c r="C25" s="24" t="s">
        <v>301</v>
      </c>
      <c r="D25" s="24" t="s">
        <v>302</v>
      </c>
      <c r="E25" s="24" t="s">
        <v>299</v>
      </c>
      <c r="F25" s="25" t="n">
        <f aca="false">PROY_INDEXADO!B41</f>
        <v>38.80305642</v>
      </c>
      <c r="G25" s="25" t="n">
        <f aca="false">PROY_INDEXADO!C41</f>
        <v>189.1732027</v>
      </c>
      <c r="H25" s="25" t="n">
        <f aca="false">PROY_INDEXADO!D41</f>
        <v>411.113048</v>
      </c>
      <c r="I25" s="25" t="n">
        <f aca="false">PROY_INDEXADO!E41</f>
        <v>740.4839657</v>
      </c>
      <c r="J25" s="25" t="n">
        <f aca="false">PROY_INDEXADO!F41</f>
        <v>1065.091715</v>
      </c>
      <c r="K25" s="25" t="n">
        <f aca="false">PROY_INDEXADO!G41</f>
        <v>1415.084848</v>
      </c>
      <c r="L25" s="25" t="n">
        <f aca="false">PROY_INDEXADO!H41</f>
        <v>1743.349833</v>
      </c>
      <c r="M25" s="25" t="n">
        <f aca="false">PROY_INDEXADO!I41</f>
        <v>1957.290955</v>
      </c>
      <c r="N25" s="25" t="n">
        <f aca="false">PROY_INDEXADO!J41</f>
        <v>2123.684441</v>
      </c>
      <c r="O25" s="25" t="n">
        <f aca="false">PROY_INDEXADO!K41</f>
        <v>2292.267343</v>
      </c>
    </row>
    <row r="26" customFormat="false" ht="15" hidden="false" customHeight="false" outlineLevel="0" collapsed="false">
      <c r="A26" s="24" t="s">
        <v>132</v>
      </c>
      <c r="B26" s="24" t="s">
        <v>303</v>
      </c>
      <c r="C26" s="24" t="s">
        <v>304</v>
      </c>
      <c r="D26" s="24" t="s">
        <v>305</v>
      </c>
      <c r="E26" s="24" t="s">
        <v>299</v>
      </c>
      <c r="F26" s="25" t="n">
        <f aca="false">PROY_INDEXADO!B42</f>
        <v>8.466121401</v>
      </c>
      <c r="G26" s="25" t="n">
        <f aca="false">PROY_INDEXADO!C42</f>
        <v>41.27415331</v>
      </c>
      <c r="H26" s="25" t="n">
        <f aca="false">PROY_INDEXADO!D42</f>
        <v>89.69739229</v>
      </c>
      <c r="I26" s="25" t="n">
        <f aca="false">PROY_INDEXADO!E42</f>
        <v>161.560138</v>
      </c>
      <c r="J26" s="25" t="n">
        <f aca="false">PROY_INDEXADO!F42</f>
        <v>232.3836469</v>
      </c>
      <c r="K26" s="25" t="n">
        <f aca="false">PROY_INDEXADO!G42</f>
        <v>308.745785</v>
      </c>
      <c r="L26" s="25" t="n">
        <f aca="false">PROY_INDEXADO!H42</f>
        <v>380.3672363</v>
      </c>
      <c r="M26" s="25" t="n">
        <f aca="false">PROY_INDEXADO!I42</f>
        <v>427.0452993</v>
      </c>
      <c r="N26" s="25" t="n">
        <f aca="false">PROY_INDEXADO!J42</f>
        <v>463.3493326</v>
      </c>
      <c r="O26" s="25" t="n">
        <f aca="false">PROY_INDEXADO!K42</f>
        <v>500.1310567</v>
      </c>
    </row>
    <row r="27" customFormat="false" ht="15" hidden="false" customHeight="false" outlineLevel="0" collapsed="false">
      <c r="A27" s="24" t="s">
        <v>132</v>
      </c>
      <c r="B27" s="24" t="s">
        <v>306</v>
      </c>
      <c r="C27" s="24" t="s">
        <v>307</v>
      </c>
      <c r="D27" s="24" t="s">
        <v>308</v>
      </c>
      <c r="E27" s="24" t="s">
        <v>299</v>
      </c>
      <c r="F27" s="25" t="n">
        <f aca="false">PROY_INDEXADO!B43</f>
        <v>5.644080934</v>
      </c>
      <c r="G27" s="25" t="n">
        <f aca="false">PROY_INDEXADO!C43</f>
        <v>27.51610221</v>
      </c>
      <c r="H27" s="25" t="n">
        <f aca="false">PROY_INDEXADO!D43</f>
        <v>59.79826153</v>
      </c>
      <c r="I27" s="25" t="n">
        <f aca="false">PROY_INDEXADO!E43</f>
        <v>107.7067586</v>
      </c>
      <c r="J27" s="25" t="n">
        <f aca="false">PROY_INDEXADO!F43</f>
        <v>154.9224313</v>
      </c>
      <c r="K27" s="25" t="n">
        <f aca="false">PROY_INDEXADO!G43</f>
        <v>205.8305233</v>
      </c>
      <c r="L27" s="25" t="n">
        <f aca="false">PROY_INDEXADO!H43</f>
        <v>253.5781575</v>
      </c>
      <c r="M27" s="25" t="n">
        <f aca="false">PROY_INDEXADO!I43</f>
        <v>284.6968662</v>
      </c>
      <c r="N27" s="25" t="n">
        <f aca="false">PROY_INDEXADO!J43</f>
        <v>308.899555</v>
      </c>
      <c r="O27" s="25" t="n">
        <f aca="false">PROY_INDEXADO!K43</f>
        <v>333.4207045</v>
      </c>
    </row>
    <row r="28" customFormat="false" ht="15" hidden="false" customHeight="false" outlineLevel="0" collapsed="false">
      <c r="A28" s="24" t="s">
        <v>132</v>
      </c>
      <c r="B28" s="24" t="s">
        <v>309</v>
      </c>
      <c r="C28" s="24" t="s">
        <v>310</v>
      </c>
      <c r="D28" s="24" t="s">
        <v>311</v>
      </c>
      <c r="E28" s="24" t="s">
        <v>289</v>
      </c>
      <c r="F28" s="25" t="n">
        <f aca="false">PROY_INDEXADO!B31</f>
        <v>159.308736</v>
      </c>
      <c r="G28" s="25" t="n">
        <f aca="false">PROY_INDEXADO!C31</f>
        <v>643.4235418</v>
      </c>
      <c r="H28" s="25" t="n">
        <f aca="false">PROY_INDEXADO!D31</f>
        <v>1474.362741</v>
      </c>
      <c r="I28" s="25" t="n">
        <f aca="false">PROY_INDEXADO!E31</f>
        <v>2766.451205</v>
      </c>
      <c r="J28" s="25" t="n">
        <f aca="false">PROY_INDEXADO!F31</f>
        <v>3991.465221</v>
      </c>
      <c r="K28" s="25" t="n">
        <f aca="false">PROY_INDEXADO!G31</f>
        <v>5335.75578</v>
      </c>
      <c r="L28" s="25" t="n">
        <f aca="false">PROY_INDEXADO!H31</f>
        <v>6538.958887</v>
      </c>
      <c r="M28" s="25" t="n">
        <f aca="false">PROY_INDEXADO!I31</f>
        <v>7269.819681</v>
      </c>
      <c r="N28" s="25" t="n">
        <f aca="false">PROY_INDEXADO!J31</f>
        <v>7855.44139</v>
      </c>
      <c r="O28" s="25" t="n">
        <f aca="false">PROY_INDEXADO!K31</f>
        <v>8450.814081</v>
      </c>
    </row>
    <row r="29" customFormat="false" ht="15" hidden="false" customHeight="false" outlineLevel="0" collapsed="false">
      <c r="A29" s="24" t="s">
        <v>132</v>
      </c>
      <c r="B29" s="24" t="s">
        <v>312</v>
      </c>
      <c r="C29" s="24" t="s">
        <v>313</v>
      </c>
      <c r="D29" s="24" t="s">
        <v>314</v>
      </c>
      <c r="E29" s="24" t="s">
        <v>289</v>
      </c>
      <c r="F29" s="25" t="n">
        <f aca="false">PROY_INDEXADO!B32</f>
        <v>22.75839086</v>
      </c>
      <c r="G29" s="25" t="n">
        <f aca="false">PROY_INDEXADO!C32</f>
        <v>161.315751</v>
      </c>
      <c r="H29" s="25" t="n">
        <f aca="false">PROY_INDEXADO!D32</f>
        <v>316.6072761</v>
      </c>
      <c r="I29" s="25" t="n">
        <f aca="false">PROY_INDEXADO!E32</f>
        <v>527.3946199</v>
      </c>
      <c r="J29" s="25" t="n">
        <f aca="false">PROY_INDEXADO!F32</f>
        <v>743.7889463</v>
      </c>
      <c r="K29" s="25" t="n">
        <f aca="false">PROY_INDEXADO!G32</f>
        <v>962.8743352</v>
      </c>
      <c r="L29" s="25" t="n">
        <f aca="false">PROY_INDEXADO!H32</f>
        <v>1194.942207</v>
      </c>
      <c r="M29" s="25" t="n">
        <f aca="false">PROY_INDEXADO!I32</f>
        <v>1351.617183</v>
      </c>
      <c r="N29" s="25" t="n">
        <f aca="false">PROY_INDEXADO!J32</f>
        <v>1477.54886</v>
      </c>
      <c r="O29" s="25" t="n">
        <f aca="false">PROY_INDEXADO!K32</f>
        <v>1604.441422</v>
      </c>
    </row>
    <row r="30" customFormat="false" ht="15" hidden="false" customHeight="false" outlineLevel="0" collapsed="false">
      <c r="A30" s="24" t="s">
        <v>132</v>
      </c>
      <c r="B30" s="24" t="s">
        <v>315</v>
      </c>
      <c r="C30" s="24" t="s">
        <v>316</v>
      </c>
      <c r="D30" s="24" t="s">
        <v>317</v>
      </c>
      <c r="E30" s="24" t="s">
        <v>299</v>
      </c>
      <c r="F30" s="25" t="n">
        <f aca="false">PROY_INDEXADO!B33</f>
        <v>11.37919543</v>
      </c>
      <c r="G30" s="25" t="n">
        <f aca="false">PROY_INDEXADO!C33</f>
        <v>83.22351964</v>
      </c>
      <c r="H30" s="25" t="n">
        <f aca="false">PROY_INDEXADO!D33</f>
        <v>164.4638337</v>
      </c>
      <c r="I30" s="25" t="n">
        <f aca="false">PROY_INDEXADO!E33</f>
        <v>281.3411453</v>
      </c>
      <c r="J30" s="25" t="n">
        <f aca="false">PROY_INDEXADO!F33</f>
        <v>398.9025091</v>
      </c>
      <c r="K30" s="25" t="n">
        <f aca="false">PROY_INDEXADO!G33</f>
        <v>514.5272844</v>
      </c>
      <c r="L30" s="25" t="n">
        <f aca="false">PROY_INDEXADO!H33</f>
        <v>629.0655051</v>
      </c>
      <c r="M30" s="25" t="n">
        <f aca="false">PROY_INDEXADO!I33</f>
        <v>711.1780237</v>
      </c>
      <c r="N30" s="25" t="n">
        <f aca="false">PROY_INDEXADO!J33</f>
        <v>773.4109798</v>
      </c>
      <c r="O30" s="25" t="n">
        <f aca="false">PROY_INDEXADO!K33</f>
        <v>836.3508051</v>
      </c>
    </row>
    <row r="31" customFormat="false" ht="15" hidden="false" customHeight="false" outlineLevel="0" collapsed="false">
      <c r="A31" s="24" t="s">
        <v>132</v>
      </c>
      <c r="B31" s="24" t="s">
        <v>318</v>
      </c>
      <c r="C31" s="24" t="s">
        <v>319</v>
      </c>
      <c r="D31" s="24" t="s">
        <v>320</v>
      </c>
      <c r="E31" s="24" t="s">
        <v>289</v>
      </c>
      <c r="F31" s="25" t="n">
        <f aca="false">PROY_INDEXADO!B34</f>
        <v>6.827517259</v>
      </c>
      <c r="G31" s="25" t="n">
        <f aca="false">PROY_INDEXADO!C34</f>
        <v>47.07311209</v>
      </c>
      <c r="H31" s="25" t="n">
        <f aca="false">PROY_INDEXADO!D34</f>
        <v>88.88967623</v>
      </c>
      <c r="I31" s="25" t="n">
        <f aca="false">PROY_INDEXADO!E34</f>
        <v>159.5024913</v>
      </c>
      <c r="J31" s="25" t="n">
        <f aca="false">PROY_INDEXADO!F34</f>
        <v>219.7962019</v>
      </c>
      <c r="K31" s="25" t="n">
        <f aca="false">PROY_INDEXADO!G34</f>
        <v>291.8698531</v>
      </c>
      <c r="L31" s="25" t="n">
        <f aca="false">PROY_INDEXADO!H34</f>
        <v>368.8441692</v>
      </c>
      <c r="M31" s="25" t="n">
        <f aca="false">PROY_INDEXADO!I34</f>
        <v>408.4089531</v>
      </c>
      <c r="N31" s="25" t="n">
        <f aca="false">PROY_INDEXADO!J34</f>
        <v>445.7819443</v>
      </c>
      <c r="O31" s="25" t="n">
        <f aca="false">PROY_INDEXADO!K34</f>
        <v>483.4792034</v>
      </c>
    </row>
    <row r="32" customFormat="false" ht="15" hidden="false" customHeight="false" outlineLevel="0" collapsed="false">
      <c r="A32" s="24" t="s">
        <v>132</v>
      </c>
      <c r="B32" s="24" t="s">
        <v>321</v>
      </c>
      <c r="C32" s="24" t="s">
        <v>322</v>
      </c>
      <c r="D32" s="24" t="s">
        <v>323</v>
      </c>
      <c r="E32" s="24" t="s">
        <v>289</v>
      </c>
      <c r="F32" s="25" t="n">
        <f aca="false">PROY_INDEXADO!B35</f>
        <v>81.93020711</v>
      </c>
      <c r="G32" s="25" t="n">
        <f aca="false">PROY_INDEXADO!C35</f>
        <v>335.3988553</v>
      </c>
      <c r="H32" s="25" t="n">
        <f aca="false">PROY_INDEXADO!D35</f>
        <v>746.5983521</v>
      </c>
      <c r="I32" s="25" t="n">
        <f aca="false">PROY_INDEXADO!E35</f>
        <v>1358.899837</v>
      </c>
      <c r="J32" s="25" t="n">
        <f aca="false">PROY_INDEXADO!F35</f>
        <v>1961.125522</v>
      </c>
      <c r="K32" s="25" t="n">
        <f aca="false">PROY_INDEXADO!G35</f>
        <v>2598.541412</v>
      </c>
      <c r="L32" s="25" t="n">
        <f aca="false">PROY_INDEXADO!H35</f>
        <v>3197.263477</v>
      </c>
      <c r="M32" s="25" t="n">
        <f aca="false">PROY_INDEXADO!I35</f>
        <v>3578.539452</v>
      </c>
      <c r="N32" s="25" t="n">
        <f aca="false">PROY_INDEXADO!J35</f>
        <v>3870.747997</v>
      </c>
      <c r="O32" s="25" t="n">
        <f aca="false">PROY_INDEXADO!K35</f>
        <v>4167.559622</v>
      </c>
    </row>
    <row r="33" customFormat="false" ht="15" hidden="false" customHeight="false" outlineLevel="0" collapsed="false">
      <c r="A33" s="24" t="s">
        <v>132</v>
      </c>
      <c r="B33" s="24" t="s">
        <v>324</v>
      </c>
      <c r="C33" s="24" t="s">
        <v>325</v>
      </c>
      <c r="D33" s="24" t="s">
        <v>326</v>
      </c>
      <c r="E33" s="24" t="s">
        <v>289</v>
      </c>
      <c r="F33" s="25" t="n">
        <f aca="false">PROY_INDEXADO!B36</f>
        <v>450.6161391</v>
      </c>
      <c r="G33" s="25" t="n">
        <f aca="false">PROY_INDEXADO!C36</f>
        <v>1697.18149</v>
      </c>
      <c r="H33" s="25" t="n">
        <f aca="false">PROY_INDEXADO!D36</f>
        <v>3955.196858</v>
      </c>
      <c r="I33" s="25" t="n">
        <f aca="false">PROY_INDEXADO!E36</f>
        <v>7561.26033</v>
      </c>
      <c r="J33" s="25" t="n">
        <f aca="false">PROY_INDEXADO!F36</f>
        <v>10920.14481</v>
      </c>
      <c r="K33" s="25" t="n">
        <f aca="false">PROY_INDEXADO!G36</f>
        <v>14514.88522</v>
      </c>
      <c r="L33" s="25" t="n">
        <f aca="false">PROY_INDEXADO!H36</f>
        <v>17746.49927</v>
      </c>
      <c r="M33" s="25" t="n">
        <f aca="false">PROY_INDEXADO!I36</f>
        <v>19617.20546</v>
      </c>
      <c r="N33" s="25" t="n">
        <f aca="false">PROY_INDEXADO!J36</f>
        <v>21161.80625</v>
      </c>
      <c r="O33" s="25" t="n">
        <f aca="false">PROY_INDEXADO!K36</f>
        <v>22734.50171</v>
      </c>
    </row>
    <row r="34" customFormat="false" ht="15" hidden="false" customHeight="false" outlineLevel="0" collapsed="false">
      <c r="A34" s="24" t="s">
        <v>132</v>
      </c>
      <c r="B34" s="24" t="s">
        <v>327</v>
      </c>
      <c r="C34" s="24" t="s">
        <v>328</v>
      </c>
      <c r="D34" s="24" t="s">
        <v>329</v>
      </c>
      <c r="E34" s="24" t="s">
        <v>289</v>
      </c>
      <c r="F34" s="25" t="n">
        <f aca="false">PROY_INDEXADO!B37</f>
        <v>125.1711497</v>
      </c>
      <c r="G34" s="25" t="n">
        <f aca="false">PROY_INDEXADO!C37</f>
        <v>643.6303708</v>
      </c>
      <c r="H34" s="25" t="n">
        <f aca="false">PROY_INDEXADO!D37</f>
        <v>1375.626719</v>
      </c>
      <c r="I34" s="25" t="n">
        <f aca="false">PROY_INDEXADO!E37</f>
        <v>2460.284265</v>
      </c>
      <c r="J34" s="25" t="n">
        <f aca="false">PROY_INDEXADO!F37</f>
        <v>3545.257683</v>
      </c>
      <c r="K34" s="25" t="n">
        <f aca="false">PROY_INDEXADO!G37</f>
        <v>4723.461784</v>
      </c>
      <c r="L34" s="25" t="n">
        <f aca="false">PROY_INDEXADO!H37</f>
        <v>5853.905178</v>
      </c>
      <c r="M34" s="25" t="n">
        <f aca="false">PROY_INDEXADO!I37</f>
        <v>6608.459909</v>
      </c>
      <c r="N34" s="25" t="n">
        <f aca="false">PROY_INDEXADO!J37</f>
        <v>7185.708397</v>
      </c>
      <c r="O34" s="25" t="n">
        <f aca="false">PROY_INDEXADO!K37</f>
        <v>7769.577127</v>
      </c>
    </row>
    <row r="35" customFormat="false" ht="15" hidden="false" customHeight="false" outlineLevel="0" collapsed="false">
      <c r="A35" s="24" t="s">
        <v>132</v>
      </c>
      <c r="B35" s="24" t="s">
        <v>330</v>
      </c>
      <c r="C35" s="24" t="s">
        <v>331</v>
      </c>
      <c r="D35" s="24" t="s">
        <v>332</v>
      </c>
      <c r="E35" s="24" t="s">
        <v>289</v>
      </c>
      <c r="F35" s="25" t="n">
        <f aca="false">PROY_INDEXADO!B38</f>
        <v>18.20671269</v>
      </c>
      <c r="G35" s="25" t="n">
        <f aca="false">PROY_INDEXADO!C38</f>
        <v>112.0751219</v>
      </c>
      <c r="H35" s="25" t="n">
        <f aca="false">PROY_INDEXADO!D38</f>
        <v>230.8540412</v>
      </c>
      <c r="I35" s="25" t="n">
        <f aca="false">PROY_INDEXADO!E38</f>
        <v>400.7153345</v>
      </c>
      <c r="J35" s="25" t="n">
        <f aca="false">PROY_INDEXADO!F38</f>
        <v>574.5077895</v>
      </c>
      <c r="K35" s="25" t="n">
        <f aca="false">PROY_INDEXADO!G38</f>
        <v>754.3456228</v>
      </c>
      <c r="L35" s="25" t="n">
        <f aca="false">PROY_INDEXADO!H38</f>
        <v>944.8488404</v>
      </c>
      <c r="M35" s="25" t="n">
        <f aca="false">PROY_INDEXADO!I38</f>
        <v>1072.234671</v>
      </c>
      <c r="N35" s="25" t="n">
        <f aca="false">PROY_INDEXADO!J38</f>
        <v>1171.695753</v>
      </c>
      <c r="O35" s="25" t="n">
        <f aca="false">PROY_INDEXADO!K38</f>
        <v>1271.941099</v>
      </c>
    </row>
    <row r="36" customFormat="false" ht="15" hidden="false" customHeight="false" outlineLevel="0" collapsed="false">
      <c r="A36" s="24" t="s">
        <v>132</v>
      </c>
      <c r="B36" s="24" t="s">
        <v>333</v>
      </c>
      <c r="C36" s="24" t="s">
        <v>334</v>
      </c>
      <c r="D36" s="24" t="s">
        <v>335</v>
      </c>
      <c r="E36" s="24" t="s">
        <v>289</v>
      </c>
      <c r="F36" s="25" t="n">
        <f aca="false">PROY_INDEXADO!B39</f>
        <v>6.827517259</v>
      </c>
      <c r="G36" s="25" t="n">
        <f aca="false">PROY_INDEXADO!C39</f>
        <v>47.07311209</v>
      </c>
      <c r="H36" s="25" t="n">
        <f aca="false">PROY_INDEXADO!D39</f>
        <v>88.88967623</v>
      </c>
      <c r="I36" s="25" t="n">
        <f aca="false">PROY_INDEXADO!E39</f>
        <v>148.2791824</v>
      </c>
      <c r="J36" s="25" t="n">
        <f aca="false">PROY_INDEXADO!F39</f>
        <v>205.2260532</v>
      </c>
      <c r="K36" s="25" t="n">
        <f aca="false">PROY_INDEXADO!G39</f>
        <v>255.765145</v>
      </c>
      <c r="L36" s="25" t="n">
        <f aca="false">PROY_INDEXADO!H39</f>
        <v>328.4179018</v>
      </c>
      <c r="M36" s="25" t="n">
        <f aca="false">PROY_INDEXADO!I39</f>
        <v>366.9080713</v>
      </c>
      <c r="N36" s="25" t="n">
        <f aca="false">PROY_INDEXADO!J39</f>
        <v>401.6817071</v>
      </c>
      <c r="O36" s="25" t="n">
        <f aca="false">PROY_INDEXADO!K39</f>
        <v>436.6867823</v>
      </c>
    </row>
    <row r="37" customFormat="false" ht="15" hidden="false" customHeight="false" outlineLevel="0" collapsed="false">
      <c r="A37" s="24" t="s">
        <v>132</v>
      </c>
      <c r="B37" s="24" t="s">
        <v>336</v>
      </c>
      <c r="C37" s="24" t="s">
        <v>337</v>
      </c>
      <c r="D37" s="24" t="s">
        <v>338</v>
      </c>
      <c r="E37" s="24" t="s">
        <v>289</v>
      </c>
      <c r="F37" s="25" t="n">
        <f aca="false">PROY_RESERVAS!B54</f>
        <v>63</v>
      </c>
      <c r="G37" s="25" t="n">
        <f aca="false">PROY_RESERVAS!C54</f>
        <v>282</v>
      </c>
      <c r="H37" s="25" t="n">
        <f aca="false">PROY_RESERVAS!D54</f>
        <v>553</v>
      </c>
      <c r="I37" s="25" t="n">
        <f aca="false">PROY_RESERVAS!E54</f>
        <v>1025</v>
      </c>
      <c r="J37" s="25" t="n">
        <f aca="false">PROY_RESERVAS!F54</f>
        <v>1515</v>
      </c>
      <c r="K37" s="25" t="n">
        <f aca="false">PROY_RESERVAS!G54</f>
        <v>2072</v>
      </c>
      <c r="L37" s="25" t="n">
        <f aca="false">PROY_RESERVAS!H54</f>
        <v>2579</v>
      </c>
      <c r="M37" s="25" t="n">
        <f aca="false">PROY_RESERVAS!I54</f>
        <v>2944</v>
      </c>
      <c r="N37" s="25" t="n">
        <f aca="false">PROY_RESERVAS!J54</f>
        <v>3164</v>
      </c>
      <c r="O37" s="25" t="n">
        <f aca="false">PROY_RESERVAS!K54</f>
        <v>3388</v>
      </c>
    </row>
    <row r="38" customFormat="false" ht="15" hidden="false" customHeight="false" outlineLevel="0" collapsed="false">
      <c r="A38" s="24" t="s">
        <v>132</v>
      </c>
      <c r="B38" s="24" t="s">
        <v>339</v>
      </c>
      <c r="C38" s="24" t="s">
        <v>340</v>
      </c>
      <c r="D38" s="24" t="s">
        <v>341</v>
      </c>
      <c r="E38" s="24" t="s">
        <v>289</v>
      </c>
      <c r="F38" s="25" t="n">
        <f aca="false">PROY_RESERVAS!B55</f>
        <v>2</v>
      </c>
      <c r="G38" s="25" t="n">
        <f aca="false">PROY_RESERVAS!C55</f>
        <v>5</v>
      </c>
      <c r="H38" s="25" t="n">
        <f aca="false">PROY_RESERVAS!D55</f>
        <v>12</v>
      </c>
      <c r="I38" s="25" t="n">
        <f aca="false">PROY_RESERVAS!E55</f>
        <v>22</v>
      </c>
      <c r="J38" s="25" t="n">
        <f aca="false">PROY_RESERVAS!F55</f>
        <v>31</v>
      </c>
      <c r="K38" s="25" t="n">
        <f aca="false">PROY_RESERVAS!G55</f>
        <v>42</v>
      </c>
      <c r="L38" s="25" t="n">
        <f aca="false">PROY_RESERVAS!H55</f>
        <v>51</v>
      </c>
      <c r="M38" s="25" t="n">
        <f aca="false">PROY_RESERVAS!I55</f>
        <v>56</v>
      </c>
      <c r="N38" s="25" t="n">
        <f aca="false">PROY_RESERVAS!J55</f>
        <v>61</v>
      </c>
      <c r="O38" s="25" t="n">
        <f aca="false">PROY_RESERVAS!K55</f>
        <v>65</v>
      </c>
    </row>
    <row r="39" customFormat="false" ht="15" hidden="false" customHeight="false" outlineLevel="0" collapsed="false">
      <c r="A39" s="24" t="s">
        <v>132</v>
      </c>
      <c r="B39" s="24" t="s">
        <v>342</v>
      </c>
      <c r="C39" s="24" t="s">
        <v>343</v>
      </c>
      <c r="D39" s="24" t="s">
        <v>344</v>
      </c>
      <c r="E39" s="24" t="s">
        <v>289</v>
      </c>
      <c r="F39" s="25" t="n">
        <f aca="false">PROY_RESERVAS!B56</f>
        <v>2</v>
      </c>
      <c r="G39" s="25" t="n">
        <f aca="false">PROY_RESERVAS!C56</f>
        <v>7</v>
      </c>
      <c r="H39" s="25" t="n">
        <f aca="false">PROY_RESERVAS!D56</f>
        <v>16</v>
      </c>
      <c r="I39" s="25" t="n">
        <f aca="false">PROY_RESERVAS!E56</f>
        <v>30</v>
      </c>
      <c r="J39" s="25" t="n">
        <f aca="false">PROY_RESERVAS!F56</f>
        <v>44</v>
      </c>
      <c r="K39" s="25" t="n">
        <f aca="false">PROY_RESERVAS!G56</f>
        <v>58</v>
      </c>
      <c r="L39" s="25" t="n">
        <f aca="false">PROY_RESERVAS!H56</f>
        <v>71</v>
      </c>
      <c r="M39" s="25" t="n">
        <f aca="false">PROY_RESERVAS!I56</f>
        <v>79</v>
      </c>
      <c r="N39" s="25" t="n">
        <f aca="false">PROY_RESERVAS!J56</f>
        <v>85</v>
      </c>
      <c r="O39" s="25" t="n">
        <f aca="false">PROY_RESERVAS!K56</f>
        <v>92</v>
      </c>
    </row>
    <row r="40" customFormat="false" ht="15" hidden="false" customHeight="false" outlineLevel="0" collapsed="false">
      <c r="A40" s="24" t="s">
        <v>132</v>
      </c>
      <c r="B40" s="24" t="s">
        <v>345</v>
      </c>
      <c r="C40" s="24" t="s">
        <v>346</v>
      </c>
      <c r="D40" s="24" t="s">
        <v>347</v>
      </c>
      <c r="E40" s="24" t="s">
        <v>289</v>
      </c>
      <c r="F40" s="25" t="n">
        <f aca="false">PROY_RESERVAS!B57</f>
        <v>1</v>
      </c>
      <c r="G40" s="25" t="n">
        <f aca="false">PROY_RESERVAS!C57</f>
        <v>2</v>
      </c>
      <c r="H40" s="25" t="n">
        <f aca="false">PROY_RESERVAS!D57</f>
        <v>4</v>
      </c>
      <c r="I40" s="25" t="n">
        <f aca="false">PROY_RESERVAS!E57</f>
        <v>6</v>
      </c>
      <c r="J40" s="25" t="n">
        <f aca="false">PROY_RESERVAS!F57</f>
        <v>9</v>
      </c>
      <c r="K40" s="25" t="n">
        <f aca="false">PROY_RESERVAS!G57</f>
        <v>11</v>
      </c>
      <c r="L40" s="25" t="n">
        <f aca="false">PROY_RESERVAS!H57</f>
        <v>13</v>
      </c>
      <c r="M40" s="25" t="n">
        <f aca="false">PROY_RESERVAS!I57</f>
        <v>15</v>
      </c>
      <c r="N40" s="25" t="n">
        <f aca="false">PROY_RESERVAS!J57</f>
        <v>16</v>
      </c>
      <c r="O40" s="25" t="n">
        <f aca="false">PROY_RESERVAS!K57</f>
        <v>18</v>
      </c>
    </row>
    <row r="41" customFormat="false" ht="15" hidden="false" customHeight="false" outlineLevel="0" collapsed="false">
      <c r="A41" s="24" t="s">
        <v>132</v>
      </c>
      <c r="B41" s="24" t="s">
        <v>348</v>
      </c>
      <c r="C41" s="24" t="s">
        <v>349</v>
      </c>
      <c r="D41" s="24" t="s">
        <v>350</v>
      </c>
      <c r="E41" s="24" t="s">
        <v>299</v>
      </c>
      <c r="F41" s="25" t="n">
        <f aca="false">PROY_RESERVAS!B58</f>
        <v>1</v>
      </c>
      <c r="G41" s="25" t="n">
        <f aca="false">PROY_RESERVAS!C58</f>
        <v>1</v>
      </c>
      <c r="H41" s="25" t="n">
        <f aca="false">PROY_RESERVAS!D58</f>
        <v>2</v>
      </c>
      <c r="I41" s="25" t="n">
        <f aca="false">PROY_RESERVAS!E58</f>
        <v>4</v>
      </c>
      <c r="J41" s="25" t="n">
        <f aca="false">PROY_RESERVAS!F58</f>
        <v>5</v>
      </c>
      <c r="K41" s="25" t="n">
        <f aca="false">PROY_RESERVAS!G58</f>
        <v>6</v>
      </c>
      <c r="L41" s="25" t="n">
        <f aca="false">PROY_RESERVAS!H58</f>
        <v>7</v>
      </c>
      <c r="M41" s="25" t="n">
        <f aca="false">PROY_RESERVAS!I58</f>
        <v>8</v>
      </c>
      <c r="N41" s="25" t="n">
        <f aca="false">PROY_RESERVAS!J58</f>
        <v>9</v>
      </c>
      <c r="O41" s="25" t="n">
        <f aca="false">PROY_RESERVAS!K58</f>
        <v>10</v>
      </c>
    </row>
    <row r="42" customFormat="false" ht="15" hidden="false" customHeight="false" outlineLevel="0" collapsed="false">
      <c r="A42" s="24" t="s">
        <v>132</v>
      </c>
      <c r="B42" s="24" t="s">
        <v>351</v>
      </c>
      <c r="C42" s="24" t="s">
        <v>352</v>
      </c>
      <c r="D42" s="24" t="s">
        <v>353</v>
      </c>
      <c r="E42" s="24" t="s">
        <v>289</v>
      </c>
      <c r="F42" s="25" t="n">
        <f aca="false">PROY_RESERVAS!B59</f>
        <v>1</v>
      </c>
      <c r="G42" s="25" t="n">
        <f aca="false">PROY_RESERVAS!C59</f>
        <v>1</v>
      </c>
      <c r="H42" s="25" t="n">
        <f aca="false">PROY_RESERVAS!D59</f>
        <v>1</v>
      </c>
      <c r="I42" s="25" t="n">
        <f aca="false">PROY_RESERVAS!E59</f>
        <v>2</v>
      </c>
      <c r="J42" s="25" t="n">
        <f aca="false">PROY_RESERVAS!F59</f>
        <v>3</v>
      </c>
      <c r="K42" s="25" t="n">
        <f aca="false">PROY_RESERVAS!G59</f>
        <v>4</v>
      </c>
      <c r="L42" s="25" t="n">
        <f aca="false">PROY_RESERVAS!H59</f>
        <v>4</v>
      </c>
      <c r="M42" s="25" t="n">
        <f aca="false">PROY_RESERVAS!I59</f>
        <v>5</v>
      </c>
      <c r="N42" s="25" t="n">
        <f aca="false">PROY_RESERVAS!J59</f>
        <v>5</v>
      </c>
      <c r="O42" s="25" t="n">
        <f aca="false">PROY_RESERVAS!K59</f>
        <v>6</v>
      </c>
    </row>
    <row r="43" customFormat="false" ht="15" hidden="false" customHeight="false" outlineLevel="0" collapsed="false">
      <c r="A43" s="24" t="s">
        <v>132</v>
      </c>
      <c r="B43" s="24" t="s">
        <v>354</v>
      </c>
      <c r="C43" s="24" t="s">
        <v>355</v>
      </c>
      <c r="D43" s="24" t="s">
        <v>356</v>
      </c>
      <c r="E43" s="24" t="s">
        <v>289</v>
      </c>
      <c r="F43" s="25" t="n">
        <f aca="false">PROY_RESERVAS!B60</f>
        <v>1</v>
      </c>
      <c r="G43" s="25" t="n">
        <f aca="false">PROY_RESERVAS!C60</f>
        <v>4</v>
      </c>
      <c r="H43" s="25" t="n">
        <f aca="false">PROY_RESERVAS!D60</f>
        <v>9</v>
      </c>
      <c r="I43" s="25" t="n">
        <f aca="false">PROY_RESERVAS!E60</f>
        <v>15</v>
      </c>
      <c r="J43" s="25" t="n">
        <f aca="false">PROY_RESERVAS!F60</f>
        <v>22</v>
      </c>
      <c r="K43" s="25" t="n">
        <f aca="false">PROY_RESERVAS!G60</f>
        <v>29</v>
      </c>
      <c r="L43" s="25" t="n">
        <f aca="false">PROY_RESERVAS!H60</f>
        <v>35</v>
      </c>
      <c r="M43" s="25" t="n">
        <f aca="false">PROY_RESERVAS!I60</f>
        <v>39</v>
      </c>
      <c r="N43" s="25" t="n">
        <f aca="false">PROY_RESERVAS!J60</f>
        <v>42</v>
      </c>
      <c r="O43" s="25" t="n">
        <f aca="false">PROY_RESERVAS!K60</f>
        <v>45</v>
      </c>
    </row>
    <row r="44" customFormat="false" ht="15" hidden="false" customHeight="false" outlineLevel="0" collapsed="false">
      <c r="A44" s="24" t="s">
        <v>132</v>
      </c>
      <c r="B44" s="24" t="s">
        <v>357</v>
      </c>
      <c r="C44" s="24" t="s">
        <v>358</v>
      </c>
      <c r="D44" s="24" t="s">
        <v>359</v>
      </c>
      <c r="E44" s="24" t="s">
        <v>289</v>
      </c>
      <c r="F44" s="25" t="n">
        <f aca="false">PROY_RESERVAS!B61</f>
        <v>7</v>
      </c>
      <c r="G44" s="25" t="n">
        <f aca="false">PROY_RESERVAS!C61</f>
        <v>26</v>
      </c>
      <c r="H44" s="25" t="n">
        <f aca="false">PROY_RESERVAS!D61</f>
        <v>58</v>
      </c>
      <c r="I44" s="25" t="n">
        <f aca="false">PROY_RESERVAS!E61</f>
        <v>109</v>
      </c>
      <c r="J44" s="25" t="n">
        <f aca="false">PROY_RESERVAS!F61</f>
        <v>156</v>
      </c>
      <c r="K44" s="25" t="n">
        <f aca="false">PROY_RESERVAS!G61</f>
        <v>208</v>
      </c>
      <c r="L44" s="25" t="n">
        <f aca="false">PROY_RESERVAS!H61</f>
        <v>255</v>
      </c>
      <c r="M44" s="25" t="n">
        <f aca="false">PROY_RESERVAS!I61</f>
        <v>283</v>
      </c>
      <c r="N44" s="25" t="n">
        <f aca="false">PROY_RESERVAS!J61</f>
        <v>306</v>
      </c>
      <c r="O44" s="25" t="n">
        <f aca="false">PROY_RESERVAS!K61</f>
        <v>330</v>
      </c>
    </row>
    <row r="45" customFormat="false" ht="15" hidden="false" customHeight="false" outlineLevel="0" collapsed="false">
      <c r="A45" s="24" t="s">
        <v>132</v>
      </c>
      <c r="B45" s="24" t="s">
        <v>360</v>
      </c>
      <c r="C45" s="24" t="s">
        <v>361</v>
      </c>
      <c r="D45" s="24" t="s">
        <v>362</v>
      </c>
      <c r="E45" s="24" t="s">
        <v>289</v>
      </c>
      <c r="F45" s="25" t="n">
        <f aca="false">PROY_RESERVAS!B62</f>
        <v>1</v>
      </c>
      <c r="G45" s="25" t="n">
        <f aca="false">PROY_RESERVAS!C62</f>
        <v>2</v>
      </c>
      <c r="H45" s="25" t="n">
        <f aca="false">PROY_RESERVAS!D62</f>
        <v>3</v>
      </c>
      <c r="I45" s="25" t="n">
        <f aca="false">PROY_RESERVAS!E62</f>
        <v>5</v>
      </c>
      <c r="J45" s="25" t="n">
        <f aca="false">PROY_RESERVAS!F62</f>
        <v>7</v>
      </c>
      <c r="K45" s="25" t="n">
        <f aca="false">PROY_RESERVAS!G62</f>
        <v>9</v>
      </c>
      <c r="L45" s="25" t="n">
        <f aca="false">PROY_RESERVAS!H62</f>
        <v>11</v>
      </c>
      <c r="M45" s="25" t="n">
        <f aca="false">PROY_RESERVAS!I62</f>
        <v>12</v>
      </c>
      <c r="N45" s="25" t="n">
        <f aca="false">PROY_RESERVAS!J62</f>
        <v>13</v>
      </c>
      <c r="O45" s="25" t="n">
        <f aca="false">PROY_RESERVAS!K62</f>
        <v>14</v>
      </c>
    </row>
    <row r="46" customFormat="false" ht="15" hidden="false" customHeight="false" outlineLevel="0" collapsed="false">
      <c r="A46" s="24" t="s">
        <v>132</v>
      </c>
      <c r="B46" s="24" t="s">
        <v>363</v>
      </c>
      <c r="C46" s="24" t="s">
        <v>364</v>
      </c>
      <c r="D46" s="24" t="s">
        <v>365</v>
      </c>
      <c r="E46" s="24" t="s">
        <v>289</v>
      </c>
      <c r="F46" s="25" t="n">
        <f aca="false">PROY_RESERVAS!B63</f>
        <v>1</v>
      </c>
      <c r="G46" s="25" t="n">
        <f aca="false">PROY_RESERVAS!C63</f>
        <v>1</v>
      </c>
      <c r="H46" s="25" t="n">
        <f aca="false">PROY_RESERVAS!D63</f>
        <v>1</v>
      </c>
      <c r="I46" s="25" t="n">
        <f aca="false">PROY_RESERVAS!E63</f>
        <v>2</v>
      </c>
      <c r="J46" s="25" t="n">
        <f aca="false">PROY_RESERVAS!F63</f>
        <v>3</v>
      </c>
      <c r="K46" s="25" t="n">
        <f aca="false">PROY_RESERVAS!G63</f>
        <v>3</v>
      </c>
      <c r="L46" s="25" t="n">
        <f aca="false">PROY_RESERVAS!H63</f>
        <v>4</v>
      </c>
      <c r="M46" s="25" t="n">
        <f aca="false">PROY_RESERVAS!I63</f>
        <v>4</v>
      </c>
      <c r="N46" s="25" t="n">
        <f aca="false">PROY_RESERVAS!J63</f>
        <v>5</v>
      </c>
      <c r="O46" s="25" t="n">
        <f aca="false">PROY_RESERVAS!K63</f>
        <v>5</v>
      </c>
    </row>
    <row r="47" customFormat="false" ht="15" hidden="false" customHeight="false" outlineLevel="0" collapsed="false">
      <c r="A47" s="24" t="s">
        <v>132</v>
      </c>
      <c r="B47" s="24" t="s">
        <v>366</v>
      </c>
      <c r="C47" s="24" t="s">
        <v>367</v>
      </c>
      <c r="D47" s="24" t="s">
        <v>368</v>
      </c>
      <c r="E47" s="24" t="s">
        <v>299</v>
      </c>
      <c r="F47" s="25" t="n">
        <f aca="false">PROY_RESERVAS!B64</f>
        <v>1</v>
      </c>
      <c r="G47" s="25" t="n">
        <f aca="false">PROY_RESERVAS!C64</f>
        <v>3</v>
      </c>
      <c r="H47" s="25" t="n">
        <f aca="false">PROY_RESERVAS!D64</f>
        <v>7</v>
      </c>
      <c r="I47" s="25" t="n">
        <f aca="false">PROY_RESERVAS!E64</f>
        <v>12</v>
      </c>
      <c r="J47" s="25" t="n">
        <f aca="false">PROY_RESERVAS!F64</f>
        <v>17</v>
      </c>
      <c r="K47" s="25" t="n">
        <f aca="false">PROY_RESERVAS!G64</f>
        <v>23</v>
      </c>
      <c r="L47" s="25" t="n">
        <f aca="false">PROY_RESERVAS!H64</f>
        <v>28</v>
      </c>
      <c r="M47" s="25" t="n">
        <f aca="false">PROY_RESERVAS!I64</f>
        <v>31</v>
      </c>
      <c r="N47" s="25" t="n">
        <f aca="false">PROY_RESERVAS!J64</f>
        <v>34</v>
      </c>
      <c r="O47" s="25" t="n">
        <f aca="false">PROY_RESERVAS!K64</f>
        <v>36</v>
      </c>
    </row>
    <row r="48" customFormat="false" ht="15" hidden="false" customHeight="false" outlineLevel="0" collapsed="false">
      <c r="A48" s="24" t="s">
        <v>132</v>
      </c>
      <c r="B48" s="24" t="s">
        <v>369</v>
      </c>
      <c r="C48" s="24" t="s">
        <v>370</v>
      </c>
      <c r="D48" s="24" t="s">
        <v>371</v>
      </c>
      <c r="E48" s="24" t="s">
        <v>299</v>
      </c>
      <c r="F48" s="25" t="n">
        <f aca="false">PROY_RESERVAS!B65</f>
        <v>1</v>
      </c>
      <c r="G48" s="25" t="n">
        <f aca="false">PROY_RESERVAS!C65</f>
        <v>1</v>
      </c>
      <c r="H48" s="25" t="n">
        <f aca="false">PROY_RESERVAS!D65</f>
        <v>2</v>
      </c>
      <c r="I48" s="25" t="n">
        <f aca="false">PROY_RESERVAS!E65</f>
        <v>3</v>
      </c>
      <c r="J48" s="25" t="n">
        <f aca="false">PROY_RESERVAS!F65</f>
        <v>5</v>
      </c>
      <c r="K48" s="25" t="n">
        <f aca="false">PROY_RESERVAS!G65</f>
        <v>6</v>
      </c>
      <c r="L48" s="25" t="n">
        <f aca="false">PROY_RESERVAS!H65</f>
        <v>7</v>
      </c>
      <c r="M48" s="25" t="n">
        <f aca="false">PROY_RESERVAS!I65</f>
        <v>8</v>
      </c>
      <c r="N48" s="25" t="n">
        <f aca="false">PROY_RESERVAS!J65</f>
        <v>9</v>
      </c>
      <c r="O48" s="25" t="n">
        <f aca="false">PROY_RESERVAS!K65</f>
        <v>9</v>
      </c>
    </row>
    <row r="49" customFormat="false" ht="15" hidden="false" customHeight="false" outlineLevel="0" collapsed="false">
      <c r="A49" s="24" t="s">
        <v>132</v>
      </c>
      <c r="B49" s="24" t="s">
        <v>372</v>
      </c>
      <c r="C49" s="24" t="s">
        <v>373</v>
      </c>
      <c r="D49" s="24" t="s">
        <v>374</v>
      </c>
      <c r="E49" s="24" t="s">
        <v>289</v>
      </c>
      <c r="F49" s="25" t="n">
        <f aca="false">PROY_RESERVAS!B69</f>
        <v>63</v>
      </c>
      <c r="G49" s="25" t="n">
        <f aca="false">PROY_RESERVAS!C69</f>
        <v>222.15</v>
      </c>
      <c r="H49" s="25" t="n">
        <f aca="false">PROY_RESERVAS!D69</f>
        <v>285.1</v>
      </c>
      <c r="I49" s="25" t="n">
        <f aca="false">PROY_RESERVAS!E69</f>
        <v>499.65</v>
      </c>
      <c r="J49" s="25" t="n">
        <f aca="false">PROY_RESERVAS!F69</f>
        <v>541.25</v>
      </c>
      <c r="K49" s="25" t="n">
        <f aca="false">PROY_RESERVAS!G69</f>
        <v>632.75</v>
      </c>
      <c r="L49" s="25" t="n">
        <f aca="false">PROY_RESERVAS!H69</f>
        <v>610.6</v>
      </c>
      <c r="M49" s="25" t="n">
        <f aca="false">PROY_RESERVAS!I69</f>
        <v>493.95</v>
      </c>
      <c r="N49" s="25" t="n">
        <f aca="false">PROY_RESERVAS!J69</f>
        <v>367.2</v>
      </c>
      <c r="O49" s="25" t="n">
        <f aca="false">PROY_RESERVAS!K69</f>
        <v>382.2</v>
      </c>
    </row>
    <row r="50" customFormat="false" ht="15" hidden="false" customHeight="false" outlineLevel="0" collapsed="false">
      <c r="A50" s="24" t="s">
        <v>132</v>
      </c>
      <c r="B50" s="24" t="s">
        <v>375</v>
      </c>
      <c r="C50" s="24" t="s">
        <v>376</v>
      </c>
      <c r="D50" s="24" t="s">
        <v>377</v>
      </c>
      <c r="E50" s="24" t="s">
        <v>289</v>
      </c>
      <c r="F50" s="25" t="n">
        <f aca="false">PROY_RESERVAS!B70</f>
        <v>2</v>
      </c>
      <c r="G50" s="25" t="n">
        <f aca="false">PROY_RESERVAS!C70</f>
        <v>3.1</v>
      </c>
      <c r="H50" s="25" t="n">
        <f aca="false">PROY_RESERVAS!D70</f>
        <v>7.25</v>
      </c>
      <c r="I50" s="25" t="n">
        <f aca="false">PROY_RESERVAS!E70</f>
        <v>10.6</v>
      </c>
      <c r="J50" s="25" t="n">
        <f aca="false">PROY_RESERVAS!F70</f>
        <v>10.1</v>
      </c>
      <c r="K50" s="25" t="n">
        <f aca="false">PROY_RESERVAS!G70</f>
        <v>12.55</v>
      </c>
      <c r="L50" s="25" t="n">
        <f aca="false">PROY_RESERVAS!H70</f>
        <v>11.1</v>
      </c>
      <c r="M50" s="25" t="n">
        <f aca="false">PROY_RESERVAS!I70</f>
        <v>7.55</v>
      </c>
      <c r="N50" s="25" t="n">
        <f aca="false">PROY_RESERVAS!J70</f>
        <v>7.8</v>
      </c>
      <c r="O50" s="25" t="n">
        <f aca="false">PROY_RESERVAS!K70</f>
        <v>7.05</v>
      </c>
    </row>
    <row r="51" customFormat="false" ht="15" hidden="false" customHeight="false" outlineLevel="0" collapsed="false">
      <c r="A51" s="24" t="s">
        <v>132</v>
      </c>
      <c r="B51" s="24" t="s">
        <v>378</v>
      </c>
      <c r="C51" s="24" t="s">
        <v>379</v>
      </c>
      <c r="D51" s="24" t="s">
        <v>380</v>
      </c>
      <c r="E51" s="24" t="s">
        <v>289</v>
      </c>
      <c r="F51" s="25" t="n">
        <f aca="false">PROY_RESERVAS!B71</f>
        <v>2</v>
      </c>
      <c r="G51" s="25" t="n">
        <f aca="false">PROY_RESERVAS!C71</f>
        <v>5.1</v>
      </c>
      <c r="H51" s="25" t="n">
        <f aca="false">PROY_RESERVAS!D71</f>
        <v>9.35</v>
      </c>
      <c r="I51" s="25" t="n">
        <f aca="false">PROY_RESERVAS!E71</f>
        <v>14.8</v>
      </c>
      <c r="J51" s="25" t="n">
        <f aca="false">PROY_RESERVAS!F71</f>
        <v>15.5</v>
      </c>
      <c r="K51" s="25" t="n">
        <f aca="false">PROY_RESERVAS!G71</f>
        <v>16.2</v>
      </c>
      <c r="L51" s="25" t="n">
        <f aca="false">PROY_RESERVAS!H71</f>
        <v>15.9</v>
      </c>
      <c r="M51" s="25" t="n">
        <f aca="false">PROY_RESERVAS!I71</f>
        <v>11.55</v>
      </c>
      <c r="N51" s="25" t="n">
        <f aca="false">PROY_RESERVAS!J71</f>
        <v>9.95</v>
      </c>
      <c r="O51" s="25" t="n">
        <f aca="false">PROY_RESERVAS!K71</f>
        <v>11.25</v>
      </c>
    </row>
    <row r="52" customFormat="false" ht="15" hidden="false" customHeight="false" outlineLevel="0" collapsed="false">
      <c r="A52" s="24" t="s">
        <v>132</v>
      </c>
      <c r="B52" s="24" t="s">
        <v>381</v>
      </c>
      <c r="C52" s="24" t="s">
        <v>382</v>
      </c>
      <c r="D52" s="24" t="s">
        <v>383</v>
      </c>
      <c r="E52" s="24" t="s">
        <v>289</v>
      </c>
      <c r="F52" s="25" t="n">
        <f aca="false">PROY_RESERVAS!B72</f>
        <v>1</v>
      </c>
      <c r="G52" s="25" t="n">
        <f aca="false">PROY_RESERVAS!C72</f>
        <v>1.05</v>
      </c>
      <c r="H52" s="25" t="n">
        <f aca="false">PROY_RESERVAS!D72</f>
        <v>2.1</v>
      </c>
      <c r="I52" s="25" t="n">
        <f aca="false">PROY_RESERVAS!E72</f>
        <v>2.2</v>
      </c>
      <c r="J52" s="25" t="n">
        <f aca="false">PROY_RESERVAS!F72</f>
        <v>3.3</v>
      </c>
      <c r="K52" s="25" t="n">
        <f aca="false">PROY_RESERVAS!G72</f>
        <v>2.45</v>
      </c>
      <c r="L52" s="25" t="n">
        <f aca="false">PROY_RESERVAS!H72</f>
        <v>2.55</v>
      </c>
      <c r="M52" s="25" t="n">
        <f aca="false">PROY_RESERVAS!I72</f>
        <v>2.65</v>
      </c>
      <c r="N52" s="25" t="n">
        <f aca="false">PROY_RESERVAS!J72</f>
        <v>1.75</v>
      </c>
      <c r="O52" s="25" t="n">
        <f aca="false">PROY_RESERVAS!K72</f>
        <v>2.8</v>
      </c>
    </row>
    <row r="53" customFormat="false" ht="15" hidden="false" customHeight="false" outlineLevel="0" collapsed="false">
      <c r="A53" s="24" t="s">
        <v>132</v>
      </c>
      <c r="B53" s="24" t="s">
        <v>384</v>
      </c>
      <c r="C53" s="24" t="s">
        <v>385</v>
      </c>
      <c r="D53" s="24" t="s">
        <v>386</v>
      </c>
      <c r="E53" s="24" t="s">
        <v>299</v>
      </c>
      <c r="F53" s="25" t="n">
        <f aca="false">PROY_RESERVAS!B73</f>
        <v>1</v>
      </c>
      <c r="G53" s="25" t="n">
        <f aca="false">PROY_RESERVAS!C73</f>
        <v>0.05</v>
      </c>
      <c r="H53" s="25" t="n">
        <f aca="false">PROY_RESERVAS!D73</f>
        <v>1.05</v>
      </c>
      <c r="I53" s="25" t="n">
        <f aca="false">PROY_RESERVAS!E73</f>
        <v>2.1</v>
      </c>
      <c r="J53" s="25" t="n">
        <f aca="false">PROY_RESERVAS!F73</f>
        <v>1.2</v>
      </c>
      <c r="K53" s="25" t="n">
        <f aca="false">PROY_RESERVAS!G73</f>
        <v>1.25</v>
      </c>
      <c r="L53" s="25" t="n">
        <f aca="false">PROY_RESERVAS!H73</f>
        <v>1.3</v>
      </c>
      <c r="M53" s="25" t="n">
        <f aca="false">PROY_RESERVAS!I73</f>
        <v>1.35</v>
      </c>
      <c r="N53" s="25" t="n">
        <f aca="false">PROY_RESERVAS!J73</f>
        <v>1.4</v>
      </c>
      <c r="O53" s="25" t="n">
        <f aca="false">PROY_RESERVAS!K73</f>
        <v>1.45</v>
      </c>
    </row>
    <row r="54" customFormat="false" ht="15" hidden="false" customHeight="false" outlineLevel="0" collapsed="false">
      <c r="A54" s="24" t="s">
        <v>132</v>
      </c>
      <c r="B54" s="24" t="s">
        <v>387</v>
      </c>
      <c r="C54" s="24" t="s">
        <v>388</v>
      </c>
      <c r="D54" s="24" t="s">
        <v>389</v>
      </c>
      <c r="E54" s="24" t="s">
        <v>289</v>
      </c>
      <c r="F54" s="25" t="n">
        <f aca="false">PROY_RESERVAS!B74</f>
        <v>1</v>
      </c>
      <c r="G54" s="25" t="n">
        <f aca="false">PROY_RESERVAS!C74</f>
        <v>0.05</v>
      </c>
      <c r="H54" s="25" t="n">
        <f aca="false">PROY_RESERVAS!D74</f>
        <v>0.05</v>
      </c>
      <c r="I54" s="25" t="n">
        <f aca="false">PROY_RESERVAS!E74</f>
        <v>1.05</v>
      </c>
      <c r="J54" s="25" t="n">
        <f aca="false">PROY_RESERVAS!F74</f>
        <v>1.1</v>
      </c>
      <c r="K54" s="25" t="n">
        <f aca="false">PROY_RESERVAS!G74</f>
        <v>1.15</v>
      </c>
      <c r="L54" s="25" t="n">
        <f aca="false">PROY_RESERVAS!H74</f>
        <v>0.2</v>
      </c>
      <c r="M54" s="25" t="n">
        <f aca="false">PROY_RESERVAS!I74</f>
        <v>1.2</v>
      </c>
      <c r="N54" s="25" t="n">
        <f aca="false">PROY_RESERVAS!J74</f>
        <v>0.25</v>
      </c>
      <c r="O54" s="25" t="n">
        <f aca="false">PROY_RESERVAS!K74</f>
        <v>1.25</v>
      </c>
    </row>
    <row r="55" customFormat="false" ht="15" hidden="false" customHeight="false" outlineLevel="0" collapsed="false">
      <c r="A55" s="24" t="s">
        <v>132</v>
      </c>
      <c r="B55" s="24" t="s">
        <v>390</v>
      </c>
      <c r="C55" s="24" t="s">
        <v>391</v>
      </c>
      <c r="D55" s="24" t="s">
        <v>392</v>
      </c>
      <c r="E55" s="24" t="s">
        <v>289</v>
      </c>
      <c r="F55" s="25" t="n">
        <f aca="false">PROY_RESERVAS!B75</f>
        <v>1</v>
      </c>
      <c r="G55" s="25" t="n">
        <f aca="false">PROY_RESERVAS!C75</f>
        <v>3.05</v>
      </c>
      <c r="H55" s="25" t="n">
        <f aca="false">PROY_RESERVAS!D75</f>
        <v>5.2</v>
      </c>
      <c r="I55" s="25" t="n">
        <f aca="false">PROY_RESERVAS!E75</f>
        <v>6.45</v>
      </c>
      <c r="J55" s="25" t="n">
        <f aca="false">PROY_RESERVAS!F75</f>
        <v>7.75</v>
      </c>
      <c r="K55" s="25" t="n">
        <f aca="false">PROY_RESERVAS!G75</f>
        <v>8.1</v>
      </c>
      <c r="L55" s="25" t="n">
        <f aca="false">PROY_RESERVAS!H75</f>
        <v>7.45</v>
      </c>
      <c r="M55" s="25" t="n">
        <f aca="false">PROY_RESERVAS!I75</f>
        <v>5.75</v>
      </c>
      <c r="N55" s="25" t="n">
        <f aca="false">PROY_RESERVAS!J75</f>
        <v>4.95</v>
      </c>
      <c r="O55" s="25" t="n">
        <f aca="false">PROY_RESERVAS!K75</f>
        <v>5.1</v>
      </c>
    </row>
    <row r="56" customFormat="false" ht="15" hidden="false" customHeight="false" outlineLevel="0" collapsed="false">
      <c r="A56" s="24" t="s">
        <v>132</v>
      </c>
      <c r="B56" s="24" t="s">
        <v>393</v>
      </c>
      <c r="C56" s="24" t="s">
        <v>394</v>
      </c>
      <c r="D56" s="24" t="s">
        <v>395</v>
      </c>
      <c r="E56" s="24" t="s">
        <v>289</v>
      </c>
      <c r="F56" s="25" t="n">
        <f aca="false">PROY_RESERVAS!B76</f>
        <v>7</v>
      </c>
      <c r="G56" s="25" t="n">
        <f aca="false">PROY_RESERVAS!C76</f>
        <v>19.23333333</v>
      </c>
      <c r="H56" s="25" t="n">
        <f aca="false">PROY_RESERVAS!D76</f>
        <v>32.86666667</v>
      </c>
      <c r="I56" s="25" t="n">
        <f aca="false">PROY_RESERVAS!E76</f>
        <v>52.93333333</v>
      </c>
      <c r="J56" s="25" t="n">
        <f aca="false">PROY_RESERVAS!F76</f>
        <v>50.63333333</v>
      </c>
      <c r="K56" s="25" t="n">
        <f aca="false">PROY_RESERVAS!G76</f>
        <v>57.2</v>
      </c>
      <c r="L56" s="25" t="n">
        <f aca="false">PROY_RESERVAS!H76</f>
        <v>53.93333333</v>
      </c>
      <c r="M56" s="25" t="n">
        <f aca="false">PROY_RESERVAS!I76</f>
        <v>36.5</v>
      </c>
      <c r="N56" s="25" t="n">
        <f aca="false">PROY_RESERVAS!J76</f>
        <v>32.43333333</v>
      </c>
      <c r="O56" s="25" t="n">
        <f aca="false">PROY_RESERVAS!K76</f>
        <v>34.2</v>
      </c>
    </row>
    <row r="57" customFormat="false" ht="15" hidden="false" customHeight="false" outlineLevel="0" collapsed="false">
      <c r="A57" s="24" t="s">
        <v>132</v>
      </c>
      <c r="B57" s="24" t="s">
        <v>396</v>
      </c>
      <c r="C57" s="24" t="s">
        <v>397</v>
      </c>
      <c r="D57" s="24" t="s">
        <v>398</v>
      </c>
      <c r="E57" s="24" t="s">
        <v>289</v>
      </c>
      <c r="F57" s="25" t="n">
        <f aca="false">PROY_RESERVAS!B77</f>
        <v>1</v>
      </c>
      <c r="G57" s="25" t="n">
        <f aca="false">PROY_RESERVAS!C77</f>
        <v>1.05</v>
      </c>
      <c r="H57" s="25" t="n">
        <f aca="false">PROY_RESERVAS!D77</f>
        <v>1.1</v>
      </c>
      <c r="I57" s="25" t="n">
        <f aca="false">PROY_RESERVAS!E77</f>
        <v>2.15</v>
      </c>
      <c r="J57" s="25" t="n">
        <f aca="false">PROY_RESERVAS!F77</f>
        <v>2.25</v>
      </c>
      <c r="K57" s="25" t="n">
        <f aca="false">PROY_RESERVAS!G77</f>
        <v>2.35</v>
      </c>
      <c r="L57" s="25" t="n">
        <f aca="false">PROY_RESERVAS!H77</f>
        <v>2.45</v>
      </c>
      <c r="M57" s="25" t="n">
        <f aca="false">PROY_RESERVAS!I77</f>
        <v>1.55</v>
      </c>
      <c r="N57" s="25" t="n">
        <f aca="false">PROY_RESERVAS!J77</f>
        <v>1.6</v>
      </c>
      <c r="O57" s="25" t="n">
        <f aca="false">PROY_RESERVAS!K77</f>
        <v>1.65</v>
      </c>
    </row>
    <row r="58" customFormat="false" ht="15" hidden="false" customHeight="false" outlineLevel="0" collapsed="false">
      <c r="A58" s="24" t="s">
        <v>132</v>
      </c>
      <c r="B58" s="24" t="s">
        <v>399</v>
      </c>
      <c r="C58" s="24" t="s">
        <v>400</v>
      </c>
      <c r="D58" s="24" t="s">
        <v>401</v>
      </c>
      <c r="E58" s="24" t="s">
        <v>289</v>
      </c>
      <c r="F58" s="25" t="n">
        <f aca="false">PROY_RESERVAS!B78</f>
        <v>1</v>
      </c>
      <c r="G58" s="25" t="n">
        <f aca="false">PROY_RESERVAS!C78</f>
        <v>0.05</v>
      </c>
      <c r="H58" s="25" t="n">
        <f aca="false">PROY_RESERVAS!D78</f>
        <v>0.05</v>
      </c>
      <c r="I58" s="25" t="n">
        <f aca="false">PROY_RESERVAS!E78</f>
        <v>1.05</v>
      </c>
      <c r="J58" s="25" t="n">
        <f aca="false">PROY_RESERVAS!F78</f>
        <v>1.1</v>
      </c>
      <c r="K58" s="25" t="n">
        <f aca="false">PROY_RESERVAS!G78</f>
        <v>0.15</v>
      </c>
      <c r="L58" s="25" t="n">
        <f aca="false">PROY_RESERVAS!H78</f>
        <v>1.15</v>
      </c>
      <c r="M58" s="25" t="n">
        <f aca="false">PROY_RESERVAS!I78</f>
        <v>0.2</v>
      </c>
      <c r="N58" s="25" t="n">
        <f aca="false">PROY_RESERVAS!J78</f>
        <v>1.2</v>
      </c>
      <c r="O58" s="25" t="n">
        <f aca="false">PROY_RESERVAS!K78</f>
        <v>0.25</v>
      </c>
    </row>
    <row r="59" customFormat="false" ht="15" hidden="false" customHeight="false" outlineLevel="0" collapsed="false">
      <c r="A59" s="24" t="s">
        <v>132</v>
      </c>
      <c r="B59" s="24" t="s">
        <v>402</v>
      </c>
      <c r="C59" s="24" t="s">
        <v>403</v>
      </c>
      <c r="D59" s="24" t="s">
        <v>404</v>
      </c>
      <c r="E59" s="24" t="s">
        <v>299</v>
      </c>
      <c r="F59" s="25" t="n">
        <f aca="false">PROY_RESERVAS!B79</f>
        <v>1</v>
      </c>
      <c r="G59" s="25" t="n">
        <f aca="false">PROY_RESERVAS!C79</f>
        <v>2.05</v>
      </c>
      <c r="H59" s="25" t="n">
        <f aca="false">PROY_RESERVAS!D79</f>
        <v>4.15</v>
      </c>
      <c r="I59" s="25" t="n">
        <f aca="false">PROY_RESERVAS!E79</f>
        <v>5.35</v>
      </c>
      <c r="J59" s="25" t="n">
        <f aca="false">PROY_RESERVAS!F79</f>
        <v>5.6</v>
      </c>
      <c r="K59" s="25" t="n">
        <f aca="false">PROY_RESERVAS!G79</f>
        <v>6.85</v>
      </c>
      <c r="L59" s="25" t="n">
        <f aca="false">PROY_RESERVAS!H79</f>
        <v>6.15</v>
      </c>
      <c r="M59" s="25" t="n">
        <f aca="false">PROY_RESERVAS!I79</f>
        <v>4.4</v>
      </c>
      <c r="N59" s="25" t="n">
        <f aca="false">PROY_RESERVAS!J79</f>
        <v>4.55</v>
      </c>
      <c r="O59" s="25" t="n">
        <f aca="false">PROY_RESERVAS!K79</f>
        <v>3.7</v>
      </c>
    </row>
    <row r="60" customFormat="false" ht="15" hidden="false" customHeight="false" outlineLevel="0" collapsed="false">
      <c r="A60" s="24" t="s">
        <v>132</v>
      </c>
      <c r="B60" s="24" t="s">
        <v>405</v>
      </c>
      <c r="C60" s="24" t="s">
        <v>406</v>
      </c>
      <c r="D60" s="24" t="s">
        <v>407</v>
      </c>
      <c r="E60" s="24" t="s">
        <v>299</v>
      </c>
      <c r="F60" s="25" t="n">
        <f aca="false">PROY_RESERVAS!B80</f>
        <v>1</v>
      </c>
      <c r="G60" s="25" t="n">
        <f aca="false">PROY_RESERVAS!C80</f>
        <v>0.05</v>
      </c>
      <c r="H60" s="25" t="n">
        <f aca="false">PROY_RESERVAS!D80</f>
        <v>1.05</v>
      </c>
      <c r="I60" s="25" t="n">
        <f aca="false">PROY_RESERVAS!E80</f>
        <v>1.1</v>
      </c>
      <c r="J60" s="25" t="n">
        <f aca="false">PROY_RESERVAS!F80</f>
        <v>2.15</v>
      </c>
      <c r="K60" s="25" t="n">
        <f aca="false">PROY_RESERVAS!G80</f>
        <v>1.25</v>
      </c>
      <c r="L60" s="25" t="n">
        <f aca="false">PROY_RESERVAS!H80</f>
        <v>1.3</v>
      </c>
      <c r="M60" s="25" t="n">
        <f aca="false">PROY_RESERVAS!I80</f>
        <v>1.35</v>
      </c>
      <c r="N60" s="25" t="n">
        <f aca="false">PROY_RESERVAS!J80</f>
        <v>1.4</v>
      </c>
      <c r="O60" s="25" t="n">
        <f aca="false">PROY_RESERVAS!K80</f>
        <v>0.45</v>
      </c>
    </row>
    <row r="61" customFormat="false" ht="15" hidden="false" customHeight="false" outlineLevel="0" collapsed="false">
      <c r="A61" s="24" t="s">
        <v>408</v>
      </c>
      <c r="B61" s="24" t="s">
        <v>409</v>
      </c>
      <c r="C61" s="24" t="s">
        <v>410</v>
      </c>
      <c r="D61" s="24" t="s">
        <v>411</v>
      </c>
      <c r="E61" s="24" t="s">
        <v>237</v>
      </c>
      <c r="F61" s="25" t="n">
        <f aca="false">PROY_INDEXADO!B48</f>
        <v>175.6079593</v>
      </c>
      <c r="G61" s="25" t="n">
        <f aca="false">PROY_INDEXADO!C48</f>
        <v>320.3906115</v>
      </c>
      <c r="H61" s="25" t="n">
        <f aca="false">PROY_INDEXADO!D48</f>
        <v>436.5887807</v>
      </c>
      <c r="I61" s="25" t="n">
        <f aca="false">PROY_INDEXADO!E48</f>
        <v>602.2865757</v>
      </c>
      <c r="J61" s="25" t="n">
        <f aca="false">PROY_INDEXADO!F48</f>
        <v>974.7593754</v>
      </c>
      <c r="K61" s="25" t="n">
        <f aca="false">PROY_INDEXADO!G48</f>
        <v>1370.081328</v>
      </c>
      <c r="L61" s="25" t="n">
        <f aca="false">PROY_INDEXADO!H48</f>
        <v>1767.18337</v>
      </c>
      <c r="M61" s="25" t="n">
        <f aca="false">PROY_INDEXADO!I48</f>
        <v>2188.466718</v>
      </c>
      <c r="N61" s="25" t="n">
        <f aca="false">PROY_INDEXADO!J48</f>
        <v>2536.343254</v>
      </c>
      <c r="O61" s="25" t="n">
        <f aca="false">PROY_INDEXADO!K48</f>
        <v>2904.897406</v>
      </c>
    </row>
    <row r="62" customFormat="false" ht="15" hidden="false" customHeight="false" outlineLevel="0" collapsed="false">
      <c r="A62" s="24" t="s">
        <v>408</v>
      </c>
      <c r="B62" s="24" t="s">
        <v>412</v>
      </c>
      <c r="C62" s="24" t="s">
        <v>413</v>
      </c>
      <c r="D62" s="24" t="s">
        <v>414</v>
      </c>
      <c r="E62" s="24" t="s">
        <v>237</v>
      </c>
      <c r="F62" s="25" t="n">
        <f aca="false">PROY_INDEXADO!B49</f>
        <v>99.50178533</v>
      </c>
      <c r="G62" s="25" t="n">
        <f aca="false">PROY_INDEXADO!C49</f>
        <v>159.8868424</v>
      </c>
      <c r="H62" s="25" t="n">
        <f aca="false">PROY_INDEXADO!D49</f>
        <v>193.4151498</v>
      </c>
      <c r="I62" s="25" t="n">
        <f aca="false">PROY_INDEXADO!E49</f>
        <v>247.8822329</v>
      </c>
      <c r="J62" s="25" t="n">
        <f aca="false">PROY_INDEXADO!F49</f>
        <v>360.2676432</v>
      </c>
      <c r="K62" s="25" t="n">
        <f aca="false">PROY_INDEXADO!G49</f>
        <v>447.8696133</v>
      </c>
      <c r="L62" s="25" t="n">
        <f aca="false">PROY_INDEXADO!H49</f>
        <v>573.9459793</v>
      </c>
      <c r="M62" s="25" t="n">
        <f aca="false">PROY_INDEXADO!I49</f>
        <v>711.731345</v>
      </c>
      <c r="N62" s="25" t="n">
        <f aca="false">PROY_INDEXADO!J49</f>
        <v>836.044561</v>
      </c>
      <c r="O62" s="25" t="n">
        <f aca="false">PROY_INDEXADO!K49</f>
        <v>970.7041311</v>
      </c>
    </row>
    <row r="63" customFormat="false" ht="15" hidden="false" customHeight="false" outlineLevel="0" collapsed="false">
      <c r="A63" s="24" t="s">
        <v>408</v>
      </c>
      <c r="B63" s="24" t="s">
        <v>415</v>
      </c>
      <c r="C63" s="24" t="s">
        <v>416</v>
      </c>
      <c r="D63" s="24" t="s">
        <v>417</v>
      </c>
      <c r="E63" s="24" t="s">
        <v>248</v>
      </c>
      <c r="F63" s="25" t="n">
        <f aca="false">PROY_INDEXADO!B50</f>
        <v>42.64362229</v>
      </c>
      <c r="G63" s="25" t="n">
        <f aca="false">PROY_INDEXADO!C50</f>
        <v>68.52293247</v>
      </c>
      <c r="H63" s="25" t="n">
        <f aca="false">PROY_INDEXADO!D50</f>
        <v>82.89220707</v>
      </c>
      <c r="I63" s="25" t="n">
        <f aca="false">PROY_INDEXADO!E50</f>
        <v>106.2352427</v>
      </c>
      <c r="J63" s="25" t="n">
        <f aca="false">PROY_INDEXADO!F50</f>
        <v>154.4004185</v>
      </c>
      <c r="K63" s="25" t="n">
        <f aca="false">PROY_INDEXADO!G50</f>
        <v>191.94412</v>
      </c>
      <c r="L63" s="25" t="n">
        <f aca="false">PROY_INDEXADO!H50</f>
        <v>245.9768483</v>
      </c>
      <c r="M63" s="25" t="n">
        <f aca="false">PROY_INDEXADO!I50</f>
        <v>305.0277193</v>
      </c>
      <c r="N63" s="25" t="n">
        <f aca="false">PROY_INDEXADO!J50</f>
        <v>358.3048119</v>
      </c>
      <c r="O63" s="25" t="n">
        <f aca="false">PROY_INDEXADO!K50</f>
        <v>416.0160562</v>
      </c>
    </row>
    <row r="64" customFormat="false" ht="15" hidden="false" customHeight="false" outlineLevel="0" collapsed="false">
      <c r="A64" s="24" t="s">
        <v>408</v>
      </c>
      <c r="B64" s="24" t="s">
        <v>418</v>
      </c>
      <c r="C64" s="24" t="s">
        <v>419</v>
      </c>
      <c r="D64" s="24" t="s">
        <v>420</v>
      </c>
      <c r="E64" s="24" t="s">
        <v>237</v>
      </c>
      <c r="F64" s="25" t="n">
        <f aca="false">PROY_INDEXADO!B51</f>
        <v>28.42908152</v>
      </c>
      <c r="G64" s="25" t="n">
        <f aca="false">PROY_INDEXADO!C51</f>
        <v>45.68195498</v>
      </c>
      <c r="H64" s="25" t="n">
        <f aca="false">PROY_INDEXADO!D51</f>
        <v>55.26147138</v>
      </c>
      <c r="I64" s="25" t="n">
        <f aca="false">PROY_INDEXADO!E51</f>
        <v>70.82349512</v>
      </c>
      <c r="J64" s="25" t="n">
        <f aca="false">PROY_INDEXADO!F51</f>
        <v>102.9336123</v>
      </c>
      <c r="K64" s="25" t="n">
        <f aca="false">PROY_INDEXADO!G51</f>
        <v>127.9627467</v>
      </c>
      <c r="L64" s="25" t="n">
        <f aca="false">PROY_INDEXADO!H51</f>
        <v>163.9845655</v>
      </c>
      <c r="M64" s="25" t="n">
        <f aca="false">PROY_INDEXADO!I51</f>
        <v>203.3518129</v>
      </c>
      <c r="N64" s="25" t="n">
        <f aca="false">PROY_INDEXADO!J51</f>
        <v>238.8698746</v>
      </c>
      <c r="O64" s="25" t="n">
        <f aca="false">PROY_INDEXADO!K51</f>
        <v>277.3440374</v>
      </c>
    </row>
    <row r="65" customFormat="false" ht="15" hidden="false" customHeight="false" outlineLevel="0" collapsed="false">
      <c r="A65" s="24" t="s">
        <v>408</v>
      </c>
      <c r="B65" s="24" t="s">
        <v>421</v>
      </c>
      <c r="C65" s="24" t="s">
        <v>422</v>
      </c>
      <c r="D65" s="24" t="s">
        <v>423</v>
      </c>
      <c r="E65" s="24" t="s">
        <v>237</v>
      </c>
      <c r="F65" s="25" t="n">
        <f aca="false">PROY_INDEXADO!B52</f>
        <v>100.6111337</v>
      </c>
      <c r="G65" s="25" t="n">
        <f aca="false">PROY_INDEXADO!C52</f>
        <v>188.8972271</v>
      </c>
      <c r="H65" s="25" t="n">
        <f aca="false">PROY_INDEXADO!D52</f>
        <v>248.9891832</v>
      </c>
      <c r="I65" s="25" t="n">
        <f aca="false">PROY_INDEXADO!E52</f>
        <v>348.413746</v>
      </c>
      <c r="J65" s="25" t="n">
        <f aca="false">PROY_INDEXADO!F52</f>
        <v>546.1766841</v>
      </c>
      <c r="K65" s="25" t="n">
        <f aca="false">PROY_INDEXADO!G52</f>
        <v>751.8580799</v>
      </c>
      <c r="L65" s="25" t="n">
        <f aca="false">PROY_INDEXADO!H52</f>
        <v>960.0471253</v>
      </c>
      <c r="M65" s="25" t="n">
        <f aca="false">PROY_INDEXADO!I52</f>
        <v>1191.419103</v>
      </c>
      <c r="N65" s="25" t="n">
        <f aca="false">PROY_INDEXADO!J52</f>
        <v>1409.930374</v>
      </c>
      <c r="O65" s="25" t="n">
        <f aca="false">PROY_INDEXADO!K52</f>
        <v>1649.135599</v>
      </c>
    </row>
    <row r="66" customFormat="false" ht="15" hidden="false" customHeight="false" outlineLevel="0" collapsed="false">
      <c r="A66" s="24" t="s">
        <v>408</v>
      </c>
      <c r="B66" s="24" t="s">
        <v>424</v>
      </c>
      <c r="C66" s="24" t="s">
        <v>425</v>
      </c>
      <c r="D66" s="24" t="s">
        <v>426</v>
      </c>
      <c r="E66" s="24" t="s">
        <v>237</v>
      </c>
      <c r="F66" s="25" t="n">
        <f aca="false">PROY_INDEXADO!B53</f>
        <v>421.9843726</v>
      </c>
      <c r="G66" s="25" t="n">
        <f aca="false">PROY_INDEXADO!C53</f>
        <v>772.3206222</v>
      </c>
      <c r="H66" s="25" t="n">
        <f aca="false">PROY_INDEXADO!D53</f>
        <v>1066.363722</v>
      </c>
      <c r="I66" s="25" t="n">
        <f aca="false">PROY_INDEXADO!E53</f>
        <v>1474.963344</v>
      </c>
      <c r="J66" s="25" t="n">
        <f aca="false">PROY_INDEXADO!F53</f>
        <v>2394.644883</v>
      </c>
      <c r="K66" s="25" t="n">
        <f aca="false">PROY_INDEXADO!G53</f>
        <v>3311.547454</v>
      </c>
      <c r="L66" s="25" t="n">
        <f aca="false">PROY_INDEXADO!H53</f>
        <v>4274.187843</v>
      </c>
      <c r="M66" s="25" t="n">
        <f aca="false">PROY_INDEXADO!I53</f>
        <v>5292.394724</v>
      </c>
      <c r="N66" s="25" t="n">
        <f aca="false">PROY_INDEXADO!J53</f>
        <v>6125.204809</v>
      </c>
      <c r="O66" s="25" t="n">
        <f aca="false">PROY_INDEXADO!K53</f>
        <v>7005.27737</v>
      </c>
    </row>
    <row r="67" customFormat="false" ht="15" hidden="false" customHeight="false" outlineLevel="0" collapsed="false">
      <c r="A67" s="24" t="s">
        <v>408</v>
      </c>
      <c r="B67" s="24" t="s">
        <v>427</v>
      </c>
      <c r="C67" s="24" t="s">
        <v>428</v>
      </c>
      <c r="D67" s="24" t="s">
        <v>429</v>
      </c>
      <c r="E67" s="24" t="s">
        <v>237</v>
      </c>
      <c r="F67" s="25" t="n">
        <f aca="false">PROY_INDEXADO!B54</f>
        <v>284.0395051</v>
      </c>
      <c r="G67" s="25" t="n">
        <f aca="false">PROY_INDEXADO!C54</f>
        <v>489.4529733</v>
      </c>
      <c r="H67" s="25" t="n">
        <f aca="false">PROY_INDEXADO!D54</f>
        <v>625.4306114</v>
      </c>
      <c r="I67" s="25" t="n">
        <f aca="false">PROY_INDEXADO!E54</f>
        <v>836.9518675</v>
      </c>
      <c r="J67" s="25" t="n">
        <f aca="false">PROY_INDEXADO!F54</f>
        <v>1289.143315</v>
      </c>
      <c r="K67" s="25" t="n">
        <f aca="false">PROY_INDEXADO!G54</f>
        <v>1751.735715</v>
      </c>
      <c r="L67" s="25" t="n">
        <f aca="false">PROY_INDEXADO!H54</f>
        <v>2250.247068</v>
      </c>
      <c r="M67" s="25" t="n">
        <f aca="false">PROY_INDEXADO!I54</f>
        <v>2789.059394</v>
      </c>
      <c r="N67" s="25" t="n">
        <f aca="false">PROY_INDEXADO!J54</f>
        <v>3259.974804</v>
      </c>
      <c r="O67" s="25" t="n">
        <f aca="false">PROY_INDEXADO!K54</f>
        <v>3766.175472</v>
      </c>
    </row>
    <row r="68" customFormat="false" ht="15" hidden="false" customHeight="false" outlineLevel="0" collapsed="false">
      <c r="A68" s="24" t="s">
        <v>408</v>
      </c>
      <c r="B68" s="24" t="s">
        <v>430</v>
      </c>
      <c r="C68" s="24" t="s">
        <v>431</v>
      </c>
      <c r="D68" s="24" t="s">
        <v>432</v>
      </c>
      <c r="E68" s="24" t="s">
        <v>237</v>
      </c>
      <c r="F68" s="25" t="n">
        <f aca="false">PROY_INDEXADO!B55</f>
        <v>58.85960407</v>
      </c>
      <c r="G68" s="25" t="n">
        <f aca="false">PROY_INDEXADO!C55</f>
        <v>100.2618958</v>
      </c>
      <c r="H68" s="25" t="n">
        <f aca="false">PROY_INDEXADO!D55</f>
        <v>126.5296618</v>
      </c>
      <c r="I68" s="25" t="n">
        <f aca="false">PROY_INDEXADO!E55</f>
        <v>167.8179923</v>
      </c>
      <c r="J68" s="25" t="n">
        <f aca="false">PROY_INDEXADO!F55</f>
        <v>256.5901403</v>
      </c>
      <c r="K68" s="25" t="n">
        <f aca="false">PROY_INDEXADO!G55</f>
        <v>346.1145766</v>
      </c>
      <c r="L68" s="25" t="n">
        <f aca="false">PROY_INDEXADO!H55</f>
        <v>444.6989087</v>
      </c>
      <c r="M68" s="25" t="n">
        <f aca="false">PROY_INDEXADO!I55</f>
        <v>551.1578445</v>
      </c>
      <c r="N68" s="25" t="n">
        <f aca="false">PROY_INDEXADO!J55</f>
        <v>643.9574165</v>
      </c>
      <c r="O68" s="25" t="n">
        <f aca="false">PROY_INDEXADO!K55</f>
        <v>743.6456074</v>
      </c>
    </row>
    <row r="69" customFormat="false" ht="15" hidden="false" customHeight="false" outlineLevel="0" collapsed="false">
      <c r="A69" s="24" t="s">
        <v>408</v>
      </c>
      <c r="B69" s="24" t="s">
        <v>433</v>
      </c>
      <c r="C69" s="24" t="s">
        <v>434</v>
      </c>
      <c r="D69" s="24" t="s">
        <v>435</v>
      </c>
      <c r="E69" s="24" t="s">
        <v>237</v>
      </c>
      <c r="F69" s="25" t="n">
        <f aca="false">PROY_INDEXADO!B56</f>
        <v>28.42908152</v>
      </c>
      <c r="G69" s="25" t="n">
        <f aca="false">PROY_INDEXADO!C56</f>
        <v>45.68195498</v>
      </c>
      <c r="H69" s="25" t="n">
        <f aca="false">PROY_INDEXADO!D56</f>
        <v>55.26147138</v>
      </c>
      <c r="I69" s="25" t="n">
        <f aca="false">PROY_INDEXADO!E56</f>
        <v>70.82349512</v>
      </c>
      <c r="J69" s="25" t="n">
        <f aca="false">PROY_INDEXADO!F56</f>
        <v>102.9336123</v>
      </c>
      <c r="K69" s="25" t="n">
        <f aca="false">PROY_INDEXADO!G56</f>
        <v>127.9627467</v>
      </c>
      <c r="L69" s="25" t="n">
        <f aca="false">PROY_INDEXADO!H56</f>
        <v>163.9845655</v>
      </c>
      <c r="M69" s="25" t="n">
        <f aca="false">PROY_INDEXADO!I56</f>
        <v>203.3518129</v>
      </c>
      <c r="N69" s="25" t="n">
        <f aca="false">PROY_INDEXADO!J56</f>
        <v>238.8698746</v>
      </c>
      <c r="O69" s="25" t="n">
        <f aca="false">PROY_INDEXADO!K56</f>
        <v>277.3440374</v>
      </c>
    </row>
    <row r="71" customFormat="false" ht="15" hidden="false" customHeight="false" outlineLevel="0" collapsed="false">
      <c r="C71" s="13" t="s">
        <v>436</v>
      </c>
      <c r="F71" s="17" t="n">
        <f aca="false">SUMIF($A$4:$A$69,"MANUALES",F$4:F$69)</f>
        <v>7275.37310673</v>
      </c>
      <c r="G71" s="17" t="n">
        <f aca="false">SUMIF($A$4:$A$69,"MANUALES",G$4:G$69)</f>
        <v>12309.257605</v>
      </c>
      <c r="H71" s="17" t="n">
        <f aca="false">SUMIF($A$4:$A$69,"MANUALES",H$4:H$69)</f>
        <v>24747.3321864</v>
      </c>
      <c r="I71" s="17" t="n">
        <f aca="false">SUMIF($A$4:$A$69,"MANUALES",I$4:I$69)</f>
        <v>53808.5095301</v>
      </c>
      <c r="J71" s="17" t="n">
        <f aca="false">SUMIF($A$4:$A$69,"MANUALES",J$4:J$69)</f>
        <v>91427.2855279</v>
      </c>
      <c r="K71" s="17" t="n">
        <f aca="false">SUMIF($A$4:$A$69,"MANUALES",K$4:K$69)</f>
        <v>127463.892099</v>
      </c>
      <c r="L71" s="17" t="n">
        <f aca="false">SUMIF($A$4:$A$69,"MANUALES",L$4:L$69)</f>
        <v>174078.389169</v>
      </c>
      <c r="M71" s="17" t="n">
        <f aca="false">SUMIF($A$4:$A$69,"MANUALES",M$4:M$69)</f>
        <v>220444.016249</v>
      </c>
      <c r="N71" s="17" t="n">
        <f aca="false">SUMIF($A$4:$A$69,"MANUALES",N$4:N$69)</f>
        <v>247516.996987</v>
      </c>
      <c r="O71" s="17" t="n">
        <f aca="false">SUMIF($A$4:$A$69,"MANUALES",O$4:O$69)</f>
        <v>285800.124373</v>
      </c>
    </row>
    <row r="72" customFormat="false" ht="15" hidden="false" customHeight="false" outlineLevel="0" collapsed="false">
      <c r="C72" s="13" t="s">
        <v>437</v>
      </c>
      <c r="F72" s="17" t="n">
        <f aca="false">SUMIF($A$4:$A$69,"RODANTES",F$4:F$69)</f>
        <v>136.20716545</v>
      </c>
      <c r="G72" s="17" t="n">
        <f aca="false">SUMIF($A$4:$A$69,"RODANTES",G$4:G$69)</f>
        <v>233.84858982</v>
      </c>
      <c r="H72" s="17" t="n">
        <f aca="false">SUMIF($A$4:$A$69,"RODANTES",H$4:H$69)</f>
        <v>358.63415996</v>
      </c>
      <c r="I72" s="17" t="n">
        <f aca="false">SUMIF($A$4:$A$69,"RODANTES",I$4:I$69)</f>
        <v>603.51941175</v>
      </c>
      <c r="J72" s="17" t="n">
        <f aca="false">SUMIF($A$4:$A$69,"RODANTES",J$4:J$69)</f>
        <v>996.50401399</v>
      </c>
      <c r="K72" s="17" t="n">
        <f aca="false">SUMIF($A$4:$A$69,"RODANTES",K$4:K$69)</f>
        <v>1388.53793087</v>
      </c>
      <c r="L72" s="17" t="n">
        <f aca="false">SUMIF($A$4:$A$69,"RODANTES",L$4:L$69)</f>
        <v>1855.07293261</v>
      </c>
      <c r="M72" s="17" t="n">
        <f aca="false">SUMIF($A$4:$A$69,"RODANTES",M$4:M$69)</f>
        <v>2339.3946828</v>
      </c>
      <c r="N72" s="17" t="n">
        <f aca="false">SUMIF($A$4:$A$69,"RODANTES",N$4:N$69)</f>
        <v>2682.1096624</v>
      </c>
      <c r="O72" s="17" t="n">
        <f aca="false">SUMIF($A$4:$A$69,"RODANTES",O$4:O$69)</f>
        <v>3100.0821329</v>
      </c>
    </row>
    <row r="73" customFormat="false" ht="15" hidden="false" customHeight="false" outlineLevel="0" collapsed="false">
      <c r="C73" s="13" t="s">
        <v>438</v>
      </c>
      <c r="F73" s="17" t="n">
        <f aca="false">SUMIF($A$4:$A$69,"RECARGAS",F$4:F$69)</f>
        <v>6993.793098083</v>
      </c>
      <c r="G73" s="17" t="n">
        <f aca="false">SUMIF($A$4:$A$69,"RECARGAS",G$4:G$69)</f>
        <v>31254.66424747</v>
      </c>
      <c r="H73" s="17" t="n">
        <f aca="false">SUMIF($A$4:$A$69,"RECARGAS",H$4:H$69)</f>
        <v>62500.37466635</v>
      </c>
      <c r="I73" s="17" t="n">
        <f aca="false">SUMIF($A$4:$A$69,"RECARGAS",I$4:I$69)</f>
        <v>115885.22876783</v>
      </c>
      <c r="J73" s="17" t="n">
        <f aca="false">SUMIF($A$4:$A$69,"RECARGAS",J$4:J$69)</f>
        <v>170329.32913223</v>
      </c>
      <c r="K73" s="17" t="n">
        <f aca="false">SUMIF($A$4:$A$69,"RECARGAS",K$4:K$69)</f>
        <v>231703.3581102</v>
      </c>
      <c r="L73" s="17" t="n">
        <f aca="false">SUMIF($A$4:$A$69,"RECARGAS",L$4:L$69)</f>
        <v>287556.86550793</v>
      </c>
      <c r="M73" s="17" t="n">
        <f aca="false">SUMIF($A$4:$A$69,"RECARGAS",M$4:M$69)</f>
        <v>326664.2382256</v>
      </c>
      <c r="N73" s="17" t="n">
        <f aca="false">SUMIF($A$4:$A$69,"RECARGAS",N$4:N$69)</f>
        <v>351187.19881763</v>
      </c>
      <c r="O73" s="17" t="n">
        <f aca="false">SUMIF($A$4:$A$69,"RECARGAS",O$4:O$69)</f>
        <v>376377.039583</v>
      </c>
    </row>
    <row r="74" customFormat="false" ht="15" hidden="false" customHeight="false" outlineLevel="0" collapsed="false">
      <c r="C74" s="13" t="s">
        <v>439</v>
      </c>
      <c r="F74" s="17" t="n">
        <f aca="false">SUMIF($A$4:$A$69,"REVENDIDOS",F$4:F$69)</f>
        <v>1240.10614543</v>
      </c>
      <c r="G74" s="17" t="n">
        <f aca="false">SUMIF($A$4:$A$69,"REVENDIDOS",G$4:G$69)</f>
        <v>2191.09701473</v>
      </c>
      <c r="H74" s="17" t="n">
        <f aca="false">SUMIF($A$4:$A$69,"REVENDIDOS",H$4:H$69)</f>
        <v>2890.73225873</v>
      </c>
      <c r="I74" s="17" t="n">
        <f aca="false">SUMIF($A$4:$A$69,"REVENDIDOS",I$4:I$69)</f>
        <v>3926.19799134</v>
      </c>
      <c r="J74" s="17" t="n">
        <f aca="false">SUMIF($A$4:$A$69,"REVENDIDOS",J$4:J$69)</f>
        <v>6181.8496841</v>
      </c>
      <c r="K74" s="17" t="n">
        <f aca="false">SUMIF($A$4:$A$69,"REVENDIDOS",K$4:K$69)</f>
        <v>8427.0763802</v>
      </c>
      <c r="L74" s="17" t="n">
        <f aca="false">SUMIF($A$4:$A$69,"REVENDIDOS",L$4:L$69)</f>
        <v>10844.2562736</v>
      </c>
      <c r="M74" s="17" t="n">
        <f aca="false">SUMIF($A$4:$A$69,"REVENDIDOS",M$4:M$69)</f>
        <v>13435.9604736</v>
      </c>
      <c r="N74" s="17" t="n">
        <f aca="false">SUMIF($A$4:$A$69,"REVENDIDOS",N$4:N$69)</f>
        <v>15647.4997796</v>
      </c>
      <c r="O74" s="17" t="n">
        <f aca="false">SUMIF($A$4:$A$69,"REVENDIDOS",O$4:O$69)</f>
        <v>18010.5397165</v>
      </c>
    </row>
  </sheetData>
  <autoFilter ref="A3:O6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E6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8"/>
    <col collapsed="false" customWidth="true" hidden="false" outlineLevel="0" max="16" min="16" style="0" width="24"/>
    <col collapsed="false" customWidth="true" hidden="false" outlineLevel="0" max="17" min="17" style="0" width="12"/>
    <col collapsed="false" customWidth="true" hidden="false" outlineLevel="0" max="18" min="18" style="0" width="40"/>
    <col collapsed="false" customWidth="true" hidden="false" outlineLevel="0" max="30" min="19" style="0" width="7"/>
    <col collapsed="false" customWidth="true" hidden="false" outlineLevel="0" max="31" min="31" style="0" width="12"/>
  </cols>
  <sheetData>
    <row r="1" customFormat="false" ht="15" hidden="false" customHeight="false" outlineLevel="0" collapsed="false">
      <c r="A1" s="1" t="s">
        <v>440</v>
      </c>
    </row>
    <row r="2" customFormat="false" ht="15" hidden="false" customHeight="false" outlineLevel="0" collapsed="false">
      <c r="A2" s="2" t="s">
        <v>441</v>
      </c>
    </row>
    <row r="3" customFormat="false" ht="31.5" hidden="false" customHeight="true" outlineLevel="0" collapsed="false">
      <c r="A3" s="3" t="s">
        <v>442</v>
      </c>
      <c r="B3" s="3" t="s">
        <v>443</v>
      </c>
      <c r="C3" s="3" t="s">
        <v>444</v>
      </c>
      <c r="D3" s="3" t="s">
        <v>445</v>
      </c>
      <c r="E3" s="3" t="s">
        <v>446</v>
      </c>
      <c r="F3" s="3" t="s">
        <v>447</v>
      </c>
      <c r="G3" s="3" t="s">
        <v>448</v>
      </c>
      <c r="H3" s="3" t="s">
        <v>449</v>
      </c>
      <c r="I3" s="3" t="s">
        <v>450</v>
      </c>
      <c r="J3" s="3" t="s">
        <v>451</v>
      </c>
      <c r="K3" s="3" t="s">
        <v>452</v>
      </c>
      <c r="L3" s="3" t="s">
        <v>453</v>
      </c>
      <c r="M3" s="3" t="s">
        <v>454</v>
      </c>
      <c r="N3" s="3" t="s">
        <v>455</v>
      </c>
    </row>
    <row r="4" customFormat="false" ht="15" hidden="false" customHeight="false" outlineLevel="0" collapsed="false">
      <c r="A4" s="24" t="s">
        <v>233</v>
      </c>
      <c r="B4" s="26" t="n">
        <v>0.12</v>
      </c>
      <c r="C4" s="26" t="n">
        <v>0.09</v>
      </c>
      <c r="D4" s="26" t="n">
        <v>0.08</v>
      </c>
      <c r="E4" s="26" t="n">
        <v>0.075</v>
      </c>
      <c r="F4" s="26" t="n">
        <v>0.07</v>
      </c>
      <c r="G4" s="26" t="n">
        <v>0.07</v>
      </c>
      <c r="H4" s="26" t="n">
        <v>0.075</v>
      </c>
      <c r="I4" s="26" t="n">
        <v>0.075</v>
      </c>
      <c r="J4" s="26" t="n">
        <v>0.075</v>
      </c>
      <c r="K4" s="26" t="n">
        <v>0.075</v>
      </c>
      <c r="L4" s="26" t="n">
        <v>0.075</v>
      </c>
      <c r="M4" s="26" t="n">
        <v>0.12</v>
      </c>
      <c r="N4" s="27" t="n">
        <f aca="false">SUM(B4:M4)</f>
        <v>1</v>
      </c>
      <c r="P4" s="24" t="str">
        <f aca="false">DEMANDA!B4</f>
        <v>FL_MAT_ABC_1kg</v>
      </c>
      <c r="Q4" s="24" t="str">
        <f aca="false">DEMANDA!A4</f>
        <v>MANUALES</v>
      </c>
      <c r="R4" s="24" t="str">
        <f aca="false">DEMANDA!E4</f>
        <v>Ventas automovilístico (1 kg)</v>
      </c>
      <c r="S4" s="26" t="n">
        <f aca="false">INDEX($B$4:$M$9,MATCH($R4,$A$4:$A$9,0),1)</f>
        <v>0.12</v>
      </c>
      <c r="T4" s="26" t="n">
        <f aca="false">INDEX($B$4:$M$9,MATCH($R4,$A$4:$A$9,0),2)</f>
        <v>0.09</v>
      </c>
      <c r="U4" s="26" t="n">
        <f aca="false">INDEX($B$4:$M$9,MATCH($R4,$A$4:$A$9,0),3)</f>
        <v>0.08</v>
      </c>
      <c r="V4" s="26" t="n">
        <f aca="false">INDEX($B$4:$M$9,MATCH($R4,$A$4:$A$9,0),4)</f>
        <v>0.075</v>
      </c>
      <c r="W4" s="26" t="n">
        <f aca="false">INDEX($B$4:$M$9,MATCH($R4,$A$4:$A$9,0),5)</f>
        <v>0.07</v>
      </c>
      <c r="X4" s="26" t="n">
        <f aca="false">INDEX($B$4:$M$9,MATCH($R4,$A$4:$A$9,0),6)</f>
        <v>0.07</v>
      </c>
      <c r="Y4" s="26" t="n">
        <f aca="false">INDEX($B$4:$M$9,MATCH($R4,$A$4:$A$9,0),7)</f>
        <v>0.075</v>
      </c>
      <c r="Z4" s="26" t="n">
        <f aca="false">INDEX($B$4:$M$9,MATCH($R4,$A$4:$A$9,0),8)</f>
        <v>0.075</v>
      </c>
      <c r="AA4" s="26" t="n">
        <f aca="false">INDEX($B$4:$M$9,MATCH($R4,$A$4:$A$9,0),9)</f>
        <v>0.075</v>
      </c>
      <c r="AB4" s="26" t="n">
        <f aca="false">INDEX($B$4:$M$9,MATCH($R4,$A$4:$A$9,0),10)</f>
        <v>0.075</v>
      </c>
      <c r="AC4" s="26" t="n">
        <f aca="false">INDEX($B$4:$M$9,MATCH($R4,$A$4:$A$9,0),11)</f>
        <v>0.075</v>
      </c>
      <c r="AD4" s="26" t="n">
        <f aca="false">INDEX($B$4:$M$9,MATCH($R4,$A$4:$A$9,0),12)</f>
        <v>0.12</v>
      </c>
      <c r="AE4" s="25" t="n">
        <f aca="false">INDEX(DEMANDA!$F4:$O4,INDEX(P_VAL,MATCH("AÑO_DIS",P_ID,0))-2025)</f>
        <v>32072.63913</v>
      </c>
    </row>
    <row r="5" customFormat="false" ht="15" hidden="false" customHeight="false" outlineLevel="0" collapsed="false">
      <c r="A5" s="24" t="s">
        <v>237</v>
      </c>
      <c r="B5" s="26" t="n">
        <v>0.1</v>
      </c>
      <c r="C5" s="26" t="n">
        <v>0.08</v>
      </c>
      <c r="D5" s="26" t="n">
        <v>0.085</v>
      </c>
      <c r="E5" s="26" t="n">
        <v>0.085</v>
      </c>
      <c r="F5" s="26" t="n">
        <v>0.08</v>
      </c>
      <c r="G5" s="26" t="n">
        <v>0.075</v>
      </c>
      <c r="H5" s="26" t="n">
        <v>0.08</v>
      </c>
      <c r="I5" s="26" t="n">
        <v>0.08</v>
      </c>
      <c r="J5" s="26" t="n">
        <v>0.08</v>
      </c>
      <c r="K5" s="26" t="n">
        <v>0.075</v>
      </c>
      <c r="L5" s="26" t="n">
        <v>0.07</v>
      </c>
      <c r="M5" s="26" t="n">
        <v>0.11</v>
      </c>
      <c r="N5" s="27" t="n">
        <f aca="false">SUM(B5:M5)</f>
        <v>1</v>
      </c>
      <c r="P5" s="24" t="str">
        <f aca="false">DEMANDA!B5</f>
        <v>FL_MAT_ABC_2.5kg</v>
      </c>
      <c r="Q5" s="24" t="str">
        <f aca="false">DEMANDA!A5</f>
        <v>MANUALES</v>
      </c>
      <c r="R5" s="24" t="str">
        <f aca="false">DEMANDA!E5</f>
        <v>Ventas manual comercial (2,5 / 5 / 10 kg)</v>
      </c>
      <c r="S5" s="26" t="n">
        <f aca="false">INDEX($B$4:$M$9,MATCH($R5,$A$4:$A$9,0),1)</f>
        <v>0.1</v>
      </c>
      <c r="T5" s="26" t="n">
        <f aca="false">INDEX($B$4:$M$9,MATCH($R5,$A$4:$A$9,0),2)</f>
        <v>0.08</v>
      </c>
      <c r="U5" s="26" t="n">
        <f aca="false">INDEX($B$4:$M$9,MATCH($R5,$A$4:$A$9,0),3)</f>
        <v>0.085</v>
      </c>
      <c r="V5" s="26" t="n">
        <f aca="false">INDEX($B$4:$M$9,MATCH($R5,$A$4:$A$9,0),4)</f>
        <v>0.085</v>
      </c>
      <c r="W5" s="26" t="n">
        <f aca="false">INDEX($B$4:$M$9,MATCH($R5,$A$4:$A$9,0),5)</f>
        <v>0.08</v>
      </c>
      <c r="X5" s="26" t="n">
        <f aca="false">INDEX($B$4:$M$9,MATCH($R5,$A$4:$A$9,0),6)</f>
        <v>0.075</v>
      </c>
      <c r="Y5" s="26" t="n">
        <f aca="false">INDEX($B$4:$M$9,MATCH($R5,$A$4:$A$9,0),7)</f>
        <v>0.08</v>
      </c>
      <c r="Z5" s="26" t="n">
        <f aca="false">INDEX($B$4:$M$9,MATCH($R5,$A$4:$A$9,0),8)</f>
        <v>0.08</v>
      </c>
      <c r="AA5" s="26" t="n">
        <f aca="false">INDEX($B$4:$M$9,MATCH($R5,$A$4:$A$9,0),9)</f>
        <v>0.08</v>
      </c>
      <c r="AB5" s="26" t="n">
        <f aca="false">INDEX($B$4:$M$9,MATCH($R5,$A$4:$A$9,0),10)</f>
        <v>0.075</v>
      </c>
      <c r="AC5" s="26" t="n">
        <f aca="false">INDEX($B$4:$M$9,MATCH($R5,$A$4:$A$9,0),11)</f>
        <v>0.07</v>
      </c>
      <c r="AD5" s="26" t="n">
        <f aca="false">INDEX($B$4:$M$9,MATCH($R5,$A$4:$A$9,0),12)</f>
        <v>0.11</v>
      </c>
      <c r="AE5" s="25" t="n">
        <f aca="false">INDEX(DEMANDA!$F5:$O5,INDEX(P_VAL,MATCH("AÑO_DIS",P_ID,0))-2025)</f>
        <v>7424.858444</v>
      </c>
    </row>
    <row r="6" customFormat="false" ht="15" hidden="false" customHeight="false" outlineLevel="0" collapsed="false">
      <c r="A6" s="24" t="s">
        <v>248</v>
      </c>
      <c r="B6" s="26" t="n">
        <v>0.085</v>
      </c>
      <c r="C6" s="26" t="n">
        <v>0.075</v>
      </c>
      <c r="D6" s="26" t="n">
        <v>0.09</v>
      </c>
      <c r="E6" s="26" t="n">
        <v>0.09</v>
      </c>
      <c r="F6" s="26" t="n">
        <v>0.09</v>
      </c>
      <c r="G6" s="26" t="n">
        <v>0.08</v>
      </c>
      <c r="H6" s="26" t="n">
        <v>0.09</v>
      </c>
      <c r="I6" s="26" t="n">
        <v>0.09</v>
      </c>
      <c r="J6" s="26" t="n">
        <v>0.085</v>
      </c>
      <c r="K6" s="26" t="n">
        <v>0.075</v>
      </c>
      <c r="L6" s="26" t="n">
        <v>0.07</v>
      </c>
      <c r="M6" s="26" t="n">
        <v>0.08</v>
      </c>
      <c r="N6" s="27" t="n">
        <f aca="false">SUM(B6:M6)</f>
        <v>1</v>
      </c>
      <c r="P6" s="24" t="str">
        <f aca="false">DEMANDA!B6</f>
        <v>FL_MAT_ABC_5kg</v>
      </c>
      <c r="Q6" s="24" t="str">
        <f aca="false">DEMANDA!A6</f>
        <v>MANUALES</v>
      </c>
      <c r="R6" s="24" t="str">
        <f aca="false">DEMANDA!E6</f>
        <v>Ventas manual comercial (2,5 / 5 / 10 kg)</v>
      </c>
      <c r="S6" s="26" t="n">
        <f aca="false">INDEX($B$4:$M$9,MATCH($R6,$A$4:$A$9,0),1)</f>
        <v>0.1</v>
      </c>
      <c r="T6" s="26" t="n">
        <f aca="false">INDEX($B$4:$M$9,MATCH($R6,$A$4:$A$9,0),2)</f>
        <v>0.08</v>
      </c>
      <c r="U6" s="26" t="n">
        <f aca="false">INDEX($B$4:$M$9,MATCH($R6,$A$4:$A$9,0),3)</f>
        <v>0.085</v>
      </c>
      <c r="V6" s="26" t="n">
        <f aca="false">INDEX($B$4:$M$9,MATCH($R6,$A$4:$A$9,0),4)</f>
        <v>0.085</v>
      </c>
      <c r="W6" s="26" t="n">
        <f aca="false">INDEX($B$4:$M$9,MATCH($R6,$A$4:$A$9,0),5)</f>
        <v>0.08</v>
      </c>
      <c r="X6" s="26" t="n">
        <f aca="false">INDEX($B$4:$M$9,MATCH($R6,$A$4:$A$9,0),6)</f>
        <v>0.075</v>
      </c>
      <c r="Y6" s="26" t="n">
        <f aca="false">INDEX($B$4:$M$9,MATCH($R6,$A$4:$A$9,0),7)</f>
        <v>0.08</v>
      </c>
      <c r="Z6" s="26" t="n">
        <f aca="false">INDEX($B$4:$M$9,MATCH($R6,$A$4:$A$9,0),8)</f>
        <v>0.08</v>
      </c>
      <c r="AA6" s="26" t="n">
        <f aca="false">INDEX($B$4:$M$9,MATCH($R6,$A$4:$A$9,0),9)</f>
        <v>0.08</v>
      </c>
      <c r="AB6" s="26" t="n">
        <f aca="false">INDEX($B$4:$M$9,MATCH($R6,$A$4:$A$9,0),10)</f>
        <v>0.075</v>
      </c>
      <c r="AC6" s="26" t="n">
        <f aca="false">INDEX($B$4:$M$9,MATCH($R6,$A$4:$A$9,0),11)</f>
        <v>0.07</v>
      </c>
      <c r="AD6" s="26" t="n">
        <f aca="false">INDEX($B$4:$M$9,MATCH($R6,$A$4:$A$9,0),12)</f>
        <v>0.11</v>
      </c>
      <c r="AE6" s="25" t="n">
        <f aca="false">INDEX(DEMANDA!$F6:$O6,INDEX(P_VAL,MATCH("AÑO_DIS",P_ID,0))-2025)</f>
        <v>32318.77872</v>
      </c>
    </row>
    <row r="7" customFormat="false" ht="15" hidden="false" customHeight="false" outlineLevel="0" collapsed="false">
      <c r="A7" s="24" t="s">
        <v>285</v>
      </c>
      <c r="B7" s="26" t="n">
        <v>0.1</v>
      </c>
      <c r="C7" s="26" t="n">
        <v>0.078</v>
      </c>
      <c r="D7" s="26" t="n">
        <v>0.078</v>
      </c>
      <c r="E7" s="26" t="n">
        <v>0.078</v>
      </c>
      <c r="F7" s="26" t="n">
        <v>0.078</v>
      </c>
      <c r="G7" s="26" t="n">
        <v>0.078</v>
      </c>
      <c r="H7" s="26" t="n">
        <v>0.078</v>
      </c>
      <c r="I7" s="26" t="n">
        <v>0.078</v>
      </c>
      <c r="J7" s="26" t="n">
        <v>0.078</v>
      </c>
      <c r="K7" s="26" t="n">
        <v>0.078</v>
      </c>
      <c r="L7" s="26" t="n">
        <v>0.078</v>
      </c>
      <c r="M7" s="26" t="n">
        <v>0.12</v>
      </c>
      <c r="N7" s="27" t="n">
        <f aca="false">SUM(B7:M7)</f>
        <v>1</v>
      </c>
      <c r="P7" s="24" t="str">
        <f aca="false">DEMANDA!B7</f>
        <v>FL_MAT_ABC_10kg</v>
      </c>
      <c r="Q7" s="24" t="str">
        <f aca="false">DEMANDA!A7</f>
        <v>MANUALES</v>
      </c>
      <c r="R7" s="24" t="str">
        <f aca="false">DEMANDA!E7</f>
        <v>Ventas manual comercial (2,5 / 5 / 10 kg)</v>
      </c>
      <c r="S7" s="26" t="n">
        <f aca="false">INDEX($B$4:$M$9,MATCH($R7,$A$4:$A$9,0),1)</f>
        <v>0.1</v>
      </c>
      <c r="T7" s="26" t="n">
        <f aca="false">INDEX($B$4:$M$9,MATCH($R7,$A$4:$A$9,0),2)</f>
        <v>0.08</v>
      </c>
      <c r="U7" s="26" t="n">
        <f aca="false">INDEX($B$4:$M$9,MATCH($R7,$A$4:$A$9,0),3)</f>
        <v>0.085</v>
      </c>
      <c r="V7" s="26" t="n">
        <f aca="false">INDEX($B$4:$M$9,MATCH($R7,$A$4:$A$9,0),4)</f>
        <v>0.085</v>
      </c>
      <c r="W7" s="26" t="n">
        <f aca="false">INDEX($B$4:$M$9,MATCH($R7,$A$4:$A$9,0),5)</f>
        <v>0.08</v>
      </c>
      <c r="X7" s="26" t="n">
        <f aca="false">INDEX($B$4:$M$9,MATCH($R7,$A$4:$A$9,0),6)</f>
        <v>0.075</v>
      </c>
      <c r="Y7" s="26" t="n">
        <f aca="false">INDEX($B$4:$M$9,MATCH($R7,$A$4:$A$9,0),7)</f>
        <v>0.08</v>
      </c>
      <c r="Z7" s="26" t="n">
        <f aca="false">INDEX($B$4:$M$9,MATCH($R7,$A$4:$A$9,0),8)</f>
        <v>0.08</v>
      </c>
      <c r="AA7" s="26" t="n">
        <f aca="false">INDEX($B$4:$M$9,MATCH($R7,$A$4:$A$9,0),9)</f>
        <v>0.08</v>
      </c>
      <c r="AB7" s="26" t="n">
        <f aca="false">INDEX($B$4:$M$9,MATCH($R7,$A$4:$A$9,0),10)</f>
        <v>0.075</v>
      </c>
      <c r="AC7" s="26" t="n">
        <f aca="false">INDEX($B$4:$M$9,MATCH($R7,$A$4:$A$9,0),11)</f>
        <v>0.07</v>
      </c>
      <c r="AD7" s="26" t="n">
        <f aca="false">INDEX($B$4:$M$9,MATCH($R7,$A$4:$A$9,0),12)</f>
        <v>0.11</v>
      </c>
      <c r="AE7" s="25" t="n">
        <f aca="false">INDEX(DEMANDA!$F7:$O7,INDEX(P_VAL,MATCH("AÑO_DIS",P_ID,0))-2025)</f>
        <v>1840.848079</v>
      </c>
    </row>
    <row r="8" customFormat="false" ht="15" hidden="false" customHeight="false" outlineLevel="0" collapsed="false">
      <c r="A8" s="24" t="s">
        <v>289</v>
      </c>
      <c r="B8" s="26" t="n">
        <v>0.09</v>
      </c>
      <c r="C8" s="26" t="n">
        <v>0.08</v>
      </c>
      <c r="D8" s="26" t="n">
        <v>0.085</v>
      </c>
      <c r="E8" s="26" t="n">
        <v>0.08</v>
      </c>
      <c r="F8" s="26" t="n">
        <v>0.075</v>
      </c>
      <c r="G8" s="26" t="n">
        <v>0.07</v>
      </c>
      <c r="H8" s="26" t="n">
        <v>0.08</v>
      </c>
      <c r="I8" s="26" t="n">
        <v>0.085</v>
      </c>
      <c r="J8" s="26" t="n">
        <v>0.085</v>
      </c>
      <c r="K8" s="26" t="n">
        <v>0.08</v>
      </c>
      <c r="L8" s="26" t="n">
        <v>0.08</v>
      </c>
      <c r="M8" s="26" t="n">
        <v>0.11</v>
      </c>
      <c r="N8" s="27" t="n">
        <f aca="false">SUM(B8:M8)</f>
        <v>1</v>
      </c>
      <c r="P8" s="24" t="str">
        <f aca="false">DEMANDA!B8</f>
        <v>FL_MAT_ABC_25kg</v>
      </c>
      <c r="Q8" s="24" t="str">
        <f aca="false">DEMANDA!A8</f>
        <v>RODANTES</v>
      </c>
      <c r="R8" s="24" t="str">
        <f aca="false">DEMANDA!E8</f>
        <v>Ventas industrial s/ruedas (25 - 100 kg)</v>
      </c>
      <c r="S8" s="26" t="n">
        <f aca="false">INDEX($B$4:$M$9,MATCH($R8,$A$4:$A$9,0),1)</f>
        <v>0.085</v>
      </c>
      <c r="T8" s="26" t="n">
        <f aca="false">INDEX($B$4:$M$9,MATCH($R8,$A$4:$A$9,0),2)</f>
        <v>0.075</v>
      </c>
      <c r="U8" s="26" t="n">
        <f aca="false">INDEX($B$4:$M$9,MATCH($R8,$A$4:$A$9,0),3)</f>
        <v>0.09</v>
      </c>
      <c r="V8" s="26" t="n">
        <f aca="false">INDEX($B$4:$M$9,MATCH($R8,$A$4:$A$9,0),4)</f>
        <v>0.09</v>
      </c>
      <c r="W8" s="26" t="n">
        <f aca="false">INDEX($B$4:$M$9,MATCH($R8,$A$4:$A$9,0),5)</f>
        <v>0.09</v>
      </c>
      <c r="X8" s="26" t="n">
        <f aca="false">INDEX($B$4:$M$9,MATCH($R8,$A$4:$A$9,0),6)</f>
        <v>0.08</v>
      </c>
      <c r="Y8" s="26" t="n">
        <f aca="false">INDEX($B$4:$M$9,MATCH($R8,$A$4:$A$9,0),7)</f>
        <v>0.09</v>
      </c>
      <c r="Z8" s="26" t="n">
        <f aca="false">INDEX($B$4:$M$9,MATCH($R8,$A$4:$A$9,0),8)</f>
        <v>0.09</v>
      </c>
      <c r="AA8" s="26" t="n">
        <f aca="false">INDEX($B$4:$M$9,MATCH($R8,$A$4:$A$9,0),9)</f>
        <v>0.085</v>
      </c>
      <c r="AB8" s="26" t="n">
        <f aca="false">INDEX($B$4:$M$9,MATCH($R8,$A$4:$A$9,0),10)</f>
        <v>0.075</v>
      </c>
      <c r="AC8" s="26" t="n">
        <f aca="false">INDEX($B$4:$M$9,MATCH($R8,$A$4:$A$9,0),11)</f>
        <v>0.07</v>
      </c>
      <c r="AD8" s="26" t="n">
        <f aca="false">INDEX($B$4:$M$9,MATCH($R8,$A$4:$A$9,0),12)</f>
        <v>0.08</v>
      </c>
      <c r="AE8" s="25" t="n">
        <f aca="false">INDEX(DEMANDA!$F8:$O8,INDEX(P_VAL,MATCH("AÑO_DIS",P_ID,0))-2025)</f>
        <v>453.2705332</v>
      </c>
    </row>
    <row r="9" customFormat="false" ht="15" hidden="false" customHeight="false" outlineLevel="0" collapsed="false">
      <c r="A9" s="24" t="s">
        <v>299</v>
      </c>
      <c r="B9" s="26" t="n">
        <v>0.1</v>
      </c>
      <c r="C9" s="26" t="n">
        <v>0.08</v>
      </c>
      <c r="D9" s="26" t="n">
        <v>0.085</v>
      </c>
      <c r="E9" s="26" t="n">
        <v>0.085</v>
      </c>
      <c r="F9" s="26" t="n">
        <v>0.08</v>
      </c>
      <c r="G9" s="26" t="n">
        <v>0.075</v>
      </c>
      <c r="H9" s="26" t="n">
        <v>0.09</v>
      </c>
      <c r="I9" s="26" t="n">
        <v>0.08</v>
      </c>
      <c r="J9" s="26" t="n">
        <v>0.08</v>
      </c>
      <c r="K9" s="26" t="n">
        <v>0.08</v>
      </c>
      <c r="L9" s="26" t="n">
        <v>0.075</v>
      </c>
      <c r="M9" s="26" t="n">
        <v>0.09</v>
      </c>
      <c r="N9" s="27" t="n">
        <f aca="false">SUM(B9:M9)</f>
        <v>1</v>
      </c>
      <c r="P9" s="24" t="str">
        <f aca="false">DEMANDA!B9</f>
        <v>FL_MAT_ABC_50kg</v>
      </c>
      <c r="Q9" s="24" t="str">
        <f aca="false">DEMANDA!A9</f>
        <v>RODANTES</v>
      </c>
      <c r="R9" s="24" t="str">
        <f aca="false">DEMANDA!E9</f>
        <v>Ventas industrial s/ruedas (25 - 100 kg)</v>
      </c>
      <c r="S9" s="26" t="n">
        <f aca="false">INDEX($B$4:$M$9,MATCH($R9,$A$4:$A$9,0),1)</f>
        <v>0.085</v>
      </c>
      <c r="T9" s="26" t="n">
        <f aca="false">INDEX($B$4:$M$9,MATCH($R9,$A$4:$A$9,0),2)</f>
        <v>0.075</v>
      </c>
      <c r="U9" s="26" t="n">
        <f aca="false">INDEX($B$4:$M$9,MATCH($R9,$A$4:$A$9,0),3)</f>
        <v>0.09</v>
      </c>
      <c r="V9" s="26" t="n">
        <f aca="false">INDEX($B$4:$M$9,MATCH($R9,$A$4:$A$9,0),4)</f>
        <v>0.09</v>
      </c>
      <c r="W9" s="26" t="n">
        <f aca="false">INDEX($B$4:$M$9,MATCH($R9,$A$4:$A$9,0),5)</f>
        <v>0.09</v>
      </c>
      <c r="X9" s="26" t="n">
        <f aca="false">INDEX($B$4:$M$9,MATCH($R9,$A$4:$A$9,0),6)</f>
        <v>0.08</v>
      </c>
      <c r="Y9" s="26" t="n">
        <f aca="false">INDEX($B$4:$M$9,MATCH($R9,$A$4:$A$9,0),7)</f>
        <v>0.09</v>
      </c>
      <c r="Z9" s="26" t="n">
        <f aca="false">INDEX($B$4:$M$9,MATCH($R9,$A$4:$A$9,0),8)</f>
        <v>0.09</v>
      </c>
      <c r="AA9" s="26" t="n">
        <f aca="false">INDEX($B$4:$M$9,MATCH($R9,$A$4:$A$9,0),9)</f>
        <v>0.085</v>
      </c>
      <c r="AB9" s="26" t="n">
        <f aca="false">INDEX($B$4:$M$9,MATCH($R9,$A$4:$A$9,0),10)</f>
        <v>0.075</v>
      </c>
      <c r="AC9" s="26" t="n">
        <f aca="false">INDEX($B$4:$M$9,MATCH($R9,$A$4:$A$9,0),11)</f>
        <v>0.07</v>
      </c>
      <c r="AD9" s="26" t="n">
        <f aca="false">INDEX($B$4:$M$9,MATCH($R9,$A$4:$A$9,0),12)</f>
        <v>0.08</v>
      </c>
      <c r="AE9" s="25" t="n">
        <f aca="false">INDEX(DEMANDA!$F9:$O9,INDEX(P_VAL,MATCH("AÑO_DIS",P_ID,0))-2025)</f>
        <v>997.1951731</v>
      </c>
    </row>
    <row r="10" customFormat="false" ht="15" hidden="false" customHeight="false" outlineLevel="0" collapsed="false">
      <c r="P10" s="24" t="str">
        <f aca="false">DEMANDA!B10</f>
        <v>FL_MAT_ABC_70kg</v>
      </c>
      <c r="Q10" s="24" t="str">
        <f aca="false">DEMANDA!A10</f>
        <v>RODANTES</v>
      </c>
      <c r="R10" s="24" t="str">
        <f aca="false">DEMANDA!E10</f>
        <v>Ventas industrial s/ruedas (25 - 100 kg)</v>
      </c>
      <c r="S10" s="26" t="n">
        <f aca="false">INDEX($B$4:$M$9,MATCH($R10,$A$4:$A$9,0),1)</f>
        <v>0.085</v>
      </c>
      <c r="T10" s="26" t="n">
        <f aca="false">INDEX($B$4:$M$9,MATCH($R10,$A$4:$A$9,0),2)</f>
        <v>0.075</v>
      </c>
      <c r="U10" s="26" t="n">
        <f aca="false">INDEX($B$4:$M$9,MATCH($R10,$A$4:$A$9,0),3)</f>
        <v>0.09</v>
      </c>
      <c r="V10" s="26" t="n">
        <f aca="false">INDEX($B$4:$M$9,MATCH($R10,$A$4:$A$9,0),4)</f>
        <v>0.09</v>
      </c>
      <c r="W10" s="26" t="n">
        <f aca="false">INDEX($B$4:$M$9,MATCH($R10,$A$4:$A$9,0),5)</f>
        <v>0.09</v>
      </c>
      <c r="X10" s="26" t="n">
        <f aca="false">INDEX($B$4:$M$9,MATCH($R10,$A$4:$A$9,0),6)</f>
        <v>0.08</v>
      </c>
      <c r="Y10" s="26" t="n">
        <f aca="false">INDEX($B$4:$M$9,MATCH($R10,$A$4:$A$9,0),7)</f>
        <v>0.09</v>
      </c>
      <c r="Z10" s="26" t="n">
        <f aca="false">INDEX($B$4:$M$9,MATCH($R10,$A$4:$A$9,0),8)</f>
        <v>0.09</v>
      </c>
      <c r="AA10" s="26" t="n">
        <f aca="false">INDEX($B$4:$M$9,MATCH($R10,$A$4:$A$9,0),9)</f>
        <v>0.085</v>
      </c>
      <c r="AB10" s="26" t="n">
        <f aca="false">INDEX($B$4:$M$9,MATCH($R10,$A$4:$A$9,0),10)</f>
        <v>0.075</v>
      </c>
      <c r="AC10" s="26" t="n">
        <f aca="false">INDEX($B$4:$M$9,MATCH($R10,$A$4:$A$9,0),11)</f>
        <v>0.07</v>
      </c>
      <c r="AD10" s="26" t="n">
        <f aca="false">INDEX($B$4:$M$9,MATCH($R10,$A$4:$A$9,0),12)</f>
        <v>0.08</v>
      </c>
      <c r="AE10" s="25" t="n">
        <f aca="false">INDEX(DEMANDA!$F10:$O10,INDEX(P_VAL,MATCH("AÑO_DIS",P_ID,0))-2025)</f>
        <v>217.569856</v>
      </c>
    </row>
    <row r="11" customFormat="false" ht="31.5" hidden="false" customHeight="true" outlineLevel="0" collapsed="false">
      <c r="P11" s="28" t="s">
        <v>456</v>
      </c>
      <c r="Q11" s="28" t="str">
        <f aca="false">DEMANDA!A11</f>
        <v>RODANTES</v>
      </c>
      <c r="R11" s="28" t="str">
        <f aca="false">DEMANDA!E11</f>
        <v>Ventas industrial s/ruedas (25 - 100 kg)</v>
      </c>
      <c r="S11" s="29" t="n">
        <f aca="false">INDEX($B$4:$M$9,MATCH($R11,$A$4:$A$9,0),1)</f>
        <v>0.085</v>
      </c>
      <c r="T11" s="29" t="n">
        <f aca="false">INDEX($B$4:$M$9,MATCH($R11,$A$4:$A$9,0),2)</f>
        <v>0.075</v>
      </c>
      <c r="U11" s="29" t="n">
        <f aca="false">INDEX($B$4:$M$9,MATCH($R11,$A$4:$A$9,0),3)</f>
        <v>0.09</v>
      </c>
      <c r="V11" s="29" t="n">
        <f aca="false">INDEX($B$4:$M$9,MATCH($R11,$A$4:$A$9,0),4)</f>
        <v>0.09</v>
      </c>
      <c r="W11" s="29" t="n">
        <f aca="false">INDEX($B$4:$M$9,MATCH($R11,$A$4:$A$9,0),5)</f>
        <v>0.09</v>
      </c>
      <c r="X11" s="29" t="n">
        <f aca="false">INDEX($B$4:$M$9,MATCH($R11,$A$4:$A$9,0),6)</f>
        <v>0.08</v>
      </c>
      <c r="Y11" s="29" t="n">
        <f aca="false">INDEX($B$4:$M$9,MATCH($R11,$A$4:$A$9,0),7)</f>
        <v>0.09</v>
      </c>
      <c r="Z11" s="29" t="n">
        <f aca="false">INDEX($B$4:$M$9,MATCH($R11,$A$4:$A$9,0),8)</f>
        <v>0.09</v>
      </c>
      <c r="AA11" s="29" t="n">
        <f aca="false">INDEX($B$4:$M$9,MATCH($R11,$A$4:$A$9,0),9)</f>
        <v>0.085</v>
      </c>
      <c r="AB11" s="29" t="n">
        <f aca="false">INDEX($B$4:$M$9,MATCH($R11,$A$4:$A$9,0),10)</f>
        <v>0.075</v>
      </c>
      <c r="AC11" s="29" t="n">
        <f aca="false">INDEX($B$4:$M$9,MATCH($R11,$A$4:$A$9,0),11)</f>
        <v>0.07</v>
      </c>
      <c r="AD11" s="29" t="n">
        <f aca="false">INDEX($B$4:$M$9,MATCH($R11,$A$4:$A$9,0),12)</f>
        <v>0.08</v>
      </c>
      <c r="AE11" s="30" t="n">
        <f aca="false">INDEX(DEMANDA!$F11:$O11,INDEX(P_VAL,MATCH("AÑO_DIS",P_ID,0))-2025)</f>
        <v>145.0465706</v>
      </c>
    </row>
    <row r="12" customFormat="false" ht="15" hidden="false" customHeight="false" outlineLevel="0" collapsed="false">
      <c r="A12" s="13" t="s">
        <v>457</v>
      </c>
      <c r="P12" s="24" t="str">
        <f aca="false">DEMANDA!B12</f>
        <v>FL_REC_ABC_1kg</v>
      </c>
      <c r="Q12" s="24" t="str">
        <f aca="false">DEMANDA!A12</f>
        <v>MANUALES</v>
      </c>
      <c r="R12" s="24" t="str">
        <f aca="false">DEMANDA!E12</f>
        <v>Ventas automovilístico (1 kg)</v>
      </c>
      <c r="S12" s="26" t="n">
        <f aca="false">INDEX($B$4:$M$9,MATCH($R12,$A$4:$A$9,0),1)</f>
        <v>0.12</v>
      </c>
      <c r="T12" s="26" t="n">
        <f aca="false">INDEX($B$4:$M$9,MATCH($R12,$A$4:$A$9,0),2)</f>
        <v>0.09</v>
      </c>
      <c r="U12" s="26" t="n">
        <f aca="false">INDEX($B$4:$M$9,MATCH($R12,$A$4:$A$9,0),3)</f>
        <v>0.08</v>
      </c>
      <c r="V12" s="26" t="n">
        <f aca="false">INDEX($B$4:$M$9,MATCH($R12,$A$4:$A$9,0),4)</f>
        <v>0.075</v>
      </c>
      <c r="W12" s="26" t="n">
        <f aca="false">INDEX($B$4:$M$9,MATCH($R12,$A$4:$A$9,0),5)</f>
        <v>0.07</v>
      </c>
      <c r="X12" s="26" t="n">
        <f aca="false">INDEX($B$4:$M$9,MATCH($R12,$A$4:$A$9,0),6)</f>
        <v>0.07</v>
      </c>
      <c r="Y12" s="26" t="n">
        <f aca="false">INDEX($B$4:$M$9,MATCH($R12,$A$4:$A$9,0),7)</f>
        <v>0.075</v>
      </c>
      <c r="Z12" s="26" t="n">
        <f aca="false">INDEX($B$4:$M$9,MATCH($R12,$A$4:$A$9,0),8)</f>
        <v>0.075</v>
      </c>
      <c r="AA12" s="26" t="n">
        <f aca="false">INDEX($B$4:$M$9,MATCH($R12,$A$4:$A$9,0),9)</f>
        <v>0.075</v>
      </c>
      <c r="AB12" s="26" t="n">
        <f aca="false">INDEX($B$4:$M$9,MATCH($R12,$A$4:$A$9,0),10)</f>
        <v>0.075</v>
      </c>
      <c r="AC12" s="26" t="n">
        <f aca="false">INDEX($B$4:$M$9,MATCH($R12,$A$4:$A$9,0),11)</f>
        <v>0.075</v>
      </c>
      <c r="AD12" s="26" t="n">
        <f aca="false">INDEX($B$4:$M$9,MATCH($R12,$A$4:$A$9,0),12)</f>
        <v>0.12</v>
      </c>
      <c r="AE12" s="25" t="n">
        <f aca="false">INDEX(DEMANDA!$F12:$O12,INDEX(P_VAL,MATCH("AÑO_DIS",P_ID,0))-2025)</f>
        <v>170548</v>
      </c>
    </row>
    <row r="13" customFormat="false" ht="31.5" hidden="false" customHeight="true" outlineLevel="0" collapsed="false">
      <c r="A13" s="3" t="s">
        <v>224</v>
      </c>
      <c r="B13" s="3" t="s">
        <v>443</v>
      </c>
      <c r="C13" s="3" t="s">
        <v>444</v>
      </c>
      <c r="D13" s="3" t="s">
        <v>445</v>
      </c>
      <c r="E13" s="3" t="s">
        <v>446</v>
      </c>
      <c r="F13" s="3" t="s">
        <v>447</v>
      </c>
      <c r="G13" s="3" t="s">
        <v>448</v>
      </c>
      <c r="H13" s="3" t="s">
        <v>449</v>
      </c>
      <c r="I13" s="3" t="s">
        <v>450</v>
      </c>
      <c r="J13" s="3" t="s">
        <v>451</v>
      </c>
      <c r="K13" s="3" t="s">
        <v>452</v>
      </c>
      <c r="L13" s="3" t="s">
        <v>453</v>
      </c>
      <c r="M13" s="3" t="s">
        <v>454</v>
      </c>
      <c r="N13" s="3" t="s">
        <v>458</v>
      </c>
      <c r="P13" s="24" t="str">
        <f aca="false">DEMANDA!B13</f>
        <v>FL_REC_ABC_2.5kg</v>
      </c>
      <c r="Q13" s="24" t="str">
        <f aca="false">DEMANDA!A13</f>
        <v>MANUALES</v>
      </c>
      <c r="R13" s="24" t="str">
        <f aca="false">DEMANDA!E13</f>
        <v>Ventas manual comercial (2,5 / 5 / 10 kg)</v>
      </c>
      <c r="S13" s="26" t="n">
        <f aca="false">INDEX($B$4:$M$9,MATCH($R13,$A$4:$A$9,0),1)</f>
        <v>0.1</v>
      </c>
      <c r="T13" s="26" t="n">
        <f aca="false">INDEX($B$4:$M$9,MATCH($R13,$A$4:$A$9,0),2)</f>
        <v>0.08</v>
      </c>
      <c r="U13" s="26" t="n">
        <f aca="false">INDEX($B$4:$M$9,MATCH($R13,$A$4:$A$9,0),3)</f>
        <v>0.085</v>
      </c>
      <c r="V13" s="26" t="n">
        <f aca="false">INDEX($B$4:$M$9,MATCH($R13,$A$4:$A$9,0),4)</f>
        <v>0.085</v>
      </c>
      <c r="W13" s="26" t="n">
        <f aca="false">INDEX($B$4:$M$9,MATCH($R13,$A$4:$A$9,0),5)</f>
        <v>0.08</v>
      </c>
      <c r="X13" s="26" t="n">
        <f aca="false">INDEX($B$4:$M$9,MATCH($R13,$A$4:$A$9,0),6)</f>
        <v>0.075</v>
      </c>
      <c r="Y13" s="26" t="n">
        <f aca="false">INDEX($B$4:$M$9,MATCH($R13,$A$4:$A$9,0),7)</f>
        <v>0.08</v>
      </c>
      <c r="Z13" s="26" t="n">
        <f aca="false">INDEX($B$4:$M$9,MATCH($R13,$A$4:$A$9,0),8)</f>
        <v>0.08</v>
      </c>
      <c r="AA13" s="26" t="n">
        <f aca="false">INDEX($B$4:$M$9,MATCH($R13,$A$4:$A$9,0),9)</f>
        <v>0.08</v>
      </c>
      <c r="AB13" s="26" t="n">
        <f aca="false">INDEX($B$4:$M$9,MATCH($R13,$A$4:$A$9,0),10)</f>
        <v>0.075</v>
      </c>
      <c r="AC13" s="26" t="n">
        <f aca="false">INDEX($B$4:$M$9,MATCH($R13,$A$4:$A$9,0),11)</f>
        <v>0.07</v>
      </c>
      <c r="AD13" s="26" t="n">
        <f aca="false">INDEX($B$4:$M$9,MATCH($R13,$A$4:$A$9,0),12)</f>
        <v>0.11</v>
      </c>
      <c r="AE13" s="25" t="n">
        <f aca="false">INDEX(DEMANDA!$F13:$O13,INDEX(P_VAL,MATCH("AÑO_DIS",P_ID,0))-2025)</f>
        <v>6669</v>
      </c>
    </row>
    <row r="14" customFormat="false" ht="15" hidden="false" customHeight="false" outlineLevel="0" collapsed="false">
      <c r="A14" s="24" t="s">
        <v>229</v>
      </c>
      <c r="B14" s="26" t="n">
        <f aca="false">SUMPRODUCT(($Q$4:$Q$69="MANUALES")*$AE$4:$AE$69*S$4:S$69)/SUMIF($Q$4:$Q$69,"MANUALES",$AE$4:$AE$69)</f>
        <v>0.114179184811379</v>
      </c>
      <c r="C14" s="26" t="n">
        <f aca="false">SUMPRODUCT(($Q$4:$Q$69="MANUALES")*$AE$4:$AE$69*T$4:T$69)/SUMIF($Q$4:$Q$69,"MANUALES",$AE$4:$AE$69)</f>
        <v>0.0870895924056897</v>
      </c>
      <c r="D14" s="26" t="n">
        <f aca="false">SUMPRODUCT(($Q$4:$Q$69="MANUALES")*$AE$4:$AE$69*U$4:U$69)/SUMIF($Q$4:$Q$69,"MANUALES",$AE$4:$AE$69)</f>
        <v>0.0814552037971551</v>
      </c>
      <c r="E14" s="26" t="n">
        <f aca="false">SUMPRODUCT(($Q$4:$Q$69="MANUALES")*$AE$4:$AE$69*V$4:V$69)/SUMIF($Q$4:$Q$69,"MANUALES",$AE$4:$AE$69)</f>
        <v>0.0779104075943103</v>
      </c>
      <c r="F14" s="26" t="n">
        <f aca="false">SUMPRODUCT(($Q$4:$Q$69="MANUALES")*$AE$4:$AE$69*W$4:W$69)/SUMIF($Q$4:$Q$69,"MANUALES",$AE$4:$AE$69)</f>
        <v>0.0729104075943103</v>
      </c>
      <c r="G14" s="26" t="n">
        <f aca="false">SUMPRODUCT(($Q$4:$Q$69="MANUALES")*$AE$4:$AE$69*X$4:X$69)/SUMIF($Q$4:$Q$69,"MANUALES",$AE$4:$AE$69)</f>
        <v>0.0714552037971551</v>
      </c>
      <c r="H14" s="26" t="n">
        <f aca="false">SUMPRODUCT(($Q$4:$Q$69="MANUALES")*$AE$4:$AE$69*Y$4:Y$69)/SUMIF($Q$4:$Q$69,"MANUALES",$AE$4:$AE$69)</f>
        <v>0.0764552037971551</v>
      </c>
      <c r="I14" s="26" t="n">
        <f aca="false">SUMPRODUCT(($Q$4:$Q$69="MANUALES")*$AE$4:$AE$69*Z$4:Z$69)/SUMIF($Q$4:$Q$69,"MANUALES",$AE$4:$AE$69)</f>
        <v>0.0764552037971551</v>
      </c>
      <c r="J14" s="26" t="n">
        <f aca="false">SUMPRODUCT(($Q$4:$Q$69="MANUALES")*$AE$4:$AE$69*AA$4:AA$69)/SUMIF($Q$4:$Q$69,"MANUALES",$AE$4:$AE$69)</f>
        <v>0.0764552037971551</v>
      </c>
      <c r="K14" s="26" t="n">
        <f aca="false">SUMPRODUCT(($Q$4:$Q$69="MANUALES")*$AE$4:$AE$69*AB$4:AB$69)/SUMIF($Q$4:$Q$69,"MANUALES",$AE$4:$AE$69)</f>
        <v>0.075</v>
      </c>
      <c r="L14" s="26" t="n">
        <f aca="false">SUMPRODUCT(($Q$4:$Q$69="MANUALES")*$AE$4:$AE$69*AC$4:AC$69)/SUMIF($Q$4:$Q$69,"MANUALES",$AE$4:$AE$69)</f>
        <v>0.0735447962028449</v>
      </c>
      <c r="M14" s="26" t="n">
        <f aca="false">SUMPRODUCT(($Q$4:$Q$69="MANUALES")*$AE$4:$AE$69*AD$4:AD$69)/SUMIF($Q$4:$Q$69,"MANUALES",$AE$4:$AE$69)</f>
        <v>0.11708959240569</v>
      </c>
      <c r="N14" s="31" t="n">
        <f aca="false">MAX(B14:M14)*12</f>
        <v>1.40507510886828</v>
      </c>
      <c r="P14" s="24" t="str">
        <f aca="false">DEMANDA!B14</f>
        <v>FL_REC_ABC_5kg</v>
      </c>
      <c r="Q14" s="24" t="str">
        <f aca="false">DEMANDA!A14</f>
        <v>MANUALES</v>
      </c>
      <c r="R14" s="24" t="str">
        <f aca="false">DEMANDA!E14</f>
        <v>Ventas manual comercial (2,5 / 5 / 10 kg)</v>
      </c>
      <c r="S14" s="26" t="n">
        <f aca="false">INDEX($B$4:$M$9,MATCH($R14,$A$4:$A$9,0),1)</f>
        <v>0.1</v>
      </c>
      <c r="T14" s="26" t="n">
        <f aca="false">INDEX($B$4:$M$9,MATCH($R14,$A$4:$A$9,0),2)</f>
        <v>0.08</v>
      </c>
      <c r="U14" s="26" t="n">
        <f aca="false">INDEX($B$4:$M$9,MATCH($R14,$A$4:$A$9,0),3)</f>
        <v>0.085</v>
      </c>
      <c r="V14" s="26" t="n">
        <f aca="false">INDEX($B$4:$M$9,MATCH($R14,$A$4:$A$9,0),4)</f>
        <v>0.085</v>
      </c>
      <c r="W14" s="26" t="n">
        <f aca="false">INDEX($B$4:$M$9,MATCH($R14,$A$4:$A$9,0),5)</f>
        <v>0.08</v>
      </c>
      <c r="X14" s="26" t="n">
        <f aca="false">INDEX($B$4:$M$9,MATCH($R14,$A$4:$A$9,0),6)</f>
        <v>0.075</v>
      </c>
      <c r="Y14" s="26" t="n">
        <f aca="false">INDEX($B$4:$M$9,MATCH($R14,$A$4:$A$9,0),7)</f>
        <v>0.08</v>
      </c>
      <c r="Z14" s="26" t="n">
        <f aca="false">INDEX($B$4:$M$9,MATCH($R14,$A$4:$A$9,0),8)</f>
        <v>0.08</v>
      </c>
      <c r="AA14" s="26" t="n">
        <f aca="false">INDEX($B$4:$M$9,MATCH($R14,$A$4:$A$9,0),9)</f>
        <v>0.08</v>
      </c>
      <c r="AB14" s="26" t="n">
        <f aca="false">INDEX($B$4:$M$9,MATCH($R14,$A$4:$A$9,0),10)</f>
        <v>0.075</v>
      </c>
      <c r="AC14" s="26" t="n">
        <f aca="false">INDEX($B$4:$M$9,MATCH($R14,$A$4:$A$9,0),11)</f>
        <v>0.07</v>
      </c>
      <c r="AD14" s="26" t="n">
        <f aca="false">INDEX($B$4:$M$9,MATCH($R14,$A$4:$A$9,0),12)</f>
        <v>0.11</v>
      </c>
      <c r="AE14" s="25" t="n">
        <f aca="false">INDEX(DEMANDA!$F14:$O14,INDEX(P_VAL,MATCH("AÑO_DIS",P_ID,0))-2025)</f>
        <v>32915</v>
      </c>
    </row>
    <row r="15" customFormat="false" ht="15" hidden="false" customHeight="false" outlineLevel="0" collapsed="false">
      <c r="A15" s="24" t="s">
        <v>244</v>
      </c>
      <c r="B15" s="26" t="n">
        <f aca="false">SUMPRODUCT(($Q$4:$Q$69="RODANTES")*$AE$4:$AE$69*S$4:S$69)/SUMIF($Q$4:$Q$69,"RODANTES",$AE$4:$AE$69)</f>
        <v>0.085</v>
      </c>
      <c r="C15" s="26" t="n">
        <f aca="false">SUMPRODUCT(($Q$4:$Q$69="RODANTES")*$AE$4:$AE$69*T$4:T$69)/SUMIF($Q$4:$Q$69,"RODANTES",$AE$4:$AE$69)</f>
        <v>0.075</v>
      </c>
      <c r="D15" s="26" t="n">
        <f aca="false">SUMPRODUCT(($Q$4:$Q$69="RODANTES")*$AE$4:$AE$69*U$4:U$69)/SUMIF($Q$4:$Q$69,"RODANTES",$AE$4:$AE$69)</f>
        <v>0.09</v>
      </c>
      <c r="E15" s="26" t="n">
        <f aca="false">SUMPRODUCT(($Q$4:$Q$69="RODANTES")*$AE$4:$AE$69*V$4:V$69)/SUMIF($Q$4:$Q$69,"RODANTES",$AE$4:$AE$69)</f>
        <v>0.09</v>
      </c>
      <c r="F15" s="26" t="n">
        <f aca="false">SUMPRODUCT(($Q$4:$Q$69="RODANTES")*$AE$4:$AE$69*W$4:W$69)/SUMIF($Q$4:$Q$69,"RODANTES",$AE$4:$AE$69)</f>
        <v>0.09</v>
      </c>
      <c r="G15" s="26" t="n">
        <f aca="false">SUMPRODUCT(($Q$4:$Q$69="RODANTES")*$AE$4:$AE$69*X$4:X$69)/SUMIF($Q$4:$Q$69,"RODANTES",$AE$4:$AE$69)</f>
        <v>0.08</v>
      </c>
      <c r="H15" s="26" t="n">
        <f aca="false">SUMPRODUCT(($Q$4:$Q$69="RODANTES")*$AE$4:$AE$69*Y$4:Y$69)/SUMIF($Q$4:$Q$69,"RODANTES",$AE$4:$AE$69)</f>
        <v>0.09</v>
      </c>
      <c r="I15" s="26" t="n">
        <f aca="false">SUMPRODUCT(($Q$4:$Q$69="RODANTES")*$AE$4:$AE$69*Z$4:Z$69)/SUMIF($Q$4:$Q$69,"RODANTES",$AE$4:$AE$69)</f>
        <v>0.09</v>
      </c>
      <c r="J15" s="26" t="n">
        <f aca="false">SUMPRODUCT(($Q$4:$Q$69="RODANTES")*$AE$4:$AE$69*AA$4:AA$69)/SUMIF($Q$4:$Q$69,"RODANTES",$AE$4:$AE$69)</f>
        <v>0.085</v>
      </c>
      <c r="K15" s="26" t="n">
        <f aca="false">SUMPRODUCT(($Q$4:$Q$69="RODANTES")*$AE$4:$AE$69*AB$4:AB$69)/SUMIF($Q$4:$Q$69,"RODANTES",$AE$4:$AE$69)</f>
        <v>0.075</v>
      </c>
      <c r="L15" s="26" t="n">
        <f aca="false">SUMPRODUCT(($Q$4:$Q$69="RODANTES")*$AE$4:$AE$69*AC$4:AC$69)/SUMIF($Q$4:$Q$69,"RODANTES",$AE$4:$AE$69)</f>
        <v>0.07</v>
      </c>
      <c r="M15" s="26" t="n">
        <f aca="false">SUMPRODUCT(($Q$4:$Q$69="RODANTES")*$AE$4:$AE$69*AD$4:AD$69)/SUMIF($Q$4:$Q$69,"RODANTES",$AE$4:$AE$69)</f>
        <v>0.08</v>
      </c>
      <c r="N15" s="31" t="n">
        <f aca="false">MAX(B15:M15)*12</f>
        <v>1.08</v>
      </c>
      <c r="P15" s="24" t="str">
        <f aca="false">DEMANDA!B15</f>
        <v>FL_REC_ABC_10kg</v>
      </c>
      <c r="Q15" s="24" t="str">
        <f aca="false">DEMANDA!A15</f>
        <v>MANUALES</v>
      </c>
      <c r="R15" s="24" t="str">
        <f aca="false">DEMANDA!E15</f>
        <v>Ventas manual comercial (2,5 / 5 / 10 kg)</v>
      </c>
      <c r="S15" s="26" t="n">
        <f aca="false">INDEX($B$4:$M$9,MATCH($R15,$A$4:$A$9,0),1)</f>
        <v>0.1</v>
      </c>
      <c r="T15" s="26" t="n">
        <f aca="false">INDEX($B$4:$M$9,MATCH($R15,$A$4:$A$9,0),2)</f>
        <v>0.08</v>
      </c>
      <c r="U15" s="26" t="n">
        <f aca="false">INDEX($B$4:$M$9,MATCH($R15,$A$4:$A$9,0),3)</f>
        <v>0.085</v>
      </c>
      <c r="V15" s="26" t="n">
        <f aca="false">INDEX($B$4:$M$9,MATCH($R15,$A$4:$A$9,0),4)</f>
        <v>0.085</v>
      </c>
      <c r="W15" s="26" t="n">
        <f aca="false">INDEX($B$4:$M$9,MATCH($R15,$A$4:$A$9,0),5)</f>
        <v>0.08</v>
      </c>
      <c r="X15" s="26" t="n">
        <f aca="false">INDEX($B$4:$M$9,MATCH($R15,$A$4:$A$9,0),6)</f>
        <v>0.075</v>
      </c>
      <c r="Y15" s="26" t="n">
        <f aca="false">INDEX($B$4:$M$9,MATCH($R15,$A$4:$A$9,0),7)</f>
        <v>0.08</v>
      </c>
      <c r="Z15" s="26" t="n">
        <f aca="false">INDEX($B$4:$M$9,MATCH($R15,$A$4:$A$9,0),8)</f>
        <v>0.08</v>
      </c>
      <c r="AA15" s="26" t="n">
        <f aca="false">INDEX($B$4:$M$9,MATCH($R15,$A$4:$A$9,0),9)</f>
        <v>0.08</v>
      </c>
      <c r="AB15" s="26" t="n">
        <f aca="false">INDEX($B$4:$M$9,MATCH($R15,$A$4:$A$9,0),10)</f>
        <v>0.075</v>
      </c>
      <c r="AC15" s="26" t="n">
        <f aca="false">INDEX($B$4:$M$9,MATCH($R15,$A$4:$A$9,0),11)</f>
        <v>0.07</v>
      </c>
      <c r="AD15" s="26" t="n">
        <f aca="false">INDEX($B$4:$M$9,MATCH($R15,$A$4:$A$9,0),12)</f>
        <v>0.11</v>
      </c>
      <c r="AE15" s="25" t="n">
        <f aca="false">INDEX(DEMANDA!$F15:$O15,INDEX(P_VAL,MATCH("AÑO_DIS",P_ID,0))-2025)</f>
        <v>2011</v>
      </c>
    </row>
    <row r="16" customFormat="false" ht="15" hidden="false" customHeight="false" outlineLevel="0" collapsed="false">
      <c r="A16" s="24" t="s">
        <v>132</v>
      </c>
      <c r="B16" s="26" t="n">
        <f aca="false">SUMPRODUCT(($Q$4:$Q$69="RECARGAS")*$AE$4:$AE$69*S$4:S$69)/SUMIF($Q$4:$Q$69,"RECARGAS",$AE$4:$AE$69)</f>
        <v>0.0953496196403048</v>
      </c>
      <c r="C16" s="26" t="n">
        <f aca="false">SUMPRODUCT(($Q$4:$Q$69="RECARGAS")*$AE$4:$AE$69*T$4:T$69)/SUMIF($Q$4:$Q$69,"RECARGAS",$AE$4:$AE$69)</f>
        <v>0.0789569890293124</v>
      </c>
      <c r="D16" s="26" t="n">
        <f aca="false">SUMPRODUCT(($Q$4:$Q$69="RECARGAS")*$AE$4:$AE$69*U$4:U$69)/SUMIF($Q$4:$Q$69,"RECARGAS",$AE$4:$AE$69)</f>
        <v>0.0813494616025933</v>
      </c>
      <c r="E16" s="26" t="n">
        <f aca="false">SUMPRODUCT(($Q$4:$Q$69="RECARGAS")*$AE$4:$AE$69*V$4:V$69)/SUMIF($Q$4:$Q$69,"RECARGAS",$AE$4:$AE$69)</f>
        <v>0.0790242714227457</v>
      </c>
      <c r="F16" s="26" t="n">
        <f aca="false">SUMPRODUCT(($Q$4:$Q$69="RECARGAS")*$AE$4:$AE$69*W$4:W$69)/SUMIF($Q$4:$Q$69,"RECARGAS",$AE$4:$AE$69)</f>
        <v>0.0766317988494648</v>
      </c>
      <c r="G16" s="26" t="n">
        <f aca="false">SUMPRODUCT(($Q$4:$Q$69="RECARGAS")*$AE$4:$AE$69*X$4:X$69)/SUMIF($Q$4:$Q$69,"RECARGAS",$AE$4:$AE$69)</f>
        <v>0.0742393262761839</v>
      </c>
      <c r="H16" s="26" t="n">
        <f aca="false">SUMPRODUCT(($Q$4:$Q$69="RECARGAS")*$AE$4:$AE$69*Y$4:Y$69)/SUMIF($Q$4:$Q$69,"RECARGAS",$AE$4:$AE$69)</f>
        <v>0.0790915538161791</v>
      </c>
      <c r="I16" s="26" t="n">
        <f aca="false">SUMPRODUCT(($Q$4:$Q$69="RECARGAS")*$AE$4:$AE$69*Z$4:Z$69)/SUMIF($Q$4:$Q$69,"RECARGAS",$AE$4:$AE$69)</f>
        <v>0.08128217920916</v>
      </c>
      <c r="J16" s="26" t="n">
        <f aca="false">SUMPRODUCT(($Q$4:$Q$69="RECARGAS")*$AE$4:$AE$69*AA$4:AA$69)/SUMIF($Q$4:$Q$69,"RECARGAS",$AE$4:$AE$69)</f>
        <v>0.08128217920916</v>
      </c>
      <c r="K16" s="26" t="n">
        <f aca="false">SUMPRODUCT(($Q$4:$Q$69="RECARGAS")*$AE$4:$AE$69*AB$4:AB$69)/SUMIF($Q$4:$Q$69,"RECARGAS",$AE$4:$AE$69)</f>
        <v>0.0789569890293124</v>
      </c>
      <c r="L16" s="26" t="n">
        <f aca="false">SUMPRODUCT(($Q$4:$Q$69="RECARGAS")*$AE$4:$AE$69*AC$4:AC$69)/SUMIF($Q$4:$Q$69,"RECARGAS",$AE$4:$AE$69)</f>
        <v>0.078889706635879</v>
      </c>
      <c r="M16" s="26" t="n">
        <f aca="false">SUMPRODUCT(($Q$4:$Q$69="RECARGAS")*$AE$4:$AE$69*AD$4:AD$69)/SUMIF($Q$4:$Q$69,"RECARGAS",$AE$4:$AE$69)</f>
        <v>0.114945925279705</v>
      </c>
      <c r="N16" s="31" t="n">
        <f aca="false">MAX(B16:M16)*12</f>
        <v>1.37935110335646</v>
      </c>
      <c r="P16" s="24" t="str">
        <f aca="false">DEMANDA!B16</f>
        <v>FL_REC_ABC_25kg</v>
      </c>
      <c r="Q16" s="24" t="str">
        <f aca="false">DEMANDA!A16</f>
        <v>RODANTES</v>
      </c>
      <c r="R16" s="24" t="str">
        <f aca="false">DEMANDA!E16</f>
        <v>Ventas industrial s/ruedas (25 - 100 kg)</v>
      </c>
      <c r="S16" s="26" t="n">
        <f aca="false">INDEX($B$4:$M$9,MATCH($R16,$A$4:$A$9,0),1)</f>
        <v>0.085</v>
      </c>
      <c r="T16" s="26" t="n">
        <f aca="false">INDEX($B$4:$M$9,MATCH($R16,$A$4:$A$9,0),2)</f>
        <v>0.075</v>
      </c>
      <c r="U16" s="26" t="n">
        <f aca="false">INDEX($B$4:$M$9,MATCH($R16,$A$4:$A$9,0),3)</f>
        <v>0.09</v>
      </c>
      <c r="V16" s="26" t="n">
        <f aca="false">INDEX($B$4:$M$9,MATCH($R16,$A$4:$A$9,0),4)</f>
        <v>0.09</v>
      </c>
      <c r="W16" s="26" t="n">
        <f aca="false">INDEX($B$4:$M$9,MATCH($R16,$A$4:$A$9,0),5)</f>
        <v>0.09</v>
      </c>
      <c r="X16" s="26" t="n">
        <f aca="false">INDEX($B$4:$M$9,MATCH($R16,$A$4:$A$9,0),6)</f>
        <v>0.08</v>
      </c>
      <c r="Y16" s="26" t="n">
        <f aca="false">INDEX($B$4:$M$9,MATCH($R16,$A$4:$A$9,0),7)</f>
        <v>0.09</v>
      </c>
      <c r="Z16" s="26" t="n">
        <f aca="false">INDEX($B$4:$M$9,MATCH($R16,$A$4:$A$9,0),8)</f>
        <v>0.09</v>
      </c>
      <c r="AA16" s="26" t="n">
        <f aca="false">INDEX($B$4:$M$9,MATCH($R16,$A$4:$A$9,0),9)</f>
        <v>0.085</v>
      </c>
      <c r="AB16" s="26" t="n">
        <f aca="false">INDEX($B$4:$M$9,MATCH($R16,$A$4:$A$9,0),10)</f>
        <v>0.075</v>
      </c>
      <c r="AC16" s="26" t="n">
        <f aca="false">INDEX($B$4:$M$9,MATCH($R16,$A$4:$A$9,0),11)</f>
        <v>0.07</v>
      </c>
      <c r="AD16" s="26" t="n">
        <f aca="false">INDEX($B$4:$M$9,MATCH($R16,$A$4:$A$9,0),12)</f>
        <v>0.08</v>
      </c>
      <c r="AE16" s="25" t="n">
        <f aca="false">INDEX(DEMANDA!$F16:$O16,INDEX(P_VAL,MATCH("AÑO_DIS",P_ID,0))-2025)</f>
        <v>322</v>
      </c>
    </row>
    <row r="17" customFormat="false" ht="15" hidden="false" customHeight="false" outlineLevel="0" collapsed="false">
      <c r="A17" s="24" t="s">
        <v>408</v>
      </c>
      <c r="B17" s="26" t="n">
        <f aca="false">SUMPRODUCT(($Q$4:$Q$69="REVENDIDOS")*$AE$4:$AE$69*S$4:S$69)/SUMIF($Q$4:$Q$69,"REVENDIDOS",$AE$4:$AE$69)</f>
        <v>0.0996535228293418</v>
      </c>
      <c r="C17" s="26" t="n">
        <f aca="false">SUMPRODUCT(($Q$4:$Q$69="REVENDIDOS")*$AE$4:$AE$69*T$4:T$69)/SUMIF($Q$4:$Q$69,"REVENDIDOS",$AE$4:$AE$69)</f>
        <v>0.0798845076097806</v>
      </c>
      <c r="D17" s="26" t="n">
        <f aca="false">SUMPRODUCT(($Q$4:$Q$69="REVENDIDOS")*$AE$4:$AE$69*U$4:U$69)/SUMIF($Q$4:$Q$69,"REVENDIDOS",$AE$4:$AE$69)</f>
        <v>0.0851154923902194</v>
      </c>
      <c r="E17" s="26" t="n">
        <f aca="false">SUMPRODUCT(($Q$4:$Q$69="REVENDIDOS")*$AE$4:$AE$69*V$4:V$69)/SUMIF($Q$4:$Q$69,"REVENDIDOS",$AE$4:$AE$69)</f>
        <v>0.0851154923902194</v>
      </c>
      <c r="F17" s="26" t="n">
        <f aca="false">SUMPRODUCT(($Q$4:$Q$69="REVENDIDOS")*$AE$4:$AE$69*W$4:W$69)/SUMIF($Q$4:$Q$69,"REVENDIDOS",$AE$4:$AE$69)</f>
        <v>0.0802309847804388</v>
      </c>
      <c r="G17" s="26" t="n">
        <f aca="false">SUMPRODUCT(($Q$4:$Q$69="REVENDIDOS")*$AE$4:$AE$69*X$4:X$69)/SUMIF($Q$4:$Q$69,"REVENDIDOS",$AE$4:$AE$69)</f>
        <v>0.0751154923902194</v>
      </c>
      <c r="H17" s="26" t="n">
        <f aca="false">SUMPRODUCT(($Q$4:$Q$69="REVENDIDOS")*$AE$4:$AE$69*Y$4:Y$69)/SUMIF($Q$4:$Q$69,"REVENDIDOS",$AE$4:$AE$69)</f>
        <v>0.0802309847804388</v>
      </c>
      <c r="I17" s="26" t="n">
        <f aca="false">SUMPRODUCT(($Q$4:$Q$69="REVENDIDOS")*$AE$4:$AE$69*Z$4:Z$69)/SUMIF($Q$4:$Q$69,"REVENDIDOS",$AE$4:$AE$69)</f>
        <v>0.0802309847804388</v>
      </c>
      <c r="J17" s="26" t="n">
        <f aca="false">SUMPRODUCT(($Q$4:$Q$69="REVENDIDOS")*$AE$4:$AE$69*AA$4:AA$69)/SUMIF($Q$4:$Q$69,"REVENDIDOS",$AE$4:$AE$69)</f>
        <v>0.0801154923902194</v>
      </c>
      <c r="K17" s="26" t="n">
        <f aca="false">SUMPRODUCT(($Q$4:$Q$69="REVENDIDOS")*$AE$4:$AE$69*AB$4:AB$69)/SUMIF($Q$4:$Q$69,"REVENDIDOS",$AE$4:$AE$69)</f>
        <v>0.075</v>
      </c>
      <c r="L17" s="26" t="n">
        <f aca="false">SUMPRODUCT(($Q$4:$Q$69="REVENDIDOS")*$AE$4:$AE$69*AC$4:AC$69)/SUMIF($Q$4:$Q$69,"REVENDIDOS",$AE$4:$AE$69)</f>
        <v>0.07</v>
      </c>
      <c r="M17" s="26" t="n">
        <f aca="false">SUMPRODUCT(($Q$4:$Q$69="REVENDIDOS")*$AE$4:$AE$69*AD$4:AD$69)/SUMIF($Q$4:$Q$69,"REVENDIDOS",$AE$4:$AE$69)</f>
        <v>0.109307045658684</v>
      </c>
      <c r="N17" s="31" t="n">
        <f aca="false">MAX(B17:M17)*12</f>
        <v>1.3116845479042</v>
      </c>
      <c r="P17" s="24" t="str">
        <f aca="false">DEMANDA!B17</f>
        <v>FL_REC_ABC_50kg</v>
      </c>
      <c r="Q17" s="24" t="str">
        <f aca="false">DEMANDA!A17</f>
        <v>RODANTES</v>
      </c>
      <c r="R17" s="24" t="str">
        <f aca="false">DEMANDA!E17</f>
        <v>Ventas industrial s/ruedas (25 - 100 kg)</v>
      </c>
      <c r="S17" s="26" t="n">
        <f aca="false">INDEX($B$4:$M$9,MATCH($R17,$A$4:$A$9,0),1)</f>
        <v>0.085</v>
      </c>
      <c r="T17" s="26" t="n">
        <f aca="false">INDEX($B$4:$M$9,MATCH($R17,$A$4:$A$9,0),2)</f>
        <v>0.075</v>
      </c>
      <c r="U17" s="26" t="n">
        <f aca="false">INDEX($B$4:$M$9,MATCH($R17,$A$4:$A$9,0),3)</f>
        <v>0.09</v>
      </c>
      <c r="V17" s="26" t="n">
        <f aca="false">INDEX($B$4:$M$9,MATCH($R17,$A$4:$A$9,0),4)</f>
        <v>0.09</v>
      </c>
      <c r="W17" s="26" t="n">
        <f aca="false">INDEX($B$4:$M$9,MATCH($R17,$A$4:$A$9,0),5)</f>
        <v>0.09</v>
      </c>
      <c r="X17" s="26" t="n">
        <f aca="false">INDEX($B$4:$M$9,MATCH($R17,$A$4:$A$9,0),6)</f>
        <v>0.08</v>
      </c>
      <c r="Y17" s="26" t="n">
        <f aca="false">INDEX($B$4:$M$9,MATCH($R17,$A$4:$A$9,0),7)</f>
        <v>0.09</v>
      </c>
      <c r="Z17" s="26" t="n">
        <f aca="false">INDEX($B$4:$M$9,MATCH($R17,$A$4:$A$9,0),8)</f>
        <v>0.09</v>
      </c>
      <c r="AA17" s="26" t="n">
        <f aca="false">INDEX($B$4:$M$9,MATCH($R17,$A$4:$A$9,0),9)</f>
        <v>0.085</v>
      </c>
      <c r="AB17" s="26" t="n">
        <f aca="false">INDEX($B$4:$M$9,MATCH($R17,$A$4:$A$9,0),10)</f>
        <v>0.075</v>
      </c>
      <c r="AC17" s="26" t="n">
        <f aca="false">INDEX($B$4:$M$9,MATCH($R17,$A$4:$A$9,0),11)</f>
        <v>0.07</v>
      </c>
      <c r="AD17" s="26" t="n">
        <f aca="false">INDEX($B$4:$M$9,MATCH($R17,$A$4:$A$9,0),12)</f>
        <v>0.08</v>
      </c>
      <c r="AE17" s="25" t="n">
        <f aca="false">INDEX(DEMANDA!$F17:$O17,INDEX(P_VAL,MATCH("AÑO_DIS",P_ID,0))-2025)</f>
        <v>708</v>
      </c>
    </row>
    <row r="18" customFormat="false" ht="15" hidden="false" customHeight="false" outlineLevel="0" collapsed="false">
      <c r="A18" s="2" t="s">
        <v>459</v>
      </c>
      <c r="P18" s="24" t="str">
        <f aca="false">DEMANDA!B18</f>
        <v>FL_REC_ABC_70kg</v>
      </c>
      <c r="Q18" s="24" t="str">
        <f aca="false">DEMANDA!A18</f>
        <v>RODANTES</v>
      </c>
      <c r="R18" s="24" t="str">
        <f aca="false">DEMANDA!E18</f>
        <v>Ventas industrial s/ruedas (25 - 100 kg)</v>
      </c>
      <c r="S18" s="26" t="n">
        <f aca="false">INDEX($B$4:$M$9,MATCH($R18,$A$4:$A$9,0),1)</f>
        <v>0.085</v>
      </c>
      <c r="T18" s="26" t="n">
        <f aca="false">INDEX($B$4:$M$9,MATCH($R18,$A$4:$A$9,0),2)</f>
        <v>0.075</v>
      </c>
      <c r="U18" s="26" t="n">
        <f aca="false">INDEX($B$4:$M$9,MATCH($R18,$A$4:$A$9,0),3)</f>
        <v>0.09</v>
      </c>
      <c r="V18" s="26" t="n">
        <f aca="false">INDEX($B$4:$M$9,MATCH($R18,$A$4:$A$9,0),4)</f>
        <v>0.09</v>
      </c>
      <c r="W18" s="26" t="n">
        <f aca="false">INDEX($B$4:$M$9,MATCH($R18,$A$4:$A$9,0),5)</f>
        <v>0.09</v>
      </c>
      <c r="X18" s="26" t="n">
        <f aca="false">INDEX($B$4:$M$9,MATCH($R18,$A$4:$A$9,0),6)</f>
        <v>0.08</v>
      </c>
      <c r="Y18" s="26" t="n">
        <f aca="false">INDEX($B$4:$M$9,MATCH($R18,$A$4:$A$9,0),7)</f>
        <v>0.09</v>
      </c>
      <c r="Z18" s="26" t="n">
        <f aca="false">INDEX($B$4:$M$9,MATCH($R18,$A$4:$A$9,0),8)</f>
        <v>0.09</v>
      </c>
      <c r="AA18" s="26" t="n">
        <f aca="false">INDEX($B$4:$M$9,MATCH($R18,$A$4:$A$9,0),9)</f>
        <v>0.085</v>
      </c>
      <c r="AB18" s="26" t="n">
        <f aca="false">INDEX($B$4:$M$9,MATCH($R18,$A$4:$A$9,0),10)</f>
        <v>0.075</v>
      </c>
      <c r="AC18" s="26" t="n">
        <f aca="false">INDEX($B$4:$M$9,MATCH($R18,$A$4:$A$9,0),11)</f>
        <v>0.07</v>
      </c>
      <c r="AD18" s="26" t="n">
        <f aca="false">INDEX($B$4:$M$9,MATCH($R18,$A$4:$A$9,0),12)</f>
        <v>0.08</v>
      </c>
      <c r="AE18" s="25" t="n">
        <f aca="false">INDEX(DEMANDA!$F18:$O18,INDEX(P_VAL,MATCH("AÑO_DIS",P_ID,0))-2025)</f>
        <v>155</v>
      </c>
    </row>
    <row r="19" customFormat="false" ht="15" hidden="false" customHeight="false" outlineLevel="0" collapsed="false">
      <c r="P19" s="24" t="str">
        <f aca="false">DEMANDA!B19</f>
        <v>FL_REC_ABC_100kg</v>
      </c>
      <c r="Q19" s="24" t="str">
        <f aca="false">DEMANDA!A19</f>
        <v>RODANTES</v>
      </c>
      <c r="R19" s="24" t="str">
        <f aca="false">DEMANDA!E19</f>
        <v>Ventas industrial s/ruedas (25 - 100 kg)</v>
      </c>
      <c r="S19" s="26" t="n">
        <f aca="false">INDEX($B$4:$M$9,MATCH($R19,$A$4:$A$9,0),1)</f>
        <v>0.085</v>
      </c>
      <c r="T19" s="26" t="n">
        <f aca="false">INDEX($B$4:$M$9,MATCH($R19,$A$4:$A$9,0),2)</f>
        <v>0.075</v>
      </c>
      <c r="U19" s="26" t="n">
        <f aca="false">INDEX($B$4:$M$9,MATCH($R19,$A$4:$A$9,0),3)</f>
        <v>0.09</v>
      </c>
      <c r="V19" s="26" t="n">
        <f aca="false">INDEX($B$4:$M$9,MATCH($R19,$A$4:$A$9,0),4)</f>
        <v>0.09</v>
      </c>
      <c r="W19" s="26" t="n">
        <f aca="false">INDEX($B$4:$M$9,MATCH($R19,$A$4:$A$9,0),5)</f>
        <v>0.09</v>
      </c>
      <c r="X19" s="26" t="n">
        <f aca="false">INDEX($B$4:$M$9,MATCH($R19,$A$4:$A$9,0),6)</f>
        <v>0.08</v>
      </c>
      <c r="Y19" s="26" t="n">
        <f aca="false">INDEX($B$4:$M$9,MATCH($R19,$A$4:$A$9,0),7)</f>
        <v>0.09</v>
      </c>
      <c r="Z19" s="26" t="n">
        <f aca="false">INDEX($B$4:$M$9,MATCH($R19,$A$4:$A$9,0),8)</f>
        <v>0.09</v>
      </c>
      <c r="AA19" s="26" t="n">
        <f aca="false">INDEX($B$4:$M$9,MATCH($R19,$A$4:$A$9,0),9)</f>
        <v>0.085</v>
      </c>
      <c r="AB19" s="26" t="n">
        <f aca="false">INDEX($B$4:$M$9,MATCH($R19,$A$4:$A$9,0),10)</f>
        <v>0.075</v>
      </c>
      <c r="AC19" s="26" t="n">
        <f aca="false">INDEX($B$4:$M$9,MATCH($R19,$A$4:$A$9,0),11)</f>
        <v>0.07</v>
      </c>
      <c r="AD19" s="26" t="n">
        <f aca="false">INDEX($B$4:$M$9,MATCH($R19,$A$4:$A$9,0),12)</f>
        <v>0.08</v>
      </c>
      <c r="AE19" s="25" t="n">
        <f aca="false">INDEX(DEMANDA!$F19:$O19,INDEX(P_VAL,MATCH("AÑO_DIS",P_ID,0))-2025)</f>
        <v>102</v>
      </c>
    </row>
    <row r="20" customFormat="false" ht="15" hidden="false" customHeight="false" outlineLevel="0" collapsed="false">
      <c r="P20" s="24" t="str">
        <f aca="false">DEMANDA!B20</f>
        <v>RK_ABC_1kg</v>
      </c>
      <c r="Q20" s="24" t="str">
        <f aca="false">DEMANDA!A20</f>
        <v>RECARGAS</v>
      </c>
      <c r="R20" s="24" t="str">
        <f aca="false">DEMANDA!E20</f>
        <v>Recargas automovilístico (1 kg)</v>
      </c>
      <c r="S20" s="26" t="n">
        <f aca="false">INDEX($B$4:$M$9,MATCH($R20,$A$4:$A$9,0),1)</f>
        <v>0.1</v>
      </c>
      <c r="T20" s="26" t="n">
        <f aca="false">INDEX($B$4:$M$9,MATCH($R20,$A$4:$A$9,0),2)</f>
        <v>0.078</v>
      </c>
      <c r="U20" s="26" t="n">
        <f aca="false">INDEX($B$4:$M$9,MATCH($R20,$A$4:$A$9,0),3)</f>
        <v>0.078</v>
      </c>
      <c r="V20" s="26" t="n">
        <f aca="false">INDEX($B$4:$M$9,MATCH($R20,$A$4:$A$9,0),4)</f>
        <v>0.078</v>
      </c>
      <c r="W20" s="26" t="n">
        <f aca="false">INDEX($B$4:$M$9,MATCH($R20,$A$4:$A$9,0),5)</f>
        <v>0.078</v>
      </c>
      <c r="X20" s="26" t="n">
        <f aca="false">INDEX($B$4:$M$9,MATCH($R20,$A$4:$A$9,0),6)</f>
        <v>0.078</v>
      </c>
      <c r="Y20" s="26" t="n">
        <f aca="false">INDEX($B$4:$M$9,MATCH($R20,$A$4:$A$9,0),7)</f>
        <v>0.078</v>
      </c>
      <c r="Z20" s="26" t="n">
        <f aca="false">INDEX($B$4:$M$9,MATCH($R20,$A$4:$A$9,0),8)</f>
        <v>0.078</v>
      </c>
      <c r="AA20" s="26" t="n">
        <f aca="false">INDEX($B$4:$M$9,MATCH($R20,$A$4:$A$9,0),9)</f>
        <v>0.078</v>
      </c>
      <c r="AB20" s="26" t="n">
        <f aca="false">INDEX($B$4:$M$9,MATCH($R20,$A$4:$A$9,0),10)</f>
        <v>0.078</v>
      </c>
      <c r="AC20" s="26" t="n">
        <f aca="false">INDEX($B$4:$M$9,MATCH($R20,$A$4:$A$9,0),11)</f>
        <v>0.078</v>
      </c>
      <c r="AD20" s="26" t="n">
        <f aca="false">INDEX($B$4:$M$9,MATCH($R20,$A$4:$A$9,0),12)</f>
        <v>0.12</v>
      </c>
      <c r="AE20" s="25" t="n">
        <f aca="false">INDEX(DEMANDA!$F20:$O20,INDEX(P_VAL,MATCH("AÑO_DIS",P_ID,0))-2025)</f>
        <v>196282.6907</v>
      </c>
    </row>
    <row r="21" customFormat="false" ht="15" hidden="false" customHeight="false" outlineLevel="0" collapsed="false">
      <c r="P21" s="24" t="str">
        <f aca="false">DEMANDA!B21</f>
        <v>RK_ABC_2.5kg</v>
      </c>
      <c r="Q21" s="24" t="str">
        <f aca="false">DEMANDA!A21</f>
        <v>RECARGAS</v>
      </c>
      <c r="R21" s="24" t="str">
        <f aca="false">DEMANDA!E21</f>
        <v>Recargas manual comercial</v>
      </c>
      <c r="S21" s="26" t="n">
        <f aca="false">INDEX($B$4:$M$9,MATCH($R21,$A$4:$A$9,0),1)</f>
        <v>0.09</v>
      </c>
      <c r="T21" s="26" t="n">
        <f aca="false">INDEX($B$4:$M$9,MATCH($R21,$A$4:$A$9,0),2)</f>
        <v>0.08</v>
      </c>
      <c r="U21" s="26" t="n">
        <f aca="false">INDEX($B$4:$M$9,MATCH($R21,$A$4:$A$9,0),3)</f>
        <v>0.085</v>
      </c>
      <c r="V21" s="26" t="n">
        <f aca="false">INDEX($B$4:$M$9,MATCH($R21,$A$4:$A$9,0),4)</f>
        <v>0.08</v>
      </c>
      <c r="W21" s="26" t="n">
        <f aca="false">INDEX($B$4:$M$9,MATCH($R21,$A$4:$A$9,0),5)</f>
        <v>0.075</v>
      </c>
      <c r="X21" s="26" t="n">
        <f aca="false">INDEX($B$4:$M$9,MATCH($R21,$A$4:$A$9,0),6)</f>
        <v>0.07</v>
      </c>
      <c r="Y21" s="26" t="n">
        <f aca="false">INDEX($B$4:$M$9,MATCH($R21,$A$4:$A$9,0),7)</f>
        <v>0.08</v>
      </c>
      <c r="Z21" s="26" t="n">
        <f aca="false">INDEX($B$4:$M$9,MATCH($R21,$A$4:$A$9,0),8)</f>
        <v>0.085</v>
      </c>
      <c r="AA21" s="26" t="n">
        <f aca="false">INDEX($B$4:$M$9,MATCH($R21,$A$4:$A$9,0),9)</f>
        <v>0.085</v>
      </c>
      <c r="AB21" s="26" t="n">
        <f aca="false">INDEX($B$4:$M$9,MATCH($R21,$A$4:$A$9,0),10)</f>
        <v>0.08</v>
      </c>
      <c r="AC21" s="26" t="n">
        <f aca="false">INDEX($B$4:$M$9,MATCH($R21,$A$4:$A$9,0),11)</f>
        <v>0.08</v>
      </c>
      <c r="AD21" s="26" t="n">
        <f aca="false">INDEX($B$4:$M$9,MATCH($R21,$A$4:$A$9,0),12)</f>
        <v>0.11</v>
      </c>
      <c r="AE21" s="25" t="n">
        <f aca="false">INDEX(DEMANDA!$F21:$O21,INDEX(P_VAL,MATCH("AÑO_DIS",P_ID,0))-2025)</f>
        <v>16620.76117</v>
      </c>
    </row>
    <row r="22" customFormat="false" ht="15" hidden="false" customHeight="false" outlineLevel="0" collapsed="false">
      <c r="P22" s="24" t="str">
        <f aca="false">DEMANDA!B22</f>
        <v>RK_ABC_5kg</v>
      </c>
      <c r="Q22" s="24" t="str">
        <f aca="false">DEMANDA!A22</f>
        <v>RECARGAS</v>
      </c>
      <c r="R22" s="24" t="str">
        <f aca="false">DEMANDA!E22</f>
        <v>Recargas manual comercial</v>
      </c>
      <c r="S22" s="26" t="n">
        <f aca="false">INDEX($B$4:$M$9,MATCH($R22,$A$4:$A$9,0),1)</f>
        <v>0.09</v>
      </c>
      <c r="T22" s="26" t="n">
        <f aca="false">INDEX($B$4:$M$9,MATCH($R22,$A$4:$A$9,0),2)</f>
        <v>0.08</v>
      </c>
      <c r="U22" s="26" t="n">
        <f aca="false">INDEX($B$4:$M$9,MATCH($R22,$A$4:$A$9,0),3)</f>
        <v>0.085</v>
      </c>
      <c r="V22" s="26" t="n">
        <f aca="false">INDEX($B$4:$M$9,MATCH($R22,$A$4:$A$9,0),4)</f>
        <v>0.08</v>
      </c>
      <c r="W22" s="26" t="n">
        <f aca="false">INDEX($B$4:$M$9,MATCH($R22,$A$4:$A$9,0),5)</f>
        <v>0.075</v>
      </c>
      <c r="X22" s="26" t="n">
        <f aca="false">INDEX($B$4:$M$9,MATCH($R22,$A$4:$A$9,0),6)</f>
        <v>0.07</v>
      </c>
      <c r="Y22" s="26" t="n">
        <f aca="false">INDEX($B$4:$M$9,MATCH($R22,$A$4:$A$9,0),7)</f>
        <v>0.08</v>
      </c>
      <c r="Z22" s="26" t="n">
        <f aca="false">INDEX($B$4:$M$9,MATCH($R22,$A$4:$A$9,0),8)</f>
        <v>0.085</v>
      </c>
      <c r="AA22" s="26" t="n">
        <f aca="false">INDEX($B$4:$M$9,MATCH($R22,$A$4:$A$9,0),9)</f>
        <v>0.085</v>
      </c>
      <c r="AB22" s="26" t="n">
        <f aca="false">INDEX($B$4:$M$9,MATCH($R22,$A$4:$A$9,0),10)</f>
        <v>0.08</v>
      </c>
      <c r="AC22" s="26" t="n">
        <f aca="false">INDEX($B$4:$M$9,MATCH($R22,$A$4:$A$9,0),11)</f>
        <v>0.08</v>
      </c>
      <c r="AD22" s="26" t="n">
        <f aca="false">INDEX($B$4:$M$9,MATCH($R22,$A$4:$A$9,0),12)</f>
        <v>0.11</v>
      </c>
      <c r="AE22" s="25" t="n">
        <f aca="false">INDEX(DEMANDA!$F22:$O22,INDEX(P_VAL,MATCH("AÑO_DIS",P_ID,0))-2025)</f>
        <v>101095.1762</v>
      </c>
    </row>
    <row r="23" customFormat="false" ht="15" hidden="false" customHeight="false" outlineLevel="0" collapsed="false">
      <c r="P23" s="24" t="str">
        <f aca="false">DEMANDA!B23</f>
        <v>RK_ABC_10kg</v>
      </c>
      <c r="Q23" s="24" t="str">
        <f aca="false">DEMANDA!A23</f>
        <v>RECARGAS</v>
      </c>
      <c r="R23" s="24" t="str">
        <f aca="false">DEMANDA!E23</f>
        <v>Recargas manual comercial</v>
      </c>
      <c r="S23" s="26" t="n">
        <f aca="false">INDEX($B$4:$M$9,MATCH($R23,$A$4:$A$9,0),1)</f>
        <v>0.09</v>
      </c>
      <c r="T23" s="26" t="n">
        <f aca="false">INDEX($B$4:$M$9,MATCH($R23,$A$4:$A$9,0),2)</f>
        <v>0.08</v>
      </c>
      <c r="U23" s="26" t="n">
        <f aca="false">INDEX($B$4:$M$9,MATCH($R23,$A$4:$A$9,0),3)</f>
        <v>0.085</v>
      </c>
      <c r="V23" s="26" t="n">
        <f aca="false">INDEX($B$4:$M$9,MATCH($R23,$A$4:$A$9,0),4)</f>
        <v>0.08</v>
      </c>
      <c r="W23" s="26" t="n">
        <f aca="false">INDEX($B$4:$M$9,MATCH($R23,$A$4:$A$9,0),5)</f>
        <v>0.075</v>
      </c>
      <c r="X23" s="26" t="n">
        <f aca="false">INDEX($B$4:$M$9,MATCH($R23,$A$4:$A$9,0),6)</f>
        <v>0.07</v>
      </c>
      <c r="Y23" s="26" t="n">
        <f aca="false">INDEX($B$4:$M$9,MATCH($R23,$A$4:$A$9,0),7)</f>
        <v>0.08</v>
      </c>
      <c r="Z23" s="26" t="n">
        <f aca="false">INDEX($B$4:$M$9,MATCH($R23,$A$4:$A$9,0),8)</f>
        <v>0.085</v>
      </c>
      <c r="AA23" s="26" t="n">
        <f aca="false">INDEX($B$4:$M$9,MATCH($R23,$A$4:$A$9,0),9)</f>
        <v>0.085</v>
      </c>
      <c r="AB23" s="26" t="n">
        <f aca="false">INDEX($B$4:$M$9,MATCH($R23,$A$4:$A$9,0),10)</f>
        <v>0.08</v>
      </c>
      <c r="AC23" s="26" t="n">
        <f aca="false">INDEX($B$4:$M$9,MATCH($R23,$A$4:$A$9,0),11)</f>
        <v>0.08</v>
      </c>
      <c r="AD23" s="26" t="n">
        <f aca="false">INDEX($B$4:$M$9,MATCH($R23,$A$4:$A$9,0),12)</f>
        <v>0.11</v>
      </c>
      <c r="AE23" s="25" t="n">
        <f aca="false">INDEX(DEMANDA!$F23:$O23,INDEX(P_VAL,MATCH("AÑO_DIS",P_ID,0))-2025)</f>
        <v>5985.950855</v>
      </c>
    </row>
    <row r="24" customFormat="false" ht="15" hidden="false" customHeight="false" outlineLevel="0" collapsed="false">
      <c r="P24" s="24" t="str">
        <f aca="false">DEMANDA!B24</f>
        <v>RK_ABC_25kg</v>
      </c>
      <c r="Q24" s="24" t="str">
        <f aca="false">DEMANDA!A24</f>
        <v>RECARGAS</v>
      </c>
      <c r="R24" s="24" t="str">
        <f aca="false">DEMANDA!E24</f>
        <v>Recargas industrial s/ruedas</v>
      </c>
      <c r="S24" s="26" t="n">
        <f aca="false">INDEX($B$4:$M$9,MATCH($R24,$A$4:$A$9,0),1)</f>
        <v>0.1</v>
      </c>
      <c r="T24" s="26" t="n">
        <f aca="false">INDEX($B$4:$M$9,MATCH($R24,$A$4:$A$9,0),2)</f>
        <v>0.08</v>
      </c>
      <c r="U24" s="26" t="n">
        <f aca="false">INDEX($B$4:$M$9,MATCH($R24,$A$4:$A$9,0),3)</f>
        <v>0.085</v>
      </c>
      <c r="V24" s="26" t="n">
        <f aca="false">INDEX($B$4:$M$9,MATCH($R24,$A$4:$A$9,0),4)</f>
        <v>0.085</v>
      </c>
      <c r="W24" s="26" t="n">
        <f aca="false">INDEX($B$4:$M$9,MATCH($R24,$A$4:$A$9,0),5)</f>
        <v>0.08</v>
      </c>
      <c r="X24" s="26" t="n">
        <f aca="false">INDEX($B$4:$M$9,MATCH($R24,$A$4:$A$9,0),6)</f>
        <v>0.075</v>
      </c>
      <c r="Y24" s="26" t="n">
        <f aca="false">INDEX($B$4:$M$9,MATCH($R24,$A$4:$A$9,0),7)</f>
        <v>0.09</v>
      </c>
      <c r="Z24" s="26" t="n">
        <f aca="false">INDEX($B$4:$M$9,MATCH($R24,$A$4:$A$9,0),8)</f>
        <v>0.08</v>
      </c>
      <c r="AA24" s="26" t="n">
        <f aca="false">INDEX($B$4:$M$9,MATCH($R24,$A$4:$A$9,0),9)</f>
        <v>0.08</v>
      </c>
      <c r="AB24" s="26" t="n">
        <f aca="false">INDEX($B$4:$M$9,MATCH($R24,$A$4:$A$9,0),10)</f>
        <v>0.08</v>
      </c>
      <c r="AC24" s="26" t="n">
        <f aca="false">INDEX($B$4:$M$9,MATCH($R24,$A$4:$A$9,0),11)</f>
        <v>0.075</v>
      </c>
      <c r="AD24" s="26" t="n">
        <f aca="false">INDEX($B$4:$M$9,MATCH($R24,$A$4:$A$9,0),12)</f>
        <v>0.09</v>
      </c>
      <c r="AE24" s="25" t="n">
        <f aca="false">INDEX(DEMANDA!$F24:$O24,INDEX(P_VAL,MATCH("AÑO_DIS",P_ID,0))-2025)</f>
        <v>1041.939702</v>
      </c>
    </row>
    <row r="25" customFormat="false" ht="15" hidden="false" customHeight="false" outlineLevel="0" collapsed="false">
      <c r="P25" s="24" t="str">
        <f aca="false">DEMANDA!B25</f>
        <v>RK_ABC_50kg</v>
      </c>
      <c r="Q25" s="24" t="str">
        <f aca="false">DEMANDA!A25</f>
        <v>RECARGAS</v>
      </c>
      <c r="R25" s="24" t="str">
        <f aca="false">DEMANDA!E25</f>
        <v>Recargas industrial s/ruedas</v>
      </c>
      <c r="S25" s="26" t="n">
        <f aca="false">INDEX($B$4:$M$9,MATCH($R25,$A$4:$A$9,0),1)</f>
        <v>0.1</v>
      </c>
      <c r="T25" s="26" t="n">
        <f aca="false">INDEX($B$4:$M$9,MATCH($R25,$A$4:$A$9,0),2)</f>
        <v>0.08</v>
      </c>
      <c r="U25" s="26" t="n">
        <f aca="false">INDEX($B$4:$M$9,MATCH($R25,$A$4:$A$9,0),3)</f>
        <v>0.085</v>
      </c>
      <c r="V25" s="26" t="n">
        <f aca="false">INDEX($B$4:$M$9,MATCH($R25,$A$4:$A$9,0),4)</f>
        <v>0.085</v>
      </c>
      <c r="W25" s="26" t="n">
        <f aca="false">INDEX($B$4:$M$9,MATCH($R25,$A$4:$A$9,0),5)</f>
        <v>0.08</v>
      </c>
      <c r="X25" s="26" t="n">
        <f aca="false">INDEX($B$4:$M$9,MATCH($R25,$A$4:$A$9,0),6)</f>
        <v>0.075</v>
      </c>
      <c r="Y25" s="26" t="n">
        <f aca="false">INDEX($B$4:$M$9,MATCH($R25,$A$4:$A$9,0),7)</f>
        <v>0.09</v>
      </c>
      <c r="Z25" s="26" t="n">
        <f aca="false">INDEX($B$4:$M$9,MATCH($R25,$A$4:$A$9,0),8)</f>
        <v>0.08</v>
      </c>
      <c r="AA25" s="26" t="n">
        <f aca="false">INDEX($B$4:$M$9,MATCH($R25,$A$4:$A$9,0),9)</f>
        <v>0.08</v>
      </c>
      <c r="AB25" s="26" t="n">
        <f aca="false">INDEX($B$4:$M$9,MATCH($R25,$A$4:$A$9,0),10)</f>
        <v>0.08</v>
      </c>
      <c r="AC25" s="26" t="n">
        <f aca="false">INDEX($B$4:$M$9,MATCH($R25,$A$4:$A$9,0),11)</f>
        <v>0.075</v>
      </c>
      <c r="AD25" s="26" t="n">
        <f aca="false">INDEX($B$4:$M$9,MATCH($R25,$A$4:$A$9,0),12)</f>
        <v>0.09</v>
      </c>
      <c r="AE25" s="25" t="n">
        <f aca="false">INDEX(DEMANDA!$F25:$O25,INDEX(P_VAL,MATCH("AÑO_DIS",P_ID,0))-2025)</f>
        <v>2292.267343</v>
      </c>
    </row>
    <row r="26" customFormat="false" ht="15" hidden="false" customHeight="false" outlineLevel="0" collapsed="false">
      <c r="P26" s="24" t="str">
        <f aca="false">DEMANDA!B26</f>
        <v>RK_ABC_70kg</v>
      </c>
      <c r="Q26" s="24" t="str">
        <f aca="false">DEMANDA!A26</f>
        <v>RECARGAS</v>
      </c>
      <c r="R26" s="24" t="str">
        <f aca="false">DEMANDA!E26</f>
        <v>Recargas industrial s/ruedas</v>
      </c>
      <c r="S26" s="26" t="n">
        <f aca="false">INDEX($B$4:$M$9,MATCH($R26,$A$4:$A$9,0),1)</f>
        <v>0.1</v>
      </c>
      <c r="T26" s="26" t="n">
        <f aca="false">INDEX($B$4:$M$9,MATCH($R26,$A$4:$A$9,0),2)</f>
        <v>0.08</v>
      </c>
      <c r="U26" s="26" t="n">
        <f aca="false">INDEX($B$4:$M$9,MATCH($R26,$A$4:$A$9,0),3)</f>
        <v>0.085</v>
      </c>
      <c r="V26" s="26" t="n">
        <f aca="false">INDEX($B$4:$M$9,MATCH($R26,$A$4:$A$9,0),4)</f>
        <v>0.085</v>
      </c>
      <c r="W26" s="26" t="n">
        <f aca="false">INDEX($B$4:$M$9,MATCH($R26,$A$4:$A$9,0),5)</f>
        <v>0.08</v>
      </c>
      <c r="X26" s="26" t="n">
        <f aca="false">INDEX($B$4:$M$9,MATCH($R26,$A$4:$A$9,0),6)</f>
        <v>0.075</v>
      </c>
      <c r="Y26" s="26" t="n">
        <f aca="false">INDEX($B$4:$M$9,MATCH($R26,$A$4:$A$9,0),7)</f>
        <v>0.09</v>
      </c>
      <c r="Z26" s="26" t="n">
        <f aca="false">INDEX($B$4:$M$9,MATCH($R26,$A$4:$A$9,0),8)</f>
        <v>0.08</v>
      </c>
      <c r="AA26" s="26" t="n">
        <f aca="false">INDEX($B$4:$M$9,MATCH($R26,$A$4:$A$9,0),9)</f>
        <v>0.08</v>
      </c>
      <c r="AB26" s="26" t="n">
        <f aca="false">INDEX($B$4:$M$9,MATCH($R26,$A$4:$A$9,0),10)</f>
        <v>0.08</v>
      </c>
      <c r="AC26" s="26" t="n">
        <f aca="false">INDEX($B$4:$M$9,MATCH($R26,$A$4:$A$9,0),11)</f>
        <v>0.075</v>
      </c>
      <c r="AD26" s="26" t="n">
        <f aca="false">INDEX($B$4:$M$9,MATCH($R26,$A$4:$A$9,0),12)</f>
        <v>0.09</v>
      </c>
      <c r="AE26" s="25" t="n">
        <f aca="false">INDEX(DEMANDA!$F26:$O26,INDEX(P_VAL,MATCH("AÑO_DIS",P_ID,0))-2025)</f>
        <v>500.1310567</v>
      </c>
    </row>
    <row r="27" customFormat="false" ht="15" hidden="false" customHeight="false" outlineLevel="0" collapsed="false">
      <c r="P27" s="24" t="str">
        <f aca="false">DEMANDA!B27</f>
        <v>RK_ABC_100kg</v>
      </c>
      <c r="Q27" s="24" t="str">
        <f aca="false">DEMANDA!A27</f>
        <v>RECARGAS</v>
      </c>
      <c r="R27" s="24" t="str">
        <f aca="false">DEMANDA!E27</f>
        <v>Recargas industrial s/ruedas</v>
      </c>
      <c r="S27" s="26" t="n">
        <f aca="false">INDEX($B$4:$M$9,MATCH($R27,$A$4:$A$9,0),1)</f>
        <v>0.1</v>
      </c>
      <c r="T27" s="26" t="n">
        <f aca="false">INDEX($B$4:$M$9,MATCH($R27,$A$4:$A$9,0),2)</f>
        <v>0.08</v>
      </c>
      <c r="U27" s="26" t="n">
        <f aca="false">INDEX($B$4:$M$9,MATCH($R27,$A$4:$A$9,0),3)</f>
        <v>0.085</v>
      </c>
      <c r="V27" s="26" t="n">
        <f aca="false">INDEX($B$4:$M$9,MATCH($R27,$A$4:$A$9,0),4)</f>
        <v>0.085</v>
      </c>
      <c r="W27" s="26" t="n">
        <f aca="false">INDEX($B$4:$M$9,MATCH($R27,$A$4:$A$9,0),5)</f>
        <v>0.08</v>
      </c>
      <c r="X27" s="26" t="n">
        <f aca="false">INDEX($B$4:$M$9,MATCH($R27,$A$4:$A$9,0),6)</f>
        <v>0.075</v>
      </c>
      <c r="Y27" s="26" t="n">
        <f aca="false">INDEX($B$4:$M$9,MATCH($R27,$A$4:$A$9,0),7)</f>
        <v>0.09</v>
      </c>
      <c r="Z27" s="26" t="n">
        <f aca="false">INDEX($B$4:$M$9,MATCH($R27,$A$4:$A$9,0),8)</f>
        <v>0.08</v>
      </c>
      <c r="AA27" s="26" t="n">
        <f aca="false">INDEX($B$4:$M$9,MATCH($R27,$A$4:$A$9,0),9)</f>
        <v>0.08</v>
      </c>
      <c r="AB27" s="26" t="n">
        <f aca="false">INDEX($B$4:$M$9,MATCH($R27,$A$4:$A$9,0),10)</f>
        <v>0.08</v>
      </c>
      <c r="AC27" s="26" t="n">
        <f aca="false">INDEX($B$4:$M$9,MATCH($R27,$A$4:$A$9,0),11)</f>
        <v>0.075</v>
      </c>
      <c r="AD27" s="26" t="n">
        <f aca="false">INDEX($B$4:$M$9,MATCH($R27,$A$4:$A$9,0),12)</f>
        <v>0.09</v>
      </c>
      <c r="AE27" s="25" t="n">
        <f aca="false">INDEX(DEMANDA!$F27:$O27,INDEX(P_VAL,MATCH("AÑO_DIS",P_ID,0))-2025)</f>
        <v>333.4207045</v>
      </c>
    </row>
    <row r="28" customFormat="false" ht="15" hidden="false" customHeight="false" outlineLevel="0" collapsed="false">
      <c r="P28" s="24" t="str">
        <f aca="false">DEMANDA!B28</f>
        <v>RK_AGUA_10l</v>
      </c>
      <c r="Q28" s="24" t="str">
        <f aca="false">DEMANDA!A28</f>
        <v>RECARGAS</v>
      </c>
      <c r="R28" s="24" t="str">
        <f aca="false">DEMANDA!E28</f>
        <v>Recargas manual comercial</v>
      </c>
      <c r="S28" s="26" t="n">
        <f aca="false">INDEX($B$4:$M$9,MATCH($R28,$A$4:$A$9,0),1)</f>
        <v>0.09</v>
      </c>
      <c r="T28" s="26" t="n">
        <f aca="false">INDEX($B$4:$M$9,MATCH($R28,$A$4:$A$9,0),2)</f>
        <v>0.08</v>
      </c>
      <c r="U28" s="26" t="n">
        <f aca="false">INDEX($B$4:$M$9,MATCH($R28,$A$4:$A$9,0),3)</f>
        <v>0.085</v>
      </c>
      <c r="V28" s="26" t="n">
        <f aca="false">INDEX($B$4:$M$9,MATCH($R28,$A$4:$A$9,0),4)</f>
        <v>0.08</v>
      </c>
      <c r="W28" s="26" t="n">
        <f aca="false">INDEX($B$4:$M$9,MATCH($R28,$A$4:$A$9,0),5)</f>
        <v>0.075</v>
      </c>
      <c r="X28" s="26" t="n">
        <f aca="false">INDEX($B$4:$M$9,MATCH($R28,$A$4:$A$9,0),6)</f>
        <v>0.07</v>
      </c>
      <c r="Y28" s="26" t="n">
        <f aca="false">INDEX($B$4:$M$9,MATCH($R28,$A$4:$A$9,0),7)</f>
        <v>0.08</v>
      </c>
      <c r="Z28" s="26" t="n">
        <f aca="false">INDEX($B$4:$M$9,MATCH($R28,$A$4:$A$9,0),8)</f>
        <v>0.085</v>
      </c>
      <c r="AA28" s="26" t="n">
        <f aca="false">INDEX($B$4:$M$9,MATCH($R28,$A$4:$A$9,0),9)</f>
        <v>0.085</v>
      </c>
      <c r="AB28" s="26" t="n">
        <f aca="false">INDEX($B$4:$M$9,MATCH($R28,$A$4:$A$9,0),10)</f>
        <v>0.08</v>
      </c>
      <c r="AC28" s="26" t="n">
        <f aca="false">INDEX($B$4:$M$9,MATCH($R28,$A$4:$A$9,0),11)</f>
        <v>0.08</v>
      </c>
      <c r="AD28" s="26" t="n">
        <f aca="false">INDEX($B$4:$M$9,MATCH($R28,$A$4:$A$9,0),12)</f>
        <v>0.11</v>
      </c>
      <c r="AE28" s="25" t="n">
        <f aca="false">INDEX(DEMANDA!$F28:$O28,INDEX(P_VAL,MATCH("AÑO_DIS",P_ID,0))-2025)</f>
        <v>8450.814081</v>
      </c>
    </row>
    <row r="29" customFormat="false" ht="15" hidden="false" customHeight="false" outlineLevel="0" collapsed="false">
      <c r="P29" s="24" t="str">
        <f aca="false">DEMANDA!B29</f>
        <v>RK_AFFF_10l</v>
      </c>
      <c r="Q29" s="24" t="str">
        <f aca="false">DEMANDA!A29</f>
        <v>RECARGAS</v>
      </c>
      <c r="R29" s="24" t="str">
        <f aca="false">DEMANDA!E29</f>
        <v>Recargas manual comercial</v>
      </c>
      <c r="S29" s="26" t="n">
        <f aca="false">INDEX($B$4:$M$9,MATCH($R29,$A$4:$A$9,0),1)</f>
        <v>0.09</v>
      </c>
      <c r="T29" s="26" t="n">
        <f aca="false">INDEX($B$4:$M$9,MATCH($R29,$A$4:$A$9,0),2)</f>
        <v>0.08</v>
      </c>
      <c r="U29" s="26" t="n">
        <f aca="false">INDEX($B$4:$M$9,MATCH($R29,$A$4:$A$9,0),3)</f>
        <v>0.085</v>
      </c>
      <c r="V29" s="26" t="n">
        <f aca="false">INDEX($B$4:$M$9,MATCH($R29,$A$4:$A$9,0),4)</f>
        <v>0.08</v>
      </c>
      <c r="W29" s="26" t="n">
        <f aca="false">INDEX($B$4:$M$9,MATCH($R29,$A$4:$A$9,0),5)</f>
        <v>0.075</v>
      </c>
      <c r="X29" s="26" t="n">
        <f aca="false">INDEX($B$4:$M$9,MATCH($R29,$A$4:$A$9,0),6)</f>
        <v>0.07</v>
      </c>
      <c r="Y29" s="26" t="n">
        <f aca="false">INDEX($B$4:$M$9,MATCH($R29,$A$4:$A$9,0),7)</f>
        <v>0.08</v>
      </c>
      <c r="Z29" s="26" t="n">
        <f aca="false">INDEX($B$4:$M$9,MATCH($R29,$A$4:$A$9,0),8)</f>
        <v>0.085</v>
      </c>
      <c r="AA29" s="26" t="n">
        <f aca="false">INDEX($B$4:$M$9,MATCH($R29,$A$4:$A$9,0),9)</f>
        <v>0.085</v>
      </c>
      <c r="AB29" s="26" t="n">
        <f aca="false">INDEX($B$4:$M$9,MATCH($R29,$A$4:$A$9,0),10)</f>
        <v>0.08</v>
      </c>
      <c r="AC29" s="26" t="n">
        <f aca="false">INDEX($B$4:$M$9,MATCH($R29,$A$4:$A$9,0),11)</f>
        <v>0.08</v>
      </c>
      <c r="AD29" s="26" t="n">
        <f aca="false">INDEX($B$4:$M$9,MATCH($R29,$A$4:$A$9,0),12)</f>
        <v>0.11</v>
      </c>
      <c r="AE29" s="25" t="n">
        <f aca="false">INDEX(DEMANDA!$F29:$O29,INDEX(P_VAL,MATCH("AÑO_DIS",P_ID,0))-2025)</f>
        <v>1604.441422</v>
      </c>
    </row>
    <row r="30" customFormat="false" ht="15" hidden="false" customHeight="false" outlineLevel="0" collapsed="false">
      <c r="P30" s="24" t="str">
        <f aca="false">DEMANDA!B30</f>
        <v>RK_AFFF_50l</v>
      </c>
      <c r="Q30" s="24" t="str">
        <f aca="false">DEMANDA!A30</f>
        <v>RECARGAS</v>
      </c>
      <c r="R30" s="24" t="str">
        <f aca="false">DEMANDA!E30</f>
        <v>Recargas industrial s/ruedas</v>
      </c>
      <c r="S30" s="26" t="n">
        <f aca="false">INDEX($B$4:$M$9,MATCH($R30,$A$4:$A$9,0),1)</f>
        <v>0.1</v>
      </c>
      <c r="T30" s="26" t="n">
        <f aca="false">INDEX($B$4:$M$9,MATCH($R30,$A$4:$A$9,0),2)</f>
        <v>0.08</v>
      </c>
      <c r="U30" s="26" t="n">
        <f aca="false">INDEX($B$4:$M$9,MATCH($R30,$A$4:$A$9,0),3)</f>
        <v>0.085</v>
      </c>
      <c r="V30" s="26" t="n">
        <f aca="false">INDEX($B$4:$M$9,MATCH($R30,$A$4:$A$9,0),4)</f>
        <v>0.085</v>
      </c>
      <c r="W30" s="26" t="n">
        <f aca="false">INDEX($B$4:$M$9,MATCH($R30,$A$4:$A$9,0),5)</f>
        <v>0.08</v>
      </c>
      <c r="X30" s="26" t="n">
        <f aca="false">INDEX($B$4:$M$9,MATCH($R30,$A$4:$A$9,0),6)</f>
        <v>0.075</v>
      </c>
      <c r="Y30" s="26" t="n">
        <f aca="false">INDEX($B$4:$M$9,MATCH($R30,$A$4:$A$9,0),7)</f>
        <v>0.09</v>
      </c>
      <c r="Z30" s="26" t="n">
        <f aca="false">INDEX($B$4:$M$9,MATCH($R30,$A$4:$A$9,0),8)</f>
        <v>0.08</v>
      </c>
      <c r="AA30" s="26" t="n">
        <f aca="false">INDEX($B$4:$M$9,MATCH($R30,$A$4:$A$9,0),9)</f>
        <v>0.08</v>
      </c>
      <c r="AB30" s="26" t="n">
        <f aca="false">INDEX($B$4:$M$9,MATCH($R30,$A$4:$A$9,0),10)</f>
        <v>0.08</v>
      </c>
      <c r="AC30" s="26" t="n">
        <f aca="false">INDEX($B$4:$M$9,MATCH($R30,$A$4:$A$9,0),11)</f>
        <v>0.075</v>
      </c>
      <c r="AD30" s="26" t="n">
        <f aca="false">INDEX($B$4:$M$9,MATCH($R30,$A$4:$A$9,0),12)</f>
        <v>0.09</v>
      </c>
      <c r="AE30" s="25" t="n">
        <f aca="false">INDEX(DEMANDA!$F30:$O30,INDEX(P_VAL,MATCH("AÑO_DIS",P_ID,0))-2025)</f>
        <v>836.3508051</v>
      </c>
    </row>
    <row r="31" customFormat="false" ht="15" hidden="false" customHeight="false" outlineLevel="0" collapsed="false">
      <c r="P31" s="24" t="str">
        <f aca="false">DEMANDA!B31</f>
        <v>RK_BC_5kg</v>
      </c>
      <c r="Q31" s="24" t="str">
        <f aca="false">DEMANDA!A31</f>
        <v>RECARGAS</v>
      </c>
      <c r="R31" s="24" t="str">
        <f aca="false">DEMANDA!E31</f>
        <v>Recargas manual comercial</v>
      </c>
      <c r="S31" s="26" t="n">
        <f aca="false">INDEX($B$4:$M$9,MATCH($R31,$A$4:$A$9,0),1)</f>
        <v>0.09</v>
      </c>
      <c r="T31" s="26" t="n">
        <f aca="false">INDEX($B$4:$M$9,MATCH($R31,$A$4:$A$9,0),2)</f>
        <v>0.08</v>
      </c>
      <c r="U31" s="26" t="n">
        <f aca="false">INDEX($B$4:$M$9,MATCH($R31,$A$4:$A$9,0),3)</f>
        <v>0.085</v>
      </c>
      <c r="V31" s="26" t="n">
        <f aca="false">INDEX($B$4:$M$9,MATCH($R31,$A$4:$A$9,0),4)</f>
        <v>0.08</v>
      </c>
      <c r="W31" s="26" t="n">
        <f aca="false">INDEX($B$4:$M$9,MATCH($R31,$A$4:$A$9,0),5)</f>
        <v>0.075</v>
      </c>
      <c r="X31" s="26" t="n">
        <f aca="false">INDEX($B$4:$M$9,MATCH($R31,$A$4:$A$9,0),6)</f>
        <v>0.07</v>
      </c>
      <c r="Y31" s="26" t="n">
        <f aca="false">INDEX($B$4:$M$9,MATCH($R31,$A$4:$A$9,0),7)</f>
        <v>0.08</v>
      </c>
      <c r="Z31" s="26" t="n">
        <f aca="false">INDEX($B$4:$M$9,MATCH($R31,$A$4:$A$9,0),8)</f>
        <v>0.085</v>
      </c>
      <c r="AA31" s="26" t="n">
        <f aca="false">INDEX($B$4:$M$9,MATCH($R31,$A$4:$A$9,0),9)</f>
        <v>0.085</v>
      </c>
      <c r="AB31" s="26" t="n">
        <f aca="false">INDEX($B$4:$M$9,MATCH($R31,$A$4:$A$9,0),10)</f>
        <v>0.08</v>
      </c>
      <c r="AC31" s="26" t="n">
        <f aca="false">INDEX($B$4:$M$9,MATCH($R31,$A$4:$A$9,0),11)</f>
        <v>0.08</v>
      </c>
      <c r="AD31" s="26" t="n">
        <f aca="false">INDEX($B$4:$M$9,MATCH($R31,$A$4:$A$9,0),12)</f>
        <v>0.11</v>
      </c>
      <c r="AE31" s="25" t="n">
        <f aca="false">INDEX(DEMANDA!$F31:$O31,INDEX(P_VAL,MATCH("AÑO_DIS",P_ID,0))-2025)</f>
        <v>483.4792034</v>
      </c>
    </row>
    <row r="32" customFormat="false" ht="15" hidden="false" customHeight="false" outlineLevel="0" collapsed="false">
      <c r="P32" s="24" t="str">
        <f aca="false">DEMANDA!B32</f>
        <v>RK_SALESK_6l</v>
      </c>
      <c r="Q32" s="24" t="str">
        <f aca="false">DEMANDA!A32</f>
        <v>RECARGAS</v>
      </c>
      <c r="R32" s="24" t="str">
        <f aca="false">DEMANDA!E32</f>
        <v>Recargas manual comercial</v>
      </c>
      <c r="S32" s="26" t="n">
        <f aca="false">INDEX($B$4:$M$9,MATCH($R32,$A$4:$A$9,0),1)</f>
        <v>0.09</v>
      </c>
      <c r="T32" s="26" t="n">
        <f aca="false">INDEX($B$4:$M$9,MATCH($R32,$A$4:$A$9,0),2)</f>
        <v>0.08</v>
      </c>
      <c r="U32" s="26" t="n">
        <f aca="false">INDEX($B$4:$M$9,MATCH($R32,$A$4:$A$9,0),3)</f>
        <v>0.085</v>
      </c>
      <c r="V32" s="26" t="n">
        <f aca="false">INDEX($B$4:$M$9,MATCH($R32,$A$4:$A$9,0),4)</f>
        <v>0.08</v>
      </c>
      <c r="W32" s="26" t="n">
        <f aca="false">INDEX($B$4:$M$9,MATCH($R32,$A$4:$A$9,0),5)</f>
        <v>0.075</v>
      </c>
      <c r="X32" s="26" t="n">
        <f aca="false">INDEX($B$4:$M$9,MATCH($R32,$A$4:$A$9,0),6)</f>
        <v>0.07</v>
      </c>
      <c r="Y32" s="26" t="n">
        <f aca="false">INDEX($B$4:$M$9,MATCH($R32,$A$4:$A$9,0),7)</f>
        <v>0.08</v>
      </c>
      <c r="Z32" s="26" t="n">
        <f aca="false">INDEX($B$4:$M$9,MATCH($R32,$A$4:$A$9,0),8)</f>
        <v>0.085</v>
      </c>
      <c r="AA32" s="26" t="n">
        <f aca="false">INDEX($B$4:$M$9,MATCH($R32,$A$4:$A$9,0),9)</f>
        <v>0.085</v>
      </c>
      <c r="AB32" s="26" t="n">
        <f aca="false">INDEX($B$4:$M$9,MATCH($R32,$A$4:$A$9,0),10)</f>
        <v>0.08</v>
      </c>
      <c r="AC32" s="26" t="n">
        <f aca="false">INDEX($B$4:$M$9,MATCH($R32,$A$4:$A$9,0),11)</f>
        <v>0.08</v>
      </c>
      <c r="AD32" s="26" t="n">
        <f aca="false">INDEX($B$4:$M$9,MATCH($R32,$A$4:$A$9,0),12)</f>
        <v>0.11</v>
      </c>
      <c r="AE32" s="25" t="n">
        <f aca="false">INDEX(DEMANDA!$F32:$O32,INDEX(P_VAL,MATCH("AÑO_DIS",P_ID,0))-2025)</f>
        <v>4167.559622</v>
      </c>
    </row>
    <row r="33" customFormat="false" ht="15" hidden="false" customHeight="false" outlineLevel="0" collapsed="false">
      <c r="P33" s="24" t="str">
        <f aca="false">DEMANDA!B33</f>
        <v>RK_CO2_2kg</v>
      </c>
      <c r="Q33" s="24" t="str">
        <f aca="false">DEMANDA!A33</f>
        <v>RECARGAS</v>
      </c>
      <c r="R33" s="24" t="str">
        <f aca="false">DEMANDA!E33</f>
        <v>Recargas manual comercial</v>
      </c>
      <c r="S33" s="26" t="n">
        <f aca="false">INDEX($B$4:$M$9,MATCH($R33,$A$4:$A$9,0),1)</f>
        <v>0.09</v>
      </c>
      <c r="T33" s="26" t="n">
        <f aca="false">INDEX($B$4:$M$9,MATCH($R33,$A$4:$A$9,0),2)</f>
        <v>0.08</v>
      </c>
      <c r="U33" s="26" t="n">
        <f aca="false">INDEX($B$4:$M$9,MATCH($R33,$A$4:$A$9,0),3)</f>
        <v>0.085</v>
      </c>
      <c r="V33" s="26" t="n">
        <f aca="false">INDEX($B$4:$M$9,MATCH($R33,$A$4:$A$9,0),4)</f>
        <v>0.08</v>
      </c>
      <c r="W33" s="26" t="n">
        <f aca="false">INDEX($B$4:$M$9,MATCH($R33,$A$4:$A$9,0),5)</f>
        <v>0.075</v>
      </c>
      <c r="X33" s="26" t="n">
        <f aca="false">INDEX($B$4:$M$9,MATCH($R33,$A$4:$A$9,0),6)</f>
        <v>0.07</v>
      </c>
      <c r="Y33" s="26" t="n">
        <f aca="false">INDEX($B$4:$M$9,MATCH($R33,$A$4:$A$9,0),7)</f>
        <v>0.08</v>
      </c>
      <c r="Z33" s="26" t="n">
        <f aca="false">INDEX($B$4:$M$9,MATCH($R33,$A$4:$A$9,0),8)</f>
        <v>0.085</v>
      </c>
      <c r="AA33" s="26" t="n">
        <f aca="false">INDEX($B$4:$M$9,MATCH($R33,$A$4:$A$9,0),9)</f>
        <v>0.085</v>
      </c>
      <c r="AB33" s="26" t="n">
        <f aca="false">INDEX($B$4:$M$9,MATCH($R33,$A$4:$A$9,0),10)</f>
        <v>0.08</v>
      </c>
      <c r="AC33" s="26" t="n">
        <f aca="false">INDEX($B$4:$M$9,MATCH($R33,$A$4:$A$9,0),11)</f>
        <v>0.08</v>
      </c>
      <c r="AD33" s="26" t="n">
        <f aca="false">INDEX($B$4:$M$9,MATCH($R33,$A$4:$A$9,0),12)</f>
        <v>0.11</v>
      </c>
      <c r="AE33" s="25" t="n">
        <f aca="false">INDEX(DEMANDA!$F33:$O33,INDEX(P_VAL,MATCH("AÑO_DIS",P_ID,0))-2025)</f>
        <v>22734.50171</v>
      </c>
    </row>
    <row r="34" customFormat="false" ht="15" hidden="false" customHeight="false" outlineLevel="0" collapsed="false">
      <c r="P34" s="24" t="str">
        <f aca="false">DEMANDA!B34</f>
        <v>RK_CO2_5kg</v>
      </c>
      <c r="Q34" s="24" t="str">
        <f aca="false">DEMANDA!A34</f>
        <v>RECARGAS</v>
      </c>
      <c r="R34" s="24" t="str">
        <f aca="false">DEMANDA!E34</f>
        <v>Recargas manual comercial</v>
      </c>
      <c r="S34" s="26" t="n">
        <f aca="false">INDEX($B$4:$M$9,MATCH($R34,$A$4:$A$9,0),1)</f>
        <v>0.09</v>
      </c>
      <c r="T34" s="26" t="n">
        <f aca="false">INDEX($B$4:$M$9,MATCH($R34,$A$4:$A$9,0),2)</f>
        <v>0.08</v>
      </c>
      <c r="U34" s="26" t="n">
        <f aca="false">INDEX($B$4:$M$9,MATCH($R34,$A$4:$A$9,0),3)</f>
        <v>0.085</v>
      </c>
      <c r="V34" s="26" t="n">
        <f aca="false">INDEX($B$4:$M$9,MATCH($R34,$A$4:$A$9,0),4)</f>
        <v>0.08</v>
      </c>
      <c r="W34" s="26" t="n">
        <f aca="false">INDEX($B$4:$M$9,MATCH($R34,$A$4:$A$9,0),5)</f>
        <v>0.075</v>
      </c>
      <c r="X34" s="26" t="n">
        <f aca="false">INDEX($B$4:$M$9,MATCH($R34,$A$4:$A$9,0),6)</f>
        <v>0.07</v>
      </c>
      <c r="Y34" s="26" t="n">
        <f aca="false">INDEX($B$4:$M$9,MATCH($R34,$A$4:$A$9,0),7)</f>
        <v>0.08</v>
      </c>
      <c r="Z34" s="26" t="n">
        <f aca="false">INDEX($B$4:$M$9,MATCH($R34,$A$4:$A$9,0),8)</f>
        <v>0.085</v>
      </c>
      <c r="AA34" s="26" t="n">
        <f aca="false">INDEX($B$4:$M$9,MATCH($R34,$A$4:$A$9,0),9)</f>
        <v>0.085</v>
      </c>
      <c r="AB34" s="26" t="n">
        <f aca="false">INDEX($B$4:$M$9,MATCH($R34,$A$4:$A$9,0),10)</f>
        <v>0.08</v>
      </c>
      <c r="AC34" s="26" t="n">
        <f aca="false">INDEX($B$4:$M$9,MATCH($R34,$A$4:$A$9,0),11)</f>
        <v>0.08</v>
      </c>
      <c r="AD34" s="26" t="n">
        <f aca="false">INDEX($B$4:$M$9,MATCH($R34,$A$4:$A$9,0),12)</f>
        <v>0.11</v>
      </c>
      <c r="AE34" s="25" t="n">
        <f aca="false">INDEX(DEMANDA!$F34:$O34,INDEX(P_VAL,MATCH("AÑO_DIS",P_ID,0))-2025)</f>
        <v>7769.577127</v>
      </c>
    </row>
    <row r="35" customFormat="false" ht="15" hidden="false" customHeight="false" outlineLevel="0" collapsed="false">
      <c r="P35" s="24" t="str">
        <f aca="false">DEMANDA!B35</f>
        <v>RK_HCFC-HFC_5kg</v>
      </c>
      <c r="Q35" s="24" t="str">
        <f aca="false">DEMANDA!A35</f>
        <v>RECARGAS</v>
      </c>
      <c r="R35" s="24" t="str">
        <f aca="false">DEMANDA!E35</f>
        <v>Recargas manual comercial</v>
      </c>
      <c r="S35" s="26" t="n">
        <f aca="false">INDEX($B$4:$M$9,MATCH($R35,$A$4:$A$9,0),1)</f>
        <v>0.09</v>
      </c>
      <c r="T35" s="26" t="n">
        <f aca="false">INDEX($B$4:$M$9,MATCH($R35,$A$4:$A$9,0),2)</f>
        <v>0.08</v>
      </c>
      <c r="U35" s="26" t="n">
        <f aca="false">INDEX($B$4:$M$9,MATCH($R35,$A$4:$A$9,0),3)</f>
        <v>0.085</v>
      </c>
      <c r="V35" s="26" t="n">
        <f aca="false">INDEX($B$4:$M$9,MATCH($R35,$A$4:$A$9,0),4)</f>
        <v>0.08</v>
      </c>
      <c r="W35" s="26" t="n">
        <f aca="false">INDEX($B$4:$M$9,MATCH($R35,$A$4:$A$9,0),5)</f>
        <v>0.075</v>
      </c>
      <c r="X35" s="26" t="n">
        <f aca="false">INDEX($B$4:$M$9,MATCH($R35,$A$4:$A$9,0),6)</f>
        <v>0.07</v>
      </c>
      <c r="Y35" s="26" t="n">
        <f aca="false">INDEX($B$4:$M$9,MATCH($R35,$A$4:$A$9,0),7)</f>
        <v>0.08</v>
      </c>
      <c r="Z35" s="26" t="n">
        <f aca="false">INDEX($B$4:$M$9,MATCH($R35,$A$4:$A$9,0),8)</f>
        <v>0.085</v>
      </c>
      <c r="AA35" s="26" t="n">
        <f aca="false">INDEX($B$4:$M$9,MATCH($R35,$A$4:$A$9,0),9)</f>
        <v>0.085</v>
      </c>
      <c r="AB35" s="26" t="n">
        <f aca="false">INDEX($B$4:$M$9,MATCH($R35,$A$4:$A$9,0),10)</f>
        <v>0.08</v>
      </c>
      <c r="AC35" s="26" t="n">
        <f aca="false">INDEX($B$4:$M$9,MATCH($R35,$A$4:$A$9,0),11)</f>
        <v>0.08</v>
      </c>
      <c r="AD35" s="26" t="n">
        <f aca="false">INDEX($B$4:$M$9,MATCH($R35,$A$4:$A$9,0),12)</f>
        <v>0.11</v>
      </c>
      <c r="AE35" s="25" t="n">
        <f aca="false">INDEX(DEMANDA!$F35:$O35,INDEX(P_VAL,MATCH("AÑO_DIS",P_ID,0))-2025)</f>
        <v>1271.941099</v>
      </c>
    </row>
    <row r="36" customFormat="false" ht="15" hidden="false" customHeight="false" outlineLevel="0" collapsed="false">
      <c r="P36" s="24" t="str">
        <f aca="false">DEMANDA!B36</f>
        <v>RK_CLASED_9l</v>
      </c>
      <c r="Q36" s="24" t="str">
        <f aca="false">DEMANDA!A36</f>
        <v>RECARGAS</v>
      </c>
      <c r="R36" s="24" t="str">
        <f aca="false">DEMANDA!E36</f>
        <v>Recargas manual comercial</v>
      </c>
      <c r="S36" s="26" t="n">
        <f aca="false">INDEX($B$4:$M$9,MATCH($R36,$A$4:$A$9,0),1)</f>
        <v>0.09</v>
      </c>
      <c r="T36" s="26" t="n">
        <f aca="false">INDEX($B$4:$M$9,MATCH($R36,$A$4:$A$9,0),2)</f>
        <v>0.08</v>
      </c>
      <c r="U36" s="26" t="n">
        <f aca="false">INDEX($B$4:$M$9,MATCH($R36,$A$4:$A$9,0),3)</f>
        <v>0.085</v>
      </c>
      <c r="V36" s="26" t="n">
        <f aca="false">INDEX($B$4:$M$9,MATCH($R36,$A$4:$A$9,0),4)</f>
        <v>0.08</v>
      </c>
      <c r="W36" s="26" t="n">
        <f aca="false">INDEX($B$4:$M$9,MATCH($R36,$A$4:$A$9,0),5)</f>
        <v>0.075</v>
      </c>
      <c r="X36" s="26" t="n">
        <f aca="false">INDEX($B$4:$M$9,MATCH($R36,$A$4:$A$9,0),6)</f>
        <v>0.07</v>
      </c>
      <c r="Y36" s="26" t="n">
        <f aca="false">INDEX($B$4:$M$9,MATCH($R36,$A$4:$A$9,0),7)</f>
        <v>0.08</v>
      </c>
      <c r="Z36" s="26" t="n">
        <f aca="false">INDEX($B$4:$M$9,MATCH($R36,$A$4:$A$9,0),8)</f>
        <v>0.085</v>
      </c>
      <c r="AA36" s="26" t="n">
        <f aca="false">INDEX($B$4:$M$9,MATCH($R36,$A$4:$A$9,0),9)</f>
        <v>0.085</v>
      </c>
      <c r="AB36" s="26" t="n">
        <f aca="false">INDEX($B$4:$M$9,MATCH($R36,$A$4:$A$9,0),10)</f>
        <v>0.08</v>
      </c>
      <c r="AC36" s="26" t="n">
        <f aca="false">INDEX($B$4:$M$9,MATCH($R36,$A$4:$A$9,0),11)</f>
        <v>0.08</v>
      </c>
      <c r="AD36" s="26" t="n">
        <f aca="false">INDEX($B$4:$M$9,MATCH($R36,$A$4:$A$9,0),12)</f>
        <v>0.11</v>
      </c>
      <c r="AE36" s="25" t="n">
        <f aca="false">INDEX(DEMANDA!$F36:$O36,INDEX(P_VAL,MATCH("AÑO_DIS",P_ID,0))-2025)</f>
        <v>436.6867823</v>
      </c>
    </row>
    <row r="37" customFormat="false" ht="15" hidden="false" customHeight="false" outlineLevel="0" collapsed="false">
      <c r="P37" s="24" t="str">
        <f aca="false">DEMANDA!B37</f>
        <v>RKP_ABC_5kg</v>
      </c>
      <c r="Q37" s="24" t="str">
        <f aca="false">DEMANDA!A37</f>
        <v>RECARGAS</v>
      </c>
      <c r="R37" s="24" t="str">
        <f aca="false">DEMANDA!E37</f>
        <v>Recargas manual comercial</v>
      </c>
      <c r="S37" s="26" t="n">
        <f aca="false">INDEX($B$4:$M$9,MATCH($R37,$A$4:$A$9,0),1)</f>
        <v>0.09</v>
      </c>
      <c r="T37" s="26" t="n">
        <f aca="false">INDEX($B$4:$M$9,MATCH($R37,$A$4:$A$9,0),2)</f>
        <v>0.08</v>
      </c>
      <c r="U37" s="26" t="n">
        <f aca="false">INDEX($B$4:$M$9,MATCH($R37,$A$4:$A$9,0),3)</f>
        <v>0.085</v>
      </c>
      <c r="V37" s="26" t="n">
        <f aca="false">INDEX($B$4:$M$9,MATCH($R37,$A$4:$A$9,0),4)</f>
        <v>0.08</v>
      </c>
      <c r="W37" s="26" t="n">
        <f aca="false">INDEX($B$4:$M$9,MATCH($R37,$A$4:$A$9,0),5)</f>
        <v>0.075</v>
      </c>
      <c r="X37" s="26" t="n">
        <f aca="false">INDEX($B$4:$M$9,MATCH($R37,$A$4:$A$9,0),6)</f>
        <v>0.07</v>
      </c>
      <c r="Y37" s="26" t="n">
        <f aca="false">INDEX($B$4:$M$9,MATCH($R37,$A$4:$A$9,0),7)</f>
        <v>0.08</v>
      </c>
      <c r="Z37" s="26" t="n">
        <f aca="false">INDEX($B$4:$M$9,MATCH($R37,$A$4:$A$9,0),8)</f>
        <v>0.085</v>
      </c>
      <c r="AA37" s="26" t="n">
        <f aca="false">INDEX($B$4:$M$9,MATCH($R37,$A$4:$A$9,0),9)</f>
        <v>0.085</v>
      </c>
      <c r="AB37" s="26" t="n">
        <f aca="false">INDEX($B$4:$M$9,MATCH($R37,$A$4:$A$9,0),10)</f>
        <v>0.08</v>
      </c>
      <c r="AC37" s="26" t="n">
        <f aca="false">INDEX($B$4:$M$9,MATCH($R37,$A$4:$A$9,0),11)</f>
        <v>0.08</v>
      </c>
      <c r="AD37" s="26" t="n">
        <f aca="false">INDEX($B$4:$M$9,MATCH($R37,$A$4:$A$9,0),12)</f>
        <v>0.11</v>
      </c>
      <c r="AE37" s="25" t="n">
        <f aca="false">INDEX(DEMANDA!$F37:$O37,INDEX(P_VAL,MATCH("AÑO_DIS",P_ID,0))-2025)</f>
        <v>3388</v>
      </c>
    </row>
    <row r="38" customFormat="false" ht="15" hidden="false" customHeight="false" outlineLevel="0" collapsed="false">
      <c r="P38" s="24" t="str">
        <f aca="false">DEMANDA!B38</f>
        <v>RKP_ABC_10kg</v>
      </c>
      <c r="Q38" s="24" t="str">
        <f aca="false">DEMANDA!A38</f>
        <v>RECARGAS</v>
      </c>
      <c r="R38" s="24" t="str">
        <f aca="false">DEMANDA!E38</f>
        <v>Recargas manual comercial</v>
      </c>
      <c r="S38" s="26" t="n">
        <f aca="false">INDEX($B$4:$M$9,MATCH($R38,$A$4:$A$9,0),1)</f>
        <v>0.09</v>
      </c>
      <c r="T38" s="26" t="n">
        <f aca="false">INDEX($B$4:$M$9,MATCH($R38,$A$4:$A$9,0),2)</f>
        <v>0.08</v>
      </c>
      <c r="U38" s="26" t="n">
        <f aca="false">INDEX($B$4:$M$9,MATCH($R38,$A$4:$A$9,0),3)</f>
        <v>0.085</v>
      </c>
      <c r="V38" s="26" t="n">
        <f aca="false">INDEX($B$4:$M$9,MATCH($R38,$A$4:$A$9,0),4)</f>
        <v>0.08</v>
      </c>
      <c r="W38" s="26" t="n">
        <f aca="false">INDEX($B$4:$M$9,MATCH($R38,$A$4:$A$9,0),5)</f>
        <v>0.075</v>
      </c>
      <c r="X38" s="26" t="n">
        <f aca="false">INDEX($B$4:$M$9,MATCH($R38,$A$4:$A$9,0),6)</f>
        <v>0.07</v>
      </c>
      <c r="Y38" s="26" t="n">
        <f aca="false">INDEX($B$4:$M$9,MATCH($R38,$A$4:$A$9,0),7)</f>
        <v>0.08</v>
      </c>
      <c r="Z38" s="26" t="n">
        <f aca="false">INDEX($B$4:$M$9,MATCH($R38,$A$4:$A$9,0),8)</f>
        <v>0.085</v>
      </c>
      <c r="AA38" s="26" t="n">
        <f aca="false">INDEX($B$4:$M$9,MATCH($R38,$A$4:$A$9,0),9)</f>
        <v>0.085</v>
      </c>
      <c r="AB38" s="26" t="n">
        <f aca="false">INDEX($B$4:$M$9,MATCH($R38,$A$4:$A$9,0),10)</f>
        <v>0.08</v>
      </c>
      <c r="AC38" s="26" t="n">
        <f aca="false">INDEX($B$4:$M$9,MATCH($R38,$A$4:$A$9,0),11)</f>
        <v>0.08</v>
      </c>
      <c r="AD38" s="26" t="n">
        <f aca="false">INDEX($B$4:$M$9,MATCH($R38,$A$4:$A$9,0),12)</f>
        <v>0.11</v>
      </c>
      <c r="AE38" s="25" t="n">
        <f aca="false">INDEX(DEMANDA!$F38:$O38,INDEX(P_VAL,MATCH("AÑO_DIS",P_ID,0))-2025)</f>
        <v>65</v>
      </c>
    </row>
    <row r="39" customFormat="false" ht="15" hidden="false" customHeight="false" outlineLevel="0" collapsed="false">
      <c r="P39" s="24" t="str">
        <f aca="false">DEMANDA!B39</f>
        <v>RKP_AGUA_10l</v>
      </c>
      <c r="Q39" s="24" t="str">
        <f aca="false">DEMANDA!A39</f>
        <v>RECARGAS</v>
      </c>
      <c r="R39" s="24" t="str">
        <f aca="false">DEMANDA!E39</f>
        <v>Recargas manual comercial</v>
      </c>
      <c r="S39" s="26" t="n">
        <f aca="false">INDEX($B$4:$M$9,MATCH($R39,$A$4:$A$9,0),1)</f>
        <v>0.09</v>
      </c>
      <c r="T39" s="26" t="n">
        <f aca="false">INDEX($B$4:$M$9,MATCH($R39,$A$4:$A$9,0),2)</f>
        <v>0.08</v>
      </c>
      <c r="U39" s="26" t="n">
        <f aca="false">INDEX($B$4:$M$9,MATCH($R39,$A$4:$A$9,0),3)</f>
        <v>0.085</v>
      </c>
      <c r="V39" s="26" t="n">
        <f aca="false">INDEX($B$4:$M$9,MATCH($R39,$A$4:$A$9,0),4)</f>
        <v>0.08</v>
      </c>
      <c r="W39" s="26" t="n">
        <f aca="false">INDEX($B$4:$M$9,MATCH($R39,$A$4:$A$9,0),5)</f>
        <v>0.075</v>
      </c>
      <c r="X39" s="26" t="n">
        <f aca="false">INDEX($B$4:$M$9,MATCH($R39,$A$4:$A$9,0),6)</f>
        <v>0.07</v>
      </c>
      <c r="Y39" s="26" t="n">
        <f aca="false">INDEX($B$4:$M$9,MATCH($R39,$A$4:$A$9,0),7)</f>
        <v>0.08</v>
      </c>
      <c r="Z39" s="26" t="n">
        <f aca="false">INDEX($B$4:$M$9,MATCH($R39,$A$4:$A$9,0),8)</f>
        <v>0.085</v>
      </c>
      <c r="AA39" s="26" t="n">
        <f aca="false">INDEX($B$4:$M$9,MATCH($R39,$A$4:$A$9,0),9)</f>
        <v>0.085</v>
      </c>
      <c r="AB39" s="26" t="n">
        <f aca="false">INDEX($B$4:$M$9,MATCH($R39,$A$4:$A$9,0),10)</f>
        <v>0.08</v>
      </c>
      <c r="AC39" s="26" t="n">
        <f aca="false">INDEX($B$4:$M$9,MATCH($R39,$A$4:$A$9,0),11)</f>
        <v>0.08</v>
      </c>
      <c r="AD39" s="26" t="n">
        <f aca="false">INDEX($B$4:$M$9,MATCH($R39,$A$4:$A$9,0),12)</f>
        <v>0.11</v>
      </c>
      <c r="AE39" s="25" t="n">
        <f aca="false">INDEX(DEMANDA!$F39:$O39,INDEX(P_VAL,MATCH("AÑO_DIS",P_ID,0))-2025)</f>
        <v>92</v>
      </c>
    </row>
    <row r="40" customFormat="false" ht="15" hidden="false" customHeight="false" outlineLevel="0" collapsed="false">
      <c r="P40" s="24" t="str">
        <f aca="false">DEMANDA!B40</f>
        <v>RKP_AFFF_10l</v>
      </c>
      <c r="Q40" s="24" t="str">
        <f aca="false">DEMANDA!A40</f>
        <v>RECARGAS</v>
      </c>
      <c r="R40" s="24" t="str">
        <f aca="false">DEMANDA!E40</f>
        <v>Recargas manual comercial</v>
      </c>
      <c r="S40" s="26" t="n">
        <f aca="false">INDEX($B$4:$M$9,MATCH($R40,$A$4:$A$9,0),1)</f>
        <v>0.09</v>
      </c>
      <c r="T40" s="26" t="n">
        <f aca="false">INDEX($B$4:$M$9,MATCH($R40,$A$4:$A$9,0),2)</f>
        <v>0.08</v>
      </c>
      <c r="U40" s="26" t="n">
        <f aca="false">INDEX($B$4:$M$9,MATCH($R40,$A$4:$A$9,0),3)</f>
        <v>0.085</v>
      </c>
      <c r="V40" s="26" t="n">
        <f aca="false">INDEX($B$4:$M$9,MATCH($R40,$A$4:$A$9,0),4)</f>
        <v>0.08</v>
      </c>
      <c r="W40" s="26" t="n">
        <f aca="false">INDEX($B$4:$M$9,MATCH($R40,$A$4:$A$9,0),5)</f>
        <v>0.075</v>
      </c>
      <c r="X40" s="26" t="n">
        <f aca="false">INDEX($B$4:$M$9,MATCH($R40,$A$4:$A$9,0),6)</f>
        <v>0.07</v>
      </c>
      <c r="Y40" s="26" t="n">
        <f aca="false">INDEX($B$4:$M$9,MATCH($R40,$A$4:$A$9,0),7)</f>
        <v>0.08</v>
      </c>
      <c r="Z40" s="26" t="n">
        <f aca="false">INDEX($B$4:$M$9,MATCH($R40,$A$4:$A$9,0),8)</f>
        <v>0.085</v>
      </c>
      <c r="AA40" s="26" t="n">
        <f aca="false">INDEX($B$4:$M$9,MATCH($R40,$A$4:$A$9,0),9)</f>
        <v>0.085</v>
      </c>
      <c r="AB40" s="26" t="n">
        <f aca="false">INDEX($B$4:$M$9,MATCH($R40,$A$4:$A$9,0),10)</f>
        <v>0.08</v>
      </c>
      <c r="AC40" s="26" t="n">
        <f aca="false">INDEX($B$4:$M$9,MATCH($R40,$A$4:$A$9,0),11)</f>
        <v>0.08</v>
      </c>
      <c r="AD40" s="26" t="n">
        <f aca="false">INDEX($B$4:$M$9,MATCH($R40,$A$4:$A$9,0),12)</f>
        <v>0.11</v>
      </c>
      <c r="AE40" s="25" t="n">
        <f aca="false">INDEX(DEMANDA!$F40:$O40,INDEX(P_VAL,MATCH("AÑO_DIS",P_ID,0))-2025)</f>
        <v>18</v>
      </c>
    </row>
    <row r="41" customFormat="false" ht="15" hidden="false" customHeight="false" outlineLevel="0" collapsed="false">
      <c r="P41" s="24" t="str">
        <f aca="false">DEMANDA!B41</f>
        <v>RKP_AFFF_50l</v>
      </c>
      <c r="Q41" s="24" t="str">
        <f aca="false">DEMANDA!A41</f>
        <v>RECARGAS</v>
      </c>
      <c r="R41" s="24" t="str">
        <f aca="false">DEMANDA!E41</f>
        <v>Recargas industrial s/ruedas</v>
      </c>
      <c r="S41" s="26" t="n">
        <f aca="false">INDEX($B$4:$M$9,MATCH($R41,$A$4:$A$9,0),1)</f>
        <v>0.1</v>
      </c>
      <c r="T41" s="26" t="n">
        <f aca="false">INDEX($B$4:$M$9,MATCH($R41,$A$4:$A$9,0),2)</f>
        <v>0.08</v>
      </c>
      <c r="U41" s="26" t="n">
        <f aca="false">INDEX($B$4:$M$9,MATCH($R41,$A$4:$A$9,0),3)</f>
        <v>0.085</v>
      </c>
      <c r="V41" s="26" t="n">
        <f aca="false">INDEX($B$4:$M$9,MATCH($R41,$A$4:$A$9,0),4)</f>
        <v>0.085</v>
      </c>
      <c r="W41" s="26" t="n">
        <f aca="false">INDEX($B$4:$M$9,MATCH($R41,$A$4:$A$9,0),5)</f>
        <v>0.08</v>
      </c>
      <c r="X41" s="26" t="n">
        <f aca="false">INDEX($B$4:$M$9,MATCH($R41,$A$4:$A$9,0),6)</f>
        <v>0.075</v>
      </c>
      <c r="Y41" s="26" t="n">
        <f aca="false">INDEX($B$4:$M$9,MATCH($R41,$A$4:$A$9,0),7)</f>
        <v>0.09</v>
      </c>
      <c r="Z41" s="26" t="n">
        <f aca="false">INDEX($B$4:$M$9,MATCH($R41,$A$4:$A$9,0),8)</f>
        <v>0.08</v>
      </c>
      <c r="AA41" s="26" t="n">
        <f aca="false">INDEX($B$4:$M$9,MATCH($R41,$A$4:$A$9,0),9)</f>
        <v>0.08</v>
      </c>
      <c r="AB41" s="26" t="n">
        <f aca="false">INDEX($B$4:$M$9,MATCH($R41,$A$4:$A$9,0),10)</f>
        <v>0.08</v>
      </c>
      <c r="AC41" s="26" t="n">
        <f aca="false">INDEX($B$4:$M$9,MATCH($R41,$A$4:$A$9,0),11)</f>
        <v>0.075</v>
      </c>
      <c r="AD41" s="26" t="n">
        <f aca="false">INDEX($B$4:$M$9,MATCH($R41,$A$4:$A$9,0),12)</f>
        <v>0.09</v>
      </c>
      <c r="AE41" s="25" t="n">
        <f aca="false">INDEX(DEMANDA!$F41:$O41,INDEX(P_VAL,MATCH("AÑO_DIS",P_ID,0))-2025)</f>
        <v>10</v>
      </c>
    </row>
    <row r="42" customFormat="false" ht="15" hidden="false" customHeight="false" outlineLevel="0" collapsed="false">
      <c r="P42" s="24" t="str">
        <f aca="false">DEMANDA!B42</f>
        <v>RKP_BC_5kg</v>
      </c>
      <c r="Q42" s="24" t="str">
        <f aca="false">DEMANDA!A42</f>
        <v>RECARGAS</v>
      </c>
      <c r="R42" s="24" t="str">
        <f aca="false">DEMANDA!E42</f>
        <v>Recargas manual comercial</v>
      </c>
      <c r="S42" s="26" t="n">
        <f aca="false">INDEX($B$4:$M$9,MATCH($R42,$A$4:$A$9,0),1)</f>
        <v>0.09</v>
      </c>
      <c r="T42" s="26" t="n">
        <f aca="false">INDEX($B$4:$M$9,MATCH($R42,$A$4:$A$9,0),2)</f>
        <v>0.08</v>
      </c>
      <c r="U42" s="26" t="n">
        <f aca="false">INDEX($B$4:$M$9,MATCH($R42,$A$4:$A$9,0),3)</f>
        <v>0.085</v>
      </c>
      <c r="V42" s="26" t="n">
        <f aca="false">INDEX($B$4:$M$9,MATCH($R42,$A$4:$A$9,0),4)</f>
        <v>0.08</v>
      </c>
      <c r="W42" s="26" t="n">
        <f aca="false">INDEX($B$4:$M$9,MATCH($R42,$A$4:$A$9,0),5)</f>
        <v>0.075</v>
      </c>
      <c r="X42" s="26" t="n">
        <f aca="false">INDEX($B$4:$M$9,MATCH($R42,$A$4:$A$9,0),6)</f>
        <v>0.07</v>
      </c>
      <c r="Y42" s="26" t="n">
        <f aca="false">INDEX($B$4:$M$9,MATCH($R42,$A$4:$A$9,0),7)</f>
        <v>0.08</v>
      </c>
      <c r="Z42" s="26" t="n">
        <f aca="false">INDEX($B$4:$M$9,MATCH($R42,$A$4:$A$9,0),8)</f>
        <v>0.085</v>
      </c>
      <c r="AA42" s="26" t="n">
        <f aca="false">INDEX($B$4:$M$9,MATCH($R42,$A$4:$A$9,0),9)</f>
        <v>0.085</v>
      </c>
      <c r="AB42" s="26" t="n">
        <f aca="false">INDEX($B$4:$M$9,MATCH($R42,$A$4:$A$9,0),10)</f>
        <v>0.08</v>
      </c>
      <c r="AC42" s="26" t="n">
        <f aca="false">INDEX($B$4:$M$9,MATCH($R42,$A$4:$A$9,0),11)</f>
        <v>0.08</v>
      </c>
      <c r="AD42" s="26" t="n">
        <f aca="false">INDEX($B$4:$M$9,MATCH($R42,$A$4:$A$9,0),12)</f>
        <v>0.11</v>
      </c>
      <c r="AE42" s="25" t="n">
        <f aca="false">INDEX(DEMANDA!$F42:$O42,INDEX(P_VAL,MATCH("AÑO_DIS",P_ID,0))-2025)</f>
        <v>6</v>
      </c>
    </row>
    <row r="43" customFormat="false" ht="15" hidden="false" customHeight="false" outlineLevel="0" collapsed="false">
      <c r="P43" s="24" t="str">
        <f aca="false">DEMANDA!B43</f>
        <v>RKP_SALESK_6l</v>
      </c>
      <c r="Q43" s="24" t="str">
        <f aca="false">DEMANDA!A43</f>
        <v>RECARGAS</v>
      </c>
      <c r="R43" s="24" t="str">
        <f aca="false">DEMANDA!E43</f>
        <v>Recargas manual comercial</v>
      </c>
      <c r="S43" s="26" t="n">
        <f aca="false">INDEX($B$4:$M$9,MATCH($R43,$A$4:$A$9,0),1)</f>
        <v>0.09</v>
      </c>
      <c r="T43" s="26" t="n">
        <f aca="false">INDEX($B$4:$M$9,MATCH($R43,$A$4:$A$9,0),2)</f>
        <v>0.08</v>
      </c>
      <c r="U43" s="26" t="n">
        <f aca="false">INDEX($B$4:$M$9,MATCH($R43,$A$4:$A$9,0),3)</f>
        <v>0.085</v>
      </c>
      <c r="V43" s="26" t="n">
        <f aca="false">INDEX($B$4:$M$9,MATCH($R43,$A$4:$A$9,0),4)</f>
        <v>0.08</v>
      </c>
      <c r="W43" s="26" t="n">
        <f aca="false">INDEX($B$4:$M$9,MATCH($R43,$A$4:$A$9,0),5)</f>
        <v>0.075</v>
      </c>
      <c r="X43" s="26" t="n">
        <f aca="false">INDEX($B$4:$M$9,MATCH($R43,$A$4:$A$9,0),6)</f>
        <v>0.07</v>
      </c>
      <c r="Y43" s="26" t="n">
        <f aca="false">INDEX($B$4:$M$9,MATCH($R43,$A$4:$A$9,0),7)</f>
        <v>0.08</v>
      </c>
      <c r="Z43" s="26" t="n">
        <f aca="false">INDEX($B$4:$M$9,MATCH($R43,$A$4:$A$9,0),8)</f>
        <v>0.085</v>
      </c>
      <c r="AA43" s="26" t="n">
        <f aca="false">INDEX($B$4:$M$9,MATCH($R43,$A$4:$A$9,0),9)</f>
        <v>0.085</v>
      </c>
      <c r="AB43" s="26" t="n">
        <f aca="false">INDEX($B$4:$M$9,MATCH($R43,$A$4:$A$9,0),10)</f>
        <v>0.08</v>
      </c>
      <c r="AC43" s="26" t="n">
        <f aca="false">INDEX($B$4:$M$9,MATCH($R43,$A$4:$A$9,0),11)</f>
        <v>0.08</v>
      </c>
      <c r="AD43" s="26" t="n">
        <f aca="false">INDEX($B$4:$M$9,MATCH($R43,$A$4:$A$9,0),12)</f>
        <v>0.11</v>
      </c>
      <c r="AE43" s="25" t="n">
        <f aca="false">INDEX(DEMANDA!$F43:$O43,INDEX(P_VAL,MATCH("AÑO_DIS",P_ID,0))-2025)</f>
        <v>45</v>
      </c>
    </row>
    <row r="44" customFormat="false" ht="15" hidden="false" customHeight="false" outlineLevel="0" collapsed="false">
      <c r="P44" s="24" t="str">
        <f aca="false">DEMANDA!B44</f>
        <v>RKP_CO2_5kg</v>
      </c>
      <c r="Q44" s="24" t="str">
        <f aca="false">DEMANDA!A44</f>
        <v>RECARGAS</v>
      </c>
      <c r="R44" s="24" t="str">
        <f aca="false">DEMANDA!E44</f>
        <v>Recargas manual comercial</v>
      </c>
      <c r="S44" s="26" t="n">
        <f aca="false">INDEX($B$4:$M$9,MATCH($R44,$A$4:$A$9,0),1)</f>
        <v>0.09</v>
      </c>
      <c r="T44" s="26" t="n">
        <f aca="false">INDEX($B$4:$M$9,MATCH($R44,$A$4:$A$9,0),2)</f>
        <v>0.08</v>
      </c>
      <c r="U44" s="26" t="n">
        <f aca="false">INDEX($B$4:$M$9,MATCH($R44,$A$4:$A$9,0),3)</f>
        <v>0.085</v>
      </c>
      <c r="V44" s="26" t="n">
        <f aca="false">INDEX($B$4:$M$9,MATCH($R44,$A$4:$A$9,0),4)</f>
        <v>0.08</v>
      </c>
      <c r="W44" s="26" t="n">
        <f aca="false">INDEX($B$4:$M$9,MATCH($R44,$A$4:$A$9,0),5)</f>
        <v>0.075</v>
      </c>
      <c r="X44" s="26" t="n">
        <f aca="false">INDEX($B$4:$M$9,MATCH($R44,$A$4:$A$9,0),6)</f>
        <v>0.07</v>
      </c>
      <c r="Y44" s="26" t="n">
        <f aca="false">INDEX($B$4:$M$9,MATCH($R44,$A$4:$A$9,0),7)</f>
        <v>0.08</v>
      </c>
      <c r="Z44" s="26" t="n">
        <f aca="false">INDEX($B$4:$M$9,MATCH($R44,$A$4:$A$9,0),8)</f>
        <v>0.085</v>
      </c>
      <c r="AA44" s="26" t="n">
        <f aca="false">INDEX($B$4:$M$9,MATCH($R44,$A$4:$A$9,0),9)</f>
        <v>0.085</v>
      </c>
      <c r="AB44" s="26" t="n">
        <f aca="false">INDEX($B$4:$M$9,MATCH($R44,$A$4:$A$9,0),10)</f>
        <v>0.08</v>
      </c>
      <c r="AC44" s="26" t="n">
        <f aca="false">INDEX($B$4:$M$9,MATCH($R44,$A$4:$A$9,0),11)</f>
        <v>0.08</v>
      </c>
      <c r="AD44" s="26" t="n">
        <f aca="false">INDEX($B$4:$M$9,MATCH($R44,$A$4:$A$9,0),12)</f>
        <v>0.11</v>
      </c>
      <c r="AE44" s="25" t="n">
        <f aca="false">INDEX(DEMANDA!$F44:$O44,INDEX(P_VAL,MATCH("AÑO_DIS",P_ID,0))-2025)</f>
        <v>330</v>
      </c>
    </row>
    <row r="45" customFormat="false" ht="15" hidden="false" customHeight="false" outlineLevel="0" collapsed="false">
      <c r="P45" s="24" t="str">
        <f aca="false">DEMANDA!B45</f>
        <v>RKP_HCFC-HFC_5kg</v>
      </c>
      <c r="Q45" s="24" t="str">
        <f aca="false">DEMANDA!A45</f>
        <v>RECARGAS</v>
      </c>
      <c r="R45" s="24" t="str">
        <f aca="false">DEMANDA!E45</f>
        <v>Recargas manual comercial</v>
      </c>
      <c r="S45" s="26" t="n">
        <f aca="false">INDEX($B$4:$M$9,MATCH($R45,$A$4:$A$9,0),1)</f>
        <v>0.09</v>
      </c>
      <c r="T45" s="26" t="n">
        <f aca="false">INDEX($B$4:$M$9,MATCH($R45,$A$4:$A$9,0),2)</f>
        <v>0.08</v>
      </c>
      <c r="U45" s="26" t="n">
        <f aca="false">INDEX($B$4:$M$9,MATCH($R45,$A$4:$A$9,0),3)</f>
        <v>0.085</v>
      </c>
      <c r="V45" s="26" t="n">
        <f aca="false">INDEX($B$4:$M$9,MATCH($R45,$A$4:$A$9,0),4)</f>
        <v>0.08</v>
      </c>
      <c r="W45" s="26" t="n">
        <f aca="false">INDEX($B$4:$M$9,MATCH($R45,$A$4:$A$9,0),5)</f>
        <v>0.075</v>
      </c>
      <c r="X45" s="26" t="n">
        <f aca="false">INDEX($B$4:$M$9,MATCH($R45,$A$4:$A$9,0),6)</f>
        <v>0.07</v>
      </c>
      <c r="Y45" s="26" t="n">
        <f aca="false">INDEX($B$4:$M$9,MATCH($R45,$A$4:$A$9,0),7)</f>
        <v>0.08</v>
      </c>
      <c r="Z45" s="26" t="n">
        <f aca="false">INDEX($B$4:$M$9,MATCH($R45,$A$4:$A$9,0),8)</f>
        <v>0.085</v>
      </c>
      <c r="AA45" s="26" t="n">
        <f aca="false">INDEX($B$4:$M$9,MATCH($R45,$A$4:$A$9,0),9)</f>
        <v>0.085</v>
      </c>
      <c r="AB45" s="26" t="n">
        <f aca="false">INDEX($B$4:$M$9,MATCH($R45,$A$4:$A$9,0),10)</f>
        <v>0.08</v>
      </c>
      <c r="AC45" s="26" t="n">
        <f aca="false">INDEX($B$4:$M$9,MATCH($R45,$A$4:$A$9,0),11)</f>
        <v>0.08</v>
      </c>
      <c r="AD45" s="26" t="n">
        <f aca="false">INDEX($B$4:$M$9,MATCH($R45,$A$4:$A$9,0),12)</f>
        <v>0.11</v>
      </c>
      <c r="AE45" s="25" t="n">
        <f aca="false">INDEX(DEMANDA!$F45:$O45,INDEX(P_VAL,MATCH("AÑO_DIS",P_ID,0))-2025)</f>
        <v>14</v>
      </c>
    </row>
    <row r="46" customFormat="false" ht="15" hidden="false" customHeight="false" outlineLevel="0" collapsed="false">
      <c r="P46" s="24" t="str">
        <f aca="false">DEMANDA!B46</f>
        <v>RKP_CLASED_9l</v>
      </c>
      <c r="Q46" s="24" t="str">
        <f aca="false">DEMANDA!A46</f>
        <v>RECARGAS</v>
      </c>
      <c r="R46" s="24" t="str">
        <f aca="false">DEMANDA!E46</f>
        <v>Recargas manual comercial</v>
      </c>
      <c r="S46" s="26" t="n">
        <f aca="false">INDEX($B$4:$M$9,MATCH($R46,$A$4:$A$9,0),1)</f>
        <v>0.09</v>
      </c>
      <c r="T46" s="26" t="n">
        <f aca="false">INDEX($B$4:$M$9,MATCH($R46,$A$4:$A$9,0),2)</f>
        <v>0.08</v>
      </c>
      <c r="U46" s="26" t="n">
        <f aca="false">INDEX($B$4:$M$9,MATCH($R46,$A$4:$A$9,0),3)</f>
        <v>0.085</v>
      </c>
      <c r="V46" s="26" t="n">
        <f aca="false">INDEX($B$4:$M$9,MATCH($R46,$A$4:$A$9,0),4)</f>
        <v>0.08</v>
      </c>
      <c r="W46" s="26" t="n">
        <f aca="false">INDEX($B$4:$M$9,MATCH($R46,$A$4:$A$9,0),5)</f>
        <v>0.075</v>
      </c>
      <c r="X46" s="26" t="n">
        <f aca="false">INDEX($B$4:$M$9,MATCH($R46,$A$4:$A$9,0),6)</f>
        <v>0.07</v>
      </c>
      <c r="Y46" s="26" t="n">
        <f aca="false">INDEX($B$4:$M$9,MATCH($R46,$A$4:$A$9,0),7)</f>
        <v>0.08</v>
      </c>
      <c r="Z46" s="26" t="n">
        <f aca="false">INDEX($B$4:$M$9,MATCH($R46,$A$4:$A$9,0),8)</f>
        <v>0.085</v>
      </c>
      <c r="AA46" s="26" t="n">
        <f aca="false">INDEX($B$4:$M$9,MATCH($R46,$A$4:$A$9,0),9)</f>
        <v>0.085</v>
      </c>
      <c r="AB46" s="26" t="n">
        <f aca="false">INDEX($B$4:$M$9,MATCH($R46,$A$4:$A$9,0),10)</f>
        <v>0.08</v>
      </c>
      <c r="AC46" s="26" t="n">
        <f aca="false">INDEX($B$4:$M$9,MATCH($R46,$A$4:$A$9,0),11)</f>
        <v>0.08</v>
      </c>
      <c r="AD46" s="26" t="n">
        <f aca="false">INDEX($B$4:$M$9,MATCH($R46,$A$4:$A$9,0),12)</f>
        <v>0.11</v>
      </c>
      <c r="AE46" s="25" t="n">
        <f aca="false">INDEX(DEMANDA!$F46:$O46,INDEX(P_VAL,MATCH("AÑO_DIS",P_ID,0))-2025)</f>
        <v>5</v>
      </c>
    </row>
    <row r="47" customFormat="false" ht="15" hidden="false" customHeight="false" outlineLevel="0" collapsed="false">
      <c r="P47" s="24" t="str">
        <f aca="false">DEMANDA!B47</f>
        <v>RKP_ABC_50kg</v>
      </c>
      <c r="Q47" s="24" t="str">
        <f aca="false">DEMANDA!A47</f>
        <v>RECARGAS</v>
      </c>
      <c r="R47" s="24" t="str">
        <f aca="false">DEMANDA!E47</f>
        <v>Recargas industrial s/ruedas</v>
      </c>
      <c r="S47" s="26" t="n">
        <f aca="false">INDEX($B$4:$M$9,MATCH($R47,$A$4:$A$9,0),1)</f>
        <v>0.1</v>
      </c>
      <c r="T47" s="26" t="n">
        <f aca="false">INDEX($B$4:$M$9,MATCH($R47,$A$4:$A$9,0),2)</f>
        <v>0.08</v>
      </c>
      <c r="U47" s="26" t="n">
        <f aca="false">INDEX($B$4:$M$9,MATCH($R47,$A$4:$A$9,0),3)</f>
        <v>0.085</v>
      </c>
      <c r="V47" s="26" t="n">
        <f aca="false">INDEX($B$4:$M$9,MATCH($R47,$A$4:$A$9,0),4)</f>
        <v>0.085</v>
      </c>
      <c r="W47" s="26" t="n">
        <f aca="false">INDEX($B$4:$M$9,MATCH($R47,$A$4:$A$9,0),5)</f>
        <v>0.08</v>
      </c>
      <c r="X47" s="26" t="n">
        <f aca="false">INDEX($B$4:$M$9,MATCH($R47,$A$4:$A$9,0),6)</f>
        <v>0.075</v>
      </c>
      <c r="Y47" s="26" t="n">
        <f aca="false">INDEX($B$4:$M$9,MATCH($R47,$A$4:$A$9,0),7)</f>
        <v>0.09</v>
      </c>
      <c r="Z47" s="26" t="n">
        <f aca="false">INDEX($B$4:$M$9,MATCH($R47,$A$4:$A$9,0),8)</f>
        <v>0.08</v>
      </c>
      <c r="AA47" s="26" t="n">
        <f aca="false">INDEX($B$4:$M$9,MATCH($R47,$A$4:$A$9,0),9)</f>
        <v>0.08</v>
      </c>
      <c r="AB47" s="26" t="n">
        <f aca="false">INDEX($B$4:$M$9,MATCH($R47,$A$4:$A$9,0),10)</f>
        <v>0.08</v>
      </c>
      <c r="AC47" s="26" t="n">
        <f aca="false">INDEX($B$4:$M$9,MATCH($R47,$A$4:$A$9,0),11)</f>
        <v>0.075</v>
      </c>
      <c r="AD47" s="26" t="n">
        <f aca="false">INDEX($B$4:$M$9,MATCH($R47,$A$4:$A$9,0),12)</f>
        <v>0.09</v>
      </c>
      <c r="AE47" s="25" t="n">
        <f aca="false">INDEX(DEMANDA!$F47:$O47,INDEX(P_VAL,MATCH("AÑO_DIS",P_ID,0))-2025)</f>
        <v>36</v>
      </c>
    </row>
    <row r="48" customFormat="false" ht="15" hidden="false" customHeight="false" outlineLevel="0" collapsed="false">
      <c r="P48" s="24" t="str">
        <f aca="false">DEMANDA!B48</f>
        <v>RKP_ABC_100kg</v>
      </c>
      <c r="Q48" s="24" t="str">
        <f aca="false">DEMANDA!A48</f>
        <v>RECARGAS</v>
      </c>
      <c r="R48" s="24" t="str">
        <f aca="false">DEMANDA!E48</f>
        <v>Recargas industrial s/ruedas</v>
      </c>
      <c r="S48" s="26" t="n">
        <f aca="false">INDEX($B$4:$M$9,MATCH($R48,$A$4:$A$9,0),1)</f>
        <v>0.1</v>
      </c>
      <c r="T48" s="26" t="n">
        <f aca="false">INDEX($B$4:$M$9,MATCH($R48,$A$4:$A$9,0),2)</f>
        <v>0.08</v>
      </c>
      <c r="U48" s="26" t="n">
        <f aca="false">INDEX($B$4:$M$9,MATCH($R48,$A$4:$A$9,0),3)</f>
        <v>0.085</v>
      </c>
      <c r="V48" s="26" t="n">
        <f aca="false">INDEX($B$4:$M$9,MATCH($R48,$A$4:$A$9,0),4)</f>
        <v>0.085</v>
      </c>
      <c r="W48" s="26" t="n">
        <f aca="false">INDEX($B$4:$M$9,MATCH($R48,$A$4:$A$9,0),5)</f>
        <v>0.08</v>
      </c>
      <c r="X48" s="26" t="n">
        <f aca="false">INDEX($B$4:$M$9,MATCH($R48,$A$4:$A$9,0),6)</f>
        <v>0.075</v>
      </c>
      <c r="Y48" s="26" t="n">
        <f aca="false">INDEX($B$4:$M$9,MATCH($R48,$A$4:$A$9,0),7)</f>
        <v>0.09</v>
      </c>
      <c r="Z48" s="26" t="n">
        <f aca="false">INDEX($B$4:$M$9,MATCH($R48,$A$4:$A$9,0),8)</f>
        <v>0.08</v>
      </c>
      <c r="AA48" s="26" t="n">
        <f aca="false">INDEX($B$4:$M$9,MATCH($R48,$A$4:$A$9,0),9)</f>
        <v>0.08</v>
      </c>
      <c r="AB48" s="26" t="n">
        <f aca="false">INDEX($B$4:$M$9,MATCH($R48,$A$4:$A$9,0),10)</f>
        <v>0.08</v>
      </c>
      <c r="AC48" s="26" t="n">
        <f aca="false">INDEX($B$4:$M$9,MATCH($R48,$A$4:$A$9,0),11)</f>
        <v>0.075</v>
      </c>
      <c r="AD48" s="26" t="n">
        <f aca="false">INDEX($B$4:$M$9,MATCH($R48,$A$4:$A$9,0),12)</f>
        <v>0.09</v>
      </c>
      <c r="AE48" s="25" t="n">
        <f aca="false">INDEX(DEMANDA!$F48:$O48,INDEX(P_VAL,MATCH("AÑO_DIS",P_ID,0))-2025)</f>
        <v>9</v>
      </c>
    </row>
    <row r="49" customFormat="false" ht="15" hidden="false" customHeight="false" outlineLevel="0" collapsed="false">
      <c r="P49" s="24" t="str">
        <f aca="false">DEMANDA!B49</f>
        <v>FL_SUS_ABC_5kg</v>
      </c>
      <c r="Q49" s="24" t="str">
        <f aca="false">DEMANDA!A49</f>
        <v>RECARGAS</v>
      </c>
      <c r="R49" s="24" t="str">
        <f aca="false">DEMANDA!E49</f>
        <v>Recargas manual comercial</v>
      </c>
      <c r="S49" s="26" t="n">
        <f aca="false">INDEX($B$4:$M$9,MATCH($R49,$A$4:$A$9,0),1)</f>
        <v>0.09</v>
      </c>
      <c r="T49" s="26" t="n">
        <f aca="false">INDEX($B$4:$M$9,MATCH($R49,$A$4:$A$9,0),2)</f>
        <v>0.08</v>
      </c>
      <c r="U49" s="26" t="n">
        <f aca="false">INDEX($B$4:$M$9,MATCH($R49,$A$4:$A$9,0),3)</f>
        <v>0.085</v>
      </c>
      <c r="V49" s="26" t="n">
        <f aca="false">INDEX($B$4:$M$9,MATCH($R49,$A$4:$A$9,0),4)</f>
        <v>0.08</v>
      </c>
      <c r="W49" s="26" t="n">
        <f aca="false">INDEX($B$4:$M$9,MATCH($R49,$A$4:$A$9,0),5)</f>
        <v>0.075</v>
      </c>
      <c r="X49" s="26" t="n">
        <f aca="false">INDEX($B$4:$M$9,MATCH($R49,$A$4:$A$9,0),6)</f>
        <v>0.07</v>
      </c>
      <c r="Y49" s="26" t="n">
        <f aca="false">INDEX($B$4:$M$9,MATCH($R49,$A$4:$A$9,0),7)</f>
        <v>0.08</v>
      </c>
      <c r="Z49" s="26" t="n">
        <f aca="false">INDEX($B$4:$M$9,MATCH($R49,$A$4:$A$9,0),8)</f>
        <v>0.085</v>
      </c>
      <c r="AA49" s="26" t="n">
        <f aca="false">INDEX($B$4:$M$9,MATCH($R49,$A$4:$A$9,0),9)</f>
        <v>0.085</v>
      </c>
      <c r="AB49" s="26" t="n">
        <f aca="false">INDEX($B$4:$M$9,MATCH($R49,$A$4:$A$9,0),10)</f>
        <v>0.08</v>
      </c>
      <c r="AC49" s="26" t="n">
        <f aca="false">INDEX($B$4:$M$9,MATCH($R49,$A$4:$A$9,0),11)</f>
        <v>0.08</v>
      </c>
      <c r="AD49" s="26" t="n">
        <f aca="false">INDEX($B$4:$M$9,MATCH($R49,$A$4:$A$9,0),12)</f>
        <v>0.11</v>
      </c>
      <c r="AE49" s="25" t="n">
        <f aca="false">INDEX(DEMANDA!$F49:$O49,INDEX(P_VAL,MATCH("AÑO_DIS",P_ID,0))-2025)</f>
        <v>382.2</v>
      </c>
    </row>
    <row r="50" customFormat="false" ht="15" hidden="false" customHeight="false" outlineLevel="0" collapsed="false">
      <c r="P50" s="24" t="str">
        <f aca="false">DEMANDA!B50</f>
        <v>FL_SUS_ABC_10kg</v>
      </c>
      <c r="Q50" s="24" t="str">
        <f aca="false">DEMANDA!A50</f>
        <v>RECARGAS</v>
      </c>
      <c r="R50" s="24" t="str">
        <f aca="false">DEMANDA!E50</f>
        <v>Recargas manual comercial</v>
      </c>
      <c r="S50" s="26" t="n">
        <f aca="false">INDEX($B$4:$M$9,MATCH($R50,$A$4:$A$9,0),1)</f>
        <v>0.09</v>
      </c>
      <c r="T50" s="26" t="n">
        <f aca="false">INDEX($B$4:$M$9,MATCH($R50,$A$4:$A$9,0),2)</f>
        <v>0.08</v>
      </c>
      <c r="U50" s="26" t="n">
        <f aca="false">INDEX($B$4:$M$9,MATCH($R50,$A$4:$A$9,0),3)</f>
        <v>0.085</v>
      </c>
      <c r="V50" s="26" t="n">
        <f aca="false">INDEX($B$4:$M$9,MATCH($R50,$A$4:$A$9,0),4)</f>
        <v>0.08</v>
      </c>
      <c r="W50" s="26" t="n">
        <f aca="false">INDEX($B$4:$M$9,MATCH($R50,$A$4:$A$9,0),5)</f>
        <v>0.075</v>
      </c>
      <c r="X50" s="26" t="n">
        <f aca="false">INDEX($B$4:$M$9,MATCH($R50,$A$4:$A$9,0),6)</f>
        <v>0.07</v>
      </c>
      <c r="Y50" s="26" t="n">
        <f aca="false">INDEX($B$4:$M$9,MATCH($R50,$A$4:$A$9,0),7)</f>
        <v>0.08</v>
      </c>
      <c r="Z50" s="26" t="n">
        <f aca="false">INDEX($B$4:$M$9,MATCH($R50,$A$4:$A$9,0),8)</f>
        <v>0.085</v>
      </c>
      <c r="AA50" s="26" t="n">
        <f aca="false">INDEX($B$4:$M$9,MATCH($R50,$A$4:$A$9,0),9)</f>
        <v>0.085</v>
      </c>
      <c r="AB50" s="26" t="n">
        <f aca="false">INDEX($B$4:$M$9,MATCH($R50,$A$4:$A$9,0),10)</f>
        <v>0.08</v>
      </c>
      <c r="AC50" s="26" t="n">
        <f aca="false">INDEX($B$4:$M$9,MATCH($R50,$A$4:$A$9,0),11)</f>
        <v>0.08</v>
      </c>
      <c r="AD50" s="26" t="n">
        <f aca="false">INDEX($B$4:$M$9,MATCH($R50,$A$4:$A$9,0),12)</f>
        <v>0.11</v>
      </c>
      <c r="AE50" s="25" t="n">
        <f aca="false">INDEX(DEMANDA!$F50:$O50,INDEX(P_VAL,MATCH("AÑO_DIS",P_ID,0))-2025)</f>
        <v>7.05</v>
      </c>
    </row>
    <row r="51" customFormat="false" ht="15" hidden="false" customHeight="false" outlineLevel="0" collapsed="false">
      <c r="P51" s="24" t="str">
        <f aca="false">DEMANDA!B51</f>
        <v>FL_SUS_AGUA_10l</v>
      </c>
      <c r="Q51" s="24" t="str">
        <f aca="false">DEMANDA!A51</f>
        <v>RECARGAS</v>
      </c>
      <c r="R51" s="24" t="str">
        <f aca="false">DEMANDA!E51</f>
        <v>Recargas manual comercial</v>
      </c>
      <c r="S51" s="26" t="n">
        <f aca="false">INDEX($B$4:$M$9,MATCH($R51,$A$4:$A$9,0),1)</f>
        <v>0.09</v>
      </c>
      <c r="T51" s="26" t="n">
        <f aca="false">INDEX($B$4:$M$9,MATCH($R51,$A$4:$A$9,0),2)</f>
        <v>0.08</v>
      </c>
      <c r="U51" s="26" t="n">
        <f aca="false">INDEX($B$4:$M$9,MATCH($R51,$A$4:$A$9,0),3)</f>
        <v>0.085</v>
      </c>
      <c r="V51" s="26" t="n">
        <f aca="false">INDEX($B$4:$M$9,MATCH($R51,$A$4:$A$9,0),4)</f>
        <v>0.08</v>
      </c>
      <c r="W51" s="26" t="n">
        <f aca="false">INDEX($B$4:$M$9,MATCH($R51,$A$4:$A$9,0),5)</f>
        <v>0.075</v>
      </c>
      <c r="X51" s="26" t="n">
        <f aca="false">INDEX($B$4:$M$9,MATCH($R51,$A$4:$A$9,0),6)</f>
        <v>0.07</v>
      </c>
      <c r="Y51" s="26" t="n">
        <f aca="false">INDEX($B$4:$M$9,MATCH($R51,$A$4:$A$9,0),7)</f>
        <v>0.08</v>
      </c>
      <c r="Z51" s="26" t="n">
        <f aca="false">INDEX($B$4:$M$9,MATCH($R51,$A$4:$A$9,0),8)</f>
        <v>0.085</v>
      </c>
      <c r="AA51" s="26" t="n">
        <f aca="false">INDEX($B$4:$M$9,MATCH($R51,$A$4:$A$9,0),9)</f>
        <v>0.085</v>
      </c>
      <c r="AB51" s="26" t="n">
        <f aca="false">INDEX($B$4:$M$9,MATCH($R51,$A$4:$A$9,0),10)</f>
        <v>0.08</v>
      </c>
      <c r="AC51" s="26" t="n">
        <f aca="false">INDEX($B$4:$M$9,MATCH($R51,$A$4:$A$9,0),11)</f>
        <v>0.08</v>
      </c>
      <c r="AD51" s="26" t="n">
        <f aca="false">INDEX($B$4:$M$9,MATCH($R51,$A$4:$A$9,0),12)</f>
        <v>0.11</v>
      </c>
      <c r="AE51" s="25" t="n">
        <f aca="false">INDEX(DEMANDA!$F51:$O51,INDEX(P_VAL,MATCH("AÑO_DIS",P_ID,0))-2025)</f>
        <v>11.25</v>
      </c>
    </row>
    <row r="52" customFormat="false" ht="15" hidden="false" customHeight="false" outlineLevel="0" collapsed="false">
      <c r="P52" s="24" t="str">
        <f aca="false">DEMANDA!B52</f>
        <v>FL_SUS_AFFF_10l</v>
      </c>
      <c r="Q52" s="24" t="str">
        <f aca="false">DEMANDA!A52</f>
        <v>RECARGAS</v>
      </c>
      <c r="R52" s="24" t="str">
        <f aca="false">DEMANDA!E52</f>
        <v>Recargas manual comercial</v>
      </c>
      <c r="S52" s="26" t="n">
        <f aca="false">INDEX($B$4:$M$9,MATCH($R52,$A$4:$A$9,0),1)</f>
        <v>0.09</v>
      </c>
      <c r="T52" s="26" t="n">
        <f aca="false">INDEX($B$4:$M$9,MATCH($R52,$A$4:$A$9,0),2)</f>
        <v>0.08</v>
      </c>
      <c r="U52" s="26" t="n">
        <f aca="false">INDEX($B$4:$M$9,MATCH($R52,$A$4:$A$9,0),3)</f>
        <v>0.085</v>
      </c>
      <c r="V52" s="26" t="n">
        <f aca="false">INDEX($B$4:$M$9,MATCH($R52,$A$4:$A$9,0),4)</f>
        <v>0.08</v>
      </c>
      <c r="W52" s="26" t="n">
        <f aca="false">INDEX($B$4:$M$9,MATCH($R52,$A$4:$A$9,0),5)</f>
        <v>0.075</v>
      </c>
      <c r="X52" s="26" t="n">
        <f aca="false">INDEX($B$4:$M$9,MATCH($R52,$A$4:$A$9,0),6)</f>
        <v>0.07</v>
      </c>
      <c r="Y52" s="26" t="n">
        <f aca="false">INDEX($B$4:$M$9,MATCH($R52,$A$4:$A$9,0),7)</f>
        <v>0.08</v>
      </c>
      <c r="Z52" s="26" t="n">
        <f aca="false">INDEX($B$4:$M$9,MATCH($R52,$A$4:$A$9,0),8)</f>
        <v>0.085</v>
      </c>
      <c r="AA52" s="26" t="n">
        <f aca="false">INDEX($B$4:$M$9,MATCH($R52,$A$4:$A$9,0),9)</f>
        <v>0.085</v>
      </c>
      <c r="AB52" s="26" t="n">
        <f aca="false">INDEX($B$4:$M$9,MATCH($R52,$A$4:$A$9,0),10)</f>
        <v>0.08</v>
      </c>
      <c r="AC52" s="26" t="n">
        <f aca="false">INDEX($B$4:$M$9,MATCH($R52,$A$4:$A$9,0),11)</f>
        <v>0.08</v>
      </c>
      <c r="AD52" s="26" t="n">
        <f aca="false">INDEX($B$4:$M$9,MATCH($R52,$A$4:$A$9,0),12)</f>
        <v>0.11</v>
      </c>
      <c r="AE52" s="25" t="n">
        <f aca="false">INDEX(DEMANDA!$F52:$O52,INDEX(P_VAL,MATCH("AÑO_DIS",P_ID,0))-2025)</f>
        <v>2.8</v>
      </c>
    </row>
    <row r="53" customFormat="false" ht="15" hidden="false" customHeight="false" outlineLevel="0" collapsed="false">
      <c r="P53" s="24" t="str">
        <f aca="false">DEMANDA!B53</f>
        <v>FL_SUS_AFFF_50l</v>
      </c>
      <c r="Q53" s="24" t="str">
        <f aca="false">DEMANDA!A53</f>
        <v>RECARGAS</v>
      </c>
      <c r="R53" s="24" t="str">
        <f aca="false">DEMANDA!E53</f>
        <v>Recargas industrial s/ruedas</v>
      </c>
      <c r="S53" s="26" t="n">
        <f aca="false">INDEX($B$4:$M$9,MATCH($R53,$A$4:$A$9,0),1)</f>
        <v>0.1</v>
      </c>
      <c r="T53" s="26" t="n">
        <f aca="false">INDEX($B$4:$M$9,MATCH($R53,$A$4:$A$9,0),2)</f>
        <v>0.08</v>
      </c>
      <c r="U53" s="26" t="n">
        <f aca="false">INDEX($B$4:$M$9,MATCH($R53,$A$4:$A$9,0),3)</f>
        <v>0.085</v>
      </c>
      <c r="V53" s="26" t="n">
        <f aca="false">INDEX($B$4:$M$9,MATCH($R53,$A$4:$A$9,0),4)</f>
        <v>0.085</v>
      </c>
      <c r="W53" s="26" t="n">
        <f aca="false">INDEX($B$4:$M$9,MATCH($R53,$A$4:$A$9,0),5)</f>
        <v>0.08</v>
      </c>
      <c r="X53" s="26" t="n">
        <f aca="false">INDEX($B$4:$M$9,MATCH($R53,$A$4:$A$9,0),6)</f>
        <v>0.075</v>
      </c>
      <c r="Y53" s="26" t="n">
        <f aca="false">INDEX($B$4:$M$9,MATCH($R53,$A$4:$A$9,0),7)</f>
        <v>0.09</v>
      </c>
      <c r="Z53" s="26" t="n">
        <f aca="false">INDEX($B$4:$M$9,MATCH($R53,$A$4:$A$9,0),8)</f>
        <v>0.08</v>
      </c>
      <c r="AA53" s="26" t="n">
        <f aca="false">INDEX($B$4:$M$9,MATCH($R53,$A$4:$A$9,0),9)</f>
        <v>0.08</v>
      </c>
      <c r="AB53" s="26" t="n">
        <f aca="false">INDEX($B$4:$M$9,MATCH($R53,$A$4:$A$9,0),10)</f>
        <v>0.08</v>
      </c>
      <c r="AC53" s="26" t="n">
        <f aca="false">INDEX($B$4:$M$9,MATCH($R53,$A$4:$A$9,0),11)</f>
        <v>0.075</v>
      </c>
      <c r="AD53" s="26" t="n">
        <f aca="false">INDEX($B$4:$M$9,MATCH($R53,$A$4:$A$9,0),12)</f>
        <v>0.09</v>
      </c>
      <c r="AE53" s="25" t="n">
        <f aca="false">INDEX(DEMANDA!$F53:$O53,INDEX(P_VAL,MATCH("AÑO_DIS",P_ID,0))-2025)</f>
        <v>1.45</v>
      </c>
    </row>
    <row r="54" customFormat="false" ht="15" hidden="false" customHeight="false" outlineLevel="0" collapsed="false">
      <c r="P54" s="24" t="str">
        <f aca="false">DEMANDA!B54</f>
        <v>FL_SUS_BC_5kg</v>
      </c>
      <c r="Q54" s="24" t="str">
        <f aca="false">DEMANDA!A54</f>
        <v>RECARGAS</v>
      </c>
      <c r="R54" s="24" t="str">
        <f aca="false">DEMANDA!E54</f>
        <v>Recargas manual comercial</v>
      </c>
      <c r="S54" s="26" t="n">
        <f aca="false">INDEX($B$4:$M$9,MATCH($R54,$A$4:$A$9,0),1)</f>
        <v>0.09</v>
      </c>
      <c r="T54" s="26" t="n">
        <f aca="false">INDEX($B$4:$M$9,MATCH($R54,$A$4:$A$9,0),2)</f>
        <v>0.08</v>
      </c>
      <c r="U54" s="26" t="n">
        <f aca="false">INDEX($B$4:$M$9,MATCH($R54,$A$4:$A$9,0),3)</f>
        <v>0.085</v>
      </c>
      <c r="V54" s="26" t="n">
        <f aca="false">INDEX($B$4:$M$9,MATCH($R54,$A$4:$A$9,0),4)</f>
        <v>0.08</v>
      </c>
      <c r="W54" s="26" t="n">
        <f aca="false">INDEX($B$4:$M$9,MATCH($R54,$A$4:$A$9,0),5)</f>
        <v>0.075</v>
      </c>
      <c r="X54" s="26" t="n">
        <f aca="false">INDEX($B$4:$M$9,MATCH($R54,$A$4:$A$9,0),6)</f>
        <v>0.07</v>
      </c>
      <c r="Y54" s="26" t="n">
        <f aca="false">INDEX($B$4:$M$9,MATCH($R54,$A$4:$A$9,0),7)</f>
        <v>0.08</v>
      </c>
      <c r="Z54" s="26" t="n">
        <f aca="false">INDEX($B$4:$M$9,MATCH($R54,$A$4:$A$9,0),8)</f>
        <v>0.085</v>
      </c>
      <c r="AA54" s="26" t="n">
        <f aca="false">INDEX($B$4:$M$9,MATCH($R54,$A$4:$A$9,0),9)</f>
        <v>0.085</v>
      </c>
      <c r="AB54" s="26" t="n">
        <f aca="false">INDEX($B$4:$M$9,MATCH($R54,$A$4:$A$9,0),10)</f>
        <v>0.08</v>
      </c>
      <c r="AC54" s="26" t="n">
        <f aca="false">INDEX($B$4:$M$9,MATCH($R54,$A$4:$A$9,0),11)</f>
        <v>0.08</v>
      </c>
      <c r="AD54" s="26" t="n">
        <f aca="false">INDEX($B$4:$M$9,MATCH($R54,$A$4:$A$9,0),12)</f>
        <v>0.11</v>
      </c>
      <c r="AE54" s="25" t="n">
        <f aca="false">INDEX(DEMANDA!$F54:$O54,INDEX(P_VAL,MATCH("AÑO_DIS",P_ID,0))-2025)</f>
        <v>1.25</v>
      </c>
    </row>
    <row r="55" customFormat="false" ht="15" hidden="false" customHeight="false" outlineLevel="0" collapsed="false">
      <c r="P55" s="24" t="str">
        <f aca="false">DEMANDA!B55</f>
        <v>FL_SUS_SALESK_6l</v>
      </c>
      <c r="Q55" s="24" t="str">
        <f aca="false">DEMANDA!A55</f>
        <v>RECARGAS</v>
      </c>
      <c r="R55" s="24" t="str">
        <f aca="false">DEMANDA!E55</f>
        <v>Recargas manual comercial</v>
      </c>
      <c r="S55" s="26" t="n">
        <f aca="false">INDEX($B$4:$M$9,MATCH($R55,$A$4:$A$9,0),1)</f>
        <v>0.09</v>
      </c>
      <c r="T55" s="26" t="n">
        <f aca="false">INDEX($B$4:$M$9,MATCH($R55,$A$4:$A$9,0),2)</f>
        <v>0.08</v>
      </c>
      <c r="U55" s="26" t="n">
        <f aca="false">INDEX($B$4:$M$9,MATCH($R55,$A$4:$A$9,0),3)</f>
        <v>0.085</v>
      </c>
      <c r="V55" s="26" t="n">
        <f aca="false">INDEX($B$4:$M$9,MATCH($R55,$A$4:$A$9,0),4)</f>
        <v>0.08</v>
      </c>
      <c r="W55" s="26" t="n">
        <f aca="false">INDEX($B$4:$M$9,MATCH($R55,$A$4:$A$9,0),5)</f>
        <v>0.075</v>
      </c>
      <c r="X55" s="26" t="n">
        <f aca="false">INDEX($B$4:$M$9,MATCH($R55,$A$4:$A$9,0),6)</f>
        <v>0.07</v>
      </c>
      <c r="Y55" s="26" t="n">
        <f aca="false">INDEX($B$4:$M$9,MATCH($R55,$A$4:$A$9,0),7)</f>
        <v>0.08</v>
      </c>
      <c r="Z55" s="26" t="n">
        <f aca="false">INDEX($B$4:$M$9,MATCH($R55,$A$4:$A$9,0),8)</f>
        <v>0.085</v>
      </c>
      <c r="AA55" s="26" t="n">
        <f aca="false">INDEX($B$4:$M$9,MATCH($R55,$A$4:$A$9,0),9)</f>
        <v>0.085</v>
      </c>
      <c r="AB55" s="26" t="n">
        <f aca="false">INDEX($B$4:$M$9,MATCH($R55,$A$4:$A$9,0),10)</f>
        <v>0.08</v>
      </c>
      <c r="AC55" s="26" t="n">
        <f aca="false">INDEX($B$4:$M$9,MATCH($R55,$A$4:$A$9,0),11)</f>
        <v>0.08</v>
      </c>
      <c r="AD55" s="26" t="n">
        <f aca="false">INDEX($B$4:$M$9,MATCH($R55,$A$4:$A$9,0),12)</f>
        <v>0.11</v>
      </c>
      <c r="AE55" s="25" t="n">
        <f aca="false">INDEX(DEMANDA!$F55:$O55,INDEX(P_VAL,MATCH("AÑO_DIS",P_ID,0))-2025)</f>
        <v>5.1</v>
      </c>
    </row>
    <row r="56" customFormat="false" ht="15" hidden="false" customHeight="false" outlineLevel="0" collapsed="false">
      <c r="P56" s="24" t="str">
        <f aca="false">DEMANDA!B56</f>
        <v>FL_SUS_CO2_5kg</v>
      </c>
      <c r="Q56" s="24" t="str">
        <f aca="false">DEMANDA!A56</f>
        <v>RECARGAS</v>
      </c>
      <c r="R56" s="24" t="str">
        <f aca="false">DEMANDA!E56</f>
        <v>Recargas manual comercial</v>
      </c>
      <c r="S56" s="26" t="n">
        <f aca="false">INDEX($B$4:$M$9,MATCH($R56,$A$4:$A$9,0),1)</f>
        <v>0.09</v>
      </c>
      <c r="T56" s="26" t="n">
        <f aca="false">INDEX($B$4:$M$9,MATCH($R56,$A$4:$A$9,0),2)</f>
        <v>0.08</v>
      </c>
      <c r="U56" s="26" t="n">
        <f aca="false">INDEX($B$4:$M$9,MATCH($R56,$A$4:$A$9,0),3)</f>
        <v>0.085</v>
      </c>
      <c r="V56" s="26" t="n">
        <f aca="false">INDEX($B$4:$M$9,MATCH($R56,$A$4:$A$9,0),4)</f>
        <v>0.08</v>
      </c>
      <c r="W56" s="26" t="n">
        <f aca="false">INDEX($B$4:$M$9,MATCH($R56,$A$4:$A$9,0),5)</f>
        <v>0.075</v>
      </c>
      <c r="X56" s="26" t="n">
        <f aca="false">INDEX($B$4:$M$9,MATCH($R56,$A$4:$A$9,0),6)</f>
        <v>0.07</v>
      </c>
      <c r="Y56" s="26" t="n">
        <f aca="false">INDEX($B$4:$M$9,MATCH($R56,$A$4:$A$9,0),7)</f>
        <v>0.08</v>
      </c>
      <c r="Z56" s="26" t="n">
        <f aca="false">INDEX($B$4:$M$9,MATCH($R56,$A$4:$A$9,0),8)</f>
        <v>0.085</v>
      </c>
      <c r="AA56" s="26" t="n">
        <f aca="false">INDEX($B$4:$M$9,MATCH($R56,$A$4:$A$9,0),9)</f>
        <v>0.085</v>
      </c>
      <c r="AB56" s="26" t="n">
        <f aca="false">INDEX($B$4:$M$9,MATCH($R56,$A$4:$A$9,0),10)</f>
        <v>0.08</v>
      </c>
      <c r="AC56" s="26" t="n">
        <f aca="false">INDEX($B$4:$M$9,MATCH($R56,$A$4:$A$9,0),11)</f>
        <v>0.08</v>
      </c>
      <c r="AD56" s="26" t="n">
        <f aca="false">INDEX($B$4:$M$9,MATCH($R56,$A$4:$A$9,0),12)</f>
        <v>0.11</v>
      </c>
      <c r="AE56" s="25" t="n">
        <f aca="false">INDEX(DEMANDA!$F56:$O56,INDEX(P_VAL,MATCH("AÑO_DIS",P_ID,0))-2025)</f>
        <v>34.2</v>
      </c>
    </row>
    <row r="57" customFormat="false" ht="15" hidden="false" customHeight="false" outlineLevel="0" collapsed="false">
      <c r="P57" s="24" t="str">
        <f aca="false">DEMANDA!B57</f>
        <v>FL_SUS_HCFC-HFC_5kg</v>
      </c>
      <c r="Q57" s="24" t="str">
        <f aca="false">DEMANDA!A57</f>
        <v>RECARGAS</v>
      </c>
      <c r="R57" s="24" t="str">
        <f aca="false">DEMANDA!E57</f>
        <v>Recargas manual comercial</v>
      </c>
      <c r="S57" s="26" t="n">
        <f aca="false">INDEX($B$4:$M$9,MATCH($R57,$A$4:$A$9,0),1)</f>
        <v>0.09</v>
      </c>
      <c r="T57" s="26" t="n">
        <f aca="false">INDEX($B$4:$M$9,MATCH($R57,$A$4:$A$9,0),2)</f>
        <v>0.08</v>
      </c>
      <c r="U57" s="26" t="n">
        <f aca="false">INDEX($B$4:$M$9,MATCH($R57,$A$4:$A$9,0),3)</f>
        <v>0.085</v>
      </c>
      <c r="V57" s="26" t="n">
        <f aca="false">INDEX($B$4:$M$9,MATCH($R57,$A$4:$A$9,0),4)</f>
        <v>0.08</v>
      </c>
      <c r="W57" s="26" t="n">
        <f aca="false">INDEX($B$4:$M$9,MATCH($R57,$A$4:$A$9,0),5)</f>
        <v>0.075</v>
      </c>
      <c r="X57" s="26" t="n">
        <f aca="false">INDEX($B$4:$M$9,MATCH($R57,$A$4:$A$9,0),6)</f>
        <v>0.07</v>
      </c>
      <c r="Y57" s="26" t="n">
        <f aca="false">INDEX($B$4:$M$9,MATCH($R57,$A$4:$A$9,0),7)</f>
        <v>0.08</v>
      </c>
      <c r="Z57" s="26" t="n">
        <f aca="false">INDEX($B$4:$M$9,MATCH($R57,$A$4:$A$9,0),8)</f>
        <v>0.085</v>
      </c>
      <c r="AA57" s="26" t="n">
        <f aca="false">INDEX($B$4:$M$9,MATCH($R57,$A$4:$A$9,0),9)</f>
        <v>0.085</v>
      </c>
      <c r="AB57" s="26" t="n">
        <f aca="false">INDEX($B$4:$M$9,MATCH($R57,$A$4:$A$9,0),10)</f>
        <v>0.08</v>
      </c>
      <c r="AC57" s="26" t="n">
        <f aca="false">INDEX($B$4:$M$9,MATCH($R57,$A$4:$A$9,0),11)</f>
        <v>0.08</v>
      </c>
      <c r="AD57" s="26" t="n">
        <f aca="false">INDEX($B$4:$M$9,MATCH($R57,$A$4:$A$9,0),12)</f>
        <v>0.11</v>
      </c>
      <c r="AE57" s="25" t="n">
        <f aca="false">INDEX(DEMANDA!$F57:$O57,INDEX(P_VAL,MATCH("AÑO_DIS",P_ID,0))-2025)</f>
        <v>1.65</v>
      </c>
    </row>
    <row r="58" customFormat="false" ht="15" hidden="false" customHeight="false" outlineLevel="0" collapsed="false">
      <c r="P58" s="24" t="str">
        <f aca="false">DEMANDA!B58</f>
        <v>FL_SUS_CLASED_9l</v>
      </c>
      <c r="Q58" s="24" t="str">
        <f aca="false">DEMANDA!A58</f>
        <v>RECARGAS</v>
      </c>
      <c r="R58" s="24" t="str">
        <f aca="false">DEMANDA!E58</f>
        <v>Recargas manual comercial</v>
      </c>
      <c r="S58" s="26" t="n">
        <f aca="false">INDEX($B$4:$M$9,MATCH($R58,$A$4:$A$9,0),1)</f>
        <v>0.09</v>
      </c>
      <c r="T58" s="26" t="n">
        <f aca="false">INDEX($B$4:$M$9,MATCH($R58,$A$4:$A$9,0),2)</f>
        <v>0.08</v>
      </c>
      <c r="U58" s="26" t="n">
        <f aca="false">INDEX($B$4:$M$9,MATCH($R58,$A$4:$A$9,0),3)</f>
        <v>0.085</v>
      </c>
      <c r="V58" s="26" t="n">
        <f aca="false">INDEX($B$4:$M$9,MATCH($R58,$A$4:$A$9,0),4)</f>
        <v>0.08</v>
      </c>
      <c r="W58" s="26" t="n">
        <f aca="false">INDEX($B$4:$M$9,MATCH($R58,$A$4:$A$9,0),5)</f>
        <v>0.075</v>
      </c>
      <c r="X58" s="26" t="n">
        <f aca="false">INDEX($B$4:$M$9,MATCH($R58,$A$4:$A$9,0),6)</f>
        <v>0.07</v>
      </c>
      <c r="Y58" s="26" t="n">
        <f aca="false">INDEX($B$4:$M$9,MATCH($R58,$A$4:$A$9,0),7)</f>
        <v>0.08</v>
      </c>
      <c r="Z58" s="26" t="n">
        <f aca="false">INDEX($B$4:$M$9,MATCH($R58,$A$4:$A$9,0),8)</f>
        <v>0.085</v>
      </c>
      <c r="AA58" s="26" t="n">
        <f aca="false">INDEX($B$4:$M$9,MATCH($R58,$A$4:$A$9,0),9)</f>
        <v>0.085</v>
      </c>
      <c r="AB58" s="26" t="n">
        <f aca="false">INDEX($B$4:$M$9,MATCH($R58,$A$4:$A$9,0),10)</f>
        <v>0.08</v>
      </c>
      <c r="AC58" s="26" t="n">
        <f aca="false">INDEX($B$4:$M$9,MATCH($R58,$A$4:$A$9,0),11)</f>
        <v>0.08</v>
      </c>
      <c r="AD58" s="26" t="n">
        <f aca="false">INDEX($B$4:$M$9,MATCH($R58,$A$4:$A$9,0),12)</f>
        <v>0.11</v>
      </c>
      <c r="AE58" s="25" t="n">
        <f aca="false">INDEX(DEMANDA!$F58:$O58,INDEX(P_VAL,MATCH("AÑO_DIS",P_ID,0))-2025)</f>
        <v>0.25</v>
      </c>
    </row>
    <row r="59" customFormat="false" ht="15" hidden="false" customHeight="false" outlineLevel="0" collapsed="false">
      <c r="P59" s="24" t="str">
        <f aca="false">DEMANDA!B59</f>
        <v>FL_SUS_ABC_50kg</v>
      </c>
      <c r="Q59" s="24" t="str">
        <f aca="false">DEMANDA!A59</f>
        <v>RECARGAS</v>
      </c>
      <c r="R59" s="24" t="str">
        <f aca="false">DEMANDA!E59</f>
        <v>Recargas industrial s/ruedas</v>
      </c>
      <c r="S59" s="26" t="n">
        <f aca="false">INDEX($B$4:$M$9,MATCH($R59,$A$4:$A$9,0),1)</f>
        <v>0.1</v>
      </c>
      <c r="T59" s="26" t="n">
        <f aca="false">INDEX($B$4:$M$9,MATCH($R59,$A$4:$A$9,0),2)</f>
        <v>0.08</v>
      </c>
      <c r="U59" s="26" t="n">
        <f aca="false">INDEX($B$4:$M$9,MATCH($R59,$A$4:$A$9,0),3)</f>
        <v>0.085</v>
      </c>
      <c r="V59" s="26" t="n">
        <f aca="false">INDEX($B$4:$M$9,MATCH($R59,$A$4:$A$9,0),4)</f>
        <v>0.085</v>
      </c>
      <c r="W59" s="26" t="n">
        <f aca="false">INDEX($B$4:$M$9,MATCH($R59,$A$4:$A$9,0),5)</f>
        <v>0.08</v>
      </c>
      <c r="X59" s="26" t="n">
        <f aca="false">INDEX($B$4:$M$9,MATCH($R59,$A$4:$A$9,0),6)</f>
        <v>0.075</v>
      </c>
      <c r="Y59" s="26" t="n">
        <f aca="false">INDEX($B$4:$M$9,MATCH($R59,$A$4:$A$9,0),7)</f>
        <v>0.09</v>
      </c>
      <c r="Z59" s="26" t="n">
        <f aca="false">INDEX($B$4:$M$9,MATCH($R59,$A$4:$A$9,0),8)</f>
        <v>0.08</v>
      </c>
      <c r="AA59" s="26" t="n">
        <f aca="false">INDEX($B$4:$M$9,MATCH($R59,$A$4:$A$9,0),9)</f>
        <v>0.08</v>
      </c>
      <c r="AB59" s="26" t="n">
        <f aca="false">INDEX($B$4:$M$9,MATCH($R59,$A$4:$A$9,0),10)</f>
        <v>0.08</v>
      </c>
      <c r="AC59" s="26" t="n">
        <f aca="false">INDEX($B$4:$M$9,MATCH($R59,$A$4:$A$9,0),11)</f>
        <v>0.075</v>
      </c>
      <c r="AD59" s="26" t="n">
        <f aca="false">INDEX($B$4:$M$9,MATCH($R59,$A$4:$A$9,0),12)</f>
        <v>0.09</v>
      </c>
      <c r="AE59" s="25" t="n">
        <f aca="false">INDEX(DEMANDA!$F59:$O59,INDEX(P_VAL,MATCH("AÑO_DIS",P_ID,0))-2025)</f>
        <v>3.7</v>
      </c>
    </row>
    <row r="60" customFormat="false" ht="15" hidden="false" customHeight="false" outlineLevel="0" collapsed="false">
      <c r="P60" s="24" t="str">
        <f aca="false">DEMANDA!B60</f>
        <v>FL_SUS_ABC_100kg</v>
      </c>
      <c r="Q60" s="24" t="str">
        <f aca="false">DEMANDA!A60</f>
        <v>RECARGAS</v>
      </c>
      <c r="R60" s="24" t="str">
        <f aca="false">DEMANDA!E60</f>
        <v>Recargas industrial s/ruedas</v>
      </c>
      <c r="S60" s="26" t="n">
        <f aca="false">INDEX($B$4:$M$9,MATCH($R60,$A$4:$A$9,0),1)</f>
        <v>0.1</v>
      </c>
      <c r="T60" s="26" t="n">
        <f aca="false">INDEX($B$4:$M$9,MATCH($R60,$A$4:$A$9,0),2)</f>
        <v>0.08</v>
      </c>
      <c r="U60" s="26" t="n">
        <f aca="false">INDEX($B$4:$M$9,MATCH($R60,$A$4:$A$9,0),3)</f>
        <v>0.085</v>
      </c>
      <c r="V60" s="26" t="n">
        <f aca="false">INDEX($B$4:$M$9,MATCH($R60,$A$4:$A$9,0),4)</f>
        <v>0.085</v>
      </c>
      <c r="W60" s="26" t="n">
        <f aca="false">INDEX($B$4:$M$9,MATCH($R60,$A$4:$A$9,0),5)</f>
        <v>0.08</v>
      </c>
      <c r="X60" s="26" t="n">
        <f aca="false">INDEX($B$4:$M$9,MATCH($R60,$A$4:$A$9,0),6)</f>
        <v>0.075</v>
      </c>
      <c r="Y60" s="26" t="n">
        <f aca="false">INDEX($B$4:$M$9,MATCH($R60,$A$4:$A$9,0),7)</f>
        <v>0.09</v>
      </c>
      <c r="Z60" s="26" t="n">
        <f aca="false">INDEX($B$4:$M$9,MATCH($R60,$A$4:$A$9,0),8)</f>
        <v>0.08</v>
      </c>
      <c r="AA60" s="26" t="n">
        <f aca="false">INDEX($B$4:$M$9,MATCH($R60,$A$4:$A$9,0),9)</f>
        <v>0.08</v>
      </c>
      <c r="AB60" s="26" t="n">
        <f aca="false">INDEX($B$4:$M$9,MATCH($R60,$A$4:$A$9,0),10)</f>
        <v>0.08</v>
      </c>
      <c r="AC60" s="26" t="n">
        <f aca="false">INDEX($B$4:$M$9,MATCH($R60,$A$4:$A$9,0),11)</f>
        <v>0.075</v>
      </c>
      <c r="AD60" s="26" t="n">
        <f aca="false">INDEX($B$4:$M$9,MATCH($R60,$A$4:$A$9,0),12)</f>
        <v>0.09</v>
      </c>
      <c r="AE60" s="25" t="n">
        <f aca="false">INDEX(DEMANDA!$F60:$O60,INDEX(P_VAL,MATCH("AÑO_DIS",P_ID,0))-2025)</f>
        <v>0.45</v>
      </c>
    </row>
    <row r="61" customFormat="false" ht="15" hidden="false" customHeight="false" outlineLevel="0" collapsed="false">
      <c r="P61" s="24" t="str">
        <f aca="false">DEMANDA!B61</f>
        <v>FL_MAT_AGUA_10l</v>
      </c>
      <c r="Q61" s="24" t="str">
        <f aca="false">DEMANDA!A61</f>
        <v>REVENDIDOS</v>
      </c>
      <c r="R61" s="24" t="str">
        <f aca="false">DEMANDA!E61</f>
        <v>Ventas manual comercial (2,5 / 5 / 10 kg)</v>
      </c>
      <c r="S61" s="26" t="n">
        <f aca="false">INDEX($B$4:$M$9,MATCH($R61,$A$4:$A$9,0),1)</f>
        <v>0.1</v>
      </c>
      <c r="T61" s="26" t="n">
        <f aca="false">INDEX($B$4:$M$9,MATCH($R61,$A$4:$A$9,0),2)</f>
        <v>0.08</v>
      </c>
      <c r="U61" s="26" t="n">
        <f aca="false">INDEX($B$4:$M$9,MATCH($R61,$A$4:$A$9,0),3)</f>
        <v>0.085</v>
      </c>
      <c r="V61" s="26" t="n">
        <f aca="false">INDEX($B$4:$M$9,MATCH($R61,$A$4:$A$9,0),4)</f>
        <v>0.085</v>
      </c>
      <c r="W61" s="26" t="n">
        <f aca="false">INDEX($B$4:$M$9,MATCH($R61,$A$4:$A$9,0),5)</f>
        <v>0.08</v>
      </c>
      <c r="X61" s="26" t="n">
        <f aca="false">INDEX($B$4:$M$9,MATCH($R61,$A$4:$A$9,0),6)</f>
        <v>0.075</v>
      </c>
      <c r="Y61" s="26" t="n">
        <f aca="false">INDEX($B$4:$M$9,MATCH($R61,$A$4:$A$9,0),7)</f>
        <v>0.08</v>
      </c>
      <c r="Z61" s="26" t="n">
        <f aca="false">INDEX($B$4:$M$9,MATCH($R61,$A$4:$A$9,0),8)</f>
        <v>0.08</v>
      </c>
      <c r="AA61" s="26" t="n">
        <f aca="false">INDEX($B$4:$M$9,MATCH($R61,$A$4:$A$9,0),9)</f>
        <v>0.08</v>
      </c>
      <c r="AB61" s="26" t="n">
        <f aca="false">INDEX($B$4:$M$9,MATCH($R61,$A$4:$A$9,0),10)</f>
        <v>0.075</v>
      </c>
      <c r="AC61" s="26" t="n">
        <f aca="false">INDEX($B$4:$M$9,MATCH($R61,$A$4:$A$9,0),11)</f>
        <v>0.07</v>
      </c>
      <c r="AD61" s="26" t="n">
        <f aca="false">INDEX($B$4:$M$9,MATCH($R61,$A$4:$A$9,0),12)</f>
        <v>0.11</v>
      </c>
      <c r="AE61" s="25" t="n">
        <f aca="false">INDEX(DEMANDA!$F61:$O61,INDEX(P_VAL,MATCH("AÑO_DIS",P_ID,0))-2025)</f>
        <v>2904.897406</v>
      </c>
    </row>
    <row r="62" customFormat="false" ht="15" hidden="false" customHeight="false" outlineLevel="0" collapsed="false">
      <c r="P62" s="24" t="str">
        <f aca="false">DEMANDA!B62</f>
        <v>FL_MAT_AFFF_10l</v>
      </c>
      <c r="Q62" s="24" t="str">
        <f aca="false">DEMANDA!A62</f>
        <v>REVENDIDOS</v>
      </c>
      <c r="R62" s="24" t="str">
        <f aca="false">DEMANDA!E62</f>
        <v>Ventas manual comercial (2,5 / 5 / 10 kg)</v>
      </c>
      <c r="S62" s="26" t="n">
        <f aca="false">INDEX($B$4:$M$9,MATCH($R62,$A$4:$A$9,0),1)</f>
        <v>0.1</v>
      </c>
      <c r="T62" s="26" t="n">
        <f aca="false">INDEX($B$4:$M$9,MATCH($R62,$A$4:$A$9,0),2)</f>
        <v>0.08</v>
      </c>
      <c r="U62" s="26" t="n">
        <f aca="false">INDEX($B$4:$M$9,MATCH($R62,$A$4:$A$9,0),3)</f>
        <v>0.085</v>
      </c>
      <c r="V62" s="26" t="n">
        <f aca="false">INDEX($B$4:$M$9,MATCH($R62,$A$4:$A$9,0),4)</f>
        <v>0.085</v>
      </c>
      <c r="W62" s="26" t="n">
        <f aca="false">INDEX($B$4:$M$9,MATCH($R62,$A$4:$A$9,0),5)</f>
        <v>0.08</v>
      </c>
      <c r="X62" s="26" t="n">
        <f aca="false">INDEX($B$4:$M$9,MATCH($R62,$A$4:$A$9,0),6)</f>
        <v>0.075</v>
      </c>
      <c r="Y62" s="26" t="n">
        <f aca="false">INDEX($B$4:$M$9,MATCH($R62,$A$4:$A$9,0),7)</f>
        <v>0.08</v>
      </c>
      <c r="Z62" s="26" t="n">
        <f aca="false">INDEX($B$4:$M$9,MATCH($R62,$A$4:$A$9,0),8)</f>
        <v>0.08</v>
      </c>
      <c r="AA62" s="26" t="n">
        <f aca="false">INDEX($B$4:$M$9,MATCH($R62,$A$4:$A$9,0),9)</f>
        <v>0.08</v>
      </c>
      <c r="AB62" s="26" t="n">
        <f aca="false">INDEX($B$4:$M$9,MATCH($R62,$A$4:$A$9,0),10)</f>
        <v>0.075</v>
      </c>
      <c r="AC62" s="26" t="n">
        <f aca="false">INDEX($B$4:$M$9,MATCH($R62,$A$4:$A$9,0),11)</f>
        <v>0.07</v>
      </c>
      <c r="AD62" s="26" t="n">
        <f aca="false">INDEX($B$4:$M$9,MATCH($R62,$A$4:$A$9,0),12)</f>
        <v>0.11</v>
      </c>
      <c r="AE62" s="25" t="n">
        <f aca="false">INDEX(DEMANDA!$F62:$O62,INDEX(P_VAL,MATCH("AÑO_DIS",P_ID,0))-2025)</f>
        <v>970.7041311</v>
      </c>
    </row>
    <row r="63" customFormat="false" ht="15" hidden="false" customHeight="false" outlineLevel="0" collapsed="false">
      <c r="P63" s="24" t="str">
        <f aca="false">DEMANDA!B63</f>
        <v>FL_MAT_AFFF_50l</v>
      </c>
      <c r="Q63" s="24" t="str">
        <f aca="false">DEMANDA!A63</f>
        <v>REVENDIDOS</v>
      </c>
      <c r="R63" s="24" t="str">
        <f aca="false">DEMANDA!E63</f>
        <v>Ventas industrial s/ruedas (25 - 100 kg)</v>
      </c>
      <c r="S63" s="26" t="n">
        <f aca="false">INDEX($B$4:$M$9,MATCH($R63,$A$4:$A$9,0),1)</f>
        <v>0.085</v>
      </c>
      <c r="T63" s="26" t="n">
        <f aca="false">INDEX($B$4:$M$9,MATCH($R63,$A$4:$A$9,0),2)</f>
        <v>0.075</v>
      </c>
      <c r="U63" s="26" t="n">
        <f aca="false">INDEX($B$4:$M$9,MATCH($R63,$A$4:$A$9,0),3)</f>
        <v>0.09</v>
      </c>
      <c r="V63" s="26" t="n">
        <f aca="false">INDEX($B$4:$M$9,MATCH($R63,$A$4:$A$9,0),4)</f>
        <v>0.09</v>
      </c>
      <c r="W63" s="26" t="n">
        <f aca="false">INDEX($B$4:$M$9,MATCH($R63,$A$4:$A$9,0),5)</f>
        <v>0.09</v>
      </c>
      <c r="X63" s="26" t="n">
        <f aca="false">INDEX($B$4:$M$9,MATCH($R63,$A$4:$A$9,0),6)</f>
        <v>0.08</v>
      </c>
      <c r="Y63" s="26" t="n">
        <f aca="false">INDEX($B$4:$M$9,MATCH($R63,$A$4:$A$9,0),7)</f>
        <v>0.09</v>
      </c>
      <c r="Z63" s="26" t="n">
        <f aca="false">INDEX($B$4:$M$9,MATCH($R63,$A$4:$A$9,0),8)</f>
        <v>0.09</v>
      </c>
      <c r="AA63" s="26" t="n">
        <f aca="false">INDEX($B$4:$M$9,MATCH($R63,$A$4:$A$9,0),9)</f>
        <v>0.085</v>
      </c>
      <c r="AB63" s="26" t="n">
        <f aca="false">INDEX($B$4:$M$9,MATCH($R63,$A$4:$A$9,0),10)</f>
        <v>0.075</v>
      </c>
      <c r="AC63" s="26" t="n">
        <f aca="false">INDEX($B$4:$M$9,MATCH($R63,$A$4:$A$9,0),11)</f>
        <v>0.07</v>
      </c>
      <c r="AD63" s="26" t="n">
        <f aca="false">INDEX($B$4:$M$9,MATCH($R63,$A$4:$A$9,0),12)</f>
        <v>0.08</v>
      </c>
      <c r="AE63" s="25" t="n">
        <f aca="false">INDEX(DEMANDA!$F63:$O63,INDEX(P_VAL,MATCH("AÑO_DIS",P_ID,0))-2025)</f>
        <v>416.0160562</v>
      </c>
    </row>
    <row r="64" customFormat="false" ht="15" hidden="false" customHeight="false" outlineLevel="0" collapsed="false">
      <c r="P64" s="24" t="str">
        <f aca="false">DEMANDA!B64</f>
        <v>FL_MAT_BC_5kg</v>
      </c>
      <c r="Q64" s="24" t="str">
        <f aca="false">DEMANDA!A64</f>
        <v>REVENDIDOS</v>
      </c>
      <c r="R64" s="24" t="str">
        <f aca="false">DEMANDA!E64</f>
        <v>Ventas manual comercial (2,5 / 5 / 10 kg)</v>
      </c>
      <c r="S64" s="26" t="n">
        <f aca="false">INDEX($B$4:$M$9,MATCH($R64,$A$4:$A$9,0),1)</f>
        <v>0.1</v>
      </c>
      <c r="T64" s="26" t="n">
        <f aca="false">INDEX($B$4:$M$9,MATCH($R64,$A$4:$A$9,0),2)</f>
        <v>0.08</v>
      </c>
      <c r="U64" s="26" t="n">
        <f aca="false">INDEX($B$4:$M$9,MATCH($R64,$A$4:$A$9,0),3)</f>
        <v>0.085</v>
      </c>
      <c r="V64" s="26" t="n">
        <f aca="false">INDEX($B$4:$M$9,MATCH($R64,$A$4:$A$9,0),4)</f>
        <v>0.085</v>
      </c>
      <c r="W64" s="26" t="n">
        <f aca="false">INDEX($B$4:$M$9,MATCH($R64,$A$4:$A$9,0),5)</f>
        <v>0.08</v>
      </c>
      <c r="X64" s="26" t="n">
        <f aca="false">INDEX($B$4:$M$9,MATCH($R64,$A$4:$A$9,0),6)</f>
        <v>0.075</v>
      </c>
      <c r="Y64" s="26" t="n">
        <f aca="false">INDEX($B$4:$M$9,MATCH($R64,$A$4:$A$9,0),7)</f>
        <v>0.08</v>
      </c>
      <c r="Z64" s="26" t="n">
        <f aca="false">INDEX($B$4:$M$9,MATCH($R64,$A$4:$A$9,0),8)</f>
        <v>0.08</v>
      </c>
      <c r="AA64" s="26" t="n">
        <f aca="false">INDEX($B$4:$M$9,MATCH($R64,$A$4:$A$9,0),9)</f>
        <v>0.08</v>
      </c>
      <c r="AB64" s="26" t="n">
        <f aca="false">INDEX($B$4:$M$9,MATCH($R64,$A$4:$A$9,0),10)</f>
        <v>0.075</v>
      </c>
      <c r="AC64" s="26" t="n">
        <f aca="false">INDEX($B$4:$M$9,MATCH($R64,$A$4:$A$9,0),11)</f>
        <v>0.07</v>
      </c>
      <c r="AD64" s="26" t="n">
        <f aca="false">INDEX($B$4:$M$9,MATCH($R64,$A$4:$A$9,0),12)</f>
        <v>0.11</v>
      </c>
      <c r="AE64" s="25" t="n">
        <f aca="false">INDEX(DEMANDA!$F64:$O64,INDEX(P_VAL,MATCH("AÑO_DIS",P_ID,0))-2025)</f>
        <v>277.3440374</v>
      </c>
    </row>
    <row r="65" customFormat="false" ht="15" hidden="false" customHeight="false" outlineLevel="0" collapsed="false">
      <c r="P65" s="24" t="str">
        <f aca="false">DEMANDA!B65</f>
        <v>FL_MAT_SALESK_6l</v>
      </c>
      <c r="Q65" s="24" t="str">
        <f aca="false">DEMANDA!A65</f>
        <v>REVENDIDOS</v>
      </c>
      <c r="R65" s="24" t="str">
        <f aca="false">DEMANDA!E65</f>
        <v>Ventas manual comercial (2,5 / 5 / 10 kg)</v>
      </c>
      <c r="S65" s="26" t="n">
        <f aca="false">INDEX($B$4:$M$9,MATCH($R65,$A$4:$A$9,0),1)</f>
        <v>0.1</v>
      </c>
      <c r="T65" s="26" t="n">
        <f aca="false">INDEX($B$4:$M$9,MATCH($R65,$A$4:$A$9,0),2)</f>
        <v>0.08</v>
      </c>
      <c r="U65" s="26" t="n">
        <f aca="false">INDEX($B$4:$M$9,MATCH($R65,$A$4:$A$9,0),3)</f>
        <v>0.085</v>
      </c>
      <c r="V65" s="26" t="n">
        <f aca="false">INDEX($B$4:$M$9,MATCH($R65,$A$4:$A$9,0),4)</f>
        <v>0.085</v>
      </c>
      <c r="W65" s="26" t="n">
        <f aca="false">INDEX($B$4:$M$9,MATCH($R65,$A$4:$A$9,0),5)</f>
        <v>0.08</v>
      </c>
      <c r="X65" s="26" t="n">
        <f aca="false">INDEX($B$4:$M$9,MATCH($R65,$A$4:$A$9,0),6)</f>
        <v>0.075</v>
      </c>
      <c r="Y65" s="26" t="n">
        <f aca="false">INDEX($B$4:$M$9,MATCH($R65,$A$4:$A$9,0),7)</f>
        <v>0.08</v>
      </c>
      <c r="Z65" s="26" t="n">
        <f aca="false">INDEX($B$4:$M$9,MATCH($R65,$A$4:$A$9,0),8)</f>
        <v>0.08</v>
      </c>
      <c r="AA65" s="26" t="n">
        <f aca="false">INDEX($B$4:$M$9,MATCH($R65,$A$4:$A$9,0),9)</f>
        <v>0.08</v>
      </c>
      <c r="AB65" s="26" t="n">
        <f aca="false">INDEX($B$4:$M$9,MATCH($R65,$A$4:$A$9,0),10)</f>
        <v>0.075</v>
      </c>
      <c r="AC65" s="26" t="n">
        <f aca="false">INDEX($B$4:$M$9,MATCH($R65,$A$4:$A$9,0),11)</f>
        <v>0.07</v>
      </c>
      <c r="AD65" s="26" t="n">
        <f aca="false">INDEX($B$4:$M$9,MATCH($R65,$A$4:$A$9,0),12)</f>
        <v>0.11</v>
      </c>
      <c r="AE65" s="25" t="n">
        <f aca="false">INDEX(DEMANDA!$F65:$O65,INDEX(P_VAL,MATCH("AÑO_DIS",P_ID,0))-2025)</f>
        <v>1649.135599</v>
      </c>
    </row>
    <row r="66" customFormat="false" ht="15" hidden="false" customHeight="false" outlineLevel="0" collapsed="false">
      <c r="P66" s="24" t="str">
        <f aca="false">DEMANDA!B66</f>
        <v>FL_MAT_CO2_2kg</v>
      </c>
      <c r="Q66" s="24" t="str">
        <f aca="false">DEMANDA!A66</f>
        <v>REVENDIDOS</v>
      </c>
      <c r="R66" s="24" t="str">
        <f aca="false">DEMANDA!E66</f>
        <v>Ventas manual comercial (2,5 / 5 / 10 kg)</v>
      </c>
      <c r="S66" s="26" t="n">
        <f aca="false">INDEX($B$4:$M$9,MATCH($R66,$A$4:$A$9,0),1)</f>
        <v>0.1</v>
      </c>
      <c r="T66" s="26" t="n">
        <f aca="false">INDEX($B$4:$M$9,MATCH($R66,$A$4:$A$9,0),2)</f>
        <v>0.08</v>
      </c>
      <c r="U66" s="26" t="n">
        <f aca="false">INDEX($B$4:$M$9,MATCH($R66,$A$4:$A$9,0),3)</f>
        <v>0.085</v>
      </c>
      <c r="V66" s="26" t="n">
        <f aca="false">INDEX($B$4:$M$9,MATCH($R66,$A$4:$A$9,0),4)</f>
        <v>0.085</v>
      </c>
      <c r="W66" s="26" t="n">
        <f aca="false">INDEX($B$4:$M$9,MATCH($R66,$A$4:$A$9,0),5)</f>
        <v>0.08</v>
      </c>
      <c r="X66" s="26" t="n">
        <f aca="false">INDEX($B$4:$M$9,MATCH($R66,$A$4:$A$9,0),6)</f>
        <v>0.075</v>
      </c>
      <c r="Y66" s="26" t="n">
        <f aca="false">INDEX($B$4:$M$9,MATCH($R66,$A$4:$A$9,0),7)</f>
        <v>0.08</v>
      </c>
      <c r="Z66" s="26" t="n">
        <f aca="false">INDEX($B$4:$M$9,MATCH($R66,$A$4:$A$9,0),8)</f>
        <v>0.08</v>
      </c>
      <c r="AA66" s="26" t="n">
        <f aca="false">INDEX($B$4:$M$9,MATCH($R66,$A$4:$A$9,0),9)</f>
        <v>0.08</v>
      </c>
      <c r="AB66" s="26" t="n">
        <f aca="false">INDEX($B$4:$M$9,MATCH($R66,$A$4:$A$9,0),10)</f>
        <v>0.075</v>
      </c>
      <c r="AC66" s="26" t="n">
        <f aca="false">INDEX($B$4:$M$9,MATCH($R66,$A$4:$A$9,0),11)</f>
        <v>0.07</v>
      </c>
      <c r="AD66" s="26" t="n">
        <f aca="false">INDEX($B$4:$M$9,MATCH($R66,$A$4:$A$9,0),12)</f>
        <v>0.11</v>
      </c>
      <c r="AE66" s="25" t="n">
        <f aca="false">INDEX(DEMANDA!$F66:$O66,INDEX(P_VAL,MATCH("AÑO_DIS",P_ID,0))-2025)</f>
        <v>7005.27737</v>
      </c>
    </row>
    <row r="67" customFormat="false" ht="15" hidden="false" customHeight="false" outlineLevel="0" collapsed="false">
      <c r="P67" s="24" t="str">
        <f aca="false">DEMANDA!B67</f>
        <v>FL_MAT_CO2_5kg</v>
      </c>
      <c r="Q67" s="24" t="str">
        <f aca="false">DEMANDA!A67</f>
        <v>REVENDIDOS</v>
      </c>
      <c r="R67" s="24" t="str">
        <f aca="false">DEMANDA!E67</f>
        <v>Ventas manual comercial (2,5 / 5 / 10 kg)</v>
      </c>
      <c r="S67" s="26" t="n">
        <f aca="false">INDEX($B$4:$M$9,MATCH($R67,$A$4:$A$9,0),1)</f>
        <v>0.1</v>
      </c>
      <c r="T67" s="26" t="n">
        <f aca="false">INDEX($B$4:$M$9,MATCH($R67,$A$4:$A$9,0),2)</f>
        <v>0.08</v>
      </c>
      <c r="U67" s="26" t="n">
        <f aca="false">INDEX($B$4:$M$9,MATCH($R67,$A$4:$A$9,0),3)</f>
        <v>0.085</v>
      </c>
      <c r="V67" s="26" t="n">
        <f aca="false">INDEX($B$4:$M$9,MATCH($R67,$A$4:$A$9,0),4)</f>
        <v>0.085</v>
      </c>
      <c r="W67" s="26" t="n">
        <f aca="false">INDEX($B$4:$M$9,MATCH($R67,$A$4:$A$9,0),5)</f>
        <v>0.08</v>
      </c>
      <c r="X67" s="26" t="n">
        <f aca="false">INDEX($B$4:$M$9,MATCH($R67,$A$4:$A$9,0),6)</f>
        <v>0.075</v>
      </c>
      <c r="Y67" s="26" t="n">
        <f aca="false">INDEX($B$4:$M$9,MATCH($R67,$A$4:$A$9,0),7)</f>
        <v>0.08</v>
      </c>
      <c r="Z67" s="26" t="n">
        <f aca="false">INDEX($B$4:$M$9,MATCH($R67,$A$4:$A$9,0),8)</f>
        <v>0.08</v>
      </c>
      <c r="AA67" s="26" t="n">
        <f aca="false">INDEX($B$4:$M$9,MATCH($R67,$A$4:$A$9,0),9)</f>
        <v>0.08</v>
      </c>
      <c r="AB67" s="26" t="n">
        <f aca="false">INDEX($B$4:$M$9,MATCH($R67,$A$4:$A$9,0),10)</f>
        <v>0.075</v>
      </c>
      <c r="AC67" s="26" t="n">
        <f aca="false">INDEX($B$4:$M$9,MATCH($R67,$A$4:$A$9,0),11)</f>
        <v>0.07</v>
      </c>
      <c r="AD67" s="26" t="n">
        <f aca="false">INDEX($B$4:$M$9,MATCH($R67,$A$4:$A$9,0),12)</f>
        <v>0.11</v>
      </c>
      <c r="AE67" s="25" t="n">
        <f aca="false">INDEX(DEMANDA!$F67:$O67,INDEX(P_VAL,MATCH("AÑO_DIS",P_ID,0))-2025)</f>
        <v>3766.175472</v>
      </c>
    </row>
    <row r="68" customFormat="false" ht="15" hidden="false" customHeight="false" outlineLevel="0" collapsed="false">
      <c r="P68" s="24" t="str">
        <f aca="false">DEMANDA!B68</f>
        <v>FL_MAT_HCFC-HFC_5kg</v>
      </c>
      <c r="Q68" s="24" t="str">
        <f aca="false">DEMANDA!A68</f>
        <v>REVENDIDOS</v>
      </c>
      <c r="R68" s="24" t="str">
        <f aca="false">DEMANDA!E68</f>
        <v>Ventas manual comercial (2,5 / 5 / 10 kg)</v>
      </c>
      <c r="S68" s="26" t="n">
        <f aca="false">INDEX($B$4:$M$9,MATCH($R68,$A$4:$A$9,0),1)</f>
        <v>0.1</v>
      </c>
      <c r="T68" s="26" t="n">
        <f aca="false">INDEX($B$4:$M$9,MATCH($R68,$A$4:$A$9,0),2)</f>
        <v>0.08</v>
      </c>
      <c r="U68" s="26" t="n">
        <f aca="false">INDEX($B$4:$M$9,MATCH($R68,$A$4:$A$9,0),3)</f>
        <v>0.085</v>
      </c>
      <c r="V68" s="26" t="n">
        <f aca="false">INDEX($B$4:$M$9,MATCH($R68,$A$4:$A$9,0),4)</f>
        <v>0.085</v>
      </c>
      <c r="W68" s="26" t="n">
        <f aca="false">INDEX($B$4:$M$9,MATCH($R68,$A$4:$A$9,0),5)</f>
        <v>0.08</v>
      </c>
      <c r="X68" s="26" t="n">
        <f aca="false">INDEX($B$4:$M$9,MATCH($R68,$A$4:$A$9,0),6)</f>
        <v>0.075</v>
      </c>
      <c r="Y68" s="26" t="n">
        <f aca="false">INDEX($B$4:$M$9,MATCH($R68,$A$4:$A$9,0),7)</f>
        <v>0.08</v>
      </c>
      <c r="Z68" s="26" t="n">
        <f aca="false">INDEX($B$4:$M$9,MATCH($R68,$A$4:$A$9,0),8)</f>
        <v>0.08</v>
      </c>
      <c r="AA68" s="26" t="n">
        <f aca="false">INDEX($B$4:$M$9,MATCH($R68,$A$4:$A$9,0),9)</f>
        <v>0.08</v>
      </c>
      <c r="AB68" s="26" t="n">
        <f aca="false">INDEX($B$4:$M$9,MATCH($R68,$A$4:$A$9,0),10)</f>
        <v>0.075</v>
      </c>
      <c r="AC68" s="26" t="n">
        <f aca="false">INDEX($B$4:$M$9,MATCH($R68,$A$4:$A$9,0),11)</f>
        <v>0.07</v>
      </c>
      <c r="AD68" s="26" t="n">
        <f aca="false">INDEX($B$4:$M$9,MATCH($R68,$A$4:$A$9,0),12)</f>
        <v>0.11</v>
      </c>
      <c r="AE68" s="25" t="n">
        <f aca="false">INDEX(DEMANDA!$F68:$O68,INDEX(P_VAL,MATCH("AÑO_DIS",P_ID,0))-2025)</f>
        <v>743.6456074</v>
      </c>
    </row>
    <row r="69" customFormat="false" ht="15" hidden="false" customHeight="false" outlineLevel="0" collapsed="false">
      <c r="P69" s="24" t="str">
        <f aca="false">DEMANDA!B69</f>
        <v>FL_MAT_CLASED_9l</v>
      </c>
      <c r="Q69" s="24" t="str">
        <f aca="false">DEMANDA!A69</f>
        <v>REVENDIDOS</v>
      </c>
      <c r="R69" s="24" t="str">
        <f aca="false">DEMANDA!E69</f>
        <v>Ventas manual comercial (2,5 / 5 / 10 kg)</v>
      </c>
      <c r="S69" s="26" t="n">
        <f aca="false">INDEX($B$4:$M$9,MATCH($R69,$A$4:$A$9,0),1)</f>
        <v>0.1</v>
      </c>
      <c r="T69" s="26" t="n">
        <f aca="false">INDEX($B$4:$M$9,MATCH($R69,$A$4:$A$9,0),2)</f>
        <v>0.08</v>
      </c>
      <c r="U69" s="26" t="n">
        <f aca="false">INDEX($B$4:$M$9,MATCH($R69,$A$4:$A$9,0),3)</f>
        <v>0.085</v>
      </c>
      <c r="V69" s="26" t="n">
        <f aca="false">INDEX($B$4:$M$9,MATCH($R69,$A$4:$A$9,0),4)</f>
        <v>0.085</v>
      </c>
      <c r="W69" s="26" t="n">
        <f aca="false">INDEX($B$4:$M$9,MATCH($R69,$A$4:$A$9,0),5)</f>
        <v>0.08</v>
      </c>
      <c r="X69" s="26" t="n">
        <f aca="false">INDEX($B$4:$M$9,MATCH($R69,$A$4:$A$9,0),6)</f>
        <v>0.075</v>
      </c>
      <c r="Y69" s="26" t="n">
        <f aca="false">INDEX($B$4:$M$9,MATCH($R69,$A$4:$A$9,0),7)</f>
        <v>0.08</v>
      </c>
      <c r="Z69" s="26" t="n">
        <f aca="false">INDEX($B$4:$M$9,MATCH($R69,$A$4:$A$9,0),8)</f>
        <v>0.08</v>
      </c>
      <c r="AA69" s="26" t="n">
        <f aca="false">INDEX($B$4:$M$9,MATCH($R69,$A$4:$A$9,0),9)</f>
        <v>0.08</v>
      </c>
      <c r="AB69" s="26" t="n">
        <f aca="false">INDEX($B$4:$M$9,MATCH($R69,$A$4:$A$9,0),10)</f>
        <v>0.075</v>
      </c>
      <c r="AC69" s="26" t="n">
        <f aca="false">INDEX($B$4:$M$9,MATCH($R69,$A$4:$A$9,0),11)</f>
        <v>0.07</v>
      </c>
      <c r="AD69" s="26" t="n">
        <f aca="false">INDEX($B$4:$M$9,MATCH($R69,$A$4:$A$9,0),12)</f>
        <v>0.11</v>
      </c>
      <c r="AE69" s="25" t="n">
        <f aca="false">INDEX(DEMANDA!$F69:$O69,INDEX(P_VAL,MATCH("AÑO_DIS",P_ID,0))-2025)</f>
        <v>277.3440374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B6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6"/>
    <col collapsed="false" customWidth="true" hidden="false" outlineLevel="0" max="4" min="4" style="0" width="44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2" min="11" style="0" width="8"/>
    <col collapsed="false" customWidth="true" hidden="false" outlineLevel="0" max="13" min="13" style="0" width="10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27" min="17" style="0" width="9"/>
    <col collapsed="false" customWidth="true" hidden="false" outlineLevel="0" max="28" min="28" style="0" width="50"/>
  </cols>
  <sheetData>
    <row r="1" customFormat="false" ht="15" hidden="false" customHeight="false" outlineLevel="0" collapsed="false">
      <c r="A1" s="1" t="s">
        <v>460</v>
      </c>
    </row>
    <row r="2" customFormat="false" ht="15" hidden="false" customHeight="false" outlineLevel="0" collapsed="false">
      <c r="A2" s="2" t="s">
        <v>461</v>
      </c>
    </row>
    <row r="3" customFormat="false" ht="31.5" hidden="false" customHeight="true" outlineLevel="0" collapsed="false">
      <c r="A3" s="3" t="s">
        <v>226</v>
      </c>
      <c r="B3" s="3" t="s">
        <v>462</v>
      </c>
      <c r="C3" s="3" t="s">
        <v>463</v>
      </c>
      <c r="D3" s="3" t="s">
        <v>464</v>
      </c>
      <c r="E3" s="3" t="s">
        <v>465</v>
      </c>
      <c r="F3" s="3" t="s">
        <v>466</v>
      </c>
      <c r="G3" s="3" t="s">
        <v>467</v>
      </c>
      <c r="H3" s="3" t="s">
        <v>468</v>
      </c>
      <c r="I3" s="3" t="s">
        <v>469</v>
      </c>
      <c r="J3" s="3" t="s">
        <v>470</v>
      </c>
      <c r="K3" s="3" t="s">
        <v>471</v>
      </c>
      <c r="L3" s="3" t="s">
        <v>472</v>
      </c>
      <c r="M3" s="3" t="s">
        <v>473</v>
      </c>
      <c r="N3" s="3" t="s">
        <v>474</v>
      </c>
      <c r="O3" s="3" t="s">
        <v>475</v>
      </c>
      <c r="P3" s="3" t="s">
        <v>476</v>
      </c>
      <c r="Q3" s="3" t="s">
        <v>477</v>
      </c>
      <c r="R3" s="3" t="s">
        <v>478</v>
      </c>
      <c r="S3" s="3" t="s">
        <v>479</v>
      </c>
      <c r="T3" s="3" t="s">
        <v>480</v>
      </c>
      <c r="U3" s="3" t="s">
        <v>481</v>
      </c>
      <c r="V3" s="3" t="s">
        <v>482</v>
      </c>
      <c r="W3" s="3" t="s">
        <v>483</v>
      </c>
      <c r="X3" s="3" t="s">
        <v>484</v>
      </c>
      <c r="Y3" s="3" t="s">
        <v>485</v>
      </c>
      <c r="Z3" s="3" t="s">
        <v>486</v>
      </c>
      <c r="AA3" s="3" t="s">
        <v>487</v>
      </c>
      <c r="AB3" s="3" t="s">
        <v>6</v>
      </c>
    </row>
    <row r="4" customFormat="false" ht="15" hidden="false" customHeight="false" outlineLevel="0" collapsed="false">
      <c r="A4" s="4" t="s">
        <v>230</v>
      </c>
      <c r="B4" s="4" t="s">
        <v>488</v>
      </c>
      <c r="C4" s="4" t="s">
        <v>489</v>
      </c>
      <c r="D4" s="5" t="s">
        <v>490</v>
      </c>
      <c r="E4" s="32" t="n">
        <v>1</v>
      </c>
      <c r="F4" s="4" t="s">
        <v>82</v>
      </c>
      <c r="G4" s="5" t="s">
        <v>491</v>
      </c>
      <c r="H4" s="4" t="s">
        <v>492</v>
      </c>
      <c r="I4" s="32" t="n">
        <f aca="false">FAB_COMPRA!K4</f>
        <v>0.0434782608695652</v>
      </c>
      <c r="J4" s="32" t="n">
        <f aca="false">E4*I4</f>
        <v>0.0434782608695652</v>
      </c>
      <c r="K4" s="4"/>
      <c r="L4" s="32"/>
      <c r="M4" s="32"/>
      <c r="N4" s="32"/>
      <c r="O4" s="32"/>
      <c r="P4" s="4"/>
      <c r="Q4" s="32"/>
      <c r="R4" s="32" t="n">
        <f aca="false">$J4</f>
        <v>0.0434782608695652</v>
      </c>
      <c r="S4" s="32" t="n">
        <f aca="false">$J4</f>
        <v>0.0434782608695652</v>
      </c>
      <c r="T4" s="32" t="n">
        <f aca="false">$J4</f>
        <v>0.0434782608695652</v>
      </c>
      <c r="U4" s="32" t="n">
        <f aca="false">$J4</f>
        <v>0.0434782608695652</v>
      </c>
      <c r="V4" s="32" t="n">
        <f aca="false">$J4</f>
        <v>0.0434782608695652</v>
      </c>
      <c r="W4" s="32" t="n">
        <f aca="false">$J4</f>
        <v>0.0434782608695652</v>
      </c>
      <c r="X4" s="32" t="n">
        <f aca="false">$J4</f>
        <v>0.0434782608695652</v>
      </c>
      <c r="Y4" s="32" t="n">
        <f aca="false">$J4</f>
        <v>0.0434782608695652</v>
      </c>
      <c r="Z4" s="32" t="n">
        <f aca="false">$J4</f>
        <v>0.0434782608695652</v>
      </c>
      <c r="AA4" s="32" t="n">
        <f aca="false">$J4</f>
        <v>0.0434782608695652</v>
      </c>
      <c r="AB4" s="5" t="s">
        <v>493</v>
      </c>
    </row>
    <row r="5" customFormat="false" ht="15" hidden="false" customHeight="false" outlineLevel="0" collapsed="false">
      <c r="A5" s="4" t="s">
        <v>230</v>
      </c>
      <c r="B5" s="4" t="s">
        <v>494</v>
      </c>
      <c r="C5" s="4" t="s">
        <v>495</v>
      </c>
      <c r="D5" s="5" t="s">
        <v>496</v>
      </c>
      <c r="E5" s="32" t="n">
        <v>1</v>
      </c>
      <c r="F5" s="4" t="s">
        <v>82</v>
      </c>
      <c r="G5" s="5" t="s">
        <v>491</v>
      </c>
      <c r="H5" s="4" t="s">
        <v>497</v>
      </c>
      <c r="I5" s="32" t="n">
        <f aca="false">FAB_COMPRA!K5</f>
        <v>0.077238819</v>
      </c>
      <c r="J5" s="32" t="n">
        <f aca="false">E5*I5</f>
        <v>0.077238819</v>
      </c>
      <c r="K5" s="4"/>
      <c r="L5" s="32"/>
      <c r="M5" s="32"/>
      <c r="N5" s="32"/>
      <c r="O5" s="32"/>
      <c r="P5" s="4"/>
      <c r="Q5" s="32"/>
      <c r="R5" s="32" t="n">
        <f aca="false">$J5</f>
        <v>0.077238819</v>
      </c>
      <c r="S5" s="32" t="n">
        <f aca="false">$J5</f>
        <v>0.077238819</v>
      </c>
      <c r="T5" s="32" t="n">
        <f aca="false">$J5</f>
        <v>0.077238819</v>
      </c>
      <c r="U5" s="32" t="n">
        <f aca="false">$J5</f>
        <v>0.077238819</v>
      </c>
      <c r="V5" s="32" t="n">
        <f aca="false">$J5</f>
        <v>0.077238819</v>
      </c>
      <c r="W5" s="32" t="n">
        <f aca="false">$J5</f>
        <v>0.077238819</v>
      </c>
      <c r="X5" s="32" t="n">
        <f aca="false">$J5</f>
        <v>0.077238819</v>
      </c>
      <c r="Y5" s="32" t="n">
        <f aca="false">$J5</f>
        <v>0.077238819</v>
      </c>
      <c r="Z5" s="32" t="n">
        <f aca="false">$J5</f>
        <v>0.077238819</v>
      </c>
      <c r="AA5" s="32" t="n">
        <f aca="false">$J5</f>
        <v>0.077238819</v>
      </c>
      <c r="AB5" s="5" t="s">
        <v>493</v>
      </c>
    </row>
    <row r="6" customFormat="false" ht="15" hidden="false" customHeight="false" outlineLevel="0" collapsed="false">
      <c r="A6" s="4" t="s">
        <v>230</v>
      </c>
      <c r="B6" s="4" t="s">
        <v>498</v>
      </c>
      <c r="C6" s="4" t="s">
        <v>499</v>
      </c>
      <c r="D6" s="5" t="s">
        <v>500</v>
      </c>
      <c r="E6" s="32" t="n">
        <v>1</v>
      </c>
      <c r="F6" s="4" t="s">
        <v>82</v>
      </c>
      <c r="G6" s="5" t="s">
        <v>491</v>
      </c>
      <c r="H6" s="4" t="s">
        <v>501</v>
      </c>
      <c r="I6" s="32" t="n">
        <f aca="false">FAB_COMPRA!K6</f>
        <v>0.150020859375</v>
      </c>
      <c r="J6" s="32" t="n">
        <f aca="false">E6*I6</f>
        <v>0.150020859375</v>
      </c>
      <c r="K6" s="4"/>
      <c r="L6" s="32"/>
      <c r="M6" s="32"/>
      <c r="N6" s="32"/>
      <c r="O6" s="32"/>
      <c r="P6" s="4"/>
      <c r="Q6" s="32"/>
      <c r="R6" s="32" t="n">
        <f aca="false">$J6</f>
        <v>0.150020859375</v>
      </c>
      <c r="S6" s="32" t="n">
        <f aca="false">$J6</f>
        <v>0.150020859375</v>
      </c>
      <c r="T6" s="32" t="n">
        <f aca="false">$J6</f>
        <v>0.150020859375</v>
      </c>
      <c r="U6" s="32" t="n">
        <f aca="false">$J6</f>
        <v>0.150020859375</v>
      </c>
      <c r="V6" s="32" t="n">
        <f aca="false">$J6</f>
        <v>0.150020859375</v>
      </c>
      <c r="W6" s="32" t="n">
        <f aca="false">$J6</f>
        <v>0.150020859375</v>
      </c>
      <c r="X6" s="32" t="n">
        <f aca="false">$J6</f>
        <v>0.150020859375</v>
      </c>
      <c r="Y6" s="32" t="n">
        <f aca="false">$J6</f>
        <v>0.150020859375</v>
      </c>
      <c r="Z6" s="32" t="n">
        <f aca="false">$J6</f>
        <v>0.150020859375</v>
      </c>
      <c r="AA6" s="32" t="n">
        <f aca="false">$J6</f>
        <v>0.150020859375</v>
      </c>
      <c r="AB6" s="5" t="s">
        <v>493</v>
      </c>
    </row>
    <row r="7" customFormat="false" ht="15" hidden="false" customHeight="false" outlineLevel="0" collapsed="false">
      <c r="A7" s="4" t="s">
        <v>230</v>
      </c>
      <c r="B7" s="4" t="s">
        <v>502</v>
      </c>
      <c r="C7" s="4" t="s">
        <v>503</v>
      </c>
      <c r="D7" s="5" t="s">
        <v>504</v>
      </c>
      <c r="E7" s="32" t="n">
        <v>1</v>
      </c>
      <c r="F7" s="4" t="s">
        <v>82</v>
      </c>
      <c r="G7" s="5" t="s">
        <v>491</v>
      </c>
      <c r="H7" s="4" t="s">
        <v>505</v>
      </c>
      <c r="I7" s="32" t="n">
        <f aca="false">FAB_COMPRA!K7</f>
        <v>1</v>
      </c>
      <c r="J7" s="32" t="n">
        <f aca="false">E7*I7</f>
        <v>1</v>
      </c>
      <c r="K7" s="4"/>
      <c r="L7" s="32"/>
      <c r="M7" s="32"/>
      <c r="N7" s="32"/>
      <c r="O7" s="32"/>
      <c r="P7" s="4"/>
      <c r="Q7" s="32"/>
      <c r="R7" s="32" t="n">
        <f aca="false">$J7</f>
        <v>1</v>
      </c>
      <c r="S7" s="32" t="n">
        <f aca="false">$J7</f>
        <v>1</v>
      </c>
      <c r="T7" s="32" t="n">
        <f aca="false">$J7</f>
        <v>1</v>
      </c>
      <c r="U7" s="32" t="n">
        <f aca="false">$J7</f>
        <v>1</v>
      </c>
      <c r="V7" s="32" t="n">
        <f aca="false">$J7</f>
        <v>1</v>
      </c>
      <c r="W7" s="32" t="n">
        <f aca="false">$J7</f>
        <v>1</v>
      </c>
      <c r="X7" s="32" t="n">
        <f aca="false">$J7</f>
        <v>1</v>
      </c>
      <c r="Y7" s="32" t="n">
        <f aca="false">$J7</f>
        <v>1</v>
      </c>
      <c r="Z7" s="32" t="n">
        <f aca="false">$J7</f>
        <v>1</v>
      </c>
      <c r="AA7" s="32" t="n">
        <f aca="false">$J7</f>
        <v>1</v>
      </c>
      <c r="AB7" s="5" t="s">
        <v>493</v>
      </c>
    </row>
    <row r="8" customFormat="false" ht="15" hidden="false" customHeight="false" outlineLevel="0" collapsed="false">
      <c r="A8" s="4" t="s">
        <v>230</v>
      </c>
      <c r="B8" s="4" t="s">
        <v>506</v>
      </c>
      <c r="C8" s="4" t="s">
        <v>507</v>
      </c>
      <c r="D8" s="5" t="s">
        <v>508</v>
      </c>
      <c r="E8" s="32" t="n">
        <v>1</v>
      </c>
      <c r="F8" s="4" t="s">
        <v>82</v>
      </c>
      <c r="G8" s="5" t="s">
        <v>509</v>
      </c>
      <c r="H8" s="4" t="s">
        <v>510</v>
      </c>
      <c r="I8" s="32" t="n">
        <v>1</v>
      </c>
      <c r="J8" s="32" t="n">
        <f aca="false">E8*I8</f>
        <v>1</v>
      </c>
      <c r="K8" s="4"/>
      <c r="L8" s="32"/>
      <c r="M8" s="32"/>
      <c r="N8" s="32"/>
      <c r="O8" s="32"/>
      <c r="P8" s="4"/>
      <c r="Q8" s="32"/>
      <c r="R8" s="32" t="n">
        <f aca="false">$J8</f>
        <v>1</v>
      </c>
      <c r="S8" s="32" t="n">
        <f aca="false">$J8</f>
        <v>1</v>
      </c>
      <c r="T8" s="32" t="n">
        <f aca="false">$J8</f>
        <v>1</v>
      </c>
      <c r="U8" s="32" t="n">
        <f aca="false">$J8</f>
        <v>1</v>
      </c>
      <c r="V8" s="32" t="n">
        <f aca="false">$J8</f>
        <v>1</v>
      </c>
      <c r="W8" s="32" t="n">
        <f aca="false">$J8</f>
        <v>1</v>
      </c>
      <c r="X8" s="32" t="n">
        <f aca="false">$J8</f>
        <v>1</v>
      </c>
      <c r="Y8" s="32" t="n">
        <f aca="false">$J8</f>
        <v>1</v>
      </c>
      <c r="Z8" s="32" t="n">
        <f aca="false">$J8</f>
        <v>1</v>
      </c>
      <c r="AA8" s="32" t="n">
        <f aca="false">$J8</f>
        <v>1</v>
      </c>
      <c r="AB8" s="5"/>
    </row>
    <row r="9" customFormat="false" ht="15" hidden="false" customHeight="false" outlineLevel="0" collapsed="false">
      <c r="A9" s="4" t="s">
        <v>230</v>
      </c>
      <c r="B9" s="4" t="s">
        <v>511</v>
      </c>
      <c r="C9" s="4" t="s">
        <v>512</v>
      </c>
      <c r="D9" s="5" t="s">
        <v>513</v>
      </c>
      <c r="E9" s="32" t="n">
        <v>1</v>
      </c>
      <c r="F9" s="4" t="s">
        <v>82</v>
      </c>
      <c r="G9" s="5" t="s">
        <v>509</v>
      </c>
      <c r="H9" s="4" t="s">
        <v>514</v>
      </c>
      <c r="I9" s="32" t="n">
        <v>1</v>
      </c>
      <c r="J9" s="32" t="n">
        <f aca="false">E9*I9</f>
        <v>1</v>
      </c>
      <c r="K9" s="4"/>
      <c r="L9" s="32"/>
      <c r="M9" s="32"/>
      <c r="N9" s="32"/>
      <c r="O9" s="32"/>
      <c r="P9" s="4"/>
      <c r="Q9" s="32"/>
      <c r="R9" s="32" t="n">
        <f aca="false">$J9</f>
        <v>1</v>
      </c>
      <c r="S9" s="32" t="n">
        <f aca="false">$J9</f>
        <v>1</v>
      </c>
      <c r="T9" s="32" t="n">
        <f aca="false">$J9</f>
        <v>1</v>
      </c>
      <c r="U9" s="32" t="n">
        <f aca="false">$J9</f>
        <v>1</v>
      </c>
      <c r="V9" s="32" t="n">
        <f aca="false">$J9</f>
        <v>1</v>
      </c>
      <c r="W9" s="32" t="n">
        <f aca="false">$J9</f>
        <v>1</v>
      </c>
      <c r="X9" s="32" t="n">
        <f aca="false">$J9</f>
        <v>1</v>
      </c>
      <c r="Y9" s="32" t="n">
        <f aca="false">$J9</f>
        <v>1</v>
      </c>
      <c r="Z9" s="32" t="n">
        <f aca="false">$J9</f>
        <v>1</v>
      </c>
      <c r="AA9" s="32" t="n">
        <f aca="false">$J9</f>
        <v>1</v>
      </c>
      <c r="AB9" s="5"/>
    </row>
    <row r="10" customFormat="false" ht="15" hidden="false" customHeight="false" outlineLevel="0" collapsed="false">
      <c r="A10" s="4" t="s">
        <v>230</v>
      </c>
      <c r="B10" s="4" t="s">
        <v>515</v>
      </c>
      <c r="C10" s="4" t="s">
        <v>516</v>
      </c>
      <c r="D10" s="5" t="s">
        <v>517</v>
      </c>
      <c r="E10" s="32" t="n">
        <v>1</v>
      </c>
      <c r="F10" s="4" t="s">
        <v>82</v>
      </c>
      <c r="G10" s="5" t="s">
        <v>518</v>
      </c>
      <c r="H10" s="4" t="s">
        <v>519</v>
      </c>
      <c r="I10" s="32" t="n">
        <v>1</v>
      </c>
      <c r="J10" s="32" t="n">
        <f aca="false">E10*I10</f>
        <v>1</v>
      </c>
      <c r="K10" s="4"/>
      <c r="L10" s="32"/>
      <c r="M10" s="32"/>
      <c r="N10" s="32"/>
      <c r="O10" s="32"/>
      <c r="P10" s="4"/>
      <c r="Q10" s="32"/>
      <c r="R10" s="32" t="n">
        <f aca="false">$J10</f>
        <v>1</v>
      </c>
      <c r="S10" s="32" t="n">
        <f aca="false">$J10</f>
        <v>1</v>
      </c>
      <c r="T10" s="32" t="n">
        <f aca="false">$J10</f>
        <v>1</v>
      </c>
      <c r="U10" s="32" t="n">
        <f aca="false">$J10</f>
        <v>1</v>
      </c>
      <c r="V10" s="32" t="n">
        <f aca="false">$J10</f>
        <v>1</v>
      </c>
      <c r="W10" s="32" t="n">
        <f aca="false">$J10</f>
        <v>1</v>
      </c>
      <c r="X10" s="32" t="n">
        <f aca="false">$J10</f>
        <v>1</v>
      </c>
      <c r="Y10" s="32" t="n">
        <f aca="false">$J10</f>
        <v>1</v>
      </c>
      <c r="Z10" s="32" t="n">
        <f aca="false">$J10</f>
        <v>1</v>
      </c>
      <c r="AA10" s="32" t="n">
        <f aca="false">$J10</f>
        <v>1</v>
      </c>
      <c r="AB10" s="5"/>
    </row>
    <row r="11" customFormat="false" ht="15" hidden="false" customHeight="false" outlineLevel="0" collapsed="false">
      <c r="A11" s="4" t="s">
        <v>230</v>
      </c>
      <c r="B11" s="4" t="s">
        <v>520</v>
      </c>
      <c r="C11" s="4" t="s">
        <v>521</v>
      </c>
      <c r="D11" s="5" t="s">
        <v>522</v>
      </c>
      <c r="E11" s="32" t="n">
        <v>1</v>
      </c>
      <c r="F11" s="4" t="s">
        <v>82</v>
      </c>
      <c r="G11" s="5" t="s">
        <v>523</v>
      </c>
      <c r="H11" s="4"/>
      <c r="I11" s="32"/>
      <c r="J11" s="32" t="n">
        <f aca="false">E11*I11</f>
        <v>0</v>
      </c>
      <c r="K11" s="4"/>
      <c r="L11" s="32"/>
      <c r="M11" s="32"/>
      <c r="N11" s="32"/>
      <c r="O11" s="32"/>
      <c r="P11" s="4"/>
      <c r="Q11" s="32"/>
      <c r="R11" s="32" t="n">
        <f aca="false">$J11</f>
        <v>0</v>
      </c>
      <c r="S11" s="32" t="n">
        <f aca="false">$J11</f>
        <v>0</v>
      </c>
      <c r="T11" s="32" t="n">
        <f aca="false">$J11</f>
        <v>0</v>
      </c>
      <c r="U11" s="32" t="n">
        <f aca="false">$J11</f>
        <v>0</v>
      </c>
      <c r="V11" s="32" t="n">
        <f aca="false">$J11</f>
        <v>0</v>
      </c>
      <c r="W11" s="32" t="n">
        <f aca="false">$J11</f>
        <v>0</v>
      </c>
      <c r="X11" s="32" t="n">
        <f aca="false">$J11</f>
        <v>0</v>
      </c>
      <c r="Y11" s="32" t="n">
        <f aca="false">$J11</f>
        <v>0</v>
      </c>
      <c r="Z11" s="32" t="n">
        <f aca="false">$J11</f>
        <v>0</v>
      </c>
      <c r="AA11" s="32" t="n">
        <f aca="false">$J11</f>
        <v>0</v>
      </c>
      <c r="AB11" s="5"/>
    </row>
    <row r="12" customFormat="false" ht="15" hidden="false" customHeight="false" outlineLevel="0" collapsed="false">
      <c r="A12" s="4" t="s">
        <v>230</v>
      </c>
      <c r="B12" s="4" t="s">
        <v>524</v>
      </c>
      <c r="C12" s="4" t="s">
        <v>525</v>
      </c>
      <c r="D12" s="5" t="s">
        <v>526</v>
      </c>
      <c r="E12" s="32" t="n">
        <v>1</v>
      </c>
      <c r="F12" s="4" t="s">
        <v>82</v>
      </c>
      <c r="G12" s="5" t="s">
        <v>523</v>
      </c>
      <c r="H12" s="4"/>
      <c r="I12" s="32"/>
      <c r="J12" s="32" t="n">
        <f aca="false">E12*I12</f>
        <v>0</v>
      </c>
      <c r="K12" s="4"/>
      <c r="L12" s="32"/>
      <c r="M12" s="32"/>
      <c r="N12" s="32"/>
      <c r="O12" s="32"/>
      <c r="P12" s="4"/>
      <c r="Q12" s="32"/>
      <c r="R12" s="32" t="n">
        <f aca="false">$J12</f>
        <v>0</v>
      </c>
      <c r="S12" s="32" t="n">
        <f aca="false">$J12</f>
        <v>0</v>
      </c>
      <c r="T12" s="32" t="n">
        <f aca="false">$J12</f>
        <v>0</v>
      </c>
      <c r="U12" s="32" t="n">
        <f aca="false">$J12</f>
        <v>0</v>
      </c>
      <c r="V12" s="32" t="n">
        <f aca="false">$J12</f>
        <v>0</v>
      </c>
      <c r="W12" s="32" t="n">
        <f aca="false">$J12</f>
        <v>0</v>
      </c>
      <c r="X12" s="32" t="n">
        <f aca="false">$J12</f>
        <v>0</v>
      </c>
      <c r="Y12" s="32" t="n">
        <f aca="false">$J12</f>
        <v>0</v>
      </c>
      <c r="Z12" s="32" t="n">
        <f aca="false">$J12</f>
        <v>0</v>
      </c>
      <c r="AA12" s="32" t="n">
        <f aca="false">$J12</f>
        <v>0</v>
      </c>
      <c r="AB12" s="5"/>
    </row>
    <row r="13" customFormat="false" ht="15" hidden="false" customHeight="false" outlineLevel="0" collapsed="false">
      <c r="A13" s="4" t="s">
        <v>230</v>
      </c>
      <c r="B13" s="4" t="s">
        <v>527</v>
      </c>
      <c r="C13" s="4" t="s">
        <v>528</v>
      </c>
      <c r="D13" s="5" t="s">
        <v>529</v>
      </c>
      <c r="E13" s="32" t="n">
        <v>1</v>
      </c>
      <c r="F13" s="4" t="s">
        <v>82</v>
      </c>
      <c r="G13" s="5" t="s">
        <v>523</v>
      </c>
      <c r="H13" s="4"/>
      <c r="I13" s="32"/>
      <c r="J13" s="32" t="n">
        <f aca="false">E13*I13</f>
        <v>0</v>
      </c>
      <c r="K13" s="4"/>
      <c r="L13" s="32"/>
      <c r="M13" s="32"/>
      <c r="N13" s="32"/>
      <c r="O13" s="32"/>
      <c r="P13" s="4"/>
      <c r="Q13" s="32"/>
      <c r="R13" s="32" t="n">
        <f aca="false">$J13</f>
        <v>0</v>
      </c>
      <c r="S13" s="32" t="n">
        <f aca="false">$J13</f>
        <v>0</v>
      </c>
      <c r="T13" s="32" t="n">
        <f aca="false">$J13</f>
        <v>0</v>
      </c>
      <c r="U13" s="32" t="n">
        <f aca="false">$J13</f>
        <v>0</v>
      </c>
      <c r="V13" s="32" t="n">
        <f aca="false">$J13</f>
        <v>0</v>
      </c>
      <c r="W13" s="32" t="n">
        <f aca="false">$J13</f>
        <v>0</v>
      </c>
      <c r="X13" s="32" t="n">
        <f aca="false">$J13</f>
        <v>0</v>
      </c>
      <c r="Y13" s="32" t="n">
        <f aca="false">$J13</f>
        <v>0</v>
      </c>
      <c r="Z13" s="32" t="n">
        <f aca="false">$J13</f>
        <v>0</v>
      </c>
      <c r="AA13" s="32" t="n">
        <f aca="false">$J13</f>
        <v>0</v>
      </c>
      <c r="AB13" s="5"/>
    </row>
    <row r="14" customFormat="false" ht="15" hidden="false" customHeight="false" outlineLevel="0" collapsed="false">
      <c r="A14" s="4" t="s">
        <v>230</v>
      </c>
      <c r="B14" s="4" t="s">
        <v>530</v>
      </c>
      <c r="C14" s="4" t="s">
        <v>531</v>
      </c>
      <c r="D14" s="5" t="s">
        <v>532</v>
      </c>
      <c r="E14" s="32" t="n">
        <v>1</v>
      </c>
      <c r="F14" s="4" t="s">
        <v>82</v>
      </c>
      <c r="G14" s="5" t="s">
        <v>523</v>
      </c>
      <c r="H14" s="4"/>
      <c r="I14" s="32"/>
      <c r="J14" s="32" t="n">
        <f aca="false">E14*I14</f>
        <v>0</v>
      </c>
      <c r="K14" s="4"/>
      <c r="L14" s="32"/>
      <c r="M14" s="32"/>
      <c r="N14" s="32"/>
      <c r="O14" s="32"/>
      <c r="P14" s="4"/>
      <c r="Q14" s="32"/>
      <c r="R14" s="32" t="n">
        <f aca="false">$J14</f>
        <v>0</v>
      </c>
      <c r="S14" s="32" t="n">
        <f aca="false">$J14</f>
        <v>0</v>
      </c>
      <c r="T14" s="32" t="n">
        <f aca="false">$J14</f>
        <v>0</v>
      </c>
      <c r="U14" s="32" t="n">
        <f aca="false">$J14</f>
        <v>0</v>
      </c>
      <c r="V14" s="32" t="n">
        <f aca="false">$J14</f>
        <v>0</v>
      </c>
      <c r="W14" s="32" t="n">
        <f aca="false">$J14</f>
        <v>0</v>
      </c>
      <c r="X14" s="32" t="n">
        <f aca="false">$J14</f>
        <v>0</v>
      </c>
      <c r="Y14" s="32" t="n">
        <f aca="false">$J14</f>
        <v>0</v>
      </c>
      <c r="Z14" s="32" t="n">
        <f aca="false">$J14</f>
        <v>0</v>
      </c>
      <c r="AA14" s="32" t="n">
        <f aca="false">$J14</f>
        <v>0</v>
      </c>
      <c r="AB14" s="5"/>
    </row>
    <row r="15" customFormat="false" ht="15" hidden="false" customHeight="false" outlineLevel="0" collapsed="false">
      <c r="A15" s="4" t="s">
        <v>230</v>
      </c>
      <c r="B15" s="4" t="s">
        <v>533</v>
      </c>
      <c r="C15" s="4" t="s">
        <v>534</v>
      </c>
      <c r="D15" s="5" t="s">
        <v>535</v>
      </c>
      <c r="E15" s="32" t="n">
        <v>1</v>
      </c>
      <c r="F15" s="4" t="s">
        <v>82</v>
      </c>
      <c r="G15" s="5" t="s">
        <v>523</v>
      </c>
      <c r="H15" s="4"/>
      <c r="I15" s="32"/>
      <c r="J15" s="32" t="n">
        <f aca="false">E15*I15</f>
        <v>0</v>
      </c>
      <c r="K15" s="4"/>
      <c r="L15" s="32"/>
      <c r="M15" s="32"/>
      <c r="N15" s="32"/>
      <c r="O15" s="32"/>
      <c r="P15" s="4"/>
      <c r="Q15" s="32"/>
      <c r="R15" s="32" t="n">
        <f aca="false">$J15</f>
        <v>0</v>
      </c>
      <c r="S15" s="32" t="n">
        <f aca="false">$J15</f>
        <v>0</v>
      </c>
      <c r="T15" s="32" t="n">
        <f aca="false">$J15</f>
        <v>0</v>
      </c>
      <c r="U15" s="32" t="n">
        <f aca="false">$J15</f>
        <v>0</v>
      </c>
      <c r="V15" s="32" t="n">
        <f aca="false">$J15</f>
        <v>0</v>
      </c>
      <c r="W15" s="32" t="n">
        <f aca="false">$J15</f>
        <v>0</v>
      </c>
      <c r="X15" s="32" t="n">
        <f aca="false">$J15</f>
        <v>0</v>
      </c>
      <c r="Y15" s="32" t="n">
        <f aca="false">$J15</f>
        <v>0</v>
      </c>
      <c r="Z15" s="32" t="n">
        <f aca="false">$J15</f>
        <v>0</v>
      </c>
      <c r="AA15" s="32" t="n">
        <f aca="false">$J15</f>
        <v>0</v>
      </c>
      <c r="AB15" s="5"/>
    </row>
    <row r="16" customFormat="false" ht="15" hidden="false" customHeight="false" outlineLevel="0" collapsed="false">
      <c r="A16" s="4" t="s">
        <v>230</v>
      </c>
      <c r="B16" s="4" t="s">
        <v>536</v>
      </c>
      <c r="C16" s="4" t="s">
        <v>537</v>
      </c>
      <c r="D16" s="5" t="s">
        <v>538</v>
      </c>
      <c r="E16" s="32" t="n">
        <v>1</v>
      </c>
      <c r="F16" s="4" t="s">
        <v>82</v>
      </c>
      <c r="G16" s="5" t="s">
        <v>523</v>
      </c>
      <c r="H16" s="4"/>
      <c r="I16" s="32"/>
      <c r="J16" s="32" t="n">
        <f aca="false">E16*I16</f>
        <v>0</v>
      </c>
      <c r="K16" s="4"/>
      <c r="L16" s="32"/>
      <c r="M16" s="32"/>
      <c r="N16" s="32"/>
      <c r="O16" s="32"/>
      <c r="P16" s="4"/>
      <c r="Q16" s="32"/>
      <c r="R16" s="32" t="n">
        <f aca="false">$J16</f>
        <v>0</v>
      </c>
      <c r="S16" s="32" t="n">
        <f aca="false">$J16</f>
        <v>0</v>
      </c>
      <c r="T16" s="32" t="n">
        <f aca="false">$J16</f>
        <v>0</v>
      </c>
      <c r="U16" s="32" t="n">
        <f aca="false">$J16</f>
        <v>0</v>
      </c>
      <c r="V16" s="32" t="n">
        <f aca="false">$J16</f>
        <v>0</v>
      </c>
      <c r="W16" s="32" t="n">
        <f aca="false">$J16</f>
        <v>0</v>
      </c>
      <c r="X16" s="32" t="n">
        <f aca="false">$J16</f>
        <v>0</v>
      </c>
      <c r="Y16" s="32" t="n">
        <f aca="false">$J16</f>
        <v>0</v>
      </c>
      <c r="Z16" s="32" t="n">
        <f aca="false">$J16</f>
        <v>0</v>
      </c>
      <c r="AA16" s="32" t="n">
        <f aca="false">$J16</f>
        <v>0</v>
      </c>
      <c r="AB16" s="5"/>
    </row>
    <row r="17" customFormat="false" ht="15" hidden="false" customHeight="false" outlineLevel="0" collapsed="false">
      <c r="A17" s="4" t="s">
        <v>230</v>
      </c>
      <c r="B17" s="4" t="s">
        <v>539</v>
      </c>
      <c r="C17" s="4" t="s">
        <v>540</v>
      </c>
      <c r="D17" s="5" t="s">
        <v>541</v>
      </c>
      <c r="E17" s="32" t="n">
        <v>1</v>
      </c>
      <c r="F17" s="4" t="s">
        <v>82</v>
      </c>
      <c r="G17" s="5" t="s">
        <v>523</v>
      </c>
      <c r="H17" s="4"/>
      <c r="I17" s="32"/>
      <c r="J17" s="32" t="n">
        <f aca="false">E17*I17</f>
        <v>0</v>
      </c>
      <c r="K17" s="4"/>
      <c r="L17" s="32"/>
      <c r="M17" s="32"/>
      <c r="N17" s="32"/>
      <c r="O17" s="32"/>
      <c r="P17" s="4"/>
      <c r="Q17" s="32"/>
      <c r="R17" s="32" t="n">
        <f aca="false">$J17</f>
        <v>0</v>
      </c>
      <c r="S17" s="32" t="n">
        <f aca="false">$J17</f>
        <v>0</v>
      </c>
      <c r="T17" s="32" t="n">
        <f aca="false">$J17</f>
        <v>0</v>
      </c>
      <c r="U17" s="32" t="n">
        <f aca="false">$J17</f>
        <v>0</v>
      </c>
      <c r="V17" s="32" t="n">
        <f aca="false">$J17</f>
        <v>0</v>
      </c>
      <c r="W17" s="32" t="n">
        <f aca="false">$J17</f>
        <v>0</v>
      </c>
      <c r="X17" s="32" t="n">
        <f aca="false">$J17</f>
        <v>0</v>
      </c>
      <c r="Y17" s="32" t="n">
        <f aca="false">$J17</f>
        <v>0</v>
      </c>
      <c r="Z17" s="32" t="n">
        <f aca="false">$J17</f>
        <v>0</v>
      </c>
      <c r="AA17" s="32" t="n">
        <f aca="false">$J17</f>
        <v>0</v>
      </c>
      <c r="AB17" s="5"/>
    </row>
    <row r="18" customFormat="false" ht="15" hidden="false" customHeight="false" outlineLevel="0" collapsed="false">
      <c r="A18" s="4" t="s">
        <v>230</v>
      </c>
      <c r="B18" s="4" t="s">
        <v>542</v>
      </c>
      <c r="C18" s="4" t="s">
        <v>543</v>
      </c>
      <c r="D18" s="5" t="s">
        <v>544</v>
      </c>
      <c r="E18" s="32" t="n">
        <v>1</v>
      </c>
      <c r="F18" s="4" t="s">
        <v>82</v>
      </c>
      <c r="G18" s="5" t="s">
        <v>523</v>
      </c>
      <c r="H18" s="4"/>
      <c r="I18" s="32"/>
      <c r="J18" s="32" t="n">
        <f aca="false">E18*I18</f>
        <v>0</v>
      </c>
      <c r="K18" s="4"/>
      <c r="L18" s="32"/>
      <c r="M18" s="32"/>
      <c r="N18" s="32"/>
      <c r="O18" s="32"/>
      <c r="P18" s="4"/>
      <c r="Q18" s="32"/>
      <c r="R18" s="32" t="n">
        <f aca="false">$J18</f>
        <v>0</v>
      </c>
      <c r="S18" s="32" t="n">
        <f aca="false">$J18</f>
        <v>0</v>
      </c>
      <c r="T18" s="32" t="n">
        <f aca="false">$J18</f>
        <v>0</v>
      </c>
      <c r="U18" s="32" t="n">
        <f aca="false">$J18</f>
        <v>0</v>
      </c>
      <c r="V18" s="32" t="n">
        <f aca="false">$J18</f>
        <v>0</v>
      </c>
      <c r="W18" s="32" t="n">
        <f aca="false">$J18</f>
        <v>0</v>
      </c>
      <c r="X18" s="32" t="n">
        <f aca="false">$J18</f>
        <v>0</v>
      </c>
      <c r="Y18" s="32" t="n">
        <f aca="false">$J18</f>
        <v>0</v>
      </c>
      <c r="Z18" s="32" t="n">
        <f aca="false">$J18</f>
        <v>0</v>
      </c>
      <c r="AA18" s="32" t="n">
        <f aca="false">$J18</f>
        <v>0</v>
      </c>
      <c r="AB18" s="5"/>
    </row>
    <row r="19" customFormat="false" ht="15" hidden="false" customHeight="false" outlineLevel="0" collapsed="false">
      <c r="A19" s="4" t="s">
        <v>230</v>
      </c>
      <c r="B19" s="4" t="s">
        <v>545</v>
      </c>
      <c r="C19" s="4" t="s">
        <v>546</v>
      </c>
      <c r="D19" s="5" t="s">
        <v>547</v>
      </c>
      <c r="E19" s="32" t="n">
        <v>1</v>
      </c>
      <c r="F19" s="4" t="s">
        <v>82</v>
      </c>
      <c r="G19" s="5" t="s">
        <v>523</v>
      </c>
      <c r="H19" s="4"/>
      <c r="I19" s="32"/>
      <c r="J19" s="32" t="n">
        <f aca="false">E19*I19</f>
        <v>0</v>
      </c>
      <c r="K19" s="4"/>
      <c r="L19" s="32"/>
      <c r="M19" s="32"/>
      <c r="N19" s="32"/>
      <c r="O19" s="32"/>
      <c r="P19" s="4"/>
      <c r="Q19" s="32"/>
      <c r="R19" s="32" t="n">
        <f aca="false">$J19</f>
        <v>0</v>
      </c>
      <c r="S19" s="32" t="n">
        <f aca="false">$J19</f>
        <v>0</v>
      </c>
      <c r="T19" s="32" t="n">
        <f aca="false">$J19</f>
        <v>0</v>
      </c>
      <c r="U19" s="32" t="n">
        <f aca="false">$J19</f>
        <v>0</v>
      </c>
      <c r="V19" s="32" t="n">
        <f aca="false">$J19</f>
        <v>0</v>
      </c>
      <c r="W19" s="32" t="n">
        <f aca="false">$J19</f>
        <v>0</v>
      </c>
      <c r="X19" s="32" t="n">
        <f aca="false">$J19</f>
        <v>0</v>
      </c>
      <c r="Y19" s="32" t="n">
        <f aca="false">$J19</f>
        <v>0</v>
      </c>
      <c r="Z19" s="32" t="n">
        <f aca="false">$J19</f>
        <v>0</v>
      </c>
      <c r="AA19" s="32" t="n">
        <f aca="false">$J19</f>
        <v>0</v>
      </c>
      <c r="AB19" s="5"/>
    </row>
    <row r="20" customFormat="false" ht="15" hidden="false" customHeight="false" outlineLevel="0" collapsed="false">
      <c r="A20" s="4" t="s">
        <v>230</v>
      </c>
      <c r="B20" s="4" t="s">
        <v>548</v>
      </c>
      <c r="C20" s="4" t="s">
        <v>549</v>
      </c>
      <c r="D20" s="5" t="s">
        <v>550</v>
      </c>
      <c r="E20" s="32" t="n">
        <v>1</v>
      </c>
      <c r="F20" s="4" t="s">
        <v>82</v>
      </c>
      <c r="G20" s="5" t="s">
        <v>523</v>
      </c>
      <c r="H20" s="4"/>
      <c r="I20" s="32"/>
      <c r="J20" s="32" t="n">
        <f aca="false">E20*I20</f>
        <v>0</v>
      </c>
      <c r="K20" s="4"/>
      <c r="L20" s="32"/>
      <c r="M20" s="32"/>
      <c r="N20" s="32"/>
      <c r="O20" s="32"/>
      <c r="P20" s="4"/>
      <c r="Q20" s="32"/>
      <c r="R20" s="32" t="n">
        <f aca="false">$J20</f>
        <v>0</v>
      </c>
      <c r="S20" s="32" t="n">
        <f aca="false">$J20</f>
        <v>0</v>
      </c>
      <c r="T20" s="32" t="n">
        <f aca="false">$J20</f>
        <v>0</v>
      </c>
      <c r="U20" s="32" t="n">
        <f aca="false">$J20</f>
        <v>0</v>
      </c>
      <c r="V20" s="32" t="n">
        <f aca="false">$J20</f>
        <v>0</v>
      </c>
      <c r="W20" s="32" t="n">
        <f aca="false">$J20</f>
        <v>0</v>
      </c>
      <c r="X20" s="32" t="n">
        <f aca="false">$J20</f>
        <v>0</v>
      </c>
      <c r="Y20" s="32" t="n">
        <f aca="false">$J20</f>
        <v>0</v>
      </c>
      <c r="Z20" s="32" t="n">
        <f aca="false">$J20</f>
        <v>0</v>
      </c>
      <c r="AA20" s="32" t="n">
        <f aca="false">$J20</f>
        <v>0</v>
      </c>
      <c r="AB20" s="5"/>
    </row>
    <row r="21" customFormat="false" ht="15" hidden="false" customHeight="false" outlineLevel="0" collapsed="false">
      <c r="A21" s="4" t="s">
        <v>230</v>
      </c>
      <c r="B21" s="4" t="s">
        <v>551</v>
      </c>
      <c r="C21" s="4" t="s">
        <v>552</v>
      </c>
      <c r="D21" s="5" t="s">
        <v>553</v>
      </c>
      <c r="E21" s="32" t="n">
        <v>1</v>
      </c>
      <c r="F21" s="4" t="s">
        <v>82</v>
      </c>
      <c r="G21" s="5" t="s">
        <v>523</v>
      </c>
      <c r="H21" s="4"/>
      <c r="I21" s="32"/>
      <c r="J21" s="32" t="n">
        <f aca="false">E21*I21</f>
        <v>0</v>
      </c>
      <c r="K21" s="4"/>
      <c r="L21" s="32"/>
      <c r="M21" s="32"/>
      <c r="N21" s="32"/>
      <c r="O21" s="32"/>
      <c r="P21" s="4"/>
      <c r="Q21" s="32"/>
      <c r="R21" s="32" t="n">
        <f aca="false">$J21</f>
        <v>0</v>
      </c>
      <c r="S21" s="32" t="n">
        <f aca="false">$J21</f>
        <v>0</v>
      </c>
      <c r="T21" s="32" t="n">
        <f aca="false">$J21</f>
        <v>0</v>
      </c>
      <c r="U21" s="32" t="n">
        <f aca="false">$J21</f>
        <v>0</v>
      </c>
      <c r="V21" s="32" t="n">
        <f aca="false">$J21</f>
        <v>0</v>
      </c>
      <c r="W21" s="32" t="n">
        <f aca="false">$J21</f>
        <v>0</v>
      </c>
      <c r="X21" s="32" t="n">
        <f aca="false">$J21</f>
        <v>0</v>
      </c>
      <c r="Y21" s="32" t="n">
        <f aca="false">$J21</f>
        <v>0</v>
      </c>
      <c r="Z21" s="32" t="n">
        <f aca="false">$J21</f>
        <v>0</v>
      </c>
      <c r="AA21" s="32" t="n">
        <f aca="false">$J21</f>
        <v>0</v>
      </c>
      <c r="AB21" s="5"/>
    </row>
    <row r="22" customFormat="false" ht="15" hidden="false" customHeight="false" outlineLevel="0" collapsed="false">
      <c r="A22" s="4" t="s">
        <v>230</v>
      </c>
      <c r="B22" s="4" t="s">
        <v>554</v>
      </c>
      <c r="C22" s="4" t="s">
        <v>555</v>
      </c>
      <c r="D22" s="5" t="s">
        <v>556</v>
      </c>
      <c r="E22" s="32" t="n">
        <v>1</v>
      </c>
      <c r="F22" s="4" t="s">
        <v>82</v>
      </c>
      <c r="G22" s="5" t="s">
        <v>523</v>
      </c>
      <c r="H22" s="4"/>
      <c r="I22" s="32"/>
      <c r="J22" s="32" t="n">
        <f aca="false">E22*I22</f>
        <v>0</v>
      </c>
      <c r="K22" s="4"/>
      <c r="L22" s="32"/>
      <c r="M22" s="32"/>
      <c r="N22" s="32"/>
      <c r="O22" s="32"/>
      <c r="P22" s="4"/>
      <c r="Q22" s="32"/>
      <c r="R22" s="32" t="n">
        <f aca="false">$J22</f>
        <v>0</v>
      </c>
      <c r="S22" s="32" t="n">
        <f aca="false">$J22</f>
        <v>0</v>
      </c>
      <c r="T22" s="32" t="n">
        <f aca="false">$J22</f>
        <v>0</v>
      </c>
      <c r="U22" s="32" t="n">
        <f aca="false">$J22</f>
        <v>0</v>
      </c>
      <c r="V22" s="32" t="n">
        <f aca="false">$J22</f>
        <v>0</v>
      </c>
      <c r="W22" s="32" t="n">
        <f aca="false">$J22</f>
        <v>0</v>
      </c>
      <c r="X22" s="32" t="n">
        <f aca="false">$J22</f>
        <v>0</v>
      </c>
      <c r="Y22" s="32" t="n">
        <f aca="false">$J22</f>
        <v>0</v>
      </c>
      <c r="Z22" s="32" t="n">
        <f aca="false">$J22</f>
        <v>0</v>
      </c>
      <c r="AA22" s="32" t="n">
        <f aca="false">$J22</f>
        <v>0</v>
      </c>
      <c r="AB22" s="5"/>
    </row>
    <row r="23" customFormat="false" ht="15" hidden="false" customHeight="false" outlineLevel="0" collapsed="false">
      <c r="A23" s="4" t="s">
        <v>230</v>
      </c>
      <c r="B23" s="4" t="s">
        <v>557</v>
      </c>
      <c r="C23" s="4" t="s">
        <v>558</v>
      </c>
      <c r="D23" s="5" t="s">
        <v>559</v>
      </c>
      <c r="E23" s="32" t="n">
        <v>1</v>
      </c>
      <c r="F23" s="4" t="s">
        <v>82</v>
      </c>
      <c r="G23" s="5" t="s">
        <v>518</v>
      </c>
      <c r="H23" s="4" t="s">
        <v>560</v>
      </c>
      <c r="I23" s="32" t="n">
        <v>1</v>
      </c>
      <c r="J23" s="32" t="n">
        <f aca="false">E23*I23</f>
        <v>1</v>
      </c>
      <c r="K23" s="4"/>
      <c r="L23" s="32"/>
      <c r="M23" s="32"/>
      <c r="N23" s="32"/>
      <c r="O23" s="32"/>
      <c r="P23" s="4"/>
      <c r="Q23" s="32"/>
      <c r="R23" s="32" t="n">
        <f aca="false">$J23</f>
        <v>1</v>
      </c>
      <c r="S23" s="32" t="n">
        <f aca="false">$J23</f>
        <v>1</v>
      </c>
      <c r="T23" s="32" t="n">
        <f aca="false">$J23</f>
        <v>1</v>
      </c>
      <c r="U23" s="32" t="n">
        <f aca="false">$J23</f>
        <v>1</v>
      </c>
      <c r="V23" s="32" t="n">
        <f aca="false">$J23</f>
        <v>1</v>
      </c>
      <c r="W23" s="32" t="n">
        <f aca="false">$J23</f>
        <v>1</v>
      </c>
      <c r="X23" s="32" t="n">
        <f aca="false">$J23</f>
        <v>1</v>
      </c>
      <c r="Y23" s="32" t="n">
        <f aca="false">$J23</f>
        <v>1</v>
      </c>
      <c r="Z23" s="32" t="n">
        <f aca="false">$J23</f>
        <v>1</v>
      </c>
      <c r="AA23" s="32" t="n">
        <f aca="false">$J23</f>
        <v>1</v>
      </c>
      <c r="AB23" s="5"/>
    </row>
    <row r="24" customFormat="false" ht="15" hidden="false" customHeight="false" outlineLevel="0" collapsed="false">
      <c r="A24" s="4" t="s">
        <v>230</v>
      </c>
      <c r="B24" s="4" t="s">
        <v>561</v>
      </c>
      <c r="C24" s="4" t="s">
        <v>562</v>
      </c>
      <c r="D24" s="5" t="s">
        <v>563</v>
      </c>
      <c r="E24" s="32" t="n">
        <v>1</v>
      </c>
      <c r="F24" s="4" t="s">
        <v>82</v>
      </c>
      <c r="G24" s="5" t="s">
        <v>564</v>
      </c>
      <c r="H24" s="4"/>
      <c r="I24" s="32"/>
      <c r="J24" s="32" t="n">
        <f aca="false">E24*I24</f>
        <v>0</v>
      </c>
      <c r="K24" s="4"/>
      <c r="L24" s="32"/>
      <c r="M24" s="32"/>
      <c r="N24" s="32"/>
      <c r="O24" s="32"/>
      <c r="P24" s="4"/>
      <c r="Q24" s="32"/>
      <c r="R24" s="32" t="n">
        <f aca="false">$J24</f>
        <v>0</v>
      </c>
      <c r="S24" s="32" t="n">
        <f aca="false">$J24</f>
        <v>0</v>
      </c>
      <c r="T24" s="32" t="n">
        <f aca="false">$J24</f>
        <v>0</v>
      </c>
      <c r="U24" s="32" t="n">
        <f aca="false">$J24</f>
        <v>0</v>
      </c>
      <c r="V24" s="32" t="n">
        <f aca="false">$J24</f>
        <v>0</v>
      </c>
      <c r="W24" s="32" t="n">
        <f aca="false">$J24</f>
        <v>0</v>
      </c>
      <c r="X24" s="32" t="n">
        <f aca="false">$J24</f>
        <v>0</v>
      </c>
      <c r="Y24" s="32" t="n">
        <f aca="false">$J24</f>
        <v>0</v>
      </c>
      <c r="Z24" s="32" t="n">
        <f aca="false">$J24</f>
        <v>0</v>
      </c>
      <c r="AA24" s="32" t="n">
        <f aca="false">$J24</f>
        <v>0</v>
      </c>
      <c r="AB24" s="5"/>
    </row>
    <row r="25" customFormat="false" ht="15" hidden="false" customHeight="false" outlineLevel="0" collapsed="false">
      <c r="A25" s="4" t="s">
        <v>230</v>
      </c>
      <c r="B25" s="4" t="s">
        <v>565</v>
      </c>
      <c r="C25" s="4" t="s">
        <v>566</v>
      </c>
      <c r="D25" s="5" t="s">
        <v>567</v>
      </c>
      <c r="E25" s="32" t="n">
        <v>1.05</v>
      </c>
      <c r="F25" s="4" t="s">
        <v>73</v>
      </c>
      <c r="G25" s="5" t="s">
        <v>509</v>
      </c>
      <c r="H25" s="4" t="s">
        <v>568</v>
      </c>
      <c r="I25" s="32" t="n">
        <f aca="false">1+INDEX(P_VAL,MATCH("MERMA_POLVO",P_ID,0))</f>
        <v>1.01</v>
      </c>
      <c r="J25" s="32" t="n">
        <f aca="false">E25*I25</f>
        <v>1.0605</v>
      </c>
      <c r="K25" s="4"/>
      <c r="L25" s="32"/>
      <c r="M25" s="32"/>
      <c r="N25" s="32"/>
      <c r="O25" s="32"/>
      <c r="P25" s="4"/>
      <c r="Q25" s="32"/>
      <c r="R25" s="32" t="n">
        <f aca="false">$J25</f>
        <v>1.0605</v>
      </c>
      <c r="S25" s="32" t="n">
        <f aca="false">$J25</f>
        <v>1.0605</v>
      </c>
      <c r="T25" s="32" t="n">
        <f aca="false">$J25</f>
        <v>1.0605</v>
      </c>
      <c r="U25" s="32" t="n">
        <f aca="false">$J25</f>
        <v>1.0605</v>
      </c>
      <c r="V25" s="32" t="n">
        <f aca="false">$J25</f>
        <v>1.0605</v>
      </c>
      <c r="W25" s="32" t="n">
        <f aca="false">$J25</f>
        <v>1.0605</v>
      </c>
      <c r="X25" s="32" t="n">
        <f aca="false">$J25</f>
        <v>1.0605</v>
      </c>
      <c r="Y25" s="32" t="n">
        <f aca="false">$J25</f>
        <v>1.0605</v>
      </c>
      <c r="Z25" s="32" t="n">
        <f aca="false">$J25</f>
        <v>1.0605</v>
      </c>
      <c r="AA25" s="32" t="n">
        <f aca="false">$J25</f>
        <v>1.0605</v>
      </c>
      <c r="AB25" s="5"/>
    </row>
    <row r="26" customFormat="false" ht="15" hidden="false" customHeight="false" outlineLevel="0" collapsed="false">
      <c r="A26" s="4" t="s">
        <v>230</v>
      </c>
      <c r="B26" s="4" t="s">
        <v>569</v>
      </c>
      <c r="C26" s="4" t="s">
        <v>570</v>
      </c>
      <c r="D26" s="5" t="s">
        <v>571</v>
      </c>
      <c r="E26" s="32" t="n">
        <v>0.00388858704378115</v>
      </c>
      <c r="F26" s="4" t="s">
        <v>73</v>
      </c>
      <c r="G26" s="5" t="s">
        <v>572</v>
      </c>
      <c r="H26" s="4" t="s">
        <v>573</v>
      </c>
      <c r="I26" s="32" t="n">
        <f aca="false">(1+INDEX(P_VAL,MATCH("N2_PERD",P_ID,0)))/INDEX(P_VAL,MATCH("RHO_N2",P_ID,0))</f>
        <v>1.0406660262568</v>
      </c>
      <c r="J26" s="32" t="n">
        <f aca="false">E26*I26</f>
        <v>0.00404672042660542</v>
      </c>
      <c r="K26" s="4"/>
      <c r="L26" s="32"/>
      <c r="M26" s="32"/>
      <c r="N26" s="32"/>
      <c r="O26" s="32"/>
      <c r="P26" s="4"/>
      <c r="Q26" s="32"/>
      <c r="R26" s="32" t="n">
        <f aca="false">$J26</f>
        <v>0.00404672042660542</v>
      </c>
      <c r="S26" s="32" t="n">
        <f aca="false">$J26</f>
        <v>0.00404672042660542</v>
      </c>
      <c r="T26" s="32" t="n">
        <f aca="false">$J26</f>
        <v>0.00404672042660542</v>
      </c>
      <c r="U26" s="32" t="n">
        <f aca="false">$J26</f>
        <v>0.00404672042660542</v>
      </c>
      <c r="V26" s="32" t="n">
        <f aca="false">$J26</f>
        <v>0.00404672042660542</v>
      </c>
      <c r="W26" s="32" t="n">
        <f aca="false">$J26</f>
        <v>0.00404672042660542</v>
      </c>
      <c r="X26" s="32" t="n">
        <f aca="false">$J26</f>
        <v>0.00404672042660542</v>
      </c>
      <c r="Y26" s="32" t="n">
        <f aca="false">$J26</f>
        <v>0.00404672042660542</v>
      </c>
      <c r="Z26" s="32" t="n">
        <f aca="false">$J26</f>
        <v>0.00404672042660542</v>
      </c>
      <c r="AA26" s="32" t="n">
        <f aca="false">$J26</f>
        <v>0.00404672042660542</v>
      </c>
      <c r="AB26" s="5"/>
    </row>
    <row r="27" customFormat="false" ht="15" hidden="false" customHeight="false" outlineLevel="0" collapsed="false">
      <c r="A27" s="4" t="s">
        <v>230</v>
      </c>
      <c r="B27" s="4" t="s">
        <v>574</v>
      </c>
      <c r="C27" s="4" t="s">
        <v>575</v>
      </c>
      <c r="D27" s="5" t="s">
        <v>576</v>
      </c>
      <c r="E27" s="32" t="n">
        <v>1</v>
      </c>
      <c r="F27" s="4" t="s">
        <v>82</v>
      </c>
      <c r="G27" s="5" t="s">
        <v>509</v>
      </c>
      <c r="H27" s="4" t="s">
        <v>577</v>
      </c>
      <c r="I27" s="32" t="n">
        <v>1</v>
      </c>
      <c r="J27" s="32" t="n">
        <f aca="false">E27*I27</f>
        <v>1</v>
      </c>
      <c r="K27" s="4"/>
      <c r="L27" s="32"/>
      <c r="M27" s="32"/>
      <c r="N27" s="32"/>
      <c r="O27" s="32"/>
      <c r="P27" s="4"/>
      <c r="Q27" s="32"/>
      <c r="R27" s="32" t="n">
        <f aca="false">$J27</f>
        <v>1</v>
      </c>
      <c r="S27" s="32" t="n">
        <f aca="false">$J27</f>
        <v>1</v>
      </c>
      <c r="T27" s="32" t="n">
        <f aca="false">$J27</f>
        <v>1</v>
      </c>
      <c r="U27" s="32" t="n">
        <f aca="false">$J27</f>
        <v>1</v>
      </c>
      <c r="V27" s="32" t="n">
        <f aca="false">$J27</f>
        <v>1</v>
      </c>
      <c r="W27" s="32" t="n">
        <f aca="false">$J27</f>
        <v>1</v>
      </c>
      <c r="X27" s="32" t="n">
        <f aca="false">$J27</f>
        <v>1</v>
      </c>
      <c r="Y27" s="32" t="n">
        <f aca="false">$J27</f>
        <v>1</v>
      </c>
      <c r="Z27" s="32" t="n">
        <f aca="false">$J27</f>
        <v>1</v>
      </c>
      <c r="AA27" s="32" t="n">
        <f aca="false">$J27</f>
        <v>1</v>
      </c>
      <c r="AB27" s="5"/>
    </row>
    <row r="28" customFormat="false" ht="15" hidden="false" customHeight="false" outlineLevel="0" collapsed="false">
      <c r="A28" s="4" t="s">
        <v>230</v>
      </c>
      <c r="B28" s="4" t="s">
        <v>578</v>
      </c>
      <c r="C28" s="4" t="s">
        <v>579</v>
      </c>
      <c r="D28" s="5" t="s">
        <v>580</v>
      </c>
      <c r="E28" s="32" t="n">
        <v>1</v>
      </c>
      <c r="F28" s="4" t="s">
        <v>82</v>
      </c>
      <c r="G28" s="5" t="s">
        <v>509</v>
      </c>
      <c r="H28" s="4" t="s">
        <v>581</v>
      </c>
      <c r="I28" s="32" t="n">
        <v>1</v>
      </c>
      <c r="J28" s="32" t="n">
        <f aca="false">E28*I28</f>
        <v>1</v>
      </c>
      <c r="K28" s="4" t="s">
        <v>582</v>
      </c>
      <c r="L28" s="32"/>
      <c r="M28" s="32"/>
      <c r="N28" s="32"/>
      <c r="O28" s="32"/>
      <c r="P28" s="4"/>
      <c r="Q28" s="32"/>
      <c r="R28" s="32" t="n">
        <f aca="false">$J28</f>
        <v>1</v>
      </c>
      <c r="S28" s="32" t="n">
        <f aca="false">$J28</f>
        <v>1</v>
      </c>
      <c r="T28" s="32" t="n">
        <f aca="false">$J28</f>
        <v>1</v>
      </c>
      <c r="U28" s="32" t="n">
        <f aca="false">$J28</f>
        <v>1</v>
      </c>
      <c r="V28" s="32" t="n">
        <f aca="false">$J28</f>
        <v>1</v>
      </c>
      <c r="W28" s="32" t="n">
        <f aca="false">$J28</f>
        <v>1</v>
      </c>
      <c r="X28" s="32" t="n">
        <f aca="false">$J28</f>
        <v>1</v>
      </c>
      <c r="Y28" s="32" t="n">
        <f aca="false">$J28</f>
        <v>1</v>
      </c>
      <c r="Z28" s="32" t="n">
        <f aca="false">$J28</f>
        <v>1</v>
      </c>
      <c r="AA28" s="32" t="n">
        <f aca="false">$J28</f>
        <v>1</v>
      </c>
      <c r="AB28" s="5"/>
    </row>
    <row r="29" customFormat="false" ht="15" hidden="false" customHeight="false" outlineLevel="0" collapsed="false">
      <c r="A29" s="4" t="s">
        <v>230</v>
      </c>
      <c r="B29" s="4" t="s">
        <v>583</v>
      </c>
      <c r="C29" s="4" t="s">
        <v>584</v>
      </c>
      <c r="D29" s="5" t="s">
        <v>585</v>
      </c>
      <c r="E29" s="32" t="n">
        <v>1</v>
      </c>
      <c r="F29" s="4" t="s">
        <v>82</v>
      </c>
      <c r="G29" s="5" t="s">
        <v>509</v>
      </c>
      <c r="H29" s="4" t="s">
        <v>586</v>
      </c>
      <c r="I29" s="32" t="n">
        <v>1</v>
      </c>
      <c r="J29" s="32" t="n">
        <f aca="false">E29*I29</f>
        <v>1</v>
      </c>
      <c r="K29" s="4"/>
      <c r="L29" s="32"/>
      <c r="M29" s="32"/>
      <c r="N29" s="32"/>
      <c r="O29" s="32"/>
      <c r="P29" s="4"/>
      <c r="Q29" s="32"/>
      <c r="R29" s="32" t="n">
        <f aca="false">$J29</f>
        <v>1</v>
      </c>
      <c r="S29" s="32" t="n">
        <f aca="false">$J29</f>
        <v>1</v>
      </c>
      <c r="T29" s="32" t="n">
        <f aca="false">$J29</f>
        <v>1</v>
      </c>
      <c r="U29" s="32" t="n">
        <f aca="false">$J29</f>
        <v>1</v>
      </c>
      <c r="V29" s="32" t="n">
        <f aca="false">$J29</f>
        <v>1</v>
      </c>
      <c r="W29" s="32" t="n">
        <f aca="false">$J29</f>
        <v>1</v>
      </c>
      <c r="X29" s="32" t="n">
        <f aca="false">$J29</f>
        <v>1</v>
      </c>
      <c r="Y29" s="32" t="n">
        <f aca="false">$J29</f>
        <v>1</v>
      </c>
      <c r="Z29" s="32" t="n">
        <f aca="false">$J29</f>
        <v>1</v>
      </c>
      <c r="AA29" s="32" t="n">
        <f aca="false">$J29</f>
        <v>1</v>
      </c>
      <c r="AB29" s="5"/>
    </row>
    <row r="30" customFormat="false" ht="15" hidden="false" customHeight="false" outlineLevel="0" collapsed="false">
      <c r="A30" s="4" t="s">
        <v>230</v>
      </c>
      <c r="B30" s="4" t="s">
        <v>587</v>
      </c>
      <c r="C30" s="4" t="s">
        <v>588</v>
      </c>
      <c r="D30" s="5" t="s">
        <v>589</v>
      </c>
      <c r="E30" s="32" t="n">
        <v>1</v>
      </c>
      <c r="F30" s="4" t="s">
        <v>82</v>
      </c>
      <c r="G30" s="5" t="s">
        <v>509</v>
      </c>
      <c r="H30" s="4" t="s">
        <v>590</v>
      </c>
      <c r="I30" s="32" t="n">
        <v>1</v>
      </c>
      <c r="J30" s="32" t="n">
        <f aca="false">E30*I30</f>
        <v>1</v>
      </c>
      <c r="K30" s="4"/>
      <c r="L30" s="32"/>
      <c r="M30" s="32"/>
      <c r="N30" s="32"/>
      <c r="O30" s="32"/>
      <c r="P30" s="4"/>
      <c r="Q30" s="32"/>
      <c r="R30" s="32" t="n">
        <f aca="false">$J30</f>
        <v>1</v>
      </c>
      <c r="S30" s="32" t="n">
        <f aca="false">$J30</f>
        <v>1</v>
      </c>
      <c r="T30" s="32" t="n">
        <f aca="false">$J30</f>
        <v>1</v>
      </c>
      <c r="U30" s="32" t="n">
        <f aca="false">$J30</f>
        <v>1</v>
      </c>
      <c r="V30" s="32" t="n">
        <f aca="false">$J30</f>
        <v>1</v>
      </c>
      <c r="W30" s="32" t="n">
        <f aca="false">$J30</f>
        <v>1</v>
      </c>
      <c r="X30" s="32" t="n">
        <f aca="false">$J30</f>
        <v>1</v>
      </c>
      <c r="Y30" s="32" t="n">
        <f aca="false">$J30</f>
        <v>1</v>
      </c>
      <c r="Z30" s="32" t="n">
        <f aca="false">$J30</f>
        <v>1</v>
      </c>
      <c r="AA30" s="32" t="n">
        <f aca="false">$J30</f>
        <v>1</v>
      </c>
      <c r="AB30" s="5"/>
    </row>
    <row r="31" customFormat="false" ht="15" hidden="false" customHeight="false" outlineLevel="0" collapsed="false">
      <c r="A31" s="4" t="s">
        <v>230</v>
      </c>
      <c r="B31" s="4" t="s">
        <v>591</v>
      </c>
      <c r="C31" s="4" t="s">
        <v>592</v>
      </c>
      <c r="D31" s="5" t="s">
        <v>593</v>
      </c>
      <c r="E31" s="32" t="n">
        <v>1</v>
      </c>
      <c r="F31" s="4" t="s">
        <v>82</v>
      </c>
      <c r="G31" s="5" t="s">
        <v>509</v>
      </c>
      <c r="H31" s="4" t="s">
        <v>594</v>
      </c>
      <c r="I31" s="32" t="n">
        <v>1</v>
      </c>
      <c r="J31" s="32" t="n">
        <f aca="false">E31*I31</f>
        <v>1</v>
      </c>
      <c r="K31" s="4"/>
      <c r="L31" s="32"/>
      <c r="M31" s="32"/>
      <c r="N31" s="32"/>
      <c r="O31" s="32"/>
      <c r="P31" s="4"/>
      <c r="Q31" s="32"/>
      <c r="R31" s="32" t="n">
        <f aca="false">$J31</f>
        <v>1</v>
      </c>
      <c r="S31" s="32" t="n">
        <f aca="false">$J31</f>
        <v>1</v>
      </c>
      <c r="T31" s="32" t="n">
        <f aca="false">$J31</f>
        <v>1</v>
      </c>
      <c r="U31" s="32" t="n">
        <f aca="false">$J31</f>
        <v>1</v>
      </c>
      <c r="V31" s="32" t="n">
        <f aca="false">$J31</f>
        <v>1</v>
      </c>
      <c r="W31" s="32" t="n">
        <f aca="false">$J31</f>
        <v>1</v>
      </c>
      <c r="X31" s="32" t="n">
        <f aca="false">$J31</f>
        <v>1</v>
      </c>
      <c r="Y31" s="32" t="n">
        <f aca="false">$J31</f>
        <v>1</v>
      </c>
      <c r="Z31" s="32" t="n">
        <f aca="false">$J31</f>
        <v>1</v>
      </c>
      <c r="AA31" s="32" t="n">
        <f aca="false">$J31</f>
        <v>1</v>
      </c>
      <c r="AB31" s="5"/>
    </row>
    <row r="32" customFormat="false" ht="15" hidden="false" customHeight="false" outlineLevel="0" collapsed="false">
      <c r="A32" s="4" t="s">
        <v>230</v>
      </c>
      <c r="B32" s="4" t="s">
        <v>595</v>
      </c>
      <c r="C32" s="4" t="s">
        <v>596</v>
      </c>
      <c r="D32" s="5" t="s">
        <v>597</v>
      </c>
      <c r="E32" s="32" t="n">
        <v>1</v>
      </c>
      <c r="F32" s="4" t="s">
        <v>82</v>
      </c>
      <c r="G32" s="5" t="s">
        <v>509</v>
      </c>
      <c r="H32" s="4" t="s">
        <v>598</v>
      </c>
      <c r="I32" s="32" t="n">
        <v>1</v>
      </c>
      <c r="J32" s="32" t="n">
        <f aca="false">E32*I32</f>
        <v>1</v>
      </c>
      <c r="K32" s="4"/>
      <c r="L32" s="32"/>
      <c r="M32" s="32"/>
      <c r="N32" s="32"/>
      <c r="O32" s="32"/>
      <c r="P32" s="4"/>
      <c r="Q32" s="32"/>
      <c r="R32" s="32" t="n">
        <f aca="false">$J32</f>
        <v>1</v>
      </c>
      <c r="S32" s="32" t="n">
        <f aca="false">$J32</f>
        <v>1</v>
      </c>
      <c r="T32" s="32" t="n">
        <f aca="false">$J32</f>
        <v>1</v>
      </c>
      <c r="U32" s="32" t="n">
        <f aca="false">$J32</f>
        <v>1</v>
      </c>
      <c r="V32" s="32" t="n">
        <f aca="false">$J32</f>
        <v>1</v>
      </c>
      <c r="W32" s="32" t="n">
        <f aca="false">$J32</f>
        <v>1</v>
      </c>
      <c r="X32" s="32" t="n">
        <f aca="false">$J32</f>
        <v>1</v>
      </c>
      <c r="Y32" s="32" t="n">
        <f aca="false">$J32</f>
        <v>1</v>
      </c>
      <c r="Z32" s="32" t="n">
        <f aca="false">$J32</f>
        <v>1</v>
      </c>
      <c r="AA32" s="32" t="n">
        <f aca="false">$J32</f>
        <v>1</v>
      </c>
      <c r="AB32" s="5"/>
    </row>
    <row r="33" customFormat="false" ht="15" hidden="false" customHeight="false" outlineLevel="0" collapsed="false">
      <c r="A33" s="4" t="s">
        <v>230</v>
      </c>
      <c r="B33" s="4" t="s">
        <v>599</v>
      </c>
      <c r="C33" s="4" t="s">
        <v>600</v>
      </c>
      <c r="D33" s="5" t="s">
        <v>601</v>
      </c>
      <c r="E33" s="32" t="n">
        <v>1</v>
      </c>
      <c r="F33" s="4" t="s">
        <v>82</v>
      </c>
      <c r="G33" s="5" t="s">
        <v>509</v>
      </c>
      <c r="H33" s="4" t="s">
        <v>602</v>
      </c>
      <c r="I33" s="32" t="n">
        <v>1</v>
      </c>
      <c r="J33" s="32" t="n">
        <f aca="false">E33*I33</f>
        <v>1</v>
      </c>
      <c r="K33" s="4"/>
      <c r="L33" s="32"/>
      <c r="M33" s="32"/>
      <c r="N33" s="32"/>
      <c r="O33" s="32"/>
      <c r="P33" s="4"/>
      <c r="Q33" s="32"/>
      <c r="R33" s="32" t="n">
        <f aca="false">$J33</f>
        <v>1</v>
      </c>
      <c r="S33" s="32" t="n">
        <f aca="false">$J33</f>
        <v>1</v>
      </c>
      <c r="T33" s="32" t="n">
        <f aca="false">$J33</f>
        <v>1</v>
      </c>
      <c r="U33" s="32" t="n">
        <f aca="false">$J33</f>
        <v>1</v>
      </c>
      <c r="V33" s="32" t="n">
        <f aca="false">$J33</f>
        <v>1</v>
      </c>
      <c r="W33" s="32" t="n">
        <f aca="false">$J33</f>
        <v>1</v>
      </c>
      <c r="X33" s="32" t="n">
        <f aca="false">$J33</f>
        <v>1</v>
      </c>
      <c r="Y33" s="32" t="n">
        <f aca="false">$J33</f>
        <v>1</v>
      </c>
      <c r="Z33" s="32" t="n">
        <f aca="false">$J33</f>
        <v>1</v>
      </c>
      <c r="AA33" s="32" t="n">
        <f aca="false">$J33</f>
        <v>1</v>
      </c>
      <c r="AB33" s="5"/>
    </row>
    <row r="34" customFormat="false" ht="15" hidden="false" customHeight="false" outlineLevel="0" collapsed="false">
      <c r="A34" s="4" t="s">
        <v>258</v>
      </c>
      <c r="B34" s="4" t="s">
        <v>488</v>
      </c>
      <c r="C34" s="4" t="s">
        <v>603</v>
      </c>
      <c r="D34" s="5" t="s">
        <v>490</v>
      </c>
      <c r="E34" s="32" t="n">
        <v>1</v>
      </c>
      <c r="F34" s="4" t="s">
        <v>82</v>
      </c>
      <c r="G34" s="5" t="s">
        <v>491</v>
      </c>
      <c r="H34" s="4" t="s">
        <v>492</v>
      </c>
      <c r="I34" s="32" t="n">
        <f aca="false">FAB_COMPRA!K4</f>
        <v>0.0434782608695652</v>
      </c>
      <c r="J34" s="32" t="n">
        <f aca="false">E34*I34</f>
        <v>0.0434782608695652</v>
      </c>
      <c r="K34" s="4"/>
      <c r="L34" s="32"/>
      <c r="M34" s="32"/>
      <c r="N34" s="32"/>
      <c r="O34" s="32"/>
      <c r="P34" s="4"/>
      <c r="Q34" s="32"/>
      <c r="R34" s="32" t="n">
        <f aca="false">$J34</f>
        <v>0.0434782608695652</v>
      </c>
      <c r="S34" s="32" t="n">
        <f aca="false">$J34</f>
        <v>0.0434782608695652</v>
      </c>
      <c r="T34" s="32" t="n">
        <f aca="false">$J34</f>
        <v>0.0434782608695652</v>
      </c>
      <c r="U34" s="32" t="n">
        <f aca="false">$J34</f>
        <v>0.0434782608695652</v>
      </c>
      <c r="V34" s="32" t="n">
        <f aca="false">$J34</f>
        <v>0.0434782608695652</v>
      </c>
      <c r="W34" s="32" t="n">
        <f aca="false">$J34</f>
        <v>0.0434782608695652</v>
      </c>
      <c r="X34" s="32" t="n">
        <f aca="false">$J34</f>
        <v>0.0434782608695652</v>
      </c>
      <c r="Y34" s="32" t="n">
        <f aca="false">$J34</f>
        <v>0.0434782608695652</v>
      </c>
      <c r="Z34" s="32" t="n">
        <f aca="false">$J34</f>
        <v>0.0434782608695652</v>
      </c>
      <c r="AA34" s="32" t="n">
        <f aca="false">$J34</f>
        <v>0.0434782608695652</v>
      </c>
      <c r="AB34" s="5" t="s">
        <v>493</v>
      </c>
    </row>
    <row r="35" customFormat="false" ht="15" hidden="false" customHeight="false" outlineLevel="0" collapsed="false">
      <c r="A35" s="4" t="s">
        <v>258</v>
      </c>
      <c r="B35" s="4" t="s">
        <v>494</v>
      </c>
      <c r="C35" s="4" t="s">
        <v>604</v>
      </c>
      <c r="D35" s="5" t="s">
        <v>496</v>
      </c>
      <c r="E35" s="32" t="n">
        <v>1</v>
      </c>
      <c r="F35" s="4" t="s">
        <v>82</v>
      </c>
      <c r="G35" s="5" t="s">
        <v>491</v>
      </c>
      <c r="H35" s="4" t="s">
        <v>497</v>
      </c>
      <c r="I35" s="32" t="n">
        <f aca="false">FAB_COMPRA!K5</f>
        <v>0.077238819</v>
      </c>
      <c r="J35" s="32" t="n">
        <f aca="false">E35*I35</f>
        <v>0.077238819</v>
      </c>
      <c r="K35" s="4"/>
      <c r="L35" s="32"/>
      <c r="M35" s="32"/>
      <c r="N35" s="32"/>
      <c r="O35" s="32"/>
      <c r="P35" s="4"/>
      <c r="Q35" s="32"/>
      <c r="R35" s="32" t="n">
        <f aca="false">$J35</f>
        <v>0.077238819</v>
      </c>
      <c r="S35" s="32" t="n">
        <f aca="false">$J35</f>
        <v>0.077238819</v>
      </c>
      <c r="T35" s="32" t="n">
        <f aca="false">$J35</f>
        <v>0.077238819</v>
      </c>
      <c r="U35" s="32" t="n">
        <f aca="false">$J35</f>
        <v>0.077238819</v>
      </c>
      <c r="V35" s="32" t="n">
        <f aca="false">$J35</f>
        <v>0.077238819</v>
      </c>
      <c r="W35" s="32" t="n">
        <f aca="false">$J35</f>
        <v>0.077238819</v>
      </c>
      <c r="X35" s="32" t="n">
        <f aca="false">$J35</f>
        <v>0.077238819</v>
      </c>
      <c r="Y35" s="32" t="n">
        <f aca="false">$J35</f>
        <v>0.077238819</v>
      </c>
      <c r="Z35" s="32" t="n">
        <f aca="false">$J35</f>
        <v>0.077238819</v>
      </c>
      <c r="AA35" s="32" t="n">
        <f aca="false">$J35</f>
        <v>0.077238819</v>
      </c>
      <c r="AB35" s="5" t="s">
        <v>493</v>
      </c>
    </row>
    <row r="36" customFormat="false" ht="15" hidden="false" customHeight="false" outlineLevel="0" collapsed="false">
      <c r="A36" s="4" t="s">
        <v>258</v>
      </c>
      <c r="B36" s="4" t="s">
        <v>498</v>
      </c>
      <c r="C36" s="4" t="s">
        <v>605</v>
      </c>
      <c r="D36" s="5" t="s">
        <v>500</v>
      </c>
      <c r="E36" s="32" t="n">
        <v>1</v>
      </c>
      <c r="F36" s="4" t="s">
        <v>82</v>
      </c>
      <c r="G36" s="5" t="s">
        <v>491</v>
      </c>
      <c r="H36" s="4" t="s">
        <v>501</v>
      </c>
      <c r="I36" s="32" t="n">
        <f aca="false">FAB_COMPRA!K6</f>
        <v>0.150020859375</v>
      </c>
      <c r="J36" s="32" t="n">
        <f aca="false">E36*I36</f>
        <v>0.150020859375</v>
      </c>
      <c r="K36" s="4"/>
      <c r="L36" s="32"/>
      <c r="M36" s="32"/>
      <c r="N36" s="32"/>
      <c r="O36" s="32"/>
      <c r="P36" s="4"/>
      <c r="Q36" s="32"/>
      <c r="R36" s="32" t="n">
        <f aca="false">$J36</f>
        <v>0.150020859375</v>
      </c>
      <c r="S36" s="32" t="n">
        <f aca="false">$J36</f>
        <v>0.150020859375</v>
      </c>
      <c r="T36" s="32" t="n">
        <f aca="false">$J36</f>
        <v>0.150020859375</v>
      </c>
      <c r="U36" s="32" t="n">
        <f aca="false">$J36</f>
        <v>0.150020859375</v>
      </c>
      <c r="V36" s="32" t="n">
        <f aca="false">$J36</f>
        <v>0.150020859375</v>
      </c>
      <c r="W36" s="32" t="n">
        <f aca="false">$J36</f>
        <v>0.150020859375</v>
      </c>
      <c r="X36" s="32" t="n">
        <f aca="false">$J36</f>
        <v>0.150020859375</v>
      </c>
      <c r="Y36" s="32" t="n">
        <f aca="false">$J36</f>
        <v>0.150020859375</v>
      </c>
      <c r="Z36" s="32" t="n">
        <f aca="false">$J36</f>
        <v>0.150020859375</v>
      </c>
      <c r="AA36" s="32" t="n">
        <f aca="false">$J36</f>
        <v>0.150020859375</v>
      </c>
      <c r="AB36" s="5" t="s">
        <v>493</v>
      </c>
    </row>
    <row r="37" customFormat="false" ht="15" hidden="false" customHeight="false" outlineLevel="0" collapsed="false">
      <c r="A37" s="4" t="s">
        <v>258</v>
      </c>
      <c r="B37" s="4" t="s">
        <v>502</v>
      </c>
      <c r="C37" s="4" t="s">
        <v>606</v>
      </c>
      <c r="D37" s="5" t="s">
        <v>504</v>
      </c>
      <c r="E37" s="32" t="n">
        <v>1</v>
      </c>
      <c r="F37" s="4" t="s">
        <v>82</v>
      </c>
      <c r="G37" s="5" t="s">
        <v>491</v>
      </c>
      <c r="H37" s="4" t="s">
        <v>505</v>
      </c>
      <c r="I37" s="32" t="n">
        <f aca="false">FAB_COMPRA!K7</f>
        <v>1</v>
      </c>
      <c r="J37" s="32" t="n">
        <f aca="false">E37*I37</f>
        <v>1</v>
      </c>
      <c r="K37" s="4"/>
      <c r="L37" s="32"/>
      <c r="M37" s="32"/>
      <c r="N37" s="32"/>
      <c r="O37" s="32"/>
      <c r="P37" s="4"/>
      <c r="Q37" s="32"/>
      <c r="R37" s="32" t="n">
        <f aca="false">$J37</f>
        <v>1</v>
      </c>
      <c r="S37" s="32" t="n">
        <f aca="false">$J37</f>
        <v>1</v>
      </c>
      <c r="T37" s="32" t="n">
        <f aca="false">$J37</f>
        <v>1</v>
      </c>
      <c r="U37" s="32" t="n">
        <f aca="false">$J37</f>
        <v>1</v>
      </c>
      <c r="V37" s="32" t="n">
        <f aca="false">$J37</f>
        <v>1</v>
      </c>
      <c r="W37" s="32" t="n">
        <f aca="false">$J37</f>
        <v>1</v>
      </c>
      <c r="X37" s="32" t="n">
        <f aca="false">$J37</f>
        <v>1</v>
      </c>
      <c r="Y37" s="32" t="n">
        <f aca="false">$J37</f>
        <v>1</v>
      </c>
      <c r="Z37" s="32" t="n">
        <f aca="false">$J37</f>
        <v>1</v>
      </c>
      <c r="AA37" s="32" t="n">
        <f aca="false">$J37</f>
        <v>1</v>
      </c>
      <c r="AB37" s="5" t="s">
        <v>493</v>
      </c>
    </row>
    <row r="38" customFormat="false" ht="15" hidden="false" customHeight="false" outlineLevel="0" collapsed="false">
      <c r="A38" s="4" t="s">
        <v>258</v>
      </c>
      <c r="B38" s="4" t="s">
        <v>607</v>
      </c>
      <c r="C38" s="4" t="s">
        <v>608</v>
      </c>
      <c r="D38" s="5" t="s">
        <v>609</v>
      </c>
      <c r="E38" s="32" t="n">
        <v>1</v>
      </c>
      <c r="F38" s="4" t="s">
        <v>82</v>
      </c>
      <c r="G38" s="5" t="s">
        <v>509</v>
      </c>
      <c r="H38" s="4" t="s">
        <v>610</v>
      </c>
      <c r="I38" s="32" t="n">
        <v>1</v>
      </c>
      <c r="J38" s="32" t="n">
        <f aca="false">E38*I38</f>
        <v>1</v>
      </c>
      <c r="K38" s="4"/>
      <c r="L38" s="32"/>
      <c r="M38" s="32"/>
      <c r="N38" s="32"/>
      <c r="O38" s="32"/>
      <c r="P38" s="4"/>
      <c r="Q38" s="32"/>
      <c r="R38" s="32" t="n">
        <f aca="false">$J38</f>
        <v>1</v>
      </c>
      <c r="S38" s="32" t="n">
        <f aca="false">$J38</f>
        <v>1</v>
      </c>
      <c r="T38" s="32" t="n">
        <f aca="false">$J38</f>
        <v>1</v>
      </c>
      <c r="U38" s="32" t="n">
        <f aca="false">$J38</f>
        <v>1</v>
      </c>
      <c r="V38" s="32" t="n">
        <f aca="false">$J38</f>
        <v>1</v>
      </c>
      <c r="W38" s="32" t="n">
        <f aca="false">$J38</f>
        <v>1</v>
      </c>
      <c r="X38" s="32" t="n">
        <f aca="false">$J38</f>
        <v>1</v>
      </c>
      <c r="Y38" s="32" t="n">
        <f aca="false">$J38</f>
        <v>1</v>
      </c>
      <c r="Z38" s="32" t="n">
        <f aca="false">$J38</f>
        <v>1</v>
      </c>
      <c r="AA38" s="32" t="n">
        <f aca="false">$J38</f>
        <v>1</v>
      </c>
      <c r="AB38" s="5"/>
    </row>
    <row r="39" customFormat="false" ht="15" hidden="false" customHeight="false" outlineLevel="0" collapsed="false">
      <c r="A39" s="4" t="s">
        <v>258</v>
      </c>
      <c r="B39" s="4" t="s">
        <v>611</v>
      </c>
      <c r="C39" s="4" t="s">
        <v>612</v>
      </c>
      <c r="D39" s="5" t="s">
        <v>613</v>
      </c>
      <c r="E39" s="32" t="n">
        <v>1</v>
      </c>
      <c r="F39" s="4" t="s">
        <v>82</v>
      </c>
      <c r="G39" s="5" t="s">
        <v>509</v>
      </c>
      <c r="H39" s="4" t="s">
        <v>614</v>
      </c>
      <c r="I39" s="32" t="n">
        <v>1</v>
      </c>
      <c r="J39" s="32" t="n">
        <f aca="false">E39*I39</f>
        <v>1</v>
      </c>
      <c r="K39" s="4"/>
      <c r="L39" s="32"/>
      <c r="M39" s="32"/>
      <c r="N39" s="32"/>
      <c r="O39" s="32"/>
      <c r="P39" s="4"/>
      <c r="Q39" s="32"/>
      <c r="R39" s="32" t="n">
        <f aca="false">$J39</f>
        <v>1</v>
      </c>
      <c r="S39" s="32" t="n">
        <f aca="false">$J39</f>
        <v>1</v>
      </c>
      <c r="T39" s="32" t="n">
        <f aca="false">$J39</f>
        <v>1</v>
      </c>
      <c r="U39" s="32" t="n">
        <f aca="false">$J39</f>
        <v>1</v>
      </c>
      <c r="V39" s="32" t="n">
        <f aca="false">$J39</f>
        <v>1</v>
      </c>
      <c r="W39" s="32" t="n">
        <f aca="false">$J39</f>
        <v>1</v>
      </c>
      <c r="X39" s="32" t="n">
        <f aca="false">$J39</f>
        <v>1</v>
      </c>
      <c r="Y39" s="32" t="n">
        <f aca="false">$J39</f>
        <v>1</v>
      </c>
      <c r="Z39" s="32" t="n">
        <f aca="false">$J39</f>
        <v>1</v>
      </c>
      <c r="AA39" s="32" t="n">
        <f aca="false">$J39</f>
        <v>1</v>
      </c>
      <c r="AB39" s="5"/>
    </row>
    <row r="40" customFormat="false" ht="15" hidden="false" customHeight="false" outlineLevel="0" collapsed="false">
      <c r="A40" s="4" t="s">
        <v>234</v>
      </c>
      <c r="B40" s="4" t="s">
        <v>615</v>
      </c>
      <c r="C40" s="4" t="s">
        <v>616</v>
      </c>
      <c r="D40" s="5" t="s">
        <v>490</v>
      </c>
      <c r="E40" s="32" t="n">
        <v>1</v>
      </c>
      <c r="F40" s="4" t="s">
        <v>82</v>
      </c>
      <c r="G40" s="5" t="s">
        <v>491</v>
      </c>
      <c r="H40" s="4" t="s">
        <v>617</v>
      </c>
      <c r="I40" s="32" t="n">
        <f aca="false">FAB_COMPRA!K8</f>
        <v>0.037037037037037</v>
      </c>
      <c r="J40" s="32" t="n">
        <f aca="false">E40*I40</f>
        <v>0.037037037037037</v>
      </c>
      <c r="K40" s="4"/>
      <c r="L40" s="32"/>
      <c r="M40" s="32"/>
      <c r="N40" s="32"/>
      <c r="O40" s="32"/>
      <c r="P40" s="4"/>
      <c r="Q40" s="32"/>
      <c r="R40" s="32" t="n">
        <f aca="false">$J40</f>
        <v>0.037037037037037</v>
      </c>
      <c r="S40" s="32" t="n">
        <f aca="false">$J40</f>
        <v>0.037037037037037</v>
      </c>
      <c r="T40" s="32" t="n">
        <f aca="false">$J40</f>
        <v>0.037037037037037</v>
      </c>
      <c r="U40" s="32" t="n">
        <f aca="false">$J40</f>
        <v>0.037037037037037</v>
      </c>
      <c r="V40" s="32" t="n">
        <f aca="false">$J40</f>
        <v>0.037037037037037</v>
      </c>
      <c r="W40" s="32" t="n">
        <f aca="false">$J40</f>
        <v>0.037037037037037</v>
      </c>
      <c r="X40" s="32" t="n">
        <f aca="false">$J40</f>
        <v>0.037037037037037</v>
      </c>
      <c r="Y40" s="32" t="n">
        <f aca="false">$J40</f>
        <v>0.037037037037037</v>
      </c>
      <c r="Z40" s="32" t="n">
        <f aca="false">$J40</f>
        <v>0.037037037037037</v>
      </c>
      <c r="AA40" s="32" t="n">
        <f aca="false">$J40</f>
        <v>0.037037037037037</v>
      </c>
      <c r="AB40" s="5" t="s">
        <v>493</v>
      </c>
    </row>
    <row r="41" customFormat="false" ht="15" hidden="false" customHeight="false" outlineLevel="0" collapsed="false">
      <c r="A41" s="4" t="s">
        <v>234</v>
      </c>
      <c r="B41" s="4" t="s">
        <v>618</v>
      </c>
      <c r="C41" s="4" t="s">
        <v>619</v>
      </c>
      <c r="D41" s="5" t="s">
        <v>496</v>
      </c>
      <c r="E41" s="32" t="n">
        <v>1</v>
      </c>
      <c r="F41" s="4" t="s">
        <v>82</v>
      </c>
      <c r="G41" s="5" t="s">
        <v>491</v>
      </c>
      <c r="H41" s="4" t="s">
        <v>620</v>
      </c>
      <c r="I41" s="32" t="n">
        <f aca="false">FAB_COMPRA!K9</f>
        <v>0.353740625</v>
      </c>
      <c r="J41" s="32" t="n">
        <f aca="false">E41*I41</f>
        <v>0.353740625</v>
      </c>
      <c r="K41" s="4"/>
      <c r="L41" s="32"/>
      <c r="M41" s="32"/>
      <c r="N41" s="32"/>
      <c r="O41" s="32"/>
      <c r="P41" s="4"/>
      <c r="Q41" s="32"/>
      <c r="R41" s="32" t="n">
        <f aca="false">$J41</f>
        <v>0.353740625</v>
      </c>
      <c r="S41" s="32" t="n">
        <f aca="false">$J41</f>
        <v>0.353740625</v>
      </c>
      <c r="T41" s="32" t="n">
        <f aca="false">$J41</f>
        <v>0.353740625</v>
      </c>
      <c r="U41" s="32" t="n">
        <f aca="false">$J41</f>
        <v>0.353740625</v>
      </c>
      <c r="V41" s="32" t="n">
        <f aca="false">$J41</f>
        <v>0.353740625</v>
      </c>
      <c r="W41" s="32" t="n">
        <f aca="false">$J41</f>
        <v>0.353740625</v>
      </c>
      <c r="X41" s="32" t="n">
        <f aca="false">$J41</f>
        <v>0.353740625</v>
      </c>
      <c r="Y41" s="32" t="n">
        <f aca="false">$J41</f>
        <v>0.353740625</v>
      </c>
      <c r="Z41" s="32" t="n">
        <f aca="false">$J41</f>
        <v>0.353740625</v>
      </c>
      <c r="AA41" s="32" t="n">
        <f aca="false">$J41</f>
        <v>0.353740625</v>
      </c>
      <c r="AB41" s="5" t="s">
        <v>493</v>
      </c>
    </row>
    <row r="42" customFormat="false" ht="15" hidden="false" customHeight="false" outlineLevel="0" collapsed="false">
      <c r="A42" s="4" t="s">
        <v>234</v>
      </c>
      <c r="B42" s="4" t="s">
        <v>621</v>
      </c>
      <c r="C42" s="4" t="s">
        <v>622</v>
      </c>
      <c r="D42" s="5" t="s">
        <v>500</v>
      </c>
      <c r="E42" s="32" t="n">
        <v>1</v>
      </c>
      <c r="F42" s="4" t="s">
        <v>82</v>
      </c>
      <c r="G42" s="5" t="s">
        <v>491</v>
      </c>
      <c r="H42" s="4" t="s">
        <v>620</v>
      </c>
      <c r="I42" s="32" t="n">
        <f aca="false">FAB_COMPRA!K10</f>
        <v>0.292903125</v>
      </c>
      <c r="J42" s="32" t="n">
        <f aca="false">E42*I42</f>
        <v>0.292903125</v>
      </c>
      <c r="K42" s="4"/>
      <c r="L42" s="32"/>
      <c r="M42" s="32"/>
      <c r="N42" s="32"/>
      <c r="O42" s="32"/>
      <c r="P42" s="4"/>
      <c r="Q42" s="32"/>
      <c r="R42" s="32" t="n">
        <f aca="false">$J42</f>
        <v>0.292903125</v>
      </c>
      <c r="S42" s="32" t="n">
        <f aca="false">$J42</f>
        <v>0.292903125</v>
      </c>
      <c r="T42" s="32" t="n">
        <f aca="false">$J42</f>
        <v>0.292903125</v>
      </c>
      <c r="U42" s="32" t="n">
        <f aca="false">$J42</f>
        <v>0.292903125</v>
      </c>
      <c r="V42" s="32" t="n">
        <f aca="false">$J42</f>
        <v>0.292903125</v>
      </c>
      <c r="W42" s="32" t="n">
        <f aca="false">$J42</f>
        <v>0.292903125</v>
      </c>
      <c r="X42" s="32" t="n">
        <f aca="false">$J42</f>
        <v>0.292903125</v>
      </c>
      <c r="Y42" s="32" t="n">
        <f aca="false">$J42</f>
        <v>0.292903125</v>
      </c>
      <c r="Z42" s="32" t="n">
        <f aca="false">$J42</f>
        <v>0.292903125</v>
      </c>
      <c r="AA42" s="32" t="n">
        <f aca="false">$J42</f>
        <v>0.292903125</v>
      </c>
      <c r="AB42" s="5" t="s">
        <v>493</v>
      </c>
    </row>
    <row r="43" customFormat="false" ht="15" hidden="false" customHeight="false" outlineLevel="0" collapsed="false">
      <c r="A43" s="4" t="s">
        <v>234</v>
      </c>
      <c r="B43" s="4" t="s">
        <v>623</v>
      </c>
      <c r="C43" s="4" t="s">
        <v>624</v>
      </c>
      <c r="D43" s="5" t="s">
        <v>504</v>
      </c>
      <c r="E43" s="32" t="n">
        <v>1</v>
      </c>
      <c r="F43" s="4" t="s">
        <v>82</v>
      </c>
      <c r="G43" s="5" t="s">
        <v>491</v>
      </c>
      <c r="H43" s="4" t="s">
        <v>625</v>
      </c>
      <c r="I43" s="32" t="n">
        <f aca="false">FAB_COMPRA!K11</f>
        <v>1</v>
      </c>
      <c r="J43" s="32" t="n">
        <f aca="false">E43*I43</f>
        <v>1</v>
      </c>
      <c r="K43" s="4"/>
      <c r="L43" s="32"/>
      <c r="M43" s="32"/>
      <c r="N43" s="32"/>
      <c r="O43" s="32"/>
      <c r="P43" s="4"/>
      <c r="Q43" s="32"/>
      <c r="R43" s="32" t="n">
        <f aca="false">$J43</f>
        <v>1</v>
      </c>
      <c r="S43" s="32" t="n">
        <f aca="false">$J43</f>
        <v>1</v>
      </c>
      <c r="T43" s="32" t="n">
        <f aca="false">$J43</f>
        <v>1</v>
      </c>
      <c r="U43" s="32" t="n">
        <f aca="false">$J43</f>
        <v>1</v>
      </c>
      <c r="V43" s="32" t="n">
        <f aca="false">$J43</f>
        <v>1</v>
      </c>
      <c r="W43" s="32" t="n">
        <f aca="false">$J43</f>
        <v>1</v>
      </c>
      <c r="X43" s="32" t="n">
        <f aca="false">$J43</f>
        <v>1</v>
      </c>
      <c r="Y43" s="32" t="n">
        <f aca="false">$J43</f>
        <v>1</v>
      </c>
      <c r="Z43" s="32" t="n">
        <f aca="false">$J43</f>
        <v>1</v>
      </c>
      <c r="AA43" s="32" t="n">
        <f aca="false">$J43</f>
        <v>1</v>
      </c>
      <c r="AB43" s="5" t="s">
        <v>493</v>
      </c>
    </row>
    <row r="44" customFormat="false" ht="15" hidden="false" customHeight="false" outlineLevel="0" collapsed="false">
      <c r="A44" s="4" t="s">
        <v>234</v>
      </c>
      <c r="B44" s="4" t="s">
        <v>626</v>
      </c>
      <c r="C44" s="4" t="s">
        <v>627</v>
      </c>
      <c r="D44" s="5" t="s">
        <v>508</v>
      </c>
      <c r="E44" s="32" t="n">
        <v>1</v>
      </c>
      <c r="F44" s="4" t="s">
        <v>82</v>
      </c>
      <c r="G44" s="5" t="s">
        <v>509</v>
      </c>
      <c r="H44" s="4" t="s">
        <v>510</v>
      </c>
      <c r="I44" s="32" t="n">
        <v>1</v>
      </c>
      <c r="J44" s="32" t="n">
        <f aca="false">E44*I44</f>
        <v>1</v>
      </c>
      <c r="K44" s="4"/>
      <c r="L44" s="32"/>
      <c r="M44" s="32"/>
      <c r="N44" s="32"/>
      <c r="O44" s="32"/>
      <c r="P44" s="4"/>
      <c r="Q44" s="32"/>
      <c r="R44" s="32" t="n">
        <f aca="false">$J44</f>
        <v>1</v>
      </c>
      <c r="S44" s="32" t="n">
        <f aca="false">$J44</f>
        <v>1</v>
      </c>
      <c r="T44" s="32" t="n">
        <f aca="false">$J44</f>
        <v>1</v>
      </c>
      <c r="U44" s="32" t="n">
        <f aca="false">$J44</f>
        <v>1</v>
      </c>
      <c r="V44" s="32" t="n">
        <f aca="false">$J44</f>
        <v>1</v>
      </c>
      <c r="W44" s="32" t="n">
        <f aca="false">$J44</f>
        <v>1</v>
      </c>
      <c r="X44" s="32" t="n">
        <f aca="false">$J44</f>
        <v>1</v>
      </c>
      <c r="Y44" s="32" t="n">
        <f aca="false">$J44</f>
        <v>1</v>
      </c>
      <c r="Z44" s="32" t="n">
        <f aca="false">$J44</f>
        <v>1</v>
      </c>
      <c r="AA44" s="32" t="n">
        <f aca="false">$J44</f>
        <v>1</v>
      </c>
      <c r="AB44" s="5"/>
    </row>
    <row r="45" customFormat="false" ht="15" hidden="false" customHeight="false" outlineLevel="0" collapsed="false">
      <c r="A45" s="4" t="s">
        <v>234</v>
      </c>
      <c r="B45" s="4" t="s">
        <v>628</v>
      </c>
      <c r="C45" s="4" t="s">
        <v>629</v>
      </c>
      <c r="D45" s="5" t="s">
        <v>513</v>
      </c>
      <c r="E45" s="32" t="n">
        <v>1</v>
      </c>
      <c r="F45" s="4" t="s">
        <v>82</v>
      </c>
      <c r="G45" s="5" t="s">
        <v>509</v>
      </c>
      <c r="H45" s="4" t="s">
        <v>630</v>
      </c>
      <c r="I45" s="32" t="n">
        <v>1</v>
      </c>
      <c r="J45" s="32" t="n">
        <f aca="false">E45*I45</f>
        <v>1</v>
      </c>
      <c r="K45" s="4"/>
      <c r="L45" s="32"/>
      <c r="M45" s="32"/>
      <c r="N45" s="32"/>
      <c r="O45" s="32"/>
      <c r="P45" s="4"/>
      <c r="Q45" s="32"/>
      <c r="R45" s="32" t="n">
        <f aca="false">$J45</f>
        <v>1</v>
      </c>
      <c r="S45" s="32" t="n">
        <f aca="false">$J45</f>
        <v>1</v>
      </c>
      <c r="T45" s="32" t="n">
        <f aca="false">$J45</f>
        <v>1</v>
      </c>
      <c r="U45" s="32" t="n">
        <f aca="false">$J45</f>
        <v>1</v>
      </c>
      <c r="V45" s="32" t="n">
        <f aca="false">$J45</f>
        <v>1</v>
      </c>
      <c r="W45" s="32" t="n">
        <f aca="false">$J45</f>
        <v>1</v>
      </c>
      <c r="X45" s="32" t="n">
        <f aca="false">$J45</f>
        <v>1</v>
      </c>
      <c r="Y45" s="32" t="n">
        <f aca="false">$J45</f>
        <v>1</v>
      </c>
      <c r="Z45" s="32" t="n">
        <f aca="false">$J45</f>
        <v>1</v>
      </c>
      <c r="AA45" s="32" t="n">
        <f aca="false">$J45</f>
        <v>1</v>
      </c>
      <c r="AB45" s="5"/>
    </row>
    <row r="46" customFormat="false" ht="15" hidden="false" customHeight="false" outlineLevel="0" collapsed="false">
      <c r="A46" s="4" t="s">
        <v>234</v>
      </c>
      <c r="B46" s="4" t="s">
        <v>631</v>
      </c>
      <c r="C46" s="4" t="s">
        <v>632</v>
      </c>
      <c r="D46" s="5" t="s">
        <v>633</v>
      </c>
      <c r="E46" s="32" t="n">
        <v>1</v>
      </c>
      <c r="F46" s="4" t="s">
        <v>82</v>
      </c>
      <c r="G46" s="5" t="s">
        <v>518</v>
      </c>
      <c r="H46" s="4" t="s">
        <v>634</v>
      </c>
      <c r="I46" s="32" t="n">
        <v>1</v>
      </c>
      <c r="J46" s="32" t="n">
        <f aca="false">E46*I46</f>
        <v>1</v>
      </c>
      <c r="K46" s="4"/>
      <c r="L46" s="32"/>
      <c r="M46" s="32"/>
      <c r="N46" s="32"/>
      <c r="O46" s="32"/>
      <c r="P46" s="4"/>
      <c r="Q46" s="32"/>
      <c r="R46" s="32" t="n">
        <f aca="false">$J46</f>
        <v>1</v>
      </c>
      <c r="S46" s="32" t="n">
        <f aca="false">$J46</f>
        <v>1</v>
      </c>
      <c r="T46" s="32" t="n">
        <f aca="false">$J46</f>
        <v>1</v>
      </c>
      <c r="U46" s="32" t="n">
        <f aca="false">$J46</f>
        <v>1</v>
      </c>
      <c r="V46" s="32" t="n">
        <f aca="false">$J46</f>
        <v>1</v>
      </c>
      <c r="W46" s="32" t="n">
        <f aca="false">$J46</f>
        <v>1</v>
      </c>
      <c r="X46" s="32" t="n">
        <f aca="false">$J46</f>
        <v>1</v>
      </c>
      <c r="Y46" s="32" t="n">
        <f aca="false">$J46</f>
        <v>1</v>
      </c>
      <c r="Z46" s="32" t="n">
        <f aca="false">$J46</f>
        <v>1</v>
      </c>
      <c r="AA46" s="32" t="n">
        <f aca="false">$J46</f>
        <v>1</v>
      </c>
      <c r="AB46" s="5"/>
    </row>
    <row r="47" customFormat="false" ht="15" hidden="false" customHeight="false" outlineLevel="0" collapsed="false">
      <c r="A47" s="4" t="s">
        <v>234</v>
      </c>
      <c r="B47" s="4" t="s">
        <v>635</v>
      </c>
      <c r="C47" s="4" t="s">
        <v>636</v>
      </c>
      <c r="D47" s="5" t="s">
        <v>522</v>
      </c>
      <c r="E47" s="32" t="n">
        <v>1</v>
      </c>
      <c r="F47" s="4" t="s">
        <v>82</v>
      </c>
      <c r="G47" s="5" t="s">
        <v>523</v>
      </c>
      <c r="H47" s="4"/>
      <c r="I47" s="32"/>
      <c r="J47" s="32" t="n">
        <f aca="false">E47*I47</f>
        <v>0</v>
      </c>
      <c r="K47" s="4"/>
      <c r="L47" s="32"/>
      <c r="M47" s="32"/>
      <c r="N47" s="32"/>
      <c r="O47" s="32"/>
      <c r="P47" s="4"/>
      <c r="Q47" s="32"/>
      <c r="R47" s="32" t="n">
        <f aca="false">$J47</f>
        <v>0</v>
      </c>
      <c r="S47" s="32" t="n">
        <f aca="false">$J47</f>
        <v>0</v>
      </c>
      <c r="T47" s="32" t="n">
        <f aca="false">$J47</f>
        <v>0</v>
      </c>
      <c r="U47" s="32" t="n">
        <f aca="false">$J47</f>
        <v>0</v>
      </c>
      <c r="V47" s="32" t="n">
        <f aca="false">$J47</f>
        <v>0</v>
      </c>
      <c r="W47" s="32" t="n">
        <f aca="false">$J47</f>
        <v>0</v>
      </c>
      <c r="X47" s="32" t="n">
        <f aca="false">$J47</f>
        <v>0</v>
      </c>
      <c r="Y47" s="32" t="n">
        <f aca="false">$J47</f>
        <v>0</v>
      </c>
      <c r="Z47" s="32" t="n">
        <f aca="false">$J47</f>
        <v>0</v>
      </c>
      <c r="AA47" s="32" t="n">
        <f aca="false">$J47</f>
        <v>0</v>
      </c>
      <c r="AB47" s="5"/>
    </row>
    <row r="48" customFormat="false" ht="15" hidden="false" customHeight="false" outlineLevel="0" collapsed="false">
      <c r="A48" s="4" t="s">
        <v>234</v>
      </c>
      <c r="B48" s="4" t="s">
        <v>637</v>
      </c>
      <c r="C48" s="4" t="s">
        <v>638</v>
      </c>
      <c r="D48" s="5" t="s">
        <v>526</v>
      </c>
      <c r="E48" s="32" t="n">
        <v>1</v>
      </c>
      <c r="F48" s="4" t="s">
        <v>82</v>
      </c>
      <c r="G48" s="5" t="s">
        <v>523</v>
      </c>
      <c r="H48" s="4"/>
      <c r="I48" s="32"/>
      <c r="J48" s="32" t="n">
        <f aca="false">E48*I48</f>
        <v>0</v>
      </c>
      <c r="K48" s="4"/>
      <c r="L48" s="32"/>
      <c r="M48" s="32"/>
      <c r="N48" s="32"/>
      <c r="O48" s="32"/>
      <c r="P48" s="4"/>
      <c r="Q48" s="32"/>
      <c r="R48" s="32" t="n">
        <f aca="false">$J48</f>
        <v>0</v>
      </c>
      <c r="S48" s="32" t="n">
        <f aca="false">$J48</f>
        <v>0</v>
      </c>
      <c r="T48" s="32" t="n">
        <f aca="false">$J48</f>
        <v>0</v>
      </c>
      <c r="U48" s="32" t="n">
        <f aca="false">$J48</f>
        <v>0</v>
      </c>
      <c r="V48" s="32" t="n">
        <f aca="false">$J48</f>
        <v>0</v>
      </c>
      <c r="W48" s="32" t="n">
        <f aca="false">$J48</f>
        <v>0</v>
      </c>
      <c r="X48" s="32" t="n">
        <f aca="false">$J48</f>
        <v>0</v>
      </c>
      <c r="Y48" s="32" t="n">
        <f aca="false">$J48</f>
        <v>0</v>
      </c>
      <c r="Z48" s="32" t="n">
        <f aca="false">$J48</f>
        <v>0</v>
      </c>
      <c r="AA48" s="32" t="n">
        <f aca="false">$J48</f>
        <v>0</v>
      </c>
      <c r="AB48" s="5"/>
    </row>
    <row r="49" customFormat="false" ht="15" hidden="false" customHeight="false" outlineLevel="0" collapsed="false">
      <c r="A49" s="4" t="s">
        <v>234</v>
      </c>
      <c r="B49" s="4" t="s">
        <v>639</v>
      </c>
      <c r="C49" s="4" t="s">
        <v>640</v>
      </c>
      <c r="D49" s="5" t="s">
        <v>529</v>
      </c>
      <c r="E49" s="32" t="n">
        <v>1</v>
      </c>
      <c r="F49" s="4" t="s">
        <v>82</v>
      </c>
      <c r="G49" s="5" t="s">
        <v>523</v>
      </c>
      <c r="H49" s="4"/>
      <c r="I49" s="32"/>
      <c r="J49" s="32" t="n">
        <f aca="false">E49*I49</f>
        <v>0</v>
      </c>
      <c r="K49" s="4"/>
      <c r="L49" s="32"/>
      <c r="M49" s="32"/>
      <c r="N49" s="32"/>
      <c r="O49" s="32"/>
      <c r="P49" s="4"/>
      <c r="Q49" s="32"/>
      <c r="R49" s="32" t="n">
        <f aca="false">$J49</f>
        <v>0</v>
      </c>
      <c r="S49" s="32" t="n">
        <f aca="false">$J49</f>
        <v>0</v>
      </c>
      <c r="T49" s="32" t="n">
        <f aca="false">$J49</f>
        <v>0</v>
      </c>
      <c r="U49" s="32" t="n">
        <f aca="false">$J49</f>
        <v>0</v>
      </c>
      <c r="V49" s="32" t="n">
        <f aca="false">$J49</f>
        <v>0</v>
      </c>
      <c r="W49" s="32" t="n">
        <f aca="false">$J49</f>
        <v>0</v>
      </c>
      <c r="X49" s="32" t="n">
        <f aca="false">$J49</f>
        <v>0</v>
      </c>
      <c r="Y49" s="32" t="n">
        <f aca="false">$J49</f>
        <v>0</v>
      </c>
      <c r="Z49" s="32" t="n">
        <f aca="false">$J49</f>
        <v>0</v>
      </c>
      <c r="AA49" s="32" t="n">
        <f aca="false">$J49</f>
        <v>0</v>
      </c>
      <c r="AB49" s="5"/>
    </row>
    <row r="50" customFormat="false" ht="15" hidden="false" customHeight="false" outlineLevel="0" collapsed="false">
      <c r="A50" s="4" t="s">
        <v>234</v>
      </c>
      <c r="B50" s="4" t="s">
        <v>641</v>
      </c>
      <c r="C50" s="4" t="s">
        <v>642</v>
      </c>
      <c r="D50" s="5" t="s">
        <v>532</v>
      </c>
      <c r="E50" s="32" t="n">
        <v>1</v>
      </c>
      <c r="F50" s="4" t="s">
        <v>82</v>
      </c>
      <c r="G50" s="5" t="s">
        <v>523</v>
      </c>
      <c r="H50" s="4"/>
      <c r="I50" s="32"/>
      <c r="J50" s="32" t="n">
        <f aca="false">E50*I50</f>
        <v>0</v>
      </c>
      <c r="K50" s="4"/>
      <c r="L50" s="32"/>
      <c r="M50" s="32"/>
      <c r="N50" s="32"/>
      <c r="O50" s="32"/>
      <c r="P50" s="4"/>
      <c r="Q50" s="32"/>
      <c r="R50" s="32" t="n">
        <f aca="false">$J50</f>
        <v>0</v>
      </c>
      <c r="S50" s="32" t="n">
        <f aca="false">$J50</f>
        <v>0</v>
      </c>
      <c r="T50" s="32" t="n">
        <f aca="false">$J50</f>
        <v>0</v>
      </c>
      <c r="U50" s="32" t="n">
        <f aca="false">$J50</f>
        <v>0</v>
      </c>
      <c r="V50" s="32" t="n">
        <f aca="false">$J50</f>
        <v>0</v>
      </c>
      <c r="W50" s="32" t="n">
        <f aca="false">$J50</f>
        <v>0</v>
      </c>
      <c r="X50" s="32" t="n">
        <f aca="false">$J50</f>
        <v>0</v>
      </c>
      <c r="Y50" s="32" t="n">
        <f aca="false">$J50</f>
        <v>0</v>
      </c>
      <c r="Z50" s="32" t="n">
        <f aca="false">$J50</f>
        <v>0</v>
      </c>
      <c r="AA50" s="32" t="n">
        <f aca="false">$J50</f>
        <v>0</v>
      </c>
      <c r="AB50" s="5"/>
    </row>
    <row r="51" customFormat="false" ht="15" hidden="false" customHeight="false" outlineLevel="0" collapsed="false">
      <c r="A51" s="4" t="s">
        <v>234</v>
      </c>
      <c r="B51" s="4" t="s">
        <v>643</v>
      </c>
      <c r="C51" s="4" t="s">
        <v>644</v>
      </c>
      <c r="D51" s="5" t="s">
        <v>535</v>
      </c>
      <c r="E51" s="32" t="n">
        <v>1</v>
      </c>
      <c r="F51" s="4" t="s">
        <v>82</v>
      </c>
      <c r="G51" s="5" t="s">
        <v>523</v>
      </c>
      <c r="H51" s="4"/>
      <c r="I51" s="32"/>
      <c r="J51" s="32" t="n">
        <f aca="false">E51*I51</f>
        <v>0</v>
      </c>
      <c r="K51" s="4"/>
      <c r="L51" s="32"/>
      <c r="M51" s="32"/>
      <c r="N51" s="32"/>
      <c r="O51" s="32"/>
      <c r="P51" s="4"/>
      <c r="Q51" s="32"/>
      <c r="R51" s="32" t="n">
        <f aca="false">$J51</f>
        <v>0</v>
      </c>
      <c r="S51" s="32" t="n">
        <f aca="false">$J51</f>
        <v>0</v>
      </c>
      <c r="T51" s="32" t="n">
        <f aca="false">$J51</f>
        <v>0</v>
      </c>
      <c r="U51" s="32" t="n">
        <f aca="false">$J51</f>
        <v>0</v>
      </c>
      <c r="V51" s="32" t="n">
        <f aca="false">$J51</f>
        <v>0</v>
      </c>
      <c r="W51" s="32" t="n">
        <f aca="false">$J51</f>
        <v>0</v>
      </c>
      <c r="X51" s="32" t="n">
        <f aca="false">$J51</f>
        <v>0</v>
      </c>
      <c r="Y51" s="32" t="n">
        <f aca="false">$J51</f>
        <v>0</v>
      </c>
      <c r="Z51" s="32" t="n">
        <f aca="false">$J51</f>
        <v>0</v>
      </c>
      <c r="AA51" s="32" t="n">
        <f aca="false">$J51</f>
        <v>0</v>
      </c>
      <c r="AB51" s="5"/>
    </row>
    <row r="52" customFormat="false" ht="15" hidden="false" customHeight="false" outlineLevel="0" collapsed="false">
      <c r="A52" s="4" t="s">
        <v>234</v>
      </c>
      <c r="B52" s="4" t="s">
        <v>645</v>
      </c>
      <c r="C52" s="4" t="s">
        <v>646</v>
      </c>
      <c r="D52" s="5" t="s">
        <v>538</v>
      </c>
      <c r="E52" s="32" t="n">
        <v>1</v>
      </c>
      <c r="F52" s="4" t="s">
        <v>82</v>
      </c>
      <c r="G52" s="5" t="s">
        <v>523</v>
      </c>
      <c r="H52" s="4"/>
      <c r="I52" s="32"/>
      <c r="J52" s="32" t="n">
        <f aca="false">E52*I52</f>
        <v>0</v>
      </c>
      <c r="K52" s="4"/>
      <c r="L52" s="32"/>
      <c r="M52" s="32"/>
      <c r="N52" s="32"/>
      <c r="O52" s="32"/>
      <c r="P52" s="4"/>
      <c r="Q52" s="32"/>
      <c r="R52" s="32" t="n">
        <f aca="false">$J52</f>
        <v>0</v>
      </c>
      <c r="S52" s="32" t="n">
        <f aca="false">$J52</f>
        <v>0</v>
      </c>
      <c r="T52" s="32" t="n">
        <f aca="false">$J52</f>
        <v>0</v>
      </c>
      <c r="U52" s="32" t="n">
        <f aca="false">$J52</f>
        <v>0</v>
      </c>
      <c r="V52" s="32" t="n">
        <f aca="false">$J52</f>
        <v>0</v>
      </c>
      <c r="W52" s="32" t="n">
        <f aca="false">$J52</f>
        <v>0</v>
      </c>
      <c r="X52" s="32" t="n">
        <f aca="false">$J52</f>
        <v>0</v>
      </c>
      <c r="Y52" s="32" t="n">
        <f aca="false">$J52</f>
        <v>0</v>
      </c>
      <c r="Z52" s="32" t="n">
        <f aca="false">$J52</f>
        <v>0</v>
      </c>
      <c r="AA52" s="32" t="n">
        <f aca="false">$J52</f>
        <v>0</v>
      </c>
      <c r="AB52" s="5"/>
    </row>
    <row r="53" customFormat="false" ht="15" hidden="false" customHeight="false" outlineLevel="0" collapsed="false">
      <c r="A53" s="4" t="s">
        <v>234</v>
      </c>
      <c r="B53" s="4" t="s">
        <v>647</v>
      </c>
      <c r="C53" s="4" t="s">
        <v>648</v>
      </c>
      <c r="D53" s="5" t="s">
        <v>541</v>
      </c>
      <c r="E53" s="32" t="n">
        <v>1</v>
      </c>
      <c r="F53" s="4" t="s">
        <v>82</v>
      </c>
      <c r="G53" s="5" t="s">
        <v>523</v>
      </c>
      <c r="H53" s="4"/>
      <c r="I53" s="32"/>
      <c r="J53" s="32" t="n">
        <f aca="false">E53*I53</f>
        <v>0</v>
      </c>
      <c r="K53" s="4"/>
      <c r="L53" s="32"/>
      <c r="M53" s="32"/>
      <c r="N53" s="32"/>
      <c r="O53" s="32"/>
      <c r="P53" s="4"/>
      <c r="Q53" s="32"/>
      <c r="R53" s="32" t="n">
        <f aca="false">$J53</f>
        <v>0</v>
      </c>
      <c r="S53" s="32" t="n">
        <f aca="false">$J53</f>
        <v>0</v>
      </c>
      <c r="T53" s="32" t="n">
        <f aca="false">$J53</f>
        <v>0</v>
      </c>
      <c r="U53" s="32" t="n">
        <f aca="false">$J53</f>
        <v>0</v>
      </c>
      <c r="V53" s="32" t="n">
        <f aca="false">$J53</f>
        <v>0</v>
      </c>
      <c r="W53" s="32" t="n">
        <f aca="false">$J53</f>
        <v>0</v>
      </c>
      <c r="X53" s="32" t="n">
        <f aca="false">$J53</f>
        <v>0</v>
      </c>
      <c r="Y53" s="32" t="n">
        <f aca="false">$J53</f>
        <v>0</v>
      </c>
      <c r="Z53" s="32" t="n">
        <f aca="false">$J53</f>
        <v>0</v>
      </c>
      <c r="AA53" s="32" t="n">
        <f aca="false">$J53</f>
        <v>0</v>
      </c>
      <c r="AB53" s="5"/>
    </row>
    <row r="54" customFormat="false" ht="15" hidden="false" customHeight="false" outlineLevel="0" collapsed="false">
      <c r="A54" s="4" t="s">
        <v>234</v>
      </c>
      <c r="B54" s="4" t="s">
        <v>649</v>
      </c>
      <c r="C54" s="4" t="s">
        <v>650</v>
      </c>
      <c r="D54" s="5" t="s">
        <v>544</v>
      </c>
      <c r="E54" s="32" t="n">
        <v>1</v>
      </c>
      <c r="F54" s="4" t="s">
        <v>82</v>
      </c>
      <c r="G54" s="5" t="s">
        <v>523</v>
      </c>
      <c r="H54" s="4"/>
      <c r="I54" s="32"/>
      <c r="J54" s="32" t="n">
        <f aca="false">E54*I54</f>
        <v>0</v>
      </c>
      <c r="K54" s="4"/>
      <c r="L54" s="32"/>
      <c r="M54" s="32"/>
      <c r="N54" s="32"/>
      <c r="O54" s="32"/>
      <c r="P54" s="4"/>
      <c r="Q54" s="32"/>
      <c r="R54" s="32" t="n">
        <f aca="false">$J54</f>
        <v>0</v>
      </c>
      <c r="S54" s="32" t="n">
        <f aca="false">$J54</f>
        <v>0</v>
      </c>
      <c r="T54" s="32" t="n">
        <f aca="false">$J54</f>
        <v>0</v>
      </c>
      <c r="U54" s="32" t="n">
        <f aca="false">$J54</f>
        <v>0</v>
      </c>
      <c r="V54" s="32" t="n">
        <f aca="false">$J54</f>
        <v>0</v>
      </c>
      <c r="W54" s="32" t="n">
        <f aca="false">$J54</f>
        <v>0</v>
      </c>
      <c r="X54" s="32" t="n">
        <f aca="false">$J54</f>
        <v>0</v>
      </c>
      <c r="Y54" s="32" t="n">
        <f aca="false">$J54</f>
        <v>0</v>
      </c>
      <c r="Z54" s="32" t="n">
        <f aca="false">$J54</f>
        <v>0</v>
      </c>
      <c r="AA54" s="32" t="n">
        <f aca="false">$J54</f>
        <v>0</v>
      </c>
      <c r="AB54" s="5"/>
    </row>
    <row r="55" customFormat="false" ht="15" hidden="false" customHeight="false" outlineLevel="0" collapsed="false">
      <c r="A55" s="4" t="s">
        <v>234</v>
      </c>
      <c r="B55" s="4" t="s">
        <v>651</v>
      </c>
      <c r="C55" s="4" t="s">
        <v>652</v>
      </c>
      <c r="D55" s="5" t="s">
        <v>547</v>
      </c>
      <c r="E55" s="32" t="n">
        <v>1</v>
      </c>
      <c r="F55" s="4" t="s">
        <v>82</v>
      </c>
      <c r="G55" s="5" t="s">
        <v>523</v>
      </c>
      <c r="H55" s="4"/>
      <c r="I55" s="32"/>
      <c r="J55" s="32" t="n">
        <f aca="false">E55*I55</f>
        <v>0</v>
      </c>
      <c r="K55" s="4"/>
      <c r="L55" s="32"/>
      <c r="M55" s="32"/>
      <c r="N55" s="32"/>
      <c r="O55" s="32"/>
      <c r="P55" s="4"/>
      <c r="Q55" s="32"/>
      <c r="R55" s="32" t="n">
        <f aca="false">$J55</f>
        <v>0</v>
      </c>
      <c r="S55" s="32" t="n">
        <f aca="false">$J55</f>
        <v>0</v>
      </c>
      <c r="T55" s="32" t="n">
        <f aca="false">$J55</f>
        <v>0</v>
      </c>
      <c r="U55" s="32" t="n">
        <f aca="false">$J55</f>
        <v>0</v>
      </c>
      <c r="V55" s="32" t="n">
        <f aca="false">$J55</f>
        <v>0</v>
      </c>
      <c r="W55" s="32" t="n">
        <f aca="false">$J55</f>
        <v>0</v>
      </c>
      <c r="X55" s="32" t="n">
        <f aca="false">$J55</f>
        <v>0</v>
      </c>
      <c r="Y55" s="32" t="n">
        <f aca="false">$J55</f>
        <v>0</v>
      </c>
      <c r="Z55" s="32" t="n">
        <f aca="false">$J55</f>
        <v>0</v>
      </c>
      <c r="AA55" s="32" t="n">
        <f aca="false">$J55</f>
        <v>0</v>
      </c>
      <c r="AB55" s="5"/>
    </row>
    <row r="56" customFormat="false" ht="15" hidden="false" customHeight="false" outlineLevel="0" collapsed="false">
      <c r="A56" s="4" t="s">
        <v>234</v>
      </c>
      <c r="B56" s="4" t="s">
        <v>653</v>
      </c>
      <c r="C56" s="4" t="s">
        <v>654</v>
      </c>
      <c r="D56" s="5" t="s">
        <v>550</v>
      </c>
      <c r="E56" s="32" t="n">
        <v>1</v>
      </c>
      <c r="F56" s="4" t="s">
        <v>82</v>
      </c>
      <c r="G56" s="5" t="s">
        <v>523</v>
      </c>
      <c r="H56" s="4"/>
      <c r="I56" s="32"/>
      <c r="J56" s="32" t="n">
        <f aca="false">E56*I56</f>
        <v>0</v>
      </c>
      <c r="K56" s="4"/>
      <c r="L56" s="32"/>
      <c r="M56" s="32"/>
      <c r="N56" s="32"/>
      <c r="O56" s="32"/>
      <c r="P56" s="4"/>
      <c r="Q56" s="32"/>
      <c r="R56" s="32" t="n">
        <f aca="false">$J56</f>
        <v>0</v>
      </c>
      <c r="S56" s="32" t="n">
        <f aca="false">$J56</f>
        <v>0</v>
      </c>
      <c r="T56" s="32" t="n">
        <f aca="false">$J56</f>
        <v>0</v>
      </c>
      <c r="U56" s="32" t="n">
        <f aca="false">$J56</f>
        <v>0</v>
      </c>
      <c r="V56" s="32" t="n">
        <f aca="false">$J56</f>
        <v>0</v>
      </c>
      <c r="W56" s="32" t="n">
        <f aca="false">$J56</f>
        <v>0</v>
      </c>
      <c r="X56" s="32" t="n">
        <f aca="false">$J56</f>
        <v>0</v>
      </c>
      <c r="Y56" s="32" t="n">
        <f aca="false">$J56</f>
        <v>0</v>
      </c>
      <c r="Z56" s="32" t="n">
        <f aca="false">$J56</f>
        <v>0</v>
      </c>
      <c r="AA56" s="32" t="n">
        <f aca="false">$J56</f>
        <v>0</v>
      </c>
      <c r="AB56" s="5"/>
    </row>
    <row r="57" customFormat="false" ht="15" hidden="false" customHeight="false" outlineLevel="0" collapsed="false">
      <c r="A57" s="4" t="s">
        <v>234</v>
      </c>
      <c r="B57" s="4" t="s">
        <v>655</v>
      </c>
      <c r="C57" s="4" t="s">
        <v>656</v>
      </c>
      <c r="D57" s="5" t="s">
        <v>553</v>
      </c>
      <c r="E57" s="32" t="n">
        <v>1</v>
      </c>
      <c r="F57" s="4" t="s">
        <v>82</v>
      </c>
      <c r="G57" s="5" t="s">
        <v>523</v>
      </c>
      <c r="H57" s="4"/>
      <c r="I57" s="32"/>
      <c r="J57" s="32" t="n">
        <f aca="false">E57*I57</f>
        <v>0</v>
      </c>
      <c r="K57" s="4"/>
      <c r="L57" s="32"/>
      <c r="M57" s="32"/>
      <c r="N57" s="32"/>
      <c r="O57" s="32"/>
      <c r="P57" s="4"/>
      <c r="Q57" s="32"/>
      <c r="R57" s="32" t="n">
        <f aca="false">$J57</f>
        <v>0</v>
      </c>
      <c r="S57" s="32" t="n">
        <f aca="false">$J57</f>
        <v>0</v>
      </c>
      <c r="T57" s="32" t="n">
        <f aca="false">$J57</f>
        <v>0</v>
      </c>
      <c r="U57" s="32" t="n">
        <f aca="false">$J57</f>
        <v>0</v>
      </c>
      <c r="V57" s="32" t="n">
        <f aca="false">$J57</f>
        <v>0</v>
      </c>
      <c r="W57" s="32" t="n">
        <f aca="false">$J57</f>
        <v>0</v>
      </c>
      <c r="X57" s="32" t="n">
        <f aca="false">$J57</f>
        <v>0</v>
      </c>
      <c r="Y57" s="32" t="n">
        <f aca="false">$J57</f>
        <v>0</v>
      </c>
      <c r="Z57" s="32" t="n">
        <f aca="false">$J57</f>
        <v>0</v>
      </c>
      <c r="AA57" s="32" t="n">
        <f aca="false">$J57</f>
        <v>0</v>
      </c>
      <c r="AB57" s="5"/>
    </row>
    <row r="58" customFormat="false" ht="15" hidden="false" customHeight="false" outlineLevel="0" collapsed="false">
      <c r="A58" s="4" t="s">
        <v>234</v>
      </c>
      <c r="B58" s="4" t="s">
        <v>657</v>
      </c>
      <c r="C58" s="4" t="s">
        <v>658</v>
      </c>
      <c r="D58" s="5" t="s">
        <v>556</v>
      </c>
      <c r="E58" s="32" t="n">
        <v>1</v>
      </c>
      <c r="F58" s="4" t="s">
        <v>82</v>
      </c>
      <c r="G58" s="5" t="s">
        <v>523</v>
      </c>
      <c r="H58" s="4"/>
      <c r="I58" s="32"/>
      <c r="J58" s="32" t="n">
        <f aca="false">E58*I58</f>
        <v>0</v>
      </c>
      <c r="K58" s="4"/>
      <c r="L58" s="32"/>
      <c r="M58" s="32"/>
      <c r="N58" s="32"/>
      <c r="O58" s="32"/>
      <c r="P58" s="4"/>
      <c r="Q58" s="32"/>
      <c r="R58" s="32" t="n">
        <f aca="false">$J58</f>
        <v>0</v>
      </c>
      <c r="S58" s="32" t="n">
        <f aca="false">$J58</f>
        <v>0</v>
      </c>
      <c r="T58" s="32" t="n">
        <f aca="false">$J58</f>
        <v>0</v>
      </c>
      <c r="U58" s="32" t="n">
        <f aca="false">$J58</f>
        <v>0</v>
      </c>
      <c r="V58" s="32" t="n">
        <f aca="false">$J58</f>
        <v>0</v>
      </c>
      <c r="W58" s="32" t="n">
        <f aca="false">$J58</f>
        <v>0</v>
      </c>
      <c r="X58" s="32" t="n">
        <f aca="false">$J58</f>
        <v>0</v>
      </c>
      <c r="Y58" s="32" t="n">
        <f aca="false">$J58</f>
        <v>0</v>
      </c>
      <c r="Z58" s="32" t="n">
        <f aca="false">$J58</f>
        <v>0</v>
      </c>
      <c r="AA58" s="32" t="n">
        <f aca="false">$J58</f>
        <v>0</v>
      </c>
      <c r="AB58" s="5"/>
    </row>
    <row r="59" customFormat="false" ht="15" hidden="false" customHeight="false" outlineLevel="0" collapsed="false">
      <c r="A59" s="4" t="s">
        <v>234</v>
      </c>
      <c r="B59" s="4" t="s">
        <v>659</v>
      </c>
      <c r="C59" s="4" t="s">
        <v>660</v>
      </c>
      <c r="D59" s="5" t="s">
        <v>559</v>
      </c>
      <c r="E59" s="32" t="n">
        <v>1</v>
      </c>
      <c r="F59" s="4" t="s">
        <v>82</v>
      </c>
      <c r="G59" s="5" t="s">
        <v>518</v>
      </c>
      <c r="H59" s="4" t="s">
        <v>661</v>
      </c>
      <c r="I59" s="32" t="n">
        <v>1</v>
      </c>
      <c r="J59" s="32" t="n">
        <f aca="false">E59*I59</f>
        <v>1</v>
      </c>
      <c r="K59" s="4"/>
      <c r="L59" s="32"/>
      <c r="M59" s="32"/>
      <c r="N59" s="32"/>
      <c r="O59" s="32"/>
      <c r="P59" s="4"/>
      <c r="Q59" s="32"/>
      <c r="R59" s="32" t="n">
        <f aca="false">$J59</f>
        <v>1</v>
      </c>
      <c r="S59" s="32" t="n">
        <f aca="false">$J59</f>
        <v>1</v>
      </c>
      <c r="T59" s="32" t="n">
        <f aca="false">$J59</f>
        <v>1</v>
      </c>
      <c r="U59" s="32" t="n">
        <f aca="false">$J59</f>
        <v>1</v>
      </c>
      <c r="V59" s="32" t="n">
        <f aca="false">$J59</f>
        <v>1</v>
      </c>
      <c r="W59" s="32" t="n">
        <f aca="false">$J59</f>
        <v>1</v>
      </c>
      <c r="X59" s="32" t="n">
        <f aca="false">$J59</f>
        <v>1</v>
      </c>
      <c r="Y59" s="32" t="n">
        <f aca="false">$J59</f>
        <v>1</v>
      </c>
      <c r="Z59" s="32" t="n">
        <f aca="false">$J59</f>
        <v>1</v>
      </c>
      <c r="AA59" s="32" t="n">
        <f aca="false">$J59</f>
        <v>1</v>
      </c>
      <c r="AB59" s="5"/>
    </row>
    <row r="60" customFormat="false" ht="15" hidden="false" customHeight="false" outlineLevel="0" collapsed="false">
      <c r="A60" s="4" t="s">
        <v>234</v>
      </c>
      <c r="B60" s="4" t="s">
        <v>662</v>
      </c>
      <c r="C60" s="4" t="s">
        <v>663</v>
      </c>
      <c r="D60" s="5" t="s">
        <v>664</v>
      </c>
      <c r="E60" s="32" t="n">
        <v>1</v>
      </c>
      <c r="F60" s="4" t="s">
        <v>82</v>
      </c>
      <c r="G60" s="5" t="s">
        <v>564</v>
      </c>
      <c r="H60" s="4"/>
      <c r="I60" s="32"/>
      <c r="J60" s="32" t="n">
        <f aca="false">E60*I60</f>
        <v>0</v>
      </c>
      <c r="K60" s="4"/>
      <c r="L60" s="32"/>
      <c r="M60" s="32"/>
      <c r="N60" s="32"/>
      <c r="O60" s="32"/>
      <c r="P60" s="4"/>
      <c r="Q60" s="32"/>
      <c r="R60" s="32" t="n">
        <f aca="false">$J60</f>
        <v>0</v>
      </c>
      <c r="S60" s="32" t="n">
        <f aca="false">$J60</f>
        <v>0</v>
      </c>
      <c r="T60" s="32" t="n">
        <f aca="false">$J60</f>
        <v>0</v>
      </c>
      <c r="U60" s="32" t="n">
        <f aca="false">$J60</f>
        <v>0</v>
      </c>
      <c r="V60" s="32" t="n">
        <f aca="false">$J60</f>
        <v>0</v>
      </c>
      <c r="W60" s="32" t="n">
        <f aca="false">$J60</f>
        <v>0</v>
      </c>
      <c r="X60" s="32" t="n">
        <f aca="false">$J60</f>
        <v>0</v>
      </c>
      <c r="Y60" s="32" t="n">
        <f aca="false">$J60</f>
        <v>0</v>
      </c>
      <c r="Z60" s="32" t="n">
        <f aca="false">$J60</f>
        <v>0</v>
      </c>
      <c r="AA60" s="32" t="n">
        <f aca="false">$J60</f>
        <v>0</v>
      </c>
      <c r="AB60" s="5"/>
    </row>
    <row r="61" customFormat="false" ht="15" hidden="false" customHeight="false" outlineLevel="0" collapsed="false">
      <c r="A61" s="4" t="s">
        <v>234</v>
      </c>
      <c r="B61" s="4" t="s">
        <v>665</v>
      </c>
      <c r="C61" s="4" t="s">
        <v>666</v>
      </c>
      <c r="D61" s="5" t="s">
        <v>667</v>
      </c>
      <c r="E61" s="32" t="n">
        <v>1</v>
      </c>
      <c r="F61" s="4" t="s">
        <v>82</v>
      </c>
      <c r="G61" s="5" t="s">
        <v>564</v>
      </c>
      <c r="H61" s="4"/>
      <c r="I61" s="32"/>
      <c r="J61" s="32" t="n">
        <f aca="false">E61*I61</f>
        <v>0</v>
      </c>
      <c r="K61" s="4"/>
      <c r="L61" s="32"/>
      <c r="M61" s="32"/>
      <c r="N61" s="32"/>
      <c r="O61" s="32"/>
      <c r="P61" s="4"/>
      <c r="Q61" s="32"/>
      <c r="R61" s="32" t="n">
        <f aca="false">$J61</f>
        <v>0</v>
      </c>
      <c r="S61" s="32" t="n">
        <f aca="false">$J61</f>
        <v>0</v>
      </c>
      <c r="T61" s="32" t="n">
        <f aca="false">$J61</f>
        <v>0</v>
      </c>
      <c r="U61" s="32" t="n">
        <f aca="false">$J61</f>
        <v>0</v>
      </c>
      <c r="V61" s="32" t="n">
        <f aca="false">$J61</f>
        <v>0</v>
      </c>
      <c r="W61" s="32" t="n">
        <f aca="false">$J61</f>
        <v>0</v>
      </c>
      <c r="X61" s="32" t="n">
        <f aca="false">$J61</f>
        <v>0</v>
      </c>
      <c r="Y61" s="32" t="n">
        <f aca="false">$J61</f>
        <v>0</v>
      </c>
      <c r="Z61" s="32" t="n">
        <f aca="false">$J61</f>
        <v>0</v>
      </c>
      <c r="AA61" s="32" t="n">
        <f aca="false">$J61</f>
        <v>0</v>
      </c>
      <c r="AB61" s="5"/>
    </row>
    <row r="62" customFormat="false" ht="15" hidden="false" customHeight="false" outlineLevel="0" collapsed="false">
      <c r="A62" s="4" t="s">
        <v>234</v>
      </c>
      <c r="B62" s="4" t="s">
        <v>668</v>
      </c>
      <c r="C62" s="4" t="s">
        <v>669</v>
      </c>
      <c r="D62" s="5" t="s">
        <v>670</v>
      </c>
      <c r="E62" s="32" t="n">
        <v>1</v>
      </c>
      <c r="F62" s="4" t="s">
        <v>82</v>
      </c>
      <c r="G62" s="5" t="s">
        <v>564</v>
      </c>
      <c r="H62" s="4"/>
      <c r="I62" s="32"/>
      <c r="J62" s="32" t="n">
        <f aca="false">E62*I62</f>
        <v>0</v>
      </c>
      <c r="K62" s="4"/>
      <c r="L62" s="32"/>
      <c r="M62" s="32"/>
      <c r="N62" s="32"/>
      <c r="O62" s="32"/>
      <c r="P62" s="4"/>
      <c r="Q62" s="32"/>
      <c r="R62" s="32" t="n">
        <f aca="false">$J62</f>
        <v>0</v>
      </c>
      <c r="S62" s="32" t="n">
        <f aca="false">$J62</f>
        <v>0</v>
      </c>
      <c r="T62" s="32" t="n">
        <f aca="false">$J62</f>
        <v>0</v>
      </c>
      <c r="U62" s="32" t="n">
        <f aca="false">$J62</f>
        <v>0</v>
      </c>
      <c r="V62" s="32" t="n">
        <f aca="false">$J62</f>
        <v>0</v>
      </c>
      <c r="W62" s="32" t="n">
        <f aca="false">$J62</f>
        <v>0</v>
      </c>
      <c r="X62" s="32" t="n">
        <f aca="false">$J62</f>
        <v>0</v>
      </c>
      <c r="Y62" s="32" t="n">
        <f aca="false">$J62</f>
        <v>0</v>
      </c>
      <c r="Z62" s="32" t="n">
        <f aca="false">$J62</f>
        <v>0</v>
      </c>
      <c r="AA62" s="32" t="n">
        <f aca="false">$J62</f>
        <v>0</v>
      </c>
      <c r="AB62" s="5"/>
    </row>
    <row r="63" customFormat="false" ht="15" hidden="false" customHeight="false" outlineLevel="0" collapsed="false">
      <c r="A63" s="4" t="s">
        <v>234</v>
      </c>
      <c r="B63" s="4" t="s">
        <v>671</v>
      </c>
      <c r="C63" s="4" t="s">
        <v>672</v>
      </c>
      <c r="D63" s="5" t="s">
        <v>673</v>
      </c>
      <c r="E63" s="32" t="n">
        <v>1</v>
      </c>
      <c r="F63" s="4" t="s">
        <v>82</v>
      </c>
      <c r="G63" s="5" t="s">
        <v>564</v>
      </c>
      <c r="H63" s="4"/>
      <c r="I63" s="32"/>
      <c r="J63" s="32" t="n">
        <f aca="false">E63*I63</f>
        <v>0</v>
      </c>
      <c r="K63" s="4"/>
      <c r="L63" s="32"/>
      <c r="M63" s="32"/>
      <c r="N63" s="32"/>
      <c r="O63" s="32"/>
      <c r="P63" s="4"/>
      <c r="Q63" s="32"/>
      <c r="R63" s="32" t="n">
        <f aca="false">$J63</f>
        <v>0</v>
      </c>
      <c r="S63" s="32" t="n">
        <f aca="false">$J63</f>
        <v>0</v>
      </c>
      <c r="T63" s="32" t="n">
        <f aca="false">$J63</f>
        <v>0</v>
      </c>
      <c r="U63" s="32" t="n">
        <f aca="false">$J63</f>
        <v>0</v>
      </c>
      <c r="V63" s="32" t="n">
        <f aca="false">$J63</f>
        <v>0</v>
      </c>
      <c r="W63" s="32" t="n">
        <f aca="false">$J63</f>
        <v>0</v>
      </c>
      <c r="X63" s="32" t="n">
        <f aca="false">$J63</f>
        <v>0</v>
      </c>
      <c r="Y63" s="32" t="n">
        <f aca="false">$J63</f>
        <v>0</v>
      </c>
      <c r="Z63" s="32" t="n">
        <f aca="false">$J63</f>
        <v>0</v>
      </c>
      <c r="AA63" s="32" t="n">
        <f aca="false">$J63</f>
        <v>0</v>
      </c>
      <c r="AB63" s="5"/>
    </row>
    <row r="64" customFormat="false" ht="15" hidden="false" customHeight="false" outlineLevel="0" collapsed="false">
      <c r="A64" s="4" t="s">
        <v>234</v>
      </c>
      <c r="B64" s="4" t="s">
        <v>674</v>
      </c>
      <c r="C64" s="4" t="s">
        <v>675</v>
      </c>
      <c r="D64" s="5" t="s">
        <v>567</v>
      </c>
      <c r="E64" s="32" t="n">
        <v>2.55</v>
      </c>
      <c r="F64" s="4" t="s">
        <v>73</v>
      </c>
      <c r="G64" s="5" t="s">
        <v>509</v>
      </c>
      <c r="H64" s="4" t="s">
        <v>568</v>
      </c>
      <c r="I64" s="32" t="n">
        <f aca="false">1+INDEX(P_VAL,MATCH("MERMA_POLVO",P_ID,0))</f>
        <v>1.01</v>
      </c>
      <c r="J64" s="32" t="n">
        <f aca="false">E64*I64</f>
        <v>2.5755</v>
      </c>
      <c r="K64" s="4"/>
      <c r="L64" s="32"/>
      <c r="M64" s="32"/>
      <c r="N64" s="32"/>
      <c r="O64" s="32"/>
      <c r="P64" s="4"/>
      <c r="Q64" s="32"/>
      <c r="R64" s="32" t="n">
        <f aca="false">$J64</f>
        <v>2.5755</v>
      </c>
      <c r="S64" s="32" t="n">
        <f aca="false">$J64</f>
        <v>2.5755</v>
      </c>
      <c r="T64" s="32" t="n">
        <f aca="false">$J64</f>
        <v>2.5755</v>
      </c>
      <c r="U64" s="32" t="n">
        <f aca="false">$J64</f>
        <v>2.5755</v>
      </c>
      <c r="V64" s="32" t="n">
        <f aca="false">$J64</f>
        <v>2.5755</v>
      </c>
      <c r="W64" s="32" t="n">
        <f aca="false">$J64</f>
        <v>2.5755</v>
      </c>
      <c r="X64" s="32" t="n">
        <f aca="false">$J64</f>
        <v>2.5755</v>
      </c>
      <c r="Y64" s="32" t="n">
        <f aca="false">$J64</f>
        <v>2.5755</v>
      </c>
      <c r="Z64" s="32" t="n">
        <f aca="false">$J64</f>
        <v>2.5755</v>
      </c>
      <c r="AA64" s="32" t="n">
        <f aca="false">$J64</f>
        <v>2.5755</v>
      </c>
      <c r="AB64" s="5"/>
    </row>
    <row r="65" customFormat="false" ht="15" hidden="false" customHeight="false" outlineLevel="0" collapsed="false">
      <c r="A65" s="4" t="s">
        <v>234</v>
      </c>
      <c r="B65" s="4" t="s">
        <v>676</v>
      </c>
      <c r="C65" s="4" t="s">
        <v>677</v>
      </c>
      <c r="D65" s="5" t="s">
        <v>571</v>
      </c>
      <c r="E65" s="32" t="n">
        <v>0.0203837224069173</v>
      </c>
      <c r="F65" s="4" t="s">
        <v>73</v>
      </c>
      <c r="G65" s="5" t="s">
        <v>572</v>
      </c>
      <c r="H65" s="4" t="s">
        <v>573</v>
      </c>
      <c r="I65" s="32" t="n">
        <f aca="false">(1+INDEX(P_VAL,MATCH("N2_PERD",P_ID,0)))/INDEX(P_VAL,MATCH("RHO_N2",P_ID,0))</f>
        <v>1.0406660262568</v>
      </c>
      <c r="J65" s="32" t="n">
        <f aca="false">E65*I65</f>
        <v>0.0212126473975284</v>
      </c>
      <c r="K65" s="4"/>
      <c r="L65" s="32"/>
      <c r="M65" s="32"/>
      <c r="N65" s="32"/>
      <c r="O65" s="32"/>
      <c r="P65" s="4"/>
      <c r="Q65" s="32"/>
      <c r="R65" s="32" t="n">
        <f aca="false">$J65</f>
        <v>0.0212126473975284</v>
      </c>
      <c r="S65" s="32" t="n">
        <f aca="false">$J65</f>
        <v>0.0212126473975284</v>
      </c>
      <c r="T65" s="32" t="n">
        <f aca="false">$J65</f>
        <v>0.0212126473975284</v>
      </c>
      <c r="U65" s="32" t="n">
        <f aca="false">$J65</f>
        <v>0.0212126473975284</v>
      </c>
      <c r="V65" s="32" t="n">
        <f aca="false">$J65</f>
        <v>0.0212126473975284</v>
      </c>
      <c r="W65" s="32" t="n">
        <f aca="false">$J65</f>
        <v>0.0212126473975284</v>
      </c>
      <c r="X65" s="32" t="n">
        <f aca="false">$J65</f>
        <v>0.0212126473975284</v>
      </c>
      <c r="Y65" s="32" t="n">
        <f aca="false">$J65</f>
        <v>0.0212126473975284</v>
      </c>
      <c r="Z65" s="32" t="n">
        <f aca="false">$J65</f>
        <v>0.0212126473975284</v>
      </c>
      <c r="AA65" s="32" t="n">
        <f aca="false">$J65</f>
        <v>0.0212126473975284</v>
      </c>
      <c r="AB65" s="5"/>
    </row>
    <row r="66" customFormat="false" ht="15" hidden="false" customHeight="false" outlineLevel="0" collapsed="false">
      <c r="A66" s="4" t="s">
        <v>234</v>
      </c>
      <c r="B66" s="4" t="s">
        <v>678</v>
      </c>
      <c r="C66" s="4" t="s">
        <v>679</v>
      </c>
      <c r="D66" s="5" t="s">
        <v>576</v>
      </c>
      <c r="E66" s="32" t="n">
        <v>1</v>
      </c>
      <c r="F66" s="4" t="s">
        <v>82</v>
      </c>
      <c r="G66" s="5" t="s">
        <v>509</v>
      </c>
      <c r="H66" s="4" t="s">
        <v>680</v>
      </c>
      <c r="I66" s="32" t="n">
        <v>1</v>
      </c>
      <c r="J66" s="32" t="n">
        <f aca="false">E66*I66</f>
        <v>1</v>
      </c>
      <c r="K66" s="4"/>
      <c r="L66" s="32"/>
      <c r="M66" s="32"/>
      <c r="N66" s="32"/>
      <c r="O66" s="32"/>
      <c r="P66" s="4"/>
      <c r="Q66" s="32"/>
      <c r="R66" s="32" t="n">
        <f aca="false">$J66</f>
        <v>1</v>
      </c>
      <c r="S66" s="32" t="n">
        <f aca="false">$J66</f>
        <v>1</v>
      </c>
      <c r="T66" s="32" t="n">
        <f aca="false">$J66</f>
        <v>1</v>
      </c>
      <c r="U66" s="32" t="n">
        <f aca="false">$J66</f>
        <v>1</v>
      </c>
      <c r="V66" s="32" t="n">
        <f aca="false">$J66</f>
        <v>1</v>
      </c>
      <c r="W66" s="32" t="n">
        <f aca="false">$J66</f>
        <v>1</v>
      </c>
      <c r="X66" s="32" t="n">
        <f aca="false">$J66</f>
        <v>1</v>
      </c>
      <c r="Y66" s="32" t="n">
        <f aca="false">$J66</f>
        <v>1</v>
      </c>
      <c r="Z66" s="32" t="n">
        <f aca="false">$J66</f>
        <v>1</v>
      </c>
      <c r="AA66" s="32" t="n">
        <f aca="false">$J66</f>
        <v>1</v>
      </c>
      <c r="AB66" s="5"/>
    </row>
    <row r="67" customFormat="false" ht="15" hidden="false" customHeight="false" outlineLevel="0" collapsed="false">
      <c r="A67" s="4" t="s">
        <v>234</v>
      </c>
      <c r="B67" s="4" t="s">
        <v>681</v>
      </c>
      <c r="C67" s="4" t="s">
        <v>682</v>
      </c>
      <c r="D67" s="5" t="s">
        <v>580</v>
      </c>
      <c r="E67" s="32" t="n">
        <v>1</v>
      </c>
      <c r="F67" s="4" t="s">
        <v>82</v>
      </c>
      <c r="G67" s="5" t="s">
        <v>509</v>
      </c>
      <c r="H67" s="4" t="s">
        <v>581</v>
      </c>
      <c r="I67" s="32" t="n">
        <v>1</v>
      </c>
      <c r="J67" s="32" t="n">
        <f aca="false">E67*I67</f>
        <v>1</v>
      </c>
      <c r="K67" s="4" t="s">
        <v>582</v>
      </c>
      <c r="L67" s="32"/>
      <c r="M67" s="32"/>
      <c r="N67" s="32"/>
      <c r="O67" s="32"/>
      <c r="P67" s="4"/>
      <c r="Q67" s="32"/>
      <c r="R67" s="32" t="n">
        <f aca="false">$J67</f>
        <v>1</v>
      </c>
      <c r="S67" s="32" t="n">
        <f aca="false">$J67</f>
        <v>1</v>
      </c>
      <c r="T67" s="32" t="n">
        <f aca="false">$J67</f>
        <v>1</v>
      </c>
      <c r="U67" s="32" t="n">
        <f aca="false">$J67</f>
        <v>1</v>
      </c>
      <c r="V67" s="32" t="n">
        <f aca="false">$J67</f>
        <v>1</v>
      </c>
      <c r="W67" s="32" t="n">
        <f aca="false">$J67</f>
        <v>1</v>
      </c>
      <c r="X67" s="32" t="n">
        <f aca="false">$J67</f>
        <v>1</v>
      </c>
      <c r="Y67" s="32" t="n">
        <f aca="false">$J67</f>
        <v>1</v>
      </c>
      <c r="Z67" s="32" t="n">
        <f aca="false">$J67</f>
        <v>1</v>
      </c>
      <c r="AA67" s="32" t="n">
        <f aca="false">$J67</f>
        <v>1</v>
      </c>
      <c r="AB67" s="5"/>
    </row>
    <row r="68" customFormat="false" ht="15" hidden="false" customHeight="false" outlineLevel="0" collapsed="false">
      <c r="A68" s="4" t="s">
        <v>234</v>
      </c>
      <c r="B68" s="4" t="s">
        <v>683</v>
      </c>
      <c r="C68" s="4" t="s">
        <v>684</v>
      </c>
      <c r="D68" s="5" t="s">
        <v>585</v>
      </c>
      <c r="E68" s="32" t="n">
        <v>1</v>
      </c>
      <c r="F68" s="4" t="s">
        <v>82</v>
      </c>
      <c r="G68" s="5" t="s">
        <v>509</v>
      </c>
      <c r="H68" s="4" t="s">
        <v>586</v>
      </c>
      <c r="I68" s="32" t="n">
        <v>1</v>
      </c>
      <c r="J68" s="32" t="n">
        <f aca="false">E68*I68</f>
        <v>1</v>
      </c>
      <c r="K68" s="4"/>
      <c r="L68" s="32"/>
      <c r="M68" s="32"/>
      <c r="N68" s="32"/>
      <c r="O68" s="32"/>
      <c r="P68" s="4"/>
      <c r="Q68" s="32"/>
      <c r="R68" s="32" t="n">
        <f aca="false">$J68</f>
        <v>1</v>
      </c>
      <c r="S68" s="32" t="n">
        <f aca="false">$J68</f>
        <v>1</v>
      </c>
      <c r="T68" s="32" t="n">
        <f aca="false">$J68</f>
        <v>1</v>
      </c>
      <c r="U68" s="32" t="n">
        <f aca="false">$J68</f>
        <v>1</v>
      </c>
      <c r="V68" s="32" t="n">
        <f aca="false">$J68</f>
        <v>1</v>
      </c>
      <c r="W68" s="32" t="n">
        <f aca="false">$J68</f>
        <v>1</v>
      </c>
      <c r="X68" s="32" t="n">
        <f aca="false">$J68</f>
        <v>1</v>
      </c>
      <c r="Y68" s="32" t="n">
        <f aca="false">$J68</f>
        <v>1</v>
      </c>
      <c r="Z68" s="32" t="n">
        <f aca="false">$J68</f>
        <v>1</v>
      </c>
      <c r="AA68" s="32" t="n">
        <f aca="false">$J68</f>
        <v>1</v>
      </c>
      <c r="AB68" s="5"/>
    </row>
    <row r="69" customFormat="false" ht="15" hidden="false" customHeight="false" outlineLevel="0" collapsed="false">
      <c r="A69" s="4" t="s">
        <v>234</v>
      </c>
      <c r="B69" s="4" t="s">
        <v>685</v>
      </c>
      <c r="C69" s="4" t="s">
        <v>686</v>
      </c>
      <c r="D69" s="5" t="s">
        <v>687</v>
      </c>
      <c r="E69" s="32" t="n">
        <v>1</v>
      </c>
      <c r="F69" s="4" t="s">
        <v>82</v>
      </c>
      <c r="G69" s="5" t="s">
        <v>509</v>
      </c>
      <c r="H69" s="4" t="s">
        <v>688</v>
      </c>
      <c r="I69" s="32" t="n">
        <v>1</v>
      </c>
      <c r="J69" s="32" t="n">
        <f aca="false">E69*I69</f>
        <v>1</v>
      </c>
      <c r="K69" s="4" t="s">
        <v>689</v>
      </c>
      <c r="L69" s="32"/>
      <c r="M69" s="32"/>
      <c r="N69" s="32"/>
      <c r="O69" s="32"/>
      <c r="P69" s="4"/>
      <c r="Q69" s="32"/>
      <c r="R69" s="32" t="n">
        <f aca="false">$J69</f>
        <v>1</v>
      </c>
      <c r="S69" s="32" t="n">
        <f aca="false">$J69</f>
        <v>1</v>
      </c>
      <c r="T69" s="32" t="n">
        <f aca="false">$J69</f>
        <v>1</v>
      </c>
      <c r="U69" s="32" t="n">
        <f aca="false">$J69</f>
        <v>1</v>
      </c>
      <c r="V69" s="32" t="n">
        <f aca="false">$J69</f>
        <v>1</v>
      </c>
      <c r="W69" s="32" t="n">
        <f aca="false">$J69</f>
        <v>1</v>
      </c>
      <c r="X69" s="32" t="n">
        <f aca="false">$J69</f>
        <v>1</v>
      </c>
      <c r="Y69" s="32" t="n">
        <f aca="false">$J69</f>
        <v>1</v>
      </c>
      <c r="Z69" s="32" t="n">
        <f aca="false">$J69</f>
        <v>1</v>
      </c>
      <c r="AA69" s="32" t="n">
        <f aca="false">$J69</f>
        <v>1</v>
      </c>
      <c r="AB69" s="5"/>
    </row>
    <row r="70" customFormat="false" ht="15" hidden="false" customHeight="false" outlineLevel="0" collapsed="false">
      <c r="A70" s="4" t="s">
        <v>234</v>
      </c>
      <c r="B70" s="4" t="s">
        <v>690</v>
      </c>
      <c r="C70" s="4" t="s">
        <v>691</v>
      </c>
      <c r="D70" s="5" t="s">
        <v>589</v>
      </c>
      <c r="E70" s="32" t="n">
        <v>1</v>
      </c>
      <c r="F70" s="4" t="s">
        <v>82</v>
      </c>
      <c r="G70" s="5" t="s">
        <v>509</v>
      </c>
      <c r="H70" s="4" t="s">
        <v>590</v>
      </c>
      <c r="I70" s="32" t="n">
        <v>1</v>
      </c>
      <c r="J70" s="32" t="n">
        <f aca="false">E70*I70</f>
        <v>1</v>
      </c>
      <c r="K70" s="4"/>
      <c r="L70" s="32"/>
      <c r="M70" s="32"/>
      <c r="N70" s="32"/>
      <c r="O70" s="32"/>
      <c r="P70" s="4"/>
      <c r="Q70" s="32"/>
      <c r="R70" s="32" t="n">
        <f aca="false">$J70</f>
        <v>1</v>
      </c>
      <c r="S70" s="32" t="n">
        <f aca="false">$J70</f>
        <v>1</v>
      </c>
      <c r="T70" s="32" t="n">
        <f aca="false">$J70</f>
        <v>1</v>
      </c>
      <c r="U70" s="32" t="n">
        <f aca="false">$J70</f>
        <v>1</v>
      </c>
      <c r="V70" s="32" t="n">
        <f aca="false">$J70</f>
        <v>1</v>
      </c>
      <c r="W70" s="32" t="n">
        <f aca="false">$J70</f>
        <v>1</v>
      </c>
      <c r="X70" s="32" t="n">
        <f aca="false">$J70</f>
        <v>1</v>
      </c>
      <c r="Y70" s="32" t="n">
        <f aca="false">$J70</f>
        <v>1</v>
      </c>
      <c r="Z70" s="32" t="n">
        <f aca="false">$J70</f>
        <v>1</v>
      </c>
      <c r="AA70" s="32" t="n">
        <f aca="false">$J70</f>
        <v>1</v>
      </c>
      <c r="AB70" s="5"/>
    </row>
    <row r="71" customFormat="false" ht="15" hidden="false" customHeight="false" outlineLevel="0" collapsed="false">
      <c r="A71" s="4" t="s">
        <v>234</v>
      </c>
      <c r="B71" s="4" t="s">
        <v>692</v>
      </c>
      <c r="C71" s="4" t="s">
        <v>693</v>
      </c>
      <c r="D71" s="5" t="s">
        <v>593</v>
      </c>
      <c r="E71" s="32" t="n">
        <v>1</v>
      </c>
      <c r="F71" s="4" t="s">
        <v>82</v>
      </c>
      <c r="G71" s="5" t="s">
        <v>509</v>
      </c>
      <c r="H71" s="4" t="s">
        <v>594</v>
      </c>
      <c r="I71" s="32" t="n">
        <v>1</v>
      </c>
      <c r="J71" s="32" t="n">
        <f aca="false">E71*I71</f>
        <v>1</v>
      </c>
      <c r="K71" s="4"/>
      <c r="L71" s="32"/>
      <c r="M71" s="32"/>
      <c r="N71" s="32"/>
      <c r="O71" s="32"/>
      <c r="P71" s="4"/>
      <c r="Q71" s="32"/>
      <c r="R71" s="32" t="n">
        <f aca="false">$J71</f>
        <v>1</v>
      </c>
      <c r="S71" s="32" t="n">
        <f aca="false">$J71</f>
        <v>1</v>
      </c>
      <c r="T71" s="32" t="n">
        <f aca="false">$J71</f>
        <v>1</v>
      </c>
      <c r="U71" s="32" t="n">
        <f aca="false">$J71</f>
        <v>1</v>
      </c>
      <c r="V71" s="32" t="n">
        <f aca="false">$J71</f>
        <v>1</v>
      </c>
      <c r="W71" s="32" t="n">
        <f aca="false">$J71</f>
        <v>1</v>
      </c>
      <c r="X71" s="32" t="n">
        <f aca="false">$J71</f>
        <v>1</v>
      </c>
      <c r="Y71" s="32" t="n">
        <f aca="false">$J71</f>
        <v>1</v>
      </c>
      <c r="Z71" s="32" t="n">
        <f aca="false">$J71</f>
        <v>1</v>
      </c>
      <c r="AA71" s="32" t="n">
        <f aca="false">$J71</f>
        <v>1</v>
      </c>
      <c r="AB71" s="5"/>
    </row>
    <row r="72" customFormat="false" ht="15" hidden="false" customHeight="false" outlineLevel="0" collapsed="false">
      <c r="A72" s="4" t="s">
        <v>234</v>
      </c>
      <c r="B72" s="4" t="s">
        <v>694</v>
      </c>
      <c r="C72" s="4" t="s">
        <v>695</v>
      </c>
      <c r="D72" s="5" t="s">
        <v>597</v>
      </c>
      <c r="E72" s="32" t="n">
        <v>1</v>
      </c>
      <c r="F72" s="4" t="s">
        <v>82</v>
      </c>
      <c r="G72" s="5" t="s">
        <v>509</v>
      </c>
      <c r="H72" s="4" t="s">
        <v>598</v>
      </c>
      <c r="I72" s="32" t="n">
        <v>1</v>
      </c>
      <c r="J72" s="32" t="n">
        <f aca="false">E72*I72</f>
        <v>1</v>
      </c>
      <c r="K72" s="4"/>
      <c r="L72" s="32"/>
      <c r="M72" s="32"/>
      <c r="N72" s="32"/>
      <c r="O72" s="32"/>
      <c r="P72" s="4"/>
      <c r="Q72" s="32"/>
      <c r="R72" s="32" t="n">
        <f aca="false">$J72</f>
        <v>1</v>
      </c>
      <c r="S72" s="32" t="n">
        <f aca="false">$J72</f>
        <v>1</v>
      </c>
      <c r="T72" s="32" t="n">
        <f aca="false">$J72</f>
        <v>1</v>
      </c>
      <c r="U72" s="32" t="n">
        <f aca="false">$J72</f>
        <v>1</v>
      </c>
      <c r="V72" s="32" t="n">
        <f aca="false">$J72</f>
        <v>1</v>
      </c>
      <c r="W72" s="32" t="n">
        <f aca="false">$J72</f>
        <v>1</v>
      </c>
      <c r="X72" s="32" t="n">
        <f aca="false">$J72</f>
        <v>1</v>
      </c>
      <c r="Y72" s="32" t="n">
        <f aca="false">$J72</f>
        <v>1</v>
      </c>
      <c r="Z72" s="32" t="n">
        <f aca="false">$J72</f>
        <v>1</v>
      </c>
      <c r="AA72" s="32" t="n">
        <f aca="false">$J72</f>
        <v>1</v>
      </c>
      <c r="AB72" s="5"/>
    </row>
    <row r="73" customFormat="false" ht="15" hidden="false" customHeight="false" outlineLevel="0" collapsed="false">
      <c r="A73" s="4" t="s">
        <v>234</v>
      </c>
      <c r="B73" s="4" t="s">
        <v>696</v>
      </c>
      <c r="C73" s="4" t="s">
        <v>697</v>
      </c>
      <c r="D73" s="5" t="s">
        <v>698</v>
      </c>
      <c r="E73" s="32" t="n">
        <v>1</v>
      </c>
      <c r="F73" s="4" t="s">
        <v>82</v>
      </c>
      <c r="G73" s="5" t="s">
        <v>509</v>
      </c>
      <c r="H73" s="4" t="s">
        <v>699</v>
      </c>
      <c r="I73" s="32" t="n">
        <v>1</v>
      </c>
      <c r="J73" s="32" t="n">
        <f aca="false">E73*I73</f>
        <v>1</v>
      </c>
      <c r="K73" s="4"/>
      <c r="L73" s="32"/>
      <c r="M73" s="32"/>
      <c r="N73" s="32"/>
      <c r="O73" s="32"/>
      <c r="P73" s="4"/>
      <c r="Q73" s="32"/>
      <c r="R73" s="32" t="n">
        <f aca="false">$J73</f>
        <v>1</v>
      </c>
      <c r="S73" s="32" t="n">
        <f aca="false">$J73</f>
        <v>1</v>
      </c>
      <c r="T73" s="32" t="n">
        <f aca="false">$J73</f>
        <v>1</v>
      </c>
      <c r="U73" s="32" t="n">
        <f aca="false">$J73</f>
        <v>1</v>
      </c>
      <c r="V73" s="32" t="n">
        <f aca="false">$J73</f>
        <v>1</v>
      </c>
      <c r="W73" s="32" t="n">
        <f aca="false">$J73</f>
        <v>1</v>
      </c>
      <c r="X73" s="32" t="n">
        <f aca="false">$J73</f>
        <v>1</v>
      </c>
      <c r="Y73" s="32" t="n">
        <f aca="false">$J73</f>
        <v>1</v>
      </c>
      <c r="Z73" s="32" t="n">
        <f aca="false">$J73</f>
        <v>1</v>
      </c>
      <c r="AA73" s="32" t="n">
        <f aca="false">$J73</f>
        <v>1</v>
      </c>
      <c r="AB73" s="5"/>
    </row>
    <row r="74" customFormat="false" ht="15" hidden="false" customHeight="false" outlineLevel="0" collapsed="false">
      <c r="A74" s="4" t="s">
        <v>234</v>
      </c>
      <c r="B74" s="4" t="s">
        <v>700</v>
      </c>
      <c r="C74" s="4" t="s">
        <v>701</v>
      </c>
      <c r="D74" s="5" t="s">
        <v>702</v>
      </c>
      <c r="E74" s="32" t="n">
        <v>2</v>
      </c>
      <c r="F74" s="4" t="s">
        <v>82</v>
      </c>
      <c r="G74" s="5" t="s">
        <v>509</v>
      </c>
      <c r="H74" s="4" t="s">
        <v>703</v>
      </c>
      <c r="I74" s="32" t="n">
        <v>1</v>
      </c>
      <c r="J74" s="32" t="n">
        <f aca="false">E74*I74</f>
        <v>2</v>
      </c>
      <c r="K74" s="4"/>
      <c r="L74" s="32"/>
      <c r="M74" s="32"/>
      <c r="N74" s="32"/>
      <c r="O74" s="32"/>
      <c r="P74" s="4"/>
      <c r="Q74" s="32"/>
      <c r="R74" s="32" t="n">
        <f aca="false">$J74</f>
        <v>2</v>
      </c>
      <c r="S74" s="32" t="n">
        <f aca="false">$J74</f>
        <v>2</v>
      </c>
      <c r="T74" s="32" t="n">
        <f aca="false">$J74</f>
        <v>2</v>
      </c>
      <c r="U74" s="32" t="n">
        <f aca="false">$J74</f>
        <v>2</v>
      </c>
      <c r="V74" s="32" t="n">
        <f aca="false">$J74</f>
        <v>2</v>
      </c>
      <c r="W74" s="32" t="n">
        <f aca="false">$J74</f>
        <v>2</v>
      </c>
      <c r="X74" s="32" t="n">
        <f aca="false">$J74</f>
        <v>2</v>
      </c>
      <c r="Y74" s="32" t="n">
        <f aca="false">$J74</f>
        <v>2</v>
      </c>
      <c r="Z74" s="32" t="n">
        <f aca="false">$J74</f>
        <v>2</v>
      </c>
      <c r="AA74" s="32" t="n">
        <f aca="false">$J74</f>
        <v>2</v>
      </c>
      <c r="AB74" s="5"/>
    </row>
    <row r="75" customFormat="false" ht="15" hidden="false" customHeight="false" outlineLevel="0" collapsed="false">
      <c r="A75" s="4" t="s">
        <v>261</v>
      </c>
      <c r="B75" s="4" t="s">
        <v>615</v>
      </c>
      <c r="C75" s="4" t="s">
        <v>704</v>
      </c>
      <c r="D75" s="5" t="s">
        <v>490</v>
      </c>
      <c r="E75" s="32" t="n">
        <v>1</v>
      </c>
      <c r="F75" s="4" t="s">
        <v>82</v>
      </c>
      <c r="G75" s="5" t="s">
        <v>491</v>
      </c>
      <c r="H75" s="4" t="s">
        <v>617</v>
      </c>
      <c r="I75" s="32" t="n">
        <f aca="false">FAB_COMPRA!K8</f>
        <v>0.037037037037037</v>
      </c>
      <c r="J75" s="32" t="n">
        <f aca="false">E75*I75</f>
        <v>0.037037037037037</v>
      </c>
      <c r="K75" s="4"/>
      <c r="L75" s="32"/>
      <c r="M75" s="32"/>
      <c r="N75" s="32"/>
      <c r="O75" s="32"/>
      <c r="P75" s="4"/>
      <c r="Q75" s="32"/>
      <c r="R75" s="32" t="n">
        <f aca="false">$J75</f>
        <v>0.037037037037037</v>
      </c>
      <c r="S75" s="32" t="n">
        <f aca="false">$J75</f>
        <v>0.037037037037037</v>
      </c>
      <c r="T75" s="32" t="n">
        <f aca="false">$J75</f>
        <v>0.037037037037037</v>
      </c>
      <c r="U75" s="32" t="n">
        <f aca="false">$J75</f>
        <v>0.037037037037037</v>
      </c>
      <c r="V75" s="32" t="n">
        <f aca="false">$J75</f>
        <v>0.037037037037037</v>
      </c>
      <c r="W75" s="32" t="n">
        <f aca="false">$J75</f>
        <v>0.037037037037037</v>
      </c>
      <c r="X75" s="32" t="n">
        <f aca="false">$J75</f>
        <v>0.037037037037037</v>
      </c>
      <c r="Y75" s="32" t="n">
        <f aca="false">$J75</f>
        <v>0.037037037037037</v>
      </c>
      <c r="Z75" s="32" t="n">
        <f aca="false">$J75</f>
        <v>0.037037037037037</v>
      </c>
      <c r="AA75" s="32" t="n">
        <f aca="false">$J75</f>
        <v>0.037037037037037</v>
      </c>
      <c r="AB75" s="5" t="s">
        <v>493</v>
      </c>
    </row>
    <row r="76" customFormat="false" ht="15" hidden="false" customHeight="false" outlineLevel="0" collapsed="false">
      <c r="A76" s="4" t="s">
        <v>261</v>
      </c>
      <c r="B76" s="4" t="s">
        <v>618</v>
      </c>
      <c r="C76" s="4" t="s">
        <v>705</v>
      </c>
      <c r="D76" s="5" t="s">
        <v>496</v>
      </c>
      <c r="E76" s="32" t="n">
        <v>1</v>
      </c>
      <c r="F76" s="4" t="s">
        <v>82</v>
      </c>
      <c r="G76" s="5" t="s">
        <v>491</v>
      </c>
      <c r="H76" s="4" t="s">
        <v>620</v>
      </c>
      <c r="I76" s="32" t="n">
        <f aca="false">FAB_COMPRA!K9</f>
        <v>0.353740625</v>
      </c>
      <c r="J76" s="32" t="n">
        <f aca="false">E76*I76</f>
        <v>0.353740625</v>
      </c>
      <c r="K76" s="4"/>
      <c r="L76" s="32"/>
      <c r="M76" s="32"/>
      <c r="N76" s="32"/>
      <c r="O76" s="32"/>
      <c r="P76" s="4"/>
      <c r="Q76" s="32"/>
      <c r="R76" s="32" t="n">
        <f aca="false">$J76</f>
        <v>0.353740625</v>
      </c>
      <c r="S76" s="32" t="n">
        <f aca="false">$J76</f>
        <v>0.353740625</v>
      </c>
      <c r="T76" s="32" t="n">
        <f aca="false">$J76</f>
        <v>0.353740625</v>
      </c>
      <c r="U76" s="32" t="n">
        <f aca="false">$J76</f>
        <v>0.353740625</v>
      </c>
      <c r="V76" s="32" t="n">
        <f aca="false">$J76</f>
        <v>0.353740625</v>
      </c>
      <c r="W76" s="32" t="n">
        <f aca="false">$J76</f>
        <v>0.353740625</v>
      </c>
      <c r="X76" s="32" t="n">
        <f aca="false">$J76</f>
        <v>0.353740625</v>
      </c>
      <c r="Y76" s="32" t="n">
        <f aca="false">$J76</f>
        <v>0.353740625</v>
      </c>
      <c r="Z76" s="32" t="n">
        <f aca="false">$J76</f>
        <v>0.353740625</v>
      </c>
      <c r="AA76" s="32" t="n">
        <f aca="false">$J76</f>
        <v>0.353740625</v>
      </c>
      <c r="AB76" s="5" t="s">
        <v>493</v>
      </c>
    </row>
    <row r="77" customFormat="false" ht="15" hidden="false" customHeight="false" outlineLevel="0" collapsed="false">
      <c r="A77" s="4" t="s">
        <v>261</v>
      </c>
      <c r="B77" s="4" t="s">
        <v>621</v>
      </c>
      <c r="C77" s="4" t="s">
        <v>706</v>
      </c>
      <c r="D77" s="5" t="s">
        <v>500</v>
      </c>
      <c r="E77" s="32" t="n">
        <v>1</v>
      </c>
      <c r="F77" s="4" t="s">
        <v>82</v>
      </c>
      <c r="G77" s="5" t="s">
        <v>491</v>
      </c>
      <c r="H77" s="4" t="s">
        <v>620</v>
      </c>
      <c r="I77" s="32" t="n">
        <f aca="false">FAB_COMPRA!K10</f>
        <v>0.292903125</v>
      </c>
      <c r="J77" s="32" t="n">
        <f aca="false">E77*I77</f>
        <v>0.292903125</v>
      </c>
      <c r="K77" s="4"/>
      <c r="L77" s="32"/>
      <c r="M77" s="32"/>
      <c r="N77" s="32"/>
      <c r="O77" s="32"/>
      <c r="P77" s="4"/>
      <c r="Q77" s="32"/>
      <c r="R77" s="32" t="n">
        <f aca="false">$J77</f>
        <v>0.292903125</v>
      </c>
      <c r="S77" s="32" t="n">
        <f aca="false">$J77</f>
        <v>0.292903125</v>
      </c>
      <c r="T77" s="32" t="n">
        <f aca="false">$J77</f>
        <v>0.292903125</v>
      </c>
      <c r="U77" s="32" t="n">
        <f aca="false">$J77</f>
        <v>0.292903125</v>
      </c>
      <c r="V77" s="32" t="n">
        <f aca="false">$J77</f>
        <v>0.292903125</v>
      </c>
      <c r="W77" s="32" t="n">
        <f aca="false">$J77</f>
        <v>0.292903125</v>
      </c>
      <c r="X77" s="32" t="n">
        <f aca="false">$J77</f>
        <v>0.292903125</v>
      </c>
      <c r="Y77" s="32" t="n">
        <f aca="false">$J77</f>
        <v>0.292903125</v>
      </c>
      <c r="Z77" s="32" t="n">
        <f aca="false">$J77</f>
        <v>0.292903125</v>
      </c>
      <c r="AA77" s="32" t="n">
        <f aca="false">$J77</f>
        <v>0.292903125</v>
      </c>
      <c r="AB77" s="5" t="s">
        <v>493</v>
      </c>
    </row>
    <row r="78" customFormat="false" ht="15" hidden="false" customHeight="false" outlineLevel="0" collapsed="false">
      <c r="A78" s="4" t="s">
        <v>261</v>
      </c>
      <c r="B78" s="4" t="s">
        <v>623</v>
      </c>
      <c r="C78" s="4" t="s">
        <v>707</v>
      </c>
      <c r="D78" s="5" t="s">
        <v>504</v>
      </c>
      <c r="E78" s="32" t="n">
        <v>1</v>
      </c>
      <c r="F78" s="4" t="s">
        <v>82</v>
      </c>
      <c r="G78" s="5" t="s">
        <v>491</v>
      </c>
      <c r="H78" s="4" t="s">
        <v>625</v>
      </c>
      <c r="I78" s="32" t="n">
        <f aca="false">FAB_COMPRA!K11</f>
        <v>1</v>
      </c>
      <c r="J78" s="32" t="n">
        <f aca="false">E78*I78</f>
        <v>1</v>
      </c>
      <c r="K78" s="4"/>
      <c r="L78" s="32"/>
      <c r="M78" s="32"/>
      <c r="N78" s="32"/>
      <c r="O78" s="32"/>
      <c r="P78" s="4"/>
      <c r="Q78" s="32"/>
      <c r="R78" s="32" t="n">
        <f aca="false">$J78</f>
        <v>1</v>
      </c>
      <c r="S78" s="32" t="n">
        <f aca="false">$J78</f>
        <v>1</v>
      </c>
      <c r="T78" s="32" t="n">
        <f aca="false">$J78</f>
        <v>1</v>
      </c>
      <c r="U78" s="32" t="n">
        <f aca="false">$J78</f>
        <v>1</v>
      </c>
      <c r="V78" s="32" t="n">
        <f aca="false">$J78</f>
        <v>1</v>
      </c>
      <c r="W78" s="32" t="n">
        <f aca="false">$J78</f>
        <v>1</v>
      </c>
      <c r="X78" s="32" t="n">
        <f aca="false">$J78</f>
        <v>1</v>
      </c>
      <c r="Y78" s="32" t="n">
        <f aca="false">$J78</f>
        <v>1</v>
      </c>
      <c r="Z78" s="32" t="n">
        <f aca="false">$J78</f>
        <v>1</v>
      </c>
      <c r="AA78" s="32" t="n">
        <f aca="false">$J78</f>
        <v>1</v>
      </c>
      <c r="AB78" s="5" t="s">
        <v>493</v>
      </c>
    </row>
    <row r="79" customFormat="false" ht="15" hidden="false" customHeight="false" outlineLevel="0" collapsed="false">
      <c r="A79" s="4" t="s">
        <v>261</v>
      </c>
      <c r="B79" s="4" t="s">
        <v>708</v>
      </c>
      <c r="C79" s="4" t="s">
        <v>709</v>
      </c>
      <c r="D79" s="5" t="s">
        <v>609</v>
      </c>
      <c r="E79" s="32" t="n">
        <v>1</v>
      </c>
      <c r="F79" s="4" t="s">
        <v>82</v>
      </c>
      <c r="G79" s="5" t="s">
        <v>509</v>
      </c>
      <c r="H79" s="4" t="s">
        <v>710</v>
      </c>
      <c r="I79" s="32" t="n">
        <v>1</v>
      </c>
      <c r="J79" s="32" t="n">
        <f aca="false">E79*I79</f>
        <v>1</v>
      </c>
      <c r="K79" s="4"/>
      <c r="L79" s="32"/>
      <c r="M79" s="32"/>
      <c r="N79" s="32"/>
      <c r="O79" s="32"/>
      <c r="P79" s="4"/>
      <c r="Q79" s="32"/>
      <c r="R79" s="32" t="n">
        <f aca="false">$J79</f>
        <v>1</v>
      </c>
      <c r="S79" s="32" t="n">
        <f aca="false">$J79</f>
        <v>1</v>
      </c>
      <c r="T79" s="32" t="n">
        <f aca="false">$J79</f>
        <v>1</v>
      </c>
      <c r="U79" s="32" t="n">
        <f aca="false">$J79</f>
        <v>1</v>
      </c>
      <c r="V79" s="32" t="n">
        <f aca="false">$J79</f>
        <v>1</v>
      </c>
      <c r="W79" s="32" t="n">
        <f aca="false">$J79</f>
        <v>1</v>
      </c>
      <c r="X79" s="32" t="n">
        <f aca="false">$J79</f>
        <v>1</v>
      </c>
      <c r="Y79" s="32" t="n">
        <f aca="false">$J79</f>
        <v>1</v>
      </c>
      <c r="Z79" s="32" t="n">
        <f aca="false">$J79</f>
        <v>1</v>
      </c>
      <c r="AA79" s="32" t="n">
        <f aca="false">$J79</f>
        <v>1</v>
      </c>
      <c r="AB79" s="5"/>
    </row>
    <row r="80" customFormat="false" ht="15" hidden="false" customHeight="false" outlineLevel="0" collapsed="false">
      <c r="A80" s="4" t="s">
        <v>261</v>
      </c>
      <c r="B80" s="4" t="s">
        <v>711</v>
      </c>
      <c r="C80" s="4" t="s">
        <v>712</v>
      </c>
      <c r="D80" s="5" t="s">
        <v>613</v>
      </c>
      <c r="E80" s="32" t="n">
        <v>1</v>
      </c>
      <c r="F80" s="4" t="s">
        <v>82</v>
      </c>
      <c r="G80" s="5" t="s">
        <v>509</v>
      </c>
      <c r="H80" s="4" t="s">
        <v>614</v>
      </c>
      <c r="I80" s="32" t="n">
        <v>1</v>
      </c>
      <c r="J80" s="32" t="n">
        <f aca="false">E80*I80</f>
        <v>1</v>
      </c>
      <c r="K80" s="4"/>
      <c r="L80" s="32"/>
      <c r="M80" s="32"/>
      <c r="N80" s="32"/>
      <c r="O80" s="32"/>
      <c r="P80" s="4"/>
      <c r="Q80" s="32"/>
      <c r="R80" s="32" t="n">
        <f aca="false">$J80</f>
        <v>1</v>
      </c>
      <c r="S80" s="32" t="n">
        <f aca="false">$J80</f>
        <v>1</v>
      </c>
      <c r="T80" s="32" t="n">
        <f aca="false">$J80</f>
        <v>1</v>
      </c>
      <c r="U80" s="32" t="n">
        <f aca="false">$J80</f>
        <v>1</v>
      </c>
      <c r="V80" s="32" t="n">
        <f aca="false">$J80</f>
        <v>1</v>
      </c>
      <c r="W80" s="32" t="n">
        <f aca="false">$J80</f>
        <v>1</v>
      </c>
      <c r="X80" s="32" t="n">
        <f aca="false">$J80</f>
        <v>1</v>
      </c>
      <c r="Y80" s="32" t="n">
        <f aca="false">$J80</f>
        <v>1</v>
      </c>
      <c r="Z80" s="32" t="n">
        <f aca="false">$J80</f>
        <v>1</v>
      </c>
      <c r="AA80" s="32" t="n">
        <f aca="false">$J80</f>
        <v>1</v>
      </c>
      <c r="AB80" s="5"/>
    </row>
    <row r="81" customFormat="false" ht="15" hidden="false" customHeight="false" outlineLevel="0" collapsed="false">
      <c r="A81" s="4" t="s">
        <v>238</v>
      </c>
      <c r="B81" s="4" t="s">
        <v>713</v>
      </c>
      <c r="C81" s="4" t="s">
        <v>714</v>
      </c>
      <c r="D81" s="5" t="s">
        <v>490</v>
      </c>
      <c r="E81" s="32" t="n">
        <v>1</v>
      </c>
      <c r="F81" s="4" t="s">
        <v>82</v>
      </c>
      <c r="G81" s="5" t="s">
        <v>491</v>
      </c>
      <c r="H81" s="4" t="s">
        <v>715</v>
      </c>
      <c r="I81" s="32" t="n">
        <f aca="false">FAB_COMPRA!K12</f>
        <v>0.0833333333333333</v>
      </c>
      <c r="J81" s="32" t="n">
        <f aca="false">E81*I81</f>
        <v>0.0833333333333333</v>
      </c>
      <c r="K81" s="4"/>
      <c r="L81" s="32"/>
      <c r="M81" s="32"/>
      <c r="N81" s="32"/>
      <c r="O81" s="32"/>
      <c r="P81" s="4"/>
      <c r="Q81" s="32"/>
      <c r="R81" s="32" t="n">
        <f aca="false">$J81</f>
        <v>0.0833333333333333</v>
      </c>
      <c r="S81" s="32" t="n">
        <f aca="false">$J81</f>
        <v>0.0833333333333333</v>
      </c>
      <c r="T81" s="32" t="n">
        <f aca="false">$J81</f>
        <v>0.0833333333333333</v>
      </c>
      <c r="U81" s="32" t="n">
        <f aca="false">$J81</f>
        <v>0.0833333333333333</v>
      </c>
      <c r="V81" s="32" t="n">
        <f aca="false">$J81</f>
        <v>0.0833333333333333</v>
      </c>
      <c r="W81" s="32" t="n">
        <f aca="false">$J81</f>
        <v>0.0833333333333333</v>
      </c>
      <c r="X81" s="32" t="n">
        <f aca="false">$J81</f>
        <v>0.0833333333333333</v>
      </c>
      <c r="Y81" s="32" t="n">
        <f aca="false">$J81</f>
        <v>0.0833333333333333</v>
      </c>
      <c r="Z81" s="32" t="n">
        <f aca="false">$J81</f>
        <v>0.0833333333333333</v>
      </c>
      <c r="AA81" s="32" t="n">
        <f aca="false">$J81</f>
        <v>0.0833333333333333</v>
      </c>
      <c r="AB81" s="5" t="s">
        <v>493</v>
      </c>
    </row>
    <row r="82" customFormat="false" ht="15" hidden="false" customHeight="false" outlineLevel="0" collapsed="false">
      <c r="A82" s="4" t="s">
        <v>238</v>
      </c>
      <c r="B82" s="4" t="s">
        <v>716</v>
      </c>
      <c r="C82" s="4" t="s">
        <v>717</v>
      </c>
      <c r="D82" s="5" t="s">
        <v>496</v>
      </c>
      <c r="E82" s="32" t="n">
        <v>1</v>
      </c>
      <c r="F82" s="4" t="s">
        <v>82</v>
      </c>
      <c r="G82" s="5" t="s">
        <v>491</v>
      </c>
      <c r="H82" s="4" t="s">
        <v>718</v>
      </c>
      <c r="I82" s="32" t="n">
        <f aca="false">FAB_COMPRA!K13</f>
        <v>0.698964</v>
      </c>
      <c r="J82" s="32" t="n">
        <f aca="false">E82*I82</f>
        <v>0.698964</v>
      </c>
      <c r="K82" s="4"/>
      <c r="L82" s="32"/>
      <c r="M82" s="32"/>
      <c r="N82" s="32"/>
      <c r="O82" s="32"/>
      <c r="P82" s="4"/>
      <c r="Q82" s="32"/>
      <c r="R82" s="32" t="n">
        <f aca="false">$J82</f>
        <v>0.698964</v>
      </c>
      <c r="S82" s="32" t="n">
        <f aca="false">$J82</f>
        <v>0.698964</v>
      </c>
      <c r="T82" s="32" t="n">
        <f aca="false">$J82</f>
        <v>0.698964</v>
      </c>
      <c r="U82" s="32" t="n">
        <f aca="false">$J82</f>
        <v>0.698964</v>
      </c>
      <c r="V82" s="32" t="n">
        <f aca="false">$J82</f>
        <v>0.698964</v>
      </c>
      <c r="W82" s="32" t="n">
        <f aca="false">$J82</f>
        <v>0.698964</v>
      </c>
      <c r="X82" s="32" t="n">
        <f aca="false">$J82</f>
        <v>0.698964</v>
      </c>
      <c r="Y82" s="32" t="n">
        <f aca="false">$J82</f>
        <v>0.698964</v>
      </c>
      <c r="Z82" s="32" t="n">
        <f aca="false">$J82</f>
        <v>0.698964</v>
      </c>
      <c r="AA82" s="32" t="n">
        <f aca="false">$J82</f>
        <v>0.698964</v>
      </c>
      <c r="AB82" s="5" t="s">
        <v>493</v>
      </c>
    </row>
    <row r="83" customFormat="false" ht="15" hidden="false" customHeight="false" outlineLevel="0" collapsed="false">
      <c r="A83" s="4" t="s">
        <v>238</v>
      </c>
      <c r="B83" s="4" t="s">
        <v>719</v>
      </c>
      <c r="C83" s="4" t="s">
        <v>720</v>
      </c>
      <c r="D83" s="5" t="s">
        <v>500</v>
      </c>
      <c r="E83" s="32" t="n">
        <v>1</v>
      </c>
      <c r="F83" s="4" t="s">
        <v>82</v>
      </c>
      <c r="G83" s="5" t="s">
        <v>491</v>
      </c>
      <c r="H83" s="4" t="s">
        <v>721</v>
      </c>
      <c r="I83" s="32" t="n">
        <f aca="false">FAB_COMPRA!K14</f>
        <v>0.4486432</v>
      </c>
      <c r="J83" s="32" t="n">
        <f aca="false">E83*I83</f>
        <v>0.4486432</v>
      </c>
      <c r="K83" s="4"/>
      <c r="L83" s="32"/>
      <c r="M83" s="32"/>
      <c r="N83" s="32"/>
      <c r="O83" s="32"/>
      <c r="P83" s="4"/>
      <c r="Q83" s="32"/>
      <c r="R83" s="32" t="n">
        <f aca="false">$J83</f>
        <v>0.4486432</v>
      </c>
      <c r="S83" s="32" t="n">
        <f aca="false">$J83</f>
        <v>0.4486432</v>
      </c>
      <c r="T83" s="32" t="n">
        <f aca="false">$J83</f>
        <v>0.4486432</v>
      </c>
      <c r="U83" s="32" t="n">
        <f aca="false">$J83</f>
        <v>0.4486432</v>
      </c>
      <c r="V83" s="32" t="n">
        <f aca="false">$J83</f>
        <v>0.4486432</v>
      </c>
      <c r="W83" s="32" t="n">
        <f aca="false">$J83</f>
        <v>0.4486432</v>
      </c>
      <c r="X83" s="32" t="n">
        <f aca="false">$J83</f>
        <v>0.4486432</v>
      </c>
      <c r="Y83" s="32" t="n">
        <f aca="false">$J83</f>
        <v>0.4486432</v>
      </c>
      <c r="Z83" s="32" t="n">
        <f aca="false">$J83</f>
        <v>0.4486432</v>
      </c>
      <c r="AA83" s="32" t="n">
        <f aca="false">$J83</f>
        <v>0.4486432</v>
      </c>
      <c r="AB83" s="5" t="s">
        <v>493</v>
      </c>
    </row>
    <row r="84" customFormat="false" ht="15" hidden="false" customHeight="false" outlineLevel="0" collapsed="false">
      <c r="A84" s="4" t="s">
        <v>238</v>
      </c>
      <c r="B84" s="4" t="s">
        <v>722</v>
      </c>
      <c r="C84" s="4" t="s">
        <v>723</v>
      </c>
      <c r="D84" s="5" t="s">
        <v>504</v>
      </c>
      <c r="E84" s="32" t="n">
        <v>1</v>
      </c>
      <c r="F84" s="4" t="s">
        <v>82</v>
      </c>
      <c r="G84" s="5" t="s">
        <v>491</v>
      </c>
      <c r="H84" s="4" t="s">
        <v>625</v>
      </c>
      <c r="I84" s="32" t="n">
        <f aca="false">FAB_COMPRA!K15</f>
        <v>1</v>
      </c>
      <c r="J84" s="32" t="n">
        <f aca="false">E84*I84</f>
        <v>1</v>
      </c>
      <c r="K84" s="4"/>
      <c r="L84" s="32"/>
      <c r="M84" s="32"/>
      <c r="N84" s="32"/>
      <c r="O84" s="32"/>
      <c r="P84" s="4"/>
      <c r="Q84" s="32"/>
      <c r="R84" s="32" t="n">
        <f aca="false">$J84</f>
        <v>1</v>
      </c>
      <c r="S84" s="32" t="n">
        <f aca="false">$J84</f>
        <v>1</v>
      </c>
      <c r="T84" s="32" t="n">
        <f aca="false">$J84</f>
        <v>1</v>
      </c>
      <c r="U84" s="32" t="n">
        <f aca="false">$J84</f>
        <v>1</v>
      </c>
      <c r="V84" s="32" t="n">
        <f aca="false">$J84</f>
        <v>1</v>
      </c>
      <c r="W84" s="32" t="n">
        <f aca="false">$J84</f>
        <v>1</v>
      </c>
      <c r="X84" s="32" t="n">
        <f aca="false">$J84</f>
        <v>1</v>
      </c>
      <c r="Y84" s="32" t="n">
        <f aca="false">$J84</f>
        <v>1</v>
      </c>
      <c r="Z84" s="32" t="n">
        <f aca="false">$J84</f>
        <v>1</v>
      </c>
      <c r="AA84" s="32" t="n">
        <f aca="false">$J84</f>
        <v>1</v>
      </c>
      <c r="AB84" s="5" t="s">
        <v>493</v>
      </c>
    </row>
    <row r="85" customFormat="false" ht="15" hidden="false" customHeight="false" outlineLevel="0" collapsed="false">
      <c r="A85" s="4" t="s">
        <v>238</v>
      </c>
      <c r="B85" s="4" t="s">
        <v>724</v>
      </c>
      <c r="C85" s="4" t="s">
        <v>725</v>
      </c>
      <c r="D85" s="5" t="s">
        <v>508</v>
      </c>
      <c r="E85" s="32" t="n">
        <v>1</v>
      </c>
      <c r="F85" s="4" t="s">
        <v>82</v>
      </c>
      <c r="G85" s="5" t="s">
        <v>509</v>
      </c>
      <c r="H85" s="4" t="s">
        <v>510</v>
      </c>
      <c r="I85" s="32" t="n">
        <v>1</v>
      </c>
      <c r="J85" s="32" t="n">
        <f aca="false">E85*I85</f>
        <v>1</v>
      </c>
      <c r="K85" s="4"/>
      <c r="L85" s="32"/>
      <c r="M85" s="32"/>
      <c r="N85" s="32"/>
      <c r="O85" s="32"/>
      <c r="P85" s="4"/>
      <c r="Q85" s="32"/>
      <c r="R85" s="32" t="n">
        <f aca="false">$J85</f>
        <v>1</v>
      </c>
      <c r="S85" s="32" t="n">
        <f aca="false">$J85</f>
        <v>1</v>
      </c>
      <c r="T85" s="32" t="n">
        <f aca="false">$J85</f>
        <v>1</v>
      </c>
      <c r="U85" s="32" t="n">
        <f aca="false">$J85</f>
        <v>1</v>
      </c>
      <c r="V85" s="32" t="n">
        <f aca="false">$J85</f>
        <v>1</v>
      </c>
      <c r="W85" s="32" t="n">
        <f aca="false">$J85</f>
        <v>1</v>
      </c>
      <c r="X85" s="32" t="n">
        <f aca="false">$J85</f>
        <v>1</v>
      </c>
      <c r="Y85" s="32" t="n">
        <f aca="false">$J85</f>
        <v>1</v>
      </c>
      <c r="Z85" s="32" t="n">
        <f aca="false">$J85</f>
        <v>1</v>
      </c>
      <c r="AA85" s="32" t="n">
        <f aca="false">$J85</f>
        <v>1</v>
      </c>
      <c r="AB85" s="5"/>
    </row>
    <row r="86" customFormat="false" ht="15" hidden="false" customHeight="false" outlineLevel="0" collapsed="false">
      <c r="A86" s="4" t="s">
        <v>238</v>
      </c>
      <c r="B86" s="4" t="s">
        <v>726</v>
      </c>
      <c r="C86" s="4" t="s">
        <v>727</v>
      </c>
      <c r="D86" s="5" t="s">
        <v>513</v>
      </c>
      <c r="E86" s="32" t="n">
        <v>1</v>
      </c>
      <c r="F86" s="4" t="s">
        <v>82</v>
      </c>
      <c r="G86" s="5" t="s">
        <v>509</v>
      </c>
      <c r="H86" s="4" t="s">
        <v>630</v>
      </c>
      <c r="I86" s="32" t="n">
        <v>1</v>
      </c>
      <c r="J86" s="32" t="n">
        <f aca="false">E86*I86</f>
        <v>1</v>
      </c>
      <c r="K86" s="4"/>
      <c r="L86" s="32"/>
      <c r="M86" s="32"/>
      <c r="N86" s="32"/>
      <c r="O86" s="32"/>
      <c r="P86" s="4"/>
      <c r="Q86" s="32"/>
      <c r="R86" s="32" t="n">
        <f aca="false">$J86</f>
        <v>1</v>
      </c>
      <c r="S86" s="32" t="n">
        <f aca="false">$J86</f>
        <v>1</v>
      </c>
      <c r="T86" s="32" t="n">
        <f aca="false">$J86</f>
        <v>1</v>
      </c>
      <c r="U86" s="32" t="n">
        <f aca="false">$J86</f>
        <v>1</v>
      </c>
      <c r="V86" s="32" t="n">
        <f aca="false">$J86</f>
        <v>1</v>
      </c>
      <c r="W86" s="32" t="n">
        <f aca="false">$J86</f>
        <v>1</v>
      </c>
      <c r="X86" s="32" t="n">
        <f aca="false">$J86</f>
        <v>1</v>
      </c>
      <c r="Y86" s="32" t="n">
        <f aca="false">$J86</f>
        <v>1</v>
      </c>
      <c r="Z86" s="32" t="n">
        <f aca="false">$J86</f>
        <v>1</v>
      </c>
      <c r="AA86" s="32" t="n">
        <f aca="false">$J86</f>
        <v>1</v>
      </c>
      <c r="AB86" s="5"/>
    </row>
    <row r="87" customFormat="false" ht="15" hidden="false" customHeight="false" outlineLevel="0" collapsed="false">
      <c r="A87" s="4" t="s">
        <v>238</v>
      </c>
      <c r="B87" s="4" t="s">
        <v>728</v>
      </c>
      <c r="C87" s="4" t="s">
        <v>729</v>
      </c>
      <c r="D87" s="5" t="s">
        <v>633</v>
      </c>
      <c r="E87" s="32" t="n">
        <v>1</v>
      </c>
      <c r="F87" s="4" t="s">
        <v>82</v>
      </c>
      <c r="G87" s="5" t="s">
        <v>518</v>
      </c>
      <c r="H87" s="4" t="s">
        <v>634</v>
      </c>
      <c r="I87" s="32" t="n">
        <v>1</v>
      </c>
      <c r="J87" s="32" t="n">
        <f aca="false">E87*I87</f>
        <v>1</v>
      </c>
      <c r="K87" s="4"/>
      <c r="L87" s="32"/>
      <c r="M87" s="32"/>
      <c r="N87" s="32"/>
      <c r="O87" s="32"/>
      <c r="P87" s="4"/>
      <c r="Q87" s="32"/>
      <c r="R87" s="32" t="n">
        <f aca="false">$J87</f>
        <v>1</v>
      </c>
      <c r="S87" s="32" t="n">
        <f aca="false">$J87</f>
        <v>1</v>
      </c>
      <c r="T87" s="32" t="n">
        <f aca="false">$J87</f>
        <v>1</v>
      </c>
      <c r="U87" s="32" t="n">
        <f aca="false">$J87</f>
        <v>1</v>
      </c>
      <c r="V87" s="32" t="n">
        <f aca="false">$J87</f>
        <v>1</v>
      </c>
      <c r="W87" s="32" t="n">
        <f aca="false">$J87</f>
        <v>1</v>
      </c>
      <c r="X87" s="32" t="n">
        <f aca="false">$J87</f>
        <v>1</v>
      </c>
      <c r="Y87" s="32" t="n">
        <f aca="false">$J87</f>
        <v>1</v>
      </c>
      <c r="Z87" s="32" t="n">
        <f aca="false">$J87</f>
        <v>1</v>
      </c>
      <c r="AA87" s="32" t="n">
        <f aca="false">$J87</f>
        <v>1</v>
      </c>
      <c r="AB87" s="5"/>
    </row>
    <row r="88" customFormat="false" ht="15" hidden="false" customHeight="false" outlineLevel="0" collapsed="false">
      <c r="A88" s="4" t="s">
        <v>238</v>
      </c>
      <c r="B88" s="4" t="s">
        <v>730</v>
      </c>
      <c r="C88" s="4" t="s">
        <v>731</v>
      </c>
      <c r="D88" s="5" t="s">
        <v>522</v>
      </c>
      <c r="E88" s="32" t="n">
        <v>1</v>
      </c>
      <c r="F88" s="4" t="s">
        <v>82</v>
      </c>
      <c r="G88" s="5" t="s">
        <v>523</v>
      </c>
      <c r="H88" s="4"/>
      <c r="I88" s="32"/>
      <c r="J88" s="32" t="n">
        <f aca="false">E88*I88</f>
        <v>0</v>
      </c>
      <c r="K88" s="4"/>
      <c r="L88" s="32"/>
      <c r="M88" s="32"/>
      <c r="N88" s="32"/>
      <c r="O88" s="32"/>
      <c r="P88" s="4"/>
      <c r="Q88" s="32"/>
      <c r="R88" s="32" t="n">
        <f aca="false">$J88</f>
        <v>0</v>
      </c>
      <c r="S88" s="32" t="n">
        <f aca="false">$J88</f>
        <v>0</v>
      </c>
      <c r="T88" s="32" t="n">
        <f aca="false">$J88</f>
        <v>0</v>
      </c>
      <c r="U88" s="32" t="n">
        <f aca="false">$J88</f>
        <v>0</v>
      </c>
      <c r="V88" s="32" t="n">
        <f aca="false">$J88</f>
        <v>0</v>
      </c>
      <c r="W88" s="32" t="n">
        <f aca="false">$J88</f>
        <v>0</v>
      </c>
      <c r="X88" s="32" t="n">
        <f aca="false">$J88</f>
        <v>0</v>
      </c>
      <c r="Y88" s="32" t="n">
        <f aca="false">$J88</f>
        <v>0</v>
      </c>
      <c r="Z88" s="32" t="n">
        <f aca="false">$J88</f>
        <v>0</v>
      </c>
      <c r="AA88" s="32" t="n">
        <f aca="false">$J88</f>
        <v>0</v>
      </c>
      <c r="AB88" s="5"/>
    </row>
    <row r="89" customFormat="false" ht="15" hidden="false" customHeight="false" outlineLevel="0" collapsed="false">
      <c r="A89" s="4" t="s">
        <v>238</v>
      </c>
      <c r="B89" s="4" t="s">
        <v>732</v>
      </c>
      <c r="C89" s="4" t="s">
        <v>733</v>
      </c>
      <c r="D89" s="5" t="s">
        <v>526</v>
      </c>
      <c r="E89" s="32" t="n">
        <v>1</v>
      </c>
      <c r="F89" s="4" t="s">
        <v>82</v>
      </c>
      <c r="G89" s="5" t="s">
        <v>523</v>
      </c>
      <c r="H89" s="4"/>
      <c r="I89" s="32"/>
      <c r="J89" s="32" t="n">
        <f aca="false">E89*I89</f>
        <v>0</v>
      </c>
      <c r="K89" s="4"/>
      <c r="L89" s="32"/>
      <c r="M89" s="32"/>
      <c r="N89" s="32"/>
      <c r="O89" s="32"/>
      <c r="P89" s="4"/>
      <c r="Q89" s="32"/>
      <c r="R89" s="32" t="n">
        <f aca="false">$J89</f>
        <v>0</v>
      </c>
      <c r="S89" s="32" t="n">
        <f aca="false">$J89</f>
        <v>0</v>
      </c>
      <c r="T89" s="32" t="n">
        <f aca="false">$J89</f>
        <v>0</v>
      </c>
      <c r="U89" s="32" t="n">
        <f aca="false">$J89</f>
        <v>0</v>
      </c>
      <c r="V89" s="32" t="n">
        <f aca="false">$J89</f>
        <v>0</v>
      </c>
      <c r="W89" s="32" t="n">
        <f aca="false">$J89</f>
        <v>0</v>
      </c>
      <c r="X89" s="32" t="n">
        <f aca="false">$J89</f>
        <v>0</v>
      </c>
      <c r="Y89" s="32" t="n">
        <f aca="false">$J89</f>
        <v>0</v>
      </c>
      <c r="Z89" s="32" t="n">
        <f aca="false">$J89</f>
        <v>0</v>
      </c>
      <c r="AA89" s="32" t="n">
        <f aca="false">$J89</f>
        <v>0</v>
      </c>
      <c r="AB89" s="5"/>
    </row>
    <row r="90" customFormat="false" ht="15" hidden="false" customHeight="false" outlineLevel="0" collapsed="false">
      <c r="A90" s="4" t="s">
        <v>238</v>
      </c>
      <c r="B90" s="4" t="s">
        <v>734</v>
      </c>
      <c r="C90" s="4" t="s">
        <v>735</v>
      </c>
      <c r="D90" s="5" t="s">
        <v>529</v>
      </c>
      <c r="E90" s="32" t="n">
        <v>1</v>
      </c>
      <c r="F90" s="4" t="s">
        <v>82</v>
      </c>
      <c r="G90" s="5" t="s">
        <v>523</v>
      </c>
      <c r="H90" s="4"/>
      <c r="I90" s="32"/>
      <c r="J90" s="32" t="n">
        <f aca="false">E90*I90</f>
        <v>0</v>
      </c>
      <c r="K90" s="4"/>
      <c r="L90" s="32"/>
      <c r="M90" s="32"/>
      <c r="N90" s="32"/>
      <c r="O90" s="32"/>
      <c r="P90" s="4"/>
      <c r="Q90" s="32"/>
      <c r="R90" s="32" t="n">
        <f aca="false">$J90</f>
        <v>0</v>
      </c>
      <c r="S90" s="32" t="n">
        <f aca="false">$J90</f>
        <v>0</v>
      </c>
      <c r="T90" s="32" t="n">
        <f aca="false">$J90</f>
        <v>0</v>
      </c>
      <c r="U90" s="32" t="n">
        <f aca="false">$J90</f>
        <v>0</v>
      </c>
      <c r="V90" s="32" t="n">
        <f aca="false">$J90</f>
        <v>0</v>
      </c>
      <c r="W90" s="32" t="n">
        <f aca="false">$J90</f>
        <v>0</v>
      </c>
      <c r="X90" s="32" t="n">
        <f aca="false">$J90</f>
        <v>0</v>
      </c>
      <c r="Y90" s="32" t="n">
        <f aca="false">$J90</f>
        <v>0</v>
      </c>
      <c r="Z90" s="32" t="n">
        <f aca="false">$J90</f>
        <v>0</v>
      </c>
      <c r="AA90" s="32" t="n">
        <f aca="false">$J90</f>
        <v>0</v>
      </c>
      <c r="AB90" s="5"/>
    </row>
    <row r="91" customFormat="false" ht="15" hidden="false" customHeight="false" outlineLevel="0" collapsed="false">
      <c r="A91" s="4" t="s">
        <v>238</v>
      </c>
      <c r="B91" s="4" t="s">
        <v>736</v>
      </c>
      <c r="C91" s="4" t="s">
        <v>737</v>
      </c>
      <c r="D91" s="5" t="s">
        <v>532</v>
      </c>
      <c r="E91" s="32" t="n">
        <v>1</v>
      </c>
      <c r="F91" s="4" t="s">
        <v>82</v>
      </c>
      <c r="G91" s="5" t="s">
        <v>523</v>
      </c>
      <c r="H91" s="4"/>
      <c r="I91" s="32"/>
      <c r="J91" s="32" t="n">
        <f aca="false">E91*I91</f>
        <v>0</v>
      </c>
      <c r="K91" s="4"/>
      <c r="L91" s="32"/>
      <c r="M91" s="32"/>
      <c r="N91" s="32"/>
      <c r="O91" s="32"/>
      <c r="P91" s="4"/>
      <c r="Q91" s="32"/>
      <c r="R91" s="32" t="n">
        <f aca="false">$J91</f>
        <v>0</v>
      </c>
      <c r="S91" s="32" t="n">
        <f aca="false">$J91</f>
        <v>0</v>
      </c>
      <c r="T91" s="32" t="n">
        <f aca="false">$J91</f>
        <v>0</v>
      </c>
      <c r="U91" s="32" t="n">
        <f aca="false">$J91</f>
        <v>0</v>
      </c>
      <c r="V91" s="32" t="n">
        <f aca="false">$J91</f>
        <v>0</v>
      </c>
      <c r="W91" s="32" t="n">
        <f aca="false">$J91</f>
        <v>0</v>
      </c>
      <c r="X91" s="32" t="n">
        <f aca="false">$J91</f>
        <v>0</v>
      </c>
      <c r="Y91" s="32" t="n">
        <f aca="false">$J91</f>
        <v>0</v>
      </c>
      <c r="Z91" s="32" t="n">
        <f aca="false">$J91</f>
        <v>0</v>
      </c>
      <c r="AA91" s="32" t="n">
        <f aca="false">$J91</f>
        <v>0</v>
      </c>
      <c r="AB91" s="5"/>
    </row>
    <row r="92" customFormat="false" ht="15" hidden="false" customHeight="false" outlineLevel="0" collapsed="false">
      <c r="A92" s="4" t="s">
        <v>238</v>
      </c>
      <c r="B92" s="4" t="s">
        <v>738</v>
      </c>
      <c r="C92" s="4" t="s">
        <v>739</v>
      </c>
      <c r="D92" s="5" t="s">
        <v>535</v>
      </c>
      <c r="E92" s="32" t="n">
        <v>1</v>
      </c>
      <c r="F92" s="4" t="s">
        <v>82</v>
      </c>
      <c r="G92" s="5" t="s">
        <v>523</v>
      </c>
      <c r="H92" s="4"/>
      <c r="I92" s="32"/>
      <c r="J92" s="32" t="n">
        <f aca="false">E92*I92</f>
        <v>0</v>
      </c>
      <c r="K92" s="4"/>
      <c r="L92" s="32"/>
      <c r="M92" s="32"/>
      <c r="N92" s="32"/>
      <c r="O92" s="32"/>
      <c r="P92" s="4"/>
      <c r="Q92" s="32"/>
      <c r="R92" s="32" t="n">
        <f aca="false">$J92</f>
        <v>0</v>
      </c>
      <c r="S92" s="32" t="n">
        <f aca="false">$J92</f>
        <v>0</v>
      </c>
      <c r="T92" s="32" t="n">
        <f aca="false">$J92</f>
        <v>0</v>
      </c>
      <c r="U92" s="32" t="n">
        <f aca="false">$J92</f>
        <v>0</v>
      </c>
      <c r="V92" s="32" t="n">
        <f aca="false">$J92</f>
        <v>0</v>
      </c>
      <c r="W92" s="32" t="n">
        <f aca="false">$J92</f>
        <v>0</v>
      </c>
      <c r="X92" s="32" t="n">
        <f aca="false">$J92</f>
        <v>0</v>
      </c>
      <c r="Y92" s="32" t="n">
        <f aca="false">$J92</f>
        <v>0</v>
      </c>
      <c r="Z92" s="32" t="n">
        <f aca="false">$J92</f>
        <v>0</v>
      </c>
      <c r="AA92" s="32" t="n">
        <f aca="false">$J92</f>
        <v>0</v>
      </c>
      <c r="AB92" s="5"/>
    </row>
    <row r="93" customFormat="false" ht="15" hidden="false" customHeight="false" outlineLevel="0" collapsed="false">
      <c r="A93" s="4" t="s">
        <v>238</v>
      </c>
      <c r="B93" s="4" t="s">
        <v>740</v>
      </c>
      <c r="C93" s="4" t="s">
        <v>741</v>
      </c>
      <c r="D93" s="5" t="s">
        <v>538</v>
      </c>
      <c r="E93" s="32" t="n">
        <v>1</v>
      </c>
      <c r="F93" s="4" t="s">
        <v>82</v>
      </c>
      <c r="G93" s="5" t="s">
        <v>523</v>
      </c>
      <c r="H93" s="4"/>
      <c r="I93" s="32"/>
      <c r="J93" s="32" t="n">
        <f aca="false">E93*I93</f>
        <v>0</v>
      </c>
      <c r="K93" s="4"/>
      <c r="L93" s="32"/>
      <c r="M93" s="32"/>
      <c r="N93" s="32"/>
      <c r="O93" s="32"/>
      <c r="P93" s="4"/>
      <c r="Q93" s="32"/>
      <c r="R93" s="32" t="n">
        <f aca="false">$J93</f>
        <v>0</v>
      </c>
      <c r="S93" s="32" t="n">
        <f aca="false">$J93</f>
        <v>0</v>
      </c>
      <c r="T93" s="32" t="n">
        <f aca="false">$J93</f>
        <v>0</v>
      </c>
      <c r="U93" s="32" t="n">
        <f aca="false">$J93</f>
        <v>0</v>
      </c>
      <c r="V93" s="32" t="n">
        <f aca="false">$J93</f>
        <v>0</v>
      </c>
      <c r="W93" s="32" t="n">
        <f aca="false">$J93</f>
        <v>0</v>
      </c>
      <c r="X93" s="32" t="n">
        <f aca="false">$J93</f>
        <v>0</v>
      </c>
      <c r="Y93" s="32" t="n">
        <f aca="false">$J93</f>
        <v>0</v>
      </c>
      <c r="Z93" s="32" t="n">
        <f aca="false">$J93</f>
        <v>0</v>
      </c>
      <c r="AA93" s="32" t="n">
        <f aca="false">$J93</f>
        <v>0</v>
      </c>
      <c r="AB93" s="5"/>
    </row>
    <row r="94" customFormat="false" ht="15" hidden="false" customHeight="false" outlineLevel="0" collapsed="false">
      <c r="A94" s="4" t="s">
        <v>238</v>
      </c>
      <c r="B94" s="4" t="s">
        <v>742</v>
      </c>
      <c r="C94" s="4" t="s">
        <v>743</v>
      </c>
      <c r="D94" s="5" t="s">
        <v>541</v>
      </c>
      <c r="E94" s="32" t="n">
        <v>1</v>
      </c>
      <c r="F94" s="4" t="s">
        <v>82</v>
      </c>
      <c r="G94" s="5" t="s">
        <v>523</v>
      </c>
      <c r="H94" s="4"/>
      <c r="I94" s="32"/>
      <c r="J94" s="32" t="n">
        <f aca="false">E94*I94</f>
        <v>0</v>
      </c>
      <c r="K94" s="4"/>
      <c r="L94" s="32"/>
      <c r="M94" s="32"/>
      <c r="N94" s="32"/>
      <c r="O94" s="32"/>
      <c r="P94" s="4"/>
      <c r="Q94" s="32"/>
      <c r="R94" s="32" t="n">
        <f aca="false">$J94</f>
        <v>0</v>
      </c>
      <c r="S94" s="32" t="n">
        <f aca="false">$J94</f>
        <v>0</v>
      </c>
      <c r="T94" s="32" t="n">
        <f aca="false">$J94</f>
        <v>0</v>
      </c>
      <c r="U94" s="32" t="n">
        <f aca="false">$J94</f>
        <v>0</v>
      </c>
      <c r="V94" s="32" t="n">
        <f aca="false">$J94</f>
        <v>0</v>
      </c>
      <c r="W94" s="32" t="n">
        <f aca="false">$J94</f>
        <v>0</v>
      </c>
      <c r="X94" s="32" t="n">
        <f aca="false">$J94</f>
        <v>0</v>
      </c>
      <c r="Y94" s="32" t="n">
        <f aca="false">$J94</f>
        <v>0</v>
      </c>
      <c r="Z94" s="32" t="n">
        <f aca="false">$J94</f>
        <v>0</v>
      </c>
      <c r="AA94" s="32" t="n">
        <f aca="false">$J94</f>
        <v>0</v>
      </c>
      <c r="AB94" s="5"/>
    </row>
    <row r="95" customFormat="false" ht="15" hidden="false" customHeight="false" outlineLevel="0" collapsed="false">
      <c r="A95" s="4" t="s">
        <v>238</v>
      </c>
      <c r="B95" s="4" t="s">
        <v>744</v>
      </c>
      <c r="C95" s="4" t="s">
        <v>745</v>
      </c>
      <c r="D95" s="5" t="s">
        <v>544</v>
      </c>
      <c r="E95" s="32" t="n">
        <v>1</v>
      </c>
      <c r="F95" s="4" t="s">
        <v>82</v>
      </c>
      <c r="G95" s="5" t="s">
        <v>523</v>
      </c>
      <c r="H95" s="4"/>
      <c r="I95" s="32"/>
      <c r="J95" s="32" t="n">
        <f aca="false">E95*I95</f>
        <v>0</v>
      </c>
      <c r="K95" s="4"/>
      <c r="L95" s="32"/>
      <c r="M95" s="32"/>
      <c r="N95" s="32"/>
      <c r="O95" s="32"/>
      <c r="P95" s="4"/>
      <c r="Q95" s="32"/>
      <c r="R95" s="32" t="n">
        <f aca="false">$J95</f>
        <v>0</v>
      </c>
      <c r="S95" s="32" t="n">
        <f aca="false">$J95</f>
        <v>0</v>
      </c>
      <c r="T95" s="32" t="n">
        <f aca="false">$J95</f>
        <v>0</v>
      </c>
      <c r="U95" s="32" t="n">
        <f aca="false">$J95</f>
        <v>0</v>
      </c>
      <c r="V95" s="32" t="n">
        <f aca="false">$J95</f>
        <v>0</v>
      </c>
      <c r="W95" s="32" t="n">
        <f aca="false">$J95</f>
        <v>0</v>
      </c>
      <c r="X95" s="32" t="n">
        <f aca="false">$J95</f>
        <v>0</v>
      </c>
      <c r="Y95" s="32" t="n">
        <f aca="false">$J95</f>
        <v>0</v>
      </c>
      <c r="Z95" s="32" t="n">
        <f aca="false">$J95</f>
        <v>0</v>
      </c>
      <c r="AA95" s="32" t="n">
        <f aca="false">$J95</f>
        <v>0</v>
      </c>
      <c r="AB95" s="5"/>
    </row>
    <row r="96" customFormat="false" ht="15" hidden="false" customHeight="false" outlineLevel="0" collapsed="false">
      <c r="A96" s="4" t="s">
        <v>238</v>
      </c>
      <c r="B96" s="4" t="s">
        <v>746</v>
      </c>
      <c r="C96" s="4" t="s">
        <v>747</v>
      </c>
      <c r="D96" s="5" t="s">
        <v>547</v>
      </c>
      <c r="E96" s="32" t="n">
        <v>1</v>
      </c>
      <c r="F96" s="4" t="s">
        <v>82</v>
      </c>
      <c r="G96" s="5" t="s">
        <v>523</v>
      </c>
      <c r="H96" s="4"/>
      <c r="I96" s="32"/>
      <c r="J96" s="32" t="n">
        <f aca="false">E96*I96</f>
        <v>0</v>
      </c>
      <c r="K96" s="4"/>
      <c r="L96" s="32"/>
      <c r="M96" s="32"/>
      <c r="N96" s="32"/>
      <c r="O96" s="32"/>
      <c r="P96" s="4"/>
      <c r="Q96" s="32"/>
      <c r="R96" s="32" t="n">
        <f aca="false">$J96</f>
        <v>0</v>
      </c>
      <c r="S96" s="32" t="n">
        <f aca="false">$J96</f>
        <v>0</v>
      </c>
      <c r="T96" s="32" t="n">
        <f aca="false">$J96</f>
        <v>0</v>
      </c>
      <c r="U96" s="32" t="n">
        <f aca="false">$J96</f>
        <v>0</v>
      </c>
      <c r="V96" s="32" t="n">
        <f aca="false">$J96</f>
        <v>0</v>
      </c>
      <c r="W96" s="32" t="n">
        <f aca="false">$J96</f>
        <v>0</v>
      </c>
      <c r="X96" s="32" t="n">
        <f aca="false">$J96</f>
        <v>0</v>
      </c>
      <c r="Y96" s="32" t="n">
        <f aca="false">$J96</f>
        <v>0</v>
      </c>
      <c r="Z96" s="32" t="n">
        <f aca="false">$J96</f>
        <v>0</v>
      </c>
      <c r="AA96" s="32" t="n">
        <f aca="false">$J96</f>
        <v>0</v>
      </c>
      <c r="AB96" s="5"/>
    </row>
    <row r="97" customFormat="false" ht="15" hidden="false" customHeight="false" outlineLevel="0" collapsed="false">
      <c r="A97" s="4" t="s">
        <v>238</v>
      </c>
      <c r="B97" s="4" t="s">
        <v>748</v>
      </c>
      <c r="C97" s="4" t="s">
        <v>749</v>
      </c>
      <c r="D97" s="5" t="s">
        <v>550</v>
      </c>
      <c r="E97" s="32" t="n">
        <v>1</v>
      </c>
      <c r="F97" s="4" t="s">
        <v>82</v>
      </c>
      <c r="G97" s="5" t="s">
        <v>523</v>
      </c>
      <c r="H97" s="4"/>
      <c r="I97" s="32"/>
      <c r="J97" s="32" t="n">
        <f aca="false">E97*I97</f>
        <v>0</v>
      </c>
      <c r="K97" s="4"/>
      <c r="L97" s="32"/>
      <c r="M97" s="32"/>
      <c r="N97" s="32"/>
      <c r="O97" s="32"/>
      <c r="P97" s="4"/>
      <c r="Q97" s="32"/>
      <c r="R97" s="32" t="n">
        <f aca="false">$J97</f>
        <v>0</v>
      </c>
      <c r="S97" s="32" t="n">
        <f aca="false">$J97</f>
        <v>0</v>
      </c>
      <c r="T97" s="32" t="n">
        <f aca="false">$J97</f>
        <v>0</v>
      </c>
      <c r="U97" s="32" t="n">
        <f aca="false">$J97</f>
        <v>0</v>
      </c>
      <c r="V97" s="32" t="n">
        <f aca="false">$J97</f>
        <v>0</v>
      </c>
      <c r="W97" s="32" t="n">
        <f aca="false">$J97</f>
        <v>0</v>
      </c>
      <c r="X97" s="32" t="n">
        <f aca="false">$J97</f>
        <v>0</v>
      </c>
      <c r="Y97" s="32" t="n">
        <f aca="false">$J97</f>
        <v>0</v>
      </c>
      <c r="Z97" s="32" t="n">
        <f aca="false">$J97</f>
        <v>0</v>
      </c>
      <c r="AA97" s="32" t="n">
        <f aca="false">$J97</f>
        <v>0</v>
      </c>
      <c r="AB97" s="5"/>
    </row>
    <row r="98" customFormat="false" ht="15" hidden="false" customHeight="false" outlineLevel="0" collapsed="false">
      <c r="A98" s="4" t="s">
        <v>238</v>
      </c>
      <c r="B98" s="4" t="s">
        <v>750</v>
      </c>
      <c r="C98" s="4" t="s">
        <v>751</v>
      </c>
      <c r="D98" s="5" t="s">
        <v>553</v>
      </c>
      <c r="E98" s="32" t="n">
        <v>1</v>
      </c>
      <c r="F98" s="4" t="s">
        <v>82</v>
      </c>
      <c r="G98" s="5" t="s">
        <v>523</v>
      </c>
      <c r="H98" s="4"/>
      <c r="I98" s="32"/>
      <c r="J98" s="32" t="n">
        <f aca="false">E98*I98</f>
        <v>0</v>
      </c>
      <c r="K98" s="4"/>
      <c r="L98" s="32"/>
      <c r="M98" s="32"/>
      <c r="N98" s="32"/>
      <c r="O98" s="32"/>
      <c r="P98" s="4"/>
      <c r="Q98" s="32"/>
      <c r="R98" s="32" t="n">
        <f aca="false">$J98</f>
        <v>0</v>
      </c>
      <c r="S98" s="32" t="n">
        <f aca="false">$J98</f>
        <v>0</v>
      </c>
      <c r="T98" s="32" t="n">
        <f aca="false">$J98</f>
        <v>0</v>
      </c>
      <c r="U98" s="32" t="n">
        <f aca="false">$J98</f>
        <v>0</v>
      </c>
      <c r="V98" s="32" t="n">
        <f aca="false">$J98</f>
        <v>0</v>
      </c>
      <c r="W98" s="32" t="n">
        <f aca="false">$J98</f>
        <v>0</v>
      </c>
      <c r="X98" s="32" t="n">
        <f aca="false">$J98</f>
        <v>0</v>
      </c>
      <c r="Y98" s="32" t="n">
        <f aca="false">$J98</f>
        <v>0</v>
      </c>
      <c r="Z98" s="32" t="n">
        <f aca="false">$J98</f>
        <v>0</v>
      </c>
      <c r="AA98" s="32" t="n">
        <f aca="false">$J98</f>
        <v>0</v>
      </c>
      <c r="AB98" s="5"/>
    </row>
    <row r="99" customFormat="false" ht="15" hidden="false" customHeight="false" outlineLevel="0" collapsed="false">
      <c r="A99" s="4" t="s">
        <v>238</v>
      </c>
      <c r="B99" s="4" t="s">
        <v>752</v>
      </c>
      <c r="C99" s="4" t="s">
        <v>753</v>
      </c>
      <c r="D99" s="5" t="s">
        <v>556</v>
      </c>
      <c r="E99" s="32" t="n">
        <v>1</v>
      </c>
      <c r="F99" s="4" t="s">
        <v>82</v>
      </c>
      <c r="G99" s="5" t="s">
        <v>523</v>
      </c>
      <c r="H99" s="4"/>
      <c r="I99" s="32"/>
      <c r="J99" s="32" t="n">
        <f aca="false">E99*I99</f>
        <v>0</v>
      </c>
      <c r="K99" s="4"/>
      <c r="L99" s="32"/>
      <c r="M99" s="32"/>
      <c r="N99" s="32"/>
      <c r="O99" s="32"/>
      <c r="P99" s="4"/>
      <c r="Q99" s="32"/>
      <c r="R99" s="32" t="n">
        <f aca="false">$J99</f>
        <v>0</v>
      </c>
      <c r="S99" s="32" t="n">
        <f aca="false">$J99</f>
        <v>0</v>
      </c>
      <c r="T99" s="32" t="n">
        <f aca="false">$J99</f>
        <v>0</v>
      </c>
      <c r="U99" s="32" t="n">
        <f aca="false">$J99</f>
        <v>0</v>
      </c>
      <c r="V99" s="32" t="n">
        <f aca="false">$J99</f>
        <v>0</v>
      </c>
      <c r="W99" s="32" t="n">
        <f aca="false">$J99</f>
        <v>0</v>
      </c>
      <c r="X99" s="32" t="n">
        <f aca="false">$J99</f>
        <v>0</v>
      </c>
      <c r="Y99" s="32" t="n">
        <f aca="false">$J99</f>
        <v>0</v>
      </c>
      <c r="Z99" s="32" t="n">
        <f aca="false">$J99</f>
        <v>0</v>
      </c>
      <c r="AA99" s="32" t="n">
        <f aca="false">$J99</f>
        <v>0</v>
      </c>
      <c r="AB99" s="5"/>
    </row>
    <row r="100" customFormat="false" ht="15" hidden="false" customHeight="false" outlineLevel="0" collapsed="false">
      <c r="A100" s="4" t="s">
        <v>238</v>
      </c>
      <c r="B100" s="4" t="s">
        <v>754</v>
      </c>
      <c r="C100" s="4" t="s">
        <v>755</v>
      </c>
      <c r="D100" s="5" t="s">
        <v>559</v>
      </c>
      <c r="E100" s="32" t="n">
        <v>1</v>
      </c>
      <c r="F100" s="4" t="s">
        <v>82</v>
      </c>
      <c r="G100" s="5" t="s">
        <v>518</v>
      </c>
      <c r="H100" s="4" t="s">
        <v>756</v>
      </c>
      <c r="I100" s="32" t="n">
        <v>1</v>
      </c>
      <c r="J100" s="32" t="n">
        <f aca="false">E100*I100</f>
        <v>1</v>
      </c>
      <c r="K100" s="4"/>
      <c r="L100" s="32"/>
      <c r="M100" s="32"/>
      <c r="N100" s="32"/>
      <c r="O100" s="32"/>
      <c r="P100" s="4"/>
      <c r="Q100" s="32"/>
      <c r="R100" s="32" t="n">
        <f aca="false">$J100</f>
        <v>1</v>
      </c>
      <c r="S100" s="32" t="n">
        <f aca="false">$J100</f>
        <v>1</v>
      </c>
      <c r="T100" s="32" t="n">
        <f aca="false">$J100</f>
        <v>1</v>
      </c>
      <c r="U100" s="32" t="n">
        <f aca="false">$J100</f>
        <v>1</v>
      </c>
      <c r="V100" s="32" t="n">
        <f aca="false">$J100</f>
        <v>1</v>
      </c>
      <c r="W100" s="32" t="n">
        <f aca="false">$J100</f>
        <v>1</v>
      </c>
      <c r="X100" s="32" t="n">
        <f aca="false">$J100</f>
        <v>1</v>
      </c>
      <c r="Y100" s="32" t="n">
        <f aca="false">$J100</f>
        <v>1</v>
      </c>
      <c r="Z100" s="32" t="n">
        <f aca="false">$J100</f>
        <v>1</v>
      </c>
      <c r="AA100" s="32" t="n">
        <f aca="false">$J100</f>
        <v>1</v>
      </c>
      <c r="AB100" s="5"/>
    </row>
    <row r="101" customFormat="false" ht="15" hidden="false" customHeight="false" outlineLevel="0" collapsed="false">
      <c r="A101" s="4" t="s">
        <v>238</v>
      </c>
      <c r="B101" s="4" t="s">
        <v>757</v>
      </c>
      <c r="C101" s="4" t="s">
        <v>758</v>
      </c>
      <c r="D101" s="5" t="s">
        <v>664</v>
      </c>
      <c r="E101" s="32" t="n">
        <v>1</v>
      </c>
      <c r="F101" s="4" t="s">
        <v>82</v>
      </c>
      <c r="G101" s="5" t="s">
        <v>564</v>
      </c>
      <c r="H101" s="4"/>
      <c r="I101" s="32"/>
      <c r="J101" s="32" t="n">
        <f aca="false">E101*I101</f>
        <v>0</v>
      </c>
      <c r="K101" s="4"/>
      <c r="L101" s="32"/>
      <c r="M101" s="32"/>
      <c r="N101" s="32"/>
      <c r="O101" s="32"/>
      <c r="P101" s="4"/>
      <c r="Q101" s="32"/>
      <c r="R101" s="32" t="n">
        <f aca="false">$J101</f>
        <v>0</v>
      </c>
      <c r="S101" s="32" t="n">
        <f aca="false">$J101</f>
        <v>0</v>
      </c>
      <c r="T101" s="32" t="n">
        <f aca="false">$J101</f>
        <v>0</v>
      </c>
      <c r="U101" s="32" t="n">
        <f aca="false">$J101</f>
        <v>0</v>
      </c>
      <c r="V101" s="32" t="n">
        <f aca="false">$J101</f>
        <v>0</v>
      </c>
      <c r="W101" s="32" t="n">
        <f aca="false">$J101</f>
        <v>0</v>
      </c>
      <c r="X101" s="32" t="n">
        <f aca="false">$J101</f>
        <v>0</v>
      </c>
      <c r="Y101" s="32" t="n">
        <f aca="false">$J101</f>
        <v>0</v>
      </c>
      <c r="Z101" s="32" t="n">
        <f aca="false">$J101</f>
        <v>0</v>
      </c>
      <c r="AA101" s="32" t="n">
        <f aca="false">$J101</f>
        <v>0</v>
      </c>
      <c r="AB101" s="5"/>
    </row>
    <row r="102" customFormat="false" ht="15" hidden="false" customHeight="false" outlineLevel="0" collapsed="false">
      <c r="A102" s="4" t="s">
        <v>238</v>
      </c>
      <c r="B102" s="4" t="s">
        <v>759</v>
      </c>
      <c r="C102" s="4" t="s">
        <v>760</v>
      </c>
      <c r="D102" s="5" t="s">
        <v>667</v>
      </c>
      <c r="E102" s="32" t="n">
        <v>1</v>
      </c>
      <c r="F102" s="4" t="s">
        <v>82</v>
      </c>
      <c r="G102" s="5" t="s">
        <v>564</v>
      </c>
      <c r="H102" s="4"/>
      <c r="I102" s="32"/>
      <c r="J102" s="32" t="n">
        <f aca="false">E102*I102</f>
        <v>0</v>
      </c>
      <c r="K102" s="4"/>
      <c r="L102" s="32"/>
      <c r="M102" s="32"/>
      <c r="N102" s="32"/>
      <c r="O102" s="32"/>
      <c r="P102" s="4"/>
      <c r="Q102" s="32"/>
      <c r="R102" s="32" t="n">
        <f aca="false">$J102</f>
        <v>0</v>
      </c>
      <c r="S102" s="32" t="n">
        <f aca="false">$J102</f>
        <v>0</v>
      </c>
      <c r="T102" s="32" t="n">
        <f aca="false">$J102</f>
        <v>0</v>
      </c>
      <c r="U102" s="32" t="n">
        <f aca="false">$J102</f>
        <v>0</v>
      </c>
      <c r="V102" s="32" t="n">
        <f aca="false">$J102</f>
        <v>0</v>
      </c>
      <c r="W102" s="32" t="n">
        <f aca="false">$J102</f>
        <v>0</v>
      </c>
      <c r="X102" s="32" t="n">
        <f aca="false">$J102</f>
        <v>0</v>
      </c>
      <c r="Y102" s="32" t="n">
        <f aca="false">$J102</f>
        <v>0</v>
      </c>
      <c r="Z102" s="32" t="n">
        <f aca="false">$J102</f>
        <v>0</v>
      </c>
      <c r="AA102" s="32" t="n">
        <f aca="false">$J102</f>
        <v>0</v>
      </c>
      <c r="AB102" s="5"/>
    </row>
    <row r="103" customFormat="false" ht="15" hidden="false" customHeight="false" outlineLevel="0" collapsed="false">
      <c r="A103" s="4" t="s">
        <v>238</v>
      </c>
      <c r="B103" s="4" t="s">
        <v>761</v>
      </c>
      <c r="C103" s="4" t="s">
        <v>762</v>
      </c>
      <c r="D103" s="5" t="s">
        <v>670</v>
      </c>
      <c r="E103" s="32" t="n">
        <v>1</v>
      </c>
      <c r="F103" s="4" t="s">
        <v>82</v>
      </c>
      <c r="G103" s="5" t="s">
        <v>564</v>
      </c>
      <c r="H103" s="4"/>
      <c r="I103" s="32"/>
      <c r="J103" s="32" t="n">
        <f aca="false">E103*I103</f>
        <v>0</v>
      </c>
      <c r="K103" s="4"/>
      <c r="L103" s="32"/>
      <c r="M103" s="32"/>
      <c r="N103" s="32"/>
      <c r="O103" s="32"/>
      <c r="P103" s="4"/>
      <c r="Q103" s="32"/>
      <c r="R103" s="32" t="n">
        <f aca="false">$J103</f>
        <v>0</v>
      </c>
      <c r="S103" s="32" t="n">
        <f aca="false">$J103</f>
        <v>0</v>
      </c>
      <c r="T103" s="32" t="n">
        <f aca="false">$J103</f>
        <v>0</v>
      </c>
      <c r="U103" s="32" t="n">
        <f aca="false">$J103</f>
        <v>0</v>
      </c>
      <c r="V103" s="32" t="n">
        <f aca="false">$J103</f>
        <v>0</v>
      </c>
      <c r="W103" s="32" t="n">
        <f aca="false">$J103</f>
        <v>0</v>
      </c>
      <c r="X103" s="32" t="n">
        <f aca="false">$J103</f>
        <v>0</v>
      </c>
      <c r="Y103" s="32" t="n">
        <f aca="false">$J103</f>
        <v>0</v>
      </c>
      <c r="Z103" s="32" t="n">
        <f aca="false">$J103</f>
        <v>0</v>
      </c>
      <c r="AA103" s="32" t="n">
        <f aca="false">$J103</f>
        <v>0</v>
      </c>
      <c r="AB103" s="5"/>
    </row>
    <row r="104" customFormat="false" ht="15" hidden="false" customHeight="false" outlineLevel="0" collapsed="false">
      <c r="A104" s="4" t="s">
        <v>238</v>
      </c>
      <c r="B104" s="4" t="s">
        <v>763</v>
      </c>
      <c r="C104" s="4" t="s">
        <v>764</v>
      </c>
      <c r="D104" s="5" t="s">
        <v>673</v>
      </c>
      <c r="E104" s="32" t="n">
        <v>1</v>
      </c>
      <c r="F104" s="4" t="s">
        <v>82</v>
      </c>
      <c r="G104" s="5" t="s">
        <v>564</v>
      </c>
      <c r="H104" s="4"/>
      <c r="I104" s="32"/>
      <c r="J104" s="32" t="n">
        <f aca="false">E104*I104</f>
        <v>0</v>
      </c>
      <c r="K104" s="4"/>
      <c r="L104" s="32"/>
      <c r="M104" s="32"/>
      <c r="N104" s="32"/>
      <c r="O104" s="32"/>
      <c r="P104" s="4"/>
      <c r="Q104" s="32"/>
      <c r="R104" s="32" t="n">
        <f aca="false">$J104</f>
        <v>0</v>
      </c>
      <c r="S104" s="32" t="n">
        <f aca="false">$J104</f>
        <v>0</v>
      </c>
      <c r="T104" s="32" t="n">
        <f aca="false">$J104</f>
        <v>0</v>
      </c>
      <c r="U104" s="32" t="n">
        <f aca="false">$J104</f>
        <v>0</v>
      </c>
      <c r="V104" s="32" t="n">
        <f aca="false">$J104</f>
        <v>0</v>
      </c>
      <c r="W104" s="32" t="n">
        <f aca="false">$J104</f>
        <v>0</v>
      </c>
      <c r="X104" s="32" t="n">
        <f aca="false">$J104</f>
        <v>0</v>
      </c>
      <c r="Y104" s="32" t="n">
        <f aca="false">$J104</f>
        <v>0</v>
      </c>
      <c r="Z104" s="32" t="n">
        <f aca="false">$J104</f>
        <v>0</v>
      </c>
      <c r="AA104" s="32" t="n">
        <f aca="false">$J104</f>
        <v>0</v>
      </c>
      <c r="AB104" s="5"/>
    </row>
    <row r="105" customFormat="false" ht="15" hidden="false" customHeight="false" outlineLevel="0" collapsed="false">
      <c r="A105" s="4" t="s">
        <v>238</v>
      </c>
      <c r="B105" s="4" t="s">
        <v>765</v>
      </c>
      <c r="C105" s="4" t="s">
        <v>766</v>
      </c>
      <c r="D105" s="5" t="s">
        <v>567</v>
      </c>
      <c r="E105" s="32" t="n">
        <v>5.15</v>
      </c>
      <c r="F105" s="4" t="s">
        <v>73</v>
      </c>
      <c r="G105" s="5" t="s">
        <v>509</v>
      </c>
      <c r="H105" s="4" t="s">
        <v>568</v>
      </c>
      <c r="I105" s="32" t="n">
        <f aca="false">1+INDEX(P_VAL,MATCH("MERMA_POLVO",P_ID,0))</f>
        <v>1.01</v>
      </c>
      <c r="J105" s="32" t="n">
        <f aca="false">E105*I105</f>
        <v>5.2015</v>
      </c>
      <c r="K105" s="4"/>
      <c r="L105" s="32"/>
      <c r="M105" s="32"/>
      <c r="N105" s="32"/>
      <c r="O105" s="32"/>
      <c r="P105" s="4"/>
      <c r="Q105" s="32"/>
      <c r="R105" s="32" t="n">
        <f aca="false">$J105</f>
        <v>5.2015</v>
      </c>
      <c r="S105" s="32" t="n">
        <f aca="false">$J105</f>
        <v>5.2015</v>
      </c>
      <c r="T105" s="32" t="n">
        <f aca="false">$J105</f>
        <v>5.2015</v>
      </c>
      <c r="U105" s="32" t="n">
        <f aca="false">$J105</f>
        <v>5.2015</v>
      </c>
      <c r="V105" s="32" t="n">
        <f aca="false">$J105</f>
        <v>5.2015</v>
      </c>
      <c r="W105" s="32" t="n">
        <f aca="false">$J105</f>
        <v>5.2015</v>
      </c>
      <c r="X105" s="32" t="n">
        <f aca="false">$J105</f>
        <v>5.2015</v>
      </c>
      <c r="Y105" s="32" t="n">
        <f aca="false">$J105</f>
        <v>5.2015</v>
      </c>
      <c r="Z105" s="32" t="n">
        <f aca="false">$J105</f>
        <v>5.2015</v>
      </c>
      <c r="AA105" s="32" t="n">
        <f aca="false">$J105</f>
        <v>5.2015</v>
      </c>
      <c r="AB105" s="5"/>
    </row>
    <row r="106" customFormat="false" ht="15" hidden="false" customHeight="false" outlineLevel="0" collapsed="false">
      <c r="A106" s="4" t="s">
        <v>238</v>
      </c>
      <c r="B106" s="4" t="s">
        <v>767</v>
      </c>
      <c r="C106" s="4" t="s">
        <v>768</v>
      </c>
      <c r="D106" s="5" t="s">
        <v>571</v>
      </c>
      <c r="E106" s="32" t="n">
        <v>0.0227356903769463</v>
      </c>
      <c r="F106" s="4" t="s">
        <v>73</v>
      </c>
      <c r="G106" s="5" t="s">
        <v>572</v>
      </c>
      <c r="H106" s="4" t="s">
        <v>573</v>
      </c>
      <c r="I106" s="32" t="n">
        <f aca="false">(1+INDEX(P_VAL,MATCH("N2_PERD",P_ID,0)))/INDEX(P_VAL,MATCH("RHO_N2",P_ID,0))</f>
        <v>1.0406660262568</v>
      </c>
      <c r="J106" s="32" t="n">
        <f aca="false">E106*I106</f>
        <v>0.0236602605587818</v>
      </c>
      <c r="K106" s="4"/>
      <c r="L106" s="32"/>
      <c r="M106" s="32"/>
      <c r="N106" s="32"/>
      <c r="O106" s="32"/>
      <c r="P106" s="4"/>
      <c r="Q106" s="32"/>
      <c r="R106" s="32" t="n">
        <f aca="false">$J106</f>
        <v>0.0236602605587818</v>
      </c>
      <c r="S106" s="32" t="n">
        <f aca="false">$J106</f>
        <v>0.0236602605587818</v>
      </c>
      <c r="T106" s="32" t="n">
        <f aca="false">$J106</f>
        <v>0.0236602605587818</v>
      </c>
      <c r="U106" s="32" t="n">
        <f aca="false">$J106</f>
        <v>0.0236602605587818</v>
      </c>
      <c r="V106" s="32" t="n">
        <f aca="false">$J106</f>
        <v>0.0236602605587818</v>
      </c>
      <c r="W106" s="32" t="n">
        <f aca="false">$J106</f>
        <v>0.0236602605587818</v>
      </c>
      <c r="X106" s="32" t="n">
        <f aca="false">$J106</f>
        <v>0.0236602605587818</v>
      </c>
      <c r="Y106" s="32" t="n">
        <f aca="false">$J106</f>
        <v>0.0236602605587818</v>
      </c>
      <c r="Z106" s="32" t="n">
        <f aca="false">$J106</f>
        <v>0.0236602605587818</v>
      </c>
      <c r="AA106" s="32" t="n">
        <f aca="false">$J106</f>
        <v>0.0236602605587818</v>
      </c>
      <c r="AB106" s="5"/>
    </row>
    <row r="107" customFormat="false" ht="15" hidden="false" customHeight="false" outlineLevel="0" collapsed="false">
      <c r="A107" s="4" t="s">
        <v>238</v>
      </c>
      <c r="B107" s="4" t="s">
        <v>769</v>
      </c>
      <c r="C107" s="4" t="s">
        <v>770</v>
      </c>
      <c r="D107" s="5" t="s">
        <v>576</v>
      </c>
      <c r="E107" s="32" t="n">
        <v>1</v>
      </c>
      <c r="F107" s="4" t="s">
        <v>82</v>
      </c>
      <c r="G107" s="5" t="s">
        <v>509</v>
      </c>
      <c r="H107" s="4" t="s">
        <v>771</v>
      </c>
      <c r="I107" s="32" t="n">
        <v>1</v>
      </c>
      <c r="J107" s="32" t="n">
        <f aca="false">E107*I107</f>
        <v>1</v>
      </c>
      <c r="K107" s="4"/>
      <c r="L107" s="32"/>
      <c r="M107" s="32"/>
      <c r="N107" s="32"/>
      <c r="O107" s="32"/>
      <c r="P107" s="4"/>
      <c r="Q107" s="32"/>
      <c r="R107" s="32" t="n">
        <f aca="false">$J107</f>
        <v>1</v>
      </c>
      <c r="S107" s="32" t="n">
        <f aca="false">$J107</f>
        <v>1</v>
      </c>
      <c r="T107" s="32" t="n">
        <f aca="false">$J107</f>
        <v>1</v>
      </c>
      <c r="U107" s="32" t="n">
        <f aca="false">$J107</f>
        <v>1</v>
      </c>
      <c r="V107" s="32" t="n">
        <f aca="false">$J107</f>
        <v>1</v>
      </c>
      <c r="W107" s="32" t="n">
        <f aca="false">$J107</f>
        <v>1</v>
      </c>
      <c r="X107" s="32" t="n">
        <f aca="false">$J107</f>
        <v>1</v>
      </c>
      <c r="Y107" s="32" t="n">
        <f aca="false">$J107</f>
        <v>1</v>
      </c>
      <c r="Z107" s="32" t="n">
        <f aca="false">$J107</f>
        <v>1</v>
      </c>
      <c r="AA107" s="32" t="n">
        <f aca="false">$J107</f>
        <v>1</v>
      </c>
      <c r="AB107" s="5"/>
    </row>
    <row r="108" customFormat="false" ht="15" hidden="false" customHeight="false" outlineLevel="0" collapsed="false">
      <c r="A108" s="4" t="s">
        <v>238</v>
      </c>
      <c r="B108" s="4" t="s">
        <v>772</v>
      </c>
      <c r="C108" s="4" t="s">
        <v>773</v>
      </c>
      <c r="D108" s="5" t="s">
        <v>580</v>
      </c>
      <c r="E108" s="32" t="n">
        <v>1</v>
      </c>
      <c r="F108" s="4" t="s">
        <v>82</v>
      </c>
      <c r="G108" s="5" t="s">
        <v>509</v>
      </c>
      <c r="H108" s="4" t="s">
        <v>581</v>
      </c>
      <c r="I108" s="32" t="n">
        <v>1</v>
      </c>
      <c r="J108" s="32" t="n">
        <f aca="false">E108*I108</f>
        <v>1</v>
      </c>
      <c r="K108" s="4" t="s">
        <v>582</v>
      </c>
      <c r="L108" s="32"/>
      <c r="M108" s="32"/>
      <c r="N108" s="32"/>
      <c r="O108" s="32"/>
      <c r="P108" s="4"/>
      <c r="Q108" s="32"/>
      <c r="R108" s="32" t="n">
        <f aca="false">$J108</f>
        <v>1</v>
      </c>
      <c r="S108" s="32" t="n">
        <f aca="false">$J108</f>
        <v>1</v>
      </c>
      <c r="T108" s="32" t="n">
        <f aca="false">$J108</f>
        <v>1</v>
      </c>
      <c r="U108" s="32" t="n">
        <f aca="false">$J108</f>
        <v>1</v>
      </c>
      <c r="V108" s="32" t="n">
        <f aca="false">$J108</f>
        <v>1</v>
      </c>
      <c r="W108" s="32" t="n">
        <f aca="false">$J108</f>
        <v>1</v>
      </c>
      <c r="X108" s="32" t="n">
        <f aca="false">$J108</f>
        <v>1</v>
      </c>
      <c r="Y108" s="32" t="n">
        <f aca="false">$J108</f>
        <v>1</v>
      </c>
      <c r="Z108" s="32" t="n">
        <f aca="false">$J108</f>
        <v>1</v>
      </c>
      <c r="AA108" s="32" t="n">
        <f aca="false">$J108</f>
        <v>1</v>
      </c>
      <c r="AB108" s="5"/>
    </row>
    <row r="109" customFormat="false" ht="15" hidden="false" customHeight="false" outlineLevel="0" collapsed="false">
      <c r="A109" s="4" t="s">
        <v>238</v>
      </c>
      <c r="B109" s="4" t="s">
        <v>774</v>
      </c>
      <c r="C109" s="4" t="s">
        <v>775</v>
      </c>
      <c r="D109" s="5" t="s">
        <v>585</v>
      </c>
      <c r="E109" s="32" t="n">
        <v>1</v>
      </c>
      <c r="F109" s="4" t="s">
        <v>82</v>
      </c>
      <c r="G109" s="5" t="s">
        <v>509</v>
      </c>
      <c r="H109" s="4" t="s">
        <v>586</v>
      </c>
      <c r="I109" s="32" t="n">
        <v>1</v>
      </c>
      <c r="J109" s="32" t="n">
        <f aca="false">E109*I109</f>
        <v>1</v>
      </c>
      <c r="K109" s="4"/>
      <c r="L109" s="32"/>
      <c r="M109" s="32"/>
      <c r="N109" s="32"/>
      <c r="O109" s="32"/>
      <c r="P109" s="4"/>
      <c r="Q109" s="32"/>
      <c r="R109" s="32" t="n">
        <f aca="false">$J109</f>
        <v>1</v>
      </c>
      <c r="S109" s="32" t="n">
        <f aca="false">$J109</f>
        <v>1</v>
      </c>
      <c r="T109" s="32" t="n">
        <f aca="false">$J109</f>
        <v>1</v>
      </c>
      <c r="U109" s="32" t="n">
        <f aca="false">$J109</f>
        <v>1</v>
      </c>
      <c r="V109" s="32" t="n">
        <f aca="false">$J109</f>
        <v>1</v>
      </c>
      <c r="W109" s="32" t="n">
        <f aca="false">$J109</f>
        <v>1</v>
      </c>
      <c r="X109" s="32" t="n">
        <f aca="false">$J109</f>
        <v>1</v>
      </c>
      <c r="Y109" s="32" t="n">
        <f aca="false">$J109</f>
        <v>1</v>
      </c>
      <c r="Z109" s="32" t="n">
        <f aca="false">$J109</f>
        <v>1</v>
      </c>
      <c r="AA109" s="32" t="n">
        <f aca="false">$J109</f>
        <v>1</v>
      </c>
      <c r="AB109" s="5"/>
    </row>
    <row r="110" customFormat="false" ht="15" hidden="false" customHeight="false" outlineLevel="0" collapsed="false">
      <c r="A110" s="4" t="s">
        <v>238</v>
      </c>
      <c r="B110" s="4" t="s">
        <v>776</v>
      </c>
      <c r="C110" s="4" t="s">
        <v>777</v>
      </c>
      <c r="D110" s="5" t="s">
        <v>687</v>
      </c>
      <c r="E110" s="32" t="n">
        <v>1</v>
      </c>
      <c r="F110" s="4" t="s">
        <v>82</v>
      </c>
      <c r="G110" s="5" t="s">
        <v>509</v>
      </c>
      <c r="H110" s="4" t="s">
        <v>688</v>
      </c>
      <c r="I110" s="32" t="n">
        <v>1</v>
      </c>
      <c r="J110" s="32" t="n">
        <f aca="false">E110*I110</f>
        <v>1</v>
      </c>
      <c r="K110" s="4" t="s">
        <v>689</v>
      </c>
      <c r="L110" s="32"/>
      <c r="M110" s="32"/>
      <c r="N110" s="32"/>
      <c r="O110" s="32"/>
      <c r="P110" s="4"/>
      <c r="Q110" s="32"/>
      <c r="R110" s="32" t="n">
        <f aca="false">$J110</f>
        <v>1</v>
      </c>
      <c r="S110" s="32" t="n">
        <f aca="false">$J110</f>
        <v>1</v>
      </c>
      <c r="T110" s="32" t="n">
        <f aca="false">$J110</f>
        <v>1</v>
      </c>
      <c r="U110" s="32" t="n">
        <f aca="false">$J110</f>
        <v>1</v>
      </c>
      <c r="V110" s="32" t="n">
        <f aca="false">$J110</f>
        <v>1</v>
      </c>
      <c r="W110" s="32" t="n">
        <f aca="false">$J110</f>
        <v>1</v>
      </c>
      <c r="X110" s="32" t="n">
        <f aca="false">$J110</f>
        <v>1</v>
      </c>
      <c r="Y110" s="32" t="n">
        <f aca="false">$J110</f>
        <v>1</v>
      </c>
      <c r="Z110" s="32" t="n">
        <f aca="false">$J110</f>
        <v>1</v>
      </c>
      <c r="AA110" s="32" t="n">
        <f aca="false">$J110</f>
        <v>1</v>
      </c>
      <c r="AB110" s="5"/>
    </row>
    <row r="111" customFormat="false" ht="15" hidden="false" customHeight="false" outlineLevel="0" collapsed="false">
      <c r="A111" s="4" t="s">
        <v>238</v>
      </c>
      <c r="B111" s="4" t="s">
        <v>778</v>
      </c>
      <c r="C111" s="4" t="s">
        <v>779</v>
      </c>
      <c r="D111" s="5" t="s">
        <v>589</v>
      </c>
      <c r="E111" s="32" t="n">
        <v>1</v>
      </c>
      <c r="F111" s="4" t="s">
        <v>82</v>
      </c>
      <c r="G111" s="5" t="s">
        <v>509</v>
      </c>
      <c r="H111" s="4" t="s">
        <v>590</v>
      </c>
      <c r="I111" s="32" t="n">
        <v>1</v>
      </c>
      <c r="J111" s="32" t="n">
        <f aca="false">E111*I111</f>
        <v>1</v>
      </c>
      <c r="K111" s="4"/>
      <c r="L111" s="32"/>
      <c r="M111" s="32"/>
      <c r="N111" s="32"/>
      <c r="O111" s="32"/>
      <c r="P111" s="4"/>
      <c r="Q111" s="32"/>
      <c r="R111" s="32" t="n">
        <f aca="false">$J111</f>
        <v>1</v>
      </c>
      <c r="S111" s="32" t="n">
        <f aca="false">$J111</f>
        <v>1</v>
      </c>
      <c r="T111" s="32" t="n">
        <f aca="false">$J111</f>
        <v>1</v>
      </c>
      <c r="U111" s="32" t="n">
        <f aca="false">$J111</f>
        <v>1</v>
      </c>
      <c r="V111" s="32" t="n">
        <f aca="false">$J111</f>
        <v>1</v>
      </c>
      <c r="W111" s="32" t="n">
        <f aca="false">$J111</f>
        <v>1</v>
      </c>
      <c r="X111" s="32" t="n">
        <f aca="false">$J111</f>
        <v>1</v>
      </c>
      <c r="Y111" s="32" t="n">
        <f aca="false">$J111</f>
        <v>1</v>
      </c>
      <c r="Z111" s="32" t="n">
        <f aca="false">$J111</f>
        <v>1</v>
      </c>
      <c r="AA111" s="32" t="n">
        <f aca="false">$J111</f>
        <v>1</v>
      </c>
      <c r="AB111" s="5"/>
    </row>
    <row r="112" customFormat="false" ht="15" hidden="false" customHeight="false" outlineLevel="0" collapsed="false">
      <c r="A112" s="4" t="s">
        <v>238</v>
      </c>
      <c r="B112" s="4" t="s">
        <v>780</v>
      </c>
      <c r="C112" s="4" t="s">
        <v>781</v>
      </c>
      <c r="D112" s="5" t="s">
        <v>593</v>
      </c>
      <c r="E112" s="32" t="n">
        <v>1</v>
      </c>
      <c r="F112" s="4" t="s">
        <v>82</v>
      </c>
      <c r="G112" s="5" t="s">
        <v>509</v>
      </c>
      <c r="H112" s="4" t="s">
        <v>594</v>
      </c>
      <c r="I112" s="32" t="n">
        <v>1</v>
      </c>
      <c r="J112" s="32" t="n">
        <f aca="false">E112*I112</f>
        <v>1</v>
      </c>
      <c r="K112" s="4"/>
      <c r="L112" s="32"/>
      <c r="M112" s="32"/>
      <c r="N112" s="32"/>
      <c r="O112" s="32"/>
      <c r="P112" s="4"/>
      <c r="Q112" s="32"/>
      <c r="R112" s="32" t="n">
        <f aca="false">$J112</f>
        <v>1</v>
      </c>
      <c r="S112" s="32" t="n">
        <f aca="false">$J112</f>
        <v>1</v>
      </c>
      <c r="T112" s="32" t="n">
        <f aca="false">$J112</f>
        <v>1</v>
      </c>
      <c r="U112" s="32" t="n">
        <f aca="false">$J112</f>
        <v>1</v>
      </c>
      <c r="V112" s="32" t="n">
        <f aca="false">$J112</f>
        <v>1</v>
      </c>
      <c r="W112" s="32" t="n">
        <f aca="false">$J112</f>
        <v>1</v>
      </c>
      <c r="X112" s="32" t="n">
        <f aca="false">$J112</f>
        <v>1</v>
      </c>
      <c r="Y112" s="32" t="n">
        <f aca="false">$J112</f>
        <v>1</v>
      </c>
      <c r="Z112" s="32" t="n">
        <f aca="false">$J112</f>
        <v>1</v>
      </c>
      <c r="AA112" s="32" t="n">
        <f aca="false">$J112</f>
        <v>1</v>
      </c>
      <c r="AB112" s="5"/>
    </row>
    <row r="113" customFormat="false" ht="15" hidden="false" customHeight="false" outlineLevel="0" collapsed="false">
      <c r="A113" s="4" t="s">
        <v>238</v>
      </c>
      <c r="B113" s="4" t="s">
        <v>782</v>
      </c>
      <c r="C113" s="4" t="s">
        <v>783</v>
      </c>
      <c r="D113" s="5" t="s">
        <v>597</v>
      </c>
      <c r="E113" s="32" t="n">
        <v>1</v>
      </c>
      <c r="F113" s="4" t="s">
        <v>82</v>
      </c>
      <c r="G113" s="5" t="s">
        <v>509</v>
      </c>
      <c r="H113" s="4" t="s">
        <v>598</v>
      </c>
      <c r="I113" s="32" t="n">
        <v>1</v>
      </c>
      <c r="J113" s="32" t="n">
        <f aca="false">E113*I113</f>
        <v>1</v>
      </c>
      <c r="K113" s="4"/>
      <c r="L113" s="32"/>
      <c r="M113" s="32"/>
      <c r="N113" s="32"/>
      <c r="O113" s="32"/>
      <c r="P113" s="4"/>
      <c r="Q113" s="32"/>
      <c r="R113" s="32" t="n">
        <f aca="false">$J113</f>
        <v>1</v>
      </c>
      <c r="S113" s="32" t="n">
        <f aca="false">$J113</f>
        <v>1</v>
      </c>
      <c r="T113" s="32" t="n">
        <f aca="false">$J113</f>
        <v>1</v>
      </c>
      <c r="U113" s="32" t="n">
        <f aca="false">$J113</f>
        <v>1</v>
      </c>
      <c r="V113" s="32" t="n">
        <f aca="false">$J113</f>
        <v>1</v>
      </c>
      <c r="W113" s="32" t="n">
        <f aca="false">$J113</f>
        <v>1</v>
      </c>
      <c r="X113" s="32" t="n">
        <f aca="false">$J113</f>
        <v>1</v>
      </c>
      <c r="Y113" s="32" t="n">
        <f aca="false">$J113</f>
        <v>1</v>
      </c>
      <c r="Z113" s="32" t="n">
        <f aca="false">$J113</f>
        <v>1</v>
      </c>
      <c r="AA113" s="32" t="n">
        <f aca="false">$J113</f>
        <v>1</v>
      </c>
      <c r="AB113" s="5"/>
    </row>
    <row r="114" customFormat="false" ht="15" hidden="false" customHeight="false" outlineLevel="0" collapsed="false">
      <c r="A114" s="4" t="s">
        <v>238</v>
      </c>
      <c r="B114" s="4" t="s">
        <v>784</v>
      </c>
      <c r="C114" s="4" t="s">
        <v>785</v>
      </c>
      <c r="D114" s="5" t="s">
        <v>698</v>
      </c>
      <c r="E114" s="32" t="n">
        <v>1</v>
      </c>
      <c r="F114" s="4" t="s">
        <v>82</v>
      </c>
      <c r="G114" s="5" t="s">
        <v>509</v>
      </c>
      <c r="H114" s="4" t="s">
        <v>786</v>
      </c>
      <c r="I114" s="32" t="n">
        <v>1</v>
      </c>
      <c r="J114" s="32" t="n">
        <f aca="false">E114*I114</f>
        <v>1</v>
      </c>
      <c r="K114" s="4"/>
      <c r="L114" s="32"/>
      <c r="M114" s="32"/>
      <c r="N114" s="32"/>
      <c r="O114" s="32"/>
      <c r="P114" s="4"/>
      <c r="Q114" s="32"/>
      <c r="R114" s="32" t="n">
        <f aca="false">$J114</f>
        <v>1</v>
      </c>
      <c r="S114" s="32" t="n">
        <f aca="false">$J114</f>
        <v>1</v>
      </c>
      <c r="T114" s="32" t="n">
        <f aca="false">$J114</f>
        <v>1</v>
      </c>
      <c r="U114" s="32" t="n">
        <f aca="false">$J114</f>
        <v>1</v>
      </c>
      <c r="V114" s="32" t="n">
        <f aca="false">$J114</f>
        <v>1</v>
      </c>
      <c r="W114" s="32" t="n">
        <f aca="false">$J114</f>
        <v>1</v>
      </c>
      <c r="X114" s="32" t="n">
        <f aca="false">$J114</f>
        <v>1</v>
      </c>
      <c r="Y114" s="32" t="n">
        <f aca="false">$J114</f>
        <v>1</v>
      </c>
      <c r="Z114" s="32" t="n">
        <f aca="false">$J114</f>
        <v>1</v>
      </c>
      <c r="AA114" s="32" t="n">
        <f aca="false">$J114</f>
        <v>1</v>
      </c>
      <c r="AB114" s="5"/>
    </row>
    <row r="115" customFormat="false" ht="15" hidden="false" customHeight="false" outlineLevel="0" collapsed="false">
      <c r="A115" s="4" t="s">
        <v>238</v>
      </c>
      <c r="B115" s="4" t="s">
        <v>787</v>
      </c>
      <c r="C115" s="4" t="s">
        <v>788</v>
      </c>
      <c r="D115" s="5" t="s">
        <v>702</v>
      </c>
      <c r="E115" s="32" t="n">
        <v>2</v>
      </c>
      <c r="F115" s="4" t="s">
        <v>82</v>
      </c>
      <c r="G115" s="5" t="s">
        <v>509</v>
      </c>
      <c r="H115" s="4" t="s">
        <v>703</v>
      </c>
      <c r="I115" s="32" t="n">
        <v>1</v>
      </c>
      <c r="J115" s="32" t="n">
        <f aca="false">E115*I115</f>
        <v>2</v>
      </c>
      <c r="K115" s="4"/>
      <c r="L115" s="32"/>
      <c r="M115" s="32"/>
      <c r="N115" s="32"/>
      <c r="O115" s="32"/>
      <c r="P115" s="4"/>
      <c r="Q115" s="32"/>
      <c r="R115" s="32" t="n">
        <f aca="false">$J115</f>
        <v>2</v>
      </c>
      <c r="S115" s="32" t="n">
        <f aca="false">$J115</f>
        <v>2</v>
      </c>
      <c r="T115" s="32" t="n">
        <f aca="false">$J115</f>
        <v>2</v>
      </c>
      <c r="U115" s="32" t="n">
        <f aca="false">$J115</f>
        <v>2</v>
      </c>
      <c r="V115" s="32" t="n">
        <f aca="false">$J115</f>
        <v>2</v>
      </c>
      <c r="W115" s="32" t="n">
        <f aca="false">$J115</f>
        <v>2</v>
      </c>
      <c r="X115" s="32" t="n">
        <f aca="false">$J115</f>
        <v>2</v>
      </c>
      <c r="Y115" s="32" t="n">
        <f aca="false">$J115</f>
        <v>2</v>
      </c>
      <c r="Z115" s="32" t="n">
        <f aca="false">$J115</f>
        <v>2</v>
      </c>
      <c r="AA115" s="32" t="n">
        <f aca="false">$J115</f>
        <v>2</v>
      </c>
      <c r="AB115" s="5"/>
    </row>
    <row r="116" customFormat="false" ht="15" hidden="false" customHeight="false" outlineLevel="0" collapsed="false">
      <c r="A116" s="4" t="s">
        <v>264</v>
      </c>
      <c r="B116" s="4" t="s">
        <v>713</v>
      </c>
      <c r="C116" s="4" t="s">
        <v>789</v>
      </c>
      <c r="D116" s="5" t="s">
        <v>490</v>
      </c>
      <c r="E116" s="32" t="n">
        <v>1</v>
      </c>
      <c r="F116" s="4" t="s">
        <v>82</v>
      </c>
      <c r="G116" s="5" t="s">
        <v>491</v>
      </c>
      <c r="H116" s="4" t="s">
        <v>715</v>
      </c>
      <c r="I116" s="32" t="n">
        <f aca="false">FAB_COMPRA!K12</f>
        <v>0.0833333333333333</v>
      </c>
      <c r="J116" s="32" t="n">
        <f aca="false">E116*I116</f>
        <v>0.0833333333333333</v>
      </c>
      <c r="K116" s="4"/>
      <c r="L116" s="32"/>
      <c r="M116" s="32"/>
      <c r="N116" s="32"/>
      <c r="O116" s="32"/>
      <c r="P116" s="4"/>
      <c r="Q116" s="32"/>
      <c r="R116" s="32" t="n">
        <f aca="false">$J116</f>
        <v>0.0833333333333333</v>
      </c>
      <c r="S116" s="32" t="n">
        <f aca="false">$J116</f>
        <v>0.0833333333333333</v>
      </c>
      <c r="T116" s="32" t="n">
        <f aca="false">$J116</f>
        <v>0.0833333333333333</v>
      </c>
      <c r="U116" s="32" t="n">
        <f aca="false">$J116</f>
        <v>0.0833333333333333</v>
      </c>
      <c r="V116" s="32" t="n">
        <f aca="false">$J116</f>
        <v>0.0833333333333333</v>
      </c>
      <c r="W116" s="32" t="n">
        <f aca="false">$J116</f>
        <v>0.0833333333333333</v>
      </c>
      <c r="X116" s="32" t="n">
        <f aca="false">$J116</f>
        <v>0.0833333333333333</v>
      </c>
      <c r="Y116" s="32" t="n">
        <f aca="false">$J116</f>
        <v>0.0833333333333333</v>
      </c>
      <c r="Z116" s="32" t="n">
        <f aca="false">$J116</f>
        <v>0.0833333333333333</v>
      </c>
      <c r="AA116" s="32" t="n">
        <f aca="false">$J116</f>
        <v>0.0833333333333333</v>
      </c>
      <c r="AB116" s="5" t="s">
        <v>493</v>
      </c>
    </row>
    <row r="117" customFormat="false" ht="15" hidden="false" customHeight="false" outlineLevel="0" collapsed="false">
      <c r="A117" s="4" t="s">
        <v>264</v>
      </c>
      <c r="B117" s="4" t="s">
        <v>716</v>
      </c>
      <c r="C117" s="4" t="s">
        <v>790</v>
      </c>
      <c r="D117" s="5" t="s">
        <v>496</v>
      </c>
      <c r="E117" s="32" t="n">
        <v>1</v>
      </c>
      <c r="F117" s="4" t="s">
        <v>82</v>
      </c>
      <c r="G117" s="5" t="s">
        <v>491</v>
      </c>
      <c r="H117" s="4" t="s">
        <v>718</v>
      </c>
      <c r="I117" s="32" t="n">
        <f aca="false">FAB_COMPRA!K13</f>
        <v>0.698964</v>
      </c>
      <c r="J117" s="32" t="n">
        <f aca="false">E117*I117</f>
        <v>0.698964</v>
      </c>
      <c r="K117" s="4"/>
      <c r="L117" s="32"/>
      <c r="M117" s="32"/>
      <c r="N117" s="32"/>
      <c r="O117" s="32"/>
      <c r="P117" s="4"/>
      <c r="Q117" s="32"/>
      <c r="R117" s="32" t="n">
        <f aca="false">$J117</f>
        <v>0.698964</v>
      </c>
      <c r="S117" s="32" t="n">
        <f aca="false">$J117</f>
        <v>0.698964</v>
      </c>
      <c r="T117" s="32" t="n">
        <f aca="false">$J117</f>
        <v>0.698964</v>
      </c>
      <c r="U117" s="32" t="n">
        <f aca="false">$J117</f>
        <v>0.698964</v>
      </c>
      <c r="V117" s="32" t="n">
        <f aca="false">$J117</f>
        <v>0.698964</v>
      </c>
      <c r="W117" s="32" t="n">
        <f aca="false">$J117</f>
        <v>0.698964</v>
      </c>
      <c r="X117" s="32" t="n">
        <f aca="false">$J117</f>
        <v>0.698964</v>
      </c>
      <c r="Y117" s="32" t="n">
        <f aca="false">$J117</f>
        <v>0.698964</v>
      </c>
      <c r="Z117" s="32" t="n">
        <f aca="false">$J117</f>
        <v>0.698964</v>
      </c>
      <c r="AA117" s="32" t="n">
        <f aca="false">$J117</f>
        <v>0.698964</v>
      </c>
      <c r="AB117" s="5" t="s">
        <v>493</v>
      </c>
    </row>
    <row r="118" customFormat="false" ht="15" hidden="false" customHeight="false" outlineLevel="0" collapsed="false">
      <c r="A118" s="4" t="s">
        <v>264</v>
      </c>
      <c r="B118" s="4" t="s">
        <v>719</v>
      </c>
      <c r="C118" s="4" t="s">
        <v>791</v>
      </c>
      <c r="D118" s="5" t="s">
        <v>500</v>
      </c>
      <c r="E118" s="32" t="n">
        <v>1</v>
      </c>
      <c r="F118" s="4" t="s">
        <v>82</v>
      </c>
      <c r="G118" s="5" t="s">
        <v>491</v>
      </c>
      <c r="H118" s="4" t="s">
        <v>721</v>
      </c>
      <c r="I118" s="32" t="n">
        <f aca="false">FAB_COMPRA!K14</f>
        <v>0.4486432</v>
      </c>
      <c r="J118" s="32" t="n">
        <f aca="false">E118*I118</f>
        <v>0.4486432</v>
      </c>
      <c r="K118" s="4"/>
      <c r="L118" s="32"/>
      <c r="M118" s="32"/>
      <c r="N118" s="32"/>
      <c r="O118" s="32"/>
      <c r="P118" s="4"/>
      <c r="Q118" s="32"/>
      <c r="R118" s="32" t="n">
        <f aca="false">$J118</f>
        <v>0.4486432</v>
      </c>
      <c r="S118" s="32" t="n">
        <f aca="false">$J118</f>
        <v>0.4486432</v>
      </c>
      <c r="T118" s="32" t="n">
        <f aca="false">$J118</f>
        <v>0.4486432</v>
      </c>
      <c r="U118" s="32" t="n">
        <f aca="false">$J118</f>
        <v>0.4486432</v>
      </c>
      <c r="V118" s="32" t="n">
        <f aca="false">$J118</f>
        <v>0.4486432</v>
      </c>
      <c r="W118" s="32" t="n">
        <f aca="false">$J118</f>
        <v>0.4486432</v>
      </c>
      <c r="X118" s="32" t="n">
        <f aca="false">$J118</f>
        <v>0.4486432</v>
      </c>
      <c r="Y118" s="32" t="n">
        <f aca="false">$J118</f>
        <v>0.4486432</v>
      </c>
      <c r="Z118" s="32" t="n">
        <f aca="false">$J118</f>
        <v>0.4486432</v>
      </c>
      <c r="AA118" s="32" t="n">
        <f aca="false">$J118</f>
        <v>0.4486432</v>
      </c>
      <c r="AB118" s="5" t="s">
        <v>493</v>
      </c>
    </row>
    <row r="119" customFormat="false" ht="15" hidden="false" customHeight="false" outlineLevel="0" collapsed="false">
      <c r="A119" s="4" t="s">
        <v>264</v>
      </c>
      <c r="B119" s="4" t="s">
        <v>722</v>
      </c>
      <c r="C119" s="4" t="s">
        <v>792</v>
      </c>
      <c r="D119" s="5" t="s">
        <v>504</v>
      </c>
      <c r="E119" s="32" t="n">
        <v>1</v>
      </c>
      <c r="F119" s="4" t="s">
        <v>82</v>
      </c>
      <c r="G119" s="5" t="s">
        <v>491</v>
      </c>
      <c r="H119" s="4" t="s">
        <v>625</v>
      </c>
      <c r="I119" s="32" t="n">
        <f aca="false">FAB_COMPRA!K15</f>
        <v>1</v>
      </c>
      <c r="J119" s="32" t="n">
        <f aca="false">E119*I119</f>
        <v>1</v>
      </c>
      <c r="K119" s="4"/>
      <c r="L119" s="32"/>
      <c r="M119" s="32"/>
      <c r="N119" s="32"/>
      <c r="O119" s="32"/>
      <c r="P119" s="4"/>
      <c r="Q119" s="32"/>
      <c r="R119" s="32" t="n">
        <f aca="false">$J119</f>
        <v>1</v>
      </c>
      <c r="S119" s="32" t="n">
        <f aca="false">$J119</f>
        <v>1</v>
      </c>
      <c r="T119" s="32" t="n">
        <f aca="false">$J119</f>
        <v>1</v>
      </c>
      <c r="U119" s="32" t="n">
        <f aca="false">$J119</f>
        <v>1</v>
      </c>
      <c r="V119" s="32" t="n">
        <f aca="false">$J119</f>
        <v>1</v>
      </c>
      <c r="W119" s="32" t="n">
        <f aca="false">$J119</f>
        <v>1</v>
      </c>
      <c r="X119" s="32" t="n">
        <f aca="false">$J119</f>
        <v>1</v>
      </c>
      <c r="Y119" s="32" t="n">
        <f aca="false">$J119</f>
        <v>1</v>
      </c>
      <c r="Z119" s="32" t="n">
        <f aca="false">$J119</f>
        <v>1</v>
      </c>
      <c r="AA119" s="32" t="n">
        <f aca="false">$J119</f>
        <v>1</v>
      </c>
      <c r="AB119" s="5" t="s">
        <v>493</v>
      </c>
    </row>
    <row r="120" customFormat="false" ht="15" hidden="false" customHeight="false" outlineLevel="0" collapsed="false">
      <c r="A120" s="4" t="s">
        <v>264</v>
      </c>
      <c r="B120" s="4" t="s">
        <v>793</v>
      </c>
      <c r="C120" s="4" t="s">
        <v>794</v>
      </c>
      <c r="D120" s="5" t="s">
        <v>609</v>
      </c>
      <c r="E120" s="32" t="n">
        <v>1</v>
      </c>
      <c r="F120" s="4" t="s">
        <v>82</v>
      </c>
      <c r="G120" s="5" t="s">
        <v>509</v>
      </c>
      <c r="H120" s="4" t="s">
        <v>710</v>
      </c>
      <c r="I120" s="32" t="n">
        <v>1</v>
      </c>
      <c r="J120" s="32" t="n">
        <f aca="false">E120*I120</f>
        <v>1</v>
      </c>
      <c r="K120" s="4"/>
      <c r="L120" s="32"/>
      <c r="M120" s="32"/>
      <c r="N120" s="32"/>
      <c r="O120" s="32"/>
      <c r="P120" s="4"/>
      <c r="Q120" s="32"/>
      <c r="R120" s="32" t="n">
        <f aca="false">$J120</f>
        <v>1</v>
      </c>
      <c r="S120" s="32" t="n">
        <f aca="false">$J120</f>
        <v>1</v>
      </c>
      <c r="T120" s="32" t="n">
        <f aca="false">$J120</f>
        <v>1</v>
      </c>
      <c r="U120" s="32" t="n">
        <f aca="false">$J120</f>
        <v>1</v>
      </c>
      <c r="V120" s="32" t="n">
        <f aca="false">$J120</f>
        <v>1</v>
      </c>
      <c r="W120" s="32" t="n">
        <f aca="false">$J120</f>
        <v>1</v>
      </c>
      <c r="X120" s="32" t="n">
        <f aca="false">$J120</f>
        <v>1</v>
      </c>
      <c r="Y120" s="32" t="n">
        <f aca="false">$J120</f>
        <v>1</v>
      </c>
      <c r="Z120" s="32" t="n">
        <f aca="false">$J120</f>
        <v>1</v>
      </c>
      <c r="AA120" s="32" t="n">
        <f aca="false">$J120</f>
        <v>1</v>
      </c>
      <c r="AB120" s="5"/>
    </row>
    <row r="121" customFormat="false" ht="15" hidden="false" customHeight="false" outlineLevel="0" collapsed="false">
      <c r="A121" s="4" t="s">
        <v>264</v>
      </c>
      <c r="B121" s="4" t="s">
        <v>795</v>
      </c>
      <c r="C121" s="4" t="s">
        <v>796</v>
      </c>
      <c r="D121" s="5" t="s">
        <v>613</v>
      </c>
      <c r="E121" s="32" t="n">
        <v>1</v>
      </c>
      <c r="F121" s="4" t="s">
        <v>82</v>
      </c>
      <c r="G121" s="5" t="s">
        <v>509</v>
      </c>
      <c r="H121" s="4" t="s">
        <v>614</v>
      </c>
      <c r="I121" s="32" t="n">
        <v>1</v>
      </c>
      <c r="J121" s="32" t="n">
        <f aca="false">E121*I121</f>
        <v>1</v>
      </c>
      <c r="K121" s="4"/>
      <c r="L121" s="32"/>
      <c r="M121" s="32"/>
      <c r="N121" s="32"/>
      <c r="O121" s="32"/>
      <c r="P121" s="4"/>
      <c r="Q121" s="32"/>
      <c r="R121" s="32" t="n">
        <f aca="false">$J121</f>
        <v>1</v>
      </c>
      <c r="S121" s="32" t="n">
        <f aca="false">$J121</f>
        <v>1</v>
      </c>
      <c r="T121" s="32" t="n">
        <f aca="false">$J121</f>
        <v>1</v>
      </c>
      <c r="U121" s="32" t="n">
        <f aca="false">$J121</f>
        <v>1</v>
      </c>
      <c r="V121" s="32" t="n">
        <f aca="false">$J121</f>
        <v>1</v>
      </c>
      <c r="W121" s="32" t="n">
        <f aca="false">$J121</f>
        <v>1</v>
      </c>
      <c r="X121" s="32" t="n">
        <f aca="false">$J121</f>
        <v>1</v>
      </c>
      <c r="Y121" s="32" t="n">
        <f aca="false">$J121</f>
        <v>1</v>
      </c>
      <c r="Z121" s="32" t="n">
        <f aca="false">$J121</f>
        <v>1</v>
      </c>
      <c r="AA121" s="32" t="n">
        <f aca="false">$J121</f>
        <v>1</v>
      </c>
      <c r="AB121" s="5"/>
    </row>
    <row r="122" customFormat="false" ht="15" hidden="false" customHeight="false" outlineLevel="0" collapsed="false">
      <c r="A122" s="4" t="s">
        <v>241</v>
      </c>
      <c r="B122" s="4" t="s">
        <v>797</v>
      </c>
      <c r="C122" s="4" t="s">
        <v>798</v>
      </c>
      <c r="D122" s="5" t="s">
        <v>490</v>
      </c>
      <c r="E122" s="32" t="n">
        <v>1</v>
      </c>
      <c r="F122" s="4" t="s">
        <v>82</v>
      </c>
      <c r="G122" s="5" t="s">
        <v>491</v>
      </c>
      <c r="H122" s="4" t="s">
        <v>799</v>
      </c>
      <c r="I122" s="32" t="n">
        <f aca="false">FAB_COMPRA!K16</f>
        <v>0.0666666666666667</v>
      </c>
      <c r="J122" s="32" t="n">
        <f aca="false">E122*I122</f>
        <v>0.0666666666666667</v>
      </c>
      <c r="K122" s="4"/>
      <c r="L122" s="32"/>
      <c r="M122" s="32"/>
      <c r="N122" s="32"/>
      <c r="O122" s="32"/>
      <c r="P122" s="4"/>
      <c r="Q122" s="32"/>
      <c r="R122" s="32" t="n">
        <f aca="false">$J122</f>
        <v>0.0666666666666667</v>
      </c>
      <c r="S122" s="32" t="n">
        <f aca="false">$J122</f>
        <v>0.0666666666666667</v>
      </c>
      <c r="T122" s="32" t="n">
        <f aca="false">$J122</f>
        <v>0.0666666666666667</v>
      </c>
      <c r="U122" s="32" t="n">
        <f aca="false">$J122</f>
        <v>0.0666666666666667</v>
      </c>
      <c r="V122" s="32" t="n">
        <f aca="false">$J122</f>
        <v>0.0666666666666667</v>
      </c>
      <c r="W122" s="32" t="n">
        <f aca="false">$J122</f>
        <v>0.0666666666666667</v>
      </c>
      <c r="X122" s="32" t="n">
        <f aca="false">$J122</f>
        <v>0.0666666666666667</v>
      </c>
      <c r="Y122" s="32" t="n">
        <f aca="false">$J122</f>
        <v>0.0666666666666667</v>
      </c>
      <c r="Z122" s="32" t="n">
        <f aca="false">$J122</f>
        <v>0.0666666666666667</v>
      </c>
      <c r="AA122" s="32" t="n">
        <f aca="false">$J122</f>
        <v>0.0666666666666667</v>
      </c>
      <c r="AB122" s="5" t="s">
        <v>493</v>
      </c>
    </row>
    <row r="123" customFormat="false" ht="15" hidden="false" customHeight="false" outlineLevel="0" collapsed="false">
      <c r="A123" s="4" t="s">
        <v>241</v>
      </c>
      <c r="B123" s="4" t="s">
        <v>800</v>
      </c>
      <c r="C123" s="4" t="s">
        <v>801</v>
      </c>
      <c r="D123" s="5" t="s">
        <v>496</v>
      </c>
      <c r="E123" s="32" t="n">
        <v>1</v>
      </c>
      <c r="F123" s="4" t="s">
        <v>82</v>
      </c>
      <c r="G123" s="5" t="s">
        <v>491</v>
      </c>
      <c r="H123" s="4" t="s">
        <v>802</v>
      </c>
      <c r="I123" s="32" t="n">
        <f aca="false">FAB_COMPRA!K17</f>
        <v>0.9781728</v>
      </c>
      <c r="J123" s="32" t="n">
        <f aca="false">E123*I123</f>
        <v>0.9781728</v>
      </c>
      <c r="K123" s="4"/>
      <c r="L123" s="32"/>
      <c r="M123" s="32"/>
      <c r="N123" s="32"/>
      <c r="O123" s="32"/>
      <c r="P123" s="4"/>
      <c r="Q123" s="32"/>
      <c r="R123" s="32" t="n">
        <f aca="false">$J123</f>
        <v>0.9781728</v>
      </c>
      <c r="S123" s="32" t="n">
        <f aca="false">$J123</f>
        <v>0.9781728</v>
      </c>
      <c r="T123" s="32" t="n">
        <f aca="false">$J123</f>
        <v>0.9781728</v>
      </c>
      <c r="U123" s="32" t="n">
        <f aca="false">$J123</f>
        <v>0.9781728</v>
      </c>
      <c r="V123" s="32" t="n">
        <f aca="false">$J123</f>
        <v>0.9781728</v>
      </c>
      <c r="W123" s="32" t="n">
        <f aca="false">$J123</f>
        <v>0.9781728</v>
      </c>
      <c r="X123" s="32" t="n">
        <f aca="false">$J123</f>
        <v>0.9781728</v>
      </c>
      <c r="Y123" s="32" t="n">
        <f aca="false">$J123</f>
        <v>0.9781728</v>
      </c>
      <c r="Z123" s="32" t="n">
        <f aca="false">$J123</f>
        <v>0.9781728</v>
      </c>
      <c r="AA123" s="32" t="n">
        <f aca="false">$J123</f>
        <v>0.9781728</v>
      </c>
      <c r="AB123" s="5" t="s">
        <v>493</v>
      </c>
    </row>
    <row r="124" customFormat="false" ht="15" hidden="false" customHeight="false" outlineLevel="0" collapsed="false">
      <c r="A124" s="4" t="s">
        <v>241</v>
      </c>
      <c r="B124" s="4" t="s">
        <v>803</v>
      </c>
      <c r="C124" s="4" t="s">
        <v>804</v>
      </c>
      <c r="D124" s="5" t="s">
        <v>500</v>
      </c>
      <c r="E124" s="32" t="n">
        <v>1</v>
      </c>
      <c r="F124" s="4" t="s">
        <v>82</v>
      </c>
      <c r="G124" s="5" t="s">
        <v>491</v>
      </c>
      <c r="H124" s="4" t="s">
        <v>805</v>
      </c>
      <c r="I124" s="32" t="n">
        <f aca="false">FAB_COMPRA!K18</f>
        <v>0.8092251</v>
      </c>
      <c r="J124" s="32" t="n">
        <f aca="false">E124*I124</f>
        <v>0.8092251</v>
      </c>
      <c r="K124" s="4"/>
      <c r="L124" s="32"/>
      <c r="M124" s="32"/>
      <c r="N124" s="32"/>
      <c r="O124" s="32"/>
      <c r="P124" s="4"/>
      <c r="Q124" s="32"/>
      <c r="R124" s="32" t="n">
        <f aca="false">$J124</f>
        <v>0.8092251</v>
      </c>
      <c r="S124" s="32" t="n">
        <f aca="false">$J124</f>
        <v>0.8092251</v>
      </c>
      <c r="T124" s="32" t="n">
        <f aca="false">$J124</f>
        <v>0.8092251</v>
      </c>
      <c r="U124" s="32" t="n">
        <f aca="false">$J124</f>
        <v>0.8092251</v>
      </c>
      <c r="V124" s="32" t="n">
        <f aca="false">$J124</f>
        <v>0.8092251</v>
      </c>
      <c r="W124" s="32" t="n">
        <f aca="false">$J124</f>
        <v>0.8092251</v>
      </c>
      <c r="X124" s="32" t="n">
        <f aca="false">$J124</f>
        <v>0.8092251</v>
      </c>
      <c r="Y124" s="32" t="n">
        <f aca="false">$J124</f>
        <v>0.8092251</v>
      </c>
      <c r="Z124" s="32" t="n">
        <f aca="false">$J124</f>
        <v>0.8092251</v>
      </c>
      <c r="AA124" s="32" t="n">
        <f aca="false">$J124</f>
        <v>0.8092251</v>
      </c>
      <c r="AB124" s="5" t="s">
        <v>493</v>
      </c>
    </row>
    <row r="125" customFormat="false" ht="15" hidden="false" customHeight="false" outlineLevel="0" collapsed="false">
      <c r="A125" s="4" t="s">
        <v>241</v>
      </c>
      <c r="B125" s="4" t="s">
        <v>806</v>
      </c>
      <c r="C125" s="4" t="s">
        <v>807</v>
      </c>
      <c r="D125" s="5" t="s">
        <v>504</v>
      </c>
      <c r="E125" s="32" t="n">
        <v>1</v>
      </c>
      <c r="F125" s="4" t="s">
        <v>82</v>
      </c>
      <c r="G125" s="5" t="s">
        <v>491</v>
      </c>
      <c r="H125" s="4" t="s">
        <v>625</v>
      </c>
      <c r="I125" s="32" t="n">
        <f aca="false">FAB_COMPRA!K19</f>
        <v>1</v>
      </c>
      <c r="J125" s="32" t="n">
        <f aca="false">E125*I125</f>
        <v>1</v>
      </c>
      <c r="K125" s="4"/>
      <c r="L125" s="32"/>
      <c r="M125" s="32"/>
      <c r="N125" s="32"/>
      <c r="O125" s="32"/>
      <c r="P125" s="4"/>
      <c r="Q125" s="32"/>
      <c r="R125" s="32" t="n">
        <f aca="false">$J125</f>
        <v>1</v>
      </c>
      <c r="S125" s="32" t="n">
        <f aca="false">$J125</f>
        <v>1</v>
      </c>
      <c r="T125" s="32" t="n">
        <f aca="false">$J125</f>
        <v>1</v>
      </c>
      <c r="U125" s="32" t="n">
        <f aca="false">$J125</f>
        <v>1</v>
      </c>
      <c r="V125" s="32" t="n">
        <f aca="false">$J125</f>
        <v>1</v>
      </c>
      <c r="W125" s="32" t="n">
        <f aca="false">$J125</f>
        <v>1</v>
      </c>
      <c r="X125" s="32" t="n">
        <f aca="false">$J125</f>
        <v>1</v>
      </c>
      <c r="Y125" s="32" t="n">
        <f aca="false">$J125</f>
        <v>1</v>
      </c>
      <c r="Z125" s="32" t="n">
        <f aca="false">$J125</f>
        <v>1</v>
      </c>
      <c r="AA125" s="32" t="n">
        <f aca="false">$J125</f>
        <v>1</v>
      </c>
      <c r="AB125" s="5" t="s">
        <v>493</v>
      </c>
    </row>
    <row r="126" customFormat="false" ht="15" hidden="false" customHeight="false" outlineLevel="0" collapsed="false">
      <c r="A126" s="4" t="s">
        <v>241</v>
      </c>
      <c r="B126" s="4" t="s">
        <v>808</v>
      </c>
      <c r="C126" s="4" t="s">
        <v>809</v>
      </c>
      <c r="D126" s="5" t="s">
        <v>508</v>
      </c>
      <c r="E126" s="32" t="n">
        <v>1</v>
      </c>
      <c r="F126" s="4" t="s">
        <v>82</v>
      </c>
      <c r="G126" s="5" t="s">
        <v>509</v>
      </c>
      <c r="H126" s="4" t="s">
        <v>510</v>
      </c>
      <c r="I126" s="32" t="n">
        <v>1</v>
      </c>
      <c r="J126" s="32" t="n">
        <f aca="false">E126*I126</f>
        <v>1</v>
      </c>
      <c r="K126" s="4"/>
      <c r="L126" s="32"/>
      <c r="M126" s="32"/>
      <c r="N126" s="32"/>
      <c r="O126" s="32"/>
      <c r="P126" s="4"/>
      <c r="Q126" s="32"/>
      <c r="R126" s="32" t="n">
        <f aca="false">$J126</f>
        <v>1</v>
      </c>
      <c r="S126" s="32" t="n">
        <f aca="false">$J126</f>
        <v>1</v>
      </c>
      <c r="T126" s="32" t="n">
        <f aca="false">$J126</f>
        <v>1</v>
      </c>
      <c r="U126" s="32" t="n">
        <f aca="false">$J126</f>
        <v>1</v>
      </c>
      <c r="V126" s="32" t="n">
        <f aca="false">$J126</f>
        <v>1</v>
      </c>
      <c r="W126" s="32" t="n">
        <f aca="false">$J126</f>
        <v>1</v>
      </c>
      <c r="X126" s="32" t="n">
        <f aca="false">$J126</f>
        <v>1</v>
      </c>
      <c r="Y126" s="32" t="n">
        <f aca="false">$J126</f>
        <v>1</v>
      </c>
      <c r="Z126" s="32" t="n">
        <f aca="false">$J126</f>
        <v>1</v>
      </c>
      <c r="AA126" s="32" t="n">
        <f aca="false">$J126</f>
        <v>1</v>
      </c>
      <c r="AB126" s="5"/>
    </row>
    <row r="127" customFormat="false" ht="15" hidden="false" customHeight="false" outlineLevel="0" collapsed="false">
      <c r="A127" s="4" t="s">
        <v>241</v>
      </c>
      <c r="B127" s="4" t="s">
        <v>810</v>
      </c>
      <c r="C127" s="4" t="s">
        <v>811</v>
      </c>
      <c r="D127" s="5" t="s">
        <v>513</v>
      </c>
      <c r="E127" s="32" t="n">
        <v>1</v>
      </c>
      <c r="F127" s="4" t="s">
        <v>82</v>
      </c>
      <c r="G127" s="5" t="s">
        <v>509</v>
      </c>
      <c r="H127" s="4" t="s">
        <v>630</v>
      </c>
      <c r="I127" s="32" t="n">
        <v>1</v>
      </c>
      <c r="J127" s="32" t="n">
        <f aca="false">E127*I127</f>
        <v>1</v>
      </c>
      <c r="K127" s="4"/>
      <c r="L127" s="32"/>
      <c r="M127" s="32"/>
      <c r="N127" s="32"/>
      <c r="O127" s="32"/>
      <c r="P127" s="4"/>
      <c r="Q127" s="32"/>
      <c r="R127" s="32" t="n">
        <f aca="false">$J127</f>
        <v>1</v>
      </c>
      <c r="S127" s="32" t="n">
        <f aca="false">$J127</f>
        <v>1</v>
      </c>
      <c r="T127" s="32" t="n">
        <f aca="false">$J127</f>
        <v>1</v>
      </c>
      <c r="U127" s="32" t="n">
        <f aca="false">$J127</f>
        <v>1</v>
      </c>
      <c r="V127" s="32" t="n">
        <f aca="false">$J127</f>
        <v>1</v>
      </c>
      <c r="W127" s="32" t="n">
        <f aca="false">$J127</f>
        <v>1</v>
      </c>
      <c r="X127" s="32" t="n">
        <f aca="false">$J127</f>
        <v>1</v>
      </c>
      <c r="Y127" s="32" t="n">
        <f aca="false">$J127</f>
        <v>1</v>
      </c>
      <c r="Z127" s="32" t="n">
        <f aca="false">$J127</f>
        <v>1</v>
      </c>
      <c r="AA127" s="32" t="n">
        <f aca="false">$J127</f>
        <v>1</v>
      </c>
      <c r="AB127" s="5"/>
    </row>
    <row r="128" customFormat="false" ht="15" hidden="false" customHeight="false" outlineLevel="0" collapsed="false">
      <c r="A128" s="4" t="s">
        <v>241</v>
      </c>
      <c r="B128" s="4" t="s">
        <v>812</v>
      </c>
      <c r="C128" s="4" t="s">
        <v>813</v>
      </c>
      <c r="D128" s="5" t="s">
        <v>633</v>
      </c>
      <c r="E128" s="32" t="n">
        <v>1</v>
      </c>
      <c r="F128" s="4" t="s">
        <v>82</v>
      </c>
      <c r="G128" s="5" t="s">
        <v>518</v>
      </c>
      <c r="H128" s="4" t="s">
        <v>634</v>
      </c>
      <c r="I128" s="32" t="n">
        <v>1</v>
      </c>
      <c r="J128" s="32" t="n">
        <f aca="false">E128*I128</f>
        <v>1</v>
      </c>
      <c r="K128" s="4"/>
      <c r="L128" s="32"/>
      <c r="M128" s="32"/>
      <c r="N128" s="32"/>
      <c r="O128" s="32"/>
      <c r="P128" s="4"/>
      <c r="Q128" s="32"/>
      <c r="R128" s="32" t="n">
        <f aca="false">$J128</f>
        <v>1</v>
      </c>
      <c r="S128" s="32" t="n">
        <f aca="false">$J128</f>
        <v>1</v>
      </c>
      <c r="T128" s="32" t="n">
        <f aca="false">$J128</f>
        <v>1</v>
      </c>
      <c r="U128" s="32" t="n">
        <f aca="false">$J128</f>
        <v>1</v>
      </c>
      <c r="V128" s="32" t="n">
        <f aca="false">$J128</f>
        <v>1</v>
      </c>
      <c r="W128" s="32" t="n">
        <f aca="false">$J128</f>
        <v>1</v>
      </c>
      <c r="X128" s="32" t="n">
        <f aca="false">$J128</f>
        <v>1</v>
      </c>
      <c r="Y128" s="32" t="n">
        <f aca="false">$J128</f>
        <v>1</v>
      </c>
      <c r="Z128" s="32" t="n">
        <f aca="false">$J128</f>
        <v>1</v>
      </c>
      <c r="AA128" s="32" t="n">
        <f aca="false">$J128</f>
        <v>1</v>
      </c>
      <c r="AB128" s="5"/>
    </row>
    <row r="129" customFormat="false" ht="15" hidden="false" customHeight="false" outlineLevel="0" collapsed="false">
      <c r="A129" s="4" t="s">
        <v>241</v>
      </c>
      <c r="B129" s="4" t="s">
        <v>814</v>
      </c>
      <c r="C129" s="4" t="s">
        <v>815</v>
      </c>
      <c r="D129" s="5" t="s">
        <v>522</v>
      </c>
      <c r="E129" s="32" t="n">
        <v>1</v>
      </c>
      <c r="F129" s="4" t="s">
        <v>82</v>
      </c>
      <c r="G129" s="5" t="s">
        <v>523</v>
      </c>
      <c r="H129" s="4"/>
      <c r="I129" s="32"/>
      <c r="J129" s="32" t="n">
        <f aca="false">E129*I129</f>
        <v>0</v>
      </c>
      <c r="K129" s="4"/>
      <c r="L129" s="32"/>
      <c r="M129" s="32"/>
      <c r="N129" s="32"/>
      <c r="O129" s="32"/>
      <c r="P129" s="4"/>
      <c r="Q129" s="32"/>
      <c r="R129" s="32" t="n">
        <f aca="false">$J129</f>
        <v>0</v>
      </c>
      <c r="S129" s="32" t="n">
        <f aca="false">$J129</f>
        <v>0</v>
      </c>
      <c r="T129" s="32" t="n">
        <f aca="false">$J129</f>
        <v>0</v>
      </c>
      <c r="U129" s="32" t="n">
        <f aca="false">$J129</f>
        <v>0</v>
      </c>
      <c r="V129" s="32" t="n">
        <f aca="false">$J129</f>
        <v>0</v>
      </c>
      <c r="W129" s="32" t="n">
        <f aca="false">$J129</f>
        <v>0</v>
      </c>
      <c r="X129" s="32" t="n">
        <f aca="false">$J129</f>
        <v>0</v>
      </c>
      <c r="Y129" s="32" t="n">
        <f aca="false">$J129</f>
        <v>0</v>
      </c>
      <c r="Z129" s="32" t="n">
        <f aca="false">$J129</f>
        <v>0</v>
      </c>
      <c r="AA129" s="32" t="n">
        <f aca="false">$J129</f>
        <v>0</v>
      </c>
      <c r="AB129" s="5"/>
    </row>
    <row r="130" customFormat="false" ht="15" hidden="false" customHeight="false" outlineLevel="0" collapsed="false">
      <c r="A130" s="4" t="s">
        <v>241</v>
      </c>
      <c r="B130" s="4" t="s">
        <v>816</v>
      </c>
      <c r="C130" s="4" t="s">
        <v>817</v>
      </c>
      <c r="D130" s="5" t="s">
        <v>526</v>
      </c>
      <c r="E130" s="32" t="n">
        <v>1</v>
      </c>
      <c r="F130" s="4" t="s">
        <v>82</v>
      </c>
      <c r="G130" s="5" t="s">
        <v>523</v>
      </c>
      <c r="H130" s="4"/>
      <c r="I130" s="32"/>
      <c r="J130" s="32" t="n">
        <f aca="false">E130*I130</f>
        <v>0</v>
      </c>
      <c r="K130" s="4"/>
      <c r="L130" s="32"/>
      <c r="M130" s="32"/>
      <c r="N130" s="32"/>
      <c r="O130" s="32"/>
      <c r="P130" s="4"/>
      <c r="Q130" s="32"/>
      <c r="R130" s="32" t="n">
        <f aca="false">$J130</f>
        <v>0</v>
      </c>
      <c r="S130" s="32" t="n">
        <f aca="false">$J130</f>
        <v>0</v>
      </c>
      <c r="T130" s="32" t="n">
        <f aca="false">$J130</f>
        <v>0</v>
      </c>
      <c r="U130" s="32" t="n">
        <f aca="false">$J130</f>
        <v>0</v>
      </c>
      <c r="V130" s="32" t="n">
        <f aca="false">$J130</f>
        <v>0</v>
      </c>
      <c r="W130" s="32" t="n">
        <f aca="false">$J130</f>
        <v>0</v>
      </c>
      <c r="X130" s="32" t="n">
        <f aca="false">$J130</f>
        <v>0</v>
      </c>
      <c r="Y130" s="32" t="n">
        <f aca="false">$J130</f>
        <v>0</v>
      </c>
      <c r="Z130" s="32" t="n">
        <f aca="false">$J130</f>
        <v>0</v>
      </c>
      <c r="AA130" s="32" t="n">
        <f aca="false">$J130</f>
        <v>0</v>
      </c>
      <c r="AB130" s="5"/>
    </row>
    <row r="131" customFormat="false" ht="15" hidden="false" customHeight="false" outlineLevel="0" collapsed="false">
      <c r="A131" s="4" t="s">
        <v>241</v>
      </c>
      <c r="B131" s="4" t="s">
        <v>818</v>
      </c>
      <c r="C131" s="4" t="s">
        <v>819</v>
      </c>
      <c r="D131" s="5" t="s">
        <v>529</v>
      </c>
      <c r="E131" s="32" t="n">
        <v>1</v>
      </c>
      <c r="F131" s="4" t="s">
        <v>82</v>
      </c>
      <c r="G131" s="5" t="s">
        <v>523</v>
      </c>
      <c r="H131" s="4"/>
      <c r="I131" s="32"/>
      <c r="J131" s="32" t="n">
        <f aca="false">E131*I131</f>
        <v>0</v>
      </c>
      <c r="K131" s="4"/>
      <c r="L131" s="32"/>
      <c r="M131" s="32"/>
      <c r="N131" s="32"/>
      <c r="O131" s="32"/>
      <c r="P131" s="4"/>
      <c r="Q131" s="32"/>
      <c r="R131" s="32" t="n">
        <f aca="false">$J131</f>
        <v>0</v>
      </c>
      <c r="S131" s="32" t="n">
        <f aca="false">$J131</f>
        <v>0</v>
      </c>
      <c r="T131" s="32" t="n">
        <f aca="false">$J131</f>
        <v>0</v>
      </c>
      <c r="U131" s="32" t="n">
        <f aca="false">$J131</f>
        <v>0</v>
      </c>
      <c r="V131" s="32" t="n">
        <f aca="false">$J131</f>
        <v>0</v>
      </c>
      <c r="W131" s="32" t="n">
        <f aca="false">$J131</f>
        <v>0</v>
      </c>
      <c r="X131" s="32" t="n">
        <f aca="false">$J131</f>
        <v>0</v>
      </c>
      <c r="Y131" s="32" t="n">
        <f aca="false">$J131</f>
        <v>0</v>
      </c>
      <c r="Z131" s="32" t="n">
        <f aca="false">$J131</f>
        <v>0</v>
      </c>
      <c r="AA131" s="32" t="n">
        <f aca="false">$J131</f>
        <v>0</v>
      </c>
      <c r="AB131" s="5"/>
    </row>
    <row r="132" customFormat="false" ht="15" hidden="false" customHeight="false" outlineLevel="0" collapsed="false">
      <c r="A132" s="4" t="s">
        <v>241</v>
      </c>
      <c r="B132" s="4" t="s">
        <v>820</v>
      </c>
      <c r="C132" s="4" t="s">
        <v>821</v>
      </c>
      <c r="D132" s="5" t="s">
        <v>532</v>
      </c>
      <c r="E132" s="32" t="n">
        <v>1</v>
      </c>
      <c r="F132" s="4" t="s">
        <v>82</v>
      </c>
      <c r="G132" s="5" t="s">
        <v>523</v>
      </c>
      <c r="H132" s="4"/>
      <c r="I132" s="32"/>
      <c r="J132" s="32" t="n">
        <f aca="false">E132*I132</f>
        <v>0</v>
      </c>
      <c r="K132" s="4"/>
      <c r="L132" s="32"/>
      <c r="M132" s="32"/>
      <c r="N132" s="32"/>
      <c r="O132" s="32"/>
      <c r="P132" s="4"/>
      <c r="Q132" s="32"/>
      <c r="R132" s="32" t="n">
        <f aca="false">$J132</f>
        <v>0</v>
      </c>
      <c r="S132" s="32" t="n">
        <f aca="false">$J132</f>
        <v>0</v>
      </c>
      <c r="T132" s="32" t="n">
        <f aca="false">$J132</f>
        <v>0</v>
      </c>
      <c r="U132" s="32" t="n">
        <f aca="false">$J132</f>
        <v>0</v>
      </c>
      <c r="V132" s="32" t="n">
        <f aca="false">$J132</f>
        <v>0</v>
      </c>
      <c r="W132" s="32" t="n">
        <f aca="false">$J132</f>
        <v>0</v>
      </c>
      <c r="X132" s="32" t="n">
        <f aca="false">$J132</f>
        <v>0</v>
      </c>
      <c r="Y132" s="32" t="n">
        <f aca="false">$J132</f>
        <v>0</v>
      </c>
      <c r="Z132" s="32" t="n">
        <f aca="false">$J132</f>
        <v>0</v>
      </c>
      <c r="AA132" s="32" t="n">
        <f aca="false">$J132</f>
        <v>0</v>
      </c>
      <c r="AB132" s="5"/>
    </row>
    <row r="133" customFormat="false" ht="15" hidden="false" customHeight="false" outlineLevel="0" collapsed="false">
      <c r="A133" s="4" t="s">
        <v>241</v>
      </c>
      <c r="B133" s="4" t="s">
        <v>822</v>
      </c>
      <c r="C133" s="4" t="s">
        <v>823</v>
      </c>
      <c r="D133" s="5" t="s">
        <v>535</v>
      </c>
      <c r="E133" s="32" t="n">
        <v>1</v>
      </c>
      <c r="F133" s="4" t="s">
        <v>82</v>
      </c>
      <c r="G133" s="5" t="s">
        <v>523</v>
      </c>
      <c r="H133" s="4"/>
      <c r="I133" s="32"/>
      <c r="J133" s="32" t="n">
        <f aca="false">E133*I133</f>
        <v>0</v>
      </c>
      <c r="K133" s="4"/>
      <c r="L133" s="32"/>
      <c r="M133" s="32"/>
      <c r="N133" s="32"/>
      <c r="O133" s="32"/>
      <c r="P133" s="4"/>
      <c r="Q133" s="32"/>
      <c r="R133" s="32" t="n">
        <f aca="false">$J133</f>
        <v>0</v>
      </c>
      <c r="S133" s="32" t="n">
        <f aca="false">$J133</f>
        <v>0</v>
      </c>
      <c r="T133" s="32" t="n">
        <f aca="false">$J133</f>
        <v>0</v>
      </c>
      <c r="U133" s="32" t="n">
        <f aca="false">$J133</f>
        <v>0</v>
      </c>
      <c r="V133" s="32" t="n">
        <f aca="false">$J133</f>
        <v>0</v>
      </c>
      <c r="W133" s="32" t="n">
        <f aca="false">$J133</f>
        <v>0</v>
      </c>
      <c r="X133" s="32" t="n">
        <f aca="false">$J133</f>
        <v>0</v>
      </c>
      <c r="Y133" s="32" t="n">
        <f aca="false">$J133</f>
        <v>0</v>
      </c>
      <c r="Z133" s="32" t="n">
        <f aca="false">$J133</f>
        <v>0</v>
      </c>
      <c r="AA133" s="32" t="n">
        <f aca="false">$J133</f>
        <v>0</v>
      </c>
      <c r="AB133" s="5"/>
    </row>
    <row r="134" customFormat="false" ht="15" hidden="false" customHeight="false" outlineLevel="0" collapsed="false">
      <c r="A134" s="4" t="s">
        <v>241</v>
      </c>
      <c r="B134" s="4" t="s">
        <v>824</v>
      </c>
      <c r="C134" s="4" t="s">
        <v>825</v>
      </c>
      <c r="D134" s="5" t="s">
        <v>538</v>
      </c>
      <c r="E134" s="32" t="n">
        <v>1</v>
      </c>
      <c r="F134" s="4" t="s">
        <v>82</v>
      </c>
      <c r="G134" s="5" t="s">
        <v>523</v>
      </c>
      <c r="H134" s="4"/>
      <c r="I134" s="32"/>
      <c r="J134" s="32" t="n">
        <f aca="false">E134*I134</f>
        <v>0</v>
      </c>
      <c r="K134" s="4"/>
      <c r="L134" s="32"/>
      <c r="M134" s="32"/>
      <c r="N134" s="32"/>
      <c r="O134" s="32"/>
      <c r="P134" s="4"/>
      <c r="Q134" s="32"/>
      <c r="R134" s="32" t="n">
        <f aca="false">$J134</f>
        <v>0</v>
      </c>
      <c r="S134" s="32" t="n">
        <f aca="false">$J134</f>
        <v>0</v>
      </c>
      <c r="T134" s="32" t="n">
        <f aca="false">$J134</f>
        <v>0</v>
      </c>
      <c r="U134" s="32" t="n">
        <f aca="false">$J134</f>
        <v>0</v>
      </c>
      <c r="V134" s="32" t="n">
        <f aca="false">$J134</f>
        <v>0</v>
      </c>
      <c r="W134" s="32" t="n">
        <f aca="false">$J134</f>
        <v>0</v>
      </c>
      <c r="X134" s="32" t="n">
        <f aca="false">$J134</f>
        <v>0</v>
      </c>
      <c r="Y134" s="32" t="n">
        <f aca="false">$J134</f>
        <v>0</v>
      </c>
      <c r="Z134" s="32" t="n">
        <f aca="false">$J134</f>
        <v>0</v>
      </c>
      <c r="AA134" s="32" t="n">
        <f aca="false">$J134</f>
        <v>0</v>
      </c>
      <c r="AB134" s="5"/>
    </row>
    <row r="135" customFormat="false" ht="15" hidden="false" customHeight="false" outlineLevel="0" collapsed="false">
      <c r="A135" s="4" t="s">
        <v>241</v>
      </c>
      <c r="B135" s="4" t="s">
        <v>826</v>
      </c>
      <c r="C135" s="4" t="s">
        <v>827</v>
      </c>
      <c r="D135" s="5" t="s">
        <v>541</v>
      </c>
      <c r="E135" s="32" t="n">
        <v>1</v>
      </c>
      <c r="F135" s="4" t="s">
        <v>82</v>
      </c>
      <c r="G135" s="5" t="s">
        <v>523</v>
      </c>
      <c r="H135" s="4"/>
      <c r="I135" s="32"/>
      <c r="J135" s="32" t="n">
        <f aca="false">E135*I135</f>
        <v>0</v>
      </c>
      <c r="K135" s="4"/>
      <c r="L135" s="32"/>
      <c r="M135" s="32"/>
      <c r="N135" s="32"/>
      <c r="O135" s="32"/>
      <c r="P135" s="4"/>
      <c r="Q135" s="32"/>
      <c r="R135" s="32" t="n">
        <f aca="false">$J135</f>
        <v>0</v>
      </c>
      <c r="S135" s="32" t="n">
        <f aca="false">$J135</f>
        <v>0</v>
      </c>
      <c r="T135" s="32" t="n">
        <f aca="false">$J135</f>
        <v>0</v>
      </c>
      <c r="U135" s="32" t="n">
        <f aca="false">$J135</f>
        <v>0</v>
      </c>
      <c r="V135" s="32" t="n">
        <f aca="false">$J135</f>
        <v>0</v>
      </c>
      <c r="W135" s="32" t="n">
        <f aca="false">$J135</f>
        <v>0</v>
      </c>
      <c r="X135" s="32" t="n">
        <f aca="false">$J135</f>
        <v>0</v>
      </c>
      <c r="Y135" s="32" t="n">
        <f aca="false">$J135</f>
        <v>0</v>
      </c>
      <c r="Z135" s="32" t="n">
        <f aca="false">$J135</f>
        <v>0</v>
      </c>
      <c r="AA135" s="32" t="n">
        <f aca="false">$J135</f>
        <v>0</v>
      </c>
      <c r="AB135" s="5"/>
    </row>
    <row r="136" customFormat="false" ht="15" hidden="false" customHeight="false" outlineLevel="0" collapsed="false">
      <c r="A136" s="4" t="s">
        <v>241</v>
      </c>
      <c r="B136" s="4" t="s">
        <v>828</v>
      </c>
      <c r="C136" s="4" t="s">
        <v>829</v>
      </c>
      <c r="D136" s="5" t="s">
        <v>544</v>
      </c>
      <c r="E136" s="32" t="n">
        <v>1</v>
      </c>
      <c r="F136" s="4" t="s">
        <v>82</v>
      </c>
      <c r="G136" s="5" t="s">
        <v>523</v>
      </c>
      <c r="H136" s="4"/>
      <c r="I136" s="32"/>
      <c r="J136" s="32" t="n">
        <f aca="false">E136*I136</f>
        <v>0</v>
      </c>
      <c r="K136" s="4"/>
      <c r="L136" s="32"/>
      <c r="M136" s="32"/>
      <c r="N136" s="32"/>
      <c r="O136" s="32"/>
      <c r="P136" s="4"/>
      <c r="Q136" s="32"/>
      <c r="R136" s="32" t="n">
        <f aca="false">$J136</f>
        <v>0</v>
      </c>
      <c r="S136" s="32" t="n">
        <f aca="false">$J136</f>
        <v>0</v>
      </c>
      <c r="T136" s="32" t="n">
        <f aca="false">$J136</f>
        <v>0</v>
      </c>
      <c r="U136" s="32" t="n">
        <f aca="false">$J136</f>
        <v>0</v>
      </c>
      <c r="V136" s="32" t="n">
        <f aca="false">$J136</f>
        <v>0</v>
      </c>
      <c r="W136" s="32" t="n">
        <f aca="false">$J136</f>
        <v>0</v>
      </c>
      <c r="X136" s="32" t="n">
        <f aca="false">$J136</f>
        <v>0</v>
      </c>
      <c r="Y136" s="32" t="n">
        <f aca="false">$J136</f>
        <v>0</v>
      </c>
      <c r="Z136" s="32" t="n">
        <f aca="false">$J136</f>
        <v>0</v>
      </c>
      <c r="AA136" s="32" t="n">
        <f aca="false">$J136</f>
        <v>0</v>
      </c>
      <c r="AB136" s="5"/>
    </row>
    <row r="137" customFormat="false" ht="15" hidden="false" customHeight="false" outlineLevel="0" collapsed="false">
      <c r="A137" s="4" t="s">
        <v>241</v>
      </c>
      <c r="B137" s="4" t="s">
        <v>830</v>
      </c>
      <c r="C137" s="4" t="s">
        <v>831</v>
      </c>
      <c r="D137" s="5" t="s">
        <v>547</v>
      </c>
      <c r="E137" s="32" t="n">
        <v>1</v>
      </c>
      <c r="F137" s="4" t="s">
        <v>82</v>
      </c>
      <c r="G137" s="5" t="s">
        <v>523</v>
      </c>
      <c r="H137" s="4"/>
      <c r="I137" s="32"/>
      <c r="J137" s="32" t="n">
        <f aca="false">E137*I137</f>
        <v>0</v>
      </c>
      <c r="K137" s="4"/>
      <c r="L137" s="32"/>
      <c r="M137" s="32"/>
      <c r="N137" s="32"/>
      <c r="O137" s="32"/>
      <c r="P137" s="4"/>
      <c r="Q137" s="32"/>
      <c r="R137" s="32" t="n">
        <f aca="false">$J137</f>
        <v>0</v>
      </c>
      <c r="S137" s="32" t="n">
        <f aca="false">$J137</f>
        <v>0</v>
      </c>
      <c r="T137" s="32" t="n">
        <f aca="false">$J137</f>
        <v>0</v>
      </c>
      <c r="U137" s="32" t="n">
        <f aca="false">$J137</f>
        <v>0</v>
      </c>
      <c r="V137" s="32" t="n">
        <f aca="false">$J137</f>
        <v>0</v>
      </c>
      <c r="W137" s="32" t="n">
        <f aca="false">$J137</f>
        <v>0</v>
      </c>
      <c r="X137" s="32" t="n">
        <f aca="false">$J137</f>
        <v>0</v>
      </c>
      <c r="Y137" s="32" t="n">
        <f aca="false">$J137</f>
        <v>0</v>
      </c>
      <c r="Z137" s="32" t="n">
        <f aca="false">$J137</f>
        <v>0</v>
      </c>
      <c r="AA137" s="32" t="n">
        <f aca="false">$J137</f>
        <v>0</v>
      </c>
      <c r="AB137" s="5"/>
    </row>
    <row r="138" customFormat="false" ht="15" hidden="false" customHeight="false" outlineLevel="0" collapsed="false">
      <c r="A138" s="4" t="s">
        <v>241</v>
      </c>
      <c r="B138" s="4" t="s">
        <v>832</v>
      </c>
      <c r="C138" s="4" t="s">
        <v>833</v>
      </c>
      <c r="D138" s="5" t="s">
        <v>550</v>
      </c>
      <c r="E138" s="32" t="n">
        <v>1</v>
      </c>
      <c r="F138" s="4" t="s">
        <v>82</v>
      </c>
      <c r="G138" s="5" t="s">
        <v>523</v>
      </c>
      <c r="H138" s="4"/>
      <c r="I138" s="32"/>
      <c r="J138" s="32" t="n">
        <f aca="false">E138*I138</f>
        <v>0</v>
      </c>
      <c r="K138" s="4"/>
      <c r="L138" s="32"/>
      <c r="M138" s="32"/>
      <c r="N138" s="32"/>
      <c r="O138" s="32"/>
      <c r="P138" s="4"/>
      <c r="Q138" s="32"/>
      <c r="R138" s="32" t="n">
        <f aca="false">$J138</f>
        <v>0</v>
      </c>
      <c r="S138" s="32" t="n">
        <f aca="false">$J138</f>
        <v>0</v>
      </c>
      <c r="T138" s="32" t="n">
        <f aca="false">$J138</f>
        <v>0</v>
      </c>
      <c r="U138" s="32" t="n">
        <f aca="false">$J138</f>
        <v>0</v>
      </c>
      <c r="V138" s="32" t="n">
        <f aca="false">$J138</f>
        <v>0</v>
      </c>
      <c r="W138" s="32" t="n">
        <f aca="false">$J138</f>
        <v>0</v>
      </c>
      <c r="X138" s="32" t="n">
        <f aca="false">$J138</f>
        <v>0</v>
      </c>
      <c r="Y138" s="32" t="n">
        <f aca="false">$J138</f>
        <v>0</v>
      </c>
      <c r="Z138" s="32" t="n">
        <f aca="false">$J138</f>
        <v>0</v>
      </c>
      <c r="AA138" s="32" t="n">
        <f aca="false">$J138</f>
        <v>0</v>
      </c>
      <c r="AB138" s="5"/>
    </row>
    <row r="139" customFormat="false" ht="15" hidden="false" customHeight="false" outlineLevel="0" collapsed="false">
      <c r="A139" s="4" t="s">
        <v>241</v>
      </c>
      <c r="B139" s="4" t="s">
        <v>834</v>
      </c>
      <c r="C139" s="4" t="s">
        <v>835</v>
      </c>
      <c r="D139" s="5" t="s">
        <v>553</v>
      </c>
      <c r="E139" s="32" t="n">
        <v>1</v>
      </c>
      <c r="F139" s="4" t="s">
        <v>82</v>
      </c>
      <c r="G139" s="5" t="s">
        <v>523</v>
      </c>
      <c r="H139" s="4"/>
      <c r="I139" s="32"/>
      <c r="J139" s="32" t="n">
        <f aca="false">E139*I139</f>
        <v>0</v>
      </c>
      <c r="K139" s="4"/>
      <c r="L139" s="32"/>
      <c r="M139" s="32"/>
      <c r="N139" s="32"/>
      <c r="O139" s="32"/>
      <c r="P139" s="4"/>
      <c r="Q139" s="32"/>
      <c r="R139" s="32" t="n">
        <f aca="false">$J139</f>
        <v>0</v>
      </c>
      <c r="S139" s="32" t="n">
        <f aca="false">$J139</f>
        <v>0</v>
      </c>
      <c r="T139" s="32" t="n">
        <f aca="false">$J139</f>
        <v>0</v>
      </c>
      <c r="U139" s="32" t="n">
        <f aca="false">$J139</f>
        <v>0</v>
      </c>
      <c r="V139" s="32" t="n">
        <f aca="false">$J139</f>
        <v>0</v>
      </c>
      <c r="W139" s="32" t="n">
        <f aca="false">$J139</f>
        <v>0</v>
      </c>
      <c r="X139" s="32" t="n">
        <f aca="false">$J139</f>
        <v>0</v>
      </c>
      <c r="Y139" s="32" t="n">
        <f aca="false">$J139</f>
        <v>0</v>
      </c>
      <c r="Z139" s="32" t="n">
        <f aca="false">$J139</f>
        <v>0</v>
      </c>
      <c r="AA139" s="32" t="n">
        <f aca="false">$J139</f>
        <v>0</v>
      </c>
      <c r="AB139" s="5"/>
    </row>
    <row r="140" customFormat="false" ht="15" hidden="false" customHeight="false" outlineLevel="0" collapsed="false">
      <c r="A140" s="4" t="s">
        <v>241</v>
      </c>
      <c r="B140" s="4" t="s">
        <v>836</v>
      </c>
      <c r="C140" s="4" t="s">
        <v>837</v>
      </c>
      <c r="D140" s="5" t="s">
        <v>556</v>
      </c>
      <c r="E140" s="32" t="n">
        <v>1</v>
      </c>
      <c r="F140" s="4" t="s">
        <v>82</v>
      </c>
      <c r="G140" s="5" t="s">
        <v>523</v>
      </c>
      <c r="H140" s="4"/>
      <c r="I140" s="32"/>
      <c r="J140" s="32" t="n">
        <f aca="false">E140*I140</f>
        <v>0</v>
      </c>
      <c r="K140" s="4"/>
      <c r="L140" s="32"/>
      <c r="M140" s="32"/>
      <c r="N140" s="32"/>
      <c r="O140" s="32"/>
      <c r="P140" s="4"/>
      <c r="Q140" s="32"/>
      <c r="R140" s="32" t="n">
        <f aca="false">$J140</f>
        <v>0</v>
      </c>
      <c r="S140" s="32" t="n">
        <f aca="false">$J140</f>
        <v>0</v>
      </c>
      <c r="T140" s="32" t="n">
        <f aca="false">$J140</f>
        <v>0</v>
      </c>
      <c r="U140" s="32" t="n">
        <f aca="false">$J140</f>
        <v>0</v>
      </c>
      <c r="V140" s="32" t="n">
        <f aca="false">$J140</f>
        <v>0</v>
      </c>
      <c r="W140" s="32" t="n">
        <f aca="false">$J140</f>
        <v>0</v>
      </c>
      <c r="X140" s="32" t="n">
        <f aca="false">$J140</f>
        <v>0</v>
      </c>
      <c r="Y140" s="32" t="n">
        <f aca="false">$J140</f>
        <v>0</v>
      </c>
      <c r="Z140" s="32" t="n">
        <f aca="false">$J140</f>
        <v>0</v>
      </c>
      <c r="AA140" s="32" t="n">
        <f aca="false">$J140</f>
        <v>0</v>
      </c>
      <c r="AB140" s="5"/>
    </row>
    <row r="141" customFormat="false" ht="15" hidden="false" customHeight="false" outlineLevel="0" collapsed="false">
      <c r="A141" s="4" t="s">
        <v>241</v>
      </c>
      <c r="B141" s="4" t="s">
        <v>838</v>
      </c>
      <c r="C141" s="4" t="s">
        <v>839</v>
      </c>
      <c r="D141" s="5" t="s">
        <v>559</v>
      </c>
      <c r="E141" s="32" t="n">
        <v>1</v>
      </c>
      <c r="F141" s="4" t="s">
        <v>82</v>
      </c>
      <c r="G141" s="5" t="s">
        <v>518</v>
      </c>
      <c r="H141" s="4" t="s">
        <v>840</v>
      </c>
      <c r="I141" s="32" t="n">
        <v>1</v>
      </c>
      <c r="J141" s="32" t="n">
        <f aca="false">E141*I141</f>
        <v>1</v>
      </c>
      <c r="K141" s="4"/>
      <c r="L141" s="32"/>
      <c r="M141" s="32"/>
      <c r="N141" s="32"/>
      <c r="O141" s="32"/>
      <c r="P141" s="4"/>
      <c r="Q141" s="32"/>
      <c r="R141" s="32" t="n">
        <f aca="false">$J141</f>
        <v>1</v>
      </c>
      <c r="S141" s="32" t="n">
        <f aca="false">$J141</f>
        <v>1</v>
      </c>
      <c r="T141" s="32" t="n">
        <f aca="false">$J141</f>
        <v>1</v>
      </c>
      <c r="U141" s="32" t="n">
        <f aca="false">$J141</f>
        <v>1</v>
      </c>
      <c r="V141" s="32" t="n">
        <f aca="false">$J141</f>
        <v>1</v>
      </c>
      <c r="W141" s="32" t="n">
        <f aca="false">$J141</f>
        <v>1</v>
      </c>
      <c r="X141" s="32" t="n">
        <f aca="false">$J141</f>
        <v>1</v>
      </c>
      <c r="Y141" s="32" t="n">
        <f aca="false">$J141</f>
        <v>1</v>
      </c>
      <c r="Z141" s="32" t="n">
        <f aca="false">$J141</f>
        <v>1</v>
      </c>
      <c r="AA141" s="32" t="n">
        <f aca="false">$J141</f>
        <v>1</v>
      </c>
      <c r="AB141" s="5"/>
    </row>
    <row r="142" customFormat="false" ht="15" hidden="false" customHeight="false" outlineLevel="0" collapsed="false">
      <c r="A142" s="4" t="s">
        <v>241</v>
      </c>
      <c r="B142" s="4" t="s">
        <v>841</v>
      </c>
      <c r="C142" s="4" t="s">
        <v>842</v>
      </c>
      <c r="D142" s="5" t="s">
        <v>664</v>
      </c>
      <c r="E142" s="32" t="n">
        <v>1</v>
      </c>
      <c r="F142" s="4" t="s">
        <v>82</v>
      </c>
      <c r="G142" s="5" t="s">
        <v>564</v>
      </c>
      <c r="H142" s="4"/>
      <c r="I142" s="32"/>
      <c r="J142" s="32" t="n">
        <f aca="false">E142*I142</f>
        <v>0</v>
      </c>
      <c r="K142" s="4"/>
      <c r="L142" s="32"/>
      <c r="M142" s="32"/>
      <c r="N142" s="32"/>
      <c r="O142" s="32"/>
      <c r="P142" s="4"/>
      <c r="Q142" s="32"/>
      <c r="R142" s="32" t="n">
        <f aca="false">$J142</f>
        <v>0</v>
      </c>
      <c r="S142" s="32" t="n">
        <f aca="false">$J142</f>
        <v>0</v>
      </c>
      <c r="T142" s="32" t="n">
        <f aca="false">$J142</f>
        <v>0</v>
      </c>
      <c r="U142" s="32" t="n">
        <f aca="false">$J142</f>
        <v>0</v>
      </c>
      <c r="V142" s="32" t="n">
        <f aca="false">$J142</f>
        <v>0</v>
      </c>
      <c r="W142" s="32" t="n">
        <f aca="false">$J142</f>
        <v>0</v>
      </c>
      <c r="X142" s="32" t="n">
        <f aca="false">$J142</f>
        <v>0</v>
      </c>
      <c r="Y142" s="32" t="n">
        <f aca="false">$J142</f>
        <v>0</v>
      </c>
      <c r="Z142" s="32" t="n">
        <f aca="false">$J142</f>
        <v>0</v>
      </c>
      <c r="AA142" s="32" t="n">
        <f aca="false">$J142</f>
        <v>0</v>
      </c>
      <c r="AB142" s="5"/>
    </row>
    <row r="143" customFormat="false" ht="15" hidden="false" customHeight="false" outlineLevel="0" collapsed="false">
      <c r="A143" s="4" t="s">
        <v>241</v>
      </c>
      <c r="B143" s="4" t="s">
        <v>843</v>
      </c>
      <c r="C143" s="4" t="s">
        <v>844</v>
      </c>
      <c r="D143" s="5" t="s">
        <v>667</v>
      </c>
      <c r="E143" s="32" t="n">
        <v>1</v>
      </c>
      <c r="F143" s="4" t="s">
        <v>82</v>
      </c>
      <c r="G143" s="5" t="s">
        <v>564</v>
      </c>
      <c r="H143" s="4"/>
      <c r="I143" s="32"/>
      <c r="J143" s="32" t="n">
        <f aca="false">E143*I143</f>
        <v>0</v>
      </c>
      <c r="K143" s="4"/>
      <c r="L143" s="32"/>
      <c r="M143" s="32"/>
      <c r="N143" s="32"/>
      <c r="O143" s="32"/>
      <c r="P143" s="4"/>
      <c r="Q143" s="32"/>
      <c r="R143" s="32" t="n">
        <f aca="false">$J143</f>
        <v>0</v>
      </c>
      <c r="S143" s="32" t="n">
        <f aca="false">$J143</f>
        <v>0</v>
      </c>
      <c r="T143" s="32" t="n">
        <f aca="false">$J143</f>
        <v>0</v>
      </c>
      <c r="U143" s="32" t="n">
        <f aca="false">$J143</f>
        <v>0</v>
      </c>
      <c r="V143" s="32" t="n">
        <f aca="false">$J143</f>
        <v>0</v>
      </c>
      <c r="W143" s="32" t="n">
        <f aca="false">$J143</f>
        <v>0</v>
      </c>
      <c r="X143" s="32" t="n">
        <f aca="false">$J143</f>
        <v>0</v>
      </c>
      <c r="Y143" s="32" t="n">
        <f aca="false">$J143</f>
        <v>0</v>
      </c>
      <c r="Z143" s="32" t="n">
        <f aca="false">$J143</f>
        <v>0</v>
      </c>
      <c r="AA143" s="32" t="n">
        <f aca="false">$J143</f>
        <v>0</v>
      </c>
      <c r="AB143" s="5"/>
    </row>
    <row r="144" customFormat="false" ht="15" hidden="false" customHeight="false" outlineLevel="0" collapsed="false">
      <c r="A144" s="4" t="s">
        <v>241</v>
      </c>
      <c r="B144" s="4" t="s">
        <v>845</v>
      </c>
      <c r="C144" s="4" t="s">
        <v>846</v>
      </c>
      <c r="D144" s="5" t="s">
        <v>670</v>
      </c>
      <c r="E144" s="32" t="n">
        <v>1</v>
      </c>
      <c r="F144" s="4" t="s">
        <v>82</v>
      </c>
      <c r="G144" s="5" t="s">
        <v>564</v>
      </c>
      <c r="H144" s="4"/>
      <c r="I144" s="32"/>
      <c r="J144" s="32" t="n">
        <f aca="false">E144*I144</f>
        <v>0</v>
      </c>
      <c r="K144" s="4"/>
      <c r="L144" s="32"/>
      <c r="M144" s="32"/>
      <c r="N144" s="32"/>
      <c r="O144" s="32"/>
      <c r="P144" s="4"/>
      <c r="Q144" s="32"/>
      <c r="R144" s="32" t="n">
        <f aca="false">$J144</f>
        <v>0</v>
      </c>
      <c r="S144" s="32" t="n">
        <f aca="false">$J144</f>
        <v>0</v>
      </c>
      <c r="T144" s="32" t="n">
        <f aca="false">$J144</f>
        <v>0</v>
      </c>
      <c r="U144" s="32" t="n">
        <f aca="false">$J144</f>
        <v>0</v>
      </c>
      <c r="V144" s="32" t="n">
        <f aca="false">$J144</f>
        <v>0</v>
      </c>
      <c r="W144" s="32" t="n">
        <f aca="false">$J144</f>
        <v>0</v>
      </c>
      <c r="X144" s="32" t="n">
        <f aca="false">$J144</f>
        <v>0</v>
      </c>
      <c r="Y144" s="32" t="n">
        <f aca="false">$J144</f>
        <v>0</v>
      </c>
      <c r="Z144" s="32" t="n">
        <f aca="false">$J144</f>
        <v>0</v>
      </c>
      <c r="AA144" s="32" t="n">
        <f aca="false">$J144</f>
        <v>0</v>
      </c>
      <c r="AB144" s="5"/>
    </row>
    <row r="145" customFormat="false" ht="15" hidden="false" customHeight="false" outlineLevel="0" collapsed="false">
      <c r="A145" s="4" t="s">
        <v>241</v>
      </c>
      <c r="B145" s="4" t="s">
        <v>847</v>
      </c>
      <c r="C145" s="4" t="s">
        <v>848</v>
      </c>
      <c r="D145" s="5" t="s">
        <v>673</v>
      </c>
      <c r="E145" s="32" t="n">
        <v>1</v>
      </c>
      <c r="F145" s="4" t="s">
        <v>82</v>
      </c>
      <c r="G145" s="5" t="s">
        <v>564</v>
      </c>
      <c r="H145" s="4"/>
      <c r="I145" s="32"/>
      <c r="J145" s="32" t="n">
        <f aca="false">E145*I145</f>
        <v>0</v>
      </c>
      <c r="K145" s="4"/>
      <c r="L145" s="32"/>
      <c r="M145" s="32"/>
      <c r="N145" s="32"/>
      <c r="O145" s="32"/>
      <c r="P145" s="4"/>
      <c r="Q145" s="32"/>
      <c r="R145" s="32" t="n">
        <f aca="false">$J145</f>
        <v>0</v>
      </c>
      <c r="S145" s="32" t="n">
        <f aca="false">$J145</f>
        <v>0</v>
      </c>
      <c r="T145" s="32" t="n">
        <f aca="false">$J145</f>
        <v>0</v>
      </c>
      <c r="U145" s="32" t="n">
        <f aca="false">$J145</f>
        <v>0</v>
      </c>
      <c r="V145" s="32" t="n">
        <f aca="false">$J145</f>
        <v>0</v>
      </c>
      <c r="W145" s="32" t="n">
        <f aca="false">$J145</f>
        <v>0</v>
      </c>
      <c r="X145" s="32" t="n">
        <f aca="false">$J145</f>
        <v>0</v>
      </c>
      <c r="Y145" s="32" t="n">
        <f aca="false">$J145</f>
        <v>0</v>
      </c>
      <c r="Z145" s="32" t="n">
        <f aca="false">$J145</f>
        <v>0</v>
      </c>
      <c r="AA145" s="32" t="n">
        <f aca="false">$J145</f>
        <v>0</v>
      </c>
      <c r="AB145" s="5"/>
    </row>
    <row r="146" customFormat="false" ht="15" hidden="false" customHeight="false" outlineLevel="0" collapsed="false">
      <c r="A146" s="4" t="s">
        <v>241</v>
      </c>
      <c r="B146" s="4" t="s">
        <v>849</v>
      </c>
      <c r="C146" s="4" t="s">
        <v>850</v>
      </c>
      <c r="D146" s="5" t="s">
        <v>567</v>
      </c>
      <c r="E146" s="32" t="n">
        <v>10.15</v>
      </c>
      <c r="F146" s="4" t="s">
        <v>73</v>
      </c>
      <c r="G146" s="5" t="s">
        <v>509</v>
      </c>
      <c r="H146" s="4" t="s">
        <v>568</v>
      </c>
      <c r="I146" s="32" t="n">
        <f aca="false">1+INDEX(P_VAL,MATCH("MERMA_POLVO",P_ID,0))</f>
        <v>1.01</v>
      </c>
      <c r="J146" s="32" t="n">
        <f aca="false">E146*I146</f>
        <v>10.2515</v>
      </c>
      <c r="K146" s="4"/>
      <c r="L146" s="32"/>
      <c r="M146" s="32"/>
      <c r="N146" s="32"/>
      <c r="O146" s="32"/>
      <c r="P146" s="4"/>
      <c r="Q146" s="32"/>
      <c r="R146" s="32" t="n">
        <f aca="false">$J146</f>
        <v>10.2515</v>
      </c>
      <c r="S146" s="32" t="n">
        <f aca="false">$J146</f>
        <v>10.2515</v>
      </c>
      <c r="T146" s="32" t="n">
        <f aca="false">$J146</f>
        <v>10.2515</v>
      </c>
      <c r="U146" s="32" t="n">
        <f aca="false">$J146</f>
        <v>10.2515</v>
      </c>
      <c r="V146" s="32" t="n">
        <f aca="false">$J146</f>
        <v>10.2515</v>
      </c>
      <c r="W146" s="32" t="n">
        <f aca="false">$J146</f>
        <v>10.2515</v>
      </c>
      <c r="X146" s="32" t="n">
        <f aca="false">$J146</f>
        <v>10.2515</v>
      </c>
      <c r="Y146" s="32" t="n">
        <f aca="false">$J146</f>
        <v>10.2515</v>
      </c>
      <c r="Z146" s="32" t="n">
        <f aca="false">$J146</f>
        <v>10.2515</v>
      </c>
      <c r="AA146" s="32" t="n">
        <f aca="false">$J146</f>
        <v>10.2515</v>
      </c>
      <c r="AB146" s="5"/>
    </row>
    <row r="147" customFormat="false" ht="15" hidden="false" customHeight="false" outlineLevel="0" collapsed="false">
      <c r="A147" s="4" t="s">
        <v>241</v>
      </c>
      <c r="B147" s="4" t="s">
        <v>851</v>
      </c>
      <c r="C147" s="4" t="s">
        <v>852</v>
      </c>
      <c r="D147" s="5" t="s">
        <v>571</v>
      </c>
      <c r="E147" s="32" t="n">
        <v>0.0564472312806942</v>
      </c>
      <c r="F147" s="4" t="s">
        <v>73</v>
      </c>
      <c r="G147" s="5" t="s">
        <v>572</v>
      </c>
      <c r="H147" s="4" t="s">
        <v>573</v>
      </c>
      <c r="I147" s="32" t="n">
        <f aca="false">(1+INDEX(P_VAL,MATCH("N2_PERD",P_ID,0)))/INDEX(P_VAL,MATCH("RHO_N2",P_ID,0))</f>
        <v>1.0406660262568</v>
      </c>
      <c r="J147" s="32" t="n">
        <f aca="false">E147*I147</f>
        <v>0.0587427158700788</v>
      </c>
      <c r="K147" s="4"/>
      <c r="L147" s="32"/>
      <c r="M147" s="32"/>
      <c r="N147" s="32"/>
      <c r="O147" s="32"/>
      <c r="P147" s="4"/>
      <c r="Q147" s="32"/>
      <c r="R147" s="32" t="n">
        <f aca="false">$J147</f>
        <v>0.0587427158700788</v>
      </c>
      <c r="S147" s="32" t="n">
        <f aca="false">$J147</f>
        <v>0.0587427158700788</v>
      </c>
      <c r="T147" s="32" t="n">
        <f aca="false">$J147</f>
        <v>0.0587427158700788</v>
      </c>
      <c r="U147" s="32" t="n">
        <f aca="false">$J147</f>
        <v>0.0587427158700788</v>
      </c>
      <c r="V147" s="32" t="n">
        <f aca="false">$J147</f>
        <v>0.0587427158700788</v>
      </c>
      <c r="W147" s="32" t="n">
        <f aca="false">$J147</f>
        <v>0.0587427158700788</v>
      </c>
      <c r="X147" s="32" t="n">
        <f aca="false">$J147</f>
        <v>0.0587427158700788</v>
      </c>
      <c r="Y147" s="32" t="n">
        <f aca="false">$J147</f>
        <v>0.0587427158700788</v>
      </c>
      <c r="Z147" s="32" t="n">
        <f aca="false">$J147</f>
        <v>0.0587427158700788</v>
      </c>
      <c r="AA147" s="32" t="n">
        <f aca="false">$J147</f>
        <v>0.0587427158700788</v>
      </c>
      <c r="AB147" s="5"/>
    </row>
    <row r="148" customFormat="false" ht="15" hidden="false" customHeight="false" outlineLevel="0" collapsed="false">
      <c r="A148" s="4" t="s">
        <v>241</v>
      </c>
      <c r="B148" s="4" t="s">
        <v>853</v>
      </c>
      <c r="C148" s="4" t="s">
        <v>854</v>
      </c>
      <c r="D148" s="5" t="s">
        <v>576</v>
      </c>
      <c r="E148" s="32" t="n">
        <v>1</v>
      </c>
      <c r="F148" s="4" t="s">
        <v>82</v>
      </c>
      <c r="G148" s="5" t="s">
        <v>509</v>
      </c>
      <c r="H148" s="4" t="s">
        <v>855</v>
      </c>
      <c r="I148" s="32" t="n">
        <v>1</v>
      </c>
      <c r="J148" s="32" t="n">
        <f aca="false">E148*I148</f>
        <v>1</v>
      </c>
      <c r="K148" s="4"/>
      <c r="L148" s="32"/>
      <c r="M148" s="32"/>
      <c r="N148" s="32"/>
      <c r="O148" s="32"/>
      <c r="P148" s="4"/>
      <c r="Q148" s="32"/>
      <c r="R148" s="32" t="n">
        <f aca="false">$J148</f>
        <v>1</v>
      </c>
      <c r="S148" s="32" t="n">
        <f aca="false">$J148</f>
        <v>1</v>
      </c>
      <c r="T148" s="32" t="n">
        <f aca="false">$J148</f>
        <v>1</v>
      </c>
      <c r="U148" s="32" t="n">
        <f aca="false">$J148</f>
        <v>1</v>
      </c>
      <c r="V148" s="32" t="n">
        <f aca="false">$J148</f>
        <v>1</v>
      </c>
      <c r="W148" s="32" t="n">
        <f aca="false">$J148</f>
        <v>1</v>
      </c>
      <c r="X148" s="32" t="n">
        <f aca="false">$J148</f>
        <v>1</v>
      </c>
      <c r="Y148" s="32" t="n">
        <f aca="false">$J148</f>
        <v>1</v>
      </c>
      <c r="Z148" s="32" t="n">
        <f aca="false">$J148</f>
        <v>1</v>
      </c>
      <c r="AA148" s="32" t="n">
        <f aca="false">$J148</f>
        <v>1</v>
      </c>
      <c r="AB148" s="5"/>
    </row>
    <row r="149" customFormat="false" ht="15" hidden="false" customHeight="false" outlineLevel="0" collapsed="false">
      <c r="A149" s="4" t="s">
        <v>241</v>
      </c>
      <c r="B149" s="4" t="s">
        <v>856</v>
      </c>
      <c r="C149" s="4" t="s">
        <v>857</v>
      </c>
      <c r="D149" s="5" t="s">
        <v>580</v>
      </c>
      <c r="E149" s="32" t="n">
        <v>1</v>
      </c>
      <c r="F149" s="4" t="s">
        <v>82</v>
      </c>
      <c r="G149" s="5" t="s">
        <v>509</v>
      </c>
      <c r="H149" s="4" t="s">
        <v>581</v>
      </c>
      <c r="I149" s="32" t="n">
        <v>1</v>
      </c>
      <c r="J149" s="32" t="n">
        <f aca="false">E149*I149</f>
        <v>1</v>
      </c>
      <c r="K149" s="4" t="s">
        <v>582</v>
      </c>
      <c r="L149" s="32"/>
      <c r="M149" s="32"/>
      <c r="N149" s="32"/>
      <c r="O149" s="32"/>
      <c r="P149" s="4"/>
      <c r="Q149" s="32"/>
      <c r="R149" s="32" t="n">
        <f aca="false">$J149</f>
        <v>1</v>
      </c>
      <c r="S149" s="32" t="n">
        <f aca="false">$J149</f>
        <v>1</v>
      </c>
      <c r="T149" s="32" t="n">
        <f aca="false">$J149</f>
        <v>1</v>
      </c>
      <c r="U149" s="32" t="n">
        <f aca="false">$J149</f>
        <v>1</v>
      </c>
      <c r="V149" s="32" t="n">
        <f aca="false">$J149</f>
        <v>1</v>
      </c>
      <c r="W149" s="32" t="n">
        <f aca="false">$J149</f>
        <v>1</v>
      </c>
      <c r="X149" s="32" t="n">
        <f aca="false">$J149</f>
        <v>1</v>
      </c>
      <c r="Y149" s="32" t="n">
        <f aca="false">$J149</f>
        <v>1</v>
      </c>
      <c r="Z149" s="32" t="n">
        <f aca="false">$J149</f>
        <v>1</v>
      </c>
      <c r="AA149" s="32" t="n">
        <f aca="false">$J149</f>
        <v>1</v>
      </c>
      <c r="AB149" s="5"/>
    </row>
    <row r="150" customFormat="false" ht="15" hidden="false" customHeight="false" outlineLevel="0" collapsed="false">
      <c r="A150" s="4" t="s">
        <v>241</v>
      </c>
      <c r="B150" s="4" t="s">
        <v>858</v>
      </c>
      <c r="C150" s="4" t="s">
        <v>859</v>
      </c>
      <c r="D150" s="5" t="s">
        <v>585</v>
      </c>
      <c r="E150" s="32" t="n">
        <v>1</v>
      </c>
      <c r="F150" s="4" t="s">
        <v>82</v>
      </c>
      <c r="G150" s="5" t="s">
        <v>509</v>
      </c>
      <c r="H150" s="4" t="s">
        <v>586</v>
      </c>
      <c r="I150" s="32" t="n">
        <v>1</v>
      </c>
      <c r="J150" s="32" t="n">
        <f aca="false">E150*I150</f>
        <v>1</v>
      </c>
      <c r="K150" s="4"/>
      <c r="L150" s="32"/>
      <c r="M150" s="32"/>
      <c r="N150" s="32"/>
      <c r="O150" s="32"/>
      <c r="P150" s="4"/>
      <c r="Q150" s="32"/>
      <c r="R150" s="32" t="n">
        <f aca="false">$J150</f>
        <v>1</v>
      </c>
      <c r="S150" s="32" t="n">
        <f aca="false">$J150</f>
        <v>1</v>
      </c>
      <c r="T150" s="32" t="n">
        <f aca="false">$J150</f>
        <v>1</v>
      </c>
      <c r="U150" s="32" t="n">
        <f aca="false">$J150</f>
        <v>1</v>
      </c>
      <c r="V150" s="32" t="n">
        <f aca="false">$J150</f>
        <v>1</v>
      </c>
      <c r="W150" s="32" t="n">
        <f aca="false">$J150</f>
        <v>1</v>
      </c>
      <c r="X150" s="32" t="n">
        <f aca="false">$J150</f>
        <v>1</v>
      </c>
      <c r="Y150" s="32" t="n">
        <f aca="false">$J150</f>
        <v>1</v>
      </c>
      <c r="Z150" s="32" t="n">
        <f aca="false">$J150</f>
        <v>1</v>
      </c>
      <c r="AA150" s="32" t="n">
        <f aca="false">$J150</f>
        <v>1</v>
      </c>
      <c r="AB150" s="5"/>
    </row>
    <row r="151" customFormat="false" ht="15" hidden="false" customHeight="false" outlineLevel="0" collapsed="false">
      <c r="A151" s="4" t="s">
        <v>241</v>
      </c>
      <c r="B151" s="4" t="s">
        <v>860</v>
      </c>
      <c r="C151" s="4" t="s">
        <v>861</v>
      </c>
      <c r="D151" s="5" t="s">
        <v>687</v>
      </c>
      <c r="E151" s="32" t="n">
        <v>1</v>
      </c>
      <c r="F151" s="4" t="s">
        <v>82</v>
      </c>
      <c r="G151" s="5" t="s">
        <v>509</v>
      </c>
      <c r="H151" s="4" t="s">
        <v>688</v>
      </c>
      <c r="I151" s="32" t="n">
        <v>1</v>
      </c>
      <c r="J151" s="32" t="n">
        <f aca="false">E151*I151</f>
        <v>1</v>
      </c>
      <c r="K151" s="4" t="s">
        <v>689</v>
      </c>
      <c r="L151" s="32"/>
      <c r="M151" s="32"/>
      <c r="N151" s="32"/>
      <c r="O151" s="32"/>
      <c r="P151" s="4"/>
      <c r="Q151" s="32"/>
      <c r="R151" s="32" t="n">
        <f aca="false">$J151</f>
        <v>1</v>
      </c>
      <c r="S151" s="32" t="n">
        <f aca="false">$J151</f>
        <v>1</v>
      </c>
      <c r="T151" s="32" t="n">
        <f aca="false">$J151</f>
        <v>1</v>
      </c>
      <c r="U151" s="32" t="n">
        <f aca="false">$J151</f>
        <v>1</v>
      </c>
      <c r="V151" s="32" t="n">
        <f aca="false">$J151</f>
        <v>1</v>
      </c>
      <c r="W151" s="32" t="n">
        <f aca="false">$J151</f>
        <v>1</v>
      </c>
      <c r="X151" s="32" t="n">
        <f aca="false">$J151</f>
        <v>1</v>
      </c>
      <c r="Y151" s="32" t="n">
        <f aca="false">$J151</f>
        <v>1</v>
      </c>
      <c r="Z151" s="32" t="n">
        <f aca="false">$J151</f>
        <v>1</v>
      </c>
      <c r="AA151" s="32" t="n">
        <f aca="false">$J151</f>
        <v>1</v>
      </c>
      <c r="AB151" s="5"/>
    </row>
    <row r="152" customFormat="false" ht="15" hidden="false" customHeight="false" outlineLevel="0" collapsed="false">
      <c r="A152" s="4" t="s">
        <v>241</v>
      </c>
      <c r="B152" s="4" t="s">
        <v>862</v>
      </c>
      <c r="C152" s="4" t="s">
        <v>863</v>
      </c>
      <c r="D152" s="5" t="s">
        <v>589</v>
      </c>
      <c r="E152" s="32" t="n">
        <v>1</v>
      </c>
      <c r="F152" s="4" t="s">
        <v>82</v>
      </c>
      <c r="G152" s="5" t="s">
        <v>509</v>
      </c>
      <c r="H152" s="4" t="s">
        <v>590</v>
      </c>
      <c r="I152" s="32" t="n">
        <v>1</v>
      </c>
      <c r="J152" s="32" t="n">
        <f aca="false">E152*I152</f>
        <v>1</v>
      </c>
      <c r="K152" s="4"/>
      <c r="L152" s="32"/>
      <c r="M152" s="32"/>
      <c r="N152" s="32"/>
      <c r="O152" s="32"/>
      <c r="P152" s="4"/>
      <c r="Q152" s="32"/>
      <c r="R152" s="32" t="n">
        <f aca="false">$J152</f>
        <v>1</v>
      </c>
      <c r="S152" s="32" t="n">
        <f aca="false">$J152</f>
        <v>1</v>
      </c>
      <c r="T152" s="32" t="n">
        <f aca="false">$J152</f>
        <v>1</v>
      </c>
      <c r="U152" s="32" t="n">
        <f aca="false">$J152</f>
        <v>1</v>
      </c>
      <c r="V152" s="32" t="n">
        <f aca="false">$J152</f>
        <v>1</v>
      </c>
      <c r="W152" s="32" t="n">
        <f aca="false">$J152</f>
        <v>1</v>
      </c>
      <c r="X152" s="32" t="n">
        <f aca="false">$J152</f>
        <v>1</v>
      </c>
      <c r="Y152" s="32" t="n">
        <f aca="false">$J152</f>
        <v>1</v>
      </c>
      <c r="Z152" s="32" t="n">
        <f aca="false">$J152</f>
        <v>1</v>
      </c>
      <c r="AA152" s="32" t="n">
        <f aca="false">$J152</f>
        <v>1</v>
      </c>
      <c r="AB152" s="5"/>
    </row>
    <row r="153" customFormat="false" ht="15" hidden="false" customHeight="false" outlineLevel="0" collapsed="false">
      <c r="A153" s="4" t="s">
        <v>241</v>
      </c>
      <c r="B153" s="4" t="s">
        <v>864</v>
      </c>
      <c r="C153" s="4" t="s">
        <v>865</v>
      </c>
      <c r="D153" s="5" t="s">
        <v>593</v>
      </c>
      <c r="E153" s="32" t="n">
        <v>1</v>
      </c>
      <c r="F153" s="4" t="s">
        <v>82</v>
      </c>
      <c r="G153" s="5" t="s">
        <v>509</v>
      </c>
      <c r="H153" s="4" t="s">
        <v>594</v>
      </c>
      <c r="I153" s="32" t="n">
        <v>1</v>
      </c>
      <c r="J153" s="32" t="n">
        <f aca="false">E153*I153</f>
        <v>1</v>
      </c>
      <c r="K153" s="4"/>
      <c r="L153" s="32"/>
      <c r="M153" s="32"/>
      <c r="N153" s="32"/>
      <c r="O153" s="32"/>
      <c r="P153" s="4"/>
      <c r="Q153" s="32"/>
      <c r="R153" s="32" t="n">
        <f aca="false">$J153</f>
        <v>1</v>
      </c>
      <c r="S153" s="32" t="n">
        <f aca="false">$J153</f>
        <v>1</v>
      </c>
      <c r="T153" s="32" t="n">
        <f aca="false">$J153</f>
        <v>1</v>
      </c>
      <c r="U153" s="32" t="n">
        <f aca="false">$J153</f>
        <v>1</v>
      </c>
      <c r="V153" s="32" t="n">
        <f aca="false">$J153</f>
        <v>1</v>
      </c>
      <c r="W153" s="32" t="n">
        <f aca="false">$J153</f>
        <v>1</v>
      </c>
      <c r="X153" s="32" t="n">
        <f aca="false">$J153</f>
        <v>1</v>
      </c>
      <c r="Y153" s="32" t="n">
        <f aca="false">$J153</f>
        <v>1</v>
      </c>
      <c r="Z153" s="32" t="n">
        <f aca="false">$J153</f>
        <v>1</v>
      </c>
      <c r="AA153" s="32" t="n">
        <f aca="false">$J153</f>
        <v>1</v>
      </c>
      <c r="AB153" s="5"/>
    </row>
    <row r="154" customFormat="false" ht="15" hidden="false" customHeight="false" outlineLevel="0" collapsed="false">
      <c r="A154" s="4" t="s">
        <v>241</v>
      </c>
      <c r="B154" s="4" t="s">
        <v>866</v>
      </c>
      <c r="C154" s="4" t="s">
        <v>867</v>
      </c>
      <c r="D154" s="5" t="s">
        <v>597</v>
      </c>
      <c r="E154" s="32" t="n">
        <v>1</v>
      </c>
      <c r="F154" s="4" t="s">
        <v>82</v>
      </c>
      <c r="G154" s="5" t="s">
        <v>509</v>
      </c>
      <c r="H154" s="4" t="s">
        <v>598</v>
      </c>
      <c r="I154" s="32" t="n">
        <v>1</v>
      </c>
      <c r="J154" s="32" t="n">
        <f aca="false">E154*I154</f>
        <v>1</v>
      </c>
      <c r="K154" s="4"/>
      <c r="L154" s="32"/>
      <c r="M154" s="32"/>
      <c r="N154" s="32"/>
      <c r="O154" s="32"/>
      <c r="P154" s="4"/>
      <c r="Q154" s="32"/>
      <c r="R154" s="32" t="n">
        <f aca="false">$J154</f>
        <v>1</v>
      </c>
      <c r="S154" s="32" t="n">
        <f aca="false">$J154</f>
        <v>1</v>
      </c>
      <c r="T154" s="32" t="n">
        <f aca="false">$J154</f>
        <v>1</v>
      </c>
      <c r="U154" s="32" t="n">
        <f aca="false">$J154</f>
        <v>1</v>
      </c>
      <c r="V154" s="32" t="n">
        <f aca="false">$J154</f>
        <v>1</v>
      </c>
      <c r="W154" s="32" t="n">
        <f aca="false">$J154</f>
        <v>1</v>
      </c>
      <c r="X154" s="32" t="n">
        <f aca="false">$J154</f>
        <v>1</v>
      </c>
      <c r="Y154" s="32" t="n">
        <f aca="false">$J154</f>
        <v>1</v>
      </c>
      <c r="Z154" s="32" t="n">
        <f aca="false">$J154</f>
        <v>1</v>
      </c>
      <c r="AA154" s="32" t="n">
        <f aca="false">$J154</f>
        <v>1</v>
      </c>
      <c r="AB154" s="5"/>
    </row>
    <row r="155" customFormat="false" ht="15" hidden="false" customHeight="false" outlineLevel="0" collapsed="false">
      <c r="A155" s="4" t="s">
        <v>241</v>
      </c>
      <c r="B155" s="4" t="s">
        <v>868</v>
      </c>
      <c r="C155" s="4" t="s">
        <v>869</v>
      </c>
      <c r="D155" s="5" t="s">
        <v>698</v>
      </c>
      <c r="E155" s="32" t="n">
        <v>1</v>
      </c>
      <c r="F155" s="4" t="s">
        <v>82</v>
      </c>
      <c r="G155" s="5" t="s">
        <v>509</v>
      </c>
      <c r="H155" s="4" t="s">
        <v>870</v>
      </c>
      <c r="I155" s="32" t="n">
        <v>1</v>
      </c>
      <c r="J155" s="32" t="n">
        <f aca="false">E155*I155</f>
        <v>1</v>
      </c>
      <c r="K155" s="4"/>
      <c r="L155" s="32"/>
      <c r="M155" s="32"/>
      <c r="N155" s="32"/>
      <c r="O155" s="32"/>
      <c r="P155" s="4"/>
      <c r="Q155" s="32"/>
      <c r="R155" s="32" t="n">
        <f aca="false">$J155</f>
        <v>1</v>
      </c>
      <c r="S155" s="32" t="n">
        <f aca="false">$J155</f>
        <v>1</v>
      </c>
      <c r="T155" s="32" t="n">
        <f aca="false">$J155</f>
        <v>1</v>
      </c>
      <c r="U155" s="32" t="n">
        <f aca="false">$J155</f>
        <v>1</v>
      </c>
      <c r="V155" s="32" t="n">
        <f aca="false">$J155</f>
        <v>1</v>
      </c>
      <c r="W155" s="32" t="n">
        <f aca="false">$J155</f>
        <v>1</v>
      </c>
      <c r="X155" s="32" t="n">
        <f aca="false">$J155</f>
        <v>1</v>
      </c>
      <c r="Y155" s="32" t="n">
        <f aca="false">$J155</f>
        <v>1</v>
      </c>
      <c r="Z155" s="32" t="n">
        <f aca="false">$J155</f>
        <v>1</v>
      </c>
      <c r="AA155" s="32" t="n">
        <f aca="false">$J155</f>
        <v>1</v>
      </c>
      <c r="AB155" s="5"/>
    </row>
    <row r="156" customFormat="false" ht="15" hidden="false" customHeight="false" outlineLevel="0" collapsed="false">
      <c r="A156" s="4" t="s">
        <v>241</v>
      </c>
      <c r="B156" s="4" t="s">
        <v>871</v>
      </c>
      <c r="C156" s="4" t="s">
        <v>872</v>
      </c>
      <c r="D156" s="5" t="s">
        <v>702</v>
      </c>
      <c r="E156" s="32" t="n">
        <v>2</v>
      </c>
      <c r="F156" s="4" t="s">
        <v>82</v>
      </c>
      <c r="G156" s="5" t="s">
        <v>509</v>
      </c>
      <c r="H156" s="4" t="s">
        <v>703</v>
      </c>
      <c r="I156" s="32" t="n">
        <v>1</v>
      </c>
      <c r="J156" s="32" t="n">
        <f aca="false">E156*I156</f>
        <v>2</v>
      </c>
      <c r="K156" s="4"/>
      <c r="L156" s="32"/>
      <c r="M156" s="32"/>
      <c r="N156" s="32"/>
      <c r="O156" s="32"/>
      <c r="P156" s="4"/>
      <c r="Q156" s="32"/>
      <c r="R156" s="32" t="n">
        <f aca="false">$J156</f>
        <v>2</v>
      </c>
      <c r="S156" s="32" t="n">
        <f aca="false">$J156</f>
        <v>2</v>
      </c>
      <c r="T156" s="32" t="n">
        <f aca="false">$J156</f>
        <v>2</v>
      </c>
      <c r="U156" s="32" t="n">
        <f aca="false">$J156</f>
        <v>2</v>
      </c>
      <c r="V156" s="32" t="n">
        <f aca="false">$J156</f>
        <v>2</v>
      </c>
      <c r="W156" s="32" t="n">
        <f aca="false">$J156</f>
        <v>2</v>
      </c>
      <c r="X156" s="32" t="n">
        <f aca="false">$J156</f>
        <v>2</v>
      </c>
      <c r="Y156" s="32" t="n">
        <f aca="false">$J156</f>
        <v>2</v>
      </c>
      <c r="Z156" s="32" t="n">
        <f aca="false">$J156</f>
        <v>2</v>
      </c>
      <c r="AA156" s="32" t="n">
        <f aca="false">$J156</f>
        <v>2</v>
      </c>
      <c r="AB156" s="5"/>
    </row>
    <row r="157" customFormat="false" ht="15" hidden="false" customHeight="false" outlineLevel="0" collapsed="false">
      <c r="A157" s="4" t="s">
        <v>267</v>
      </c>
      <c r="B157" s="4" t="s">
        <v>797</v>
      </c>
      <c r="C157" s="4" t="s">
        <v>873</v>
      </c>
      <c r="D157" s="5" t="s">
        <v>490</v>
      </c>
      <c r="E157" s="32" t="n">
        <v>1</v>
      </c>
      <c r="F157" s="4" t="s">
        <v>82</v>
      </c>
      <c r="G157" s="5" t="s">
        <v>491</v>
      </c>
      <c r="H157" s="4" t="s">
        <v>799</v>
      </c>
      <c r="I157" s="32" t="n">
        <f aca="false">FAB_COMPRA!K16</f>
        <v>0.0666666666666667</v>
      </c>
      <c r="J157" s="32" t="n">
        <f aca="false">E157*I157</f>
        <v>0.0666666666666667</v>
      </c>
      <c r="K157" s="4"/>
      <c r="L157" s="32"/>
      <c r="M157" s="32"/>
      <c r="N157" s="32"/>
      <c r="O157" s="32"/>
      <c r="P157" s="4"/>
      <c r="Q157" s="32"/>
      <c r="R157" s="32" t="n">
        <f aca="false">$J157</f>
        <v>0.0666666666666667</v>
      </c>
      <c r="S157" s="32" t="n">
        <f aca="false">$J157</f>
        <v>0.0666666666666667</v>
      </c>
      <c r="T157" s="32" t="n">
        <f aca="false">$J157</f>
        <v>0.0666666666666667</v>
      </c>
      <c r="U157" s="32" t="n">
        <f aca="false">$J157</f>
        <v>0.0666666666666667</v>
      </c>
      <c r="V157" s="32" t="n">
        <f aca="false">$J157</f>
        <v>0.0666666666666667</v>
      </c>
      <c r="W157" s="32" t="n">
        <f aca="false">$J157</f>
        <v>0.0666666666666667</v>
      </c>
      <c r="X157" s="32" t="n">
        <f aca="false">$J157</f>
        <v>0.0666666666666667</v>
      </c>
      <c r="Y157" s="32" t="n">
        <f aca="false">$J157</f>
        <v>0.0666666666666667</v>
      </c>
      <c r="Z157" s="32" t="n">
        <f aca="false">$J157</f>
        <v>0.0666666666666667</v>
      </c>
      <c r="AA157" s="32" t="n">
        <f aca="false">$J157</f>
        <v>0.0666666666666667</v>
      </c>
      <c r="AB157" s="5" t="s">
        <v>493</v>
      </c>
    </row>
    <row r="158" customFormat="false" ht="15" hidden="false" customHeight="false" outlineLevel="0" collapsed="false">
      <c r="A158" s="4" t="s">
        <v>267</v>
      </c>
      <c r="B158" s="4" t="s">
        <v>800</v>
      </c>
      <c r="C158" s="4" t="s">
        <v>874</v>
      </c>
      <c r="D158" s="5" t="s">
        <v>496</v>
      </c>
      <c r="E158" s="32" t="n">
        <v>1</v>
      </c>
      <c r="F158" s="4" t="s">
        <v>82</v>
      </c>
      <c r="G158" s="5" t="s">
        <v>491</v>
      </c>
      <c r="H158" s="4" t="s">
        <v>802</v>
      </c>
      <c r="I158" s="32" t="n">
        <f aca="false">FAB_COMPRA!K17</f>
        <v>0.9781728</v>
      </c>
      <c r="J158" s="32" t="n">
        <f aca="false">E158*I158</f>
        <v>0.9781728</v>
      </c>
      <c r="K158" s="4"/>
      <c r="L158" s="32"/>
      <c r="M158" s="32"/>
      <c r="N158" s="32"/>
      <c r="O158" s="32"/>
      <c r="P158" s="4"/>
      <c r="Q158" s="32"/>
      <c r="R158" s="32" t="n">
        <f aca="false">$J158</f>
        <v>0.9781728</v>
      </c>
      <c r="S158" s="32" t="n">
        <f aca="false">$J158</f>
        <v>0.9781728</v>
      </c>
      <c r="T158" s="32" t="n">
        <f aca="false">$J158</f>
        <v>0.9781728</v>
      </c>
      <c r="U158" s="32" t="n">
        <f aca="false">$J158</f>
        <v>0.9781728</v>
      </c>
      <c r="V158" s="32" t="n">
        <f aca="false">$J158</f>
        <v>0.9781728</v>
      </c>
      <c r="W158" s="32" t="n">
        <f aca="false">$J158</f>
        <v>0.9781728</v>
      </c>
      <c r="X158" s="32" t="n">
        <f aca="false">$J158</f>
        <v>0.9781728</v>
      </c>
      <c r="Y158" s="32" t="n">
        <f aca="false">$J158</f>
        <v>0.9781728</v>
      </c>
      <c r="Z158" s="32" t="n">
        <f aca="false">$J158</f>
        <v>0.9781728</v>
      </c>
      <c r="AA158" s="32" t="n">
        <f aca="false">$J158</f>
        <v>0.9781728</v>
      </c>
      <c r="AB158" s="5" t="s">
        <v>493</v>
      </c>
    </row>
    <row r="159" customFormat="false" ht="15" hidden="false" customHeight="false" outlineLevel="0" collapsed="false">
      <c r="A159" s="4" t="s">
        <v>267</v>
      </c>
      <c r="B159" s="4" t="s">
        <v>803</v>
      </c>
      <c r="C159" s="4" t="s">
        <v>875</v>
      </c>
      <c r="D159" s="5" t="s">
        <v>500</v>
      </c>
      <c r="E159" s="32" t="n">
        <v>1</v>
      </c>
      <c r="F159" s="4" t="s">
        <v>82</v>
      </c>
      <c r="G159" s="5" t="s">
        <v>491</v>
      </c>
      <c r="H159" s="4" t="s">
        <v>805</v>
      </c>
      <c r="I159" s="32" t="n">
        <f aca="false">FAB_COMPRA!K18</f>
        <v>0.8092251</v>
      </c>
      <c r="J159" s="32" t="n">
        <f aca="false">E159*I159</f>
        <v>0.8092251</v>
      </c>
      <c r="K159" s="4"/>
      <c r="L159" s="32"/>
      <c r="M159" s="32"/>
      <c r="N159" s="32"/>
      <c r="O159" s="32"/>
      <c r="P159" s="4"/>
      <c r="Q159" s="32"/>
      <c r="R159" s="32" t="n">
        <f aca="false">$J159</f>
        <v>0.8092251</v>
      </c>
      <c r="S159" s="32" t="n">
        <f aca="false">$J159</f>
        <v>0.8092251</v>
      </c>
      <c r="T159" s="32" t="n">
        <f aca="false">$J159</f>
        <v>0.8092251</v>
      </c>
      <c r="U159" s="32" t="n">
        <f aca="false">$J159</f>
        <v>0.8092251</v>
      </c>
      <c r="V159" s="32" t="n">
        <f aca="false">$J159</f>
        <v>0.8092251</v>
      </c>
      <c r="W159" s="32" t="n">
        <f aca="false">$J159</f>
        <v>0.8092251</v>
      </c>
      <c r="X159" s="32" t="n">
        <f aca="false">$J159</f>
        <v>0.8092251</v>
      </c>
      <c r="Y159" s="32" t="n">
        <f aca="false">$J159</f>
        <v>0.8092251</v>
      </c>
      <c r="Z159" s="32" t="n">
        <f aca="false">$J159</f>
        <v>0.8092251</v>
      </c>
      <c r="AA159" s="32" t="n">
        <f aca="false">$J159</f>
        <v>0.8092251</v>
      </c>
      <c r="AB159" s="5" t="s">
        <v>493</v>
      </c>
    </row>
    <row r="160" customFormat="false" ht="15" hidden="false" customHeight="false" outlineLevel="0" collapsed="false">
      <c r="A160" s="4" t="s">
        <v>267</v>
      </c>
      <c r="B160" s="4" t="s">
        <v>806</v>
      </c>
      <c r="C160" s="4" t="s">
        <v>876</v>
      </c>
      <c r="D160" s="5" t="s">
        <v>504</v>
      </c>
      <c r="E160" s="32" t="n">
        <v>1</v>
      </c>
      <c r="F160" s="4" t="s">
        <v>82</v>
      </c>
      <c r="G160" s="5" t="s">
        <v>491</v>
      </c>
      <c r="H160" s="4" t="s">
        <v>625</v>
      </c>
      <c r="I160" s="32" t="n">
        <f aca="false">FAB_COMPRA!K19</f>
        <v>1</v>
      </c>
      <c r="J160" s="32" t="n">
        <f aca="false">E160*I160</f>
        <v>1</v>
      </c>
      <c r="K160" s="4"/>
      <c r="L160" s="32"/>
      <c r="M160" s="32"/>
      <c r="N160" s="32"/>
      <c r="O160" s="32"/>
      <c r="P160" s="4"/>
      <c r="Q160" s="32"/>
      <c r="R160" s="32" t="n">
        <f aca="false">$J160</f>
        <v>1</v>
      </c>
      <c r="S160" s="32" t="n">
        <f aca="false">$J160</f>
        <v>1</v>
      </c>
      <c r="T160" s="32" t="n">
        <f aca="false">$J160</f>
        <v>1</v>
      </c>
      <c r="U160" s="32" t="n">
        <f aca="false">$J160</f>
        <v>1</v>
      </c>
      <c r="V160" s="32" t="n">
        <f aca="false">$J160</f>
        <v>1</v>
      </c>
      <c r="W160" s="32" t="n">
        <f aca="false">$J160</f>
        <v>1</v>
      </c>
      <c r="X160" s="32" t="n">
        <f aca="false">$J160</f>
        <v>1</v>
      </c>
      <c r="Y160" s="32" t="n">
        <f aca="false">$J160</f>
        <v>1</v>
      </c>
      <c r="Z160" s="32" t="n">
        <f aca="false">$J160</f>
        <v>1</v>
      </c>
      <c r="AA160" s="32" t="n">
        <f aca="false">$J160</f>
        <v>1</v>
      </c>
      <c r="AB160" s="5" t="s">
        <v>493</v>
      </c>
    </row>
    <row r="161" customFormat="false" ht="15" hidden="false" customHeight="false" outlineLevel="0" collapsed="false">
      <c r="A161" s="4" t="s">
        <v>267</v>
      </c>
      <c r="B161" s="4" t="s">
        <v>877</v>
      </c>
      <c r="C161" s="4" t="s">
        <v>878</v>
      </c>
      <c r="D161" s="5" t="s">
        <v>609</v>
      </c>
      <c r="E161" s="32" t="n">
        <v>1</v>
      </c>
      <c r="F161" s="4" t="s">
        <v>82</v>
      </c>
      <c r="G161" s="5" t="s">
        <v>509</v>
      </c>
      <c r="H161" s="4" t="s">
        <v>710</v>
      </c>
      <c r="I161" s="32" t="n">
        <v>1</v>
      </c>
      <c r="J161" s="32" t="n">
        <f aca="false">E161*I161</f>
        <v>1</v>
      </c>
      <c r="K161" s="4"/>
      <c r="L161" s="32"/>
      <c r="M161" s="32"/>
      <c r="N161" s="32"/>
      <c r="O161" s="32"/>
      <c r="P161" s="4"/>
      <c r="Q161" s="32"/>
      <c r="R161" s="32" t="n">
        <f aca="false">$J161</f>
        <v>1</v>
      </c>
      <c r="S161" s="32" t="n">
        <f aca="false">$J161</f>
        <v>1</v>
      </c>
      <c r="T161" s="32" t="n">
        <f aca="false">$J161</f>
        <v>1</v>
      </c>
      <c r="U161" s="32" t="n">
        <f aca="false">$J161</f>
        <v>1</v>
      </c>
      <c r="V161" s="32" t="n">
        <f aca="false">$J161</f>
        <v>1</v>
      </c>
      <c r="W161" s="32" t="n">
        <f aca="false">$J161</f>
        <v>1</v>
      </c>
      <c r="X161" s="32" t="n">
        <f aca="false">$J161</f>
        <v>1</v>
      </c>
      <c r="Y161" s="32" t="n">
        <f aca="false">$J161</f>
        <v>1</v>
      </c>
      <c r="Z161" s="32" t="n">
        <f aca="false">$J161</f>
        <v>1</v>
      </c>
      <c r="AA161" s="32" t="n">
        <f aca="false">$J161</f>
        <v>1</v>
      </c>
      <c r="AB161" s="5"/>
    </row>
    <row r="162" customFormat="false" ht="15" hidden="false" customHeight="false" outlineLevel="0" collapsed="false">
      <c r="A162" s="4" t="s">
        <v>267</v>
      </c>
      <c r="B162" s="4" t="s">
        <v>879</v>
      </c>
      <c r="C162" s="4" t="s">
        <v>880</v>
      </c>
      <c r="D162" s="5" t="s">
        <v>613</v>
      </c>
      <c r="E162" s="32" t="n">
        <v>1</v>
      </c>
      <c r="F162" s="4" t="s">
        <v>82</v>
      </c>
      <c r="G162" s="5" t="s">
        <v>509</v>
      </c>
      <c r="H162" s="4" t="s">
        <v>614</v>
      </c>
      <c r="I162" s="32" t="n">
        <v>1</v>
      </c>
      <c r="J162" s="32" t="n">
        <f aca="false">E162*I162</f>
        <v>1</v>
      </c>
      <c r="K162" s="4"/>
      <c r="L162" s="32"/>
      <c r="M162" s="32"/>
      <c r="N162" s="32"/>
      <c r="O162" s="32"/>
      <c r="P162" s="4"/>
      <c r="Q162" s="32"/>
      <c r="R162" s="32" t="n">
        <f aca="false">$J162</f>
        <v>1</v>
      </c>
      <c r="S162" s="32" t="n">
        <f aca="false">$J162</f>
        <v>1</v>
      </c>
      <c r="T162" s="32" t="n">
        <f aca="false">$J162</f>
        <v>1</v>
      </c>
      <c r="U162" s="32" t="n">
        <f aca="false">$J162</f>
        <v>1</v>
      </c>
      <c r="V162" s="32" t="n">
        <f aca="false">$J162</f>
        <v>1</v>
      </c>
      <c r="W162" s="32" t="n">
        <f aca="false">$J162</f>
        <v>1</v>
      </c>
      <c r="X162" s="32" t="n">
        <f aca="false">$J162</f>
        <v>1</v>
      </c>
      <c r="Y162" s="32" t="n">
        <f aca="false">$J162</f>
        <v>1</v>
      </c>
      <c r="Z162" s="32" t="n">
        <f aca="false">$J162</f>
        <v>1</v>
      </c>
      <c r="AA162" s="32" t="n">
        <f aca="false">$J162</f>
        <v>1</v>
      </c>
      <c r="AB162" s="5"/>
    </row>
    <row r="163" customFormat="false" ht="15" hidden="false" customHeight="false" outlineLevel="0" collapsed="false">
      <c r="A163" s="4" t="s">
        <v>245</v>
      </c>
      <c r="B163" s="4" t="s">
        <v>881</v>
      </c>
      <c r="C163" s="4" t="s">
        <v>882</v>
      </c>
      <c r="D163" s="5" t="s">
        <v>490</v>
      </c>
      <c r="E163" s="32" t="n">
        <v>1</v>
      </c>
      <c r="F163" s="4" t="s">
        <v>82</v>
      </c>
      <c r="G163" s="5" t="s">
        <v>491</v>
      </c>
      <c r="H163" s="4" t="s">
        <v>883</v>
      </c>
      <c r="I163" s="32" t="n">
        <f aca="false">FAB_COMPRA!K20</f>
        <v>0.111111111111111</v>
      </c>
      <c r="J163" s="32" t="n">
        <f aca="false">E163*I163</f>
        <v>0.111111111111111</v>
      </c>
      <c r="K163" s="4"/>
      <c r="L163" s="32"/>
      <c r="M163" s="32"/>
      <c r="N163" s="32"/>
      <c r="O163" s="32"/>
      <c r="P163" s="4"/>
      <c r="Q163" s="32"/>
      <c r="R163" s="32" t="n">
        <f aca="false">$J163</f>
        <v>0.111111111111111</v>
      </c>
      <c r="S163" s="32" t="n">
        <f aca="false">$J163</f>
        <v>0.111111111111111</v>
      </c>
      <c r="T163" s="32" t="n">
        <f aca="false">$J163</f>
        <v>0.111111111111111</v>
      </c>
      <c r="U163" s="32" t="n">
        <f aca="false">$J163</f>
        <v>0.111111111111111</v>
      </c>
      <c r="V163" s="32" t="n">
        <f aca="false">$J163</f>
        <v>0.111111111111111</v>
      </c>
      <c r="W163" s="32" t="n">
        <f aca="false">$J163</f>
        <v>0.111111111111111</v>
      </c>
      <c r="X163" s="32" t="n">
        <f aca="false">$J163</f>
        <v>0.111111111111111</v>
      </c>
      <c r="Y163" s="32" t="n">
        <f aca="false">$J163</f>
        <v>0.111111111111111</v>
      </c>
      <c r="Z163" s="32" t="n">
        <f aca="false">$J163</f>
        <v>0.111111111111111</v>
      </c>
      <c r="AA163" s="32" t="n">
        <f aca="false">$J163</f>
        <v>0.111111111111111</v>
      </c>
      <c r="AB163" s="5" t="s">
        <v>493</v>
      </c>
    </row>
    <row r="164" customFormat="false" ht="15" hidden="false" customHeight="false" outlineLevel="0" collapsed="false">
      <c r="A164" s="4" t="s">
        <v>245</v>
      </c>
      <c r="B164" s="4" t="s">
        <v>884</v>
      </c>
      <c r="C164" s="4" t="s">
        <v>885</v>
      </c>
      <c r="D164" s="5" t="s">
        <v>496</v>
      </c>
      <c r="E164" s="32" t="n">
        <v>1</v>
      </c>
      <c r="F164" s="4" t="s">
        <v>82</v>
      </c>
      <c r="G164" s="5" t="s">
        <v>491</v>
      </c>
      <c r="H164" s="4" t="s">
        <v>886</v>
      </c>
      <c r="I164" s="32" t="n">
        <f aca="false">FAB_COMPRA!K21</f>
        <v>1</v>
      </c>
      <c r="J164" s="32" t="n">
        <f aca="false">E164*I164</f>
        <v>1</v>
      </c>
      <c r="K164" s="4"/>
      <c r="L164" s="32"/>
      <c r="M164" s="32"/>
      <c r="N164" s="32"/>
      <c r="O164" s="32"/>
      <c r="P164" s="4"/>
      <c r="Q164" s="32"/>
      <c r="R164" s="32" t="n">
        <f aca="false">$J164</f>
        <v>1</v>
      </c>
      <c r="S164" s="32" t="n">
        <f aca="false">$J164</f>
        <v>1</v>
      </c>
      <c r="T164" s="32" t="n">
        <f aca="false">$J164</f>
        <v>1</v>
      </c>
      <c r="U164" s="32" t="n">
        <f aca="false">$J164</f>
        <v>1</v>
      </c>
      <c r="V164" s="32" t="n">
        <f aca="false">$J164</f>
        <v>1</v>
      </c>
      <c r="W164" s="32" t="n">
        <f aca="false">$J164</f>
        <v>1</v>
      </c>
      <c r="X164" s="32" t="n">
        <f aca="false">$J164</f>
        <v>1</v>
      </c>
      <c r="Y164" s="32" t="n">
        <f aca="false">$J164</f>
        <v>1</v>
      </c>
      <c r="Z164" s="32" t="n">
        <f aca="false">$J164</f>
        <v>1</v>
      </c>
      <c r="AA164" s="32" t="n">
        <f aca="false">$J164</f>
        <v>1</v>
      </c>
      <c r="AB164" s="5" t="s">
        <v>493</v>
      </c>
    </row>
    <row r="165" customFormat="false" ht="15" hidden="false" customHeight="false" outlineLevel="0" collapsed="false">
      <c r="A165" s="4" t="s">
        <v>245</v>
      </c>
      <c r="B165" s="4" t="s">
        <v>887</v>
      </c>
      <c r="C165" s="4" t="s">
        <v>888</v>
      </c>
      <c r="D165" s="5" t="s">
        <v>500</v>
      </c>
      <c r="E165" s="32" t="n">
        <v>1</v>
      </c>
      <c r="F165" s="4" t="s">
        <v>82</v>
      </c>
      <c r="G165" s="5" t="s">
        <v>491</v>
      </c>
      <c r="H165" s="4" t="s">
        <v>886</v>
      </c>
      <c r="I165" s="32" t="n">
        <f aca="false">FAB_COMPRA!K22</f>
        <v>1</v>
      </c>
      <c r="J165" s="32" t="n">
        <f aca="false">E165*I165</f>
        <v>1</v>
      </c>
      <c r="K165" s="4"/>
      <c r="L165" s="32"/>
      <c r="M165" s="32"/>
      <c r="N165" s="32"/>
      <c r="O165" s="32"/>
      <c r="P165" s="4"/>
      <c r="Q165" s="32"/>
      <c r="R165" s="32" t="n">
        <f aca="false">$J165</f>
        <v>1</v>
      </c>
      <c r="S165" s="32" t="n">
        <f aca="false">$J165</f>
        <v>1</v>
      </c>
      <c r="T165" s="32" t="n">
        <f aca="false">$J165</f>
        <v>1</v>
      </c>
      <c r="U165" s="32" t="n">
        <f aca="false">$J165</f>
        <v>1</v>
      </c>
      <c r="V165" s="32" t="n">
        <f aca="false">$J165</f>
        <v>1</v>
      </c>
      <c r="W165" s="32" t="n">
        <f aca="false">$J165</f>
        <v>1</v>
      </c>
      <c r="X165" s="32" t="n">
        <f aca="false">$J165</f>
        <v>1</v>
      </c>
      <c r="Y165" s="32" t="n">
        <f aca="false">$J165</f>
        <v>1</v>
      </c>
      <c r="Z165" s="32" t="n">
        <f aca="false">$J165</f>
        <v>1</v>
      </c>
      <c r="AA165" s="32" t="n">
        <f aca="false">$J165</f>
        <v>1</v>
      </c>
      <c r="AB165" s="5" t="s">
        <v>493</v>
      </c>
    </row>
    <row r="166" customFormat="false" ht="15" hidden="false" customHeight="false" outlineLevel="0" collapsed="false">
      <c r="A166" s="4" t="s">
        <v>245</v>
      </c>
      <c r="B166" s="4" t="s">
        <v>889</v>
      </c>
      <c r="C166" s="4" t="s">
        <v>890</v>
      </c>
      <c r="D166" s="5" t="s">
        <v>504</v>
      </c>
      <c r="E166" s="32" t="n">
        <v>1</v>
      </c>
      <c r="F166" s="4" t="s">
        <v>82</v>
      </c>
      <c r="G166" s="5" t="s">
        <v>491</v>
      </c>
      <c r="H166" s="4" t="s">
        <v>891</v>
      </c>
      <c r="I166" s="32" t="n">
        <f aca="false">FAB_COMPRA!K23</f>
        <v>1</v>
      </c>
      <c r="J166" s="32" t="n">
        <f aca="false">E166*I166</f>
        <v>1</v>
      </c>
      <c r="K166" s="4"/>
      <c r="L166" s="32"/>
      <c r="M166" s="32"/>
      <c r="N166" s="32"/>
      <c r="O166" s="32"/>
      <c r="P166" s="4"/>
      <c r="Q166" s="32"/>
      <c r="R166" s="32" t="n">
        <f aca="false">$J166</f>
        <v>1</v>
      </c>
      <c r="S166" s="32" t="n">
        <f aca="false">$J166</f>
        <v>1</v>
      </c>
      <c r="T166" s="32" t="n">
        <f aca="false">$J166</f>
        <v>1</v>
      </c>
      <c r="U166" s="32" t="n">
        <f aca="false">$J166</f>
        <v>1</v>
      </c>
      <c r="V166" s="32" t="n">
        <f aca="false">$J166</f>
        <v>1</v>
      </c>
      <c r="W166" s="32" t="n">
        <f aca="false">$J166</f>
        <v>1</v>
      </c>
      <c r="X166" s="32" t="n">
        <f aca="false">$J166</f>
        <v>1</v>
      </c>
      <c r="Y166" s="32" t="n">
        <f aca="false">$J166</f>
        <v>1</v>
      </c>
      <c r="Z166" s="32" t="n">
        <f aca="false">$J166</f>
        <v>1</v>
      </c>
      <c r="AA166" s="32" t="n">
        <f aca="false">$J166</f>
        <v>1</v>
      </c>
      <c r="AB166" s="5" t="s">
        <v>493</v>
      </c>
    </row>
    <row r="167" customFormat="false" ht="15" hidden="false" customHeight="false" outlineLevel="0" collapsed="false">
      <c r="A167" s="4" t="s">
        <v>245</v>
      </c>
      <c r="B167" s="4" t="s">
        <v>892</v>
      </c>
      <c r="C167" s="4" t="s">
        <v>893</v>
      </c>
      <c r="D167" s="5" t="s">
        <v>508</v>
      </c>
      <c r="E167" s="32" t="n">
        <v>1</v>
      </c>
      <c r="F167" s="4" t="s">
        <v>82</v>
      </c>
      <c r="G167" s="5" t="s">
        <v>509</v>
      </c>
      <c r="H167" s="4" t="s">
        <v>510</v>
      </c>
      <c r="I167" s="32" t="n">
        <v>1</v>
      </c>
      <c r="J167" s="32" t="n">
        <f aca="false">E167*I167</f>
        <v>1</v>
      </c>
      <c r="K167" s="4"/>
      <c r="L167" s="32"/>
      <c r="M167" s="32"/>
      <c r="N167" s="32"/>
      <c r="O167" s="32"/>
      <c r="P167" s="4"/>
      <c r="Q167" s="32"/>
      <c r="R167" s="32" t="n">
        <f aca="false">$J167</f>
        <v>1</v>
      </c>
      <c r="S167" s="32" t="n">
        <f aca="false">$J167</f>
        <v>1</v>
      </c>
      <c r="T167" s="32" t="n">
        <f aca="false">$J167</f>
        <v>1</v>
      </c>
      <c r="U167" s="32" t="n">
        <f aca="false">$J167</f>
        <v>1</v>
      </c>
      <c r="V167" s="32" t="n">
        <f aca="false">$J167</f>
        <v>1</v>
      </c>
      <c r="W167" s="32" t="n">
        <f aca="false">$J167</f>
        <v>1</v>
      </c>
      <c r="X167" s="32" t="n">
        <f aca="false">$J167</f>
        <v>1</v>
      </c>
      <c r="Y167" s="32" t="n">
        <f aca="false">$J167</f>
        <v>1</v>
      </c>
      <c r="Z167" s="32" t="n">
        <f aca="false">$J167</f>
        <v>1</v>
      </c>
      <c r="AA167" s="32" t="n">
        <f aca="false">$J167</f>
        <v>1</v>
      </c>
      <c r="AB167" s="5"/>
    </row>
    <row r="168" customFormat="false" ht="15" hidden="false" customHeight="false" outlineLevel="0" collapsed="false">
      <c r="A168" s="4" t="s">
        <v>245</v>
      </c>
      <c r="B168" s="4" t="s">
        <v>894</v>
      </c>
      <c r="C168" s="4" t="s">
        <v>895</v>
      </c>
      <c r="D168" s="5" t="s">
        <v>513</v>
      </c>
      <c r="E168" s="32" t="n">
        <v>1</v>
      </c>
      <c r="F168" s="4" t="s">
        <v>82</v>
      </c>
      <c r="G168" s="5" t="s">
        <v>509</v>
      </c>
      <c r="H168" s="4" t="s">
        <v>630</v>
      </c>
      <c r="I168" s="32" t="n">
        <v>1</v>
      </c>
      <c r="J168" s="32" t="n">
        <f aca="false">E168*I168</f>
        <v>1</v>
      </c>
      <c r="K168" s="4"/>
      <c r="L168" s="32"/>
      <c r="M168" s="32"/>
      <c r="N168" s="32"/>
      <c r="O168" s="32"/>
      <c r="P168" s="4"/>
      <c r="Q168" s="32"/>
      <c r="R168" s="32" t="n">
        <f aca="false">$J168</f>
        <v>1</v>
      </c>
      <c r="S168" s="32" t="n">
        <f aca="false">$J168</f>
        <v>1</v>
      </c>
      <c r="T168" s="32" t="n">
        <f aca="false">$J168</f>
        <v>1</v>
      </c>
      <c r="U168" s="32" t="n">
        <f aca="false">$J168</f>
        <v>1</v>
      </c>
      <c r="V168" s="32" t="n">
        <f aca="false">$J168</f>
        <v>1</v>
      </c>
      <c r="W168" s="32" t="n">
        <f aca="false">$J168</f>
        <v>1</v>
      </c>
      <c r="X168" s="32" t="n">
        <f aca="false">$J168</f>
        <v>1</v>
      </c>
      <c r="Y168" s="32" t="n">
        <f aca="false">$J168</f>
        <v>1</v>
      </c>
      <c r="Z168" s="32" t="n">
        <f aca="false">$J168</f>
        <v>1</v>
      </c>
      <c r="AA168" s="32" t="n">
        <f aca="false">$J168</f>
        <v>1</v>
      </c>
      <c r="AB168" s="5"/>
    </row>
    <row r="169" customFormat="false" ht="15" hidden="false" customHeight="false" outlineLevel="0" collapsed="false">
      <c r="A169" s="4" t="s">
        <v>245</v>
      </c>
      <c r="B169" s="4" t="s">
        <v>896</v>
      </c>
      <c r="C169" s="4" t="s">
        <v>897</v>
      </c>
      <c r="D169" s="5" t="s">
        <v>898</v>
      </c>
      <c r="E169" s="32" t="n">
        <v>1</v>
      </c>
      <c r="F169" s="4" t="s">
        <v>82</v>
      </c>
      <c r="G169" s="5" t="s">
        <v>518</v>
      </c>
      <c r="H169" s="4" t="s">
        <v>899</v>
      </c>
      <c r="I169" s="32" t="n">
        <v>1</v>
      </c>
      <c r="J169" s="32" t="n">
        <f aca="false">E169*I169</f>
        <v>1</v>
      </c>
      <c r="K169" s="4"/>
      <c r="L169" s="32"/>
      <c r="M169" s="32"/>
      <c r="N169" s="32"/>
      <c r="O169" s="32"/>
      <c r="P169" s="4"/>
      <c r="Q169" s="32"/>
      <c r="R169" s="32" t="n">
        <f aca="false">$J169</f>
        <v>1</v>
      </c>
      <c r="S169" s="32" t="n">
        <f aca="false">$J169</f>
        <v>1</v>
      </c>
      <c r="T169" s="32" t="n">
        <f aca="false">$J169</f>
        <v>1</v>
      </c>
      <c r="U169" s="32" t="n">
        <f aca="false">$J169</f>
        <v>1</v>
      </c>
      <c r="V169" s="32" t="n">
        <f aca="false">$J169</f>
        <v>1</v>
      </c>
      <c r="W169" s="32" t="n">
        <f aca="false">$J169</f>
        <v>1</v>
      </c>
      <c r="X169" s="32" t="n">
        <f aca="false">$J169</f>
        <v>1</v>
      </c>
      <c r="Y169" s="32" t="n">
        <f aca="false">$J169</f>
        <v>1</v>
      </c>
      <c r="Z169" s="32" t="n">
        <f aca="false">$J169</f>
        <v>1</v>
      </c>
      <c r="AA169" s="32" t="n">
        <f aca="false">$J169</f>
        <v>1</v>
      </c>
      <c r="AB169" s="5"/>
    </row>
    <row r="170" customFormat="false" ht="15" hidden="false" customHeight="false" outlineLevel="0" collapsed="false">
      <c r="A170" s="4" t="s">
        <v>245</v>
      </c>
      <c r="B170" s="4" t="s">
        <v>900</v>
      </c>
      <c r="C170" s="4" t="s">
        <v>901</v>
      </c>
      <c r="D170" s="5" t="s">
        <v>522</v>
      </c>
      <c r="E170" s="32" t="n">
        <v>1</v>
      </c>
      <c r="F170" s="4" t="s">
        <v>82</v>
      </c>
      <c r="G170" s="5" t="s">
        <v>523</v>
      </c>
      <c r="H170" s="4"/>
      <c r="I170" s="32"/>
      <c r="J170" s="32" t="n">
        <f aca="false">E170*I170</f>
        <v>0</v>
      </c>
      <c r="K170" s="4"/>
      <c r="L170" s="32"/>
      <c r="M170" s="32"/>
      <c r="N170" s="32"/>
      <c r="O170" s="32"/>
      <c r="P170" s="4"/>
      <c r="Q170" s="32"/>
      <c r="R170" s="32" t="n">
        <f aca="false">$J170</f>
        <v>0</v>
      </c>
      <c r="S170" s="32" t="n">
        <f aca="false">$J170</f>
        <v>0</v>
      </c>
      <c r="T170" s="32" t="n">
        <f aca="false">$J170</f>
        <v>0</v>
      </c>
      <c r="U170" s="32" t="n">
        <f aca="false">$J170</f>
        <v>0</v>
      </c>
      <c r="V170" s="32" t="n">
        <f aca="false">$J170</f>
        <v>0</v>
      </c>
      <c r="W170" s="32" t="n">
        <f aca="false">$J170</f>
        <v>0</v>
      </c>
      <c r="X170" s="32" t="n">
        <f aca="false">$J170</f>
        <v>0</v>
      </c>
      <c r="Y170" s="32" t="n">
        <f aca="false">$J170</f>
        <v>0</v>
      </c>
      <c r="Z170" s="32" t="n">
        <f aca="false">$J170</f>
        <v>0</v>
      </c>
      <c r="AA170" s="32" t="n">
        <f aca="false">$J170</f>
        <v>0</v>
      </c>
      <c r="AB170" s="5"/>
    </row>
    <row r="171" customFormat="false" ht="15" hidden="false" customHeight="false" outlineLevel="0" collapsed="false">
      <c r="A171" s="4" t="s">
        <v>245</v>
      </c>
      <c r="B171" s="4" t="s">
        <v>902</v>
      </c>
      <c r="C171" s="4" t="s">
        <v>903</v>
      </c>
      <c r="D171" s="5" t="s">
        <v>526</v>
      </c>
      <c r="E171" s="32" t="n">
        <v>1</v>
      </c>
      <c r="F171" s="4" t="s">
        <v>82</v>
      </c>
      <c r="G171" s="5" t="s">
        <v>523</v>
      </c>
      <c r="H171" s="4"/>
      <c r="I171" s="32"/>
      <c r="J171" s="32" t="n">
        <f aca="false">E171*I171</f>
        <v>0</v>
      </c>
      <c r="K171" s="4"/>
      <c r="L171" s="32"/>
      <c r="M171" s="32"/>
      <c r="N171" s="32"/>
      <c r="O171" s="32"/>
      <c r="P171" s="4"/>
      <c r="Q171" s="32"/>
      <c r="R171" s="32" t="n">
        <f aca="false">$J171</f>
        <v>0</v>
      </c>
      <c r="S171" s="32" t="n">
        <f aca="false">$J171</f>
        <v>0</v>
      </c>
      <c r="T171" s="32" t="n">
        <f aca="false">$J171</f>
        <v>0</v>
      </c>
      <c r="U171" s="32" t="n">
        <f aca="false">$J171</f>
        <v>0</v>
      </c>
      <c r="V171" s="32" t="n">
        <f aca="false">$J171</f>
        <v>0</v>
      </c>
      <c r="W171" s="32" t="n">
        <f aca="false">$J171</f>
        <v>0</v>
      </c>
      <c r="X171" s="32" t="n">
        <f aca="false">$J171</f>
        <v>0</v>
      </c>
      <c r="Y171" s="32" t="n">
        <f aca="false">$J171</f>
        <v>0</v>
      </c>
      <c r="Z171" s="32" t="n">
        <f aca="false">$J171</f>
        <v>0</v>
      </c>
      <c r="AA171" s="32" t="n">
        <f aca="false">$J171</f>
        <v>0</v>
      </c>
      <c r="AB171" s="5"/>
    </row>
    <row r="172" customFormat="false" ht="15" hidden="false" customHeight="false" outlineLevel="0" collapsed="false">
      <c r="A172" s="4" t="s">
        <v>245</v>
      </c>
      <c r="B172" s="4" t="s">
        <v>904</v>
      </c>
      <c r="C172" s="4" t="s">
        <v>905</v>
      </c>
      <c r="D172" s="5" t="s">
        <v>529</v>
      </c>
      <c r="E172" s="32" t="n">
        <v>1</v>
      </c>
      <c r="F172" s="4" t="s">
        <v>82</v>
      </c>
      <c r="G172" s="5" t="s">
        <v>523</v>
      </c>
      <c r="H172" s="4"/>
      <c r="I172" s="32"/>
      <c r="J172" s="32" t="n">
        <f aca="false">E172*I172</f>
        <v>0</v>
      </c>
      <c r="K172" s="4"/>
      <c r="L172" s="32"/>
      <c r="M172" s="32"/>
      <c r="N172" s="32"/>
      <c r="O172" s="32"/>
      <c r="P172" s="4"/>
      <c r="Q172" s="32"/>
      <c r="R172" s="32" t="n">
        <f aca="false">$J172</f>
        <v>0</v>
      </c>
      <c r="S172" s="32" t="n">
        <f aca="false">$J172</f>
        <v>0</v>
      </c>
      <c r="T172" s="32" t="n">
        <f aca="false">$J172</f>
        <v>0</v>
      </c>
      <c r="U172" s="32" t="n">
        <f aca="false">$J172</f>
        <v>0</v>
      </c>
      <c r="V172" s="32" t="n">
        <f aca="false">$J172</f>
        <v>0</v>
      </c>
      <c r="W172" s="32" t="n">
        <f aca="false">$J172</f>
        <v>0</v>
      </c>
      <c r="X172" s="32" t="n">
        <f aca="false">$J172</f>
        <v>0</v>
      </c>
      <c r="Y172" s="32" t="n">
        <f aca="false">$J172</f>
        <v>0</v>
      </c>
      <c r="Z172" s="32" t="n">
        <f aca="false">$J172</f>
        <v>0</v>
      </c>
      <c r="AA172" s="32" t="n">
        <f aca="false">$J172</f>
        <v>0</v>
      </c>
      <c r="AB172" s="5"/>
    </row>
    <row r="173" customFormat="false" ht="15" hidden="false" customHeight="false" outlineLevel="0" collapsed="false">
      <c r="A173" s="4" t="s">
        <v>245</v>
      </c>
      <c r="B173" s="4" t="s">
        <v>906</v>
      </c>
      <c r="C173" s="4" t="s">
        <v>907</v>
      </c>
      <c r="D173" s="5" t="s">
        <v>532</v>
      </c>
      <c r="E173" s="32" t="n">
        <v>1</v>
      </c>
      <c r="F173" s="4" t="s">
        <v>82</v>
      </c>
      <c r="G173" s="5" t="s">
        <v>523</v>
      </c>
      <c r="H173" s="4"/>
      <c r="I173" s="32"/>
      <c r="J173" s="32" t="n">
        <f aca="false">E173*I173</f>
        <v>0</v>
      </c>
      <c r="K173" s="4"/>
      <c r="L173" s="32"/>
      <c r="M173" s="32"/>
      <c r="N173" s="32"/>
      <c r="O173" s="32"/>
      <c r="P173" s="4"/>
      <c r="Q173" s="32"/>
      <c r="R173" s="32" t="n">
        <f aca="false">$J173</f>
        <v>0</v>
      </c>
      <c r="S173" s="32" t="n">
        <f aca="false">$J173</f>
        <v>0</v>
      </c>
      <c r="T173" s="32" t="n">
        <f aca="false">$J173</f>
        <v>0</v>
      </c>
      <c r="U173" s="32" t="n">
        <f aca="false">$J173</f>
        <v>0</v>
      </c>
      <c r="V173" s="32" t="n">
        <f aca="false">$J173</f>
        <v>0</v>
      </c>
      <c r="W173" s="32" t="n">
        <f aca="false">$J173</f>
        <v>0</v>
      </c>
      <c r="X173" s="32" t="n">
        <f aca="false">$J173</f>
        <v>0</v>
      </c>
      <c r="Y173" s="32" t="n">
        <f aca="false">$J173</f>
        <v>0</v>
      </c>
      <c r="Z173" s="32" t="n">
        <f aca="false">$J173</f>
        <v>0</v>
      </c>
      <c r="AA173" s="32" t="n">
        <f aca="false">$J173</f>
        <v>0</v>
      </c>
      <c r="AB173" s="5"/>
    </row>
    <row r="174" customFormat="false" ht="15" hidden="false" customHeight="false" outlineLevel="0" collapsed="false">
      <c r="A174" s="4" t="s">
        <v>245</v>
      </c>
      <c r="B174" s="4" t="s">
        <v>908</v>
      </c>
      <c r="C174" s="4" t="s">
        <v>909</v>
      </c>
      <c r="D174" s="5" t="s">
        <v>535</v>
      </c>
      <c r="E174" s="32" t="n">
        <v>1</v>
      </c>
      <c r="F174" s="4" t="s">
        <v>82</v>
      </c>
      <c r="G174" s="5" t="s">
        <v>523</v>
      </c>
      <c r="H174" s="4"/>
      <c r="I174" s="32"/>
      <c r="J174" s="32" t="n">
        <f aca="false">E174*I174</f>
        <v>0</v>
      </c>
      <c r="K174" s="4"/>
      <c r="L174" s="32"/>
      <c r="M174" s="32"/>
      <c r="N174" s="32"/>
      <c r="O174" s="32"/>
      <c r="P174" s="4"/>
      <c r="Q174" s="32"/>
      <c r="R174" s="32" t="n">
        <f aca="false">$J174</f>
        <v>0</v>
      </c>
      <c r="S174" s="32" t="n">
        <f aca="false">$J174</f>
        <v>0</v>
      </c>
      <c r="T174" s="32" t="n">
        <f aca="false">$J174</f>
        <v>0</v>
      </c>
      <c r="U174" s="32" t="n">
        <f aca="false">$J174</f>
        <v>0</v>
      </c>
      <c r="V174" s="32" t="n">
        <f aca="false">$J174</f>
        <v>0</v>
      </c>
      <c r="W174" s="32" t="n">
        <f aca="false">$J174</f>
        <v>0</v>
      </c>
      <c r="X174" s="32" t="n">
        <f aca="false">$J174</f>
        <v>0</v>
      </c>
      <c r="Y174" s="32" t="n">
        <f aca="false">$J174</f>
        <v>0</v>
      </c>
      <c r="Z174" s="32" t="n">
        <f aca="false">$J174</f>
        <v>0</v>
      </c>
      <c r="AA174" s="32" t="n">
        <f aca="false">$J174</f>
        <v>0</v>
      </c>
      <c r="AB174" s="5"/>
    </row>
    <row r="175" customFormat="false" ht="15" hidden="false" customHeight="false" outlineLevel="0" collapsed="false">
      <c r="A175" s="4" t="s">
        <v>245</v>
      </c>
      <c r="B175" s="4" t="s">
        <v>910</v>
      </c>
      <c r="C175" s="4" t="s">
        <v>911</v>
      </c>
      <c r="D175" s="5" t="s">
        <v>538</v>
      </c>
      <c r="E175" s="32" t="n">
        <v>1</v>
      </c>
      <c r="F175" s="4" t="s">
        <v>82</v>
      </c>
      <c r="G175" s="5" t="s">
        <v>523</v>
      </c>
      <c r="H175" s="4"/>
      <c r="I175" s="32"/>
      <c r="J175" s="32" t="n">
        <f aca="false">E175*I175</f>
        <v>0</v>
      </c>
      <c r="K175" s="4"/>
      <c r="L175" s="32"/>
      <c r="M175" s="32"/>
      <c r="N175" s="32"/>
      <c r="O175" s="32"/>
      <c r="P175" s="4"/>
      <c r="Q175" s="32"/>
      <c r="R175" s="32" t="n">
        <f aca="false">$J175</f>
        <v>0</v>
      </c>
      <c r="S175" s="32" t="n">
        <f aca="false">$J175</f>
        <v>0</v>
      </c>
      <c r="T175" s="32" t="n">
        <f aca="false">$J175</f>
        <v>0</v>
      </c>
      <c r="U175" s="32" t="n">
        <f aca="false">$J175</f>
        <v>0</v>
      </c>
      <c r="V175" s="32" t="n">
        <f aca="false">$J175</f>
        <v>0</v>
      </c>
      <c r="W175" s="32" t="n">
        <f aca="false">$J175</f>
        <v>0</v>
      </c>
      <c r="X175" s="32" t="n">
        <f aca="false">$J175</f>
        <v>0</v>
      </c>
      <c r="Y175" s="32" t="n">
        <f aca="false">$J175</f>
        <v>0</v>
      </c>
      <c r="Z175" s="32" t="n">
        <f aca="false">$J175</f>
        <v>0</v>
      </c>
      <c r="AA175" s="32" t="n">
        <f aca="false">$J175</f>
        <v>0</v>
      </c>
      <c r="AB175" s="5"/>
    </row>
    <row r="176" customFormat="false" ht="15" hidden="false" customHeight="false" outlineLevel="0" collapsed="false">
      <c r="A176" s="4" t="s">
        <v>245</v>
      </c>
      <c r="B176" s="4" t="s">
        <v>912</v>
      </c>
      <c r="C176" s="4" t="s">
        <v>913</v>
      </c>
      <c r="D176" s="5" t="s">
        <v>541</v>
      </c>
      <c r="E176" s="32" t="n">
        <v>1</v>
      </c>
      <c r="F176" s="4" t="s">
        <v>82</v>
      </c>
      <c r="G176" s="5" t="s">
        <v>523</v>
      </c>
      <c r="H176" s="4"/>
      <c r="I176" s="32"/>
      <c r="J176" s="32" t="n">
        <f aca="false">E176*I176</f>
        <v>0</v>
      </c>
      <c r="K176" s="4"/>
      <c r="L176" s="32"/>
      <c r="M176" s="32"/>
      <c r="N176" s="32"/>
      <c r="O176" s="32"/>
      <c r="P176" s="4"/>
      <c r="Q176" s="32"/>
      <c r="R176" s="32" t="n">
        <f aca="false">$J176</f>
        <v>0</v>
      </c>
      <c r="S176" s="32" t="n">
        <f aca="false">$J176</f>
        <v>0</v>
      </c>
      <c r="T176" s="32" t="n">
        <f aca="false">$J176</f>
        <v>0</v>
      </c>
      <c r="U176" s="32" t="n">
        <f aca="false">$J176</f>
        <v>0</v>
      </c>
      <c r="V176" s="32" t="n">
        <f aca="false">$J176</f>
        <v>0</v>
      </c>
      <c r="W176" s="32" t="n">
        <f aca="false">$J176</f>
        <v>0</v>
      </c>
      <c r="X176" s="32" t="n">
        <f aca="false">$J176</f>
        <v>0</v>
      </c>
      <c r="Y176" s="32" t="n">
        <f aca="false">$J176</f>
        <v>0</v>
      </c>
      <c r="Z176" s="32" t="n">
        <f aca="false">$J176</f>
        <v>0</v>
      </c>
      <c r="AA176" s="32" t="n">
        <f aca="false">$J176</f>
        <v>0</v>
      </c>
      <c r="AB176" s="5"/>
    </row>
    <row r="177" customFormat="false" ht="15" hidden="false" customHeight="false" outlineLevel="0" collapsed="false">
      <c r="A177" s="4" t="s">
        <v>245</v>
      </c>
      <c r="B177" s="4" t="s">
        <v>914</v>
      </c>
      <c r="C177" s="4" t="s">
        <v>915</v>
      </c>
      <c r="D177" s="5" t="s">
        <v>544</v>
      </c>
      <c r="E177" s="32" t="n">
        <v>1</v>
      </c>
      <c r="F177" s="4" t="s">
        <v>82</v>
      </c>
      <c r="G177" s="5" t="s">
        <v>523</v>
      </c>
      <c r="H177" s="4"/>
      <c r="I177" s="32"/>
      <c r="J177" s="32" t="n">
        <f aca="false">E177*I177</f>
        <v>0</v>
      </c>
      <c r="K177" s="4"/>
      <c r="L177" s="32"/>
      <c r="M177" s="32"/>
      <c r="N177" s="32"/>
      <c r="O177" s="32"/>
      <c r="P177" s="4"/>
      <c r="Q177" s="32"/>
      <c r="R177" s="32" t="n">
        <f aca="false">$J177</f>
        <v>0</v>
      </c>
      <c r="S177" s="32" t="n">
        <f aca="false">$J177</f>
        <v>0</v>
      </c>
      <c r="T177" s="32" t="n">
        <f aca="false">$J177</f>
        <v>0</v>
      </c>
      <c r="U177" s="32" t="n">
        <f aca="false">$J177</f>
        <v>0</v>
      </c>
      <c r="V177" s="32" t="n">
        <f aca="false">$J177</f>
        <v>0</v>
      </c>
      <c r="W177" s="32" t="n">
        <f aca="false">$J177</f>
        <v>0</v>
      </c>
      <c r="X177" s="32" t="n">
        <f aca="false">$J177</f>
        <v>0</v>
      </c>
      <c r="Y177" s="32" t="n">
        <f aca="false">$J177</f>
        <v>0</v>
      </c>
      <c r="Z177" s="32" t="n">
        <f aca="false">$J177</f>
        <v>0</v>
      </c>
      <c r="AA177" s="32" t="n">
        <f aca="false">$J177</f>
        <v>0</v>
      </c>
      <c r="AB177" s="5"/>
    </row>
    <row r="178" customFormat="false" ht="15" hidden="false" customHeight="false" outlineLevel="0" collapsed="false">
      <c r="A178" s="4" t="s">
        <v>245</v>
      </c>
      <c r="B178" s="4" t="s">
        <v>916</v>
      </c>
      <c r="C178" s="4" t="s">
        <v>917</v>
      </c>
      <c r="D178" s="5" t="s">
        <v>547</v>
      </c>
      <c r="E178" s="32" t="n">
        <v>1</v>
      </c>
      <c r="F178" s="4" t="s">
        <v>82</v>
      </c>
      <c r="G178" s="5" t="s">
        <v>523</v>
      </c>
      <c r="H178" s="4"/>
      <c r="I178" s="32"/>
      <c r="J178" s="32" t="n">
        <f aca="false">E178*I178</f>
        <v>0</v>
      </c>
      <c r="K178" s="4"/>
      <c r="L178" s="32"/>
      <c r="M178" s="32"/>
      <c r="N178" s="32"/>
      <c r="O178" s="32"/>
      <c r="P178" s="4"/>
      <c r="Q178" s="32"/>
      <c r="R178" s="32" t="n">
        <f aca="false">$J178</f>
        <v>0</v>
      </c>
      <c r="S178" s="32" t="n">
        <f aca="false">$J178</f>
        <v>0</v>
      </c>
      <c r="T178" s="32" t="n">
        <f aca="false">$J178</f>
        <v>0</v>
      </c>
      <c r="U178" s="32" t="n">
        <f aca="false">$J178</f>
        <v>0</v>
      </c>
      <c r="V178" s="32" t="n">
        <f aca="false">$J178</f>
        <v>0</v>
      </c>
      <c r="W178" s="32" t="n">
        <f aca="false">$J178</f>
        <v>0</v>
      </c>
      <c r="X178" s="32" t="n">
        <f aca="false">$J178</f>
        <v>0</v>
      </c>
      <c r="Y178" s="32" t="n">
        <f aca="false">$J178</f>
        <v>0</v>
      </c>
      <c r="Z178" s="32" t="n">
        <f aca="false">$J178</f>
        <v>0</v>
      </c>
      <c r="AA178" s="32" t="n">
        <f aca="false">$J178</f>
        <v>0</v>
      </c>
      <c r="AB178" s="5"/>
    </row>
    <row r="179" customFormat="false" ht="15" hidden="false" customHeight="false" outlineLevel="0" collapsed="false">
      <c r="A179" s="4" t="s">
        <v>245</v>
      </c>
      <c r="B179" s="4" t="s">
        <v>918</v>
      </c>
      <c r="C179" s="4" t="s">
        <v>919</v>
      </c>
      <c r="D179" s="5" t="s">
        <v>550</v>
      </c>
      <c r="E179" s="32" t="n">
        <v>1</v>
      </c>
      <c r="F179" s="4" t="s">
        <v>82</v>
      </c>
      <c r="G179" s="5" t="s">
        <v>523</v>
      </c>
      <c r="H179" s="4"/>
      <c r="I179" s="32"/>
      <c r="J179" s="32" t="n">
        <f aca="false">E179*I179</f>
        <v>0</v>
      </c>
      <c r="K179" s="4"/>
      <c r="L179" s="32"/>
      <c r="M179" s="32"/>
      <c r="N179" s="32"/>
      <c r="O179" s="32"/>
      <c r="P179" s="4"/>
      <c r="Q179" s="32"/>
      <c r="R179" s="32" t="n">
        <f aca="false">$J179</f>
        <v>0</v>
      </c>
      <c r="S179" s="32" t="n">
        <f aca="false">$J179</f>
        <v>0</v>
      </c>
      <c r="T179" s="32" t="n">
        <f aca="false">$J179</f>
        <v>0</v>
      </c>
      <c r="U179" s="32" t="n">
        <f aca="false">$J179</f>
        <v>0</v>
      </c>
      <c r="V179" s="32" t="n">
        <f aca="false">$J179</f>
        <v>0</v>
      </c>
      <c r="W179" s="32" t="n">
        <f aca="false">$J179</f>
        <v>0</v>
      </c>
      <c r="X179" s="32" t="n">
        <f aca="false">$J179</f>
        <v>0</v>
      </c>
      <c r="Y179" s="32" t="n">
        <f aca="false">$J179</f>
        <v>0</v>
      </c>
      <c r="Z179" s="32" t="n">
        <f aca="false">$J179</f>
        <v>0</v>
      </c>
      <c r="AA179" s="32" t="n">
        <f aca="false">$J179</f>
        <v>0</v>
      </c>
      <c r="AB179" s="5"/>
    </row>
    <row r="180" customFormat="false" ht="15" hidden="false" customHeight="false" outlineLevel="0" collapsed="false">
      <c r="A180" s="4" t="s">
        <v>245</v>
      </c>
      <c r="B180" s="4" t="s">
        <v>920</v>
      </c>
      <c r="C180" s="4" t="s">
        <v>921</v>
      </c>
      <c r="D180" s="5" t="s">
        <v>553</v>
      </c>
      <c r="E180" s="32" t="n">
        <v>1</v>
      </c>
      <c r="F180" s="4" t="s">
        <v>82</v>
      </c>
      <c r="G180" s="5" t="s">
        <v>523</v>
      </c>
      <c r="H180" s="4"/>
      <c r="I180" s="32"/>
      <c r="J180" s="32" t="n">
        <f aca="false">E180*I180</f>
        <v>0</v>
      </c>
      <c r="K180" s="4"/>
      <c r="L180" s="32"/>
      <c r="M180" s="32"/>
      <c r="N180" s="32"/>
      <c r="O180" s="32"/>
      <c r="P180" s="4"/>
      <c r="Q180" s="32"/>
      <c r="R180" s="32" t="n">
        <f aca="false">$J180</f>
        <v>0</v>
      </c>
      <c r="S180" s="32" t="n">
        <f aca="false">$J180</f>
        <v>0</v>
      </c>
      <c r="T180" s="32" t="n">
        <f aca="false">$J180</f>
        <v>0</v>
      </c>
      <c r="U180" s="32" t="n">
        <f aca="false">$J180</f>
        <v>0</v>
      </c>
      <c r="V180" s="32" t="n">
        <f aca="false">$J180</f>
        <v>0</v>
      </c>
      <c r="W180" s="32" t="n">
        <f aca="false">$J180</f>
        <v>0</v>
      </c>
      <c r="X180" s="32" t="n">
        <f aca="false">$J180</f>
        <v>0</v>
      </c>
      <c r="Y180" s="32" t="n">
        <f aca="false">$J180</f>
        <v>0</v>
      </c>
      <c r="Z180" s="32" t="n">
        <f aca="false">$J180</f>
        <v>0</v>
      </c>
      <c r="AA180" s="32" t="n">
        <f aca="false">$J180</f>
        <v>0</v>
      </c>
      <c r="AB180" s="5"/>
    </row>
    <row r="181" customFormat="false" ht="15" hidden="false" customHeight="false" outlineLevel="0" collapsed="false">
      <c r="A181" s="4" t="s">
        <v>245</v>
      </c>
      <c r="B181" s="4" t="s">
        <v>922</v>
      </c>
      <c r="C181" s="4" t="s">
        <v>923</v>
      </c>
      <c r="D181" s="5" t="s">
        <v>556</v>
      </c>
      <c r="E181" s="32" t="n">
        <v>1</v>
      </c>
      <c r="F181" s="4" t="s">
        <v>82</v>
      </c>
      <c r="G181" s="5" t="s">
        <v>523</v>
      </c>
      <c r="H181" s="4"/>
      <c r="I181" s="32"/>
      <c r="J181" s="32" t="n">
        <f aca="false">E181*I181</f>
        <v>0</v>
      </c>
      <c r="K181" s="4"/>
      <c r="L181" s="32"/>
      <c r="M181" s="32"/>
      <c r="N181" s="32"/>
      <c r="O181" s="32"/>
      <c r="P181" s="4"/>
      <c r="Q181" s="32"/>
      <c r="R181" s="32" t="n">
        <f aca="false">$J181</f>
        <v>0</v>
      </c>
      <c r="S181" s="32" t="n">
        <f aca="false">$J181</f>
        <v>0</v>
      </c>
      <c r="T181" s="32" t="n">
        <f aca="false">$J181</f>
        <v>0</v>
      </c>
      <c r="U181" s="32" t="n">
        <f aca="false">$J181</f>
        <v>0</v>
      </c>
      <c r="V181" s="32" t="n">
        <f aca="false">$J181</f>
        <v>0</v>
      </c>
      <c r="W181" s="32" t="n">
        <f aca="false">$J181</f>
        <v>0</v>
      </c>
      <c r="X181" s="32" t="n">
        <f aca="false">$J181</f>
        <v>0</v>
      </c>
      <c r="Y181" s="32" t="n">
        <f aca="false">$J181</f>
        <v>0</v>
      </c>
      <c r="Z181" s="32" t="n">
        <f aca="false">$J181</f>
        <v>0</v>
      </c>
      <c r="AA181" s="32" t="n">
        <f aca="false">$J181</f>
        <v>0</v>
      </c>
      <c r="AB181" s="5"/>
    </row>
    <row r="182" customFormat="false" ht="15" hidden="false" customHeight="false" outlineLevel="0" collapsed="false">
      <c r="A182" s="4" t="s">
        <v>245</v>
      </c>
      <c r="B182" s="4" t="s">
        <v>924</v>
      </c>
      <c r="C182" s="4" t="s">
        <v>925</v>
      </c>
      <c r="D182" s="5" t="s">
        <v>559</v>
      </c>
      <c r="E182" s="32" t="n">
        <v>1</v>
      </c>
      <c r="F182" s="4" t="s">
        <v>82</v>
      </c>
      <c r="G182" s="5" t="s">
        <v>518</v>
      </c>
      <c r="H182" s="4" t="s">
        <v>926</v>
      </c>
      <c r="I182" s="32" t="n">
        <v>1</v>
      </c>
      <c r="J182" s="32" t="n">
        <f aca="false">E182*I182</f>
        <v>1</v>
      </c>
      <c r="K182" s="4"/>
      <c r="L182" s="32"/>
      <c r="M182" s="32"/>
      <c r="N182" s="32"/>
      <c r="O182" s="32"/>
      <c r="P182" s="4"/>
      <c r="Q182" s="32"/>
      <c r="R182" s="32" t="n">
        <f aca="false">$J182</f>
        <v>1</v>
      </c>
      <c r="S182" s="32" t="n">
        <f aca="false">$J182</f>
        <v>1</v>
      </c>
      <c r="T182" s="32" t="n">
        <f aca="false">$J182</f>
        <v>1</v>
      </c>
      <c r="U182" s="32" t="n">
        <f aca="false">$J182</f>
        <v>1</v>
      </c>
      <c r="V182" s="32" t="n">
        <f aca="false">$J182</f>
        <v>1</v>
      </c>
      <c r="W182" s="32" t="n">
        <f aca="false">$J182</f>
        <v>1</v>
      </c>
      <c r="X182" s="32" t="n">
        <f aca="false">$J182</f>
        <v>1</v>
      </c>
      <c r="Y182" s="32" t="n">
        <f aca="false">$J182</f>
        <v>1</v>
      </c>
      <c r="Z182" s="32" t="n">
        <f aca="false">$J182</f>
        <v>1</v>
      </c>
      <c r="AA182" s="32" t="n">
        <f aca="false">$J182</f>
        <v>1</v>
      </c>
      <c r="AB182" s="5"/>
    </row>
    <row r="183" customFormat="false" ht="15" hidden="false" customHeight="false" outlineLevel="0" collapsed="false">
      <c r="A183" s="4" t="s">
        <v>245</v>
      </c>
      <c r="B183" s="4" t="s">
        <v>927</v>
      </c>
      <c r="C183" s="4" t="s">
        <v>928</v>
      </c>
      <c r="D183" s="5" t="s">
        <v>664</v>
      </c>
      <c r="E183" s="32" t="n">
        <v>1</v>
      </c>
      <c r="F183" s="4" t="s">
        <v>82</v>
      </c>
      <c r="G183" s="5" t="s">
        <v>564</v>
      </c>
      <c r="H183" s="4"/>
      <c r="I183" s="32"/>
      <c r="J183" s="32" t="n">
        <f aca="false">E183*I183</f>
        <v>0</v>
      </c>
      <c r="K183" s="4"/>
      <c r="L183" s="32"/>
      <c r="M183" s="32"/>
      <c r="N183" s="32"/>
      <c r="O183" s="32"/>
      <c r="P183" s="4"/>
      <c r="Q183" s="32"/>
      <c r="R183" s="32" t="n">
        <f aca="false">$J183</f>
        <v>0</v>
      </c>
      <c r="S183" s="32" t="n">
        <f aca="false">$J183</f>
        <v>0</v>
      </c>
      <c r="T183" s="32" t="n">
        <f aca="false">$J183</f>
        <v>0</v>
      </c>
      <c r="U183" s="32" t="n">
        <f aca="false">$J183</f>
        <v>0</v>
      </c>
      <c r="V183" s="32" t="n">
        <f aca="false">$J183</f>
        <v>0</v>
      </c>
      <c r="W183" s="32" t="n">
        <f aca="false">$J183</f>
        <v>0</v>
      </c>
      <c r="X183" s="32" t="n">
        <f aca="false">$J183</f>
        <v>0</v>
      </c>
      <c r="Y183" s="32" t="n">
        <f aca="false">$J183</f>
        <v>0</v>
      </c>
      <c r="Z183" s="32" t="n">
        <f aca="false">$J183</f>
        <v>0</v>
      </c>
      <c r="AA183" s="32" t="n">
        <f aca="false">$J183</f>
        <v>0</v>
      </c>
      <c r="AB183" s="5"/>
    </row>
    <row r="184" customFormat="false" ht="15" hidden="false" customHeight="false" outlineLevel="0" collapsed="false">
      <c r="A184" s="4" t="s">
        <v>245</v>
      </c>
      <c r="B184" s="4" t="s">
        <v>929</v>
      </c>
      <c r="C184" s="4" t="s">
        <v>930</v>
      </c>
      <c r="D184" s="5" t="s">
        <v>931</v>
      </c>
      <c r="E184" s="32" t="n">
        <v>1</v>
      </c>
      <c r="F184" s="4" t="s">
        <v>82</v>
      </c>
      <c r="G184" s="5" t="s">
        <v>564</v>
      </c>
      <c r="H184" s="4"/>
      <c r="I184" s="32"/>
      <c r="J184" s="32" t="n">
        <f aca="false">E184*I184</f>
        <v>0</v>
      </c>
      <c r="K184" s="4"/>
      <c r="L184" s="32"/>
      <c r="M184" s="32"/>
      <c r="N184" s="32"/>
      <c r="O184" s="32"/>
      <c r="P184" s="4"/>
      <c r="Q184" s="32"/>
      <c r="R184" s="32" t="n">
        <f aca="false">$J184</f>
        <v>0</v>
      </c>
      <c r="S184" s="32" t="n">
        <f aca="false">$J184</f>
        <v>0</v>
      </c>
      <c r="T184" s="32" t="n">
        <f aca="false">$J184</f>
        <v>0</v>
      </c>
      <c r="U184" s="32" t="n">
        <f aca="false">$J184</f>
        <v>0</v>
      </c>
      <c r="V184" s="32" t="n">
        <f aca="false">$J184</f>
        <v>0</v>
      </c>
      <c r="W184" s="32" t="n">
        <f aca="false">$J184</f>
        <v>0</v>
      </c>
      <c r="X184" s="32" t="n">
        <f aca="false">$J184</f>
        <v>0</v>
      </c>
      <c r="Y184" s="32" t="n">
        <f aca="false">$J184</f>
        <v>0</v>
      </c>
      <c r="Z184" s="32" t="n">
        <f aca="false">$J184</f>
        <v>0</v>
      </c>
      <c r="AA184" s="32" t="n">
        <f aca="false">$J184</f>
        <v>0</v>
      </c>
      <c r="AB184" s="5"/>
    </row>
    <row r="185" customFormat="false" ht="15" hidden="false" customHeight="false" outlineLevel="0" collapsed="false">
      <c r="A185" s="4" t="s">
        <v>245</v>
      </c>
      <c r="B185" s="4" t="s">
        <v>932</v>
      </c>
      <c r="C185" s="4" t="s">
        <v>933</v>
      </c>
      <c r="D185" s="5" t="s">
        <v>667</v>
      </c>
      <c r="E185" s="32" t="n">
        <v>1</v>
      </c>
      <c r="F185" s="4" t="s">
        <v>82</v>
      </c>
      <c r="G185" s="5" t="s">
        <v>564</v>
      </c>
      <c r="H185" s="4"/>
      <c r="I185" s="32"/>
      <c r="J185" s="32" t="n">
        <f aca="false">E185*I185</f>
        <v>0</v>
      </c>
      <c r="K185" s="4"/>
      <c r="L185" s="32"/>
      <c r="M185" s="32"/>
      <c r="N185" s="32"/>
      <c r="O185" s="32"/>
      <c r="P185" s="4"/>
      <c r="Q185" s="32"/>
      <c r="R185" s="32" t="n">
        <f aca="false">$J185</f>
        <v>0</v>
      </c>
      <c r="S185" s="32" t="n">
        <f aca="false">$J185</f>
        <v>0</v>
      </c>
      <c r="T185" s="32" t="n">
        <f aca="false">$J185</f>
        <v>0</v>
      </c>
      <c r="U185" s="32" t="n">
        <f aca="false">$J185</f>
        <v>0</v>
      </c>
      <c r="V185" s="32" t="n">
        <f aca="false">$J185</f>
        <v>0</v>
      </c>
      <c r="W185" s="32" t="n">
        <f aca="false">$J185</f>
        <v>0</v>
      </c>
      <c r="X185" s="32" t="n">
        <f aca="false">$J185</f>
        <v>0</v>
      </c>
      <c r="Y185" s="32" t="n">
        <f aca="false">$J185</f>
        <v>0</v>
      </c>
      <c r="Z185" s="32" t="n">
        <f aca="false">$J185</f>
        <v>0</v>
      </c>
      <c r="AA185" s="32" t="n">
        <f aca="false">$J185</f>
        <v>0</v>
      </c>
      <c r="AB185" s="5"/>
    </row>
    <row r="186" customFormat="false" ht="15" hidden="false" customHeight="false" outlineLevel="0" collapsed="false">
      <c r="A186" s="4" t="s">
        <v>245</v>
      </c>
      <c r="B186" s="4" t="s">
        <v>934</v>
      </c>
      <c r="C186" s="4" t="s">
        <v>935</v>
      </c>
      <c r="D186" s="5" t="s">
        <v>936</v>
      </c>
      <c r="E186" s="32" t="n">
        <v>1</v>
      </c>
      <c r="F186" s="4" t="s">
        <v>82</v>
      </c>
      <c r="G186" s="5" t="s">
        <v>564</v>
      </c>
      <c r="H186" s="4"/>
      <c r="I186" s="32"/>
      <c r="J186" s="32" t="n">
        <f aca="false">E186*I186</f>
        <v>0</v>
      </c>
      <c r="K186" s="4"/>
      <c r="L186" s="32"/>
      <c r="M186" s="32"/>
      <c r="N186" s="32"/>
      <c r="O186" s="32"/>
      <c r="P186" s="4"/>
      <c r="Q186" s="32"/>
      <c r="R186" s="32" t="n">
        <f aca="false">$J186</f>
        <v>0</v>
      </c>
      <c r="S186" s="32" t="n">
        <f aca="false">$J186</f>
        <v>0</v>
      </c>
      <c r="T186" s="32" t="n">
        <f aca="false">$J186</f>
        <v>0</v>
      </c>
      <c r="U186" s="32" t="n">
        <f aca="false">$J186</f>
        <v>0</v>
      </c>
      <c r="V186" s="32" t="n">
        <f aca="false">$J186</f>
        <v>0</v>
      </c>
      <c r="W186" s="32" t="n">
        <f aca="false">$J186</f>
        <v>0</v>
      </c>
      <c r="X186" s="32" t="n">
        <f aca="false">$J186</f>
        <v>0</v>
      </c>
      <c r="Y186" s="32" t="n">
        <f aca="false">$J186</f>
        <v>0</v>
      </c>
      <c r="Z186" s="32" t="n">
        <f aca="false">$J186</f>
        <v>0</v>
      </c>
      <c r="AA186" s="32" t="n">
        <f aca="false">$J186</f>
        <v>0</v>
      </c>
      <c r="AB186" s="5"/>
    </row>
    <row r="187" customFormat="false" ht="15" hidden="false" customHeight="false" outlineLevel="0" collapsed="false">
      <c r="A187" s="4" t="s">
        <v>245</v>
      </c>
      <c r="B187" s="4" t="s">
        <v>937</v>
      </c>
      <c r="C187" s="4" t="s">
        <v>938</v>
      </c>
      <c r="D187" s="5" t="s">
        <v>939</v>
      </c>
      <c r="E187" s="32" t="n">
        <v>1</v>
      </c>
      <c r="F187" s="4" t="s">
        <v>82</v>
      </c>
      <c r="G187" s="5" t="s">
        <v>564</v>
      </c>
      <c r="H187" s="4"/>
      <c r="I187" s="32"/>
      <c r="J187" s="32" t="n">
        <f aca="false">E187*I187</f>
        <v>0</v>
      </c>
      <c r="K187" s="4"/>
      <c r="L187" s="32"/>
      <c r="M187" s="32"/>
      <c r="N187" s="32"/>
      <c r="O187" s="32"/>
      <c r="P187" s="4"/>
      <c r="Q187" s="32"/>
      <c r="R187" s="32" t="n">
        <f aca="false">$J187</f>
        <v>0</v>
      </c>
      <c r="S187" s="32" t="n">
        <f aca="false">$J187</f>
        <v>0</v>
      </c>
      <c r="T187" s="32" t="n">
        <f aca="false">$J187</f>
        <v>0</v>
      </c>
      <c r="U187" s="32" t="n">
        <f aca="false">$J187</f>
        <v>0</v>
      </c>
      <c r="V187" s="32" t="n">
        <f aca="false">$J187</f>
        <v>0</v>
      </c>
      <c r="W187" s="32" t="n">
        <f aca="false">$J187</f>
        <v>0</v>
      </c>
      <c r="X187" s="32" t="n">
        <f aca="false">$J187</f>
        <v>0</v>
      </c>
      <c r="Y187" s="32" t="n">
        <f aca="false">$J187</f>
        <v>0</v>
      </c>
      <c r="Z187" s="32" t="n">
        <f aca="false">$J187</f>
        <v>0</v>
      </c>
      <c r="AA187" s="32" t="n">
        <f aca="false">$J187</f>
        <v>0</v>
      </c>
      <c r="AB187" s="5"/>
    </row>
    <row r="188" customFormat="false" ht="15" hidden="false" customHeight="false" outlineLevel="0" collapsed="false">
      <c r="A188" s="4" t="s">
        <v>245</v>
      </c>
      <c r="B188" s="4" t="s">
        <v>940</v>
      </c>
      <c r="C188" s="4" t="s">
        <v>941</v>
      </c>
      <c r="D188" s="5" t="s">
        <v>942</v>
      </c>
      <c r="E188" s="32" t="n">
        <v>1</v>
      </c>
      <c r="F188" s="4" t="s">
        <v>82</v>
      </c>
      <c r="G188" s="5" t="s">
        <v>943</v>
      </c>
      <c r="H188" s="4"/>
      <c r="I188" s="32"/>
      <c r="J188" s="32" t="n">
        <f aca="false">E188*I188</f>
        <v>0</v>
      </c>
      <c r="K188" s="4"/>
      <c r="L188" s="32"/>
      <c r="M188" s="32"/>
      <c r="N188" s="32"/>
      <c r="O188" s="32"/>
      <c r="P188" s="4"/>
      <c r="Q188" s="32"/>
      <c r="R188" s="32" t="n">
        <f aca="false">$J188</f>
        <v>0</v>
      </c>
      <c r="S188" s="32" t="n">
        <f aca="false">$J188</f>
        <v>0</v>
      </c>
      <c r="T188" s="32" t="n">
        <f aca="false">$J188</f>
        <v>0</v>
      </c>
      <c r="U188" s="32" t="n">
        <f aca="false">$J188</f>
        <v>0</v>
      </c>
      <c r="V188" s="32" t="n">
        <f aca="false">$J188</f>
        <v>0</v>
      </c>
      <c r="W188" s="32" t="n">
        <f aca="false">$J188</f>
        <v>0</v>
      </c>
      <c r="X188" s="32" t="n">
        <f aca="false">$J188</f>
        <v>0</v>
      </c>
      <c r="Y188" s="32" t="n">
        <f aca="false">$J188</f>
        <v>0</v>
      </c>
      <c r="Z188" s="32" t="n">
        <f aca="false">$J188</f>
        <v>0</v>
      </c>
      <c r="AA188" s="32" t="n">
        <f aca="false">$J188</f>
        <v>0</v>
      </c>
      <c r="AB188" s="5"/>
    </row>
    <row r="189" customFormat="false" ht="15" hidden="false" customHeight="false" outlineLevel="0" collapsed="false">
      <c r="A189" s="4" t="s">
        <v>245</v>
      </c>
      <c r="B189" s="4" t="s">
        <v>944</v>
      </c>
      <c r="C189" s="4" t="s">
        <v>945</v>
      </c>
      <c r="D189" s="5" t="s">
        <v>946</v>
      </c>
      <c r="E189" s="32" t="n">
        <v>1</v>
      </c>
      <c r="F189" s="4" t="s">
        <v>82</v>
      </c>
      <c r="G189" s="5" t="s">
        <v>943</v>
      </c>
      <c r="H189" s="4"/>
      <c r="I189" s="32"/>
      <c r="J189" s="32" t="n">
        <f aca="false">E189*I189</f>
        <v>0</v>
      </c>
      <c r="K189" s="4"/>
      <c r="L189" s="32"/>
      <c r="M189" s="32"/>
      <c r="N189" s="32"/>
      <c r="O189" s="32"/>
      <c r="P189" s="4"/>
      <c r="Q189" s="32"/>
      <c r="R189" s="32" t="n">
        <f aca="false">$J189</f>
        <v>0</v>
      </c>
      <c r="S189" s="32" t="n">
        <f aca="false">$J189</f>
        <v>0</v>
      </c>
      <c r="T189" s="32" t="n">
        <f aca="false">$J189</f>
        <v>0</v>
      </c>
      <c r="U189" s="32" t="n">
        <f aca="false">$J189</f>
        <v>0</v>
      </c>
      <c r="V189" s="32" t="n">
        <f aca="false">$J189</f>
        <v>0</v>
      </c>
      <c r="W189" s="32" t="n">
        <f aca="false">$J189</f>
        <v>0</v>
      </c>
      <c r="X189" s="32" t="n">
        <f aca="false">$J189</f>
        <v>0</v>
      </c>
      <c r="Y189" s="32" t="n">
        <f aca="false">$J189</f>
        <v>0</v>
      </c>
      <c r="Z189" s="32" t="n">
        <f aca="false">$J189</f>
        <v>0</v>
      </c>
      <c r="AA189" s="32" t="n">
        <f aca="false">$J189</f>
        <v>0</v>
      </c>
      <c r="AB189" s="5"/>
    </row>
    <row r="190" customFormat="false" ht="15" hidden="false" customHeight="false" outlineLevel="0" collapsed="false">
      <c r="A190" s="4" t="s">
        <v>245</v>
      </c>
      <c r="B190" s="4" t="s">
        <v>947</v>
      </c>
      <c r="C190" s="4" t="s">
        <v>948</v>
      </c>
      <c r="D190" s="5" t="s">
        <v>949</v>
      </c>
      <c r="E190" s="32" t="n">
        <v>1</v>
      </c>
      <c r="F190" s="4" t="s">
        <v>82</v>
      </c>
      <c r="G190" s="5" t="s">
        <v>950</v>
      </c>
      <c r="H190" s="4" t="s">
        <v>951</v>
      </c>
      <c r="I190" s="32" t="n">
        <f aca="false">354/6000/INDEX(P_VAL,MATCH("APROV_CANO",P_ID,0))</f>
        <v>0.0621052631578947</v>
      </c>
      <c r="J190" s="32" t="n">
        <f aca="false">E190*I190</f>
        <v>0.0621052631578947</v>
      </c>
      <c r="K190" s="4"/>
      <c r="L190" s="32"/>
      <c r="M190" s="32"/>
      <c r="N190" s="32"/>
      <c r="O190" s="32"/>
      <c r="P190" s="4"/>
      <c r="Q190" s="32"/>
      <c r="R190" s="32" t="n">
        <f aca="false">$J190</f>
        <v>0.0621052631578947</v>
      </c>
      <c r="S190" s="32" t="n">
        <f aca="false">$J190</f>
        <v>0.0621052631578947</v>
      </c>
      <c r="T190" s="32" t="n">
        <f aca="false">$J190</f>
        <v>0.0621052631578947</v>
      </c>
      <c r="U190" s="32" t="n">
        <f aca="false">$J190</f>
        <v>0.0621052631578947</v>
      </c>
      <c r="V190" s="32" t="n">
        <f aca="false">$J190</f>
        <v>0.0621052631578947</v>
      </c>
      <c r="W190" s="32" t="n">
        <f aca="false">$J190</f>
        <v>0.0621052631578947</v>
      </c>
      <c r="X190" s="32" t="n">
        <f aca="false">$J190</f>
        <v>0.0621052631578947</v>
      </c>
      <c r="Y190" s="32" t="n">
        <f aca="false">$J190</f>
        <v>0.0621052631578947</v>
      </c>
      <c r="Z190" s="32" t="n">
        <f aca="false">$J190</f>
        <v>0.0621052631578947</v>
      </c>
      <c r="AA190" s="32" t="n">
        <f aca="false">$J190</f>
        <v>0.0621052631578947</v>
      </c>
      <c r="AB190" s="5" t="s">
        <v>952</v>
      </c>
    </row>
    <row r="191" customFormat="false" ht="15" hidden="false" customHeight="false" outlineLevel="0" collapsed="false">
      <c r="A191" s="4" t="s">
        <v>245</v>
      </c>
      <c r="B191" s="4" t="s">
        <v>953</v>
      </c>
      <c r="C191" s="4" t="s">
        <v>954</v>
      </c>
      <c r="D191" s="5" t="s">
        <v>955</v>
      </c>
      <c r="E191" s="32" t="n">
        <v>2</v>
      </c>
      <c r="F191" s="4" t="s">
        <v>82</v>
      </c>
      <c r="G191" s="5" t="s">
        <v>956</v>
      </c>
      <c r="H191" s="4" t="s">
        <v>957</v>
      </c>
      <c r="I191" s="32" t="n">
        <v>1</v>
      </c>
      <c r="J191" s="32" t="n">
        <f aca="false">E191*I191</f>
        <v>2</v>
      </c>
      <c r="K191" s="4"/>
      <c r="L191" s="32"/>
      <c r="M191" s="32"/>
      <c r="N191" s="32"/>
      <c r="O191" s="32"/>
      <c r="P191" s="4"/>
      <c r="Q191" s="32"/>
      <c r="R191" s="32" t="n">
        <f aca="false">$J191</f>
        <v>2</v>
      </c>
      <c r="S191" s="32" t="n">
        <f aca="false">$J191</f>
        <v>2</v>
      </c>
      <c r="T191" s="32" t="n">
        <f aca="false">$J191</f>
        <v>2</v>
      </c>
      <c r="U191" s="32" t="n">
        <f aca="false">$J191</f>
        <v>2</v>
      </c>
      <c r="V191" s="32" t="n">
        <f aca="false">$J191</f>
        <v>2</v>
      </c>
      <c r="W191" s="32" t="n">
        <f aca="false">$J191</f>
        <v>2</v>
      </c>
      <c r="X191" s="32" t="n">
        <f aca="false">$J191</f>
        <v>2</v>
      </c>
      <c r="Y191" s="32" t="n">
        <f aca="false">$J191</f>
        <v>2</v>
      </c>
      <c r="Z191" s="32" t="n">
        <f aca="false">$J191</f>
        <v>2</v>
      </c>
      <c r="AA191" s="32" t="n">
        <f aca="false">$J191</f>
        <v>2</v>
      </c>
      <c r="AB191" s="5"/>
    </row>
    <row r="192" customFormat="false" ht="15" hidden="false" customHeight="false" outlineLevel="0" collapsed="false">
      <c r="A192" s="4" t="s">
        <v>245</v>
      </c>
      <c r="B192" s="4" t="s">
        <v>958</v>
      </c>
      <c r="C192" s="4" t="s">
        <v>959</v>
      </c>
      <c r="D192" s="5" t="s">
        <v>960</v>
      </c>
      <c r="E192" s="32" t="n">
        <v>2</v>
      </c>
      <c r="F192" s="4" t="s">
        <v>82</v>
      </c>
      <c r="G192" s="5" t="s">
        <v>961</v>
      </c>
      <c r="H192" s="4"/>
      <c r="I192" s="32"/>
      <c r="J192" s="32" t="n">
        <f aca="false">E192*I192</f>
        <v>0</v>
      </c>
      <c r="K192" s="4"/>
      <c r="L192" s="32"/>
      <c r="M192" s="32"/>
      <c r="N192" s="32"/>
      <c r="O192" s="32"/>
      <c r="P192" s="4"/>
      <c r="Q192" s="32"/>
      <c r="R192" s="32" t="n">
        <f aca="false">$J192</f>
        <v>0</v>
      </c>
      <c r="S192" s="32" t="n">
        <f aca="false">$J192</f>
        <v>0</v>
      </c>
      <c r="T192" s="32" t="n">
        <f aca="false">$J192</f>
        <v>0</v>
      </c>
      <c r="U192" s="32" t="n">
        <f aca="false">$J192</f>
        <v>0</v>
      </c>
      <c r="V192" s="32" t="n">
        <f aca="false">$J192</f>
        <v>0</v>
      </c>
      <c r="W192" s="32" t="n">
        <f aca="false">$J192</f>
        <v>0</v>
      </c>
      <c r="X192" s="32" t="n">
        <f aca="false">$J192</f>
        <v>0</v>
      </c>
      <c r="Y192" s="32" t="n">
        <f aca="false">$J192</f>
        <v>0</v>
      </c>
      <c r="Z192" s="32" t="n">
        <f aca="false">$J192</f>
        <v>0</v>
      </c>
      <c r="AA192" s="32" t="n">
        <f aca="false">$J192</f>
        <v>0</v>
      </c>
      <c r="AB192" s="5"/>
    </row>
    <row r="193" customFormat="false" ht="15" hidden="false" customHeight="false" outlineLevel="0" collapsed="false">
      <c r="A193" s="4" t="s">
        <v>245</v>
      </c>
      <c r="B193" s="4" t="s">
        <v>962</v>
      </c>
      <c r="C193" s="4" t="s">
        <v>963</v>
      </c>
      <c r="D193" s="5" t="s">
        <v>964</v>
      </c>
      <c r="E193" s="32" t="n">
        <v>1</v>
      </c>
      <c r="F193" s="4" t="s">
        <v>82</v>
      </c>
      <c r="G193" s="5" t="s">
        <v>965</v>
      </c>
      <c r="H193" s="4" t="s">
        <v>966</v>
      </c>
      <c r="I193" s="32" t="n">
        <f aca="false">1/INT(4000/490)</f>
        <v>0.125</v>
      </c>
      <c r="J193" s="32" t="n">
        <f aca="false">E193*I193</f>
        <v>0.125</v>
      </c>
      <c r="K193" s="4"/>
      <c r="L193" s="32"/>
      <c r="M193" s="32"/>
      <c r="N193" s="32"/>
      <c r="O193" s="32"/>
      <c r="P193" s="4"/>
      <c r="Q193" s="32"/>
      <c r="R193" s="32" t="n">
        <f aca="false">$J193</f>
        <v>0.125</v>
      </c>
      <c r="S193" s="32" t="n">
        <f aca="false">$J193</f>
        <v>0.125</v>
      </c>
      <c r="T193" s="32" t="n">
        <f aca="false">$J193</f>
        <v>0.125</v>
      </c>
      <c r="U193" s="32" t="n">
        <f aca="false">$J193</f>
        <v>0.125</v>
      </c>
      <c r="V193" s="32" t="n">
        <f aca="false">$J193</f>
        <v>0.125</v>
      </c>
      <c r="W193" s="32" t="n">
        <f aca="false">$J193</f>
        <v>0.125</v>
      </c>
      <c r="X193" s="32" t="n">
        <f aca="false">$J193</f>
        <v>0.125</v>
      </c>
      <c r="Y193" s="32" t="n">
        <f aca="false">$J193</f>
        <v>0.125</v>
      </c>
      <c r="Z193" s="32" t="n">
        <f aca="false">$J193</f>
        <v>0.125</v>
      </c>
      <c r="AA193" s="32" t="n">
        <f aca="false">$J193</f>
        <v>0.125</v>
      </c>
      <c r="AB193" s="5" t="s">
        <v>967</v>
      </c>
    </row>
    <row r="194" customFormat="false" ht="15" hidden="false" customHeight="false" outlineLevel="0" collapsed="false">
      <c r="A194" s="4" t="s">
        <v>245</v>
      </c>
      <c r="B194" s="4" t="s">
        <v>968</v>
      </c>
      <c r="C194" s="4" t="s">
        <v>969</v>
      </c>
      <c r="D194" s="5" t="s">
        <v>970</v>
      </c>
      <c r="E194" s="32" t="n">
        <v>1</v>
      </c>
      <c r="F194" s="4" t="s">
        <v>82</v>
      </c>
      <c r="G194" s="5" t="s">
        <v>509</v>
      </c>
      <c r="H194" s="4" t="s">
        <v>971</v>
      </c>
      <c r="I194" s="32" t="n">
        <v>4</v>
      </c>
      <c r="J194" s="32" t="n">
        <f aca="false">E194*I194</f>
        <v>4</v>
      </c>
      <c r="K194" s="4"/>
      <c r="L194" s="32"/>
      <c r="M194" s="32"/>
      <c r="N194" s="32"/>
      <c r="O194" s="32"/>
      <c r="P194" s="4"/>
      <c r="Q194" s="32"/>
      <c r="R194" s="32" t="n">
        <f aca="false">$J194</f>
        <v>4</v>
      </c>
      <c r="S194" s="32" t="n">
        <f aca="false">$J194</f>
        <v>4</v>
      </c>
      <c r="T194" s="32" t="n">
        <f aca="false">$J194</f>
        <v>4</v>
      </c>
      <c r="U194" s="32" t="n">
        <f aca="false">$J194</f>
        <v>4</v>
      </c>
      <c r="V194" s="32" t="n">
        <f aca="false">$J194</f>
        <v>4</v>
      </c>
      <c r="W194" s="32" t="n">
        <f aca="false">$J194</f>
        <v>4</v>
      </c>
      <c r="X194" s="32" t="n">
        <f aca="false">$J194</f>
        <v>4</v>
      </c>
      <c r="Y194" s="32" t="n">
        <f aca="false">$J194</f>
        <v>4</v>
      </c>
      <c r="Z194" s="32" t="n">
        <f aca="false">$J194</f>
        <v>4</v>
      </c>
      <c r="AA194" s="32" t="n">
        <f aca="false">$J194</f>
        <v>4</v>
      </c>
      <c r="AB194" s="5" t="s">
        <v>972</v>
      </c>
    </row>
    <row r="195" customFormat="false" ht="15" hidden="false" customHeight="false" outlineLevel="0" collapsed="false">
      <c r="A195" s="4" t="s">
        <v>245</v>
      </c>
      <c r="B195" s="4" t="s">
        <v>973</v>
      </c>
      <c r="C195" s="4" t="s">
        <v>974</v>
      </c>
      <c r="D195" s="5" t="s">
        <v>975</v>
      </c>
      <c r="E195" s="32" t="n">
        <v>1</v>
      </c>
      <c r="F195" s="4" t="s">
        <v>82</v>
      </c>
      <c r="G195" s="5" t="s">
        <v>509</v>
      </c>
      <c r="H195" s="4" t="s">
        <v>976</v>
      </c>
      <c r="I195" s="32" t="n">
        <v>2</v>
      </c>
      <c r="J195" s="32" t="n">
        <f aca="false">E195*I195</f>
        <v>2</v>
      </c>
      <c r="K195" s="4"/>
      <c r="L195" s="32"/>
      <c r="M195" s="32"/>
      <c r="N195" s="32"/>
      <c r="O195" s="32"/>
      <c r="P195" s="4"/>
      <c r="Q195" s="32"/>
      <c r="R195" s="32" t="n">
        <f aca="false">$J195</f>
        <v>2</v>
      </c>
      <c r="S195" s="32" t="n">
        <f aca="false">$J195</f>
        <v>2</v>
      </c>
      <c r="T195" s="32" t="n">
        <f aca="false">$J195</f>
        <v>2</v>
      </c>
      <c r="U195" s="32" t="n">
        <f aca="false">$J195</f>
        <v>2</v>
      </c>
      <c r="V195" s="32" t="n">
        <f aca="false">$J195</f>
        <v>2</v>
      </c>
      <c r="W195" s="32" t="n">
        <f aca="false">$J195</f>
        <v>2</v>
      </c>
      <c r="X195" s="32" t="n">
        <f aca="false">$J195</f>
        <v>2</v>
      </c>
      <c r="Y195" s="32" t="n">
        <f aca="false">$J195</f>
        <v>2</v>
      </c>
      <c r="Z195" s="32" t="n">
        <f aca="false">$J195</f>
        <v>2</v>
      </c>
      <c r="AA195" s="32" t="n">
        <f aca="false">$J195</f>
        <v>2</v>
      </c>
      <c r="AB195" s="5" t="s">
        <v>977</v>
      </c>
    </row>
    <row r="196" customFormat="false" ht="15" hidden="false" customHeight="false" outlineLevel="0" collapsed="false">
      <c r="A196" s="4" t="s">
        <v>245</v>
      </c>
      <c r="B196" s="4" t="s">
        <v>978</v>
      </c>
      <c r="C196" s="4" t="s">
        <v>979</v>
      </c>
      <c r="D196" s="5" t="s">
        <v>980</v>
      </c>
      <c r="E196" s="32" t="n">
        <v>1</v>
      </c>
      <c r="F196" s="4" t="s">
        <v>82</v>
      </c>
      <c r="G196" s="5" t="s">
        <v>950</v>
      </c>
      <c r="H196" s="4" t="s">
        <v>951</v>
      </c>
      <c r="I196" s="32" t="n">
        <f aca="false">1440/6000/INDEX(P_VAL,MATCH("APROV_CANO",P_ID,0))</f>
        <v>0.252631578947368</v>
      </c>
      <c r="J196" s="32" t="n">
        <f aca="false">E196*I196</f>
        <v>0.252631578947368</v>
      </c>
      <c r="K196" s="4"/>
      <c r="L196" s="32"/>
      <c r="M196" s="32"/>
      <c r="N196" s="32"/>
      <c r="O196" s="32"/>
      <c r="P196" s="4"/>
      <c r="Q196" s="32"/>
      <c r="R196" s="32" t="n">
        <f aca="false">$J196</f>
        <v>0.252631578947368</v>
      </c>
      <c r="S196" s="32" t="n">
        <f aca="false">$J196</f>
        <v>0.252631578947368</v>
      </c>
      <c r="T196" s="32" t="n">
        <f aca="false">$J196</f>
        <v>0.252631578947368</v>
      </c>
      <c r="U196" s="32" t="n">
        <f aca="false">$J196</f>
        <v>0.252631578947368</v>
      </c>
      <c r="V196" s="32" t="n">
        <f aca="false">$J196</f>
        <v>0.252631578947368</v>
      </c>
      <c r="W196" s="32" t="n">
        <f aca="false">$J196</f>
        <v>0.252631578947368</v>
      </c>
      <c r="X196" s="32" t="n">
        <f aca="false">$J196</f>
        <v>0.252631578947368</v>
      </c>
      <c r="Y196" s="32" t="n">
        <f aca="false">$J196</f>
        <v>0.252631578947368</v>
      </c>
      <c r="Z196" s="32" t="n">
        <f aca="false">$J196</f>
        <v>0.252631578947368</v>
      </c>
      <c r="AA196" s="32" t="n">
        <f aca="false">$J196</f>
        <v>0.252631578947368</v>
      </c>
      <c r="AB196" s="5" t="s">
        <v>981</v>
      </c>
    </row>
    <row r="197" customFormat="false" ht="15" hidden="false" customHeight="false" outlineLevel="0" collapsed="false">
      <c r="A197" s="4" t="s">
        <v>245</v>
      </c>
      <c r="B197" s="4" t="s">
        <v>982</v>
      </c>
      <c r="C197" s="4" t="s">
        <v>983</v>
      </c>
      <c r="D197" s="5" t="s">
        <v>984</v>
      </c>
      <c r="E197" s="32" t="n">
        <v>1</v>
      </c>
      <c r="F197" s="4" t="s">
        <v>82</v>
      </c>
      <c r="G197" s="5" t="s">
        <v>943</v>
      </c>
      <c r="H197" s="4"/>
      <c r="I197" s="32"/>
      <c r="J197" s="32" t="n">
        <f aca="false">E197*I197</f>
        <v>0</v>
      </c>
      <c r="K197" s="4"/>
      <c r="L197" s="32"/>
      <c r="M197" s="32"/>
      <c r="N197" s="32"/>
      <c r="O197" s="32"/>
      <c r="P197" s="4"/>
      <c r="Q197" s="32"/>
      <c r="R197" s="32" t="n">
        <f aca="false">$J197</f>
        <v>0</v>
      </c>
      <c r="S197" s="32" t="n">
        <f aca="false">$J197</f>
        <v>0</v>
      </c>
      <c r="T197" s="32" t="n">
        <f aca="false">$J197</f>
        <v>0</v>
      </c>
      <c r="U197" s="32" t="n">
        <f aca="false">$J197</f>
        <v>0</v>
      </c>
      <c r="V197" s="32" t="n">
        <f aca="false">$J197</f>
        <v>0</v>
      </c>
      <c r="W197" s="32" t="n">
        <f aca="false">$J197</f>
        <v>0</v>
      </c>
      <c r="X197" s="32" t="n">
        <f aca="false">$J197</f>
        <v>0</v>
      </c>
      <c r="Y197" s="32" t="n">
        <f aca="false">$J197</f>
        <v>0</v>
      </c>
      <c r="Z197" s="32" t="n">
        <f aca="false">$J197</f>
        <v>0</v>
      </c>
      <c r="AA197" s="32" t="n">
        <f aca="false">$J197</f>
        <v>0</v>
      </c>
      <c r="AB197" s="5"/>
    </row>
    <row r="198" customFormat="false" ht="15" hidden="false" customHeight="false" outlineLevel="0" collapsed="false">
      <c r="A198" s="4" t="s">
        <v>245</v>
      </c>
      <c r="B198" s="4" t="s">
        <v>985</v>
      </c>
      <c r="C198" s="4" t="s">
        <v>986</v>
      </c>
      <c r="D198" s="5" t="s">
        <v>987</v>
      </c>
      <c r="E198" s="32" t="n">
        <v>25</v>
      </c>
      <c r="F198" s="4" t="s">
        <v>73</v>
      </c>
      <c r="G198" s="5" t="s">
        <v>509</v>
      </c>
      <c r="H198" s="4" t="s">
        <v>988</v>
      </c>
      <c r="I198" s="32" t="n">
        <f aca="false">1+INDEX(P_VAL,MATCH("MERMA_POLVO",P_ID,0))</f>
        <v>1.01</v>
      </c>
      <c r="J198" s="32" t="n">
        <f aca="false">E198*I198</f>
        <v>25.25</v>
      </c>
      <c r="K198" s="4"/>
      <c r="L198" s="32"/>
      <c r="M198" s="32"/>
      <c r="N198" s="32"/>
      <c r="O198" s="32"/>
      <c r="P198" s="4"/>
      <c r="Q198" s="32"/>
      <c r="R198" s="32" t="n">
        <f aca="false">$J198</f>
        <v>25.25</v>
      </c>
      <c r="S198" s="32" t="n">
        <f aca="false">$J198</f>
        <v>25.25</v>
      </c>
      <c r="T198" s="32" t="n">
        <f aca="false">$J198</f>
        <v>25.25</v>
      </c>
      <c r="U198" s="32" t="n">
        <f aca="false">$J198</f>
        <v>25.25</v>
      </c>
      <c r="V198" s="32" t="n">
        <f aca="false">$J198</f>
        <v>25.25</v>
      </c>
      <c r="W198" s="32" t="n">
        <f aca="false">$J198</f>
        <v>25.25</v>
      </c>
      <c r="X198" s="32" t="n">
        <f aca="false">$J198</f>
        <v>25.25</v>
      </c>
      <c r="Y198" s="32" t="n">
        <f aca="false">$J198</f>
        <v>25.25</v>
      </c>
      <c r="Z198" s="32" t="n">
        <f aca="false">$J198</f>
        <v>25.25</v>
      </c>
      <c r="AA198" s="32" t="n">
        <f aca="false">$J198</f>
        <v>25.25</v>
      </c>
      <c r="AB198" s="5"/>
    </row>
    <row r="199" customFormat="false" ht="15" hidden="false" customHeight="false" outlineLevel="0" collapsed="false">
      <c r="A199" s="4" t="s">
        <v>245</v>
      </c>
      <c r="B199" s="4" t="s">
        <v>989</v>
      </c>
      <c r="C199" s="4" t="s">
        <v>990</v>
      </c>
      <c r="D199" s="5" t="s">
        <v>571</v>
      </c>
      <c r="E199" s="32" t="n">
        <v>0.201328458234476</v>
      </c>
      <c r="F199" s="4" t="s">
        <v>73</v>
      </c>
      <c r="G199" s="5" t="s">
        <v>572</v>
      </c>
      <c r="H199" s="4" t="s">
        <v>573</v>
      </c>
      <c r="I199" s="32" t="n">
        <f aca="false">(1+INDEX(P_VAL,MATCH("N2_PERD",P_ID,0)))/INDEX(P_VAL,MATCH("RHO_N2",P_ID,0))</f>
        <v>1.0406660262568</v>
      </c>
      <c r="J199" s="32" t="n">
        <f aca="false">E199*I199</f>
        <v>0.209515686603281</v>
      </c>
      <c r="K199" s="4"/>
      <c r="L199" s="32"/>
      <c r="M199" s="32"/>
      <c r="N199" s="32"/>
      <c r="O199" s="32"/>
      <c r="P199" s="4"/>
      <c r="Q199" s="32"/>
      <c r="R199" s="32" t="n">
        <f aca="false">$J199</f>
        <v>0.209515686603281</v>
      </c>
      <c r="S199" s="32" t="n">
        <f aca="false">$J199</f>
        <v>0.209515686603281</v>
      </c>
      <c r="T199" s="32" t="n">
        <f aca="false">$J199</f>
        <v>0.209515686603281</v>
      </c>
      <c r="U199" s="32" t="n">
        <f aca="false">$J199</f>
        <v>0.209515686603281</v>
      </c>
      <c r="V199" s="32" t="n">
        <f aca="false">$J199</f>
        <v>0.209515686603281</v>
      </c>
      <c r="W199" s="32" t="n">
        <f aca="false">$J199</f>
        <v>0.209515686603281</v>
      </c>
      <c r="X199" s="32" t="n">
        <f aca="false">$J199</f>
        <v>0.209515686603281</v>
      </c>
      <c r="Y199" s="32" t="n">
        <f aca="false">$J199</f>
        <v>0.209515686603281</v>
      </c>
      <c r="Z199" s="32" t="n">
        <f aca="false">$J199</f>
        <v>0.209515686603281</v>
      </c>
      <c r="AA199" s="32" t="n">
        <f aca="false">$J199</f>
        <v>0.209515686603281</v>
      </c>
      <c r="AB199" s="5"/>
    </row>
    <row r="200" customFormat="false" ht="15" hidden="false" customHeight="false" outlineLevel="0" collapsed="false">
      <c r="A200" s="4" t="s">
        <v>245</v>
      </c>
      <c r="B200" s="4" t="s">
        <v>991</v>
      </c>
      <c r="C200" s="4" t="s">
        <v>992</v>
      </c>
      <c r="D200" s="5" t="s">
        <v>576</v>
      </c>
      <c r="E200" s="32" t="n">
        <v>1</v>
      </c>
      <c r="F200" s="4" t="s">
        <v>82</v>
      </c>
      <c r="G200" s="5" t="s">
        <v>509</v>
      </c>
      <c r="H200" s="4" t="s">
        <v>993</v>
      </c>
      <c r="I200" s="32" t="n">
        <v>1</v>
      </c>
      <c r="J200" s="32" t="n">
        <f aca="false">E200*I200</f>
        <v>1</v>
      </c>
      <c r="K200" s="4"/>
      <c r="L200" s="32"/>
      <c r="M200" s="32"/>
      <c r="N200" s="32"/>
      <c r="O200" s="32"/>
      <c r="P200" s="4"/>
      <c r="Q200" s="32"/>
      <c r="R200" s="32" t="n">
        <f aca="false">$J200</f>
        <v>1</v>
      </c>
      <c r="S200" s="32" t="n">
        <f aca="false">$J200</f>
        <v>1</v>
      </c>
      <c r="T200" s="32" t="n">
        <f aca="false">$J200</f>
        <v>1</v>
      </c>
      <c r="U200" s="32" t="n">
        <f aca="false">$J200</f>
        <v>1</v>
      </c>
      <c r="V200" s="32" t="n">
        <f aca="false">$J200</f>
        <v>1</v>
      </c>
      <c r="W200" s="32" t="n">
        <f aca="false">$J200</f>
        <v>1</v>
      </c>
      <c r="X200" s="32" t="n">
        <f aca="false">$J200</f>
        <v>1</v>
      </c>
      <c r="Y200" s="32" t="n">
        <f aca="false">$J200</f>
        <v>1</v>
      </c>
      <c r="Z200" s="32" t="n">
        <f aca="false">$J200</f>
        <v>1</v>
      </c>
      <c r="AA200" s="32" t="n">
        <f aca="false">$J200</f>
        <v>1</v>
      </c>
      <c r="AB200" s="5"/>
    </row>
    <row r="201" customFormat="false" ht="15" hidden="false" customHeight="false" outlineLevel="0" collapsed="false">
      <c r="A201" s="4" t="s">
        <v>245</v>
      </c>
      <c r="B201" s="4" t="s">
        <v>994</v>
      </c>
      <c r="C201" s="4" t="s">
        <v>995</v>
      </c>
      <c r="D201" s="5" t="s">
        <v>580</v>
      </c>
      <c r="E201" s="32" t="n">
        <v>1</v>
      </c>
      <c r="F201" s="4" t="s">
        <v>82</v>
      </c>
      <c r="G201" s="5" t="s">
        <v>509</v>
      </c>
      <c r="H201" s="4" t="s">
        <v>581</v>
      </c>
      <c r="I201" s="32" t="n">
        <v>1</v>
      </c>
      <c r="J201" s="32" t="n">
        <f aca="false">E201*I201</f>
        <v>1</v>
      </c>
      <c r="K201" s="4" t="s">
        <v>582</v>
      </c>
      <c r="L201" s="32"/>
      <c r="M201" s="32"/>
      <c r="N201" s="32"/>
      <c r="O201" s="32"/>
      <c r="P201" s="4"/>
      <c r="Q201" s="32"/>
      <c r="R201" s="32" t="n">
        <f aca="false">$J201</f>
        <v>1</v>
      </c>
      <c r="S201" s="32" t="n">
        <f aca="false">$J201</f>
        <v>1</v>
      </c>
      <c r="T201" s="32" t="n">
        <f aca="false">$J201</f>
        <v>1</v>
      </c>
      <c r="U201" s="32" t="n">
        <f aca="false">$J201</f>
        <v>1</v>
      </c>
      <c r="V201" s="32" t="n">
        <f aca="false">$J201</f>
        <v>1</v>
      </c>
      <c r="W201" s="32" t="n">
        <f aca="false">$J201</f>
        <v>1</v>
      </c>
      <c r="X201" s="32" t="n">
        <f aca="false">$J201</f>
        <v>1</v>
      </c>
      <c r="Y201" s="32" t="n">
        <f aca="false">$J201</f>
        <v>1</v>
      </c>
      <c r="Z201" s="32" t="n">
        <f aca="false">$J201</f>
        <v>1</v>
      </c>
      <c r="AA201" s="32" t="n">
        <f aca="false">$J201</f>
        <v>1</v>
      </c>
      <c r="AB201" s="5"/>
    </row>
    <row r="202" customFormat="false" ht="15" hidden="false" customHeight="false" outlineLevel="0" collapsed="false">
      <c r="A202" s="4" t="s">
        <v>245</v>
      </c>
      <c r="B202" s="4" t="s">
        <v>996</v>
      </c>
      <c r="C202" s="4" t="s">
        <v>997</v>
      </c>
      <c r="D202" s="5" t="s">
        <v>585</v>
      </c>
      <c r="E202" s="32" t="n">
        <v>1</v>
      </c>
      <c r="F202" s="4" t="s">
        <v>82</v>
      </c>
      <c r="G202" s="5" t="s">
        <v>509</v>
      </c>
      <c r="H202" s="4" t="s">
        <v>586</v>
      </c>
      <c r="I202" s="32" t="n">
        <v>1</v>
      </c>
      <c r="J202" s="32" t="n">
        <f aca="false">E202*I202</f>
        <v>1</v>
      </c>
      <c r="K202" s="4"/>
      <c r="L202" s="32"/>
      <c r="M202" s="32"/>
      <c r="N202" s="32"/>
      <c r="O202" s="32"/>
      <c r="P202" s="4"/>
      <c r="Q202" s="32"/>
      <c r="R202" s="32" t="n">
        <f aca="false">$J202</f>
        <v>1</v>
      </c>
      <c r="S202" s="32" t="n">
        <f aca="false">$J202</f>
        <v>1</v>
      </c>
      <c r="T202" s="32" t="n">
        <f aca="false">$J202</f>
        <v>1</v>
      </c>
      <c r="U202" s="32" t="n">
        <f aca="false">$J202</f>
        <v>1</v>
      </c>
      <c r="V202" s="32" t="n">
        <f aca="false">$J202</f>
        <v>1</v>
      </c>
      <c r="W202" s="32" t="n">
        <f aca="false">$J202</f>
        <v>1</v>
      </c>
      <c r="X202" s="32" t="n">
        <f aca="false">$J202</f>
        <v>1</v>
      </c>
      <c r="Y202" s="32" t="n">
        <f aca="false">$J202</f>
        <v>1</v>
      </c>
      <c r="Z202" s="32" t="n">
        <f aca="false">$J202</f>
        <v>1</v>
      </c>
      <c r="AA202" s="32" t="n">
        <f aca="false">$J202</f>
        <v>1</v>
      </c>
      <c r="AB202" s="5"/>
    </row>
    <row r="203" customFormat="false" ht="15" hidden="false" customHeight="false" outlineLevel="0" collapsed="false">
      <c r="A203" s="4" t="s">
        <v>245</v>
      </c>
      <c r="B203" s="4" t="s">
        <v>998</v>
      </c>
      <c r="C203" s="4" t="s">
        <v>999</v>
      </c>
      <c r="D203" s="5" t="s">
        <v>687</v>
      </c>
      <c r="E203" s="32" t="n">
        <v>1</v>
      </c>
      <c r="F203" s="4" t="s">
        <v>82</v>
      </c>
      <c r="G203" s="5" t="s">
        <v>509</v>
      </c>
      <c r="H203" s="4" t="s">
        <v>688</v>
      </c>
      <c r="I203" s="32" t="n">
        <v>1</v>
      </c>
      <c r="J203" s="32" t="n">
        <f aca="false">E203*I203</f>
        <v>1</v>
      </c>
      <c r="K203" s="4" t="s">
        <v>689</v>
      </c>
      <c r="L203" s="32"/>
      <c r="M203" s="32"/>
      <c r="N203" s="32"/>
      <c r="O203" s="32"/>
      <c r="P203" s="4"/>
      <c r="Q203" s="32"/>
      <c r="R203" s="32" t="n">
        <f aca="false">$J203</f>
        <v>1</v>
      </c>
      <c r="S203" s="32" t="n">
        <f aca="false">$J203</f>
        <v>1</v>
      </c>
      <c r="T203" s="32" t="n">
        <f aca="false">$J203</f>
        <v>1</v>
      </c>
      <c r="U203" s="32" t="n">
        <f aca="false">$J203</f>
        <v>1</v>
      </c>
      <c r="V203" s="32" t="n">
        <f aca="false">$J203</f>
        <v>1</v>
      </c>
      <c r="W203" s="32" t="n">
        <f aca="false">$J203</f>
        <v>1</v>
      </c>
      <c r="X203" s="32" t="n">
        <f aca="false">$J203</f>
        <v>1</v>
      </c>
      <c r="Y203" s="32" t="n">
        <f aca="false">$J203</f>
        <v>1</v>
      </c>
      <c r="Z203" s="32" t="n">
        <f aca="false">$J203</f>
        <v>1</v>
      </c>
      <c r="AA203" s="32" t="n">
        <f aca="false">$J203</f>
        <v>1</v>
      </c>
      <c r="AB203" s="5"/>
    </row>
    <row r="204" customFormat="false" ht="15" hidden="false" customHeight="false" outlineLevel="0" collapsed="false">
      <c r="A204" s="4" t="s">
        <v>245</v>
      </c>
      <c r="B204" s="4" t="s">
        <v>1000</v>
      </c>
      <c r="C204" s="4" t="s">
        <v>1001</v>
      </c>
      <c r="D204" s="5" t="s">
        <v>589</v>
      </c>
      <c r="E204" s="32" t="n">
        <v>1</v>
      </c>
      <c r="F204" s="4" t="s">
        <v>82</v>
      </c>
      <c r="G204" s="5" t="s">
        <v>509</v>
      </c>
      <c r="H204" s="4" t="s">
        <v>590</v>
      </c>
      <c r="I204" s="32" t="n">
        <v>1</v>
      </c>
      <c r="J204" s="32" t="n">
        <f aca="false">E204*I204</f>
        <v>1</v>
      </c>
      <c r="K204" s="4"/>
      <c r="L204" s="32"/>
      <c r="M204" s="32"/>
      <c r="N204" s="32"/>
      <c r="O204" s="32"/>
      <c r="P204" s="4"/>
      <c r="Q204" s="32"/>
      <c r="R204" s="32" t="n">
        <f aca="false">$J204</f>
        <v>1</v>
      </c>
      <c r="S204" s="32" t="n">
        <f aca="false">$J204</f>
        <v>1</v>
      </c>
      <c r="T204" s="32" t="n">
        <f aca="false">$J204</f>
        <v>1</v>
      </c>
      <c r="U204" s="32" t="n">
        <f aca="false">$J204</f>
        <v>1</v>
      </c>
      <c r="V204" s="32" t="n">
        <f aca="false">$J204</f>
        <v>1</v>
      </c>
      <c r="W204" s="32" t="n">
        <f aca="false">$J204</f>
        <v>1</v>
      </c>
      <c r="X204" s="32" t="n">
        <f aca="false">$J204</f>
        <v>1</v>
      </c>
      <c r="Y204" s="32" t="n">
        <f aca="false">$J204</f>
        <v>1</v>
      </c>
      <c r="Z204" s="32" t="n">
        <f aca="false">$J204</f>
        <v>1</v>
      </c>
      <c r="AA204" s="32" t="n">
        <f aca="false">$J204</f>
        <v>1</v>
      </c>
      <c r="AB204" s="5"/>
    </row>
    <row r="205" customFormat="false" ht="15" hidden="false" customHeight="false" outlineLevel="0" collapsed="false">
      <c r="A205" s="4" t="s">
        <v>245</v>
      </c>
      <c r="B205" s="4" t="s">
        <v>1002</v>
      </c>
      <c r="C205" s="4" t="s">
        <v>1003</v>
      </c>
      <c r="D205" s="5" t="s">
        <v>593</v>
      </c>
      <c r="E205" s="32" t="n">
        <v>1</v>
      </c>
      <c r="F205" s="4" t="s">
        <v>82</v>
      </c>
      <c r="G205" s="5" t="s">
        <v>509</v>
      </c>
      <c r="H205" s="4" t="s">
        <v>594</v>
      </c>
      <c r="I205" s="32" t="n">
        <v>1</v>
      </c>
      <c r="J205" s="32" t="n">
        <f aca="false">E205*I205</f>
        <v>1</v>
      </c>
      <c r="K205" s="4"/>
      <c r="L205" s="32"/>
      <c r="M205" s="32"/>
      <c r="N205" s="32"/>
      <c r="O205" s="32"/>
      <c r="P205" s="4"/>
      <c r="Q205" s="32"/>
      <c r="R205" s="32" t="n">
        <f aca="false">$J205</f>
        <v>1</v>
      </c>
      <c r="S205" s="32" t="n">
        <f aca="false">$J205</f>
        <v>1</v>
      </c>
      <c r="T205" s="32" t="n">
        <f aca="false">$J205</f>
        <v>1</v>
      </c>
      <c r="U205" s="32" t="n">
        <f aca="false">$J205</f>
        <v>1</v>
      </c>
      <c r="V205" s="32" t="n">
        <f aca="false">$J205</f>
        <v>1</v>
      </c>
      <c r="W205" s="32" t="n">
        <f aca="false">$J205</f>
        <v>1</v>
      </c>
      <c r="X205" s="32" t="n">
        <f aca="false">$J205</f>
        <v>1</v>
      </c>
      <c r="Y205" s="32" t="n">
        <f aca="false">$J205</f>
        <v>1</v>
      </c>
      <c r="Z205" s="32" t="n">
        <f aca="false">$J205</f>
        <v>1</v>
      </c>
      <c r="AA205" s="32" t="n">
        <f aca="false">$J205</f>
        <v>1</v>
      </c>
      <c r="AB205" s="5"/>
    </row>
    <row r="206" customFormat="false" ht="15" hidden="false" customHeight="false" outlineLevel="0" collapsed="false">
      <c r="A206" s="4" t="s">
        <v>245</v>
      </c>
      <c r="B206" s="4" t="s">
        <v>1004</v>
      </c>
      <c r="C206" s="4" t="s">
        <v>1005</v>
      </c>
      <c r="D206" s="5" t="s">
        <v>597</v>
      </c>
      <c r="E206" s="32" t="n">
        <v>1</v>
      </c>
      <c r="F206" s="4" t="s">
        <v>82</v>
      </c>
      <c r="G206" s="5" t="s">
        <v>509</v>
      </c>
      <c r="H206" s="4" t="s">
        <v>598</v>
      </c>
      <c r="I206" s="32" t="n">
        <v>1</v>
      </c>
      <c r="J206" s="32" t="n">
        <f aca="false">E206*I206</f>
        <v>1</v>
      </c>
      <c r="K206" s="4"/>
      <c r="L206" s="32"/>
      <c r="M206" s="32"/>
      <c r="N206" s="32"/>
      <c r="O206" s="32"/>
      <c r="P206" s="4"/>
      <c r="Q206" s="32"/>
      <c r="R206" s="32" t="n">
        <f aca="false">$J206</f>
        <v>1</v>
      </c>
      <c r="S206" s="32" t="n">
        <f aca="false">$J206</f>
        <v>1</v>
      </c>
      <c r="T206" s="32" t="n">
        <f aca="false">$J206</f>
        <v>1</v>
      </c>
      <c r="U206" s="32" t="n">
        <f aca="false">$J206</f>
        <v>1</v>
      </c>
      <c r="V206" s="32" t="n">
        <f aca="false">$J206</f>
        <v>1</v>
      </c>
      <c r="W206" s="32" t="n">
        <f aca="false">$J206</f>
        <v>1</v>
      </c>
      <c r="X206" s="32" t="n">
        <f aca="false">$J206</f>
        <v>1</v>
      </c>
      <c r="Y206" s="32" t="n">
        <f aca="false">$J206</f>
        <v>1</v>
      </c>
      <c r="Z206" s="32" t="n">
        <f aca="false">$J206</f>
        <v>1</v>
      </c>
      <c r="AA206" s="32" t="n">
        <f aca="false">$J206</f>
        <v>1</v>
      </c>
      <c r="AB206" s="5"/>
    </row>
    <row r="207" customFormat="false" ht="15" hidden="false" customHeight="false" outlineLevel="0" collapsed="false">
      <c r="A207" s="4" t="s">
        <v>270</v>
      </c>
      <c r="B207" s="4" t="s">
        <v>881</v>
      </c>
      <c r="C207" s="4" t="s">
        <v>1006</v>
      </c>
      <c r="D207" s="5" t="s">
        <v>490</v>
      </c>
      <c r="E207" s="32" t="n">
        <v>1</v>
      </c>
      <c r="F207" s="4" t="s">
        <v>82</v>
      </c>
      <c r="G207" s="5" t="s">
        <v>491</v>
      </c>
      <c r="H207" s="4" t="s">
        <v>883</v>
      </c>
      <c r="I207" s="32" t="n">
        <f aca="false">FAB_COMPRA!K20</f>
        <v>0.111111111111111</v>
      </c>
      <c r="J207" s="32" t="n">
        <f aca="false">E207*I207</f>
        <v>0.111111111111111</v>
      </c>
      <c r="K207" s="4"/>
      <c r="L207" s="32"/>
      <c r="M207" s="32"/>
      <c r="N207" s="32"/>
      <c r="O207" s="32"/>
      <c r="P207" s="4"/>
      <c r="Q207" s="32"/>
      <c r="R207" s="32" t="n">
        <f aca="false">$J207</f>
        <v>0.111111111111111</v>
      </c>
      <c r="S207" s="32" t="n">
        <f aca="false">$J207</f>
        <v>0.111111111111111</v>
      </c>
      <c r="T207" s="32" t="n">
        <f aca="false">$J207</f>
        <v>0.111111111111111</v>
      </c>
      <c r="U207" s="32" t="n">
        <f aca="false">$J207</f>
        <v>0.111111111111111</v>
      </c>
      <c r="V207" s="32" t="n">
        <f aca="false">$J207</f>
        <v>0.111111111111111</v>
      </c>
      <c r="W207" s="32" t="n">
        <f aca="false">$J207</f>
        <v>0.111111111111111</v>
      </c>
      <c r="X207" s="32" t="n">
        <f aca="false">$J207</f>
        <v>0.111111111111111</v>
      </c>
      <c r="Y207" s="32" t="n">
        <f aca="false">$J207</f>
        <v>0.111111111111111</v>
      </c>
      <c r="Z207" s="32" t="n">
        <f aca="false">$J207</f>
        <v>0.111111111111111</v>
      </c>
      <c r="AA207" s="32" t="n">
        <f aca="false">$J207</f>
        <v>0.111111111111111</v>
      </c>
      <c r="AB207" s="5" t="s">
        <v>493</v>
      </c>
    </row>
    <row r="208" customFormat="false" ht="15" hidden="false" customHeight="false" outlineLevel="0" collapsed="false">
      <c r="A208" s="4" t="s">
        <v>270</v>
      </c>
      <c r="B208" s="4" t="s">
        <v>884</v>
      </c>
      <c r="C208" s="4" t="s">
        <v>1007</v>
      </c>
      <c r="D208" s="5" t="s">
        <v>496</v>
      </c>
      <c r="E208" s="32" t="n">
        <v>1</v>
      </c>
      <c r="F208" s="4" t="s">
        <v>82</v>
      </c>
      <c r="G208" s="5" t="s">
        <v>491</v>
      </c>
      <c r="H208" s="4" t="s">
        <v>886</v>
      </c>
      <c r="I208" s="32" t="n">
        <f aca="false">FAB_COMPRA!K21</f>
        <v>1</v>
      </c>
      <c r="J208" s="32" t="n">
        <f aca="false">E208*I208</f>
        <v>1</v>
      </c>
      <c r="K208" s="4"/>
      <c r="L208" s="32"/>
      <c r="M208" s="32"/>
      <c r="N208" s="32"/>
      <c r="O208" s="32"/>
      <c r="P208" s="4"/>
      <c r="Q208" s="32"/>
      <c r="R208" s="32" t="n">
        <f aca="false">$J208</f>
        <v>1</v>
      </c>
      <c r="S208" s="32" t="n">
        <f aca="false">$J208</f>
        <v>1</v>
      </c>
      <c r="T208" s="32" t="n">
        <f aca="false">$J208</f>
        <v>1</v>
      </c>
      <c r="U208" s="32" t="n">
        <f aca="false">$J208</f>
        <v>1</v>
      </c>
      <c r="V208" s="32" t="n">
        <f aca="false">$J208</f>
        <v>1</v>
      </c>
      <c r="W208" s="32" t="n">
        <f aca="false">$J208</f>
        <v>1</v>
      </c>
      <c r="X208" s="32" t="n">
        <f aca="false">$J208</f>
        <v>1</v>
      </c>
      <c r="Y208" s="32" t="n">
        <f aca="false">$J208</f>
        <v>1</v>
      </c>
      <c r="Z208" s="32" t="n">
        <f aca="false">$J208</f>
        <v>1</v>
      </c>
      <c r="AA208" s="32" t="n">
        <f aca="false">$J208</f>
        <v>1</v>
      </c>
      <c r="AB208" s="5" t="s">
        <v>493</v>
      </c>
    </row>
    <row r="209" customFormat="false" ht="15" hidden="false" customHeight="false" outlineLevel="0" collapsed="false">
      <c r="A209" s="4" t="s">
        <v>270</v>
      </c>
      <c r="B209" s="4" t="s">
        <v>887</v>
      </c>
      <c r="C209" s="4" t="s">
        <v>1008</v>
      </c>
      <c r="D209" s="5" t="s">
        <v>500</v>
      </c>
      <c r="E209" s="32" t="n">
        <v>1</v>
      </c>
      <c r="F209" s="4" t="s">
        <v>82</v>
      </c>
      <c r="G209" s="5" t="s">
        <v>491</v>
      </c>
      <c r="H209" s="4" t="s">
        <v>886</v>
      </c>
      <c r="I209" s="32" t="n">
        <f aca="false">FAB_COMPRA!K22</f>
        <v>1</v>
      </c>
      <c r="J209" s="32" t="n">
        <f aca="false">E209*I209</f>
        <v>1</v>
      </c>
      <c r="K209" s="4"/>
      <c r="L209" s="32"/>
      <c r="M209" s="32"/>
      <c r="N209" s="32"/>
      <c r="O209" s="32"/>
      <c r="P209" s="4"/>
      <c r="Q209" s="32"/>
      <c r="R209" s="32" t="n">
        <f aca="false">$J209</f>
        <v>1</v>
      </c>
      <c r="S209" s="32" t="n">
        <f aca="false">$J209</f>
        <v>1</v>
      </c>
      <c r="T209" s="32" t="n">
        <f aca="false">$J209</f>
        <v>1</v>
      </c>
      <c r="U209" s="32" t="n">
        <f aca="false">$J209</f>
        <v>1</v>
      </c>
      <c r="V209" s="32" t="n">
        <f aca="false">$J209</f>
        <v>1</v>
      </c>
      <c r="W209" s="32" t="n">
        <f aca="false">$J209</f>
        <v>1</v>
      </c>
      <c r="X209" s="32" t="n">
        <f aca="false">$J209</f>
        <v>1</v>
      </c>
      <c r="Y209" s="32" t="n">
        <f aca="false">$J209</f>
        <v>1</v>
      </c>
      <c r="Z209" s="32" t="n">
        <f aca="false">$J209</f>
        <v>1</v>
      </c>
      <c r="AA209" s="32" t="n">
        <f aca="false">$J209</f>
        <v>1</v>
      </c>
      <c r="AB209" s="5" t="s">
        <v>493</v>
      </c>
    </row>
    <row r="210" customFormat="false" ht="15" hidden="false" customHeight="false" outlineLevel="0" collapsed="false">
      <c r="A210" s="4" t="s">
        <v>270</v>
      </c>
      <c r="B210" s="4" t="s">
        <v>889</v>
      </c>
      <c r="C210" s="4" t="s">
        <v>1009</v>
      </c>
      <c r="D210" s="5" t="s">
        <v>504</v>
      </c>
      <c r="E210" s="32" t="n">
        <v>1</v>
      </c>
      <c r="F210" s="4" t="s">
        <v>82</v>
      </c>
      <c r="G210" s="5" t="s">
        <v>491</v>
      </c>
      <c r="H210" s="4" t="s">
        <v>891</v>
      </c>
      <c r="I210" s="32" t="n">
        <f aca="false">FAB_COMPRA!K23</f>
        <v>1</v>
      </c>
      <c r="J210" s="32" t="n">
        <f aca="false">E210*I210</f>
        <v>1</v>
      </c>
      <c r="K210" s="4"/>
      <c r="L210" s="32"/>
      <c r="M210" s="32"/>
      <c r="N210" s="32"/>
      <c r="O210" s="32"/>
      <c r="P210" s="4"/>
      <c r="Q210" s="32"/>
      <c r="R210" s="32" t="n">
        <f aca="false">$J210</f>
        <v>1</v>
      </c>
      <c r="S210" s="32" t="n">
        <f aca="false">$J210</f>
        <v>1</v>
      </c>
      <c r="T210" s="32" t="n">
        <f aca="false">$J210</f>
        <v>1</v>
      </c>
      <c r="U210" s="32" t="n">
        <f aca="false">$J210</f>
        <v>1</v>
      </c>
      <c r="V210" s="32" t="n">
        <f aca="false">$J210</f>
        <v>1</v>
      </c>
      <c r="W210" s="32" t="n">
        <f aca="false">$J210</f>
        <v>1</v>
      </c>
      <c r="X210" s="32" t="n">
        <f aca="false">$J210</f>
        <v>1</v>
      </c>
      <c r="Y210" s="32" t="n">
        <f aca="false">$J210</f>
        <v>1</v>
      </c>
      <c r="Z210" s="32" t="n">
        <f aca="false">$J210</f>
        <v>1</v>
      </c>
      <c r="AA210" s="32" t="n">
        <f aca="false">$J210</f>
        <v>1</v>
      </c>
      <c r="AB210" s="5" t="s">
        <v>493</v>
      </c>
    </row>
    <row r="211" customFormat="false" ht="15" hidden="false" customHeight="false" outlineLevel="0" collapsed="false">
      <c r="A211" s="4" t="s">
        <v>270</v>
      </c>
      <c r="B211" s="4" t="s">
        <v>1010</v>
      </c>
      <c r="C211" s="4" t="s">
        <v>1011</v>
      </c>
      <c r="D211" s="5" t="s">
        <v>609</v>
      </c>
      <c r="E211" s="32" t="n">
        <v>1</v>
      </c>
      <c r="F211" s="4" t="s">
        <v>82</v>
      </c>
      <c r="G211" s="5" t="s">
        <v>509</v>
      </c>
      <c r="H211" s="4" t="s">
        <v>710</v>
      </c>
      <c r="I211" s="32" t="n">
        <v>1</v>
      </c>
      <c r="J211" s="32" t="n">
        <f aca="false">E211*I211</f>
        <v>1</v>
      </c>
      <c r="K211" s="4"/>
      <c r="L211" s="32"/>
      <c r="M211" s="32"/>
      <c r="N211" s="32"/>
      <c r="O211" s="32"/>
      <c r="P211" s="4"/>
      <c r="Q211" s="32"/>
      <c r="R211" s="32" t="n">
        <f aca="false">$J211</f>
        <v>1</v>
      </c>
      <c r="S211" s="32" t="n">
        <f aca="false">$J211</f>
        <v>1</v>
      </c>
      <c r="T211" s="32" t="n">
        <f aca="false">$J211</f>
        <v>1</v>
      </c>
      <c r="U211" s="32" t="n">
        <f aca="false">$J211</f>
        <v>1</v>
      </c>
      <c r="V211" s="32" t="n">
        <f aca="false">$J211</f>
        <v>1</v>
      </c>
      <c r="W211" s="32" t="n">
        <f aca="false">$J211</f>
        <v>1</v>
      </c>
      <c r="X211" s="32" t="n">
        <f aca="false">$J211</f>
        <v>1</v>
      </c>
      <c r="Y211" s="32" t="n">
        <f aca="false">$J211</f>
        <v>1</v>
      </c>
      <c r="Z211" s="32" t="n">
        <f aca="false">$J211</f>
        <v>1</v>
      </c>
      <c r="AA211" s="32" t="n">
        <f aca="false">$J211</f>
        <v>1</v>
      </c>
      <c r="AB211" s="5"/>
    </row>
    <row r="212" customFormat="false" ht="15" hidden="false" customHeight="false" outlineLevel="0" collapsed="false">
      <c r="A212" s="4" t="s">
        <v>270</v>
      </c>
      <c r="B212" s="4" t="s">
        <v>1012</v>
      </c>
      <c r="C212" s="4" t="s">
        <v>1013</v>
      </c>
      <c r="D212" s="5" t="s">
        <v>613</v>
      </c>
      <c r="E212" s="32" t="n">
        <v>1</v>
      </c>
      <c r="F212" s="4" t="s">
        <v>82</v>
      </c>
      <c r="G212" s="5" t="s">
        <v>509</v>
      </c>
      <c r="H212" s="4" t="s">
        <v>614</v>
      </c>
      <c r="I212" s="32" t="n">
        <v>1</v>
      </c>
      <c r="J212" s="32" t="n">
        <f aca="false">E212*I212</f>
        <v>1</v>
      </c>
      <c r="K212" s="4"/>
      <c r="L212" s="32"/>
      <c r="M212" s="32"/>
      <c r="N212" s="32"/>
      <c r="O212" s="32"/>
      <c r="P212" s="4"/>
      <c r="Q212" s="32"/>
      <c r="R212" s="32" t="n">
        <f aca="false">$J212</f>
        <v>1</v>
      </c>
      <c r="S212" s="32" t="n">
        <f aca="false">$J212</f>
        <v>1</v>
      </c>
      <c r="T212" s="32" t="n">
        <f aca="false">$J212</f>
        <v>1</v>
      </c>
      <c r="U212" s="32" t="n">
        <f aca="false">$J212</f>
        <v>1</v>
      </c>
      <c r="V212" s="32" t="n">
        <f aca="false">$J212</f>
        <v>1</v>
      </c>
      <c r="W212" s="32" t="n">
        <f aca="false">$J212</f>
        <v>1</v>
      </c>
      <c r="X212" s="32" t="n">
        <f aca="false">$J212</f>
        <v>1</v>
      </c>
      <c r="Y212" s="32" t="n">
        <f aca="false">$J212</f>
        <v>1</v>
      </c>
      <c r="Z212" s="32" t="n">
        <f aca="false">$J212</f>
        <v>1</v>
      </c>
      <c r="AA212" s="32" t="n">
        <f aca="false">$J212</f>
        <v>1</v>
      </c>
      <c r="AB212" s="5"/>
    </row>
    <row r="213" customFormat="false" ht="15" hidden="false" customHeight="false" outlineLevel="0" collapsed="false">
      <c r="A213" s="4" t="s">
        <v>249</v>
      </c>
      <c r="B213" s="4" t="s">
        <v>1014</v>
      </c>
      <c r="C213" s="4" t="s">
        <v>1015</v>
      </c>
      <c r="D213" s="5" t="s">
        <v>490</v>
      </c>
      <c r="E213" s="32" t="n">
        <v>1</v>
      </c>
      <c r="F213" s="4" t="s">
        <v>82</v>
      </c>
      <c r="G213" s="5" t="s">
        <v>491</v>
      </c>
      <c r="H213" s="4" t="s">
        <v>883</v>
      </c>
      <c r="I213" s="32" t="n">
        <f aca="false">FAB_COMPRA!K24</f>
        <v>0.166666666666667</v>
      </c>
      <c r="J213" s="32" t="n">
        <f aca="false">E213*I213</f>
        <v>0.166666666666667</v>
      </c>
      <c r="K213" s="4"/>
      <c r="L213" s="32"/>
      <c r="M213" s="32"/>
      <c r="N213" s="32"/>
      <c r="O213" s="32"/>
      <c r="P213" s="4"/>
      <c r="Q213" s="32"/>
      <c r="R213" s="32" t="n">
        <f aca="false">$J213</f>
        <v>0.166666666666667</v>
      </c>
      <c r="S213" s="32" t="n">
        <f aca="false">$J213</f>
        <v>0.166666666666667</v>
      </c>
      <c r="T213" s="32" t="n">
        <f aca="false">$J213</f>
        <v>0.166666666666667</v>
      </c>
      <c r="U213" s="32" t="n">
        <f aca="false">$J213</f>
        <v>0.166666666666667</v>
      </c>
      <c r="V213" s="32" t="n">
        <f aca="false">$J213</f>
        <v>0.166666666666667</v>
      </c>
      <c r="W213" s="32" t="n">
        <f aca="false">$J213</f>
        <v>0.166666666666667</v>
      </c>
      <c r="X213" s="32" t="n">
        <f aca="false">$J213</f>
        <v>0.166666666666667</v>
      </c>
      <c r="Y213" s="32" t="n">
        <f aca="false">$J213</f>
        <v>0.166666666666667</v>
      </c>
      <c r="Z213" s="32" t="n">
        <f aca="false">$J213</f>
        <v>0.166666666666667</v>
      </c>
      <c r="AA213" s="32" t="n">
        <f aca="false">$J213</f>
        <v>0.166666666666667</v>
      </c>
      <c r="AB213" s="5" t="s">
        <v>493</v>
      </c>
    </row>
    <row r="214" customFormat="false" ht="15" hidden="false" customHeight="false" outlineLevel="0" collapsed="false">
      <c r="A214" s="4" t="s">
        <v>249</v>
      </c>
      <c r="B214" s="4" t="s">
        <v>1016</v>
      </c>
      <c r="C214" s="4" t="s">
        <v>1017</v>
      </c>
      <c r="D214" s="5" t="s">
        <v>496</v>
      </c>
      <c r="E214" s="32" t="n">
        <v>1</v>
      </c>
      <c r="F214" s="4" t="s">
        <v>82</v>
      </c>
      <c r="G214" s="5" t="s">
        <v>491</v>
      </c>
      <c r="H214" s="4" t="s">
        <v>1018</v>
      </c>
      <c r="I214" s="32" t="n">
        <f aca="false">FAB_COMPRA!K25</f>
        <v>1</v>
      </c>
      <c r="J214" s="32" t="n">
        <f aca="false">E214*I214</f>
        <v>1</v>
      </c>
      <c r="K214" s="4"/>
      <c r="L214" s="32"/>
      <c r="M214" s="32"/>
      <c r="N214" s="32"/>
      <c r="O214" s="32"/>
      <c r="P214" s="4"/>
      <c r="Q214" s="32"/>
      <c r="R214" s="32" t="n">
        <f aca="false">$J214</f>
        <v>1</v>
      </c>
      <c r="S214" s="32" t="n">
        <f aca="false">$J214</f>
        <v>1</v>
      </c>
      <c r="T214" s="32" t="n">
        <f aca="false">$J214</f>
        <v>1</v>
      </c>
      <c r="U214" s="32" t="n">
        <f aca="false">$J214</f>
        <v>1</v>
      </c>
      <c r="V214" s="32" t="n">
        <f aca="false">$J214</f>
        <v>1</v>
      </c>
      <c r="W214" s="32" t="n">
        <f aca="false">$J214</f>
        <v>1</v>
      </c>
      <c r="X214" s="32" t="n">
        <f aca="false">$J214</f>
        <v>1</v>
      </c>
      <c r="Y214" s="32" t="n">
        <f aca="false">$J214</f>
        <v>1</v>
      </c>
      <c r="Z214" s="32" t="n">
        <f aca="false">$J214</f>
        <v>1</v>
      </c>
      <c r="AA214" s="32" t="n">
        <f aca="false">$J214</f>
        <v>1</v>
      </c>
      <c r="AB214" s="5" t="s">
        <v>493</v>
      </c>
    </row>
    <row r="215" customFormat="false" ht="15" hidden="false" customHeight="false" outlineLevel="0" collapsed="false">
      <c r="A215" s="4" t="s">
        <v>249</v>
      </c>
      <c r="B215" s="4" t="s">
        <v>1019</v>
      </c>
      <c r="C215" s="4" t="s">
        <v>1020</v>
      </c>
      <c r="D215" s="5" t="s">
        <v>500</v>
      </c>
      <c r="E215" s="32" t="n">
        <v>1</v>
      </c>
      <c r="F215" s="4" t="s">
        <v>82</v>
      </c>
      <c r="G215" s="5" t="s">
        <v>491</v>
      </c>
      <c r="H215" s="4" t="s">
        <v>1018</v>
      </c>
      <c r="I215" s="32" t="n">
        <f aca="false">FAB_COMPRA!K26</f>
        <v>1</v>
      </c>
      <c r="J215" s="32" t="n">
        <f aca="false">E215*I215</f>
        <v>1</v>
      </c>
      <c r="K215" s="4"/>
      <c r="L215" s="32"/>
      <c r="M215" s="32"/>
      <c r="N215" s="32"/>
      <c r="O215" s="32"/>
      <c r="P215" s="4"/>
      <c r="Q215" s="32"/>
      <c r="R215" s="32" t="n">
        <f aca="false">$J215</f>
        <v>1</v>
      </c>
      <c r="S215" s="32" t="n">
        <f aca="false">$J215</f>
        <v>1</v>
      </c>
      <c r="T215" s="32" t="n">
        <f aca="false">$J215</f>
        <v>1</v>
      </c>
      <c r="U215" s="32" t="n">
        <f aca="false">$J215</f>
        <v>1</v>
      </c>
      <c r="V215" s="32" t="n">
        <f aca="false">$J215</f>
        <v>1</v>
      </c>
      <c r="W215" s="32" t="n">
        <f aca="false">$J215</f>
        <v>1</v>
      </c>
      <c r="X215" s="32" t="n">
        <f aca="false">$J215</f>
        <v>1</v>
      </c>
      <c r="Y215" s="32" t="n">
        <f aca="false">$J215</f>
        <v>1</v>
      </c>
      <c r="Z215" s="32" t="n">
        <f aca="false">$J215</f>
        <v>1</v>
      </c>
      <c r="AA215" s="32" t="n">
        <f aca="false">$J215</f>
        <v>1</v>
      </c>
      <c r="AB215" s="5" t="s">
        <v>493</v>
      </c>
    </row>
    <row r="216" customFormat="false" ht="15" hidden="false" customHeight="false" outlineLevel="0" collapsed="false">
      <c r="A216" s="4" t="s">
        <v>249</v>
      </c>
      <c r="B216" s="4" t="s">
        <v>1021</v>
      </c>
      <c r="C216" s="4" t="s">
        <v>1022</v>
      </c>
      <c r="D216" s="5" t="s">
        <v>504</v>
      </c>
      <c r="E216" s="32" t="n">
        <v>1</v>
      </c>
      <c r="F216" s="4" t="s">
        <v>82</v>
      </c>
      <c r="G216" s="5" t="s">
        <v>491</v>
      </c>
      <c r="H216" s="4" t="s">
        <v>891</v>
      </c>
      <c r="I216" s="32" t="n">
        <f aca="false">FAB_COMPRA!K27</f>
        <v>1</v>
      </c>
      <c r="J216" s="32" t="n">
        <f aca="false">E216*I216</f>
        <v>1</v>
      </c>
      <c r="K216" s="4"/>
      <c r="L216" s="32"/>
      <c r="M216" s="32"/>
      <c r="N216" s="32"/>
      <c r="O216" s="32"/>
      <c r="P216" s="4"/>
      <c r="Q216" s="32"/>
      <c r="R216" s="32" t="n">
        <f aca="false">$J216</f>
        <v>1</v>
      </c>
      <c r="S216" s="32" t="n">
        <f aca="false">$J216</f>
        <v>1</v>
      </c>
      <c r="T216" s="32" t="n">
        <f aca="false">$J216</f>
        <v>1</v>
      </c>
      <c r="U216" s="32" t="n">
        <f aca="false">$J216</f>
        <v>1</v>
      </c>
      <c r="V216" s="32" t="n">
        <f aca="false">$J216</f>
        <v>1</v>
      </c>
      <c r="W216" s="32" t="n">
        <f aca="false">$J216</f>
        <v>1</v>
      </c>
      <c r="X216" s="32" t="n">
        <f aca="false">$J216</f>
        <v>1</v>
      </c>
      <c r="Y216" s="32" t="n">
        <f aca="false">$J216</f>
        <v>1</v>
      </c>
      <c r="Z216" s="32" t="n">
        <f aca="false">$J216</f>
        <v>1</v>
      </c>
      <c r="AA216" s="32" t="n">
        <f aca="false">$J216</f>
        <v>1</v>
      </c>
      <c r="AB216" s="5" t="s">
        <v>493</v>
      </c>
    </row>
    <row r="217" customFormat="false" ht="15" hidden="false" customHeight="false" outlineLevel="0" collapsed="false">
      <c r="A217" s="4" t="s">
        <v>249</v>
      </c>
      <c r="B217" s="4" t="s">
        <v>1023</v>
      </c>
      <c r="C217" s="4" t="s">
        <v>1024</v>
      </c>
      <c r="D217" s="5" t="s">
        <v>508</v>
      </c>
      <c r="E217" s="32" t="n">
        <v>1</v>
      </c>
      <c r="F217" s="4" t="s">
        <v>82</v>
      </c>
      <c r="G217" s="5" t="s">
        <v>509</v>
      </c>
      <c r="H217" s="4" t="s">
        <v>510</v>
      </c>
      <c r="I217" s="32" t="n">
        <v>1</v>
      </c>
      <c r="J217" s="32" t="n">
        <f aca="false">E217*I217</f>
        <v>1</v>
      </c>
      <c r="K217" s="4"/>
      <c r="L217" s="32"/>
      <c r="M217" s="32"/>
      <c r="N217" s="32"/>
      <c r="O217" s="32"/>
      <c r="P217" s="4"/>
      <c r="Q217" s="32"/>
      <c r="R217" s="32" t="n">
        <f aca="false">$J217</f>
        <v>1</v>
      </c>
      <c r="S217" s="32" t="n">
        <f aca="false">$J217</f>
        <v>1</v>
      </c>
      <c r="T217" s="32" t="n">
        <f aca="false">$J217</f>
        <v>1</v>
      </c>
      <c r="U217" s="32" t="n">
        <f aca="false">$J217</f>
        <v>1</v>
      </c>
      <c r="V217" s="32" t="n">
        <f aca="false">$J217</f>
        <v>1</v>
      </c>
      <c r="W217" s="32" t="n">
        <f aca="false">$J217</f>
        <v>1</v>
      </c>
      <c r="X217" s="32" t="n">
        <f aca="false">$J217</f>
        <v>1</v>
      </c>
      <c r="Y217" s="32" t="n">
        <f aca="false">$J217</f>
        <v>1</v>
      </c>
      <c r="Z217" s="32" t="n">
        <f aca="false">$J217</f>
        <v>1</v>
      </c>
      <c r="AA217" s="32" t="n">
        <f aca="false">$J217</f>
        <v>1</v>
      </c>
      <c r="AB217" s="5"/>
    </row>
    <row r="218" customFormat="false" ht="15" hidden="false" customHeight="false" outlineLevel="0" collapsed="false">
      <c r="A218" s="4" t="s">
        <v>249</v>
      </c>
      <c r="B218" s="4" t="s">
        <v>1025</v>
      </c>
      <c r="C218" s="4" t="s">
        <v>1026</v>
      </c>
      <c r="D218" s="5" t="s">
        <v>513</v>
      </c>
      <c r="E218" s="32" t="n">
        <v>1</v>
      </c>
      <c r="F218" s="4" t="s">
        <v>82</v>
      </c>
      <c r="G218" s="5" t="s">
        <v>509</v>
      </c>
      <c r="H218" s="4" t="s">
        <v>630</v>
      </c>
      <c r="I218" s="32" t="n">
        <v>1</v>
      </c>
      <c r="J218" s="32" t="n">
        <f aca="false">E218*I218</f>
        <v>1</v>
      </c>
      <c r="K218" s="4"/>
      <c r="L218" s="32"/>
      <c r="M218" s="32"/>
      <c r="N218" s="32"/>
      <c r="O218" s="32"/>
      <c r="P218" s="4"/>
      <c r="Q218" s="32"/>
      <c r="R218" s="32" t="n">
        <f aca="false">$J218</f>
        <v>1</v>
      </c>
      <c r="S218" s="32" t="n">
        <f aca="false">$J218</f>
        <v>1</v>
      </c>
      <c r="T218" s="32" t="n">
        <f aca="false">$J218</f>
        <v>1</v>
      </c>
      <c r="U218" s="32" t="n">
        <f aca="false">$J218</f>
        <v>1</v>
      </c>
      <c r="V218" s="32" t="n">
        <f aca="false">$J218</f>
        <v>1</v>
      </c>
      <c r="W218" s="32" t="n">
        <f aca="false">$J218</f>
        <v>1</v>
      </c>
      <c r="X218" s="32" t="n">
        <f aca="false">$J218</f>
        <v>1</v>
      </c>
      <c r="Y218" s="32" t="n">
        <f aca="false">$J218</f>
        <v>1</v>
      </c>
      <c r="Z218" s="32" t="n">
        <f aca="false">$J218</f>
        <v>1</v>
      </c>
      <c r="AA218" s="32" t="n">
        <f aca="false">$J218</f>
        <v>1</v>
      </c>
      <c r="AB218" s="5"/>
    </row>
    <row r="219" customFormat="false" ht="15" hidden="false" customHeight="false" outlineLevel="0" collapsed="false">
      <c r="A219" s="4" t="s">
        <v>249</v>
      </c>
      <c r="B219" s="4" t="s">
        <v>1027</v>
      </c>
      <c r="C219" s="4" t="s">
        <v>1028</v>
      </c>
      <c r="D219" s="5" t="s">
        <v>1029</v>
      </c>
      <c r="E219" s="32" t="n">
        <v>1</v>
      </c>
      <c r="F219" s="4" t="s">
        <v>82</v>
      </c>
      <c r="G219" s="5" t="s">
        <v>518</v>
      </c>
      <c r="H219" s="4" t="s">
        <v>1030</v>
      </c>
      <c r="I219" s="32" t="n">
        <v>1</v>
      </c>
      <c r="J219" s="32" t="n">
        <f aca="false">E219*I219</f>
        <v>1</v>
      </c>
      <c r="K219" s="4"/>
      <c r="L219" s="32"/>
      <c r="M219" s="32"/>
      <c r="N219" s="32"/>
      <c r="O219" s="32"/>
      <c r="P219" s="4"/>
      <c r="Q219" s="32"/>
      <c r="R219" s="32" t="n">
        <f aca="false">$J219</f>
        <v>1</v>
      </c>
      <c r="S219" s="32" t="n">
        <f aca="false">$J219</f>
        <v>1</v>
      </c>
      <c r="T219" s="32" t="n">
        <f aca="false">$J219</f>
        <v>1</v>
      </c>
      <c r="U219" s="32" t="n">
        <f aca="false">$J219</f>
        <v>1</v>
      </c>
      <c r="V219" s="32" t="n">
        <f aca="false">$J219</f>
        <v>1</v>
      </c>
      <c r="W219" s="32" t="n">
        <f aca="false">$J219</f>
        <v>1</v>
      </c>
      <c r="X219" s="32" t="n">
        <f aca="false">$J219</f>
        <v>1</v>
      </c>
      <c r="Y219" s="32" t="n">
        <f aca="false">$J219</f>
        <v>1</v>
      </c>
      <c r="Z219" s="32" t="n">
        <f aca="false">$J219</f>
        <v>1</v>
      </c>
      <c r="AA219" s="32" t="n">
        <f aca="false">$J219</f>
        <v>1</v>
      </c>
      <c r="AB219" s="5"/>
    </row>
    <row r="220" customFormat="false" ht="15" hidden="false" customHeight="false" outlineLevel="0" collapsed="false">
      <c r="A220" s="4" t="s">
        <v>249</v>
      </c>
      <c r="B220" s="4" t="s">
        <v>1031</v>
      </c>
      <c r="C220" s="4" t="s">
        <v>1032</v>
      </c>
      <c r="D220" s="5" t="s">
        <v>522</v>
      </c>
      <c r="E220" s="32" t="n">
        <v>1</v>
      </c>
      <c r="F220" s="4" t="s">
        <v>82</v>
      </c>
      <c r="G220" s="5" t="s">
        <v>523</v>
      </c>
      <c r="H220" s="4"/>
      <c r="I220" s="32"/>
      <c r="J220" s="32" t="n">
        <f aca="false">E220*I220</f>
        <v>0</v>
      </c>
      <c r="K220" s="4"/>
      <c r="L220" s="32"/>
      <c r="M220" s="32"/>
      <c r="N220" s="32"/>
      <c r="O220" s="32"/>
      <c r="P220" s="4"/>
      <c r="Q220" s="32"/>
      <c r="R220" s="32" t="n">
        <f aca="false">$J220</f>
        <v>0</v>
      </c>
      <c r="S220" s="32" t="n">
        <f aca="false">$J220</f>
        <v>0</v>
      </c>
      <c r="T220" s="32" t="n">
        <f aca="false">$J220</f>
        <v>0</v>
      </c>
      <c r="U220" s="32" t="n">
        <f aca="false">$J220</f>
        <v>0</v>
      </c>
      <c r="V220" s="32" t="n">
        <f aca="false">$J220</f>
        <v>0</v>
      </c>
      <c r="W220" s="32" t="n">
        <f aca="false">$J220</f>
        <v>0</v>
      </c>
      <c r="X220" s="32" t="n">
        <f aca="false">$J220</f>
        <v>0</v>
      </c>
      <c r="Y220" s="32" t="n">
        <f aca="false">$J220</f>
        <v>0</v>
      </c>
      <c r="Z220" s="32" t="n">
        <f aca="false">$J220</f>
        <v>0</v>
      </c>
      <c r="AA220" s="32" t="n">
        <f aca="false">$J220</f>
        <v>0</v>
      </c>
      <c r="AB220" s="5"/>
    </row>
    <row r="221" customFormat="false" ht="15" hidden="false" customHeight="false" outlineLevel="0" collapsed="false">
      <c r="A221" s="4" t="s">
        <v>249</v>
      </c>
      <c r="B221" s="4" t="s">
        <v>1033</v>
      </c>
      <c r="C221" s="4" t="s">
        <v>1034</v>
      </c>
      <c r="D221" s="5" t="s">
        <v>526</v>
      </c>
      <c r="E221" s="32" t="n">
        <v>1</v>
      </c>
      <c r="F221" s="4" t="s">
        <v>82</v>
      </c>
      <c r="G221" s="5" t="s">
        <v>523</v>
      </c>
      <c r="H221" s="4"/>
      <c r="I221" s="32"/>
      <c r="J221" s="32" t="n">
        <f aca="false">E221*I221</f>
        <v>0</v>
      </c>
      <c r="K221" s="4"/>
      <c r="L221" s="32"/>
      <c r="M221" s="32"/>
      <c r="N221" s="32"/>
      <c r="O221" s="32"/>
      <c r="P221" s="4"/>
      <c r="Q221" s="32"/>
      <c r="R221" s="32" t="n">
        <f aca="false">$J221</f>
        <v>0</v>
      </c>
      <c r="S221" s="32" t="n">
        <f aca="false">$J221</f>
        <v>0</v>
      </c>
      <c r="T221" s="32" t="n">
        <f aca="false">$J221</f>
        <v>0</v>
      </c>
      <c r="U221" s="32" t="n">
        <f aca="false">$J221</f>
        <v>0</v>
      </c>
      <c r="V221" s="32" t="n">
        <f aca="false">$J221</f>
        <v>0</v>
      </c>
      <c r="W221" s="32" t="n">
        <f aca="false">$J221</f>
        <v>0</v>
      </c>
      <c r="X221" s="32" t="n">
        <f aca="false">$J221</f>
        <v>0</v>
      </c>
      <c r="Y221" s="32" t="n">
        <f aca="false">$J221</f>
        <v>0</v>
      </c>
      <c r="Z221" s="32" t="n">
        <f aca="false">$J221</f>
        <v>0</v>
      </c>
      <c r="AA221" s="32" t="n">
        <f aca="false">$J221</f>
        <v>0</v>
      </c>
      <c r="AB221" s="5"/>
    </row>
    <row r="222" customFormat="false" ht="15" hidden="false" customHeight="false" outlineLevel="0" collapsed="false">
      <c r="A222" s="4" t="s">
        <v>249</v>
      </c>
      <c r="B222" s="4" t="s">
        <v>1035</v>
      </c>
      <c r="C222" s="4" t="s">
        <v>1036</v>
      </c>
      <c r="D222" s="5" t="s">
        <v>529</v>
      </c>
      <c r="E222" s="32" t="n">
        <v>1</v>
      </c>
      <c r="F222" s="4" t="s">
        <v>82</v>
      </c>
      <c r="G222" s="5" t="s">
        <v>523</v>
      </c>
      <c r="H222" s="4"/>
      <c r="I222" s="32"/>
      <c r="J222" s="32" t="n">
        <f aca="false">E222*I222</f>
        <v>0</v>
      </c>
      <c r="K222" s="4"/>
      <c r="L222" s="32"/>
      <c r="M222" s="32"/>
      <c r="N222" s="32"/>
      <c r="O222" s="32"/>
      <c r="P222" s="4"/>
      <c r="Q222" s="32"/>
      <c r="R222" s="32" t="n">
        <f aca="false">$J222</f>
        <v>0</v>
      </c>
      <c r="S222" s="32" t="n">
        <f aca="false">$J222</f>
        <v>0</v>
      </c>
      <c r="T222" s="32" t="n">
        <f aca="false">$J222</f>
        <v>0</v>
      </c>
      <c r="U222" s="32" t="n">
        <f aca="false">$J222</f>
        <v>0</v>
      </c>
      <c r="V222" s="32" t="n">
        <f aca="false">$J222</f>
        <v>0</v>
      </c>
      <c r="W222" s="32" t="n">
        <f aca="false">$J222</f>
        <v>0</v>
      </c>
      <c r="X222" s="32" t="n">
        <f aca="false">$J222</f>
        <v>0</v>
      </c>
      <c r="Y222" s="32" t="n">
        <f aca="false">$J222</f>
        <v>0</v>
      </c>
      <c r="Z222" s="32" t="n">
        <f aca="false">$J222</f>
        <v>0</v>
      </c>
      <c r="AA222" s="32" t="n">
        <f aca="false">$J222</f>
        <v>0</v>
      </c>
      <c r="AB222" s="5"/>
    </row>
    <row r="223" customFormat="false" ht="15" hidden="false" customHeight="false" outlineLevel="0" collapsed="false">
      <c r="A223" s="4" t="s">
        <v>249</v>
      </c>
      <c r="B223" s="4" t="s">
        <v>1037</v>
      </c>
      <c r="C223" s="4" t="s">
        <v>1038</v>
      </c>
      <c r="D223" s="5" t="s">
        <v>532</v>
      </c>
      <c r="E223" s="32" t="n">
        <v>1</v>
      </c>
      <c r="F223" s="4" t="s">
        <v>82</v>
      </c>
      <c r="G223" s="5" t="s">
        <v>523</v>
      </c>
      <c r="H223" s="4"/>
      <c r="I223" s="32"/>
      <c r="J223" s="32" t="n">
        <f aca="false">E223*I223</f>
        <v>0</v>
      </c>
      <c r="K223" s="4"/>
      <c r="L223" s="32"/>
      <c r="M223" s="32"/>
      <c r="N223" s="32"/>
      <c r="O223" s="32"/>
      <c r="P223" s="4"/>
      <c r="Q223" s="32"/>
      <c r="R223" s="32" t="n">
        <f aca="false">$J223</f>
        <v>0</v>
      </c>
      <c r="S223" s="32" t="n">
        <f aca="false">$J223</f>
        <v>0</v>
      </c>
      <c r="T223" s="32" t="n">
        <f aca="false">$J223</f>
        <v>0</v>
      </c>
      <c r="U223" s="32" t="n">
        <f aca="false">$J223</f>
        <v>0</v>
      </c>
      <c r="V223" s="32" t="n">
        <f aca="false">$J223</f>
        <v>0</v>
      </c>
      <c r="W223" s="32" t="n">
        <f aca="false">$J223</f>
        <v>0</v>
      </c>
      <c r="X223" s="32" t="n">
        <f aca="false">$J223</f>
        <v>0</v>
      </c>
      <c r="Y223" s="32" t="n">
        <f aca="false">$J223</f>
        <v>0</v>
      </c>
      <c r="Z223" s="32" t="n">
        <f aca="false">$J223</f>
        <v>0</v>
      </c>
      <c r="AA223" s="32" t="n">
        <f aca="false">$J223</f>
        <v>0</v>
      </c>
      <c r="AB223" s="5"/>
    </row>
    <row r="224" customFormat="false" ht="15" hidden="false" customHeight="false" outlineLevel="0" collapsed="false">
      <c r="A224" s="4" t="s">
        <v>249</v>
      </c>
      <c r="B224" s="4" t="s">
        <v>1039</v>
      </c>
      <c r="C224" s="4" t="s">
        <v>1040</v>
      </c>
      <c r="D224" s="5" t="s">
        <v>535</v>
      </c>
      <c r="E224" s="32" t="n">
        <v>1</v>
      </c>
      <c r="F224" s="4" t="s">
        <v>82</v>
      </c>
      <c r="G224" s="5" t="s">
        <v>523</v>
      </c>
      <c r="H224" s="4"/>
      <c r="I224" s="32"/>
      <c r="J224" s="32" t="n">
        <f aca="false">E224*I224</f>
        <v>0</v>
      </c>
      <c r="K224" s="4"/>
      <c r="L224" s="32"/>
      <c r="M224" s="32"/>
      <c r="N224" s="32"/>
      <c r="O224" s="32"/>
      <c r="P224" s="4"/>
      <c r="Q224" s="32"/>
      <c r="R224" s="32" t="n">
        <f aca="false">$J224</f>
        <v>0</v>
      </c>
      <c r="S224" s="32" t="n">
        <f aca="false">$J224</f>
        <v>0</v>
      </c>
      <c r="T224" s="32" t="n">
        <f aca="false">$J224</f>
        <v>0</v>
      </c>
      <c r="U224" s="32" t="n">
        <f aca="false">$J224</f>
        <v>0</v>
      </c>
      <c r="V224" s="32" t="n">
        <f aca="false">$J224</f>
        <v>0</v>
      </c>
      <c r="W224" s="32" t="n">
        <f aca="false">$J224</f>
        <v>0</v>
      </c>
      <c r="X224" s="32" t="n">
        <f aca="false">$J224</f>
        <v>0</v>
      </c>
      <c r="Y224" s="32" t="n">
        <f aca="false">$J224</f>
        <v>0</v>
      </c>
      <c r="Z224" s="32" t="n">
        <f aca="false">$J224</f>
        <v>0</v>
      </c>
      <c r="AA224" s="32" t="n">
        <f aca="false">$J224</f>
        <v>0</v>
      </c>
      <c r="AB224" s="5"/>
    </row>
    <row r="225" customFormat="false" ht="15" hidden="false" customHeight="false" outlineLevel="0" collapsed="false">
      <c r="A225" s="4" t="s">
        <v>249</v>
      </c>
      <c r="B225" s="4" t="s">
        <v>1041</v>
      </c>
      <c r="C225" s="4" t="s">
        <v>1042</v>
      </c>
      <c r="D225" s="5" t="s">
        <v>1043</v>
      </c>
      <c r="E225" s="32" t="n">
        <v>1</v>
      </c>
      <c r="F225" s="4" t="s">
        <v>82</v>
      </c>
      <c r="G225" s="5" t="s">
        <v>523</v>
      </c>
      <c r="H225" s="4"/>
      <c r="I225" s="32"/>
      <c r="J225" s="32" t="n">
        <f aca="false">E225*I225</f>
        <v>0</v>
      </c>
      <c r="K225" s="4"/>
      <c r="L225" s="32"/>
      <c r="M225" s="32"/>
      <c r="N225" s="32"/>
      <c r="O225" s="32"/>
      <c r="P225" s="4"/>
      <c r="Q225" s="32"/>
      <c r="R225" s="32" t="n">
        <f aca="false">$J225</f>
        <v>0</v>
      </c>
      <c r="S225" s="32" t="n">
        <f aca="false">$J225</f>
        <v>0</v>
      </c>
      <c r="T225" s="32" t="n">
        <f aca="false">$J225</f>
        <v>0</v>
      </c>
      <c r="U225" s="32" t="n">
        <f aca="false">$J225</f>
        <v>0</v>
      </c>
      <c r="V225" s="32" t="n">
        <f aca="false">$J225</f>
        <v>0</v>
      </c>
      <c r="W225" s="32" t="n">
        <f aca="false">$J225</f>
        <v>0</v>
      </c>
      <c r="X225" s="32" t="n">
        <f aca="false">$J225</f>
        <v>0</v>
      </c>
      <c r="Y225" s="32" t="n">
        <f aca="false">$J225</f>
        <v>0</v>
      </c>
      <c r="Z225" s="32" t="n">
        <f aca="false">$J225</f>
        <v>0</v>
      </c>
      <c r="AA225" s="32" t="n">
        <f aca="false">$J225</f>
        <v>0</v>
      </c>
      <c r="AB225" s="5"/>
    </row>
    <row r="226" customFormat="false" ht="15" hidden="false" customHeight="false" outlineLevel="0" collapsed="false">
      <c r="A226" s="4" t="s">
        <v>249</v>
      </c>
      <c r="B226" s="4" t="s">
        <v>1044</v>
      </c>
      <c r="C226" s="4" t="s">
        <v>1045</v>
      </c>
      <c r="D226" s="5" t="s">
        <v>538</v>
      </c>
      <c r="E226" s="32" t="n">
        <v>1</v>
      </c>
      <c r="F226" s="4" t="s">
        <v>82</v>
      </c>
      <c r="G226" s="5" t="s">
        <v>523</v>
      </c>
      <c r="H226" s="4"/>
      <c r="I226" s="32"/>
      <c r="J226" s="32" t="n">
        <f aca="false">E226*I226</f>
        <v>0</v>
      </c>
      <c r="K226" s="4"/>
      <c r="L226" s="32"/>
      <c r="M226" s="32"/>
      <c r="N226" s="32"/>
      <c r="O226" s="32"/>
      <c r="P226" s="4"/>
      <c r="Q226" s="32"/>
      <c r="R226" s="32" t="n">
        <f aca="false">$J226</f>
        <v>0</v>
      </c>
      <c r="S226" s="32" t="n">
        <f aca="false">$J226</f>
        <v>0</v>
      </c>
      <c r="T226" s="32" t="n">
        <f aca="false">$J226</f>
        <v>0</v>
      </c>
      <c r="U226" s="32" t="n">
        <f aca="false">$J226</f>
        <v>0</v>
      </c>
      <c r="V226" s="32" t="n">
        <f aca="false">$J226</f>
        <v>0</v>
      </c>
      <c r="W226" s="32" t="n">
        <f aca="false">$J226</f>
        <v>0</v>
      </c>
      <c r="X226" s="32" t="n">
        <f aca="false">$J226</f>
        <v>0</v>
      </c>
      <c r="Y226" s="32" t="n">
        <f aca="false">$J226</f>
        <v>0</v>
      </c>
      <c r="Z226" s="32" t="n">
        <f aca="false">$J226</f>
        <v>0</v>
      </c>
      <c r="AA226" s="32" t="n">
        <f aca="false">$J226</f>
        <v>0</v>
      </c>
      <c r="AB226" s="5"/>
    </row>
    <row r="227" customFormat="false" ht="15" hidden="false" customHeight="false" outlineLevel="0" collapsed="false">
      <c r="A227" s="4" t="s">
        <v>249</v>
      </c>
      <c r="B227" s="4" t="s">
        <v>1046</v>
      </c>
      <c r="C227" s="4" t="s">
        <v>1047</v>
      </c>
      <c r="D227" s="5" t="s">
        <v>541</v>
      </c>
      <c r="E227" s="32" t="n">
        <v>1</v>
      </c>
      <c r="F227" s="4" t="s">
        <v>82</v>
      </c>
      <c r="G227" s="5" t="s">
        <v>523</v>
      </c>
      <c r="H227" s="4"/>
      <c r="I227" s="32"/>
      <c r="J227" s="32" t="n">
        <f aca="false">E227*I227</f>
        <v>0</v>
      </c>
      <c r="K227" s="4"/>
      <c r="L227" s="32"/>
      <c r="M227" s="32"/>
      <c r="N227" s="32"/>
      <c r="O227" s="32"/>
      <c r="P227" s="4"/>
      <c r="Q227" s="32"/>
      <c r="R227" s="32" t="n">
        <f aca="false">$J227</f>
        <v>0</v>
      </c>
      <c r="S227" s="32" t="n">
        <f aca="false">$J227</f>
        <v>0</v>
      </c>
      <c r="T227" s="32" t="n">
        <f aca="false">$J227</f>
        <v>0</v>
      </c>
      <c r="U227" s="32" t="n">
        <f aca="false">$J227</f>
        <v>0</v>
      </c>
      <c r="V227" s="32" t="n">
        <f aca="false">$J227</f>
        <v>0</v>
      </c>
      <c r="W227" s="32" t="n">
        <f aca="false">$J227</f>
        <v>0</v>
      </c>
      <c r="X227" s="32" t="n">
        <f aca="false">$J227</f>
        <v>0</v>
      </c>
      <c r="Y227" s="32" t="n">
        <f aca="false">$J227</f>
        <v>0</v>
      </c>
      <c r="Z227" s="32" t="n">
        <f aca="false">$J227</f>
        <v>0</v>
      </c>
      <c r="AA227" s="32" t="n">
        <f aca="false">$J227</f>
        <v>0</v>
      </c>
      <c r="AB227" s="5"/>
    </row>
    <row r="228" customFormat="false" ht="15" hidden="false" customHeight="false" outlineLevel="0" collapsed="false">
      <c r="A228" s="4" t="s">
        <v>249</v>
      </c>
      <c r="B228" s="4" t="s">
        <v>1048</v>
      </c>
      <c r="C228" s="4" t="s">
        <v>1049</v>
      </c>
      <c r="D228" s="5" t="s">
        <v>550</v>
      </c>
      <c r="E228" s="32" t="n">
        <v>1</v>
      </c>
      <c r="F228" s="4" t="s">
        <v>82</v>
      </c>
      <c r="G228" s="5" t="s">
        <v>523</v>
      </c>
      <c r="H228" s="4"/>
      <c r="I228" s="32"/>
      <c r="J228" s="32" t="n">
        <f aca="false">E228*I228</f>
        <v>0</v>
      </c>
      <c r="K228" s="4"/>
      <c r="L228" s="32"/>
      <c r="M228" s="32"/>
      <c r="N228" s="32"/>
      <c r="O228" s="32"/>
      <c r="P228" s="4"/>
      <c r="Q228" s="32"/>
      <c r="R228" s="32" t="n">
        <f aca="false">$J228</f>
        <v>0</v>
      </c>
      <c r="S228" s="32" t="n">
        <f aca="false">$J228</f>
        <v>0</v>
      </c>
      <c r="T228" s="32" t="n">
        <f aca="false">$J228</f>
        <v>0</v>
      </c>
      <c r="U228" s="32" t="n">
        <f aca="false">$J228</f>
        <v>0</v>
      </c>
      <c r="V228" s="32" t="n">
        <f aca="false">$J228</f>
        <v>0</v>
      </c>
      <c r="W228" s="32" t="n">
        <f aca="false">$J228</f>
        <v>0</v>
      </c>
      <c r="X228" s="32" t="n">
        <f aca="false">$J228</f>
        <v>0</v>
      </c>
      <c r="Y228" s="32" t="n">
        <f aca="false">$J228</f>
        <v>0</v>
      </c>
      <c r="Z228" s="32" t="n">
        <f aca="false">$J228</f>
        <v>0</v>
      </c>
      <c r="AA228" s="32" t="n">
        <f aca="false">$J228</f>
        <v>0</v>
      </c>
      <c r="AB228" s="5"/>
    </row>
    <row r="229" customFormat="false" ht="15" hidden="false" customHeight="false" outlineLevel="0" collapsed="false">
      <c r="A229" s="4" t="s">
        <v>249</v>
      </c>
      <c r="B229" s="4" t="s">
        <v>1050</v>
      </c>
      <c r="C229" s="4" t="s">
        <v>1051</v>
      </c>
      <c r="D229" s="5" t="s">
        <v>553</v>
      </c>
      <c r="E229" s="32" t="n">
        <v>1</v>
      </c>
      <c r="F229" s="4" t="s">
        <v>82</v>
      </c>
      <c r="G229" s="5" t="s">
        <v>523</v>
      </c>
      <c r="H229" s="4"/>
      <c r="I229" s="32"/>
      <c r="J229" s="32" t="n">
        <f aca="false">E229*I229</f>
        <v>0</v>
      </c>
      <c r="K229" s="4"/>
      <c r="L229" s="32"/>
      <c r="M229" s="32"/>
      <c r="N229" s="32"/>
      <c r="O229" s="32"/>
      <c r="P229" s="4"/>
      <c r="Q229" s="32"/>
      <c r="R229" s="32" t="n">
        <f aca="false">$J229</f>
        <v>0</v>
      </c>
      <c r="S229" s="32" t="n">
        <f aca="false">$J229</f>
        <v>0</v>
      </c>
      <c r="T229" s="32" t="n">
        <f aca="false">$J229</f>
        <v>0</v>
      </c>
      <c r="U229" s="32" t="n">
        <f aca="false">$J229</f>
        <v>0</v>
      </c>
      <c r="V229" s="32" t="n">
        <f aca="false">$J229</f>
        <v>0</v>
      </c>
      <c r="W229" s="32" t="n">
        <f aca="false">$J229</f>
        <v>0</v>
      </c>
      <c r="X229" s="32" t="n">
        <f aca="false">$J229</f>
        <v>0</v>
      </c>
      <c r="Y229" s="32" t="n">
        <f aca="false">$J229</f>
        <v>0</v>
      </c>
      <c r="Z229" s="32" t="n">
        <f aca="false">$J229</f>
        <v>0</v>
      </c>
      <c r="AA229" s="32" t="n">
        <f aca="false">$J229</f>
        <v>0</v>
      </c>
      <c r="AB229" s="5"/>
    </row>
    <row r="230" customFormat="false" ht="15" hidden="false" customHeight="false" outlineLevel="0" collapsed="false">
      <c r="A230" s="4" t="s">
        <v>249</v>
      </c>
      <c r="B230" s="4" t="s">
        <v>1052</v>
      </c>
      <c r="C230" s="4" t="s">
        <v>1053</v>
      </c>
      <c r="D230" s="5" t="s">
        <v>556</v>
      </c>
      <c r="E230" s="32" t="n">
        <v>1</v>
      </c>
      <c r="F230" s="4" t="s">
        <v>82</v>
      </c>
      <c r="G230" s="5" t="s">
        <v>523</v>
      </c>
      <c r="H230" s="4"/>
      <c r="I230" s="32"/>
      <c r="J230" s="32" t="n">
        <f aca="false">E230*I230</f>
        <v>0</v>
      </c>
      <c r="K230" s="4"/>
      <c r="L230" s="32"/>
      <c r="M230" s="32"/>
      <c r="N230" s="32"/>
      <c r="O230" s="32"/>
      <c r="P230" s="4"/>
      <c r="Q230" s="32"/>
      <c r="R230" s="32" t="n">
        <f aca="false">$J230</f>
        <v>0</v>
      </c>
      <c r="S230" s="32" t="n">
        <f aca="false">$J230</f>
        <v>0</v>
      </c>
      <c r="T230" s="32" t="n">
        <f aca="false">$J230</f>
        <v>0</v>
      </c>
      <c r="U230" s="32" t="n">
        <f aca="false">$J230</f>
        <v>0</v>
      </c>
      <c r="V230" s="32" t="n">
        <f aca="false">$J230</f>
        <v>0</v>
      </c>
      <c r="W230" s="32" t="n">
        <f aca="false">$J230</f>
        <v>0</v>
      </c>
      <c r="X230" s="32" t="n">
        <f aca="false">$J230</f>
        <v>0</v>
      </c>
      <c r="Y230" s="32" t="n">
        <f aca="false">$J230</f>
        <v>0</v>
      </c>
      <c r="Z230" s="32" t="n">
        <f aca="false">$J230</f>
        <v>0</v>
      </c>
      <c r="AA230" s="32" t="n">
        <f aca="false">$J230</f>
        <v>0</v>
      </c>
      <c r="AB230" s="5"/>
    </row>
    <row r="231" customFormat="false" ht="15" hidden="false" customHeight="false" outlineLevel="0" collapsed="false">
      <c r="A231" s="4" t="s">
        <v>249</v>
      </c>
      <c r="B231" s="4" t="s">
        <v>1054</v>
      </c>
      <c r="C231" s="4" t="s">
        <v>1055</v>
      </c>
      <c r="D231" s="5" t="s">
        <v>559</v>
      </c>
      <c r="E231" s="32" t="n">
        <v>1</v>
      </c>
      <c r="F231" s="4" t="s">
        <v>82</v>
      </c>
      <c r="G231" s="5" t="s">
        <v>518</v>
      </c>
      <c r="H231" s="4" t="s">
        <v>1056</v>
      </c>
      <c r="I231" s="32" t="n">
        <v>1</v>
      </c>
      <c r="J231" s="32" t="n">
        <f aca="false">E231*I231</f>
        <v>1</v>
      </c>
      <c r="K231" s="4"/>
      <c r="L231" s="32"/>
      <c r="M231" s="32"/>
      <c r="N231" s="32"/>
      <c r="O231" s="32"/>
      <c r="P231" s="4"/>
      <c r="Q231" s="32"/>
      <c r="R231" s="32" t="n">
        <f aca="false">$J231</f>
        <v>1</v>
      </c>
      <c r="S231" s="32" t="n">
        <f aca="false">$J231</f>
        <v>1</v>
      </c>
      <c r="T231" s="32" t="n">
        <f aca="false">$J231</f>
        <v>1</v>
      </c>
      <c r="U231" s="32" t="n">
        <f aca="false">$J231</f>
        <v>1</v>
      </c>
      <c r="V231" s="32" t="n">
        <f aca="false">$J231</f>
        <v>1</v>
      </c>
      <c r="W231" s="32" t="n">
        <f aca="false">$J231</f>
        <v>1</v>
      </c>
      <c r="X231" s="32" t="n">
        <f aca="false">$J231</f>
        <v>1</v>
      </c>
      <c r="Y231" s="32" t="n">
        <f aca="false">$J231</f>
        <v>1</v>
      </c>
      <c r="Z231" s="32" t="n">
        <f aca="false">$J231</f>
        <v>1</v>
      </c>
      <c r="AA231" s="32" t="n">
        <f aca="false">$J231</f>
        <v>1</v>
      </c>
      <c r="AB231" s="5"/>
    </row>
    <row r="232" customFormat="false" ht="15" hidden="false" customHeight="false" outlineLevel="0" collapsed="false">
      <c r="A232" s="4" t="s">
        <v>249</v>
      </c>
      <c r="B232" s="4" t="s">
        <v>1057</v>
      </c>
      <c r="C232" s="4" t="s">
        <v>1058</v>
      </c>
      <c r="D232" s="5" t="s">
        <v>664</v>
      </c>
      <c r="E232" s="32" t="n">
        <v>1</v>
      </c>
      <c r="F232" s="4" t="s">
        <v>82</v>
      </c>
      <c r="G232" s="5" t="s">
        <v>564</v>
      </c>
      <c r="H232" s="4"/>
      <c r="I232" s="32"/>
      <c r="J232" s="32" t="n">
        <f aca="false">E232*I232</f>
        <v>0</v>
      </c>
      <c r="K232" s="4"/>
      <c r="L232" s="32"/>
      <c r="M232" s="32"/>
      <c r="N232" s="32"/>
      <c r="O232" s="32"/>
      <c r="P232" s="4"/>
      <c r="Q232" s="32"/>
      <c r="R232" s="32" t="n">
        <f aca="false">$J232</f>
        <v>0</v>
      </c>
      <c r="S232" s="32" t="n">
        <f aca="false">$J232</f>
        <v>0</v>
      </c>
      <c r="T232" s="32" t="n">
        <f aca="false">$J232</f>
        <v>0</v>
      </c>
      <c r="U232" s="32" t="n">
        <f aca="false">$J232</f>
        <v>0</v>
      </c>
      <c r="V232" s="32" t="n">
        <f aca="false">$J232</f>
        <v>0</v>
      </c>
      <c r="W232" s="32" t="n">
        <f aca="false">$J232</f>
        <v>0</v>
      </c>
      <c r="X232" s="32" t="n">
        <f aca="false">$J232</f>
        <v>0</v>
      </c>
      <c r="Y232" s="32" t="n">
        <f aca="false">$J232</f>
        <v>0</v>
      </c>
      <c r="Z232" s="32" t="n">
        <f aca="false">$J232</f>
        <v>0</v>
      </c>
      <c r="AA232" s="32" t="n">
        <f aca="false">$J232</f>
        <v>0</v>
      </c>
      <c r="AB232" s="5"/>
    </row>
    <row r="233" customFormat="false" ht="15" hidden="false" customHeight="false" outlineLevel="0" collapsed="false">
      <c r="A233" s="4" t="s">
        <v>249</v>
      </c>
      <c r="B233" s="4" t="s">
        <v>1059</v>
      </c>
      <c r="C233" s="4" t="s">
        <v>1060</v>
      </c>
      <c r="D233" s="5" t="s">
        <v>931</v>
      </c>
      <c r="E233" s="32" t="n">
        <v>1</v>
      </c>
      <c r="F233" s="4" t="s">
        <v>82</v>
      </c>
      <c r="G233" s="5" t="s">
        <v>564</v>
      </c>
      <c r="H233" s="4"/>
      <c r="I233" s="32"/>
      <c r="J233" s="32" t="n">
        <f aca="false">E233*I233</f>
        <v>0</v>
      </c>
      <c r="K233" s="4"/>
      <c r="L233" s="32"/>
      <c r="M233" s="32"/>
      <c r="N233" s="32"/>
      <c r="O233" s="32"/>
      <c r="P233" s="4"/>
      <c r="Q233" s="32"/>
      <c r="R233" s="32" t="n">
        <f aca="false">$J233</f>
        <v>0</v>
      </c>
      <c r="S233" s="32" t="n">
        <f aca="false">$J233</f>
        <v>0</v>
      </c>
      <c r="T233" s="32" t="n">
        <f aca="false">$J233</f>
        <v>0</v>
      </c>
      <c r="U233" s="32" t="n">
        <f aca="false">$J233</f>
        <v>0</v>
      </c>
      <c r="V233" s="32" t="n">
        <f aca="false">$J233</f>
        <v>0</v>
      </c>
      <c r="W233" s="32" t="n">
        <f aca="false">$J233</f>
        <v>0</v>
      </c>
      <c r="X233" s="32" t="n">
        <f aca="false">$J233</f>
        <v>0</v>
      </c>
      <c r="Y233" s="32" t="n">
        <f aca="false">$J233</f>
        <v>0</v>
      </c>
      <c r="Z233" s="32" t="n">
        <f aca="false">$J233</f>
        <v>0</v>
      </c>
      <c r="AA233" s="32" t="n">
        <f aca="false">$J233</f>
        <v>0</v>
      </c>
      <c r="AB233" s="5"/>
    </row>
    <row r="234" customFormat="false" ht="15" hidden="false" customHeight="false" outlineLevel="0" collapsed="false">
      <c r="A234" s="4" t="s">
        <v>249</v>
      </c>
      <c r="B234" s="4" t="s">
        <v>1061</v>
      </c>
      <c r="C234" s="4" t="s">
        <v>1062</v>
      </c>
      <c r="D234" s="5" t="s">
        <v>667</v>
      </c>
      <c r="E234" s="32" t="n">
        <v>1</v>
      </c>
      <c r="F234" s="4" t="s">
        <v>82</v>
      </c>
      <c r="G234" s="5" t="s">
        <v>564</v>
      </c>
      <c r="H234" s="4"/>
      <c r="I234" s="32"/>
      <c r="J234" s="32" t="n">
        <f aca="false">E234*I234</f>
        <v>0</v>
      </c>
      <c r="K234" s="4"/>
      <c r="L234" s="32"/>
      <c r="M234" s="32"/>
      <c r="N234" s="32"/>
      <c r="O234" s="32"/>
      <c r="P234" s="4"/>
      <c r="Q234" s="32"/>
      <c r="R234" s="32" t="n">
        <f aca="false">$J234</f>
        <v>0</v>
      </c>
      <c r="S234" s="32" t="n">
        <f aca="false">$J234</f>
        <v>0</v>
      </c>
      <c r="T234" s="32" t="n">
        <f aca="false">$J234</f>
        <v>0</v>
      </c>
      <c r="U234" s="32" t="n">
        <f aca="false">$J234</f>
        <v>0</v>
      </c>
      <c r="V234" s="32" t="n">
        <f aca="false">$J234</f>
        <v>0</v>
      </c>
      <c r="W234" s="32" t="n">
        <f aca="false">$J234</f>
        <v>0</v>
      </c>
      <c r="X234" s="32" t="n">
        <f aca="false">$J234</f>
        <v>0</v>
      </c>
      <c r="Y234" s="32" t="n">
        <f aca="false">$J234</f>
        <v>0</v>
      </c>
      <c r="Z234" s="32" t="n">
        <f aca="false">$J234</f>
        <v>0</v>
      </c>
      <c r="AA234" s="32" t="n">
        <f aca="false">$J234</f>
        <v>0</v>
      </c>
      <c r="AB234" s="5"/>
    </row>
    <row r="235" customFormat="false" ht="15" hidden="false" customHeight="false" outlineLevel="0" collapsed="false">
      <c r="A235" s="4" t="s">
        <v>249</v>
      </c>
      <c r="B235" s="4" t="s">
        <v>1063</v>
      </c>
      <c r="C235" s="4" t="s">
        <v>1064</v>
      </c>
      <c r="D235" s="5" t="s">
        <v>936</v>
      </c>
      <c r="E235" s="32" t="n">
        <v>1</v>
      </c>
      <c r="F235" s="4" t="s">
        <v>82</v>
      </c>
      <c r="G235" s="5" t="s">
        <v>564</v>
      </c>
      <c r="H235" s="4"/>
      <c r="I235" s="32"/>
      <c r="J235" s="32" t="n">
        <f aca="false">E235*I235</f>
        <v>0</v>
      </c>
      <c r="K235" s="4"/>
      <c r="L235" s="32"/>
      <c r="M235" s="32"/>
      <c r="N235" s="32"/>
      <c r="O235" s="32"/>
      <c r="P235" s="4"/>
      <c r="Q235" s="32"/>
      <c r="R235" s="32" t="n">
        <f aca="false">$J235</f>
        <v>0</v>
      </c>
      <c r="S235" s="32" t="n">
        <f aca="false">$J235</f>
        <v>0</v>
      </c>
      <c r="T235" s="32" t="n">
        <f aca="false">$J235</f>
        <v>0</v>
      </c>
      <c r="U235" s="32" t="n">
        <f aca="false">$J235</f>
        <v>0</v>
      </c>
      <c r="V235" s="32" t="n">
        <f aca="false">$J235</f>
        <v>0</v>
      </c>
      <c r="W235" s="32" t="n">
        <f aca="false">$J235</f>
        <v>0</v>
      </c>
      <c r="X235" s="32" t="n">
        <f aca="false">$J235</f>
        <v>0</v>
      </c>
      <c r="Y235" s="32" t="n">
        <f aca="false">$J235</f>
        <v>0</v>
      </c>
      <c r="Z235" s="32" t="n">
        <f aca="false">$J235</f>
        <v>0</v>
      </c>
      <c r="AA235" s="32" t="n">
        <f aca="false">$J235</f>
        <v>0</v>
      </c>
      <c r="AB235" s="5"/>
    </row>
    <row r="236" customFormat="false" ht="15" hidden="false" customHeight="false" outlineLevel="0" collapsed="false">
      <c r="A236" s="4" t="s">
        <v>249</v>
      </c>
      <c r="B236" s="4" t="s">
        <v>1065</v>
      </c>
      <c r="C236" s="4" t="s">
        <v>1066</v>
      </c>
      <c r="D236" s="5" t="s">
        <v>939</v>
      </c>
      <c r="E236" s="32" t="n">
        <v>1</v>
      </c>
      <c r="F236" s="4" t="s">
        <v>82</v>
      </c>
      <c r="G236" s="5" t="s">
        <v>564</v>
      </c>
      <c r="H236" s="4"/>
      <c r="I236" s="32"/>
      <c r="J236" s="32" t="n">
        <f aca="false">E236*I236</f>
        <v>0</v>
      </c>
      <c r="K236" s="4"/>
      <c r="L236" s="32"/>
      <c r="M236" s="32"/>
      <c r="N236" s="32"/>
      <c r="O236" s="32"/>
      <c r="P236" s="4"/>
      <c r="Q236" s="32"/>
      <c r="R236" s="32" t="n">
        <f aca="false">$J236</f>
        <v>0</v>
      </c>
      <c r="S236" s="32" t="n">
        <f aca="false">$J236</f>
        <v>0</v>
      </c>
      <c r="T236" s="32" t="n">
        <f aca="false">$J236</f>
        <v>0</v>
      </c>
      <c r="U236" s="32" t="n">
        <f aca="false">$J236</f>
        <v>0</v>
      </c>
      <c r="V236" s="32" t="n">
        <f aca="false">$J236</f>
        <v>0</v>
      </c>
      <c r="W236" s="32" t="n">
        <f aca="false">$J236</f>
        <v>0</v>
      </c>
      <c r="X236" s="32" t="n">
        <f aca="false">$J236</f>
        <v>0</v>
      </c>
      <c r="Y236" s="32" t="n">
        <f aca="false">$J236</f>
        <v>0</v>
      </c>
      <c r="Z236" s="32" t="n">
        <f aca="false">$J236</f>
        <v>0</v>
      </c>
      <c r="AA236" s="32" t="n">
        <f aca="false">$J236</f>
        <v>0</v>
      </c>
      <c r="AB236" s="5"/>
    </row>
    <row r="237" customFormat="false" ht="15" hidden="false" customHeight="false" outlineLevel="0" collapsed="false">
      <c r="A237" s="4" t="s">
        <v>249</v>
      </c>
      <c r="B237" s="4" t="s">
        <v>1067</v>
      </c>
      <c r="C237" s="4" t="s">
        <v>1068</v>
      </c>
      <c r="D237" s="5" t="s">
        <v>942</v>
      </c>
      <c r="E237" s="32" t="n">
        <v>1</v>
      </c>
      <c r="F237" s="4" t="s">
        <v>82</v>
      </c>
      <c r="G237" s="5" t="s">
        <v>943</v>
      </c>
      <c r="H237" s="4"/>
      <c r="I237" s="32"/>
      <c r="J237" s="32" t="n">
        <f aca="false">E237*I237</f>
        <v>0</v>
      </c>
      <c r="K237" s="4"/>
      <c r="L237" s="32"/>
      <c r="M237" s="32"/>
      <c r="N237" s="32"/>
      <c r="O237" s="32"/>
      <c r="P237" s="4"/>
      <c r="Q237" s="32"/>
      <c r="R237" s="32" t="n">
        <f aca="false">$J237</f>
        <v>0</v>
      </c>
      <c r="S237" s="32" t="n">
        <f aca="false">$J237</f>
        <v>0</v>
      </c>
      <c r="T237" s="32" t="n">
        <f aca="false">$J237</f>
        <v>0</v>
      </c>
      <c r="U237" s="32" t="n">
        <f aca="false">$J237</f>
        <v>0</v>
      </c>
      <c r="V237" s="32" t="n">
        <f aca="false">$J237</f>
        <v>0</v>
      </c>
      <c r="W237" s="32" t="n">
        <f aca="false">$J237</f>
        <v>0</v>
      </c>
      <c r="X237" s="32" t="n">
        <f aca="false">$J237</f>
        <v>0</v>
      </c>
      <c r="Y237" s="32" t="n">
        <f aca="false">$J237</f>
        <v>0</v>
      </c>
      <c r="Z237" s="32" t="n">
        <f aca="false">$J237</f>
        <v>0</v>
      </c>
      <c r="AA237" s="32" t="n">
        <f aca="false">$J237</f>
        <v>0</v>
      </c>
      <c r="AB237" s="5"/>
    </row>
    <row r="238" customFormat="false" ht="15" hidden="false" customHeight="false" outlineLevel="0" collapsed="false">
      <c r="A238" s="4" t="s">
        <v>249</v>
      </c>
      <c r="B238" s="4" t="s">
        <v>1069</v>
      </c>
      <c r="C238" s="4" t="s">
        <v>1070</v>
      </c>
      <c r="D238" s="5" t="s">
        <v>946</v>
      </c>
      <c r="E238" s="32" t="n">
        <v>1</v>
      </c>
      <c r="F238" s="4" t="s">
        <v>82</v>
      </c>
      <c r="G238" s="5" t="s">
        <v>943</v>
      </c>
      <c r="H238" s="4"/>
      <c r="I238" s="32"/>
      <c r="J238" s="32" t="n">
        <f aca="false">E238*I238</f>
        <v>0</v>
      </c>
      <c r="K238" s="4"/>
      <c r="L238" s="32"/>
      <c r="M238" s="32"/>
      <c r="N238" s="32"/>
      <c r="O238" s="32"/>
      <c r="P238" s="4"/>
      <c r="Q238" s="32"/>
      <c r="R238" s="32" t="n">
        <f aca="false">$J238</f>
        <v>0</v>
      </c>
      <c r="S238" s="32" t="n">
        <f aca="false">$J238</f>
        <v>0</v>
      </c>
      <c r="T238" s="32" t="n">
        <f aca="false">$J238</f>
        <v>0</v>
      </c>
      <c r="U238" s="32" t="n">
        <f aca="false">$J238</f>
        <v>0</v>
      </c>
      <c r="V238" s="32" t="n">
        <f aca="false">$J238</f>
        <v>0</v>
      </c>
      <c r="W238" s="32" t="n">
        <f aca="false">$J238</f>
        <v>0</v>
      </c>
      <c r="X238" s="32" t="n">
        <f aca="false">$J238</f>
        <v>0</v>
      </c>
      <c r="Y238" s="32" t="n">
        <f aca="false">$J238</f>
        <v>0</v>
      </c>
      <c r="Z238" s="32" t="n">
        <f aca="false">$J238</f>
        <v>0</v>
      </c>
      <c r="AA238" s="32" t="n">
        <f aca="false">$J238</f>
        <v>0</v>
      </c>
      <c r="AB238" s="5"/>
    </row>
    <row r="239" customFormat="false" ht="15" hidden="false" customHeight="false" outlineLevel="0" collapsed="false">
      <c r="A239" s="4" t="s">
        <v>249</v>
      </c>
      <c r="B239" s="4" t="s">
        <v>1071</v>
      </c>
      <c r="C239" s="4" t="s">
        <v>1072</v>
      </c>
      <c r="D239" s="5" t="s">
        <v>949</v>
      </c>
      <c r="E239" s="32" t="n">
        <v>1</v>
      </c>
      <c r="F239" s="4" t="s">
        <v>82</v>
      </c>
      <c r="G239" s="5" t="s">
        <v>950</v>
      </c>
      <c r="H239" s="4" t="s">
        <v>1073</v>
      </c>
      <c r="I239" s="32" t="n">
        <f aca="false">354/6000/INDEX(P_VAL,MATCH("APROV_CANO",P_ID,0))</f>
        <v>0.0621052631578947</v>
      </c>
      <c r="J239" s="32" t="n">
        <f aca="false">E239*I239</f>
        <v>0.0621052631578947</v>
      </c>
      <c r="K239" s="4"/>
      <c r="L239" s="32"/>
      <c r="M239" s="32"/>
      <c r="N239" s="32"/>
      <c r="O239" s="32"/>
      <c r="P239" s="4"/>
      <c r="Q239" s="32"/>
      <c r="R239" s="32" t="n">
        <f aca="false">$J239</f>
        <v>0.0621052631578947</v>
      </c>
      <c r="S239" s="32" t="n">
        <f aca="false">$J239</f>
        <v>0.0621052631578947</v>
      </c>
      <c r="T239" s="32" t="n">
        <f aca="false">$J239</f>
        <v>0.0621052631578947</v>
      </c>
      <c r="U239" s="32" t="n">
        <f aca="false">$J239</f>
        <v>0.0621052631578947</v>
      </c>
      <c r="V239" s="32" t="n">
        <f aca="false">$J239</f>
        <v>0.0621052631578947</v>
      </c>
      <c r="W239" s="32" t="n">
        <f aca="false">$J239</f>
        <v>0.0621052631578947</v>
      </c>
      <c r="X239" s="32" t="n">
        <f aca="false">$J239</f>
        <v>0.0621052631578947</v>
      </c>
      <c r="Y239" s="32" t="n">
        <f aca="false">$J239</f>
        <v>0.0621052631578947</v>
      </c>
      <c r="Z239" s="32" t="n">
        <f aca="false">$J239</f>
        <v>0.0621052631578947</v>
      </c>
      <c r="AA239" s="32" t="n">
        <f aca="false">$J239</f>
        <v>0.0621052631578947</v>
      </c>
      <c r="AB239" s="5" t="s">
        <v>952</v>
      </c>
    </row>
    <row r="240" customFormat="false" ht="15" hidden="false" customHeight="false" outlineLevel="0" collapsed="false">
      <c r="A240" s="4" t="s">
        <v>249</v>
      </c>
      <c r="B240" s="4" t="s">
        <v>1074</v>
      </c>
      <c r="C240" s="4" t="s">
        <v>1075</v>
      </c>
      <c r="D240" s="5" t="s">
        <v>955</v>
      </c>
      <c r="E240" s="32" t="n">
        <v>2</v>
      </c>
      <c r="F240" s="4" t="s">
        <v>82</v>
      </c>
      <c r="G240" s="5" t="s">
        <v>956</v>
      </c>
      <c r="H240" s="4" t="s">
        <v>1076</v>
      </c>
      <c r="I240" s="32" t="n">
        <v>1</v>
      </c>
      <c r="J240" s="32" t="n">
        <f aca="false">E240*I240</f>
        <v>2</v>
      </c>
      <c r="K240" s="4"/>
      <c r="L240" s="32"/>
      <c r="M240" s="32"/>
      <c r="N240" s="32"/>
      <c r="O240" s="32"/>
      <c r="P240" s="4"/>
      <c r="Q240" s="32"/>
      <c r="R240" s="32" t="n">
        <f aca="false">$J240</f>
        <v>2</v>
      </c>
      <c r="S240" s="32" t="n">
        <f aca="false">$J240</f>
        <v>2</v>
      </c>
      <c r="T240" s="32" t="n">
        <f aca="false">$J240</f>
        <v>2</v>
      </c>
      <c r="U240" s="32" t="n">
        <f aca="false">$J240</f>
        <v>2</v>
      </c>
      <c r="V240" s="32" t="n">
        <f aca="false">$J240</f>
        <v>2</v>
      </c>
      <c r="W240" s="32" t="n">
        <f aca="false">$J240</f>
        <v>2</v>
      </c>
      <c r="X240" s="32" t="n">
        <f aca="false">$J240</f>
        <v>2</v>
      </c>
      <c r="Y240" s="32" t="n">
        <f aca="false">$J240</f>
        <v>2</v>
      </c>
      <c r="Z240" s="32" t="n">
        <f aca="false">$J240</f>
        <v>2</v>
      </c>
      <c r="AA240" s="32" t="n">
        <f aca="false">$J240</f>
        <v>2</v>
      </c>
      <c r="AB240" s="5"/>
    </row>
    <row r="241" customFormat="false" ht="15" hidden="false" customHeight="false" outlineLevel="0" collapsed="false">
      <c r="A241" s="4" t="s">
        <v>249</v>
      </c>
      <c r="B241" s="4" t="s">
        <v>1077</v>
      </c>
      <c r="C241" s="4" t="s">
        <v>1078</v>
      </c>
      <c r="D241" s="5" t="s">
        <v>960</v>
      </c>
      <c r="E241" s="32" t="n">
        <v>2</v>
      </c>
      <c r="F241" s="4" t="s">
        <v>82</v>
      </c>
      <c r="G241" s="5" t="s">
        <v>961</v>
      </c>
      <c r="H241" s="4"/>
      <c r="I241" s="32"/>
      <c r="J241" s="32" t="n">
        <f aca="false">E241*I241</f>
        <v>0</v>
      </c>
      <c r="K241" s="4"/>
      <c r="L241" s="32"/>
      <c r="M241" s="32"/>
      <c r="N241" s="32"/>
      <c r="O241" s="32"/>
      <c r="P241" s="4"/>
      <c r="Q241" s="32"/>
      <c r="R241" s="32" t="n">
        <f aca="false">$J241</f>
        <v>0</v>
      </c>
      <c r="S241" s="32" t="n">
        <f aca="false">$J241</f>
        <v>0</v>
      </c>
      <c r="T241" s="32" t="n">
        <f aca="false">$J241</f>
        <v>0</v>
      </c>
      <c r="U241" s="32" t="n">
        <f aca="false">$J241</f>
        <v>0</v>
      </c>
      <c r="V241" s="32" t="n">
        <f aca="false">$J241</f>
        <v>0</v>
      </c>
      <c r="W241" s="32" t="n">
        <f aca="false">$J241</f>
        <v>0</v>
      </c>
      <c r="X241" s="32" t="n">
        <f aca="false">$J241</f>
        <v>0</v>
      </c>
      <c r="Y241" s="32" t="n">
        <f aca="false">$J241</f>
        <v>0</v>
      </c>
      <c r="Z241" s="32" t="n">
        <f aca="false">$J241</f>
        <v>0</v>
      </c>
      <c r="AA241" s="32" t="n">
        <f aca="false">$J241</f>
        <v>0</v>
      </c>
      <c r="AB241" s="5"/>
    </row>
    <row r="242" customFormat="false" ht="15" hidden="false" customHeight="false" outlineLevel="0" collapsed="false">
      <c r="A242" s="4" t="s">
        <v>249</v>
      </c>
      <c r="B242" s="4" t="s">
        <v>1079</v>
      </c>
      <c r="C242" s="4" t="s">
        <v>1080</v>
      </c>
      <c r="D242" s="5" t="s">
        <v>964</v>
      </c>
      <c r="E242" s="32" t="n">
        <v>1</v>
      </c>
      <c r="F242" s="4" t="s">
        <v>82</v>
      </c>
      <c r="G242" s="5" t="s">
        <v>965</v>
      </c>
      <c r="H242" s="4" t="s">
        <v>1081</v>
      </c>
      <c r="I242" s="32" t="n">
        <f aca="false">1/INT(6000/510)</f>
        <v>0.0909090909090909</v>
      </c>
      <c r="J242" s="32" t="n">
        <f aca="false">E242*I242</f>
        <v>0.0909090909090909</v>
      </c>
      <c r="K242" s="4"/>
      <c r="L242" s="32"/>
      <c r="M242" s="32"/>
      <c r="N242" s="32"/>
      <c r="O242" s="32"/>
      <c r="P242" s="4"/>
      <c r="Q242" s="32"/>
      <c r="R242" s="32" t="n">
        <f aca="false">$J242</f>
        <v>0.0909090909090909</v>
      </c>
      <c r="S242" s="32" t="n">
        <f aca="false">$J242</f>
        <v>0.0909090909090909</v>
      </c>
      <c r="T242" s="32" t="n">
        <f aca="false">$J242</f>
        <v>0.0909090909090909</v>
      </c>
      <c r="U242" s="32" t="n">
        <f aca="false">$J242</f>
        <v>0.0909090909090909</v>
      </c>
      <c r="V242" s="32" t="n">
        <f aca="false">$J242</f>
        <v>0.0909090909090909</v>
      </c>
      <c r="W242" s="32" t="n">
        <f aca="false">$J242</f>
        <v>0.0909090909090909</v>
      </c>
      <c r="X242" s="32" t="n">
        <f aca="false">$J242</f>
        <v>0.0909090909090909</v>
      </c>
      <c r="Y242" s="32" t="n">
        <f aca="false">$J242</f>
        <v>0.0909090909090909</v>
      </c>
      <c r="Z242" s="32" t="n">
        <f aca="false">$J242</f>
        <v>0.0909090909090909</v>
      </c>
      <c r="AA242" s="32" t="n">
        <f aca="false">$J242</f>
        <v>0.0909090909090909</v>
      </c>
      <c r="AB242" s="5" t="s">
        <v>1082</v>
      </c>
    </row>
    <row r="243" customFormat="false" ht="15" hidden="false" customHeight="false" outlineLevel="0" collapsed="false">
      <c r="A243" s="4" t="s">
        <v>249</v>
      </c>
      <c r="B243" s="4" t="s">
        <v>1083</v>
      </c>
      <c r="C243" s="4" t="s">
        <v>1084</v>
      </c>
      <c r="D243" s="5" t="s">
        <v>970</v>
      </c>
      <c r="E243" s="32" t="n">
        <v>1</v>
      </c>
      <c r="F243" s="4" t="s">
        <v>82</v>
      </c>
      <c r="G243" s="5" t="s">
        <v>509</v>
      </c>
      <c r="H243" s="4" t="s">
        <v>971</v>
      </c>
      <c r="I243" s="32" t="n">
        <v>4</v>
      </c>
      <c r="J243" s="32" t="n">
        <f aca="false">E243*I243</f>
        <v>4</v>
      </c>
      <c r="K243" s="4"/>
      <c r="L243" s="32"/>
      <c r="M243" s="32"/>
      <c r="N243" s="32"/>
      <c r="O243" s="32"/>
      <c r="P243" s="4"/>
      <c r="Q243" s="32"/>
      <c r="R243" s="32" t="n">
        <f aca="false">$J243</f>
        <v>4</v>
      </c>
      <c r="S243" s="32" t="n">
        <f aca="false">$J243</f>
        <v>4</v>
      </c>
      <c r="T243" s="32" t="n">
        <f aca="false">$J243</f>
        <v>4</v>
      </c>
      <c r="U243" s="32" t="n">
        <f aca="false">$J243</f>
        <v>4</v>
      </c>
      <c r="V243" s="32" t="n">
        <f aca="false">$J243</f>
        <v>4</v>
      </c>
      <c r="W243" s="32" t="n">
        <f aca="false">$J243</f>
        <v>4</v>
      </c>
      <c r="X243" s="32" t="n">
        <f aca="false">$J243</f>
        <v>4</v>
      </c>
      <c r="Y243" s="32" t="n">
        <f aca="false">$J243</f>
        <v>4</v>
      </c>
      <c r="Z243" s="32" t="n">
        <f aca="false">$J243</f>
        <v>4</v>
      </c>
      <c r="AA243" s="32" t="n">
        <f aca="false">$J243</f>
        <v>4</v>
      </c>
      <c r="AB243" s="5" t="s">
        <v>972</v>
      </c>
    </row>
    <row r="244" customFormat="false" ht="15" hidden="false" customHeight="false" outlineLevel="0" collapsed="false">
      <c r="A244" s="4" t="s">
        <v>249</v>
      </c>
      <c r="B244" s="4" t="s">
        <v>1085</v>
      </c>
      <c r="C244" s="4" t="s">
        <v>1086</v>
      </c>
      <c r="D244" s="5" t="s">
        <v>975</v>
      </c>
      <c r="E244" s="32" t="n">
        <v>1</v>
      </c>
      <c r="F244" s="4" t="s">
        <v>82</v>
      </c>
      <c r="G244" s="5" t="s">
        <v>509</v>
      </c>
      <c r="H244" s="4" t="s">
        <v>976</v>
      </c>
      <c r="I244" s="32" t="n">
        <v>2</v>
      </c>
      <c r="J244" s="32" t="n">
        <f aca="false">E244*I244</f>
        <v>2</v>
      </c>
      <c r="K244" s="4"/>
      <c r="L244" s="32"/>
      <c r="M244" s="32"/>
      <c r="N244" s="32"/>
      <c r="O244" s="32"/>
      <c r="P244" s="4"/>
      <c r="Q244" s="32"/>
      <c r="R244" s="32" t="n">
        <f aca="false">$J244</f>
        <v>2</v>
      </c>
      <c r="S244" s="32" t="n">
        <f aca="false">$J244</f>
        <v>2</v>
      </c>
      <c r="T244" s="32" t="n">
        <f aca="false">$J244</f>
        <v>2</v>
      </c>
      <c r="U244" s="32" t="n">
        <f aca="false">$J244</f>
        <v>2</v>
      </c>
      <c r="V244" s="32" t="n">
        <f aca="false">$J244</f>
        <v>2</v>
      </c>
      <c r="W244" s="32" t="n">
        <f aca="false">$J244</f>
        <v>2</v>
      </c>
      <c r="X244" s="32" t="n">
        <f aca="false">$J244</f>
        <v>2</v>
      </c>
      <c r="Y244" s="32" t="n">
        <f aca="false">$J244</f>
        <v>2</v>
      </c>
      <c r="Z244" s="32" t="n">
        <f aca="false">$J244</f>
        <v>2</v>
      </c>
      <c r="AA244" s="32" t="n">
        <f aca="false">$J244</f>
        <v>2</v>
      </c>
      <c r="AB244" s="5" t="s">
        <v>977</v>
      </c>
    </row>
    <row r="245" customFormat="false" ht="15" hidden="false" customHeight="false" outlineLevel="0" collapsed="false">
      <c r="A245" s="4" t="s">
        <v>249</v>
      </c>
      <c r="B245" s="4" t="s">
        <v>1087</v>
      </c>
      <c r="C245" s="4" t="s">
        <v>1088</v>
      </c>
      <c r="D245" s="5" t="s">
        <v>980</v>
      </c>
      <c r="E245" s="32" t="n">
        <v>1</v>
      </c>
      <c r="F245" s="4" t="s">
        <v>82</v>
      </c>
      <c r="G245" s="5" t="s">
        <v>950</v>
      </c>
      <c r="H245" s="4" t="s">
        <v>951</v>
      </c>
      <c r="I245" s="32" t="n">
        <f aca="false">1520/6000/INDEX(P_VAL,MATCH("APROV_CANO",P_ID,0))</f>
        <v>0.266666666666667</v>
      </c>
      <c r="J245" s="32" t="n">
        <f aca="false">E245*I245</f>
        <v>0.266666666666667</v>
      </c>
      <c r="K245" s="4"/>
      <c r="L245" s="32"/>
      <c r="M245" s="32"/>
      <c r="N245" s="32"/>
      <c r="O245" s="32"/>
      <c r="P245" s="4"/>
      <c r="Q245" s="32"/>
      <c r="R245" s="32" t="n">
        <f aca="false">$J245</f>
        <v>0.266666666666667</v>
      </c>
      <c r="S245" s="32" t="n">
        <f aca="false">$J245</f>
        <v>0.266666666666667</v>
      </c>
      <c r="T245" s="32" t="n">
        <f aca="false">$J245</f>
        <v>0.266666666666667</v>
      </c>
      <c r="U245" s="32" t="n">
        <f aca="false">$J245</f>
        <v>0.266666666666667</v>
      </c>
      <c r="V245" s="32" t="n">
        <f aca="false">$J245</f>
        <v>0.266666666666667</v>
      </c>
      <c r="W245" s="32" t="n">
        <f aca="false">$J245</f>
        <v>0.266666666666667</v>
      </c>
      <c r="X245" s="32" t="n">
        <f aca="false">$J245</f>
        <v>0.266666666666667</v>
      </c>
      <c r="Y245" s="32" t="n">
        <f aca="false">$J245</f>
        <v>0.266666666666667</v>
      </c>
      <c r="Z245" s="32" t="n">
        <f aca="false">$J245</f>
        <v>0.266666666666667</v>
      </c>
      <c r="AA245" s="32" t="n">
        <f aca="false">$J245</f>
        <v>0.266666666666667</v>
      </c>
      <c r="AB245" s="5" t="s">
        <v>1089</v>
      </c>
    </row>
    <row r="246" customFormat="false" ht="15" hidden="false" customHeight="false" outlineLevel="0" collapsed="false">
      <c r="A246" s="4" t="s">
        <v>249</v>
      </c>
      <c r="B246" s="4" t="s">
        <v>1090</v>
      </c>
      <c r="C246" s="4" t="s">
        <v>1091</v>
      </c>
      <c r="D246" s="5" t="s">
        <v>984</v>
      </c>
      <c r="E246" s="32" t="n">
        <v>1</v>
      </c>
      <c r="F246" s="4" t="s">
        <v>82</v>
      </c>
      <c r="G246" s="5" t="s">
        <v>943</v>
      </c>
      <c r="H246" s="4"/>
      <c r="I246" s="32"/>
      <c r="J246" s="32" t="n">
        <f aca="false">E246*I246</f>
        <v>0</v>
      </c>
      <c r="K246" s="4"/>
      <c r="L246" s="32"/>
      <c r="M246" s="32"/>
      <c r="N246" s="32"/>
      <c r="O246" s="32"/>
      <c r="P246" s="4"/>
      <c r="Q246" s="32"/>
      <c r="R246" s="32" t="n">
        <f aca="false">$J246</f>
        <v>0</v>
      </c>
      <c r="S246" s="32" t="n">
        <f aca="false">$J246</f>
        <v>0</v>
      </c>
      <c r="T246" s="32" t="n">
        <f aca="false">$J246</f>
        <v>0</v>
      </c>
      <c r="U246" s="32" t="n">
        <f aca="false">$J246</f>
        <v>0</v>
      </c>
      <c r="V246" s="32" t="n">
        <f aca="false">$J246</f>
        <v>0</v>
      </c>
      <c r="W246" s="32" t="n">
        <f aca="false">$J246</f>
        <v>0</v>
      </c>
      <c r="X246" s="32" t="n">
        <f aca="false">$J246</f>
        <v>0</v>
      </c>
      <c r="Y246" s="32" t="n">
        <f aca="false">$J246</f>
        <v>0</v>
      </c>
      <c r="Z246" s="32" t="n">
        <f aca="false">$J246</f>
        <v>0</v>
      </c>
      <c r="AA246" s="32" t="n">
        <f aca="false">$J246</f>
        <v>0</v>
      </c>
      <c r="AB246" s="5"/>
    </row>
    <row r="247" customFormat="false" ht="15" hidden="false" customHeight="false" outlineLevel="0" collapsed="false">
      <c r="A247" s="4" t="s">
        <v>249</v>
      </c>
      <c r="B247" s="4" t="s">
        <v>1092</v>
      </c>
      <c r="C247" s="4" t="s">
        <v>1093</v>
      </c>
      <c r="D247" s="5" t="s">
        <v>987</v>
      </c>
      <c r="E247" s="32" t="n">
        <v>50</v>
      </c>
      <c r="F247" s="4" t="s">
        <v>73</v>
      </c>
      <c r="G247" s="5" t="s">
        <v>509</v>
      </c>
      <c r="H247" s="4" t="s">
        <v>988</v>
      </c>
      <c r="I247" s="32" t="n">
        <f aca="false">1+INDEX(P_VAL,MATCH("MERMA_POLVO",P_ID,0))</f>
        <v>1.01</v>
      </c>
      <c r="J247" s="32" t="n">
        <f aca="false">E247*I247</f>
        <v>50.5</v>
      </c>
      <c r="K247" s="4"/>
      <c r="L247" s="32"/>
      <c r="M247" s="32"/>
      <c r="N247" s="32"/>
      <c r="O247" s="32"/>
      <c r="P247" s="4"/>
      <c r="Q247" s="32"/>
      <c r="R247" s="32" t="n">
        <f aca="false">$J247</f>
        <v>50.5</v>
      </c>
      <c r="S247" s="32" t="n">
        <f aca="false">$J247</f>
        <v>50.5</v>
      </c>
      <c r="T247" s="32" t="n">
        <f aca="false">$J247</f>
        <v>50.5</v>
      </c>
      <c r="U247" s="32" t="n">
        <f aca="false">$J247</f>
        <v>50.5</v>
      </c>
      <c r="V247" s="32" t="n">
        <f aca="false">$J247</f>
        <v>50.5</v>
      </c>
      <c r="W247" s="32" t="n">
        <f aca="false">$J247</f>
        <v>50.5</v>
      </c>
      <c r="X247" s="32" t="n">
        <f aca="false">$J247</f>
        <v>50.5</v>
      </c>
      <c r="Y247" s="32" t="n">
        <f aca="false">$J247</f>
        <v>50.5</v>
      </c>
      <c r="Z247" s="32" t="n">
        <f aca="false">$J247</f>
        <v>50.5</v>
      </c>
      <c r="AA247" s="32" t="n">
        <f aca="false">$J247</f>
        <v>50.5</v>
      </c>
      <c r="AB247" s="5"/>
    </row>
    <row r="248" customFormat="false" ht="15" hidden="false" customHeight="false" outlineLevel="0" collapsed="false">
      <c r="A248" s="4" t="s">
        <v>249</v>
      </c>
      <c r="B248" s="4" t="s">
        <v>1094</v>
      </c>
      <c r="C248" s="4" t="s">
        <v>1095</v>
      </c>
      <c r="D248" s="5" t="s">
        <v>571</v>
      </c>
      <c r="E248" s="32" t="n">
        <v>0.281922560674133</v>
      </c>
      <c r="F248" s="4" t="s">
        <v>73</v>
      </c>
      <c r="G248" s="5" t="s">
        <v>572</v>
      </c>
      <c r="H248" s="4" t="s">
        <v>573</v>
      </c>
      <c r="I248" s="32" t="n">
        <f aca="false">(1+INDEX(P_VAL,MATCH("N2_PERD",P_ID,0)))/INDEX(P_VAL,MATCH("RHO_N2",P_ID,0))</f>
        <v>1.0406660262568</v>
      </c>
      <c r="J248" s="32" t="n">
        <f aca="false">E248*I248</f>
        <v>0.293387230928893</v>
      </c>
      <c r="K248" s="4"/>
      <c r="L248" s="32"/>
      <c r="M248" s="32"/>
      <c r="N248" s="32"/>
      <c r="O248" s="32"/>
      <c r="P248" s="4"/>
      <c r="Q248" s="32"/>
      <c r="R248" s="32" t="n">
        <f aca="false">$J248</f>
        <v>0.293387230928893</v>
      </c>
      <c r="S248" s="32" t="n">
        <f aca="false">$J248</f>
        <v>0.293387230928893</v>
      </c>
      <c r="T248" s="32" t="n">
        <f aca="false">$J248</f>
        <v>0.293387230928893</v>
      </c>
      <c r="U248" s="32" t="n">
        <f aca="false">$J248</f>
        <v>0.293387230928893</v>
      </c>
      <c r="V248" s="32" t="n">
        <f aca="false">$J248</f>
        <v>0.293387230928893</v>
      </c>
      <c r="W248" s="32" t="n">
        <f aca="false">$J248</f>
        <v>0.293387230928893</v>
      </c>
      <c r="X248" s="32" t="n">
        <f aca="false">$J248</f>
        <v>0.293387230928893</v>
      </c>
      <c r="Y248" s="32" t="n">
        <f aca="false">$J248</f>
        <v>0.293387230928893</v>
      </c>
      <c r="Z248" s="32" t="n">
        <f aca="false">$J248</f>
        <v>0.293387230928893</v>
      </c>
      <c r="AA248" s="32" t="n">
        <f aca="false">$J248</f>
        <v>0.293387230928893</v>
      </c>
      <c r="AB248" s="5"/>
    </row>
    <row r="249" customFormat="false" ht="15" hidden="false" customHeight="false" outlineLevel="0" collapsed="false">
      <c r="A249" s="4" t="s">
        <v>249</v>
      </c>
      <c r="B249" s="4" t="s">
        <v>1096</v>
      </c>
      <c r="C249" s="4" t="s">
        <v>1097</v>
      </c>
      <c r="D249" s="5" t="s">
        <v>576</v>
      </c>
      <c r="E249" s="32" t="n">
        <v>1</v>
      </c>
      <c r="F249" s="4" t="s">
        <v>82</v>
      </c>
      <c r="G249" s="5" t="s">
        <v>509</v>
      </c>
      <c r="H249" s="4" t="s">
        <v>1098</v>
      </c>
      <c r="I249" s="32" t="n">
        <v>1</v>
      </c>
      <c r="J249" s="32" t="n">
        <f aca="false">E249*I249</f>
        <v>1</v>
      </c>
      <c r="K249" s="4"/>
      <c r="L249" s="32"/>
      <c r="M249" s="32"/>
      <c r="N249" s="32"/>
      <c r="O249" s="32"/>
      <c r="P249" s="4"/>
      <c r="Q249" s="32"/>
      <c r="R249" s="32" t="n">
        <f aca="false">$J249</f>
        <v>1</v>
      </c>
      <c r="S249" s="32" t="n">
        <f aca="false">$J249</f>
        <v>1</v>
      </c>
      <c r="T249" s="32" t="n">
        <f aca="false">$J249</f>
        <v>1</v>
      </c>
      <c r="U249" s="32" t="n">
        <f aca="false">$J249</f>
        <v>1</v>
      </c>
      <c r="V249" s="32" t="n">
        <f aca="false">$J249</f>
        <v>1</v>
      </c>
      <c r="W249" s="32" t="n">
        <f aca="false">$J249</f>
        <v>1</v>
      </c>
      <c r="X249" s="32" t="n">
        <f aca="false">$J249</f>
        <v>1</v>
      </c>
      <c r="Y249" s="32" t="n">
        <f aca="false">$J249</f>
        <v>1</v>
      </c>
      <c r="Z249" s="32" t="n">
        <f aca="false">$J249</f>
        <v>1</v>
      </c>
      <c r="AA249" s="32" t="n">
        <f aca="false">$J249</f>
        <v>1</v>
      </c>
      <c r="AB249" s="5"/>
    </row>
    <row r="250" customFormat="false" ht="15" hidden="false" customHeight="false" outlineLevel="0" collapsed="false">
      <c r="A250" s="4" t="s">
        <v>249</v>
      </c>
      <c r="B250" s="4" t="s">
        <v>1099</v>
      </c>
      <c r="C250" s="4" t="s">
        <v>1100</v>
      </c>
      <c r="D250" s="5" t="s">
        <v>580</v>
      </c>
      <c r="E250" s="32" t="n">
        <v>1</v>
      </c>
      <c r="F250" s="4" t="s">
        <v>82</v>
      </c>
      <c r="G250" s="5" t="s">
        <v>509</v>
      </c>
      <c r="H250" s="4" t="s">
        <v>581</v>
      </c>
      <c r="I250" s="32" t="n">
        <v>1</v>
      </c>
      <c r="J250" s="32" t="n">
        <f aca="false">E250*I250</f>
        <v>1</v>
      </c>
      <c r="K250" s="4" t="s">
        <v>582</v>
      </c>
      <c r="L250" s="32"/>
      <c r="M250" s="32"/>
      <c r="N250" s="32"/>
      <c r="O250" s="32"/>
      <c r="P250" s="4"/>
      <c r="Q250" s="32"/>
      <c r="R250" s="32" t="n">
        <f aca="false">$J250</f>
        <v>1</v>
      </c>
      <c r="S250" s="32" t="n">
        <f aca="false">$J250</f>
        <v>1</v>
      </c>
      <c r="T250" s="32" t="n">
        <f aca="false">$J250</f>
        <v>1</v>
      </c>
      <c r="U250" s="32" t="n">
        <f aca="false">$J250</f>
        <v>1</v>
      </c>
      <c r="V250" s="32" t="n">
        <f aca="false">$J250</f>
        <v>1</v>
      </c>
      <c r="W250" s="32" t="n">
        <f aca="false">$J250</f>
        <v>1</v>
      </c>
      <c r="X250" s="32" t="n">
        <f aca="false">$J250</f>
        <v>1</v>
      </c>
      <c r="Y250" s="32" t="n">
        <f aca="false">$J250</f>
        <v>1</v>
      </c>
      <c r="Z250" s="32" t="n">
        <f aca="false">$J250</f>
        <v>1</v>
      </c>
      <c r="AA250" s="32" t="n">
        <f aca="false">$J250</f>
        <v>1</v>
      </c>
      <c r="AB250" s="5"/>
    </row>
    <row r="251" customFormat="false" ht="15" hidden="false" customHeight="false" outlineLevel="0" collapsed="false">
      <c r="A251" s="4" t="s">
        <v>249</v>
      </c>
      <c r="B251" s="4" t="s">
        <v>1101</v>
      </c>
      <c r="C251" s="4" t="s">
        <v>1102</v>
      </c>
      <c r="D251" s="5" t="s">
        <v>585</v>
      </c>
      <c r="E251" s="32" t="n">
        <v>1</v>
      </c>
      <c r="F251" s="4" t="s">
        <v>82</v>
      </c>
      <c r="G251" s="5" t="s">
        <v>509</v>
      </c>
      <c r="H251" s="4" t="s">
        <v>586</v>
      </c>
      <c r="I251" s="32" t="n">
        <v>1</v>
      </c>
      <c r="J251" s="32" t="n">
        <f aca="false">E251*I251</f>
        <v>1</v>
      </c>
      <c r="K251" s="4"/>
      <c r="L251" s="32"/>
      <c r="M251" s="32"/>
      <c r="N251" s="32"/>
      <c r="O251" s="32"/>
      <c r="P251" s="4"/>
      <c r="Q251" s="32"/>
      <c r="R251" s="32" t="n">
        <f aca="false">$J251</f>
        <v>1</v>
      </c>
      <c r="S251" s="32" t="n">
        <f aca="false">$J251</f>
        <v>1</v>
      </c>
      <c r="T251" s="32" t="n">
        <f aca="false">$J251</f>
        <v>1</v>
      </c>
      <c r="U251" s="32" t="n">
        <f aca="false">$J251</f>
        <v>1</v>
      </c>
      <c r="V251" s="32" t="n">
        <f aca="false">$J251</f>
        <v>1</v>
      </c>
      <c r="W251" s="32" t="n">
        <f aca="false">$J251</f>
        <v>1</v>
      </c>
      <c r="X251" s="32" t="n">
        <f aca="false">$J251</f>
        <v>1</v>
      </c>
      <c r="Y251" s="32" t="n">
        <f aca="false">$J251</f>
        <v>1</v>
      </c>
      <c r="Z251" s="32" t="n">
        <f aca="false">$J251</f>
        <v>1</v>
      </c>
      <c r="AA251" s="32" t="n">
        <f aca="false">$J251</f>
        <v>1</v>
      </c>
      <c r="AB251" s="5"/>
    </row>
    <row r="252" customFormat="false" ht="15" hidden="false" customHeight="false" outlineLevel="0" collapsed="false">
      <c r="A252" s="4" t="s">
        <v>249</v>
      </c>
      <c r="B252" s="4" t="s">
        <v>1103</v>
      </c>
      <c r="C252" s="4" t="s">
        <v>1104</v>
      </c>
      <c r="D252" s="5" t="s">
        <v>687</v>
      </c>
      <c r="E252" s="32" t="n">
        <v>1</v>
      </c>
      <c r="F252" s="4" t="s">
        <v>82</v>
      </c>
      <c r="G252" s="5" t="s">
        <v>509</v>
      </c>
      <c r="H252" s="4" t="s">
        <v>688</v>
      </c>
      <c r="I252" s="32" t="n">
        <v>1</v>
      </c>
      <c r="J252" s="32" t="n">
        <f aca="false">E252*I252</f>
        <v>1</v>
      </c>
      <c r="K252" s="4" t="s">
        <v>689</v>
      </c>
      <c r="L252" s="32"/>
      <c r="M252" s="32"/>
      <c r="N252" s="32"/>
      <c r="O252" s="32"/>
      <c r="P252" s="4"/>
      <c r="Q252" s="32"/>
      <c r="R252" s="32" t="n">
        <f aca="false">$J252</f>
        <v>1</v>
      </c>
      <c r="S252" s="32" t="n">
        <f aca="false">$J252</f>
        <v>1</v>
      </c>
      <c r="T252" s="32" t="n">
        <f aca="false">$J252</f>
        <v>1</v>
      </c>
      <c r="U252" s="32" t="n">
        <f aca="false">$J252</f>
        <v>1</v>
      </c>
      <c r="V252" s="32" t="n">
        <f aca="false">$J252</f>
        <v>1</v>
      </c>
      <c r="W252" s="32" t="n">
        <f aca="false">$J252</f>
        <v>1</v>
      </c>
      <c r="X252" s="32" t="n">
        <f aca="false">$J252</f>
        <v>1</v>
      </c>
      <c r="Y252" s="32" t="n">
        <f aca="false">$J252</f>
        <v>1</v>
      </c>
      <c r="Z252" s="32" t="n">
        <f aca="false">$J252</f>
        <v>1</v>
      </c>
      <c r="AA252" s="32" t="n">
        <f aca="false">$J252</f>
        <v>1</v>
      </c>
      <c r="AB252" s="5"/>
    </row>
    <row r="253" customFormat="false" ht="15" hidden="false" customHeight="false" outlineLevel="0" collapsed="false">
      <c r="A253" s="4" t="s">
        <v>249</v>
      </c>
      <c r="B253" s="4" t="s">
        <v>1105</v>
      </c>
      <c r="C253" s="4" t="s">
        <v>1106</v>
      </c>
      <c r="D253" s="5" t="s">
        <v>589</v>
      </c>
      <c r="E253" s="32" t="n">
        <v>1</v>
      </c>
      <c r="F253" s="4" t="s">
        <v>82</v>
      </c>
      <c r="G253" s="5" t="s">
        <v>509</v>
      </c>
      <c r="H253" s="4" t="s">
        <v>590</v>
      </c>
      <c r="I253" s="32" t="n">
        <v>1</v>
      </c>
      <c r="J253" s="32" t="n">
        <f aca="false">E253*I253</f>
        <v>1</v>
      </c>
      <c r="K253" s="4"/>
      <c r="L253" s="32"/>
      <c r="M253" s="32"/>
      <c r="N253" s="32"/>
      <c r="O253" s="32"/>
      <c r="P253" s="4"/>
      <c r="Q253" s="32"/>
      <c r="R253" s="32" t="n">
        <f aca="false">$J253</f>
        <v>1</v>
      </c>
      <c r="S253" s="32" t="n">
        <f aca="false">$J253</f>
        <v>1</v>
      </c>
      <c r="T253" s="32" t="n">
        <f aca="false">$J253</f>
        <v>1</v>
      </c>
      <c r="U253" s="32" t="n">
        <f aca="false">$J253</f>
        <v>1</v>
      </c>
      <c r="V253" s="32" t="n">
        <f aca="false">$J253</f>
        <v>1</v>
      </c>
      <c r="W253" s="32" t="n">
        <f aca="false">$J253</f>
        <v>1</v>
      </c>
      <c r="X253" s="32" t="n">
        <f aca="false">$J253</f>
        <v>1</v>
      </c>
      <c r="Y253" s="32" t="n">
        <f aca="false">$J253</f>
        <v>1</v>
      </c>
      <c r="Z253" s="32" t="n">
        <f aca="false">$J253</f>
        <v>1</v>
      </c>
      <c r="AA253" s="32" t="n">
        <f aca="false">$J253</f>
        <v>1</v>
      </c>
      <c r="AB253" s="5"/>
    </row>
    <row r="254" customFormat="false" ht="15" hidden="false" customHeight="false" outlineLevel="0" collapsed="false">
      <c r="A254" s="4" t="s">
        <v>249</v>
      </c>
      <c r="B254" s="4" t="s">
        <v>1107</v>
      </c>
      <c r="C254" s="4" t="s">
        <v>1108</v>
      </c>
      <c r="D254" s="5" t="s">
        <v>593</v>
      </c>
      <c r="E254" s="32" t="n">
        <v>1</v>
      </c>
      <c r="F254" s="4" t="s">
        <v>82</v>
      </c>
      <c r="G254" s="5" t="s">
        <v>509</v>
      </c>
      <c r="H254" s="4" t="s">
        <v>594</v>
      </c>
      <c r="I254" s="32" t="n">
        <v>1</v>
      </c>
      <c r="J254" s="32" t="n">
        <f aca="false">E254*I254</f>
        <v>1</v>
      </c>
      <c r="K254" s="4"/>
      <c r="L254" s="32"/>
      <c r="M254" s="32"/>
      <c r="N254" s="32"/>
      <c r="O254" s="32"/>
      <c r="P254" s="4"/>
      <c r="Q254" s="32"/>
      <c r="R254" s="32" t="n">
        <f aca="false">$J254</f>
        <v>1</v>
      </c>
      <c r="S254" s="32" t="n">
        <f aca="false">$J254</f>
        <v>1</v>
      </c>
      <c r="T254" s="32" t="n">
        <f aca="false">$J254</f>
        <v>1</v>
      </c>
      <c r="U254" s="32" t="n">
        <f aca="false">$J254</f>
        <v>1</v>
      </c>
      <c r="V254" s="32" t="n">
        <f aca="false">$J254</f>
        <v>1</v>
      </c>
      <c r="W254" s="32" t="n">
        <f aca="false">$J254</f>
        <v>1</v>
      </c>
      <c r="X254" s="32" t="n">
        <f aca="false">$J254</f>
        <v>1</v>
      </c>
      <c r="Y254" s="32" t="n">
        <f aca="false">$J254</f>
        <v>1</v>
      </c>
      <c r="Z254" s="32" t="n">
        <f aca="false">$J254</f>
        <v>1</v>
      </c>
      <c r="AA254" s="32" t="n">
        <f aca="false">$J254</f>
        <v>1</v>
      </c>
      <c r="AB254" s="5"/>
    </row>
    <row r="255" customFormat="false" ht="15" hidden="false" customHeight="false" outlineLevel="0" collapsed="false">
      <c r="A255" s="4" t="s">
        <v>249</v>
      </c>
      <c r="B255" s="4" t="s">
        <v>1109</v>
      </c>
      <c r="C255" s="4" t="s">
        <v>1110</v>
      </c>
      <c r="D255" s="5" t="s">
        <v>597</v>
      </c>
      <c r="E255" s="32" t="n">
        <v>1</v>
      </c>
      <c r="F255" s="4" t="s">
        <v>82</v>
      </c>
      <c r="G255" s="5" t="s">
        <v>509</v>
      </c>
      <c r="H255" s="4" t="s">
        <v>598</v>
      </c>
      <c r="I255" s="32" t="n">
        <v>1</v>
      </c>
      <c r="J255" s="32" t="n">
        <f aca="false">E255*I255</f>
        <v>1</v>
      </c>
      <c r="K255" s="4"/>
      <c r="L255" s="32"/>
      <c r="M255" s="32"/>
      <c r="N255" s="32"/>
      <c r="O255" s="32"/>
      <c r="P255" s="4"/>
      <c r="Q255" s="32"/>
      <c r="R255" s="32" t="n">
        <f aca="false">$J255</f>
        <v>1</v>
      </c>
      <c r="S255" s="32" t="n">
        <f aca="false">$J255</f>
        <v>1</v>
      </c>
      <c r="T255" s="32" t="n">
        <f aca="false">$J255</f>
        <v>1</v>
      </c>
      <c r="U255" s="32" t="n">
        <f aca="false">$J255</f>
        <v>1</v>
      </c>
      <c r="V255" s="32" t="n">
        <f aca="false">$J255</f>
        <v>1</v>
      </c>
      <c r="W255" s="32" t="n">
        <f aca="false">$J255</f>
        <v>1</v>
      </c>
      <c r="X255" s="32" t="n">
        <f aca="false">$J255</f>
        <v>1</v>
      </c>
      <c r="Y255" s="32" t="n">
        <f aca="false">$J255</f>
        <v>1</v>
      </c>
      <c r="Z255" s="32" t="n">
        <f aca="false">$J255</f>
        <v>1</v>
      </c>
      <c r="AA255" s="32" t="n">
        <f aca="false">$J255</f>
        <v>1</v>
      </c>
      <c r="AB255" s="5"/>
    </row>
    <row r="256" customFormat="false" ht="15" hidden="false" customHeight="false" outlineLevel="0" collapsed="false">
      <c r="A256" s="4" t="s">
        <v>273</v>
      </c>
      <c r="B256" s="4" t="s">
        <v>1014</v>
      </c>
      <c r="C256" s="4" t="s">
        <v>1111</v>
      </c>
      <c r="D256" s="5" t="s">
        <v>490</v>
      </c>
      <c r="E256" s="32" t="n">
        <v>1</v>
      </c>
      <c r="F256" s="4" t="s">
        <v>82</v>
      </c>
      <c r="G256" s="5" t="s">
        <v>491</v>
      </c>
      <c r="H256" s="4" t="s">
        <v>883</v>
      </c>
      <c r="I256" s="32" t="n">
        <f aca="false">FAB_COMPRA!K24</f>
        <v>0.166666666666667</v>
      </c>
      <c r="J256" s="32" t="n">
        <f aca="false">E256*I256</f>
        <v>0.166666666666667</v>
      </c>
      <c r="K256" s="4"/>
      <c r="L256" s="32"/>
      <c r="M256" s="32"/>
      <c r="N256" s="32"/>
      <c r="O256" s="32"/>
      <c r="P256" s="4"/>
      <c r="Q256" s="32"/>
      <c r="R256" s="32" t="n">
        <f aca="false">$J256</f>
        <v>0.166666666666667</v>
      </c>
      <c r="S256" s="32" t="n">
        <f aca="false">$J256</f>
        <v>0.166666666666667</v>
      </c>
      <c r="T256" s="32" t="n">
        <f aca="false">$J256</f>
        <v>0.166666666666667</v>
      </c>
      <c r="U256" s="32" t="n">
        <f aca="false">$J256</f>
        <v>0.166666666666667</v>
      </c>
      <c r="V256" s="32" t="n">
        <f aca="false">$J256</f>
        <v>0.166666666666667</v>
      </c>
      <c r="W256" s="32" t="n">
        <f aca="false">$J256</f>
        <v>0.166666666666667</v>
      </c>
      <c r="X256" s="32" t="n">
        <f aca="false">$J256</f>
        <v>0.166666666666667</v>
      </c>
      <c r="Y256" s="32" t="n">
        <f aca="false">$J256</f>
        <v>0.166666666666667</v>
      </c>
      <c r="Z256" s="32" t="n">
        <f aca="false">$J256</f>
        <v>0.166666666666667</v>
      </c>
      <c r="AA256" s="32" t="n">
        <f aca="false">$J256</f>
        <v>0.166666666666667</v>
      </c>
      <c r="AB256" s="5" t="s">
        <v>493</v>
      </c>
    </row>
    <row r="257" customFormat="false" ht="15" hidden="false" customHeight="false" outlineLevel="0" collapsed="false">
      <c r="A257" s="4" t="s">
        <v>273</v>
      </c>
      <c r="B257" s="4" t="s">
        <v>1016</v>
      </c>
      <c r="C257" s="4" t="s">
        <v>1112</v>
      </c>
      <c r="D257" s="5" t="s">
        <v>496</v>
      </c>
      <c r="E257" s="32" t="n">
        <v>1</v>
      </c>
      <c r="F257" s="4" t="s">
        <v>82</v>
      </c>
      <c r="G257" s="5" t="s">
        <v>491</v>
      </c>
      <c r="H257" s="4" t="s">
        <v>1018</v>
      </c>
      <c r="I257" s="32" t="n">
        <f aca="false">FAB_COMPRA!K25</f>
        <v>1</v>
      </c>
      <c r="J257" s="32" t="n">
        <f aca="false">E257*I257</f>
        <v>1</v>
      </c>
      <c r="K257" s="4"/>
      <c r="L257" s="32"/>
      <c r="M257" s="32"/>
      <c r="N257" s="32"/>
      <c r="O257" s="32"/>
      <c r="P257" s="4"/>
      <c r="Q257" s="32"/>
      <c r="R257" s="32" t="n">
        <f aca="false">$J257</f>
        <v>1</v>
      </c>
      <c r="S257" s="32" t="n">
        <f aca="false">$J257</f>
        <v>1</v>
      </c>
      <c r="T257" s="32" t="n">
        <f aca="false">$J257</f>
        <v>1</v>
      </c>
      <c r="U257" s="32" t="n">
        <f aca="false">$J257</f>
        <v>1</v>
      </c>
      <c r="V257" s="32" t="n">
        <f aca="false">$J257</f>
        <v>1</v>
      </c>
      <c r="W257" s="32" t="n">
        <f aca="false">$J257</f>
        <v>1</v>
      </c>
      <c r="X257" s="32" t="n">
        <f aca="false">$J257</f>
        <v>1</v>
      </c>
      <c r="Y257" s="32" t="n">
        <f aca="false">$J257</f>
        <v>1</v>
      </c>
      <c r="Z257" s="32" t="n">
        <f aca="false">$J257</f>
        <v>1</v>
      </c>
      <c r="AA257" s="32" t="n">
        <f aca="false">$J257</f>
        <v>1</v>
      </c>
      <c r="AB257" s="5" t="s">
        <v>493</v>
      </c>
    </row>
    <row r="258" customFormat="false" ht="15" hidden="false" customHeight="false" outlineLevel="0" collapsed="false">
      <c r="A258" s="4" t="s">
        <v>273</v>
      </c>
      <c r="B258" s="4" t="s">
        <v>1019</v>
      </c>
      <c r="C258" s="4" t="s">
        <v>1113</v>
      </c>
      <c r="D258" s="5" t="s">
        <v>500</v>
      </c>
      <c r="E258" s="32" t="n">
        <v>1</v>
      </c>
      <c r="F258" s="4" t="s">
        <v>82</v>
      </c>
      <c r="G258" s="5" t="s">
        <v>491</v>
      </c>
      <c r="H258" s="4" t="s">
        <v>1018</v>
      </c>
      <c r="I258" s="32" t="n">
        <f aca="false">FAB_COMPRA!K26</f>
        <v>1</v>
      </c>
      <c r="J258" s="32" t="n">
        <f aca="false">E258*I258</f>
        <v>1</v>
      </c>
      <c r="K258" s="4"/>
      <c r="L258" s="32"/>
      <c r="M258" s="32"/>
      <c r="N258" s="32"/>
      <c r="O258" s="32"/>
      <c r="P258" s="4"/>
      <c r="Q258" s="32"/>
      <c r="R258" s="32" t="n">
        <f aca="false">$J258</f>
        <v>1</v>
      </c>
      <c r="S258" s="32" t="n">
        <f aca="false">$J258</f>
        <v>1</v>
      </c>
      <c r="T258" s="32" t="n">
        <f aca="false">$J258</f>
        <v>1</v>
      </c>
      <c r="U258" s="32" t="n">
        <f aca="false">$J258</f>
        <v>1</v>
      </c>
      <c r="V258" s="32" t="n">
        <f aca="false">$J258</f>
        <v>1</v>
      </c>
      <c r="W258" s="32" t="n">
        <f aca="false">$J258</f>
        <v>1</v>
      </c>
      <c r="X258" s="32" t="n">
        <f aca="false">$J258</f>
        <v>1</v>
      </c>
      <c r="Y258" s="32" t="n">
        <f aca="false">$J258</f>
        <v>1</v>
      </c>
      <c r="Z258" s="32" t="n">
        <f aca="false">$J258</f>
        <v>1</v>
      </c>
      <c r="AA258" s="32" t="n">
        <f aca="false">$J258</f>
        <v>1</v>
      </c>
      <c r="AB258" s="5" t="s">
        <v>493</v>
      </c>
    </row>
    <row r="259" customFormat="false" ht="15" hidden="false" customHeight="false" outlineLevel="0" collapsed="false">
      <c r="A259" s="4" t="s">
        <v>273</v>
      </c>
      <c r="B259" s="4" t="s">
        <v>1021</v>
      </c>
      <c r="C259" s="4" t="s">
        <v>1114</v>
      </c>
      <c r="D259" s="5" t="s">
        <v>504</v>
      </c>
      <c r="E259" s="32" t="n">
        <v>1</v>
      </c>
      <c r="F259" s="4" t="s">
        <v>82</v>
      </c>
      <c r="G259" s="5" t="s">
        <v>491</v>
      </c>
      <c r="H259" s="4" t="s">
        <v>891</v>
      </c>
      <c r="I259" s="32" t="n">
        <f aca="false">FAB_COMPRA!K27</f>
        <v>1</v>
      </c>
      <c r="J259" s="32" t="n">
        <f aca="false">E259*I259</f>
        <v>1</v>
      </c>
      <c r="K259" s="4"/>
      <c r="L259" s="32"/>
      <c r="M259" s="32"/>
      <c r="N259" s="32"/>
      <c r="O259" s="32"/>
      <c r="P259" s="4"/>
      <c r="Q259" s="32"/>
      <c r="R259" s="32" t="n">
        <f aca="false">$J259</f>
        <v>1</v>
      </c>
      <c r="S259" s="32" t="n">
        <f aca="false">$J259</f>
        <v>1</v>
      </c>
      <c r="T259" s="32" t="n">
        <f aca="false">$J259</f>
        <v>1</v>
      </c>
      <c r="U259" s="32" t="n">
        <f aca="false">$J259</f>
        <v>1</v>
      </c>
      <c r="V259" s="32" t="n">
        <f aca="false">$J259</f>
        <v>1</v>
      </c>
      <c r="W259" s="32" t="n">
        <f aca="false">$J259</f>
        <v>1</v>
      </c>
      <c r="X259" s="32" t="n">
        <f aca="false">$J259</f>
        <v>1</v>
      </c>
      <c r="Y259" s="32" t="n">
        <f aca="false">$J259</f>
        <v>1</v>
      </c>
      <c r="Z259" s="32" t="n">
        <f aca="false">$J259</f>
        <v>1</v>
      </c>
      <c r="AA259" s="32" t="n">
        <f aca="false">$J259</f>
        <v>1</v>
      </c>
      <c r="AB259" s="5" t="s">
        <v>493</v>
      </c>
    </row>
    <row r="260" customFormat="false" ht="15" hidden="false" customHeight="false" outlineLevel="0" collapsed="false">
      <c r="A260" s="4" t="s">
        <v>273</v>
      </c>
      <c r="B260" s="4" t="s">
        <v>1115</v>
      </c>
      <c r="C260" s="4" t="s">
        <v>1116</v>
      </c>
      <c r="D260" s="5" t="s">
        <v>609</v>
      </c>
      <c r="E260" s="32" t="n">
        <v>1</v>
      </c>
      <c r="F260" s="4" t="s">
        <v>82</v>
      </c>
      <c r="G260" s="5" t="s">
        <v>509</v>
      </c>
      <c r="H260" s="4" t="s">
        <v>710</v>
      </c>
      <c r="I260" s="32" t="n">
        <v>1</v>
      </c>
      <c r="J260" s="32" t="n">
        <f aca="false">E260*I260</f>
        <v>1</v>
      </c>
      <c r="K260" s="4"/>
      <c r="L260" s="32"/>
      <c r="M260" s="32"/>
      <c r="N260" s="32"/>
      <c r="O260" s="32"/>
      <c r="P260" s="4"/>
      <c r="Q260" s="32"/>
      <c r="R260" s="32" t="n">
        <f aca="false">$J260</f>
        <v>1</v>
      </c>
      <c r="S260" s="32" t="n">
        <f aca="false">$J260</f>
        <v>1</v>
      </c>
      <c r="T260" s="32" t="n">
        <f aca="false">$J260</f>
        <v>1</v>
      </c>
      <c r="U260" s="32" t="n">
        <f aca="false">$J260</f>
        <v>1</v>
      </c>
      <c r="V260" s="32" t="n">
        <f aca="false">$J260</f>
        <v>1</v>
      </c>
      <c r="W260" s="32" t="n">
        <f aca="false">$J260</f>
        <v>1</v>
      </c>
      <c r="X260" s="32" t="n">
        <f aca="false">$J260</f>
        <v>1</v>
      </c>
      <c r="Y260" s="32" t="n">
        <f aca="false">$J260</f>
        <v>1</v>
      </c>
      <c r="Z260" s="32" t="n">
        <f aca="false">$J260</f>
        <v>1</v>
      </c>
      <c r="AA260" s="32" t="n">
        <f aca="false">$J260</f>
        <v>1</v>
      </c>
      <c r="AB260" s="5"/>
    </row>
    <row r="261" customFormat="false" ht="15" hidden="false" customHeight="false" outlineLevel="0" collapsed="false">
      <c r="A261" s="4" t="s">
        <v>273</v>
      </c>
      <c r="B261" s="4" t="s">
        <v>1117</v>
      </c>
      <c r="C261" s="4" t="s">
        <v>1118</v>
      </c>
      <c r="D261" s="5" t="s">
        <v>613</v>
      </c>
      <c r="E261" s="32" t="n">
        <v>1</v>
      </c>
      <c r="F261" s="4" t="s">
        <v>82</v>
      </c>
      <c r="G261" s="5" t="s">
        <v>509</v>
      </c>
      <c r="H261" s="4" t="s">
        <v>614</v>
      </c>
      <c r="I261" s="32" t="n">
        <v>1</v>
      </c>
      <c r="J261" s="32" t="n">
        <f aca="false">E261*I261</f>
        <v>1</v>
      </c>
      <c r="K261" s="4"/>
      <c r="L261" s="32"/>
      <c r="M261" s="32"/>
      <c r="N261" s="32"/>
      <c r="O261" s="32"/>
      <c r="P261" s="4"/>
      <c r="Q261" s="32"/>
      <c r="R261" s="32" t="n">
        <f aca="false">$J261</f>
        <v>1</v>
      </c>
      <c r="S261" s="32" t="n">
        <f aca="false">$J261</f>
        <v>1</v>
      </c>
      <c r="T261" s="32" t="n">
        <f aca="false">$J261</f>
        <v>1</v>
      </c>
      <c r="U261" s="32" t="n">
        <f aca="false">$J261</f>
        <v>1</v>
      </c>
      <c r="V261" s="32" t="n">
        <f aca="false">$J261</f>
        <v>1</v>
      </c>
      <c r="W261" s="32" t="n">
        <f aca="false">$J261</f>
        <v>1</v>
      </c>
      <c r="X261" s="32" t="n">
        <f aca="false">$J261</f>
        <v>1</v>
      </c>
      <c r="Y261" s="32" t="n">
        <f aca="false">$J261</f>
        <v>1</v>
      </c>
      <c r="Z261" s="32" t="n">
        <f aca="false">$J261</f>
        <v>1</v>
      </c>
      <c r="AA261" s="32" t="n">
        <f aca="false">$J261</f>
        <v>1</v>
      </c>
      <c r="AB261" s="5"/>
    </row>
    <row r="262" customFormat="false" ht="15" hidden="false" customHeight="false" outlineLevel="0" collapsed="false">
      <c r="A262" s="4" t="s">
        <v>252</v>
      </c>
      <c r="B262" s="4" t="s">
        <v>1119</v>
      </c>
      <c r="C262" s="4" t="s">
        <v>1120</v>
      </c>
      <c r="D262" s="5" t="s">
        <v>490</v>
      </c>
      <c r="E262" s="32" t="n">
        <v>1</v>
      </c>
      <c r="F262" s="4" t="s">
        <v>82</v>
      </c>
      <c r="G262" s="5" t="s">
        <v>491</v>
      </c>
      <c r="H262" s="4" t="s">
        <v>1121</v>
      </c>
      <c r="I262" s="32" t="n">
        <f aca="false">FAB_COMPRA!K28</f>
        <v>0.25</v>
      </c>
      <c r="J262" s="32" t="n">
        <f aca="false">E262*I262</f>
        <v>0.25</v>
      </c>
      <c r="K262" s="4"/>
      <c r="L262" s="32"/>
      <c r="M262" s="32"/>
      <c r="N262" s="32"/>
      <c r="O262" s="32"/>
      <c r="P262" s="4"/>
      <c r="Q262" s="32"/>
      <c r="R262" s="32" t="n">
        <f aca="false">$J262</f>
        <v>0.25</v>
      </c>
      <c r="S262" s="32" t="n">
        <f aca="false">$J262</f>
        <v>0.25</v>
      </c>
      <c r="T262" s="32" t="n">
        <f aca="false">$J262</f>
        <v>0.25</v>
      </c>
      <c r="U262" s="32" t="n">
        <f aca="false">$J262</f>
        <v>0.25</v>
      </c>
      <c r="V262" s="32" t="n">
        <f aca="false">$J262</f>
        <v>0.25</v>
      </c>
      <c r="W262" s="32" t="n">
        <f aca="false">$J262</f>
        <v>0.25</v>
      </c>
      <c r="X262" s="32" t="n">
        <f aca="false">$J262</f>
        <v>0.25</v>
      </c>
      <c r="Y262" s="32" t="n">
        <f aca="false">$J262</f>
        <v>0.25</v>
      </c>
      <c r="Z262" s="32" t="n">
        <f aca="false">$J262</f>
        <v>0.25</v>
      </c>
      <c r="AA262" s="32" t="n">
        <f aca="false">$J262</f>
        <v>0.25</v>
      </c>
      <c r="AB262" s="5" t="s">
        <v>493</v>
      </c>
    </row>
    <row r="263" customFormat="false" ht="15" hidden="false" customHeight="false" outlineLevel="0" collapsed="false">
      <c r="A263" s="4" t="s">
        <v>252</v>
      </c>
      <c r="B263" s="4" t="s">
        <v>1122</v>
      </c>
      <c r="C263" s="4" t="s">
        <v>1123</v>
      </c>
      <c r="D263" s="5" t="s">
        <v>496</v>
      </c>
      <c r="E263" s="32" t="n">
        <v>1</v>
      </c>
      <c r="F263" s="4" t="s">
        <v>82</v>
      </c>
      <c r="G263" s="5" t="s">
        <v>491</v>
      </c>
      <c r="H263" s="4" t="s">
        <v>1124</v>
      </c>
      <c r="I263" s="32" t="n">
        <f aca="false">FAB_COMPRA!K29</f>
        <v>1</v>
      </c>
      <c r="J263" s="32" t="n">
        <f aca="false">E263*I263</f>
        <v>1</v>
      </c>
      <c r="K263" s="4"/>
      <c r="L263" s="32"/>
      <c r="M263" s="32"/>
      <c r="N263" s="32"/>
      <c r="O263" s="32"/>
      <c r="P263" s="4"/>
      <c r="Q263" s="32"/>
      <c r="R263" s="32" t="n">
        <f aca="false">$J263</f>
        <v>1</v>
      </c>
      <c r="S263" s="32" t="n">
        <f aca="false">$J263</f>
        <v>1</v>
      </c>
      <c r="T263" s="32" t="n">
        <f aca="false">$J263</f>
        <v>1</v>
      </c>
      <c r="U263" s="32" t="n">
        <f aca="false">$J263</f>
        <v>1</v>
      </c>
      <c r="V263" s="32" t="n">
        <f aca="false">$J263</f>
        <v>1</v>
      </c>
      <c r="W263" s="32" t="n">
        <f aca="false">$J263</f>
        <v>1</v>
      </c>
      <c r="X263" s="32" t="n">
        <f aca="false">$J263</f>
        <v>1</v>
      </c>
      <c r="Y263" s="32" t="n">
        <f aca="false">$J263</f>
        <v>1</v>
      </c>
      <c r="Z263" s="32" t="n">
        <f aca="false">$J263</f>
        <v>1</v>
      </c>
      <c r="AA263" s="32" t="n">
        <f aca="false">$J263</f>
        <v>1</v>
      </c>
      <c r="AB263" s="5" t="s">
        <v>493</v>
      </c>
    </row>
    <row r="264" customFormat="false" ht="15" hidden="false" customHeight="false" outlineLevel="0" collapsed="false">
      <c r="A264" s="4" t="s">
        <v>252</v>
      </c>
      <c r="B264" s="4" t="s">
        <v>1125</v>
      </c>
      <c r="C264" s="4" t="s">
        <v>1126</v>
      </c>
      <c r="D264" s="5" t="s">
        <v>500</v>
      </c>
      <c r="E264" s="32" t="n">
        <v>1</v>
      </c>
      <c r="F264" s="4" t="s">
        <v>82</v>
      </c>
      <c r="G264" s="5" t="s">
        <v>491</v>
      </c>
      <c r="H264" s="4" t="s">
        <v>1124</v>
      </c>
      <c r="I264" s="32" t="n">
        <f aca="false">FAB_COMPRA!K30</f>
        <v>1</v>
      </c>
      <c r="J264" s="32" t="n">
        <f aca="false">E264*I264</f>
        <v>1</v>
      </c>
      <c r="K264" s="4"/>
      <c r="L264" s="32"/>
      <c r="M264" s="32"/>
      <c r="N264" s="32"/>
      <c r="O264" s="32"/>
      <c r="P264" s="4"/>
      <c r="Q264" s="32"/>
      <c r="R264" s="32" t="n">
        <f aca="false">$J264</f>
        <v>1</v>
      </c>
      <c r="S264" s="32" t="n">
        <f aca="false">$J264</f>
        <v>1</v>
      </c>
      <c r="T264" s="32" t="n">
        <f aca="false">$J264</f>
        <v>1</v>
      </c>
      <c r="U264" s="32" t="n">
        <f aca="false">$J264</f>
        <v>1</v>
      </c>
      <c r="V264" s="32" t="n">
        <f aca="false">$J264</f>
        <v>1</v>
      </c>
      <c r="W264" s="32" t="n">
        <f aca="false">$J264</f>
        <v>1</v>
      </c>
      <c r="X264" s="32" t="n">
        <f aca="false">$J264</f>
        <v>1</v>
      </c>
      <c r="Y264" s="32" t="n">
        <f aca="false">$J264</f>
        <v>1</v>
      </c>
      <c r="Z264" s="32" t="n">
        <f aca="false">$J264</f>
        <v>1</v>
      </c>
      <c r="AA264" s="32" t="n">
        <f aca="false">$J264</f>
        <v>1</v>
      </c>
      <c r="AB264" s="5" t="s">
        <v>493</v>
      </c>
    </row>
    <row r="265" customFormat="false" ht="15" hidden="false" customHeight="false" outlineLevel="0" collapsed="false">
      <c r="A265" s="4" t="s">
        <v>252</v>
      </c>
      <c r="B265" s="4" t="s">
        <v>1127</v>
      </c>
      <c r="C265" s="4" t="s">
        <v>1128</v>
      </c>
      <c r="D265" s="5" t="s">
        <v>504</v>
      </c>
      <c r="E265" s="32" t="n">
        <v>1</v>
      </c>
      <c r="F265" s="4" t="s">
        <v>82</v>
      </c>
      <c r="G265" s="5" t="s">
        <v>491</v>
      </c>
      <c r="H265" s="4" t="s">
        <v>1129</v>
      </c>
      <c r="I265" s="32" t="n">
        <f aca="false">FAB_COMPRA!K31</f>
        <v>1</v>
      </c>
      <c r="J265" s="32" t="n">
        <f aca="false">E265*I265</f>
        <v>1</v>
      </c>
      <c r="K265" s="4"/>
      <c r="L265" s="32"/>
      <c r="M265" s="32"/>
      <c r="N265" s="32"/>
      <c r="O265" s="32"/>
      <c r="P265" s="4"/>
      <c r="Q265" s="32"/>
      <c r="R265" s="32" t="n">
        <f aca="false">$J265</f>
        <v>1</v>
      </c>
      <c r="S265" s="32" t="n">
        <f aca="false">$J265</f>
        <v>1</v>
      </c>
      <c r="T265" s="32" t="n">
        <f aca="false">$J265</f>
        <v>1</v>
      </c>
      <c r="U265" s="32" t="n">
        <f aca="false">$J265</f>
        <v>1</v>
      </c>
      <c r="V265" s="32" t="n">
        <f aca="false">$J265</f>
        <v>1</v>
      </c>
      <c r="W265" s="32" t="n">
        <f aca="false">$J265</f>
        <v>1</v>
      </c>
      <c r="X265" s="32" t="n">
        <f aca="false">$J265</f>
        <v>1</v>
      </c>
      <c r="Y265" s="32" t="n">
        <f aca="false">$J265</f>
        <v>1</v>
      </c>
      <c r="Z265" s="32" t="n">
        <f aca="false">$J265</f>
        <v>1</v>
      </c>
      <c r="AA265" s="32" t="n">
        <f aca="false">$J265</f>
        <v>1</v>
      </c>
      <c r="AB265" s="5" t="s">
        <v>493</v>
      </c>
    </row>
    <row r="266" customFormat="false" ht="15" hidden="false" customHeight="false" outlineLevel="0" collapsed="false">
      <c r="A266" s="4" t="s">
        <v>252</v>
      </c>
      <c r="B266" s="4" t="s">
        <v>1130</v>
      </c>
      <c r="C266" s="4" t="s">
        <v>1131</v>
      </c>
      <c r="D266" s="5" t="s">
        <v>1132</v>
      </c>
      <c r="E266" s="32" t="n">
        <v>1</v>
      </c>
      <c r="F266" s="4" t="s">
        <v>82</v>
      </c>
      <c r="G266" s="5" t="s">
        <v>943</v>
      </c>
      <c r="H266" s="4"/>
      <c r="I266" s="32"/>
      <c r="J266" s="32" t="n">
        <f aca="false">E266*I266</f>
        <v>0</v>
      </c>
      <c r="K266" s="4"/>
      <c r="L266" s="32"/>
      <c r="M266" s="32"/>
      <c r="N266" s="32"/>
      <c r="O266" s="32"/>
      <c r="P266" s="4"/>
      <c r="Q266" s="32"/>
      <c r="R266" s="32" t="n">
        <f aca="false">$J266</f>
        <v>0</v>
      </c>
      <c r="S266" s="32" t="n">
        <f aca="false">$J266</f>
        <v>0</v>
      </c>
      <c r="T266" s="32" t="n">
        <f aca="false">$J266</f>
        <v>0</v>
      </c>
      <c r="U266" s="32" t="n">
        <f aca="false">$J266</f>
        <v>0</v>
      </c>
      <c r="V266" s="32" t="n">
        <f aca="false">$J266</f>
        <v>0</v>
      </c>
      <c r="W266" s="32" t="n">
        <f aca="false">$J266</f>
        <v>0</v>
      </c>
      <c r="X266" s="32" t="n">
        <f aca="false">$J266</f>
        <v>0</v>
      </c>
      <c r="Y266" s="32" t="n">
        <f aca="false">$J266</f>
        <v>0</v>
      </c>
      <c r="Z266" s="32" t="n">
        <f aca="false">$J266</f>
        <v>0</v>
      </c>
      <c r="AA266" s="32" t="n">
        <f aca="false">$J266</f>
        <v>0</v>
      </c>
      <c r="AB266" s="5"/>
    </row>
    <row r="267" customFormat="false" ht="15" hidden="false" customHeight="false" outlineLevel="0" collapsed="false">
      <c r="A267" s="4" t="s">
        <v>252</v>
      </c>
      <c r="B267" s="4" t="s">
        <v>1133</v>
      </c>
      <c r="C267" s="4" t="s">
        <v>1134</v>
      </c>
      <c r="D267" s="5" t="s">
        <v>508</v>
      </c>
      <c r="E267" s="32" t="n">
        <v>1</v>
      </c>
      <c r="F267" s="4" t="s">
        <v>82</v>
      </c>
      <c r="G267" s="5" t="s">
        <v>509</v>
      </c>
      <c r="H267" s="4" t="s">
        <v>510</v>
      </c>
      <c r="I267" s="32" t="n">
        <v>1</v>
      </c>
      <c r="J267" s="32" t="n">
        <f aca="false">E267*I267</f>
        <v>1</v>
      </c>
      <c r="K267" s="4"/>
      <c r="L267" s="32"/>
      <c r="M267" s="32"/>
      <c r="N267" s="32"/>
      <c r="O267" s="32"/>
      <c r="P267" s="4"/>
      <c r="Q267" s="32"/>
      <c r="R267" s="32" t="n">
        <f aca="false">$J267</f>
        <v>1</v>
      </c>
      <c r="S267" s="32" t="n">
        <f aca="false">$J267</f>
        <v>1</v>
      </c>
      <c r="T267" s="32" t="n">
        <f aca="false">$J267</f>
        <v>1</v>
      </c>
      <c r="U267" s="32" t="n">
        <f aca="false">$J267</f>
        <v>1</v>
      </c>
      <c r="V267" s="32" t="n">
        <f aca="false">$J267</f>
        <v>1</v>
      </c>
      <c r="W267" s="32" t="n">
        <f aca="false">$J267</f>
        <v>1</v>
      </c>
      <c r="X267" s="32" t="n">
        <f aca="false">$J267</f>
        <v>1</v>
      </c>
      <c r="Y267" s="32" t="n">
        <f aca="false">$J267</f>
        <v>1</v>
      </c>
      <c r="Z267" s="32" t="n">
        <f aca="false">$J267</f>
        <v>1</v>
      </c>
      <c r="AA267" s="32" t="n">
        <f aca="false">$J267</f>
        <v>1</v>
      </c>
      <c r="AB267" s="5"/>
    </row>
    <row r="268" customFormat="false" ht="15" hidden="false" customHeight="false" outlineLevel="0" collapsed="false">
      <c r="A268" s="4" t="s">
        <v>252</v>
      </c>
      <c r="B268" s="4" t="s">
        <v>1135</v>
      </c>
      <c r="C268" s="4" t="s">
        <v>1136</v>
      </c>
      <c r="D268" s="5" t="s">
        <v>513</v>
      </c>
      <c r="E268" s="32" t="n">
        <v>1</v>
      </c>
      <c r="F268" s="4" t="s">
        <v>82</v>
      </c>
      <c r="G268" s="5" t="s">
        <v>509</v>
      </c>
      <c r="H268" s="4" t="s">
        <v>1137</v>
      </c>
      <c r="I268" s="32" t="n">
        <v>1</v>
      </c>
      <c r="J268" s="32" t="n">
        <f aca="false">E268*I268</f>
        <v>1</v>
      </c>
      <c r="K268" s="4"/>
      <c r="L268" s="32"/>
      <c r="M268" s="32"/>
      <c r="N268" s="32"/>
      <c r="O268" s="32"/>
      <c r="P268" s="4"/>
      <c r="Q268" s="32"/>
      <c r="R268" s="32" t="n">
        <f aca="false">$J268</f>
        <v>1</v>
      </c>
      <c r="S268" s="32" t="n">
        <f aca="false">$J268</f>
        <v>1</v>
      </c>
      <c r="T268" s="32" t="n">
        <f aca="false">$J268</f>
        <v>1</v>
      </c>
      <c r="U268" s="32" t="n">
        <f aca="false">$J268</f>
        <v>1</v>
      </c>
      <c r="V268" s="32" t="n">
        <f aca="false">$J268</f>
        <v>1</v>
      </c>
      <c r="W268" s="32" t="n">
        <f aca="false">$J268</f>
        <v>1</v>
      </c>
      <c r="X268" s="32" t="n">
        <f aca="false">$J268</f>
        <v>1</v>
      </c>
      <c r="Y268" s="32" t="n">
        <f aca="false">$J268</f>
        <v>1</v>
      </c>
      <c r="Z268" s="32" t="n">
        <f aca="false">$J268</f>
        <v>1</v>
      </c>
      <c r="AA268" s="32" t="n">
        <f aca="false">$J268</f>
        <v>1</v>
      </c>
      <c r="AB268" s="5"/>
    </row>
    <row r="269" customFormat="false" ht="15" hidden="false" customHeight="false" outlineLevel="0" collapsed="false">
      <c r="A269" s="4" t="s">
        <v>252</v>
      </c>
      <c r="B269" s="4" t="s">
        <v>1138</v>
      </c>
      <c r="C269" s="4" t="s">
        <v>1139</v>
      </c>
      <c r="D269" s="5" t="s">
        <v>1029</v>
      </c>
      <c r="E269" s="32" t="n">
        <v>1</v>
      </c>
      <c r="F269" s="4" t="s">
        <v>82</v>
      </c>
      <c r="G269" s="5" t="s">
        <v>518</v>
      </c>
      <c r="H269" s="4" t="s">
        <v>1030</v>
      </c>
      <c r="I269" s="32" t="n">
        <v>1</v>
      </c>
      <c r="J269" s="32" t="n">
        <f aca="false">E269*I269</f>
        <v>1</v>
      </c>
      <c r="K269" s="4"/>
      <c r="L269" s="32"/>
      <c r="M269" s="32"/>
      <c r="N269" s="32"/>
      <c r="O269" s="32"/>
      <c r="P269" s="4"/>
      <c r="Q269" s="32"/>
      <c r="R269" s="32" t="n">
        <f aca="false">$J269</f>
        <v>1</v>
      </c>
      <c r="S269" s="32" t="n">
        <f aca="false">$J269</f>
        <v>1</v>
      </c>
      <c r="T269" s="32" t="n">
        <f aca="false">$J269</f>
        <v>1</v>
      </c>
      <c r="U269" s="32" t="n">
        <f aca="false">$J269</f>
        <v>1</v>
      </c>
      <c r="V269" s="32" t="n">
        <f aca="false">$J269</f>
        <v>1</v>
      </c>
      <c r="W269" s="32" t="n">
        <f aca="false">$J269</f>
        <v>1</v>
      </c>
      <c r="X269" s="32" t="n">
        <f aca="false">$J269</f>
        <v>1</v>
      </c>
      <c r="Y269" s="32" t="n">
        <f aca="false">$J269</f>
        <v>1</v>
      </c>
      <c r="Z269" s="32" t="n">
        <f aca="false">$J269</f>
        <v>1</v>
      </c>
      <c r="AA269" s="32" t="n">
        <f aca="false">$J269</f>
        <v>1</v>
      </c>
      <c r="AB269" s="5"/>
    </row>
    <row r="270" customFormat="false" ht="15" hidden="false" customHeight="false" outlineLevel="0" collapsed="false">
      <c r="A270" s="4" t="s">
        <v>252</v>
      </c>
      <c r="B270" s="4" t="s">
        <v>1140</v>
      </c>
      <c r="C270" s="4" t="s">
        <v>1141</v>
      </c>
      <c r="D270" s="5" t="s">
        <v>522</v>
      </c>
      <c r="E270" s="32" t="n">
        <v>1</v>
      </c>
      <c r="F270" s="4" t="s">
        <v>82</v>
      </c>
      <c r="G270" s="5" t="s">
        <v>523</v>
      </c>
      <c r="H270" s="4"/>
      <c r="I270" s="32"/>
      <c r="J270" s="32" t="n">
        <f aca="false">E270*I270</f>
        <v>0</v>
      </c>
      <c r="K270" s="4"/>
      <c r="L270" s="32"/>
      <c r="M270" s="32"/>
      <c r="N270" s="32"/>
      <c r="O270" s="32"/>
      <c r="P270" s="4"/>
      <c r="Q270" s="32"/>
      <c r="R270" s="32" t="n">
        <f aca="false">$J270</f>
        <v>0</v>
      </c>
      <c r="S270" s="32" t="n">
        <f aca="false">$J270</f>
        <v>0</v>
      </c>
      <c r="T270" s="32" t="n">
        <f aca="false">$J270</f>
        <v>0</v>
      </c>
      <c r="U270" s="32" t="n">
        <f aca="false">$J270</f>
        <v>0</v>
      </c>
      <c r="V270" s="32" t="n">
        <f aca="false">$J270</f>
        <v>0</v>
      </c>
      <c r="W270" s="32" t="n">
        <f aca="false">$J270</f>
        <v>0</v>
      </c>
      <c r="X270" s="32" t="n">
        <f aca="false">$J270</f>
        <v>0</v>
      </c>
      <c r="Y270" s="32" t="n">
        <f aca="false">$J270</f>
        <v>0</v>
      </c>
      <c r="Z270" s="32" t="n">
        <f aca="false">$J270</f>
        <v>0</v>
      </c>
      <c r="AA270" s="32" t="n">
        <f aca="false">$J270</f>
        <v>0</v>
      </c>
      <c r="AB270" s="5"/>
    </row>
    <row r="271" customFormat="false" ht="15" hidden="false" customHeight="false" outlineLevel="0" collapsed="false">
      <c r="A271" s="4" t="s">
        <v>252</v>
      </c>
      <c r="B271" s="4" t="s">
        <v>1142</v>
      </c>
      <c r="C271" s="4" t="s">
        <v>1143</v>
      </c>
      <c r="D271" s="5" t="s">
        <v>526</v>
      </c>
      <c r="E271" s="32" t="n">
        <v>1</v>
      </c>
      <c r="F271" s="4" t="s">
        <v>82</v>
      </c>
      <c r="G271" s="5" t="s">
        <v>523</v>
      </c>
      <c r="H271" s="4"/>
      <c r="I271" s="32"/>
      <c r="J271" s="32" t="n">
        <f aca="false">E271*I271</f>
        <v>0</v>
      </c>
      <c r="K271" s="4"/>
      <c r="L271" s="32"/>
      <c r="M271" s="32"/>
      <c r="N271" s="32"/>
      <c r="O271" s="32"/>
      <c r="P271" s="4"/>
      <c r="Q271" s="32"/>
      <c r="R271" s="32" t="n">
        <f aca="false">$J271</f>
        <v>0</v>
      </c>
      <c r="S271" s="32" t="n">
        <f aca="false">$J271</f>
        <v>0</v>
      </c>
      <c r="T271" s="32" t="n">
        <f aca="false">$J271</f>
        <v>0</v>
      </c>
      <c r="U271" s="32" t="n">
        <f aca="false">$J271</f>
        <v>0</v>
      </c>
      <c r="V271" s="32" t="n">
        <f aca="false">$J271</f>
        <v>0</v>
      </c>
      <c r="W271" s="32" t="n">
        <f aca="false">$J271</f>
        <v>0</v>
      </c>
      <c r="X271" s="32" t="n">
        <f aca="false">$J271</f>
        <v>0</v>
      </c>
      <c r="Y271" s="32" t="n">
        <f aca="false">$J271</f>
        <v>0</v>
      </c>
      <c r="Z271" s="32" t="n">
        <f aca="false">$J271</f>
        <v>0</v>
      </c>
      <c r="AA271" s="32" t="n">
        <f aca="false">$J271</f>
        <v>0</v>
      </c>
      <c r="AB271" s="5"/>
    </row>
    <row r="272" customFormat="false" ht="15" hidden="false" customHeight="false" outlineLevel="0" collapsed="false">
      <c r="A272" s="4" t="s">
        <v>252</v>
      </c>
      <c r="B272" s="4" t="s">
        <v>1144</v>
      </c>
      <c r="C272" s="4" t="s">
        <v>1145</v>
      </c>
      <c r="D272" s="5" t="s">
        <v>529</v>
      </c>
      <c r="E272" s="32" t="n">
        <v>1</v>
      </c>
      <c r="F272" s="4" t="s">
        <v>82</v>
      </c>
      <c r="G272" s="5" t="s">
        <v>523</v>
      </c>
      <c r="H272" s="4"/>
      <c r="I272" s="32"/>
      <c r="J272" s="32" t="n">
        <f aca="false">E272*I272</f>
        <v>0</v>
      </c>
      <c r="K272" s="4"/>
      <c r="L272" s="32"/>
      <c r="M272" s="32"/>
      <c r="N272" s="32"/>
      <c r="O272" s="32"/>
      <c r="P272" s="4"/>
      <c r="Q272" s="32"/>
      <c r="R272" s="32" t="n">
        <f aca="false">$J272</f>
        <v>0</v>
      </c>
      <c r="S272" s="32" t="n">
        <f aca="false">$J272</f>
        <v>0</v>
      </c>
      <c r="T272" s="32" t="n">
        <f aca="false">$J272</f>
        <v>0</v>
      </c>
      <c r="U272" s="32" t="n">
        <f aca="false">$J272</f>
        <v>0</v>
      </c>
      <c r="V272" s="32" t="n">
        <f aca="false">$J272</f>
        <v>0</v>
      </c>
      <c r="W272" s="32" t="n">
        <f aca="false">$J272</f>
        <v>0</v>
      </c>
      <c r="X272" s="32" t="n">
        <f aca="false">$J272</f>
        <v>0</v>
      </c>
      <c r="Y272" s="32" t="n">
        <f aca="false">$J272</f>
        <v>0</v>
      </c>
      <c r="Z272" s="32" t="n">
        <f aca="false">$J272</f>
        <v>0</v>
      </c>
      <c r="AA272" s="32" t="n">
        <f aca="false">$J272</f>
        <v>0</v>
      </c>
      <c r="AB272" s="5"/>
    </row>
    <row r="273" customFormat="false" ht="15" hidden="false" customHeight="false" outlineLevel="0" collapsed="false">
      <c r="A273" s="4" t="s">
        <v>252</v>
      </c>
      <c r="B273" s="4" t="s">
        <v>1146</v>
      </c>
      <c r="C273" s="4" t="s">
        <v>1147</v>
      </c>
      <c r="D273" s="5" t="s">
        <v>532</v>
      </c>
      <c r="E273" s="32" t="n">
        <v>1</v>
      </c>
      <c r="F273" s="4" t="s">
        <v>82</v>
      </c>
      <c r="G273" s="5" t="s">
        <v>523</v>
      </c>
      <c r="H273" s="4"/>
      <c r="I273" s="32"/>
      <c r="J273" s="32" t="n">
        <f aca="false">E273*I273</f>
        <v>0</v>
      </c>
      <c r="K273" s="4"/>
      <c r="L273" s="32"/>
      <c r="M273" s="32"/>
      <c r="N273" s="32"/>
      <c r="O273" s="32"/>
      <c r="P273" s="4"/>
      <c r="Q273" s="32"/>
      <c r="R273" s="32" t="n">
        <f aca="false">$J273</f>
        <v>0</v>
      </c>
      <c r="S273" s="32" t="n">
        <f aca="false">$J273</f>
        <v>0</v>
      </c>
      <c r="T273" s="32" t="n">
        <f aca="false">$J273</f>
        <v>0</v>
      </c>
      <c r="U273" s="32" t="n">
        <f aca="false">$J273</f>
        <v>0</v>
      </c>
      <c r="V273" s="32" t="n">
        <f aca="false">$J273</f>
        <v>0</v>
      </c>
      <c r="W273" s="32" t="n">
        <f aca="false">$J273</f>
        <v>0</v>
      </c>
      <c r="X273" s="32" t="n">
        <f aca="false">$J273</f>
        <v>0</v>
      </c>
      <c r="Y273" s="32" t="n">
        <f aca="false">$J273</f>
        <v>0</v>
      </c>
      <c r="Z273" s="32" t="n">
        <f aca="false">$J273</f>
        <v>0</v>
      </c>
      <c r="AA273" s="32" t="n">
        <f aca="false">$J273</f>
        <v>0</v>
      </c>
      <c r="AB273" s="5"/>
    </row>
    <row r="274" customFormat="false" ht="15" hidden="false" customHeight="false" outlineLevel="0" collapsed="false">
      <c r="A274" s="4" t="s">
        <v>252</v>
      </c>
      <c r="B274" s="4" t="s">
        <v>1148</v>
      </c>
      <c r="C274" s="4" t="s">
        <v>1149</v>
      </c>
      <c r="D274" s="5" t="s">
        <v>535</v>
      </c>
      <c r="E274" s="32" t="n">
        <v>1</v>
      </c>
      <c r="F274" s="4" t="s">
        <v>82</v>
      </c>
      <c r="G274" s="5" t="s">
        <v>523</v>
      </c>
      <c r="H274" s="4"/>
      <c r="I274" s="32"/>
      <c r="J274" s="32" t="n">
        <f aca="false">E274*I274</f>
        <v>0</v>
      </c>
      <c r="K274" s="4"/>
      <c r="L274" s="32"/>
      <c r="M274" s="32"/>
      <c r="N274" s="32"/>
      <c r="O274" s="32"/>
      <c r="P274" s="4"/>
      <c r="Q274" s="32"/>
      <c r="R274" s="32" t="n">
        <f aca="false">$J274</f>
        <v>0</v>
      </c>
      <c r="S274" s="32" t="n">
        <f aca="false">$J274</f>
        <v>0</v>
      </c>
      <c r="T274" s="32" t="n">
        <f aca="false">$J274</f>
        <v>0</v>
      </c>
      <c r="U274" s="32" t="n">
        <f aca="false">$J274</f>
        <v>0</v>
      </c>
      <c r="V274" s="32" t="n">
        <f aca="false">$J274</f>
        <v>0</v>
      </c>
      <c r="W274" s="32" t="n">
        <f aca="false">$J274</f>
        <v>0</v>
      </c>
      <c r="X274" s="32" t="n">
        <f aca="false">$J274</f>
        <v>0</v>
      </c>
      <c r="Y274" s="32" t="n">
        <f aca="false">$J274</f>
        <v>0</v>
      </c>
      <c r="Z274" s="32" t="n">
        <f aca="false">$J274</f>
        <v>0</v>
      </c>
      <c r="AA274" s="32" t="n">
        <f aca="false">$J274</f>
        <v>0</v>
      </c>
      <c r="AB274" s="5"/>
    </row>
    <row r="275" customFormat="false" ht="15" hidden="false" customHeight="false" outlineLevel="0" collapsed="false">
      <c r="A275" s="4" t="s">
        <v>252</v>
      </c>
      <c r="B275" s="4" t="s">
        <v>1150</v>
      </c>
      <c r="C275" s="4" t="s">
        <v>1151</v>
      </c>
      <c r="D275" s="5" t="s">
        <v>1043</v>
      </c>
      <c r="E275" s="32" t="n">
        <v>1</v>
      </c>
      <c r="F275" s="4" t="s">
        <v>82</v>
      </c>
      <c r="G275" s="5" t="s">
        <v>523</v>
      </c>
      <c r="H275" s="4"/>
      <c r="I275" s="32"/>
      <c r="J275" s="32" t="n">
        <f aca="false">E275*I275</f>
        <v>0</v>
      </c>
      <c r="K275" s="4"/>
      <c r="L275" s="32"/>
      <c r="M275" s="32"/>
      <c r="N275" s="32"/>
      <c r="O275" s="32"/>
      <c r="P275" s="4"/>
      <c r="Q275" s="32"/>
      <c r="R275" s="32" t="n">
        <f aca="false">$J275</f>
        <v>0</v>
      </c>
      <c r="S275" s="32" t="n">
        <f aca="false">$J275</f>
        <v>0</v>
      </c>
      <c r="T275" s="32" t="n">
        <f aca="false">$J275</f>
        <v>0</v>
      </c>
      <c r="U275" s="32" t="n">
        <f aca="false">$J275</f>
        <v>0</v>
      </c>
      <c r="V275" s="32" t="n">
        <f aca="false">$J275</f>
        <v>0</v>
      </c>
      <c r="W275" s="32" t="n">
        <f aca="false">$J275</f>
        <v>0</v>
      </c>
      <c r="X275" s="32" t="n">
        <f aca="false">$J275</f>
        <v>0</v>
      </c>
      <c r="Y275" s="32" t="n">
        <f aca="false">$J275</f>
        <v>0</v>
      </c>
      <c r="Z275" s="32" t="n">
        <f aca="false">$J275</f>
        <v>0</v>
      </c>
      <c r="AA275" s="32" t="n">
        <f aca="false">$J275</f>
        <v>0</v>
      </c>
      <c r="AB275" s="5"/>
    </row>
    <row r="276" customFormat="false" ht="15" hidden="false" customHeight="false" outlineLevel="0" collapsed="false">
      <c r="A276" s="4" t="s">
        <v>252</v>
      </c>
      <c r="B276" s="4" t="s">
        <v>1152</v>
      </c>
      <c r="C276" s="4" t="s">
        <v>1153</v>
      </c>
      <c r="D276" s="5" t="s">
        <v>538</v>
      </c>
      <c r="E276" s="32" t="n">
        <v>1</v>
      </c>
      <c r="F276" s="4" t="s">
        <v>82</v>
      </c>
      <c r="G276" s="5" t="s">
        <v>523</v>
      </c>
      <c r="H276" s="4"/>
      <c r="I276" s="32"/>
      <c r="J276" s="32" t="n">
        <f aca="false">E276*I276</f>
        <v>0</v>
      </c>
      <c r="K276" s="4"/>
      <c r="L276" s="32"/>
      <c r="M276" s="32"/>
      <c r="N276" s="32"/>
      <c r="O276" s="32"/>
      <c r="P276" s="4"/>
      <c r="Q276" s="32"/>
      <c r="R276" s="32" t="n">
        <f aca="false">$J276</f>
        <v>0</v>
      </c>
      <c r="S276" s="32" t="n">
        <f aca="false">$J276</f>
        <v>0</v>
      </c>
      <c r="T276" s="32" t="n">
        <f aca="false">$J276</f>
        <v>0</v>
      </c>
      <c r="U276" s="32" t="n">
        <f aca="false">$J276</f>
        <v>0</v>
      </c>
      <c r="V276" s="32" t="n">
        <f aca="false">$J276</f>
        <v>0</v>
      </c>
      <c r="W276" s="32" t="n">
        <f aca="false">$J276</f>
        <v>0</v>
      </c>
      <c r="X276" s="32" t="n">
        <f aca="false">$J276</f>
        <v>0</v>
      </c>
      <c r="Y276" s="32" t="n">
        <f aca="false">$J276</f>
        <v>0</v>
      </c>
      <c r="Z276" s="32" t="n">
        <f aca="false">$J276</f>
        <v>0</v>
      </c>
      <c r="AA276" s="32" t="n">
        <f aca="false">$J276</f>
        <v>0</v>
      </c>
      <c r="AB276" s="5"/>
    </row>
    <row r="277" customFormat="false" ht="15" hidden="false" customHeight="false" outlineLevel="0" collapsed="false">
      <c r="A277" s="4" t="s">
        <v>252</v>
      </c>
      <c r="B277" s="4" t="s">
        <v>1154</v>
      </c>
      <c r="C277" s="4" t="s">
        <v>1155</v>
      </c>
      <c r="D277" s="5" t="s">
        <v>541</v>
      </c>
      <c r="E277" s="32" t="n">
        <v>1</v>
      </c>
      <c r="F277" s="4" t="s">
        <v>82</v>
      </c>
      <c r="G277" s="5" t="s">
        <v>523</v>
      </c>
      <c r="H277" s="4"/>
      <c r="I277" s="32"/>
      <c r="J277" s="32" t="n">
        <f aca="false">E277*I277</f>
        <v>0</v>
      </c>
      <c r="K277" s="4"/>
      <c r="L277" s="32"/>
      <c r="M277" s="32"/>
      <c r="N277" s="32"/>
      <c r="O277" s="32"/>
      <c r="P277" s="4"/>
      <c r="Q277" s="32"/>
      <c r="R277" s="32" t="n">
        <f aca="false">$J277</f>
        <v>0</v>
      </c>
      <c r="S277" s="32" t="n">
        <f aca="false">$J277</f>
        <v>0</v>
      </c>
      <c r="T277" s="32" t="n">
        <f aca="false">$J277</f>
        <v>0</v>
      </c>
      <c r="U277" s="32" t="n">
        <f aca="false">$J277</f>
        <v>0</v>
      </c>
      <c r="V277" s="32" t="n">
        <f aca="false">$J277</f>
        <v>0</v>
      </c>
      <c r="W277" s="32" t="n">
        <f aca="false">$J277</f>
        <v>0</v>
      </c>
      <c r="X277" s="32" t="n">
        <f aca="false">$J277</f>
        <v>0</v>
      </c>
      <c r="Y277" s="32" t="n">
        <f aca="false">$J277</f>
        <v>0</v>
      </c>
      <c r="Z277" s="32" t="n">
        <f aca="false">$J277</f>
        <v>0</v>
      </c>
      <c r="AA277" s="32" t="n">
        <f aca="false">$J277</f>
        <v>0</v>
      </c>
      <c r="AB277" s="5"/>
    </row>
    <row r="278" customFormat="false" ht="15" hidden="false" customHeight="false" outlineLevel="0" collapsed="false">
      <c r="A278" s="4" t="s">
        <v>252</v>
      </c>
      <c r="B278" s="4" t="s">
        <v>1156</v>
      </c>
      <c r="C278" s="4" t="s">
        <v>1157</v>
      </c>
      <c r="D278" s="5" t="s">
        <v>550</v>
      </c>
      <c r="E278" s="32" t="n">
        <v>1</v>
      </c>
      <c r="F278" s="4" t="s">
        <v>82</v>
      </c>
      <c r="G278" s="5" t="s">
        <v>523</v>
      </c>
      <c r="H278" s="4"/>
      <c r="I278" s="32"/>
      <c r="J278" s="32" t="n">
        <f aca="false">E278*I278</f>
        <v>0</v>
      </c>
      <c r="K278" s="4"/>
      <c r="L278" s="32"/>
      <c r="M278" s="32"/>
      <c r="N278" s="32"/>
      <c r="O278" s="32"/>
      <c r="P278" s="4"/>
      <c r="Q278" s="32"/>
      <c r="R278" s="32" t="n">
        <f aca="false">$J278</f>
        <v>0</v>
      </c>
      <c r="S278" s="32" t="n">
        <f aca="false">$J278</f>
        <v>0</v>
      </c>
      <c r="T278" s="32" t="n">
        <f aca="false">$J278</f>
        <v>0</v>
      </c>
      <c r="U278" s="32" t="n">
        <f aca="false">$J278</f>
        <v>0</v>
      </c>
      <c r="V278" s="32" t="n">
        <f aca="false">$J278</f>
        <v>0</v>
      </c>
      <c r="W278" s="32" t="n">
        <f aca="false">$J278</f>
        <v>0</v>
      </c>
      <c r="X278" s="32" t="n">
        <f aca="false">$J278</f>
        <v>0</v>
      </c>
      <c r="Y278" s="32" t="n">
        <f aca="false">$J278</f>
        <v>0</v>
      </c>
      <c r="Z278" s="32" t="n">
        <f aca="false">$J278</f>
        <v>0</v>
      </c>
      <c r="AA278" s="32" t="n">
        <f aca="false">$J278</f>
        <v>0</v>
      </c>
      <c r="AB278" s="5"/>
    </row>
    <row r="279" customFormat="false" ht="15" hidden="false" customHeight="false" outlineLevel="0" collapsed="false">
      <c r="A279" s="4" t="s">
        <v>252</v>
      </c>
      <c r="B279" s="4" t="s">
        <v>1158</v>
      </c>
      <c r="C279" s="4" t="s">
        <v>1159</v>
      </c>
      <c r="D279" s="5" t="s">
        <v>553</v>
      </c>
      <c r="E279" s="32" t="n">
        <v>1</v>
      </c>
      <c r="F279" s="4" t="s">
        <v>82</v>
      </c>
      <c r="G279" s="5" t="s">
        <v>523</v>
      </c>
      <c r="H279" s="4"/>
      <c r="I279" s="32"/>
      <c r="J279" s="32" t="n">
        <f aca="false">E279*I279</f>
        <v>0</v>
      </c>
      <c r="K279" s="4"/>
      <c r="L279" s="32"/>
      <c r="M279" s="32"/>
      <c r="N279" s="32"/>
      <c r="O279" s="32"/>
      <c r="P279" s="4"/>
      <c r="Q279" s="32"/>
      <c r="R279" s="32" t="n">
        <f aca="false">$J279</f>
        <v>0</v>
      </c>
      <c r="S279" s="32" t="n">
        <f aca="false">$J279</f>
        <v>0</v>
      </c>
      <c r="T279" s="32" t="n">
        <f aca="false">$J279</f>
        <v>0</v>
      </c>
      <c r="U279" s="32" t="n">
        <f aca="false">$J279</f>
        <v>0</v>
      </c>
      <c r="V279" s="32" t="n">
        <f aca="false">$J279</f>
        <v>0</v>
      </c>
      <c r="W279" s="32" t="n">
        <f aca="false">$J279</f>
        <v>0</v>
      </c>
      <c r="X279" s="32" t="n">
        <f aca="false">$J279</f>
        <v>0</v>
      </c>
      <c r="Y279" s="32" t="n">
        <f aca="false">$J279</f>
        <v>0</v>
      </c>
      <c r="Z279" s="32" t="n">
        <f aca="false">$J279</f>
        <v>0</v>
      </c>
      <c r="AA279" s="32" t="n">
        <f aca="false">$J279</f>
        <v>0</v>
      </c>
      <c r="AB279" s="5"/>
    </row>
    <row r="280" customFormat="false" ht="15" hidden="false" customHeight="false" outlineLevel="0" collapsed="false">
      <c r="A280" s="4" t="s">
        <v>252</v>
      </c>
      <c r="B280" s="4" t="s">
        <v>1160</v>
      </c>
      <c r="C280" s="4" t="s">
        <v>1161</v>
      </c>
      <c r="D280" s="5" t="s">
        <v>556</v>
      </c>
      <c r="E280" s="32" t="n">
        <v>1</v>
      </c>
      <c r="F280" s="4" t="s">
        <v>82</v>
      </c>
      <c r="G280" s="5" t="s">
        <v>523</v>
      </c>
      <c r="H280" s="4"/>
      <c r="I280" s="32"/>
      <c r="J280" s="32" t="n">
        <f aca="false">E280*I280</f>
        <v>0</v>
      </c>
      <c r="K280" s="4"/>
      <c r="L280" s="32"/>
      <c r="M280" s="32"/>
      <c r="N280" s="32"/>
      <c r="O280" s="32"/>
      <c r="P280" s="4"/>
      <c r="Q280" s="32"/>
      <c r="R280" s="32" t="n">
        <f aca="false">$J280</f>
        <v>0</v>
      </c>
      <c r="S280" s="32" t="n">
        <f aca="false">$J280</f>
        <v>0</v>
      </c>
      <c r="T280" s="32" t="n">
        <f aca="false">$J280</f>
        <v>0</v>
      </c>
      <c r="U280" s="32" t="n">
        <f aca="false">$J280</f>
        <v>0</v>
      </c>
      <c r="V280" s="32" t="n">
        <f aca="false">$J280</f>
        <v>0</v>
      </c>
      <c r="W280" s="32" t="n">
        <f aca="false">$J280</f>
        <v>0</v>
      </c>
      <c r="X280" s="32" t="n">
        <f aca="false">$J280</f>
        <v>0</v>
      </c>
      <c r="Y280" s="32" t="n">
        <f aca="false">$J280</f>
        <v>0</v>
      </c>
      <c r="Z280" s="32" t="n">
        <f aca="false">$J280</f>
        <v>0</v>
      </c>
      <c r="AA280" s="32" t="n">
        <f aca="false">$J280</f>
        <v>0</v>
      </c>
      <c r="AB280" s="5"/>
    </row>
    <row r="281" customFormat="false" ht="15" hidden="false" customHeight="false" outlineLevel="0" collapsed="false">
      <c r="A281" s="4" t="s">
        <v>252</v>
      </c>
      <c r="B281" s="4" t="s">
        <v>1162</v>
      </c>
      <c r="C281" s="4" t="s">
        <v>1163</v>
      </c>
      <c r="D281" s="5" t="s">
        <v>559</v>
      </c>
      <c r="E281" s="32" t="n">
        <v>1</v>
      </c>
      <c r="F281" s="4" t="s">
        <v>82</v>
      </c>
      <c r="G281" s="5" t="s">
        <v>518</v>
      </c>
      <c r="H281" s="4" t="s">
        <v>1164</v>
      </c>
      <c r="I281" s="32" t="n">
        <v>1</v>
      </c>
      <c r="J281" s="32" t="n">
        <f aca="false">E281*I281</f>
        <v>1</v>
      </c>
      <c r="K281" s="4"/>
      <c r="L281" s="32"/>
      <c r="M281" s="32"/>
      <c r="N281" s="32"/>
      <c r="O281" s="32"/>
      <c r="P281" s="4"/>
      <c r="Q281" s="32"/>
      <c r="R281" s="32" t="n">
        <f aca="false">$J281</f>
        <v>1</v>
      </c>
      <c r="S281" s="32" t="n">
        <f aca="false">$J281</f>
        <v>1</v>
      </c>
      <c r="T281" s="32" t="n">
        <f aca="false">$J281</f>
        <v>1</v>
      </c>
      <c r="U281" s="32" t="n">
        <f aca="false">$J281</f>
        <v>1</v>
      </c>
      <c r="V281" s="32" t="n">
        <f aca="false">$J281</f>
        <v>1</v>
      </c>
      <c r="W281" s="32" t="n">
        <f aca="false">$J281</f>
        <v>1</v>
      </c>
      <c r="X281" s="32" t="n">
        <f aca="false">$J281</f>
        <v>1</v>
      </c>
      <c r="Y281" s="32" t="n">
        <f aca="false">$J281</f>
        <v>1</v>
      </c>
      <c r="Z281" s="32" t="n">
        <f aca="false">$J281</f>
        <v>1</v>
      </c>
      <c r="AA281" s="32" t="n">
        <f aca="false">$J281</f>
        <v>1</v>
      </c>
      <c r="AB281" s="5"/>
    </row>
    <row r="282" customFormat="false" ht="15" hidden="false" customHeight="false" outlineLevel="0" collapsed="false">
      <c r="A282" s="4" t="s">
        <v>252</v>
      </c>
      <c r="B282" s="4" t="s">
        <v>1165</v>
      </c>
      <c r="C282" s="4" t="s">
        <v>1166</v>
      </c>
      <c r="D282" s="5" t="s">
        <v>664</v>
      </c>
      <c r="E282" s="32" t="n">
        <v>1</v>
      </c>
      <c r="F282" s="4" t="s">
        <v>82</v>
      </c>
      <c r="G282" s="5" t="s">
        <v>564</v>
      </c>
      <c r="H282" s="4"/>
      <c r="I282" s="32"/>
      <c r="J282" s="32" t="n">
        <f aca="false">E282*I282</f>
        <v>0</v>
      </c>
      <c r="K282" s="4"/>
      <c r="L282" s="32"/>
      <c r="M282" s="32"/>
      <c r="N282" s="32"/>
      <c r="O282" s="32"/>
      <c r="P282" s="4"/>
      <c r="Q282" s="32"/>
      <c r="R282" s="32" t="n">
        <f aca="false">$J282</f>
        <v>0</v>
      </c>
      <c r="S282" s="32" t="n">
        <f aca="false">$J282</f>
        <v>0</v>
      </c>
      <c r="T282" s="32" t="n">
        <f aca="false">$J282</f>
        <v>0</v>
      </c>
      <c r="U282" s="32" t="n">
        <f aca="false">$J282</f>
        <v>0</v>
      </c>
      <c r="V282" s="32" t="n">
        <f aca="false">$J282</f>
        <v>0</v>
      </c>
      <c r="W282" s="32" t="n">
        <f aca="false">$J282</f>
        <v>0</v>
      </c>
      <c r="X282" s="32" t="n">
        <f aca="false">$J282</f>
        <v>0</v>
      </c>
      <c r="Y282" s="32" t="n">
        <f aca="false">$J282</f>
        <v>0</v>
      </c>
      <c r="Z282" s="32" t="n">
        <f aca="false">$J282</f>
        <v>0</v>
      </c>
      <c r="AA282" s="32" t="n">
        <f aca="false">$J282</f>
        <v>0</v>
      </c>
      <c r="AB282" s="5"/>
    </row>
    <row r="283" customFormat="false" ht="15" hidden="false" customHeight="false" outlineLevel="0" collapsed="false">
      <c r="A283" s="4" t="s">
        <v>252</v>
      </c>
      <c r="B283" s="4" t="s">
        <v>1167</v>
      </c>
      <c r="C283" s="4" t="s">
        <v>1168</v>
      </c>
      <c r="D283" s="5" t="s">
        <v>931</v>
      </c>
      <c r="E283" s="32" t="n">
        <v>1</v>
      </c>
      <c r="F283" s="4" t="s">
        <v>82</v>
      </c>
      <c r="G283" s="5" t="s">
        <v>564</v>
      </c>
      <c r="H283" s="4"/>
      <c r="I283" s="32"/>
      <c r="J283" s="32" t="n">
        <f aca="false">E283*I283</f>
        <v>0</v>
      </c>
      <c r="K283" s="4"/>
      <c r="L283" s="32"/>
      <c r="M283" s="32"/>
      <c r="N283" s="32"/>
      <c r="O283" s="32"/>
      <c r="P283" s="4"/>
      <c r="Q283" s="32"/>
      <c r="R283" s="32" t="n">
        <f aca="false">$J283</f>
        <v>0</v>
      </c>
      <c r="S283" s="32" t="n">
        <f aca="false">$J283</f>
        <v>0</v>
      </c>
      <c r="T283" s="32" t="n">
        <f aca="false">$J283</f>
        <v>0</v>
      </c>
      <c r="U283" s="32" t="n">
        <f aca="false">$J283</f>
        <v>0</v>
      </c>
      <c r="V283" s="32" t="n">
        <f aca="false">$J283</f>
        <v>0</v>
      </c>
      <c r="W283" s="32" t="n">
        <f aca="false">$J283</f>
        <v>0</v>
      </c>
      <c r="X283" s="32" t="n">
        <f aca="false">$J283</f>
        <v>0</v>
      </c>
      <c r="Y283" s="32" t="n">
        <f aca="false">$J283</f>
        <v>0</v>
      </c>
      <c r="Z283" s="32" t="n">
        <f aca="false">$J283</f>
        <v>0</v>
      </c>
      <c r="AA283" s="32" t="n">
        <f aca="false">$J283</f>
        <v>0</v>
      </c>
      <c r="AB283" s="5"/>
    </row>
    <row r="284" customFormat="false" ht="15" hidden="false" customHeight="false" outlineLevel="0" collapsed="false">
      <c r="A284" s="4" t="s">
        <v>252</v>
      </c>
      <c r="B284" s="4" t="s">
        <v>1169</v>
      </c>
      <c r="C284" s="4" t="s">
        <v>1170</v>
      </c>
      <c r="D284" s="5" t="s">
        <v>667</v>
      </c>
      <c r="E284" s="32" t="n">
        <v>1</v>
      </c>
      <c r="F284" s="4" t="s">
        <v>82</v>
      </c>
      <c r="G284" s="5" t="s">
        <v>564</v>
      </c>
      <c r="H284" s="4"/>
      <c r="I284" s="32"/>
      <c r="J284" s="32" t="n">
        <f aca="false">E284*I284</f>
        <v>0</v>
      </c>
      <c r="K284" s="4"/>
      <c r="L284" s="32"/>
      <c r="M284" s="32"/>
      <c r="N284" s="32"/>
      <c r="O284" s="32"/>
      <c r="P284" s="4"/>
      <c r="Q284" s="32"/>
      <c r="R284" s="32" t="n">
        <f aca="false">$J284</f>
        <v>0</v>
      </c>
      <c r="S284" s="32" t="n">
        <f aca="false">$J284</f>
        <v>0</v>
      </c>
      <c r="T284" s="32" t="n">
        <f aca="false">$J284</f>
        <v>0</v>
      </c>
      <c r="U284" s="32" t="n">
        <f aca="false">$J284</f>
        <v>0</v>
      </c>
      <c r="V284" s="32" t="n">
        <f aca="false">$J284</f>
        <v>0</v>
      </c>
      <c r="W284" s="32" t="n">
        <f aca="false">$J284</f>
        <v>0</v>
      </c>
      <c r="X284" s="32" t="n">
        <f aca="false">$J284</f>
        <v>0</v>
      </c>
      <c r="Y284" s="32" t="n">
        <f aca="false">$J284</f>
        <v>0</v>
      </c>
      <c r="Z284" s="32" t="n">
        <f aca="false">$J284</f>
        <v>0</v>
      </c>
      <c r="AA284" s="32" t="n">
        <f aca="false">$J284</f>
        <v>0</v>
      </c>
      <c r="AB284" s="5"/>
    </row>
    <row r="285" customFormat="false" ht="15" hidden="false" customHeight="false" outlineLevel="0" collapsed="false">
      <c r="A285" s="4" t="s">
        <v>252</v>
      </c>
      <c r="B285" s="4" t="s">
        <v>1171</v>
      </c>
      <c r="C285" s="4" t="s">
        <v>1172</v>
      </c>
      <c r="D285" s="5" t="s">
        <v>936</v>
      </c>
      <c r="E285" s="32" t="n">
        <v>1</v>
      </c>
      <c r="F285" s="4" t="s">
        <v>82</v>
      </c>
      <c r="G285" s="5" t="s">
        <v>564</v>
      </c>
      <c r="H285" s="4"/>
      <c r="I285" s="32"/>
      <c r="J285" s="32" t="n">
        <f aca="false">E285*I285</f>
        <v>0</v>
      </c>
      <c r="K285" s="4"/>
      <c r="L285" s="32"/>
      <c r="M285" s="32"/>
      <c r="N285" s="32"/>
      <c r="O285" s="32"/>
      <c r="P285" s="4"/>
      <c r="Q285" s="32"/>
      <c r="R285" s="32" t="n">
        <f aca="false">$J285</f>
        <v>0</v>
      </c>
      <c r="S285" s="32" t="n">
        <f aca="false">$J285</f>
        <v>0</v>
      </c>
      <c r="T285" s="32" t="n">
        <f aca="false">$J285</f>
        <v>0</v>
      </c>
      <c r="U285" s="32" t="n">
        <f aca="false">$J285</f>
        <v>0</v>
      </c>
      <c r="V285" s="32" t="n">
        <f aca="false">$J285</f>
        <v>0</v>
      </c>
      <c r="W285" s="32" t="n">
        <f aca="false">$J285</f>
        <v>0</v>
      </c>
      <c r="X285" s="32" t="n">
        <f aca="false">$J285</f>
        <v>0</v>
      </c>
      <c r="Y285" s="32" t="n">
        <f aca="false">$J285</f>
        <v>0</v>
      </c>
      <c r="Z285" s="32" t="n">
        <f aca="false">$J285</f>
        <v>0</v>
      </c>
      <c r="AA285" s="32" t="n">
        <f aca="false">$J285</f>
        <v>0</v>
      </c>
      <c r="AB285" s="5"/>
    </row>
    <row r="286" customFormat="false" ht="15" hidden="false" customHeight="false" outlineLevel="0" collapsed="false">
      <c r="A286" s="4" t="s">
        <v>252</v>
      </c>
      <c r="B286" s="4" t="s">
        <v>1173</v>
      </c>
      <c r="C286" s="4" t="s">
        <v>1174</v>
      </c>
      <c r="D286" s="5" t="s">
        <v>939</v>
      </c>
      <c r="E286" s="32" t="n">
        <v>1</v>
      </c>
      <c r="F286" s="4" t="s">
        <v>82</v>
      </c>
      <c r="G286" s="5" t="s">
        <v>564</v>
      </c>
      <c r="H286" s="4"/>
      <c r="I286" s="32"/>
      <c r="J286" s="32" t="n">
        <f aca="false">E286*I286</f>
        <v>0</v>
      </c>
      <c r="K286" s="4"/>
      <c r="L286" s="32"/>
      <c r="M286" s="32"/>
      <c r="N286" s="32"/>
      <c r="O286" s="32"/>
      <c r="P286" s="4"/>
      <c r="Q286" s="32"/>
      <c r="R286" s="32" t="n">
        <f aca="false">$J286</f>
        <v>0</v>
      </c>
      <c r="S286" s="32" t="n">
        <f aca="false">$J286</f>
        <v>0</v>
      </c>
      <c r="T286" s="32" t="n">
        <f aca="false">$J286</f>
        <v>0</v>
      </c>
      <c r="U286" s="32" t="n">
        <f aca="false">$J286</f>
        <v>0</v>
      </c>
      <c r="V286" s="32" t="n">
        <f aca="false">$J286</f>
        <v>0</v>
      </c>
      <c r="W286" s="32" t="n">
        <f aca="false">$J286</f>
        <v>0</v>
      </c>
      <c r="X286" s="32" t="n">
        <f aca="false">$J286</f>
        <v>0</v>
      </c>
      <c r="Y286" s="32" t="n">
        <f aca="false">$J286</f>
        <v>0</v>
      </c>
      <c r="Z286" s="32" t="n">
        <f aca="false">$J286</f>
        <v>0</v>
      </c>
      <c r="AA286" s="32" t="n">
        <f aca="false">$J286</f>
        <v>0</v>
      </c>
      <c r="AB286" s="5"/>
    </row>
    <row r="287" customFormat="false" ht="15" hidden="false" customHeight="false" outlineLevel="0" collapsed="false">
      <c r="A287" s="4" t="s">
        <v>252</v>
      </c>
      <c r="B287" s="4" t="s">
        <v>1175</v>
      </c>
      <c r="C287" s="4" t="s">
        <v>1176</v>
      </c>
      <c r="D287" s="5" t="s">
        <v>942</v>
      </c>
      <c r="E287" s="32" t="n">
        <v>1</v>
      </c>
      <c r="F287" s="4" t="s">
        <v>82</v>
      </c>
      <c r="G287" s="5" t="s">
        <v>943</v>
      </c>
      <c r="H287" s="4"/>
      <c r="I287" s="32"/>
      <c r="J287" s="32" t="n">
        <f aca="false">E287*I287</f>
        <v>0</v>
      </c>
      <c r="K287" s="4"/>
      <c r="L287" s="32"/>
      <c r="M287" s="32"/>
      <c r="N287" s="32"/>
      <c r="O287" s="32"/>
      <c r="P287" s="4"/>
      <c r="Q287" s="32"/>
      <c r="R287" s="32" t="n">
        <f aca="false">$J287</f>
        <v>0</v>
      </c>
      <c r="S287" s="32" t="n">
        <f aca="false">$J287</f>
        <v>0</v>
      </c>
      <c r="T287" s="32" t="n">
        <f aca="false">$J287</f>
        <v>0</v>
      </c>
      <c r="U287" s="32" t="n">
        <f aca="false">$J287</f>
        <v>0</v>
      </c>
      <c r="V287" s="32" t="n">
        <f aca="false">$J287</f>
        <v>0</v>
      </c>
      <c r="W287" s="32" t="n">
        <f aca="false">$J287</f>
        <v>0</v>
      </c>
      <c r="X287" s="32" t="n">
        <f aca="false">$J287</f>
        <v>0</v>
      </c>
      <c r="Y287" s="32" t="n">
        <f aca="false">$J287</f>
        <v>0</v>
      </c>
      <c r="Z287" s="32" t="n">
        <f aca="false">$J287</f>
        <v>0</v>
      </c>
      <c r="AA287" s="32" t="n">
        <f aca="false">$J287</f>
        <v>0</v>
      </c>
      <c r="AB287" s="5"/>
    </row>
    <row r="288" customFormat="false" ht="15" hidden="false" customHeight="false" outlineLevel="0" collapsed="false">
      <c r="A288" s="4" t="s">
        <v>252</v>
      </c>
      <c r="B288" s="4" t="s">
        <v>1177</v>
      </c>
      <c r="C288" s="4" t="s">
        <v>1178</v>
      </c>
      <c r="D288" s="5" t="s">
        <v>946</v>
      </c>
      <c r="E288" s="32" t="n">
        <v>1</v>
      </c>
      <c r="F288" s="4" t="s">
        <v>82</v>
      </c>
      <c r="G288" s="5" t="s">
        <v>943</v>
      </c>
      <c r="H288" s="4"/>
      <c r="I288" s="32"/>
      <c r="J288" s="32" t="n">
        <f aca="false">E288*I288</f>
        <v>0</v>
      </c>
      <c r="K288" s="4"/>
      <c r="L288" s="32"/>
      <c r="M288" s="32"/>
      <c r="N288" s="32"/>
      <c r="O288" s="32"/>
      <c r="P288" s="4"/>
      <c r="Q288" s="32"/>
      <c r="R288" s="32" t="n">
        <f aca="false">$J288</f>
        <v>0</v>
      </c>
      <c r="S288" s="32" t="n">
        <f aca="false">$J288</f>
        <v>0</v>
      </c>
      <c r="T288" s="32" t="n">
        <f aca="false">$J288</f>
        <v>0</v>
      </c>
      <c r="U288" s="32" t="n">
        <f aca="false">$J288</f>
        <v>0</v>
      </c>
      <c r="V288" s="32" t="n">
        <f aca="false">$J288</f>
        <v>0</v>
      </c>
      <c r="W288" s="32" t="n">
        <f aca="false">$J288</f>
        <v>0</v>
      </c>
      <c r="X288" s="32" t="n">
        <f aca="false">$J288</f>
        <v>0</v>
      </c>
      <c r="Y288" s="32" t="n">
        <f aca="false">$J288</f>
        <v>0</v>
      </c>
      <c r="Z288" s="32" t="n">
        <f aca="false">$J288</f>
        <v>0</v>
      </c>
      <c r="AA288" s="32" t="n">
        <f aca="false">$J288</f>
        <v>0</v>
      </c>
      <c r="AB288" s="5"/>
    </row>
    <row r="289" customFormat="false" ht="15" hidden="false" customHeight="false" outlineLevel="0" collapsed="false">
      <c r="A289" s="4" t="s">
        <v>252</v>
      </c>
      <c r="B289" s="4" t="s">
        <v>1179</v>
      </c>
      <c r="C289" s="4" t="s">
        <v>1180</v>
      </c>
      <c r="D289" s="5" t="s">
        <v>949</v>
      </c>
      <c r="E289" s="32" t="n">
        <v>1</v>
      </c>
      <c r="F289" s="4" t="s">
        <v>82</v>
      </c>
      <c r="G289" s="5" t="s">
        <v>950</v>
      </c>
      <c r="H289" s="4" t="s">
        <v>1073</v>
      </c>
      <c r="I289" s="32" t="n">
        <f aca="false">434/6000/INDEX(P_VAL,MATCH("APROV_CANO",P_ID,0))</f>
        <v>0.076140350877193</v>
      </c>
      <c r="J289" s="32" t="n">
        <f aca="false">E289*I289</f>
        <v>0.076140350877193</v>
      </c>
      <c r="K289" s="4"/>
      <c r="L289" s="32"/>
      <c r="M289" s="32"/>
      <c r="N289" s="32"/>
      <c r="O289" s="32"/>
      <c r="P289" s="4"/>
      <c r="Q289" s="32"/>
      <c r="R289" s="32" t="n">
        <f aca="false">$J289</f>
        <v>0.076140350877193</v>
      </c>
      <c r="S289" s="32" t="n">
        <f aca="false">$J289</f>
        <v>0.076140350877193</v>
      </c>
      <c r="T289" s="32" t="n">
        <f aca="false">$J289</f>
        <v>0.076140350877193</v>
      </c>
      <c r="U289" s="32" t="n">
        <f aca="false">$J289</f>
        <v>0.076140350877193</v>
      </c>
      <c r="V289" s="32" t="n">
        <f aca="false">$J289</f>
        <v>0.076140350877193</v>
      </c>
      <c r="W289" s="32" t="n">
        <f aca="false">$J289</f>
        <v>0.076140350877193</v>
      </c>
      <c r="X289" s="32" t="n">
        <f aca="false">$J289</f>
        <v>0.076140350877193</v>
      </c>
      <c r="Y289" s="32" t="n">
        <f aca="false">$J289</f>
        <v>0.076140350877193</v>
      </c>
      <c r="Z289" s="32" t="n">
        <f aca="false">$J289</f>
        <v>0.076140350877193</v>
      </c>
      <c r="AA289" s="32" t="n">
        <f aca="false">$J289</f>
        <v>0.076140350877193</v>
      </c>
      <c r="AB289" s="5" t="s">
        <v>1181</v>
      </c>
    </row>
    <row r="290" customFormat="false" ht="15" hidden="false" customHeight="false" outlineLevel="0" collapsed="false">
      <c r="A290" s="4" t="s">
        <v>252</v>
      </c>
      <c r="B290" s="4" t="s">
        <v>1182</v>
      </c>
      <c r="C290" s="4" t="s">
        <v>1183</v>
      </c>
      <c r="D290" s="5" t="s">
        <v>955</v>
      </c>
      <c r="E290" s="32" t="n">
        <v>2</v>
      </c>
      <c r="F290" s="4" t="s">
        <v>82</v>
      </c>
      <c r="G290" s="5" t="s">
        <v>956</v>
      </c>
      <c r="H290" s="4" t="s">
        <v>1184</v>
      </c>
      <c r="I290" s="32" t="n">
        <v>1</v>
      </c>
      <c r="J290" s="32" t="n">
        <f aca="false">E290*I290</f>
        <v>2</v>
      </c>
      <c r="K290" s="4"/>
      <c r="L290" s="32"/>
      <c r="M290" s="32"/>
      <c r="N290" s="32"/>
      <c r="O290" s="32"/>
      <c r="P290" s="4"/>
      <c r="Q290" s="32"/>
      <c r="R290" s="32" t="n">
        <f aca="false">$J290</f>
        <v>2</v>
      </c>
      <c r="S290" s="32" t="n">
        <f aca="false">$J290</f>
        <v>2</v>
      </c>
      <c r="T290" s="32" t="n">
        <f aca="false">$J290</f>
        <v>2</v>
      </c>
      <c r="U290" s="32" t="n">
        <f aca="false">$J290</f>
        <v>2</v>
      </c>
      <c r="V290" s="32" t="n">
        <f aca="false">$J290</f>
        <v>2</v>
      </c>
      <c r="W290" s="32" t="n">
        <f aca="false">$J290</f>
        <v>2</v>
      </c>
      <c r="X290" s="32" t="n">
        <f aca="false">$J290</f>
        <v>2</v>
      </c>
      <c r="Y290" s="32" t="n">
        <f aca="false">$J290</f>
        <v>2</v>
      </c>
      <c r="Z290" s="32" t="n">
        <f aca="false">$J290</f>
        <v>2</v>
      </c>
      <c r="AA290" s="32" t="n">
        <f aca="false">$J290</f>
        <v>2</v>
      </c>
      <c r="AB290" s="5"/>
    </row>
    <row r="291" customFormat="false" ht="15" hidden="false" customHeight="false" outlineLevel="0" collapsed="false">
      <c r="A291" s="4" t="s">
        <v>252</v>
      </c>
      <c r="B291" s="4" t="s">
        <v>1185</v>
      </c>
      <c r="C291" s="4" t="s">
        <v>1186</v>
      </c>
      <c r="D291" s="5" t="s">
        <v>960</v>
      </c>
      <c r="E291" s="32" t="n">
        <v>2</v>
      </c>
      <c r="F291" s="4" t="s">
        <v>82</v>
      </c>
      <c r="G291" s="5" t="s">
        <v>961</v>
      </c>
      <c r="H291" s="4"/>
      <c r="I291" s="32"/>
      <c r="J291" s="32" t="n">
        <f aca="false">E291*I291</f>
        <v>0</v>
      </c>
      <c r="K291" s="4"/>
      <c r="L291" s="32"/>
      <c r="M291" s="32"/>
      <c r="N291" s="32"/>
      <c r="O291" s="32"/>
      <c r="P291" s="4"/>
      <c r="Q291" s="32"/>
      <c r="R291" s="32" t="n">
        <f aca="false">$J291</f>
        <v>0</v>
      </c>
      <c r="S291" s="32" t="n">
        <f aca="false">$J291</f>
        <v>0</v>
      </c>
      <c r="T291" s="32" t="n">
        <f aca="false">$J291</f>
        <v>0</v>
      </c>
      <c r="U291" s="32" t="n">
        <f aca="false">$J291</f>
        <v>0</v>
      </c>
      <c r="V291" s="32" t="n">
        <f aca="false">$J291</f>
        <v>0</v>
      </c>
      <c r="W291" s="32" t="n">
        <f aca="false">$J291</f>
        <v>0</v>
      </c>
      <c r="X291" s="32" t="n">
        <f aca="false">$J291</f>
        <v>0</v>
      </c>
      <c r="Y291" s="32" t="n">
        <f aca="false">$J291</f>
        <v>0</v>
      </c>
      <c r="Z291" s="32" t="n">
        <f aca="false">$J291</f>
        <v>0</v>
      </c>
      <c r="AA291" s="32" t="n">
        <f aca="false">$J291</f>
        <v>0</v>
      </c>
      <c r="AB291" s="5"/>
    </row>
    <row r="292" customFormat="false" ht="15" hidden="false" customHeight="false" outlineLevel="0" collapsed="false">
      <c r="A292" s="4" t="s">
        <v>252</v>
      </c>
      <c r="B292" s="4" t="s">
        <v>1187</v>
      </c>
      <c r="C292" s="4" t="s">
        <v>1188</v>
      </c>
      <c r="D292" s="5" t="s">
        <v>964</v>
      </c>
      <c r="E292" s="32" t="n">
        <v>1</v>
      </c>
      <c r="F292" s="4" t="s">
        <v>82</v>
      </c>
      <c r="G292" s="5" t="s">
        <v>965</v>
      </c>
      <c r="H292" s="4" t="s">
        <v>1081</v>
      </c>
      <c r="I292" s="32" t="n">
        <f aca="false">1/INT(6000/590)</f>
        <v>0.1</v>
      </c>
      <c r="J292" s="32" t="n">
        <f aca="false">E292*I292</f>
        <v>0.1</v>
      </c>
      <c r="K292" s="4"/>
      <c r="L292" s="32"/>
      <c r="M292" s="32"/>
      <c r="N292" s="32"/>
      <c r="O292" s="32"/>
      <c r="P292" s="4"/>
      <c r="Q292" s="32"/>
      <c r="R292" s="32" t="n">
        <f aca="false">$J292</f>
        <v>0.1</v>
      </c>
      <c r="S292" s="32" t="n">
        <f aca="false">$J292</f>
        <v>0.1</v>
      </c>
      <c r="T292" s="32" t="n">
        <f aca="false">$J292</f>
        <v>0.1</v>
      </c>
      <c r="U292" s="32" t="n">
        <f aca="false">$J292</f>
        <v>0.1</v>
      </c>
      <c r="V292" s="32" t="n">
        <f aca="false">$J292</f>
        <v>0.1</v>
      </c>
      <c r="W292" s="32" t="n">
        <f aca="false">$J292</f>
        <v>0.1</v>
      </c>
      <c r="X292" s="32" t="n">
        <f aca="false">$J292</f>
        <v>0.1</v>
      </c>
      <c r="Y292" s="32" t="n">
        <f aca="false">$J292</f>
        <v>0.1</v>
      </c>
      <c r="Z292" s="32" t="n">
        <f aca="false">$J292</f>
        <v>0.1</v>
      </c>
      <c r="AA292" s="32" t="n">
        <f aca="false">$J292</f>
        <v>0.1</v>
      </c>
      <c r="AB292" s="5" t="s">
        <v>1189</v>
      </c>
    </row>
    <row r="293" customFormat="false" ht="15" hidden="false" customHeight="false" outlineLevel="0" collapsed="false">
      <c r="A293" s="4" t="s">
        <v>252</v>
      </c>
      <c r="B293" s="4" t="s">
        <v>1190</v>
      </c>
      <c r="C293" s="4" t="s">
        <v>1191</v>
      </c>
      <c r="D293" s="5" t="s">
        <v>970</v>
      </c>
      <c r="E293" s="32" t="n">
        <v>1</v>
      </c>
      <c r="F293" s="4" t="s">
        <v>82</v>
      </c>
      <c r="G293" s="5" t="s">
        <v>509</v>
      </c>
      <c r="H293" s="4" t="s">
        <v>971</v>
      </c>
      <c r="I293" s="32" t="n">
        <v>4</v>
      </c>
      <c r="J293" s="32" t="n">
        <f aca="false">E293*I293</f>
        <v>4</v>
      </c>
      <c r="K293" s="4"/>
      <c r="L293" s="32"/>
      <c r="M293" s="32"/>
      <c r="N293" s="32"/>
      <c r="O293" s="32"/>
      <c r="P293" s="4"/>
      <c r="Q293" s="32"/>
      <c r="R293" s="32" t="n">
        <f aca="false">$J293</f>
        <v>4</v>
      </c>
      <c r="S293" s="32" t="n">
        <f aca="false">$J293</f>
        <v>4</v>
      </c>
      <c r="T293" s="32" t="n">
        <f aca="false">$J293</f>
        <v>4</v>
      </c>
      <c r="U293" s="32" t="n">
        <f aca="false">$J293</f>
        <v>4</v>
      </c>
      <c r="V293" s="32" t="n">
        <f aca="false">$J293</f>
        <v>4</v>
      </c>
      <c r="W293" s="32" t="n">
        <f aca="false">$J293</f>
        <v>4</v>
      </c>
      <c r="X293" s="32" t="n">
        <f aca="false">$J293</f>
        <v>4</v>
      </c>
      <c r="Y293" s="32" t="n">
        <f aca="false">$J293</f>
        <v>4</v>
      </c>
      <c r="Z293" s="32" t="n">
        <f aca="false">$J293</f>
        <v>4</v>
      </c>
      <c r="AA293" s="32" t="n">
        <f aca="false">$J293</f>
        <v>4</v>
      </c>
      <c r="AB293" s="5" t="s">
        <v>972</v>
      </c>
    </row>
    <row r="294" customFormat="false" ht="15" hidden="false" customHeight="false" outlineLevel="0" collapsed="false">
      <c r="A294" s="4" t="s">
        <v>252</v>
      </c>
      <c r="B294" s="4" t="s">
        <v>1192</v>
      </c>
      <c r="C294" s="4" t="s">
        <v>1193</v>
      </c>
      <c r="D294" s="5" t="s">
        <v>975</v>
      </c>
      <c r="E294" s="32" t="n">
        <v>1</v>
      </c>
      <c r="F294" s="4" t="s">
        <v>82</v>
      </c>
      <c r="G294" s="5" t="s">
        <v>509</v>
      </c>
      <c r="H294" s="4" t="s">
        <v>976</v>
      </c>
      <c r="I294" s="32" t="n">
        <v>2</v>
      </c>
      <c r="J294" s="32" t="n">
        <f aca="false">E294*I294</f>
        <v>2</v>
      </c>
      <c r="K294" s="4"/>
      <c r="L294" s="32"/>
      <c r="M294" s="32"/>
      <c r="N294" s="32"/>
      <c r="O294" s="32"/>
      <c r="P294" s="4"/>
      <c r="Q294" s="32"/>
      <c r="R294" s="32" t="n">
        <f aca="false">$J294</f>
        <v>2</v>
      </c>
      <c r="S294" s="32" t="n">
        <f aca="false">$J294</f>
        <v>2</v>
      </c>
      <c r="T294" s="32" t="n">
        <f aca="false">$J294</f>
        <v>2</v>
      </c>
      <c r="U294" s="32" t="n">
        <f aca="false">$J294</f>
        <v>2</v>
      </c>
      <c r="V294" s="32" t="n">
        <f aca="false">$J294</f>
        <v>2</v>
      </c>
      <c r="W294" s="32" t="n">
        <f aca="false">$J294</f>
        <v>2</v>
      </c>
      <c r="X294" s="32" t="n">
        <f aca="false">$J294</f>
        <v>2</v>
      </c>
      <c r="Y294" s="32" t="n">
        <f aca="false">$J294</f>
        <v>2</v>
      </c>
      <c r="Z294" s="32" t="n">
        <f aca="false">$J294</f>
        <v>2</v>
      </c>
      <c r="AA294" s="32" t="n">
        <f aca="false">$J294</f>
        <v>2</v>
      </c>
      <c r="AB294" s="5" t="s">
        <v>977</v>
      </c>
    </row>
    <row r="295" customFormat="false" ht="15" hidden="false" customHeight="false" outlineLevel="0" collapsed="false">
      <c r="A295" s="4" t="s">
        <v>252</v>
      </c>
      <c r="B295" s="4" t="s">
        <v>1194</v>
      </c>
      <c r="C295" s="4" t="s">
        <v>1195</v>
      </c>
      <c r="D295" s="5" t="s">
        <v>980</v>
      </c>
      <c r="E295" s="32" t="n">
        <v>1</v>
      </c>
      <c r="F295" s="4" t="s">
        <v>82</v>
      </c>
      <c r="G295" s="5" t="s">
        <v>950</v>
      </c>
      <c r="H295" s="4" t="s">
        <v>951</v>
      </c>
      <c r="I295" s="32" t="n">
        <f aca="false">1590/6000/INDEX(P_VAL,MATCH("APROV_CANO",P_ID,0))</f>
        <v>0.278947368421053</v>
      </c>
      <c r="J295" s="32" t="n">
        <f aca="false">E295*I295</f>
        <v>0.278947368421053</v>
      </c>
      <c r="K295" s="4"/>
      <c r="L295" s="32"/>
      <c r="M295" s="32"/>
      <c r="N295" s="32"/>
      <c r="O295" s="32"/>
      <c r="P295" s="4"/>
      <c r="Q295" s="32"/>
      <c r="R295" s="32" t="n">
        <f aca="false">$J295</f>
        <v>0.278947368421053</v>
      </c>
      <c r="S295" s="32" t="n">
        <f aca="false">$J295</f>
        <v>0.278947368421053</v>
      </c>
      <c r="T295" s="32" t="n">
        <f aca="false">$J295</f>
        <v>0.278947368421053</v>
      </c>
      <c r="U295" s="32" t="n">
        <f aca="false">$J295</f>
        <v>0.278947368421053</v>
      </c>
      <c r="V295" s="32" t="n">
        <f aca="false">$J295</f>
        <v>0.278947368421053</v>
      </c>
      <c r="W295" s="32" t="n">
        <f aca="false">$J295</f>
        <v>0.278947368421053</v>
      </c>
      <c r="X295" s="32" t="n">
        <f aca="false">$J295</f>
        <v>0.278947368421053</v>
      </c>
      <c r="Y295" s="32" t="n">
        <f aca="false">$J295</f>
        <v>0.278947368421053</v>
      </c>
      <c r="Z295" s="32" t="n">
        <f aca="false">$J295</f>
        <v>0.278947368421053</v>
      </c>
      <c r="AA295" s="32" t="n">
        <f aca="false">$J295</f>
        <v>0.278947368421053</v>
      </c>
      <c r="AB295" s="5" t="s">
        <v>1196</v>
      </c>
    </row>
    <row r="296" customFormat="false" ht="15" hidden="false" customHeight="false" outlineLevel="0" collapsed="false">
      <c r="A296" s="4" t="s">
        <v>252</v>
      </c>
      <c r="B296" s="4" t="s">
        <v>1197</v>
      </c>
      <c r="C296" s="4" t="s">
        <v>1198</v>
      </c>
      <c r="D296" s="5" t="s">
        <v>984</v>
      </c>
      <c r="E296" s="32" t="n">
        <v>1</v>
      </c>
      <c r="F296" s="4" t="s">
        <v>82</v>
      </c>
      <c r="G296" s="5" t="s">
        <v>943</v>
      </c>
      <c r="H296" s="4"/>
      <c r="I296" s="32"/>
      <c r="J296" s="32" t="n">
        <f aca="false">E296*I296</f>
        <v>0</v>
      </c>
      <c r="K296" s="4"/>
      <c r="L296" s="32"/>
      <c r="M296" s="32"/>
      <c r="N296" s="32"/>
      <c r="O296" s="32"/>
      <c r="P296" s="4"/>
      <c r="Q296" s="32"/>
      <c r="R296" s="32" t="n">
        <f aca="false">$J296</f>
        <v>0</v>
      </c>
      <c r="S296" s="32" t="n">
        <f aca="false">$J296</f>
        <v>0</v>
      </c>
      <c r="T296" s="32" t="n">
        <f aca="false">$J296</f>
        <v>0</v>
      </c>
      <c r="U296" s="32" t="n">
        <f aca="false">$J296</f>
        <v>0</v>
      </c>
      <c r="V296" s="32" t="n">
        <f aca="false">$J296</f>
        <v>0</v>
      </c>
      <c r="W296" s="32" t="n">
        <f aca="false">$J296</f>
        <v>0</v>
      </c>
      <c r="X296" s="32" t="n">
        <f aca="false">$J296</f>
        <v>0</v>
      </c>
      <c r="Y296" s="32" t="n">
        <f aca="false">$J296</f>
        <v>0</v>
      </c>
      <c r="Z296" s="32" t="n">
        <f aca="false">$J296</f>
        <v>0</v>
      </c>
      <c r="AA296" s="32" t="n">
        <f aca="false">$J296</f>
        <v>0</v>
      </c>
      <c r="AB296" s="5"/>
    </row>
    <row r="297" customFormat="false" ht="15" hidden="false" customHeight="false" outlineLevel="0" collapsed="false">
      <c r="A297" s="4" t="s">
        <v>252</v>
      </c>
      <c r="B297" s="4" t="s">
        <v>1199</v>
      </c>
      <c r="C297" s="4" t="s">
        <v>1200</v>
      </c>
      <c r="D297" s="5" t="s">
        <v>987</v>
      </c>
      <c r="E297" s="32" t="n">
        <v>70</v>
      </c>
      <c r="F297" s="4" t="s">
        <v>73</v>
      </c>
      <c r="G297" s="5" t="s">
        <v>509</v>
      </c>
      <c r="H297" s="4" t="s">
        <v>988</v>
      </c>
      <c r="I297" s="32" t="n">
        <f aca="false">1+INDEX(P_VAL,MATCH("MERMA_POLVO",P_ID,0))</f>
        <v>1.01</v>
      </c>
      <c r="J297" s="32" t="n">
        <f aca="false">E297*I297</f>
        <v>70.7</v>
      </c>
      <c r="K297" s="4"/>
      <c r="L297" s="32"/>
      <c r="M297" s="32"/>
      <c r="N297" s="32"/>
      <c r="O297" s="32"/>
      <c r="P297" s="4"/>
      <c r="Q297" s="32"/>
      <c r="R297" s="32" t="n">
        <f aca="false">$J297</f>
        <v>70.7</v>
      </c>
      <c r="S297" s="32" t="n">
        <f aca="false">$J297</f>
        <v>70.7</v>
      </c>
      <c r="T297" s="32" t="n">
        <f aca="false">$J297</f>
        <v>70.7</v>
      </c>
      <c r="U297" s="32" t="n">
        <f aca="false">$J297</f>
        <v>70.7</v>
      </c>
      <c r="V297" s="32" t="n">
        <f aca="false">$J297</f>
        <v>70.7</v>
      </c>
      <c r="W297" s="32" t="n">
        <f aca="false">$J297</f>
        <v>70.7</v>
      </c>
      <c r="X297" s="32" t="n">
        <f aca="false">$J297</f>
        <v>70.7</v>
      </c>
      <c r="Y297" s="32" t="n">
        <f aca="false">$J297</f>
        <v>70.7</v>
      </c>
      <c r="Z297" s="32" t="n">
        <f aca="false">$J297</f>
        <v>70.7</v>
      </c>
      <c r="AA297" s="32" t="n">
        <f aca="false">$J297</f>
        <v>70.7</v>
      </c>
      <c r="AB297" s="5"/>
    </row>
    <row r="298" customFormat="false" ht="15" hidden="false" customHeight="false" outlineLevel="0" collapsed="false">
      <c r="A298" s="4" t="s">
        <v>252</v>
      </c>
      <c r="B298" s="4" t="s">
        <v>1201</v>
      </c>
      <c r="C298" s="4" t="s">
        <v>1202</v>
      </c>
      <c r="D298" s="5" t="s">
        <v>571</v>
      </c>
      <c r="E298" s="32" t="n">
        <v>0.558200398220198</v>
      </c>
      <c r="F298" s="4" t="s">
        <v>73</v>
      </c>
      <c r="G298" s="5" t="s">
        <v>572</v>
      </c>
      <c r="H298" s="4" t="s">
        <v>573</v>
      </c>
      <c r="I298" s="32" t="n">
        <f aca="false">(1+INDEX(P_VAL,MATCH("N2_PERD",P_ID,0)))/INDEX(P_VAL,MATCH("RHO_N2",P_ID,0))</f>
        <v>1.0406660262568</v>
      </c>
      <c r="J298" s="32" t="n">
        <f aca="false">E298*I298</f>
        <v>0.580900190270779</v>
      </c>
      <c r="K298" s="4"/>
      <c r="L298" s="32"/>
      <c r="M298" s="32"/>
      <c r="N298" s="32"/>
      <c r="O298" s="32"/>
      <c r="P298" s="4"/>
      <c r="Q298" s="32"/>
      <c r="R298" s="32" t="n">
        <f aca="false">$J298</f>
        <v>0.580900190270779</v>
      </c>
      <c r="S298" s="32" t="n">
        <f aca="false">$J298</f>
        <v>0.580900190270779</v>
      </c>
      <c r="T298" s="32" t="n">
        <f aca="false">$J298</f>
        <v>0.580900190270779</v>
      </c>
      <c r="U298" s="32" t="n">
        <f aca="false">$J298</f>
        <v>0.580900190270779</v>
      </c>
      <c r="V298" s="32" t="n">
        <f aca="false">$J298</f>
        <v>0.580900190270779</v>
      </c>
      <c r="W298" s="32" t="n">
        <f aca="false">$J298</f>
        <v>0.580900190270779</v>
      </c>
      <c r="X298" s="32" t="n">
        <f aca="false">$J298</f>
        <v>0.580900190270779</v>
      </c>
      <c r="Y298" s="32" t="n">
        <f aca="false">$J298</f>
        <v>0.580900190270779</v>
      </c>
      <c r="Z298" s="32" t="n">
        <f aca="false">$J298</f>
        <v>0.580900190270779</v>
      </c>
      <c r="AA298" s="32" t="n">
        <f aca="false">$J298</f>
        <v>0.580900190270779</v>
      </c>
      <c r="AB298" s="5"/>
    </row>
    <row r="299" customFormat="false" ht="15" hidden="false" customHeight="false" outlineLevel="0" collapsed="false">
      <c r="A299" s="4" t="s">
        <v>252</v>
      </c>
      <c r="B299" s="4" t="s">
        <v>1203</v>
      </c>
      <c r="C299" s="4" t="s">
        <v>1204</v>
      </c>
      <c r="D299" s="5" t="s">
        <v>576</v>
      </c>
      <c r="E299" s="32" t="n">
        <v>1</v>
      </c>
      <c r="F299" s="4" t="s">
        <v>82</v>
      </c>
      <c r="G299" s="5" t="s">
        <v>509</v>
      </c>
      <c r="H299" s="4" t="s">
        <v>1205</v>
      </c>
      <c r="I299" s="32" t="n">
        <v>1</v>
      </c>
      <c r="J299" s="32" t="n">
        <f aca="false">E299*I299</f>
        <v>1</v>
      </c>
      <c r="K299" s="4"/>
      <c r="L299" s="32"/>
      <c r="M299" s="32"/>
      <c r="N299" s="32"/>
      <c r="O299" s="32"/>
      <c r="P299" s="4"/>
      <c r="Q299" s="32"/>
      <c r="R299" s="32" t="n">
        <f aca="false">$J299</f>
        <v>1</v>
      </c>
      <c r="S299" s="32" t="n">
        <f aca="false">$J299</f>
        <v>1</v>
      </c>
      <c r="T299" s="32" t="n">
        <f aca="false">$J299</f>
        <v>1</v>
      </c>
      <c r="U299" s="32" t="n">
        <f aca="false">$J299</f>
        <v>1</v>
      </c>
      <c r="V299" s="32" t="n">
        <f aca="false">$J299</f>
        <v>1</v>
      </c>
      <c r="W299" s="32" t="n">
        <f aca="false">$J299</f>
        <v>1</v>
      </c>
      <c r="X299" s="32" t="n">
        <f aca="false">$J299</f>
        <v>1</v>
      </c>
      <c r="Y299" s="32" t="n">
        <f aca="false">$J299</f>
        <v>1</v>
      </c>
      <c r="Z299" s="32" t="n">
        <f aca="false">$J299</f>
        <v>1</v>
      </c>
      <c r="AA299" s="32" t="n">
        <f aca="false">$J299</f>
        <v>1</v>
      </c>
      <c r="AB299" s="5"/>
    </row>
    <row r="300" customFormat="false" ht="15" hidden="false" customHeight="false" outlineLevel="0" collapsed="false">
      <c r="A300" s="4" t="s">
        <v>252</v>
      </c>
      <c r="B300" s="4" t="s">
        <v>1206</v>
      </c>
      <c r="C300" s="4" t="s">
        <v>1207</v>
      </c>
      <c r="D300" s="5" t="s">
        <v>580</v>
      </c>
      <c r="E300" s="32" t="n">
        <v>1</v>
      </c>
      <c r="F300" s="4" t="s">
        <v>82</v>
      </c>
      <c r="G300" s="5" t="s">
        <v>509</v>
      </c>
      <c r="H300" s="4" t="s">
        <v>581</v>
      </c>
      <c r="I300" s="32" t="n">
        <v>1</v>
      </c>
      <c r="J300" s="32" t="n">
        <f aca="false">E300*I300</f>
        <v>1</v>
      </c>
      <c r="K300" s="4" t="s">
        <v>582</v>
      </c>
      <c r="L300" s="32"/>
      <c r="M300" s="32"/>
      <c r="N300" s="32"/>
      <c r="O300" s="32"/>
      <c r="P300" s="4"/>
      <c r="Q300" s="32"/>
      <c r="R300" s="32" t="n">
        <f aca="false">$J300</f>
        <v>1</v>
      </c>
      <c r="S300" s="32" t="n">
        <f aca="false">$J300</f>
        <v>1</v>
      </c>
      <c r="T300" s="32" t="n">
        <f aca="false">$J300</f>
        <v>1</v>
      </c>
      <c r="U300" s="32" t="n">
        <f aca="false">$J300</f>
        <v>1</v>
      </c>
      <c r="V300" s="32" t="n">
        <f aca="false">$J300</f>
        <v>1</v>
      </c>
      <c r="W300" s="32" t="n">
        <f aca="false">$J300</f>
        <v>1</v>
      </c>
      <c r="X300" s="32" t="n">
        <f aca="false">$J300</f>
        <v>1</v>
      </c>
      <c r="Y300" s="32" t="n">
        <f aca="false">$J300</f>
        <v>1</v>
      </c>
      <c r="Z300" s="32" t="n">
        <f aca="false">$J300</f>
        <v>1</v>
      </c>
      <c r="AA300" s="32" t="n">
        <f aca="false">$J300</f>
        <v>1</v>
      </c>
      <c r="AB300" s="5"/>
    </row>
    <row r="301" customFormat="false" ht="15" hidden="false" customHeight="false" outlineLevel="0" collapsed="false">
      <c r="A301" s="4" t="s">
        <v>252</v>
      </c>
      <c r="B301" s="4" t="s">
        <v>1208</v>
      </c>
      <c r="C301" s="4" t="s">
        <v>1209</v>
      </c>
      <c r="D301" s="5" t="s">
        <v>585</v>
      </c>
      <c r="E301" s="32" t="n">
        <v>1</v>
      </c>
      <c r="F301" s="4" t="s">
        <v>82</v>
      </c>
      <c r="G301" s="5" t="s">
        <v>509</v>
      </c>
      <c r="H301" s="4" t="s">
        <v>586</v>
      </c>
      <c r="I301" s="32" t="n">
        <v>1</v>
      </c>
      <c r="J301" s="32" t="n">
        <f aca="false">E301*I301</f>
        <v>1</v>
      </c>
      <c r="K301" s="4"/>
      <c r="L301" s="32"/>
      <c r="M301" s="32"/>
      <c r="N301" s="32"/>
      <c r="O301" s="32"/>
      <c r="P301" s="4"/>
      <c r="Q301" s="32"/>
      <c r="R301" s="32" t="n">
        <f aca="false">$J301</f>
        <v>1</v>
      </c>
      <c r="S301" s="32" t="n">
        <f aca="false">$J301</f>
        <v>1</v>
      </c>
      <c r="T301" s="32" t="n">
        <f aca="false">$J301</f>
        <v>1</v>
      </c>
      <c r="U301" s="32" t="n">
        <f aca="false">$J301</f>
        <v>1</v>
      </c>
      <c r="V301" s="32" t="n">
        <f aca="false">$J301</f>
        <v>1</v>
      </c>
      <c r="W301" s="32" t="n">
        <f aca="false">$J301</f>
        <v>1</v>
      </c>
      <c r="X301" s="32" t="n">
        <f aca="false">$J301</f>
        <v>1</v>
      </c>
      <c r="Y301" s="32" t="n">
        <f aca="false">$J301</f>
        <v>1</v>
      </c>
      <c r="Z301" s="32" t="n">
        <f aca="false">$J301</f>
        <v>1</v>
      </c>
      <c r="AA301" s="32" t="n">
        <f aca="false">$J301</f>
        <v>1</v>
      </c>
      <c r="AB301" s="5"/>
    </row>
    <row r="302" customFormat="false" ht="15" hidden="false" customHeight="false" outlineLevel="0" collapsed="false">
      <c r="A302" s="4" t="s">
        <v>252</v>
      </c>
      <c r="B302" s="4" t="s">
        <v>1210</v>
      </c>
      <c r="C302" s="4" t="s">
        <v>1211</v>
      </c>
      <c r="D302" s="5" t="s">
        <v>687</v>
      </c>
      <c r="E302" s="32" t="n">
        <v>1</v>
      </c>
      <c r="F302" s="4" t="s">
        <v>82</v>
      </c>
      <c r="G302" s="5" t="s">
        <v>509</v>
      </c>
      <c r="H302" s="4" t="s">
        <v>688</v>
      </c>
      <c r="I302" s="32" t="n">
        <v>1</v>
      </c>
      <c r="J302" s="32" t="n">
        <f aca="false">E302*I302</f>
        <v>1</v>
      </c>
      <c r="K302" s="4" t="s">
        <v>689</v>
      </c>
      <c r="L302" s="32"/>
      <c r="M302" s="32"/>
      <c r="N302" s="32"/>
      <c r="O302" s="32"/>
      <c r="P302" s="4"/>
      <c r="Q302" s="32"/>
      <c r="R302" s="32" t="n">
        <f aca="false">$J302</f>
        <v>1</v>
      </c>
      <c r="S302" s="32" t="n">
        <f aca="false">$J302</f>
        <v>1</v>
      </c>
      <c r="T302" s="32" t="n">
        <f aca="false">$J302</f>
        <v>1</v>
      </c>
      <c r="U302" s="32" t="n">
        <f aca="false">$J302</f>
        <v>1</v>
      </c>
      <c r="V302" s="32" t="n">
        <f aca="false">$J302</f>
        <v>1</v>
      </c>
      <c r="W302" s="32" t="n">
        <f aca="false">$J302</f>
        <v>1</v>
      </c>
      <c r="X302" s="32" t="n">
        <f aca="false">$J302</f>
        <v>1</v>
      </c>
      <c r="Y302" s="32" t="n">
        <f aca="false">$J302</f>
        <v>1</v>
      </c>
      <c r="Z302" s="32" t="n">
        <f aca="false">$J302</f>
        <v>1</v>
      </c>
      <c r="AA302" s="32" t="n">
        <f aca="false">$J302</f>
        <v>1</v>
      </c>
      <c r="AB302" s="5"/>
    </row>
    <row r="303" customFormat="false" ht="15" hidden="false" customHeight="false" outlineLevel="0" collapsed="false">
      <c r="A303" s="4" t="s">
        <v>252</v>
      </c>
      <c r="B303" s="4" t="s">
        <v>1212</v>
      </c>
      <c r="C303" s="4" t="s">
        <v>1213</v>
      </c>
      <c r="D303" s="5" t="s">
        <v>589</v>
      </c>
      <c r="E303" s="32" t="n">
        <v>1</v>
      </c>
      <c r="F303" s="4" t="s">
        <v>82</v>
      </c>
      <c r="G303" s="5" t="s">
        <v>509</v>
      </c>
      <c r="H303" s="4" t="s">
        <v>590</v>
      </c>
      <c r="I303" s="32" t="n">
        <v>1</v>
      </c>
      <c r="J303" s="32" t="n">
        <f aca="false">E303*I303</f>
        <v>1</v>
      </c>
      <c r="K303" s="4"/>
      <c r="L303" s="32"/>
      <c r="M303" s="32"/>
      <c r="N303" s="32"/>
      <c r="O303" s="32"/>
      <c r="P303" s="4"/>
      <c r="Q303" s="32"/>
      <c r="R303" s="32" t="n">
        <f aca="false">$J303</f>
        <v>1</v>
      </c>
      <c r="S303" s="32" t="n">
        <f aca="false">$J303</f>
        <v>1</v>
      </c>
      <c r="T303" s="32" t="n">
        <f aca="false">$J303</f>
        <v>1</v>
      </c>
      <c r="U303" s="32" t="n">
        <f aca="false">$J303</f>
        <v>1</v>
      </c>
      <c r="V303" s="32" t="n">
        <f aca="false">$J303</f>
        <v>1</v>
      </c>
      <c r="W303" s="32" t="n">
        <f aca="false">$J303</f>
        <v>1</v>
      </c>
      <c r="X303" s="32" t="n">
        <f aca="false">$J303</f>
        <v>1</v>
      </c>
      <c r="Y303" s="32" t="n">
        <f aca="false">$J303</f>
        <v>1</v>
      </c>
      <c r="Z303" s="32" t="n">
        <f aca="false">$J303</f>
        <v>1</v>
      </c>
      <c r="AA303" s="32" t="n">
        <f aca="false">$J303</f>
        <v>1</v>
      </c>
      <c r="AB303" s="5"/>
    </row>
    <row r="304" customFormat="false" ht="15" hidden="false" customHeight="false" outlineLevel="0" collapsed="false">
      <c r="A304" s="4" t="s">
        <v>252</v>
      </c>
      <c r="B304" s="4" t="s">
        <v>1214</v>
      </c>
      <c r="C304" s="4" t="s">
        <v>1215</v>
      </c>
      <c r="D304" s="5" t="s">
        <v>593</v>
      </c>
      <c r="E304" s="32" t="n">
        <v>1</v>
      </c>
      <c r="F304" s="4" t="s">
        <v>82</v>
      </c>
      <c r="G304" s="5" t="s">
        <v>509</v>
      </c>
      <c r="H304" s="4" t="s">
        <v>594</v>
      </c>
      <c r="I304" s="32" t="n">
        <v>1</v>
      </c>
      <c r="J304" s="32" t="n">
        <f aca="false">E304*I304</f>
        <v>1</v>
      </c>
      <c r="K304" s="4"/>
      <c r="L304" s="32"/>
      <c r="M304" s="32"/>
      <c r="N304" s="32"/>
      <c r="O304" s="32"/>
      <c r="P304" s="4"/>
      <c r="Q304" s="32"/>
      <c r="R304" s="32" t="n">
        <f aca="false">$J304</f>
        <v>1</v>
      </c>
      <c r="S304" s="32" t="n">
        <f aca="false">$J304</f>
        <v>1</v>
      </c>
      <c r="T304" s="32" t="n">
        <f aca="false">$J304</f>
        <v>1</v>
      </c>
      <c r="U304" s="32" t="n">
        <f aca="false">$J304</f>
        <v>1</v>
      </c>
      <c r="V304" s="32" t="n">
        <f aca="false">$J304</f>
        <v>1</v>
      </c>
      <c r="W304" s="32" t="n">
        <f aca="false">$J304</f>
        <v>1</v>
      </c>
      <c r="X304" s="32" t="n">
        <f aca="false">$J304</f>
        <v>1</v>
      </c>
      <c r="Y304" s="32" t="n">
        <f aca="false">$J304</f>
        <v>1</v>
      </c>
      <c r="Z304" s="32" t="n">
        <f aca="false">$J304</f>
        <v>1</v>
      </c>
      <c r="AA304" s="32" t="n">
        <f aca="false">$J304</f>
        <v>1</v>
      </c>
      <c r="AB304" s="5"/>
    </row>
    <row r="305" customFormat="false" ht="15" hidden="false" customHeight="false" outlineLevel="0" collapsed="false">
      <c r="A305" s="4" t="s">
        <v>252</v>
      </c>
      <c r="B305" s="4" t="s">
        <v>1216</v>
      </c>
      <c r="C305" s="4" t="s">
        <v>1217</v>
      </c>
      <c r="D305" s="5" t="s">
        <v>597</v>
      </c>
      <c r="E305" s="32" t="n">
        <v>1</v>
      </c>
      <c r="F305" s="4" t="s">
        <v>82</v>
      </c>
      <c r="G305" s="5" t="s">
        <v>509</v>
      </c>
      <c r="H305" s="4" t="s">
        <v>598</v>
      </c>
      <c r="I305" s="32" t="n">
        <v>1</v>
      </c>
      <c r="J305" s="32" t="n">
        <f aca="false">E305*I305</f>
        <v>1</v>
      </c>
      <c r="K305" s="4"/>
      <c r="L305" s="32"/>
      <c r="M305" s="32"/>
      <c r="N305" s="32"/>
      <c r="O305" s="32"/>
      <c r="P305" s="4"/>
      <c r="Q305" s="32"/>
      <c r="R305" s="32" t="n">
        <f aca="false">$J305</f>
        <v>1</v>
      </c>
      <c r="S305" s="32" t="n">
        <f aca="false">$J305</f>
        <v>1</v>
      </c>
      <c r="T305" s="32" t="n">
        <f aca="false">$J305</f>
        <v>1</v>
      </c>
      <c r="U305" s="32" t="n">
        <f aca="false">$J305</f>
        <v>1</v>
      </c>
      <c r="V305" s="32" t="n">
        <f aca="false">$J305</f>
        <v>1</v>
      </c>
      <c r="W305" s="32" t="n">
        <f aca="false">$J305</f>
        <v>1</v>
      </c>
      <c r="X305" s="32" t="n">
        <f aca="false">$J305</f>
        <v>1</v>
      </c>
      <c r="Y305" s="32" t="n">
        <f aca="false">$J305</f>
        <v>1</v>
      </c>
      <c r="Z305" s="32" t="n">
        <f aca="false">$J305</f>
        <v>1</v>
      </c>
      <c r="AA305" s="32" t="n">
        <f aca="false">$J305</f>
        <v>1</v>
      </c>
      <c r="AB305" s="5"/>
    </row>
    <row r="306" customFormat="false" ht="15" hidden="false" customHeight="false" outlineLevel="0" collapsed="false">
      <c r="A306" s="4" t="s">
        <v>276</v>
      </c>
      <c r="B306" s="4" t="s">
        <v>1119</v>
      </c>
      <c r="C306" s="4" t="s">
        <v>1218</v>
      </c>
      <c r="D306" s="5" t="s">
        <v>490</v>
      </c>
      <c r="E306" s="32" t="n">
        <v>1</v>
      </c>
      <c r="F306" s="4" t="s">
        <v>82</v>
      </c>
      <c r="G306" s="5" t="s">
        <v>491</v>
      </c>
      <c r="H306" s="4" t="s">
        <v>1121</v>
      </c>
      <c r="I306" s="32" t="n">
        <f aca="false">FAB_COMPRA!K28</f>
        <v>0.25</v>
      </c>
      <c r="J306" s="32" t="n">
        <f aca="false">E306*I306</f>
        <v>0.25</v>
      </c>
      <c r="K306" s="4"/>
      <c r="L306" s="32"/>
      <c r="M306" s="32"/>
      <c r="N306" s="32"/>
      <c r="O306" s="32"/>
      <c r="P306" s="4"/>
      <c r="Q306" s="32"/>
      <c r="R306" s="32" t="n">
        <f aca="false">$J306</f>
        <v>0.25</v>
      </c>
      <c r="S306" s="32" t="n">
        <f aca="false">$J306</f>
        <v>0.25</v>
      </c>
      <c r="T306" s="32" t="n">
        <f aca="false">$J306</f>
        <v>0.25</v>
      </c>
      <c r="U306" s="32" t="n">
        <f aca="false">$J306</f>
        <v>0.25</v>
      </c>
      <c r="V306" s="32" t="n">
        <f aca="false">$J306</f>
        <v>0.25</v>
      </c>
      <c r="W306" s="32" t="n">
        <f aca="false">$J306</f>
        <v>0.25</v>
      </c>
      <c r="X306" s="32" t="n">
        <f aca="false">$J306</f>
        <v>0.25</v>
      </c>
      <c r="Y306" s="32" t="n">
        <f aca="false">$J306</f>
        <v>0.25</v>
      </c>
      <c r="Z306" s="32" t="n">
        <f aca="false">$J306</f>
        <v>0.25</v>
      </c>
      <c r="AA306" s="32" t="n">
        <f aca="false">$J306</f>
        <v>0.25</v>
      </c>
      <c r="AB306" s="5" t="s">
        <v>493</v>
      </c>
    </row>
    <row r="307" customFormat="false" ht="15" hidden="false" customHeight="false" outlineLevel="0" collapsed="false">
      <c r="A307" s="4" t="s">
        <v>276</v>
      </c>
      <c r="B307" s="4" t="s">
        <v>1122</v>
      </c>
      <c r="C307" s="4" t="s">
        <v>1219</v>
      </c>
      <c r="D307" s="5" t="s">
        <v>496</v>
      </c>
      <c r="E307" s="32" t="n">
        <v>1</v>
      </c>
      <c r="F307" s="4" t="s">
        <v>82</v>
      </c>
      <c r="G307" s="5" t="s">
        <v>491</v>
      </c>
      <c r="H307" s="4" t="s">
        <v>1124</v>
      </c>
      <c r="I307" s="32" t="n">
        <f aca="false">FAB_COMPRA!K29</f>
        <v>1</v>
      </c>
      <c r="J307" s="32" t="n">
        <f aca="false">E307*I307</f>
        <v>1</v>
      </c>
      <c r="K307" s="4"/>
      <c r="L307" s="32"/>
      <c r="M307" s="32"/>
      <c r="N307" s="32"/>
      <c r="O307" s="32"/>
      <c r="P307" s="4"/>
      <c r="Q307" s="32"/>
      <c r="R307" s="32" t="n">
        <f aca="false">$J307</f>
        <v>1</v>
      </c>
      <c r="S307" s="32" t="n">
        <f aca="false">$J307</f>
        <v>1</v>
      </c>
      <c r="T307" s="32" t="n">
        <f aca="false">$J307</f>
        <v>1</v>
      </c>
      <c r="U307" s="32" t="n">
        <f aca="false">$J307</f>
        <v>1</v>
      </c>
      <c r="V307" s="32" t="n">
        <f aca="false">$J307</f>
        <v>1</v>
      </c>
      <c r="W307" s="32" t="n">
        <f aca="false">$J307</f>
        <v>1</v>
      </c>
      <c r="X307" s="32" t="n">
        <f aca="false">$J307</f>
        <v>1</v>
      </c>
      <c r="Y307" s="32" t="n">
        <f aca="false">$J307</f>
        <v>1</v>
      </c>
      <c r="Z307" s="32" t="n">
        <f aca="false">$J307</f>
        <v>1</v>
      </c>
      <c r="AA307" s="32" t="n">
        <f aca="false">$J307</f>
        <v>1</v>
      </c>
      <c r="AB307" s="5" t="s">
        <v>493</v>
      </c>
    </row>
    <row r="308" customFormat="false" ht="15" hidden="false" customHeight="false" outlineLevel="0" collapsed="false">
      <c r="A308" s="4" t="s">
        <v>276</v>
      </c>
      <c r="B308" s="4" t="s">
        <v>1125</v>
      </c>
      <c r="C308" s="4" t="s">
        <v>1220</v>
      </c>
      <c r="D308" s="5" t="s">
        <v>500</v>
      </c>
      <c r="E308" s="32" t="n">
        <v>1</v>
      </c>
      <c r="F308" s="4" t="s">
        <v>82</v>
      </c>
      <c r="G308" s="5" t="s">
        <v>491</v>
      </c>
      <c r="H308" s="4" t="s">
        <v>1124</v>
      </c>
      <c r="I308" s="32" t="n">
        <f aca="false">FAB_COMPRA!K30</f>
        <v>1</v>
      </c>
      <c r="J308" s="32" t="n">
        <f aca="false">E308*I308</f>
        <v>1</v>
      </c>
      <c r="K308" s="4"/>
      <c r="L308" s="32"/>
      <c r="M308" s="32"/>
      <c r="N308" s="32"/>
      <c r="O308" s="32"/>
      <c r="P308" s="4"/>
      <c r="Q308" s="32"/>
      <c r="R308" s="32" t="n">
        <f aca="false">$J308</f>
        <v>1</v>
      </c>
      <c r="S308" s="32" t="n">
        <f aca="false">$J308</f>
        <v>1</v>
      </c>
      <c r="T308" s="32" t="n">
        <f aca="false">$J308</f>
        <v>1</v>
      </c>
      <c r="U308" s="32" t="n">
        <f aca="false">$J308</f>
        <v>1</v>
      </c>
      <c r="V308" s="32" t="n">
        <f aca="false">$J308</f>
        <v>1</v>
      </c>
      <c r="W308" s="32" t="n">
        <f aca="false">$J308</f>
        <v>1</v>
      </c>
      <c r="X308" s="32" t="n">
        <f aca="false">$J308</f>
        <v>1</v>
      </c>
      <c r="Y308" s="32" t="n">
        <f aca="false">$J308</f>
        <v>1</v>
      </c>
      <c r="Z308" s="32" t="n">
        <f aca="false">$J308</f>
        <v>1</v>
      </c>
      <c r="AA308" s="32" t="n">
        <f aca="false">$J308</f>
        <v>1</v>
      </c>
      <c r="AB308" s="5" t="s">
        <v>493</v>
      </c>
    </row>
    <row r="309" customFormat="false" ht="15" hidden="false" customHeight="false" outlineLevel="0" collapsed="false">
      <c r="A309" s="4" t="s">
        <v>276</v>
      </c>
      <c r="B309" s="4" t="s">
        <v>1127</v>
      </c>
      <c r="C309" s="4" t="s">
        <v>1221</v>
      </c>
      <c r="D309" s="5" t="s">
        <v>504</v>
      </c>
      <c r="E309" s="32" t="n">
        <v>1</v>
      </c>
      <c r="F309" s="4" t="s">
        <v>82</v>
      </c>
      <c r="G309" s="5" t="s">
        <v>491</v>
      </c>
      <c r="H309" s="4" t="s">
        <v>1129</v>
      </c>
      <c r="I309" s="32" t="n">
        <f aca="false">FAB_COMPRA!K31</f>
        <v>1</v>
      </c>
      <c r="J309" s="32" t="n">
        <f aca="false">E309*I309</f>
        <v>1</v>
      </c>
      <c r="K309" s="4"/>
      <c r="L309" s="32"/>
      <c r="M309" s="32"/>
      <c r="N309" s="32"/>
      <c r="O309" s="32"/>
      <c r="P309" s="4"/>
      <c r="Q309" s="32"/>
      <c r="R309" s="32" t="n">
        <f aca="false">$J309</f>
        <v>1</v>
      </c>
      <c r="S309" s="32" t="n">
        <f aca="false">$J309</f>
        <v>1</v>
      </c>
      <c r="T309" s="32" t="n">
        <f aca="false">$J309</f>
        <v>1</v>
      </c>
      <c r="U309" s="32" t="n">
        <f aca="false">$J309</f>
        <v>1</v>
      </c>
      <c r="V309" s="32" t="n">
        <f aca="false">$J309</f>
        <v>1</v>
      </c>
      <c r="W309" s="32" t="n">
        <f aca="false">$J309</f>
        <v>1</v>
      </c>
      <c r="X309" s="32" t="n">
        <f aca="false">$J309</f>
        <v>1</v>
      </c>
      <c r="Y309" s="32" t="n">
        <f aca="false">$J309</f>
        <v>1</v>
      </c>
      <c r="Z309" s="32" t="n">
        <f aca="false">$J309</f>
        <v>1</v>
      </c>
      <c r="AA309" s="32" t="n">
        <f aca="false">$J309</f>
        <v>1</v>
      </c>
      <c r="AB309" s="5" t="s">
        <v>493</v>
      </c>
    </row>
    <row r="310" customFormat="false" ht="15" hidden="false" customHeight="false" outlineLevel="0" collapsed="false">
      <c r="A310" s="4" t="s">
        <v>276</v>
      </c>
      <c r="B310" s="4" t="s">
        <v>1130</v>
      </c>
      <c r="C310" s="4" t="s">
        <v>1222</v>
      </c>
      <c r="D310" s="5" t="s">
        <v>1132</v>
      </c>
      <c r="E310" s="32" t="n">
        <v>1</v>
      </c>
      <c r="F310" s="4" t="s">
        <v>82</v>
      </c>
      <c r="G310" s="5" t="s">
        <v>943</v>
      </c>
      <c r="H310" s="4"/>
      <c r="I310" s="32"/>
      <c r="J310" s="32" t="n">
        <f aca="false">E310*I310</f>
        <v>0</v>
      </c>
      <c r="K310" s="4"/>
      <c r="L310" s="32"/>
      <c r="M310" s="32"/>
      <c r="N310" s="32"/>
      <c r="O310" s="32"/>
      <c r="P310" s="4"/>
      <c r="Q310" s="32"/>
      <c r="R310" s="32" t="n">
        <f aca="false">$J310</f>
        <v>0</v>
      </c>
      <c r="S310" s="32" t="n">
        <f aca="false">$J310</f>
        <v>0</v>
      </c>
      <c r="T310" s="32" t="n">
        <f aca="false">$J310</f>
        <v>0</v>
      </c>
      <c r="U310" s="32" t="n">
        <f aca="false">$J310</f>
        <v>0</v>
      </c>
      <c r="V310" s="32" t="n">
        <f aca="false">$J310</f>
        <v>0</v>
      </c>
      <c r="W310" s="32" t="n">
        <f aca="false">$J310</f>
        <v>0</v>
      </c>
      <c r="X310" s="32" t="n">
        <f aca="false">$J310</f>
        <v>0</v>
      </c>
      <c r="Y310" s="32" t="n">
        <f aca="false">$J310</f>
        <v>0</v>
      </c>
      <c r="Z310" s="32" t="n">
        <f aca="false">$J310</f>
        <v>0</v>
      </c>
      <c r="AA310" s="32" t="n">
        <f aca="false">$J310</f>
        <v>0</v>
      </c>
      <c r="AB310" s="5"/>
    </row>
    <row r="311" customFormat="false" ht="15" hidden="false" customHeight="false" outlineLevel="0" collapsed="false">
      <c r="A311" s="4" t="s">
        <v>276</v>
      </c>
      <c r="B311" s="4" t="s">
        <v>1223</v>
      </c>
      <c r="C311" s="4" t="s">
        <v>1224</v>
      </c>
      <c r="D311" s="5" t="s">
        <v>609</v>
      </c>
      <c r="E311" s="32" t="n">
        <v>1</v>
      </c>
      <c r="F311" s="4" t="s">
        <v>82</v>
      </c>
      <c r="G311" s="5" t="s">
        <v>509</v>
      </c>
      <c r="H311" s="4" t="s">
        <v>1225</v>
      </c>
      <c r="I311" s="32" t="n">
        <v>1</v>
      </c>
      <c r="J311" s="32" t="n">
        <f aca="false">E311*I311</f>
        <v>1</v>
      </c>
      <c r="K311" s="4"/>
      <c r="L311" s="32"/>
      <c r="M311" s="32"/>
      <c r="N311" s="32"/>
      <c r="O311" s="32"/>
      <c r="P311" s="4"/>
      <c r="Q311" s="32"/>
      <c r="R311" s="32" t="n">
        <f aca="false">$J311</f>
        <v>1</v>
      </c>
      <c r="S311" s="32" t="n">
        <f aca="false">$J311</f>
        <v>1</v>
      </c>
      <c r="T311" s="32" t="n">
        <f aca="false">$J311</f>
        <v>1</v>
      </c>
      <c r="U311" s="32" t="n">
        <f aca="false">$J311</f>
        <v>1</v>
      </c>
      <c r="V311" s="32" t="n">
        <f aca="false">$J311</f>
        <v>1</v>
      </c>
      <c r="W311" s="32" t="n">
        <f aca="false">$J311</f>
        <v>1</v>
      </c>
      <c r="X311" s="32" t="n">
        <f aca="false">$J311</f>
        <v>1</v>
      </c>
      <c r="Y311" s="32" t="n">
        <f aca="false">$J311</f>
        <v>1</v>
      </c>
      <c r="Z311" s="32" t="n">
        <f aca="false">$J311</f>
        <v>1</v>
      </c>
      <c r="AA311" s="32" t="n">
        <f aca="false">$J311</f>
        <v>1</v>
      </c>
      <c r="AB311" s="5"/>
    </row>
    <row r="312" customFormat="false" ht="15" hidden="false" customHeight="false" outlineLevel="0" collapsed="false">
      <c r="A312" s="4" t="s">
        <v>276</v>
      </c>
      <c r="B312" s="4" t="s">
        <v>1226</v>
      </c>
      <c r="C312" s="4" t="s">
        <v>1227</v>
      </c>
      <c r="D312" s="5" t="s">
        <v>613</v>
      </c>
      <c r="E312" s="32" t="n">
        <v>1</v>
      </c>
      <c r="F312" s="4" t="s">
        <v>82</v>
      </c>
      <c r="G312" s="5" t="s">
        <v>509</v>
      </c>
      <c r="H312" s="4" t="s">
        <v>614</v>
      </c>
      <c r="I312" s="32" t="n">
        <v>1</v>
      </c>
      <c r="J312" s="32" t="n">
        <f aca="false">E312*I312</f>
        <v>1</v>
      </c>
      <c r="K312" s="4"/>
      <c r="L312" s="32"/>
      <c r="M312" s="32"/>
      <c r="N312" s="32"/>
      <c r="O312" s="32"/>
      <c r="P312" s="4"/>
      <c r="Q312" s="32"/>
      <c r="R312" s="32" t="n">
        <f aca="false">$J312</f>
        <v>1</v>
      </c>
      <c r="S312" s="32" t="n">
        <f aca="false">$J312</f>
        <v>1</v>
      </c>
      <c r="T312" s="32" t="n">
        <f aca="false">$J312</f>
        <v>1</v>
      </c>
      <c r="U312" s="32" t="n">
        <f aca="false">$J312</f>
        <v>1</v>
      </c>
      <c r="V312" s="32" t="n">
        <f aca="false">$J312</f>
        <v>1</v>
      </c>
      <c r="W312" s="32" t="n">
        <f aca="false">$J312</f>
        <v>1</v>
      </c>
      <c r="X312" s="32" t="n">
        <f aca="false">$J312</f>
        <v>1</v>
      </c>
      <c r="Y312" s="32" t="n">
        <f aca="false">$J312</f>
        <v>1</v>
      </c>
      <c r="Z312" s="32" t="n">
        <f aca="false">$J312</f>
        <v>1</v>
      </c>
      <c r="AA312" s="32" t="n">
        <f aca="false">$J312</f>
        <v>1</v>
      </c>
      <c r="AB312" s="5"/>
    </row>
    <row r="313" customFormat="false" ht="15" hidden="false" customHeight="false" outlineLevel="0" collapsed="false">
      <c r="A313" s="4" t="s">
        <v>255</v>
      </c>
      <c r="B313" s="4" t="s">
        <v>1228</v>
      </c>
      <c r="C313" s="4" t="s">
        <v>1229</v>
      </c>
      <c r="D313" s="5" t="s">
        <v>490</v>
      </c>
      <c r="E313" s="32" t="n">
        <v>1</v>
      </c>
      <c r="F313" s="4" t="s">
        <v>82</v>
      </c>
      <c r="G313" s="5" t="s">
        <v>491</v>
      </c>
      <c r="H313" s="4" t="s">
        <v>1121</v>
      </c>
      <c r="I313" s="32" t="n">
        <f aca="false">FAB_COMPRA!K32</f>
        <v>0.333333333333333</v>
      </c>
      <c r="J313" s="32" t="n">
        <f aca="false">E313*I313</f>
        <v>0.333333333333333</v>
      </c>
      <c r="K313" s="4"/>
      <c r="L313" s="32"/>
      <c r="M313" s="32"/>
      <c r="N313" s="32"/>
      <c r="O313" s="32"/>
      <c r="P313" s="4"/>
      <c r="Q313" s="32"/>
      <c r="R313" s="32" t="n">
        <f aca="false">$J313</f>
        <v>0.333333333333333</v>
      </c>
      <c r="S313" s="32" t="n">
        <f aca="false">$J313</f>
        <v>0.333333333333333</v>
      </c>
      <c r="T313" s="32" t="n">
        <f aca="false">$J313</f>
        <v>0.333333333333333</v>
      </c>
      <c r="U313" s="32" t="n">
        <f aca="false">$J313</f>
        <v>0.333333333333333</v>
      </c>
      <c r="V313" s="32" t="n">
        <f aca="false">$J313</f>
        <v>0.333333333333333</v>
      </c>
      <c r="W313" s="32" t="n">
        <f aca="false">$J313</f>
        <v>0.333333333333333</v>
      </c>
      <c r="X313" s="32" t="n">
        <f aca="false">$J313</f>
        <v>0.333333333333333</v>
      </c>
      <c r="Y313" s="32" t="n">
        <f aca="false">$J313</f>
        <v>0.333333333333333</v>
      </c>
      <c r="Z313" s="32" t="n">
        <f aca="false">$J313</f>
        <v>0.333333333333333</v>
      </c>
      <c r="AA313" s="32" t="n">
        <f aca="false">$J313</f>
        <v>0.333333333333333</v>
      </c>
      <c r="AB313" s="5" t="s">
        <v>493</v>
      </c>
    </row>
    <row r="314" customFormat="false" ht="15" hidden="false" customHeight="false" outlineLevel="0" collapsed="false">
      <c r="A314" s="4" t="s">
        <v>255</v>
      </c>
      <c r="B314" s="4" t="s">
        <v>1230</v>
      </c>
      <c r="C314" s="4" t="s">
        <v>1231</v>
      </c>
      <c r="D314" s="5" t="s">
        <v>496</v>
      </c>
      <c r="E314" s="32" t="n">
        <v>1</v>
      </c>
      <c r="F314" s="4" t="s">
        <v>82</v>
      </c>
      <c r="G314" s="5" t="s">
        <v>491</v>
      </c>
      <c r="H314" s="4" t="s">
        <v>1124</v>
      </c>
      <c r="I314" s="32" t="n">
        <f aca="false">FAB_COMPRA!K33</f>
        <v>1</v>
      </c>
      <c r="J314" s="32" t="n">
        <f aca="false">E314*I314</f>
        <v>1</v>
      </c>
      <c r="K314" s="4"/>
      <c r="L314" s="32"/>
      <c r="M314" s="32"/>
      <c r="N314" s="32"/>
      <c r="O314" s="32"/>
      <c r="P314" s="4"/>
      <c r="Q314" s="32"/>
      <c r="R314" s="32" t="n">
        <f aca="false">$J314</f>
        <v>1</v>
      </c>
      <c r="S314" s="32" t="n">
        <f aca="false">$J314</f>
        <v>1</v>
      </c>
      <c r="T314" s="32" t="n">
        <f aca="false">$J314</f>
        <v>1</v>
      </c>
      <c r="U314" s="32" t="n">
        <f aca="false">$J314</f>
        <v>1</v>
      </c>
      <c r="V314" s="32" t="n">
        <f aca="false">$J314</f>
        <v>1</v>
      </c>
      <c r="W314" s="32" t="n">
        <f aca="false">$J314</f>
        <v>1</v>
      </c>
      <c r="X314" s="32" t="n">
        <f aca="false">$J314</f>
        <v>1</v>
      </c>
      <c r="Y314" s="32" t="n">
        <f aca="false">$J314</f>
        <v>1</v>
      </c>
      <c r="Z314" s="32" t="n">
        <f aca="false">$J314</f>
        <v>1</v>
      </c>
      <c r="AA314" s="32" t="n">
        <f aca="false">$J314</f>
        <v>1</v>
      </c>
      <c r="AB314" s="5" t="s">
        <v>493</v>
      </c>
    </row>
    <row r="315" customFormat="false" ht="15" hidden="false" customHeight="false" outlineLevel="0" collapsed="false">
      <c r="A315" s="4" t="s">
        <v>255</v>
      </c>
      <c r="B315" s="4" t="s">
        <v>1232</v>
      </c>
      <c r="C315" s="4" t="s">
        <v>1233</v>
      </c>
      <c r="D315" s="5" t="s">
        <v>500</v>
      </c>
      <c r="E315" s="32" t="n">
        <v>1</v>
      </c>
      <c r="F315" s="4" t="s">
        <v>82</v>
      </c>
      <c r="G315" s="5" t="s">
        <v>491</v>
      </c>
      <c r="H315" s="4" t="s">
        <v>1124</v>
      </c>
      <c r="I315" s="32" t="n">
        <f aca="false">FAB_COMPRA!K34</f>
        <v>1</v>
      </c>
      <c r="J315" s="32" t="n">
        <f aca="false">E315*I315</f>
        <v>1</v>
      </c>
      <c r="K315" s="4"/>
      <c r="L315" s="32"/>
      <c r="M315" s="32"/>
      <c r="N315" s="32"/>
      <c r="O315" s="32"/>
      <c r="P315" s="4"/>
      <c r="Q315" s="32"/>
      <c r="R315" s="32" t="n">
        <f aca="false">$J315</f>
        <v>1</v>
      </c>
      <c r="S315" s="32" t="n">
        <f aca="false">$J315</f>
        <v>1</v>
      </c>
      <c r="T315" s="32" t="n">
        <f aca="false">$J315</f>
        <v>1</v>
      </c>
      <c r="U315" s="32" t="n">
        <f aca="false">$J315</f>
        <v>1</v>
      </c>
      <c r="V315" s="32" t="n">
        <f aca="false">$J315</f>
        <v>1</v>
      </c>
      <c r="W315" s="32" t="n">
        <f aca="false">$J315</f>
        <v>1</v>
      </c>
      <c r="X315" s="32" t="n">
        <f aca="false">$J315</f>
        <v>1</v>
      </c>
      <c r="Y315" s="32" t="n">
        <f aca="false">$J315</f>
        <v>1</v>
      </c>
      <c r="Z315" s="32" t="n">
        <f aca="false">$J315</f>
        <v>1</v>
      </c>
      <c r="AA315" s="32" t="n">
        <f aca="false">$J315</f>
        <v>1</v>
      </c>
      <c r="AB315" s="5" t="s">
        <v>493</v>
      </c>
    </row>
    <row r="316" customFormat="false" ht="15" hidden="false" customHeight="false" outlineLevel="0" collapsed="false">
      <c r="A316" s="4" t="s">
        <v>255</v>
      </c>
      <c r="B316" s="4" t="s">
        <v>1234</v>
      </c>
      <c r="C316" s="4" t="s">
        <v>1235</v>
      </c>
      <c r="D316" s="5" t="s">
        <v>504</v>
      </c>
      <c r="E316" s="32" t="n">
        <v>1</v>
      </c>
      <c r="F316" s="4" t="s">
        <v>82</v>
      </c>
      <c r="G316" s="5" t="s">
        <v>491</v>
      </c>
      <c r="H316" s="4" t="s">
        <v>1129</v>
      </c>
      <c r="I316" s="32" t="n">
        <f aca="false">FAB_COMPRA!K35</f>
        <v>1</v>
      </c>
      <c r="J316" s="32" t="n">
        <f aca="false">E316*I316</f>
        <v>1</v>
      </c>
      <c r="K316" s="4"/>
      <c r="L316" s="32"/>
      <c r="M316" s="32"/>
      <c r="N316" s="32"/>
      <c r="O316" s="32"/>
      <c r="P316" s="4"/>
      <c r="Q316" s="32"/>
      <c r="R316" s="32" t="n">
        <f aca="false">$J316</f>
        <v>1</v>
      </c>
      <c r="S316" s="32" t="n">
        <f aca="false">$J316</f>
        <v>1</v>
      </c>
      <c r="T316" s="32" t="n">
        <f aca="false">$J316</f>
        <v>1</v>
      </c>
      <c r="U316" s="32" t="n">
        <f aca="false">$J316</f>
        <v>1</v>
      </c>
      <c r="V316" s="32" t="n">
        <f aca="false">$J316</f>
        <v>1</v>
      </c>
      <c r="W316" s="32" t="n">
        <f aca="false">$J316</f>
        <v>1</v>
      </c>
      <c r="X316" s="32" t="n">
        <f aca="false">$J316</f>
        <v>1</v>
      </c>
      <c r="Y316" s="32" t="n">
        <f aca="false">$J316</f>
        <v>1</v>
      </c>
      <c r="Z316" s="32" t="n">
        <f aca="false">$J316</f>
        <v>1</v>
      </c>
      <c r="AA316" s="32" t="n">
        <f aca="false">$J316</f>
        <v>1</v>
      </c>
      <c r="AB316" s="5" t="s">
        <v>493</v>
      </c>
    </row>
    <row r="317" customFormat="false" ht="15" hidden="false" customHeight="false" outlineLevel="0" collapsed="false">
      <c r="A317" s="4" t="s">
        <v>255</v>
      </c>
      <c r="B317" s="4" t="s">
        <v>1236</v>
      </c>
      <c r="C317" s="4" t="s">
        <v>1237</v>
      </c>
      <c r="D317" s="5" t="s">
        <v>1132</v>
      </c>
      <c r="E317" s="32" t="n">
        <v>1</v>
      </c>
      <c r="F317" s="4" t="s">
        <v>82</v>
      </c>
      <c r="G317" s="5" t="s">
        <v>943</v>
      </c>
      <c r="H317" s="4"/>
      <c r="I317" s="32"/>
      <c r="J317" s="32" t="n">
        <f aca="false">E317*I317</f>
        <v>0</v>
      </c>
      <c r="K317" s="4"/>
      <c r="L317" s="32"/>
      <c r="M317" s="32"/>
      <c r="N317" s="32"/>
      <c r="O317" s="32"/>
      <c r="P317" s="4"/>
      <c r="Q317" s="32"/>
      <c r="R317" s="32" t="n">
        <f aca="false">$J317</f>
        <v>0</v>
      </c>
      <c r="S317" s="32" t="n">
        <f aca="false">$J317</f>
        <v>0</v>
      </c>
      <c r="T317" s="32" t="n">
        <f aca="false">$J317</f>
        <v>0</v>
      </c>
      <c r="U317" s="32" t="n">
        <f aca="false">$J317</f>
        <v>0</v>
      </c>
      <c r="V317" s="32" t="n">
        <f aca="false">$J317</f>
        <v>0</v>
      </c>
      <c r="W317" s="32" t="n">
        <f aca="false">$J317</f>
        <v>0</v>
      </c>
      <c r="X317" s="32" t="n">
        <f aca="false">$J317</f>
        <v>0</v>
      </c>
      <c r="Y317" s="32" t="n">
        <f aca="false">$J317</f>
        <v>0</v>
      </c>
      <c r="Z317" s="32" t="n">
        <f aca="false">$J317</f>
        <v>0</v>
      </c>
      <c r="AA317" s="32" t="n">
        <f aca="false">$J317</f>
        <v>0</v>
      </c>
      <c r="AB317" s="5"/>
    </row>
    <row r="318" customFormat="false" ht="15" hidden="false" customHeight="false" outlineLevel="0" collapsed="false">
      <c r="A318" s="4" t="s">
        <v>255</v>
      </c>
      <c r="B318" s="4" t="s">
        <v>1238</v>
      </c>
      <c r="C318" s="4" t="s">
        <v>1239</v>
      </c>
      <c r="D318" s="5" t="s">
        <v>508</v>
      </c>
      <c r="E318" s="32" t="n">
        <v>1</v>
      </c>
      <c r="F318" s="4" t="s">
        <v>82</v>
      </c>
      <c r="G318" s="5" t="s">
        <v>509</v>
      </c>
      <c r="H318" s="4" t="s">
        <v>510</v>
      </c>
      <c r="I318" s="32" t="n">
        <v>1</v>
      </c>
      <c r="J318" s="32" t="n">
        <f aca="false">E318*I318</f>
        <v>1</v>
      </c>
      <c r="K318" s="4"/>
      <c r="L318" s="32"/>
      <c r="M318" s="32"/>
      <c r="N318" s="32"/>
      <c r="O318" s="32"/>
      <c r="P318" s="4"/>
      <c r="Q318" s="32"/>
      <c r="R318" s="32" t="n">
        <f aca="false">$J318</f>
        <v>1</v>
      </c>
      <c r="S318" s="32" t="n">
        <f aca="false">$J318</f>
        <v>1</v>
      </c>
      <c r="T318" s="32" t="n">
        <f aca="false">$J318</f>
        <v>1</v>
      </c>
      <c r="U318" s="32" t="n">
        <f aca="false">$J318</f>
        <v>1</v>
      </c>
      <c r="V318" s="32" t="n">
        <f aca="false">$J318</f>
        <v>1</v>
      </c>
      <c r="W318" s="32" t="n">
        <f aca="false">$J318</f>
        <v>1</v>
      </c>
      <c r="X318" s="32" t="n">
        <f aca="false">$J318</f>
        <v>1</v>
      </c>
      <c r="Y318" s="32" t="n">
        <f aca="false">$J318</f>
        <v>1</v>
      </c>
      <c r="Z318" s="32" t="n">
        <f aca="false">$J318</f>
        <v>1</v>
      </c>
      <c r="AA318" s="32" t="n">
        <f aca="false">$J318</f>
        <v>1</v>
      </c>
      <c r="AB318" s="5"/>
    </row>
    <row r="319" customFormat="false" ht="15" hidden="false" customHeight="false" outlineLevel="0" collapsed="false">
      <c r="A319" s="4" t="s">
        <v>255</v>
      </c>
      <c r="B319" s="4" t="s">
        <v>1240</v>
      </c>
      <c r="C319" s="4" t="s">
        <v>1241</v>
      </c>
      <c r="D319" s="5" t="s">
        <v>513</v>
      </c>
      <c r="E319" s="32" t="n">
        <v>1</v>
      </c>
      <c r="F319" s="4" t="s">
        <v>82</v>
      </c>
      <c r="G319" s="5" t="s">
        <v>509</v>
      </c>
      <c r="H319" s="4" t="s">
        <v>1137</v>
      </c>
      <c r="I319" s="32" t="n">
        <v>1</v>
      </c>
      <c r="J319" s="32" t="n">
        <f aca="false">E319*I319</f>
        <v>1</v>
      </c>
      <c r="K319" s="4"/>
      <c r="L319" s="32"/>
      <c r="M319" s="32"/>
      <c r="N319" s="32"/>
      <c r="O319" s="32"/>
      <c r="P319" s="4"/>
      <c r="Q319" s="32"/>
      <c r="R319" s="32" t="n">
        <f aca="false">$J319</f>
        <v>1</v>
      </c>
      <c r="S319" s="32" t="n">
        <f aca="false">$J319</f>
        <v>1</v>
      </c>
      <c r="T319" s="32" t="n">
        <f aca="false">$J319</f>
        <v>1</v>
      </c>
      <c r="U319" s="32" t="n">
        <f aca="false">$J319</f>
        <v>1</v>
      </c>
      <c r="V319" s="32" t="n">
        <f aca="false">$J319</f>
        <v>1</v>
      </c>
      <c r="W319" s="32" t="n">
        <f aca="false">$J319</f>
        <v>1</v>
      </c>
      <c r="X319" s="32" t="n">
        <f aca="false">$J319</f>
        <v>1</v>
      </c>
      <c r="Y319" s="32" t="n">
        <f aca="false">$J319</f>
        <v>1</v>
      </c>
      <c r="Z319" s="32" t="n">
        <f aca="false">$J319</f>
        <v>1</v>
      </c>
      <c r="AA319" s="32" t="n">
        <f aca="false">$J319</f>
        <v>1</v>
      </c>
      <c r="AB319" s="5"/>
    </row>
    <row r="320" customFormat="false" ht="15" hidden="false" customHeight="false" outlineLevel="0" collapsed="false">
      <c r="A320" s="4" t="s">
        <v>255</v>
      </c>
      <c r="B320" s="4" t="s">
        <v>1242</v>
      </c>
      <c r="C320" s="4" t="s">
        <v>1243</v>
      </c>
      <c r="D320" s="5" t="s">
        <v>1029</v>
      </c>
      <c r="E320" s="32" t="n">
        <v>1</v>
      </c>
      <c r="F320" s="4" t="s">
        <v>82</v>
      </c>
      <c r="G320" s="5" t="s">
        <v>518</v>
      </c>
      <c r="H320" s="4" t="s">
        <v>1030</v>
      </c>
      <c r="I320" s="32" t="n">
        <v>1</v>
      </c>
      <c r="J320" s="32" t="n">
        <f aca="false">E320*I320</f>
        <v>1</v>
      </c>
      <c r="K320" s="4"/>
      <c r="L320" s="32"/>
      <c r="M320" s="32"/>
      <c r="N320" s="32"/>
      <c r="O320" s="32"/>
      <c r="P320" s="4"/>
      <c r="Q320" s="32"/>
      <c r="R320" s="32" t="n">
        <f aca="false">$J320</f>
        <v>1</v>
      </c>
      <c r="S320" s="32" t="n">
        <f aca="false">$J320</f>
        <v>1</v>
      </c>
      <c r="T320" s="32" t="n">
        <f aca="false">$J320</f>
        <v>1</v>
      </c>
      <c r="U320" s="32" t="n">
        <f aca="false">$J320</f>
        <v>1</v>
      </c>
      <c r="V320" s="32" t="n">
        <f aca="false">$J320</f>
        <v>1</v>
      </c>
      <c r="W320" s="32" t="n">
        <f aca="false">$J320</f>
        <v>1</v>
      </c>
      <c r="X320" s="32" t="n">
        <f aca="false">$J320</f>
        <v>1</v>
      </c>
      <c r="Y320" s="32" t="n">
        <f aca="false">$J320</f>
        <v>1</v>
      </c>
      <c r="Z320" s="32" t="n">
        <f aca="false">$J320</f>
        <v>1</v>
      </c>
      <c r="AA320" s="32" t="n">
        <f aca="false">$J320</f>
        <v>1</v>
      </c>
      <c r="AB320" s="5"/>
    </row>
    <row r="321" customFormat="false" ht="15" hidden="false" customHeight="false" outlineLevel="0" collapsed="false">
      <c r="A321" s="4" t="s">
        <v>255</v>
      </c>
      <c r="B321" s="4" t="s">
        <v>1244</v>
      </c>
      <c r="C321" s="4" t="s">
        <v>1245</v>
      </c>
      <c r="D321" s="5" t="s">
        <v>522</v>
      </c>
      <c r="E321" s="32" t="n">
        <v>1</v>
      </c>
      <c r="F321" s="4" t="s">
        <v>82</v>
      </c>
      <c r="G321" s="5" t="s">
        <v>523</v>
      </c>
      <c r="H321" s="4"/>
      <c r="I321" s="32"/>
      <c r="J321" s="32" t="n">
        <f aca="false">E321*I321</f>
        <v>0</v>
      </c>
      <c r="K321" s="4"/>
      <c r="L321" s="32"/>
      <c r="M321" s="32"/>
      <c r="N321" s="32"/>
      <c r="O321" s="32"/>
      <c r="P321" s="4"/>
      <c r="Q321" s="32"/>
      <c r="R321" s="32" t="n">
        <f aca="false">$J321</f>
        <v>0</v>
      </c>
      <c r="S321" s="32" t="n">
        <f aca="false">$J321</f>
        <v>0</v>
      </c>
      <c r="T321" s="32" t="n">
        <f aca="false">$J321</f>
        <v>0</v>
      </c>
      <c r="U321" s="32" t="n">
        <f aca="false">$J321</f>
        <v>0</v>
      </c>
      <c r="V321" s="32" t="n">
        <f aca="false">$J321</f>
        <v>0</v>
      </c>
      <c r="W321" s="32" t="n">
        <f aca="false">$J321</f>
        <v>0</v>
      </c>
      <c r="X321" s="32" t="n">
        <f aca="false">$J321</f>
        <v>0</v>
      </c>
      <c r="Y321" s="32" t="n">
        <f aca="false">$J321</f>
        <v>0</v>
      </c>
      <c r="Z321" s="32" t="n">
        <f aca="false">$J321</f>
        <v>0</v>
      </c>
      <c r="AA321" s="32" t="n">
        <f aca="false">$J321</f>
        <v>0</v>
      </c>
      <c r="AB321" s="5"/>
    </row>
    <row r="322" customFormat="false" ht="15" hidden="false" customHeight="false" outlineLevel="0" collapsed="false">
      <c r="A322" s="4" t="s">
        <v>255</v>
      </c>
      <c r="B322" s="4" t="s">
        <v>1246</v>
      </c>
      <c r="C322" s="4" t="s">
        <v>1247</v>
      </c>
      <c r="D322" s="5" t="s">
        <v>526</v>
      </c>
      <c r="E322" s="32" t="n">
        <v>1</v>
      </c>
      <c r="F322" s="4" t="s">
        <v>82</v>
      </c>
      <c r="G322" s="5" t="s">
        <v>523</v>
      </c>
      <c r="H322" s="4"/>
      <c r="I322" s="32"/>
      <c r="J322" s="32" t="n">
        <f aca="false">E322*I322</f>
        <v>0</v>
      </c>
      <c r="K322" s="4"/>
      <c r="L322" s="32"/>
      <c r="M322" s="32"/>
      <c r="N322" s="32"/>
      <c r="O322" s="32"/>
      <c r="P322" s="4"/>
      <c r="Q322" s="32"/>
      <c r="R322" s="32" t="n">
        <f aca="false">$J322</f>
        <v>0</v>
      </c>
      <c r="S322" s="32" t="n">
        <f aca="false">$J322</f>
        <v>0</v>
      </c>
      <c r="T322" s="32" t="n">
        <f aca="false">$J322</f>
        <v>0</v>
      </c>
      <c r="U322" s="32" t="n">
        <f aca="false">$J322</f>
        <v>0</v>
      </c>
      <c r="V322" s="32" t="n">
        <f aca="false">$J322</f>
        <v>0</v>
      </c>
      <c r="W322" s="32" t="n">
        <f aca="false">$J322</f>
        <v>0</v>
      </c>
      <c r="X322" s="32" t="n">
        <f aca="false">$J322</f>
        <v>0</v>
      </c>
      <c r="Y322" s="32" t="n">
        <f aca="false">$J322</f>
        <v>0</v>
      </c>
      <c r="Z322" s="32" t="n">
        <f aca="false">$J322</f>
        <v>0</v>
      </c>
      <c r="AA322" s="32" t="n">
        <f aca="false">$J322</f>
        <v>0</v>
      </c>
      <c r="AB322" s="5"/>
    </row>
    <row r="323" customFormat="false" ht="15" hidden="false" customHeight="false" outlineLevel="0" collapsed="false">
      <c r="A323" s="4" t="s">
        <v>255</v>
      </c>
      <c r="B323" s="4" t="s">
        <v>1248</v>
      </c>
      <c r="C323" s="4" t="s">
        <v>1249</v>
      </c>
      <c r="D323" s="5" t="s">
        <v>529</v>
      </c>
      <c r="E323" s="32" t="n">
        <v>1</v>
      </c>
      <c r="F323" s="4" t="s">
        <v>82</v>
      </c>
      <c r="G323" s="5" t="s">
        <v>523</v>
      </c>
      <c r="H323" s="4"/>
      <c r="I323" s="32"/>
      <c r="J323" s="32" t="n">
        <f aca="false">E323*I323</f>
        <v>0</v>
      </c>
      <c r="K323" s="4"/>
      <c r="L323" s="32"/>
      <c r="M323" s="32"/>
      <c r="N323" s="32"/>
      <c r="O323" s="32"/>
      <c r="P323" s="4"/>
      <c r="Q323" s="32"/>
      <c r="R323" s="32" t="n">
        <f aca="false">$J323</f>
        <v>0</v>
      </c>
      <c r="S323" s="32" t="n">
        <f aca="false">$J323</f>
        <v>0</v>
      </c>
      <c r="T323" s="32" t="n">
        <f aca="false">$J323</f>
        <v>0</v>
      </c>
      <c r="U323" s="32" t="n">
        <f aca="false">$J323</f>
        <v>0</v>
      </c>
      <c r="V323" s="32" t="n">
        <f aca="false">$J323</f>
        <v>0</v>
      </c>
      <c r="W323" s="32" t="n">
        <f aca="false">$J323</f>
        <v>0</v>
      </c>
      <c r="X323" s="32" t="n">
        <f aca="false">$J323</f>
        <v>0</v>
      </c>
      <c r="Y323" s="32" t="n">
        <f aca="false">$J323</f>
        <v>0</v>
      </c>
      <c r="Z323" s="32" t="n">
        <f aca="false">$J323</f>
        <v>0</v>
      </c>
      <c r="AA323" s="32" t="n">
        <f aca="false">$J323</f>
        <v>0</v>
      </c>
      <c r="AB323" s="5"/>
    </row>
    <row r="324" customFormat="false" ht="15" hidden="false" customHeight="false" outlineLevel="0" collapsed="false">
      <c r="A324" s="4" t="s">
        <v>255</v>
      </c>
      <c r="B324" s="4" t="s">
        <v>1250</v>
      </c>
      <c r="C324" s="4" t="s">
        <v>1251</v>
      </c>
      <c r="D324" s="5" t="s">
        <v>532</v>
      </c>
      <c r="E324" s="32" t="n">
        <v>1</v>
      </c>
      <c r="F324" s="4" t="s">
        <v>82</v>
      </c>
      <c r="G324" s="5" t="s">
        <v>523</v>
      </c>
      <c r="H324" s="4"/>
      <c r="I324" s="32"/>
      <c r="J324" s="32" t="n">
        <f aca="false">E324*I324</f>
        <v>0</v>
      </c>
      <c r="K324" s="4"/>
      <c r="L324" s="32"/>
      <c r="M324" s="32"/>
      <c r="N324" s="32"/>
      <c r="O324" s="32"/>
      <c r="P324" s="4"/>
      <c r="Q324" s="32"/>
      <c r="R324" s="32" t="n">
        <f aca="false">$J324</f>
        <v>0</v>
      </c>
      <c r="S324" s="32" t="n">
        <f aca="false">$J324</f>
        <v>0</v>
      </c>
      <c r="T324" s="32" t="n">
        <f aca="false">$J324</f>
        <v>0</v>
      </c>
      <c r="U324" s="32" t="n">
        <f aca="false">$J324</f>
        <v>0</v>
      </c>
      <c r="V324" s="32" t="n">
        <f aca="false">$J324</f>
        <v>0</v>
      </c>
      <c r="W324" s="32" t="n">
        <f aca="false">$J324</f>
        <v>0</v>
      </c>
      <c r="X324" s="32" t="n">
        <f aca="false">$J324</f>
        <v>0</v>
      </c>
      <c r="Y324" s="32" t="n">
        <f aca="false">$J324</f>
        <v>0</v>
      </c>
      <c r="Z324" s="32" t="n">
        <f aca="false">$J324</f>
        <v>0</v>
      </c>
      <c r="AA324" s="32" t="n">
        <f aca="false">$J324</f>
        <v>0</v>
      </c>
      <c r="AB324" s="5"/>
    </row>
    <row r="325" customFormat="false" ht="15" hidden="false" customHeight="false" outlineLevel="0" collapsed="false">
      <c r="A325" s="4" t="s">
        <v>255</v>
      </c>
      <c r="B325" s="4" t="s">
        <v>1252</v>
      </c>
      <c r="C325" s="4" t="s">
        <v>1253</v>
      </c>
      <c r="D325" s="5" t="s">
        <v>535</v>
      </c>
      <c r="E325" s="32" t="n">
        <v>1</v>
      </c>
      <c r="F325" s="4" t="s">
        <v>82</v>
      </c>
      <c r="G325" s="5" t="s">
        <v>523</v>
      </c>
      <c r="H325" s="4"/>
      <c r="I325" s="32"/>
      <c r="J325" s="32" t="n">
        <f aca="false">E325*I325</f>
        <v>0</v>
      </c>
      <c r="K325" s="4"/>
      <c r="L325" s="32"/>
      <c r="M325" s="32"/>
      <c r="N325" s="32"/>
      <c r="O325" s="32"/>
      <c r="P325" s="4"/>
      <c r="Q325" s="32"/>
      <c r="R325" s="32" t="n">
        <f aca="false">$J325</f>
        <v>0</v>
      </c>
      <c r="S325" s="32" t="n">
        <f aca="false">$J325</f>
        <v>0</v>
      </c>
      <c r="T325" s="32" t="n">
        <f aca="false">$J325</f>
        <v>0</v>
      </c>
      <c r="U325" s="32" t="n">
        <f aca="false">$J325</f>
        <v>0</v>
      </c>
      <c r="V325" s="32" t="n">
        <f aca="false">$J325</f>
        <v>0</v>
      </c>
      <c r="W325" s="32" t="n">
        <f aca="false">$J325</f>
        <v>0</v>
      </c>
      <c r="X325" s="32" t="n">
        <f aca="false">$J325</f>
        <v>0</v>
      </c>
      <c r="Y325" s="32" t="n">
        <f aca="false">$J325</f>
        <v>0</v>
      </c>
      <c r="Z325" s="32" t="n">
        <f aca="false">$J325</f>
        <v>0</v>
      </c>
      <c r="AA325" s="32" t="n">
        <f aca="false">$J325</f>
        <v>0</v>
      </c>
      <c r="AB325" s="5"/>
    </row>
    <row r="326" customFormat="false" ht="15" hidden="false" customHeight="false" outlineLevel="0" collapsed="false">
      <c r="A326" s="4" t="s">
        <v>255</v>
      </c>
      <c r="B326" s="4" t="s">
        <v>1254</v>
      </c>
      <c r="C326" s="4" t="s">
        <v>1255</v>
      </c>
      <c r="D326" s="5" t="s">
        <v>1043</v>
      </c>
      <c r="E326" s="32" t="n">
        <v>1</v>
      </c>
      <c r="F326" s="4" t="s">
        <v>82</v>
      </c>
      <c r="G326" s="5" t="s">
        <v>523</v>
      </c>
      <c r="H326" s="4"/>
      <c r="I326" s="32"/>
      <c r="J326" s="32" t="n">
        <f aca="false">E326*I326</f>
        <v>0</v>
      </c>
      <c r="K326" s="4"/>
      <c r="L326" s="32"/>
      <c r="M326" s="32"/>
      <c r="N326" s="32"/>
      <c r="O326" s="32"/>
      <c r="P326" s="4"/>
      <c r="Q326" s="32"/>
      <c r="R326" s="32" t="n">
        <f aca="false">$J326</f>
        <v>0</v>
      </c>
      <c r="S326" s="32" t="n">
        <f aca="false">$J326</f>
        <v>0</v>
      </c>
      <c r="T326" s="32" t="n">
        <f aca="false">$J326</f>
        <v>0</v>
      </c>
      <c r="U326" s="32" t="n">
        <f aca="false">$J326</f>
        <v>0</v>
      </c>
      <c r="V326" s="32" t="n">
        <f aca="false">$J326</f>
        <v>0</v>
      </c>
      <c r="W326" s="32" t="n">
        <f aca="false">$J326</f>
        <v>0</v>
      </c>
      <c r="X326" s="32" t="n">
        <f aca="false">$J326</f>
        <v>0</v>
      </c>
      <c r="Y326" s="32" t="n">
        <f aca="false">$J326</f>
        <v>0</v>
      </c>
      <c r="Z326" s="32" t="n">
        <f aca="false">$J326</f>
        <v>0</v>
      </c>
      <c r="AA326" s="32" t="n">
        <f aca="false">$J326</f>
        <v>0</v>
      </c>
      <c r="AB326" s="5"/>
    </row>
    <row r="327" customFormat="false" ht="15" hidden="false" customHeight="false" outlineLevel="0" collapsed="false">
      <c r="A327" s="4" t="s">
        <v>255</v>
      </c>
      <c r="B327" s="4" t="s">
        <v>1256</v>
      </c>
      <c r="C327" s="4" t="s">
        <v>1257</v>
      </c>
      <c r="D327" s="5" t="s">
        <v>538</v>
      </c>
      <c r="E327" s="32" t="n">
        <v>1</v>
      </c>
      <c r="F327" s="4" t="s">
        <v>82</v>
      </c>
      <c r="G327" s="5" t="s">
        <v>523</v>
      </c>
      <c r="H327" s="4"/>
      <c r="I327" s="32"/>
      <c r="J327" s="32" t="n">
        <f aca="false">E327*I327</f>
        <v>0</v>
      </c>
      <c r="K327" s="4"/>
      <c r="L327" s="32"/>
      <c r="M327" s="32"/>
      <c r="N327" s="32"/>
      <c r="O327" s="32"/>
      <c r="P327" s="4"/>
      <c r="Q327" s="32"/>
      <c r="R327" s="32" t="n">
        <f aca="false">$J327</f>
        <v>0</v>
      </c>
      <c r="S327" s="32" t="n">
        <f aca="false">$J327</f>
        <v>0</v>
      </c>
      <c r="T327" s="32" t="n">
        <f aca="false">$J327</f>
        <v>0</v>
      </c>
      <c r="U327" s="32" t="n">
        <f aca="false">$J327</f>
        <v>0</v>
      </c>
      <c r="V327" s="32" t="n">
        <f aca="false">$J327</f>
        <v>0</v>
      </c>
      <c r="W327" s="32" t="n">
        <f aca="false">$J327</f>
        <v>0</v>
      </c>
      <c r="X327" s="32" t="n">
        <f aca="false">$J327</f>
        <v>0</v>
      </c>
      <c r="Y327" s="32" t="n">
        <f aca="false">$J327</f>
        <v>0</v>
      </c>
      <c r="Z327" s="32" t="n">
        <f aca="false">$J327</f>
        <v>0</v>
      </c>
      <c r="AA327" s="32" t="n">
        <f aca="false">$J327</f>
        <v>0</v>
      </c>
      <c r="AB327" s="5"/>
    </row>
    <row r="328" customFormat="false" ht="15" hidden="false" customHeight="false" outlineLevel="0" collapsed="false">
      <c r="A328" s="4" t="s">
        <v>255</v>
      </c>
      <c r="B328" s="4" t="s">
        <v>1258</v>
      </c>
      <c r="C328" s="4" t="s">
        <v>1259</v>
      </c>
      <c r="D328" s="5" t="s">
        <v>541</v>
      </c>
      <c r="E328" s="32" t="n">
        <v>1</v>
      </c>
      <c r="F328" s="4" t="s">
        <v>82</v>
      </c>
      <c r="G328" s="5" t="s">
        <v>523</v>
      </c>
      <c r="H328" s="4"/>
      <c r="I328" s="32"/>
      <c r="J328" s="32" t="n">
        <f aca="false">E328*I328</f>
        <v>0</v>
      </c>
      <c r="K328" s="4"/>
      <c r="L328" s="32"/>
      <c r="M328" s="32"/>
      <c r="N328" s="32"/>
      <c r="O328" s="32"/>
      <c r="P328" s="4"/>
      <c r="Q328" s="32"/>
      <c r="R328" s="32" t="n">
        <f aca="false">$J328</f>
        <v>0</v>
      </c>
      <c r="S328" s="32" t="n">
        <f aca="false">$J328</f>
        <v>0</v>
      </c>
      <c r="T328" s="32" t="n">
        <f aca="false">$J328</f>
        <v>0</v>
      </c>
      <c r="U328" s="32" t="n">
        <f aca="false">$J328</f>
        <v>0</v>
      </c>
      <c r="V328" s="32" t="n">
        <f aca="false">$J328</f>
        <v>0</v>
      </c>
      <c r="W328" s="32" t="n">
        <f aca="false">$J328</f>
        <v>0</v>
      </c>
      <c r="X328" s="32" t="n">
        <f aca="false">$J328</f>
        <v>0</v>
      </c>
      <c r="Y328" s="32" t="n">
        <f aca="false">$J328</f>
        <v>0</v>
      </c>
      <c r="Z328" s="32" t="n">
        <f aca="false">$J328</f>
        <v>0</v>
      </c>
      <c r="AA328" s="32" t="n">
        <f aca="false">$J328</f>
        <v>0</v>
      </c>
      <c r="AB328" s="5"/>
    </row>
    <row r="329" customFormat="false" ht="15" hidden="false" customHeight="false" outlineLevel="0" collapsed="false">
      <c r="A329" s="4" t="s">
        <v>255</v>
      </c>
      <c r="B329" s="4" t="s">
        <v>1260</v>
      </c>
      <c r="C329" s="4" t="s">
        <v>1261</v>
      </c>
      <c r="D329" s="5" t="s">
        <v>550</v>
      </c>
      <c r="E329" s="32" t="n">
        <v>1</v>
      </c>
      <c r="F329" s="4" t="s">
        <v>82</v>
      </c>
      <c r="G329" s="5" t="s">
        <v>523</v>
      </c>
      <c r="H329" s="4"/>
      <c r="I329" s="32"/>
      <c r="J329" s="32" t="n">
        <f aca="false">E329*I329</f>
        <v>0</v>
      </c>
      <c r="K329" s="4"/>
      <c r="L329" s="32"/>
      <c r="M329" s="32"/>
      <c r="N329" s="32"/>
      <c r="O329" s="32"/>
      <c r="P329" s="4"/>
      <c r="Q329" s="32"/>
      <c r="R329" s="32" t="n">
        <f aca="false">$J329</f>
        <v>0</v>
      </c>
      <c r="S329" s="32" t="n">
        <f aca="false">$J329</f>
        <v>0</v>
      </c>
      <c r="T329" s="32" t="n">
        <f aca="false">$J329</f>
        <v>0</v>
      </c>
      <c r="U329" s="32" t="n">
        <f aca="false">$J329</f>
        <v>0</v>
      </c>
      <c r="V329" s="32" t="n">
        <f aca="false">$J329</f>
        <v>0</v>
      </c>
      <c r="W329" s="32" t="n">
        <f aca="false">$J329</f>
        <v>0</v>
      </c>
      <c r="X329" s="32" t="n">
        <f aca="false">$J329</f>
        <v>0</v>
      </c>
      <c r="Y329" s="32" t="n">
        <f aca="false">$J329</f>
        <v>0</v>
      </c>
      <c r="Z329" s="32" t="n">
        <f aca="false">$J329</f>
        <v>0</v>
      </c>
      <c r="AA329" s="32" t="n">
        <f aca="false">$J329</f>
        <v>0</v>
      </c>
      <c r="AB329" s="5"/>
    </row>
    <row r="330" customFormat="false" ht="15" hidden="false" customHeight="false" outlineLevel="0" collapsed="false">
      <c r="A330" s="4" t="s">
        <v>255</v>
      </c>
      <c r="B330" s="4" t="s">
        <v>1262</v>
      </c>
      <c r="C330" s="4" t="s">
        <v>1263</v>
      </c>
      <c r="D330" s="5" t="s">
        <v>553</v>
      </c>
      <c r="E330" s="32" t="n">
        <v>1</v>
      </c>
      <c r="F330" s="4" t="s">
        <v>82</v>
      </c>
      <c r="G330" s="5" t="s">
        <v>523</v>
      </c>
      <c r="H330" s="4"/>
      <c r="I330" s="32"/>
      <c r="J330" s="32" t="n">
        <f aca="false">E330*I330</f>
        <v>0</v>
      </c>
      <c r="K330" s="4"/>
      <c r="L330" s="32"/>
      <c r="M330" s="32"/>
      <c r="N330" s="32"/>
      <c r="O330" s="32"/>
      <c r="P330" s="4"/>
      <c r="Q330" s="32"/>
      <c r="R330" s="32" t="n">
        <f aca="false">$J330</f>
        <v>0</v>
      </c>
      <c r="S330" s="32" t="n">
        <f aca="false">$J330</f>
        <v>0</v>
      </c>
      <c r="T330" s="32" t="n">
        <f aca="false">$J330</f>
        <v>0</v>
      </c>
      <c r="U330" s="32" t="n">
        <f aca="false">$J330</f>
        <v>0</v>
      </c>
      <c r="V330" s="32" t="n">
        <f aca="false">$J330</f>
        <v>0</v>
      </c>
      <c r="W330" s="32" t="n">
        <f aca="false">$J330</f>
        <v>0</v>
      </c>
      <c r="X330" s="32" t="n">
        <f aca="false">$J330</f>
        <v>0</v>
      </c>
      <c r="Y330" s="32" t="n">
        <f aca="false">$J330</f>
        <v>0</v>
      </c>
      <c r="Z330" s="32" t="n">
        <f aca="false">$J330</f>
        <v>0</v>
      </c>
      <c r="AA330" s="32" t="n">
        <f aca="false">$J330</f>
        <v>0</v>
      </c>
      <c r="AB330" s="5"/>
    </row>
    <row r="331" customFormat="false" ht="15" hidden="false" customHeight="false" outlineLevel="0" collapsed="false">
      <c r="A331" s="4" t="s">
        <v>255</v>
      </c>
      <c r="B331" s="4" t="s">
        <v>1264</v>
      </c>
      <c r="C331" s="4" t="s">
        <v>1265</v>
      </c>
      <c r="D331" s="5" t="s">
        <v>556</v>
      </c>
      <c r="E331" s="32" t="n">
        <v>1</v>
      </c>
      <c r="F331" s="4" t="s">
        <v>82</v>
      </c>
      <c r="G331" s="5" t="s">
        <v>523</v>
      </c>
      <c r="H331" s="4"/>
      <c r="I331" s="32"/>
      <c r="J331" s="32" t="n">
        <f aca="false">E331*I331</f>
        <v>0</v>
      </c>
      <c r="K331" s="4"/>
      <c r="L331" s="32"/>
      <c r="M331" s="32"/>
      <c r="N331" s="32"/>
      <c r="O331" s="32"/>
      <c r="P331" s="4"/>
      <c r="Q331" s="32"/>
      <c r="R331" s="32" t="n">
        <f aca="false">$J331</f>
        <v>0</v>
      </c>
      <c r="S331" s="32" t="n">
        <f aca="false">$J331</f>
        <v>0</v>
      </c>
      <c r="T331" s="32" t="n">
        <f aca="false">$J331</f>
        <v>0</v>
      </c>
      <c r="U331" s="32" t="n">
        <f aca="false">$J331</f>
        <v>0</v>
      </c>
      <c r="V331" s="32" t="n">
        <f aca="false">$J331</f>
        <v>0</v>
      </c>
      <c r="W331" s="32" t="n">
        <f aca="false">$J331</f>
        <v>0</v>
      </c>
      <c r="X331" s="32" t="n">
        <f aca="false">$J331</f>
        <v>0</v>
      </c>
      <c r="Y331" s="32" t="n">
        <f aca="false">$J331</f>
        <v>0</v>
      </c>
      <c r="Z331" s="32" t="n">
        <f aca="false">$J331</f>
        <v>0</v>
      </c>
      <c r="AA331" s="32" t="n">
        <f aca="false">$J331</f>
        <v>0</v>
      </c>
      <c r="AB331" s="5"/>
    </row>
    <row r="332" customFormat="false" ht="15" hidden="false" customHeight="false" outlineLevel="0" collapsed="false">
      <c r="A332" s="4" t="s">
        <v>255</v>
      </c>
      <c r="B332" s="4" t="s">
        <v>1266</v>
      </c>
      <c r="C332" s="4" t="s">
        <v>1267</v>
      </c>
      <c r="D332" s="5" t="s">
        <v>559</v>
      </c>
      <c r="E332" s="32" t="n">
        <v>1</v>
      </c>
      <c r="F332" s="4" t="s">
        <v>82</v>
      </c>
      <c r="G332" s="5" t="s">
        <v>518</v>
      </c>
      <c r="H332" s="4" t="s">
        <v>1268</v>
      </c>
      <c r="I332" s="32" t="n">
        <v>1</v>
      </c>
      <c r="J332" s="32" t="n">
        <f aca="false">E332*I332</f>
        <v>1</v>
      </c>
      <c r="K332" s="4"/>
      <c r="L332" s="32"/>
      <c r="M332" s="32"/>
      <c r="N332" s="32"/>
      <c r="O332" s="32"/>
      <c r="P332" s="4"/>
      <c r="Q332" s="32"/>
      <c r="R332" s="32" t="n">
        <f aca="false">$J332</f>
        <v>1</v>
      </c>
      <c r="S332" s="32" t="n">
        <f aca="false">$J332</f>
        <v>1</v>
      </c>
      <c r="T332" s="32" t="n">
        <f aca="false">$J332</f>
        <v>1</v>
      </c>
      <c r="U332" s="32" t="n">
        <f aca="false">$J332</f>
        <v>1</v>
      </c>
      <c r="V332" s="32" t="n">
        <f aca="false">$J332</f>
        <v>1</v>
      </c>
      <c r="W332" s="32" t="n">
        <f aca="false">$J332</f>
        <v>1</v>
      </c>
      <c r="X332" s="32" t="n">
        <f aca="false">$J332</f>
        <v>1</v>
      </c>
      <c r="Y332" s="32" t="n">
        <f aca="false">$J332</f>
        <v>1</v>
      </c>
      <c r="Z332" s="32" t="n">
        <f aca="false">$J332</f>
        <v>1</v>
      </c>
      <c r="AA332" s="32" t="n">
        <f aca="false">$J332</f>
        <v>1</v>
      </c>
      <c r="AB332" s="5"/>
    </row>
    <row r="333" customFormat="false" ht="15" hidden="false" customHeight="false" outlineLevel="0" collapsed="false">
      <c r="A333" s="4" t="s">
        <v>255</v>
      </c>
      <c r="B333" s="4" t="s">
        <v>1269</v>
      </c>
      <c r="C333" s="4" t="s">
        <v>1270</v>
      </c>
      <c r="D333" s="5" t="s">
        <v>664</v>
      </c>
      <c r="E333" s="32" t="n">
        <v>1</v>
      </c>
      <c r="F333" s="4" t="s">
        <v>82</v>
      </c>
      <c r="G333" s="5" t="s">
        <v>564</v>
      </c>
      <c r="H333" s="4"/>
      <c r="I333" s="32"/>
      <c r="J333" s="32" t="n">
        <f aca="false">E333*I333</f>
        <v>0</v>
      </c>
      <c r="K333" s="4"/>
      <c r="L333" s="32"/>
      <c r="M333" s="32"/>
      <c r="N333" s="32"/>
      <c r="O333" s="32"/>
      <c r="P333" s="4"/>
      <c r="Q333" s="32"/>
      <c r="R333" s="32" t="n">
        <f aca="false">$J333</f>
        <v>0</v>
      </c>
      <c r="S333" s="32" t="n">
        <f aca="false">$J333</f>
        <v>0</v>
      </c>
      <c r="T333" s="32" t="n">
        <f aca="false">$J333</f>
        <v>0</v>
      </c>
      <c r="U333" s="32" t="n">
        <f aca="false">$J333</f>
        <v>0</v>
      </c>
      <c r="V333" s="32" t="n">
        <f aca="false">$J333</f>
        <v>0</v>
      </c>
      <c r="W333" s="32" t="n">
        <f aca="false">$J333</f>
        <v>0</v>
      </c>
      <c r="X333" s="32" t="n">
        <f aca="false">$J333</f>
        <v>0</v>
      </c>
      <c r="Y333" s="32" t="n">
        <f aca="false">$J333</f>
        <v>0</v>
      </c>
      <c r="Z333" s="32" t="n">
        <f aca="false">$J333</f>
        <v>0</v>
      </c>
      <c r="AA333" s="32" t="n">
        <f aca="false">$J333</f>
        <v>0</v>
      </c>
      <c r="AB333" s="5"/>
    </row>
    <row r="334" customFormat="false" ht="15" hidden="false" customHeight="false" outlineLevel="0" collapsed="false">
      <c r="A334" s="4" t="s">
        <v>255</v>
      </c>
      <c r="B334" s="4" t="s">
        <v>1271</v>
      </c>
      <c r="C334" s="4" t="s">
        <v>1272</v>
      </c>
      <c r="D334" s="5" t="s">
        <v>931</v>
      </c>
      <c r="E334" s="32" t="n">
        <v>1</v>
      </c>
      <c r="F334" s="4" t="s">
        <v>82</v>
      </c>
      <c r="G334" s="5" t="s">
        <v>564</v>
      </c>
      <c r="H334" s="4"/>
      <c r="I334" s="32"/>
      <c r="J334" s="32" t="n">
        <f aca="false">E334*I334</f>
        <v>0</v>
      </c>
      <c r="K334" s="4"/>
      <c r="L334" s="32"/>
      <c r="M334" s="32"/>
      <c r="N334" s="32"/>
      <c r="O334" s="32"/>
      <c r="P334" s="4"/>
      <c r="Q334" s="32"/>
      <c r="R334" s="32" t="n">
        <f aca="false">$J334</f>
        <v>0</v>
      </c>
      <c r="S334" s="32" t="n">
        <f aca="false">$J334</f>
        <v>0</v>
      </c>
      <c r="T334" s="32" t="n">
        <f aca="false">$J334</f>
        <v>0</v>
      </c>
      <c r="U334" s="32" t="n">
        <f aca="false">$J334</f>
        <v>0</v>
      </c>
      <c r="V334" s="32" t="n">
        <f aca="false">$J334</f>
        <v>0</v>
      </c>
      <c r="W334" s="32" t="n">
        <f aca="false">$J334</f>
        <v>0</v>
      </c>
      <c r="X334" s="32" t="n">
        <f aca="false">$J334</f>
        <v>0</v>
      </c>
      <c r="Y334" s="32" t="n">
        <f aca="false">$J334</f>
        <v>0</v>
      </c>
      <c r="Z334" s="32" t="n">
        <f aca="false">$J334</f>
        <v>0</v>
      </c>
      <c r="AA334" s="32" t="n">
        <f aca="false">$J334</f>
        <v>0</v>
      </c>
      <c r="AB334" s="5"/>
    </row>
    <row r="335" customFormat="false" ht="15" hidden="false" customHeight="false" outlineLevel="0" collapsed="false">
      <c r="A335" s="4" t="s">
        <v>255</v>
      </c>
      <c r="B335" s="4" t="s">
        <v>1273</v>
      </c>
      <c r="C335" s="4" t="s">
        <v>1274</v>
      </c>
      <c r="D335" s="5" t="s">
        <v>667</v>
      </c>
      <c r="E335" s="32" t="n">
        <v>1</v>
      </c>
      <c r="F335" s="4" t="s">
        <v>82</v>
      </c>
      <c r="G335" s="5" t="s">
        <v>564</v>
      </c>
      <c r="H335" s="4"/>
      <c r="I335" s="32"/>
      <c r="J335" s="32" t="n">
        <f aca="false">E335*I335</f>
        <v>0</v>
      </c>
      <c r="K335" s="4"/>
      <c r="L335" s="32"/>
      <c r="M335" s="32"/>
      <c r="N335" s="32"/>
      <c r="O335" s="32"/>
      <c r="P335" s="4"/>
      <c r="Q335" s="32"/>
      <c r="R335" s="32" t="n">
        <f aca="false">$J335</f>
        <v>0</v>
      </c>
      <c r="S335" s="32" t="n">
        <f aca="false">$J335</f>
        <v>0</v>
      </c>
      <c r="T335" s="32" t="n">
        <f aca="false">$J335</f>
        <v>0</v>
      </c>
      <c r="U335" s="32" t="n">
        <f aca="false">$J335</f>
        <v>0</v>
      </c>
      <c r="V335" s="32" t="n">
        <f aca="false">$J335</f>
        <v>0</v>
      </c>
      <c r="W335" s="32" t="n">
        <f aca="false">$J335</f>
        <v>0</v>
      </c>
      <c r="X335" s="32" t="n">
        <f aca="false">$J335</f>
        <v>0</v>
      </c>
      <c r="Y335" s="32" t="n">
        <f aca="false">$J335</f>
        <v>0</v>
      </c>
      <c r="Z335" s="32" t="n">
        <f aca="false">$J335</f>
        <v>0</v>
      </c>
      <c r="AA335" s="32" t="n">
        <f aca="false">$J335</f>
        <v>0</v>
      </c>
      <c r="AB335" s="5"/>
    </row>
    <row r="336" customFormat="false" ht="15" hidden="false" customHeight="false" outlineLevel="0" collapsed="false">
      <c r="A336" s="4" t="s">
        <v>255</v>
      </c>
      <c r="B336" s="4" t="s">
        <v>1275</v>
      </c>
      <c r="C336" s="4" t="s">
        <v>1276</v>
      </c>
      <c r="D336" s="5" t="s">
        <v>936</v>
      </c>
      <c r="E336" s="32" t="n">
        <v>1</v>
      </c>
      <c r="F336" s="4" t="s">
        <v>82</v>
      </c>
      <c r="G336" s="5" t="s">
        <v>564</v>
      </c>
      <c r="H336" s="4"/>
      <c r="I336" s="32"/>
      <c r="J336" s="32" t="n">
        <f aca="false">E336*I336</f>
        <v>0</v>
      </c>
      <c r="K336" s="4"/>
      <c r="L336" s="32"/>
      <c r="M336" s="32"/>
      <c r="N336" s="32"/>
      <c r="O336" s="32"/>
      <c r="P336" s="4"/>
      <c r="Q336" s="32"/>
      <c r="R336" s="32" t="n">
        <f aca="false">$J336</f>
        <v>0</v>
      </c>
      <c r="S336" s="32" t="n">
        <f aca="false">$J336</f>
        <v>0</v>
      </c>
      <c r="T336" s="32" t="n">
        <f aca="false">$J336</f>
        <v>0</v>
      </c>
      <c r="U336" s="32" t="n">
        <f aca="false">$J336</f>
        <v>0</v>
      </c>
      <c r="V336" s="32" t="n">
        <f aca="false">$J336</f>
        <v>0</v>
      </c>
      <c r="W336" s="32" t="n">
        <f aca="false">$J336</f>
        <v>0</v>
      </c>
      <c r="X336" s="32" t="n">
        <f aca="false">$J336</f>
        <v>0</v>
      </c>
      <c r="Y336" s="32" t="n">
        <f aca="false">$J336</f>
        <v>0</v>
      </c>
      <c r="Z336" s="32" t="n">
        <f aca="false">$J336</f>
        <v>0</v>
      </c>
      <c r="AA336" s="32" t="n">
        <f aca="false">$J336</f>
        <v>0</v>
      </c>
      <c r="AB336" s="5"/>
    </row>
    <row r="337" customFormat="false" ht="15" hidden="false" customHeight="false" outlineLevel="0" collapsed="false">
      <c r="A337" s="4" t="s">
        <v>255</v>
      </c>
      <c r="B337" s="4" t="s">
        <v>1277</v>
      </c>
      <c r="C337" s="4" t="s">
        <v>1278</v>
      </c>
      <c r="D337" s="5" t="s">
        <v>939</v>
      </c>
      <c r="E337" s="32" t="n">
        <v>1</v>
      </c>
      <c r="F337" s="4" t="s">
        <v>82</v>
      </c>
      <c r="G337" s="5" t="s">
        <v>564</v>
      </c>
      <c r="H337" s="4"/>
      <c r="I337" s="32"/>
      <c r="J337" s="32" t="n">
        <f aca="false">E337*I337</f>
        <v>0</v>
      </c>
      <c r="K337" s="4"/>
      <c r="L337" s="32"/>
      <c r="M337" s="32"/>
      <c r="N337" s="32"/>
      <c r="O337" s="32"/>
      <c r="P337" s="4"/>
      <c r="Q337" s="32"/>
      <c r="R337" s="32" t="n">
        <f aca="false">$J337</f>
        <v>0</v>
      </c>
      <c r="S337" s="32" t="n">
        <f aca="false">$J337</f>
        <v>0</v>
      </c>
      <c r="T337" s="32" t="n">
        <f aca="false">$J337</f>
        <v>0</v>
      </c>
      <c r="U337" s="32" t="n">
        <f aca="false">$J337</f>
        <v>0</v>
      </c>
      <c r="V337" s="32" t="n">
        <f aca="false">$J337</f>
        <v>0</v>
      </c>
      <c r="W337" s="32" t="n">
        <f aca="false">$J337</f>
        <v>0</v>
      </c>
      <c r="X337" s="32" t="n">
        <f aca="false">$J337</f>
        <v>0</v>
      </c>
      <c r="Y337" s="32" t="n">
        <f aca="false">$J337</f>
        <v>0</v>
      </c>
      <c r="Z337" s="32" t="n">
        <f aca="false">$J337</f>
        <v>0</v>
      </c>
      <c r="AA337" s="32" t="n">
        <f aca="false">$J337</f>
        <v>0</v>
      </c>
      <c r="AB337" s="5"/>
    </row>
    <row r="338" customFormat="false" ht="15" hidden="false" customHeight="false" outlineLevel="0" collapsed="false">
      <c r="A338" s="4" t="s">
        <v>255</v>
      </c>
      <c r="B338" s="4" t="s">
        <v>1279</v>
      </c>
      <c r="C338" s="4" t="s">
        <v>1280</v>
      </c>
      <c r="D338" s="5" t="s">
        <v>942</v>
      </c>
      <c r="E338" s="32" t="n">
        <v>1</v>
      </c>
      <c r="F338" s="4" t="s">
        <v>82</v>
      </c>
      <c r="G338" s="5" t="s">
        <v>943</v>
      </c>
      <c r="H338" s="4"/>
      <c r="I338" s="32"/>
      <c r="J338" s="32" t="n">
        <f aca="false">E338*I338</f>
        <v>0</v>
      </c>
      <c r="K338" s="4"/>
      <c r="L338" s="32"/>
      <c r="M338" s="32"/>
      <c r="N338" s="32"/>
      <c r="O338" s="32"/>
      <c r="P338" s="4"/>
      <c r="Q338" s="32"/>
      <c r="R338" s="32" t="n">
        <f aca="false">$J338</f>
        <v>0</v>
      </c>
      <c r="S338" s="32" t="n">
        <f aca="false">$J338</f>
        <v>0</v>
      </c>
      <c r="T338" s="32" t="n">
        <f aca="false">$J338</f>
        <v>0</v>
      </c>
      <c r="U338" s="32" t="n">
        <f aca="false">$J338</f>
        <v>0</v>
      </c>
      <c r="V338" s="32" t="n">
        <f aca="false">$J338</f>
        <v>0</v>
      </c>
      <c r="W338" s="32" t="n">
        <f aca="false">$J338</f>
        <v>0</v>
      </c>
      <c r="X338" s="32" t="n">
        <f aca="false">$J338</f>
        <v>0</v>
      </c>
      <c r="Y338" s="32" t="n">
        <f aca="false">$J338</f>
        <v>0</v>
      </c>
      <c r="Z338" s="32" t="n">
        <f aca="false">$J338</f>
        <v>0</v>
      </c>
      <c r="AA338" s="32" t="n">
        <f aca="false">$J338</f>
        <v>0</v>
      </c>
      <c r="AB338" s="5"/>
    </row>
    <row r="339" customFormat="false" ht="15" hidden="false" customHeight="false" outlineLevel="0" collapsed="false">
      <c r="A339" s="4" t="s">
        <v>255</v>
      </c>
      <c r="B339" s="4" t="s">
        <v>1281</v>
      </c>
      <c r="C339" s="4" t="s">
        <v>1282</v>
      </c>
      <c r="D339" s="5" t="s">
        <v>946</v>
      </c>
      <c r="E339" s="32" t="n">
        <v>1</v>
      </c>
      <c r="F339" s="4" t="s">
        <v>82</v>
      </c>
      <c r="G339" s="5" t="s">
        <v>943</v>
      </c>
      <c r="H339" s="4"/>
      <c r="I339" s="32"/>
      <c r="J339" s="32" t="n">
        <f aca="false">E339*I339</f>
        <v>0</v>
      </c>
      <c r="K339" s="4"/>
      <c r="L339" s="32"/>
      <c r="M339" s="32"/>
      <c r="N339" s="32"/>
      <c r="O339" s="32"/>
      <c r="P339" s="4"/>
      <c r="Q339" s="32"/>
      <c r="R339" s="32" t="n">
        <f aca="false">$J339</f>
        <v>0</v>
      </c>
      <c r="S339" s="32" t="n">
        <f aca="false">$J339</f>
        <v>0</v>
      </c>
      <c r="T339" s="32" t="n">
        <f aca="false">$J339</f>
        <v>0</v>
      </c>
      <c r="U339" s="32" t="n">
        <f aca="false">$J339</f>
        <v>0</v>
      </c>
      <c r="V339" s="32" t="n">
        <f aca="false">$J339</f>
        <v>0</v>
      </c>
      <c r="W339" s="32" t="n">
        <f aca="false">$J339</f>
        <v>0</v>
      </c>
      <c r="X339" s="32" t="n">
        <f aca="false">$J339</f>
        <v>0</v>
      </c>
      <c r="Y339" s="32" t="n">
        <f aca="false">$J339</f>
        <v>0</v>
      </c>
      <c r="Z339" s="32" t="n">
        <f aca="false">$J339</f>
        <v>0</v>
      </c>
      <c r="AA339" s="32" t="n">
        <f aca="false">$J339</f>
        <v>0</v>
      </c>
      <c r="AB339" s="5"/>
    </row>
    <row r="340" customFormat="false" ht="15" hidden="false" customHeight="false" outlineLevel="0" collapsed="false">
      <c r="A340" s="4" t="s">
        <v>255</v>
      </c>
      <c r="B340" s="4" t="s">
        <v>1283</v>
      </c>
      <c r="C340" s="4" t="s">
        <v>1284</v>
      </c>
      <c r="D340" s="5" t="s">
        <v>949</v>
      </c>
      <c r="E340" s="32" t="n">
        <v>1</v>
      </c>
      <c r="F340" s="4" t="s">
        <v>82</v>
      </c>
      <c r="G340" s="5" t="s">
        <v>950</v>
      </c>
      <c r="H340" s="4" t="s">
        <v>1073</v>
      </c>
      <c r="I340" s="32" t="n">
        <f aca="false">434/6000/INDEX(P_VAL,MATCH("APROV_CANO",P_ID,0))</f>
        <v>0.076140350877193</v>
      </c>
      <c r="J340" s="32" t="n">
        <f aca="false">E340*I340</f>
        <v>0.076140350877193</v>
      </c>
      <c r="K340" s="4"/>
      <c r="L340" s="32"/>
      <c r="M340" s="32"/>
      <c r="N340" s="32"/>
      <c r="O340" s="32"/>
      <c r="P340" s="4"/>
      <c r="Q340" s="32"/>
      <c r="R340" s="32" t="n">
        <f aca="false">$J340</f>
        <v>0.076140350877193</v>
      </c>
      <c r="S340" s="32" t="n">
        <f aca="false">$J340</f>
        <v>0.076140350877193</v>
      </c>
      <c r="T340" s="32" t="n">
        <f aca="false">$J340</f>
        <v>0.076140350877193</v>
      </c>
      <c r="U340" s="32" t="n">
        <f aca="false">$J340</f>
        <v>0.076140350877193</v>
      </c>
      <c r="V340" s="32" t="n">
        <f aca="false">$J340</f>
        <v>0.076140350877193</v>
      </c>
      <c r="W340" s="32" t="n">
        <f aca="false">$J340</f>
        <v>0.076140350877193</v>
      </c>
      <c r="X340" s="32" t="n">
        <f aca="false">$J340</f>
        <v>0.076140350877193</v>
      </c>
      <c r="Y340" s="32" t="n">
        <f aca="false">$J340</f>
        <v>0.076140350877193</v>
      </c>
      <c r="Z340" s="32" t="n">
        <f aca="false">$J340</f>
        <v>0.076140350877193</v>
      </c>
      <c r="AA340" s="32" t="n">
        <f aca="false">$J340</f>
        <v>0.076140350877193</v>
      </c>
      <c r="AB340" s="5" t="s">
        <v>1181</v>
      </c>
    </row>
    <row r="341" customFormat="false" ht="15" hidden="false" customHeight="false" outlineLevel="0" collapsed="false">
      <c r="A341" s="4" t="s">
        <v>255</v>
      </c>
      <c r="B341" s="4" t="s">
        <v>1285</v>
      </c>
      <c r="C341" s="4" t="s">
        <v>1286</v>
      </c>
      <c r="D341" s="5" t="s">
        <v>955</v>
      </c>
      <c r="E341" s="32" t="n">
        <v>2</v>
      </c>
      <c r="F341" s="4" t="s">
        <v>82</v>
      </c>
      <c r="G341" s="5" t="s">
        <v>956</v>
      </c>
      <c r="H341" s="4" t="s">
        <v>1184</v>
      </c>
      <c r="I341" s="32" t="n">
        <v>1</v>
      </c>
      <c r="J341" s="32" t="n">
        <f aca="false">E341*I341</f>
        <v>2</v>
      </c>
      <c r="K341" s="4"/>
      <c r="L341" s="32"/>
      <c r="M341" s="32"/>
      <c r="N341" s="32"/>
      <c r="O341" s="32"/>
      <c r="P341" s="4"/>
      <c r="Q341" s="32"/>
      <c r="R341" s="32" t="n">
        <f aca="false">$J341</f>
        <v>2</v>
      </c>
      <c r="S341" s="32" t="n">
        <f aca="false">$J341</f>
        <v>2</v>
      </c>
      <c r="T341" s="32" t="n">
        <f aca="false">$J341</f>
        <v>2</v>
      </c>
      <c r="U341" s="32" t="n">
        <f aca="false">$J341</f>
        <v>2</v>
      </c>
      <c r="V341" s="32" t="n">
        <f aca="false">$J341</f>
        <v>2</v>
      </c>
      <c r="W341" s="32" t="n">
        <f aca="false">$J341</f>
        <v>2</v>
      </c>
      <c r="X341" s="32" t="n">
        <f aca="false">$J341</f>
        <v>2</v>
      </c>
      <c r="Y341" s="32" t="n">
        <f aca="false">$J341</f>
        <v>2</v>
      </c>
      <c r="Z341" s="32" t="n">
        <f aca="false">$J341</f>
        <v>2</v>
      </c>
      <c r="AA341" s="32" t="n">
        <f aca="false">$J341</f>
        <v>2</v>
      </c>
      <c r="AB341" s="5"/>
    </row>
    <row r="342" customFormat="false" ht="15" hidden="false" customHeight="false" outlineLevel="0" collapsed="false">
      <c r="A342" s="4" t="s">
        <v>255</v>
      </c>
      <c r="B342" s="4" t="s">
        <v>1287</v>
      </c>
      <c r="C342" s="4" t="s">
        <v>1288</v>
      </c>
      <c r="D342" s="5" t="s">
        <v>960</v>
      </c>
      <c r="E342" s="32" t="n">
        <v>2</v>
      </c>
      <c r="F342" s="4" t="s">
        <v>82</v>
      </c>
      <c r="G342" s="5" t="s">
        <v>961</v>
      </c>
      <c r="H342" s="4"/>
      <c r="I342" s="32"/>
      <c r="J342" s="32" t="n">
        <f aca="false">E342*I342</f>
        <v>0</v>
      </c>
      <c r="K342" s="4"/>
      <c r="L342" s="32"/>
      <c r="M342" s="32"/>
      <c r="N342" s="32"/>
      <c r="O342" s="32"/>
      <c r="P342" s="4"/>
      <c r="Q342" s="32"/>
      <c r="R342" s="32" t="n">
        <f aca="false">$J342</f>
        <v>0</v>
      </c>
      <c r="S342" s="32" t="n">
        <f aca="false">$J342</f>
        <v>0</v>
      </c>
      <c r="T342" s="32" t="n">
        <f aca="false">$J342</f>
        <v>0</v>
      </c>
      <c r="U342" s="32" t="n">
        <f aca="false">$J342</f>
        <v>0</v>
      </c>
      <c r="V342" s="32" t="n">
        <f aca="false">$J342</f>
        <v>0</v>
      </c>
      <c r="W342" s="32" t="n">
        <f aca="false">$J342</f>
        <v>0</v>
      </c>
      <c r="X342" s="32" t="n">
        <f aca="false">$J342</f>
        <v>0</v>
      </c>
      <c r="Y342" s="32" t="n">
        <f aca="false">$J342</f>
        <v>0</v>
      </c>
      <c r="Z342" s="32" t="n">
        <f aca="false">$J342</f>
        <v>0</v>
      </c>
      <c r="AA342" s="32" t="n">
        <f aca="false">$J342</f>
        <v>0</v>
      </c>
      <c r="AB342" s="5"/>
    </row>
    <row r="343" customFormat="false" ht="15" hidden="false" customHeight="false" outlineLevel="0" collapsed="false">
      <c r="A343" s="4" t="s">
        <v>255</v>
      </c>
      <c r="B343" s="4" t="s">
        <v>1289</v>
      </c>
      <c r="C343" s="4" t="s">
        <v>1290</v>
      </c>
      <c r="D343" s="5" t="s">
        <v>964</v>
      </c>
      <c r="E343" s="32" t="n">
        <v>1</v>
      </c>
      <c r="F343" s="4" t="s">
        <v>82</v>
      </c>
      <c r="G343" s="5" t="s">
        <v>965</v>
      </c>
      <c r="H343" s="4" t="s">
        <v>1081</v>
      </c>
      <c r="I343" s="32" t="n">
        <f aca="false">1/INT(6000/590)</f>
        <v>0.1</v>
      </c>
      <c r="J343" s="32" t="n">
        <f aca="false">E343*I343</f>
        <v>0.1</v>
      </c>
      <c r="K343" s="4"/>
      <c r="L343" s="32"/>
      <c r="M343" s="32"/>
      <c r="N343" s="32"/>
      <c r="O343" s="32"/>
      <c r="P343" s="4"/>
      <c r="Q343" s="32"/>
      <c r="R343" s="32" t="n">
        <f aca="false">$J343</f>
        <v>0.1</v>
      </c>
      <c r="S343" s="32" t="n">
        <f aca="false">$J343</f>
        <v>0.1</v>
      </c>
      <c r="T343" s="32" t="n">
        <f aca="false">$J343</f>
        <v>0.1</v>
      </c>
      <c r="U343" s="32" t="n">
        <f aca="false">$J343</f>
        <v>0.1</v>
      </c>
      <c r="V343" s="32" t="n">
        <f aca="false">$J343</f>
        <v>0.1</v>
      </c>
      <c r="W343" s="32" t="n">
        <f aca="false">$J343</f>
        <v>0.1</v>
      </c>
      <c r="X343" s="32" t="n">
        <f aca="false">$J343</f>
        <v>0.1</v>
      </c>
      <c r="Y343" s="32" t="n">
        <f aca="false">$J343</f>
        <v>0.1</v>
      </c>
      <c r="Z343" s="32" t="n">
        <f aca="false">$J343</f>
        <v>0.1</v>
      </c>
      <c r="AA343" s="32" t="n">
        <f aca="false">$J343</f>
        <v>0.1</v>
      </c>
      <c r="AB343" s="5" t="s">
        <v>1189</v>
      </c>
    </row>
    <row r="344" customFormat="false" ht="15" hidden="false" customHeight="false" outlineLevel="0" collapsed="false">
      <c r="A344" s="4" t="s">
        <v>255</v>
      </c>
      <c r="B344" s="4" t="s">
        <v>1291</v>
      </c>
      <c r="C344" s="4" t="s">
        <v>1292</v>
      </c>
      <c r="D344" s="5" t="s">
        <v>970</v>
      </c>
      <c r="E344" s="32" t="n">
        <v>1</v>
      </c>
      <c r="F344" s="4" t="s">
        <v>82</v>
      </c>
      <c r="G344" s="5" t="s">
        <v>509</v>
      </c>
      <c r="H344" s="4" t="s">
        <v>971</v>
      </c>
      <c r="I344" s="32" t="n">
        <v>4</v>
      </c>
      <c r="J344" s="32" t="n">
        <f aca="false">E344*I344</f>
        <v>4</v>
      </c>
      <c r="K344" s="4"/>
      <c r="L344" s="32"/>
      <c r="M344" s="32"/>
      <c r="N344" s="32"/>
      <c r="O344" s="32"/>
      <c r="P344" s="4"/>
      <c r="Q344" s="32"/>
      <c r="R344" s="32" t="n">
        <f aca="false">$J344</f>
        <v>4</v>
      </c>
      <c r="S344" s="32" t="n">
        <f aca="false">$J344</f>
        <v>4</v>
      </c>
      <c r="T344" s="32" t="n">
        <f aca="false">$J344</f>
        <v>4</v>
      </c>
      <c r="U344" s="32" t="n">
        <f aca="false">$J344</f>
        <v>4</v>
      </c>
      <c r="V344" s="32" t="n">
        <f aca="false">$J344</f>
        <v>4</v>
      </c>
      <c r="W344" s="32" t="n">
        <f aca="false">$J344</f>
        <v>4</v>
      </c>
      <c r="X344" s="32" t="n">
        <f aca="false">$J344</f>
        <v>4</v>
      </c>
      <c r="Y344" s="32" t="n">
        <f aca="false">$J344</f>
        <v>4</v>
      </c>
      <c r="Z344" s="32" t="n">
        <f aca="false">$J344</f>
        <v>4</v>
      </c>
      <c r="AA344" s="32" t="n">
        <f aca="false">$J344</f>
        <v>4</v>
      </c>
      <c r="AB344" s="5" t="s">
        <v>972</v>
      </c>
    </row>
    <row r="345" customFormat="false" ht="15" hidden="false" customHeight="false" outlineLevel="0" collapsed="false">
      <c r="A345" s="4" t="s">
        <v>255</v>
      </c>
      <c r="B345" s="4" t="s">
        <v>1293</v>
      </c>
      <c r="C345" s="4" t="s">
        <v>1294</v>
      </c>
      <c r="D345" s="5" t="s">
        <v>975</v>
      </c>
      <c r="E345" s="32" t="n">
        <v>1</v>
      </c>
      <c r="F345" s="4" t="s">
        <v>82</v>
      </c>
      <c r="G345" s="5" t="s">
        <v>509</v>
      </c>
      <c r="H345" s="4" t="s">
        <v>976</v>
      </c>
      <c r="I345" s="32" t="n">
        <v>2</v>
      </c>
      <c r="J345" s="32" t="n">
        <f aca="false">E345*I345</f>
        <v>2</v>
      </c>
      <c r="K345" s="4"/>
      <c r="L345" s="32"/>
      <c r="M345" s="32"/>
      <c r="N345" s="32"/>
      <c r="O345" s="32"/>
      <c r="P345" s="4"/>
      <c r="Q345" s="32"/>
      <c r="R345" s="32" t="n">
        <f aca="false">$J345</f>
        <v>2</v>
      </c>
      <c r="S345" s="32" t="n">
        <f aca="false">$J345</f>
        <v>2</v>
      </c>
      <c r="T345" s="32" t="n">
        <f aca="false">$J345</f>
        <v>2</v>
      </c>
      <c r="U345" s="32" t="n">
        <f aca="false">$J345</f>
        <v>2</v>
      </c>
      <c r="V345" s="32" t="n">
        <f aca="false">$J345</f>
        <v>2</v>
      </c>
      <c r="W345" s="32" t="n">
        <f aca="false">$J345</f>
        <v>2</v>
      </c>
      <c r="X345" s="32" t="n">
        <f aca="false">$J345</f>
        <v>2</v>
      </c>
      <c r="Y345" s="32" t="n">
        <f aca="false">$J345</f>
        <v>2</v>
      </c>
      <c r="Z345" s="32" t="n">
        <f aca="false">$J345</f>
        <v>2</v>
      </c>
      <c r="AA345" s="32" t="n">
        <f aca="false">$J345</f>
        <v>2</v>
      </c>
      <c r="AB345" s="5" t="s">
        <v>977</v>
      </c>
    </row>
    <row r="346" customFormat="false" ht="15" hidden="false" customHeight="false" outlineLevel="0" collapsed="false">
      <c r="A346" s="4" t="s">
        <v>255</v>
      </c>
      <c r="B346" s="4" t="s">
        <v>1295</v>
      </c>
      <c r="C346" s="4" t="s">
        <v>1296</v>
      </c>
      <c r="D346" s="5" t="s">
        <v>980</v>
      </c>
      <c r="E346" s="32" t="n">
        <v>1</v>
      </c>
      <c r="F346" s="4" t="s">
        <v>82</v>
      </c>
      <c r="G346" s="5" t="s">
        <v>950</v>
      </c>
      <c r="H346" s="4" t="s">
        <v>951</v>
      </c>
      <c r="I346" s="32" t="n">
        <f aca="false">1590/6000/INDEX(P_VAL,MATCH("APROV_CANO",P_ID,0))</f>
        <v>0.278947368421053</v>
      </c>
      <c r="J346" s="32" t="n">
        <f aca="false">E346*I346</f>
        <v>0.278947368421053</v>
      </c>
      <c r="K346" s="4"/>
      <c r="L346" s="32"/>
      <c r="M346" s="32"/>
      <c r="N346" s="32"/>
      <c r="O346" s="32"/>
      <c r="P346" s="4"/>
      <c r="Q346" s="32"/>
      <c r="R346" s="32" t="n">
        <f aca="false">$J346</f>
        <v>0.278947368421053</v>
      </c>
      <c r="S346" s="32" t="n">
        <f aca="false">$J346</f>
        <v>0.278947368421053</v>
      </c>
      <c r="T346" s="32" t="n">
        <f aca="false">$J346</f>
        <v>0.278947368421053</v>
      </c>
      <c r="U346" s="32" t="n">
        <f aca="false">$J346</f>
        <v>0.278947368421053</v>
      </c>
      <c r="V346" s="32" t="n">
        <f aca="false">$J346</f>
        <v>0.278947368421053</v>
      </c>
      <c r="W346" s="32" t="n">
        <f aca="false">$J346</f>
        <v>0.278947368421053</v>
      </c>
      <c r="X346" s="32" t="n">
        <f aca="false">$J346</f>
        <v>0.278947368421053</v>
      </c>
      <c r="Y346" s="32" t="n">
        <f aca="false">$J346</f>
        <v>0.278947368421053</v>
      </c>
      <c r="Z346" s="32" t="n">
        <f aca="false">$J346</f>
        <v>0.278947368421053</v>
      </c>
      <c r="AA346" s="32" t="n">
        <f aca="false">$J346</f>
        <v>0.278947368421053</v>
      </c>
      <c r="AB346" s="5" t="s">
        <v>1196</v>
      </c>
    </row>
    <row r="347" customFormat="false" ht="15" hidden="false" customHeight="false" outlineLevel="0" collapsed="false">
      <c r="A347" s="4" t="s">
        <v>255</v>
      </c>
      <c r="B347" s="4" t="s">
        <v>1297</v>
      </c>
      <c r="C347" s="4" t="s">
        <v>1298</v>
      </c>
      <c r="D347" s="5" t="s">
        <v>1299</v>
      </c>
      <c r="E347" s="32" t="n">
        <v>1</v>
      </c>
      <c r="F347" s="4" t="s">
        <v>82</v>
      </c>
      <c r="G347" s="5" t="s">
        <v>943</v>
      </c>
      <c r="H347" s="4"/>
      <c r="I347" s="32"/>
      <c r="J347" s="32" t="n">
        <f aca="false">E347*I347</f>
        <v>0</v>
      </c>
      <c r="K347" s="4"/>
      <c r="L347" s="32"/>
      <c r="M347" s="32"/>
      <c r="N347" s="32"/>
      <c r="O347" s="32"/>
      <c r="P347" s="4"/>
      <c r="Q347" s="32"/>
      <c r="R347" s="32" t="n">
        <f aca="false">$J347</f>
        <v>0</v>
      </c>
      <c r="S347" s="32" t="n">
        <f aca="false">$J347</f>
        <v>0</v>
      </c>
      <c r="T347" s="32" t="n">
        <f aca="false">$J347</f>
        <v>0</v>
      </c>
      <c r="U347" s="32" t="n">
        <f aca="false">$J347</f>
        <v>0</v>
      </c>
      <c r="V347" s="32" t="n">
        <f aca="false">$J347</f>
        <v>0</v>
      </c>
      <c r="W347" s="32" t="n">
        <f aca="false">$J347</f>
        <v>0</v>
      </c>
      <c r="X347" s="32" t="n">
        <f aca="false">$J347</f>
        <v>0</v>
      </c>
      <c r="Y347" s="32" t="n">
        <f aca="false">$J347</f>
        <v>0</v>
      </c>
      <c r="Z347" s="32" t="n">
        <f aca="false">$J347</f>
        <v>0</v>
      </c>
      <c r="AA347" s="32" t="n">
        <f aca="false">$J347</f>
        <v>0</v>
      </c>
      <c r="AB347" s="5"/>
    </row>
    <row r="348" customFormat="false" ht="15" hidden="false" customHeight="false" outlineLevel="0" collapsed="false">
      <c r="A348" s="4" t="s">
        <v>255</v>
      </c>
      <c r="B348" s="4" t="s">
        <v>1300</v>
      </c>
      <c r="C348" s="4" t="s">
        <v>1301</v>
      </c>
      <c r="D348" s="5" t="s">
        <v>987</v>
      </c>
      <c r="E348" s="32" t="n">
        <v>100</v>
      </c>
      <c r="F348" s="4" t="s">
        <v>73</v>
      </c>
      <c r="G348" s="5" t="s">
        <v>509</v>
      </c>
      <c r="H348" s="4" t="s">
        <v>988</v>
      </c>
      <c r="I348" s="32" t="n">
        <f aca="false">1+INDEX(P_VAL,MATCH("MERMA_POLVO",P_ID,0))</f>
        <v>1.01</v>
      </c>
      <c r="J348" s="32" t="n">
        <f aca="false">E348*I348</f>
        <v>101</v>
      </c>
      <c r="K348" s="4"/>
      <c r="L348" s="32"/>
      <c r="M348" s="32"/>
      <c r="N348" s="32"/>
      <c r="O348" s="32"/>
      <c r="P348" s="4"/>
      <c r="Q348" s="32"/>
      <c r="R348" s="32" t="n">
        <f aca="false">$J348</f>
        <v>101</v>
      </c>
      <c r="S348" s="32" t="n">
        <f aca="false">$J348</f>
        <v>101</v>
      </c>
      <c r="T348" s="32" t="n">
        <f aca="false">$J348</f>
        <v>101</v>
      </c>
      <c r="U348" s="32" t="n">
        <f aca="false">$J348</f>
        <v>101</v>
      </c>
      <c r="V348" s="32" t="n">
        <f aca="false">$J348</f>
        <v>101</v>
      </c>
      <c r="W348" s="32" t="n">
        <f aca="false">$J348</f>
        <v>101</v>
      </c>
      <c r="X348" s="32" t="n">
        <f aca="false">$J348</f>
        <v>101</v>
      </c>
      <c r="Y348" s="32" t="n">
        <f aca="false">$J348</f>
        <v>101</v>
      </c>
      <c r="Z348" s="32" t="n">
        <f aca="false">$J348</f>
        <v>101</v>
      </c>
      <c r="AA348" s="32" t="n">
        <f aca="false">$J348</f>
        <v>101</v>
      </c>
      <c r="AB348" s="5"/>
    </row>
    <row r="349" customFormat="false" ht="15" hidden="false" customHeight="false" outlineLevel="0" collapsed="false">
      <c r="A349" s="4" t="s">
        <v>255</v>
      </c>
      <c r="B349" s="4" t="s">
        <v>1302</v>
      </c>
      <c r="C349" s="4" t="s">
        <v>1303</v>
      </c>
      <c r="D349" s="5" t="s">
        <v>571</v>
      </c>
      <c r="E349" s="32" t="n">
        <v>0.519000932053049</v>
      </c>
      <c r="F349" s="4" t="s">
        <v>73</v>
      </c>
      <c r="G349" s="5" t="s">
        <v>572</v>
      </c>
      <c r="H349" s="4" t="s">
        <v>573</v>
      </c>
      <c r="I349" s="32" t="n">
        <f aca="false">(1+INDEX(P_VAL,MATCH("N2_PERD",P_ID,0)))/INDEX(P_VAL,MATCH("RHO_N2",P_ID,0))</f>
        <v>1.0406660262568</v>
      </c>
      <c r="J349" s="32" t="n">
        <f aca="false">E349*I349</f>
        <v>0.540106637583224</v>
      </c>
      <c r="K349" s="4"/>
      <c r="L349" s="32"/>
      <c r="M349" s="32"/>
      <c r="N349" s="32"/>
      <c r="O349" s="32"/>
      <c r="P349" s="4"/>
      <c r="Q349" s="32"/>
      <c r="R349" s="32" t="n">
        <f aca="false">$J349</f>
        <v>0.540106637583224</v>
      </c>
      <c r="S349" s="32" t="n">
        <f aca="false">$J349</f>
        <v>0.540106637583224</v>
      </c>
      <c r="T349" s="32" t="n">
        <f aca="false">$J349</f>
        <v>0.540106637583224</v>
      </c>
      <c r="U349" s="32" t="n">
        <f aca="false">$J349</f>
        <v>0.540106637583224</v>
      </c>
      <c r="V349" s="32" t="n">
        <f aca="false">$J349</f>
        <v>0.540106637583224</v>
      </c>
      <c r="W349" s="32" t="n">
        <f aca="false">$J349</f>
        <v>0.540106637583224</v>
      </c>
      <c r="X349" s="32" t="n">
        <f aca="false">$J349</f>
        <v>0.540106637583224</v>
      </c>
      <c r="Y349" s="32" t="n">
        <f aca="false">$J349</f>
        <v>0.540106637583224</v>
      </c>
      <c r="Z349" s="32" t="n">
        <f aca="false">$J349</f>
        <v>0.540106637583224</v>
      </c>
      <c r="AA349" s="32" t="n">
        <f aca="false">$J349</f>
        <v>0.540106637583224</v>
      </c>
      <c r="AB349" s="5"/>
    </row>
    <row r="350" customFormat="false" ht="15" hidden="false" customHeight="false" outlineLevel="0" collapsed="false">
      <c r="A350" s="4" t="s">
        <v>255</v>
      </c>
      <c r="B350" s="4" t="s">
        <v>1304</v>
      </c>
      <c r="C350" s="4" t="s">
        <v>1305</v>
      </c>
      <c r="D350" s="5" t="s">
        <v>576</v>
      </c>
      <c r="E350" s="32" t="n">
        <v>1</v>
      </c>
      <c r="F350" s="4" t="s">
        <v>82</v>
      </c>
      <c r="G350" s="5" t="s">
        <v>509</v>
      </c>
      <c r="H350" s="4" t="s">
        <v>1306</v>
      </c>
      <c r="I350" s="32" t="n">
        <v>1</v>
      </c>
      <c r="J350" s="32" t="n">
        <f aca="false">E350*I350</f>
        <v>1</v>
      </c>
      <c r="K350" s="4"/>
      <c r="L350" s="32"/>
      <c r="M350" s="32"/>
      <c r="N350" s="32"/>
      <c r="O350" s="32"/>
      <c r="P350" s="4"/>
      <c r="Q350" s="32"/>
      <c r="R350" s="32" t="n">
        <f aca="false">$J350</f>
        <v>1</v>
      </c>
      <c r="S350" s="32" t="n">
        <f aca="false">$J350</f>
        <v>1</v>
      </c>
      <c r="T350" s="32" t="n">
        <f aca="false">$J350</f>
        <v>1</v>
      </c>
      <c r="U350" s="32" t="n">
        <f aca="false">$J350</f>
        <v>1</v>
      </c>
      <c r="V350" s="32" t="n">
        <f aca="false">$J350</f>
        <v>1</v>
      </c>
      <c r="W350" s="32" t="n">
        <f aca="false">$J350</f>
        <v>1</v>
      </c>
      <c r="X350" s="32" t="n">
        <f aca="false">$J350</f>
        <v>1</v>
      </c>
      <c r="Y350" s="32" t="n">
        <f aca="false">$J350</f>
        <v>1</v>
      </c>
      <c r="Z350" s="32" t="n">
        <f aca="false">$J350</f>
        <v>1</v>
      </c>
      <c r="AA350" s="32" t="n">
        <f aca="false">$J350</f>
        <v>1</v>
      </c>
      <c r="AB350" s="5"/>
    </row>
    <row r="351" customFormat="false" ht="15" hidden="false" customHeight="false" outlineLevel="0" collapsed="false">
      <c r="A351" s="4" t="s">
        <v>255</v>
      </c>
      <c r="B351" s="4" t="s">
        <v>1307</v>
      </c>
      <c r="C351" s="4" t="s">
        <v>1308</v>
      </c>
      <c r="D351" s="5" t="s">
        <v>580</v>
      </c>
      <c r="E351" s="32" t="n">
        <v>1</v>
      </c>
      <c r="F351" s="4" t="s">
        <v>82</v>
      </c>
      <c r="G351" s="5" t="s">
        <v>509</v>
      </c>
      <c r="H351" s="4" t="s">
        <v>581</v>
      </c>
      <c r="I351" s="32" t="n">
        <v>1</v>
      </c>
      <c r="J351" s="32" t="n">
        <f aca="false">E351*I351</f>
        <v>1</v>
      </c>
      <c r="K351" s="4" t="s">
        <v>582</v>
      </c>
      <c r="L351" s="32"/>
      <c r="M351" s="32"/>
      <c r="N351" s="32"/>
      <c r="O351" s="32"/>
      <c r="P351" s="4"/>
      <c r="Q351" s="32"/>
      <c r="R351" s="32" t="n">
        <f aca="false">$J351</f>
        <v>1</v>
      </c>
      <c r="S351" s="32" t="n">
        <f aca="false">$J351</f>
        <v>1</v>
      </c>
      <c r="T351" s="32" t="n">
        <f aca="false">$J351</f>
        <v>1</v>
      </c>
      <c r="U351" s="32" t="n">
        <f aca="false">$J351</f>
        <v>1</v>
      </c>
      <c r="V351" s="32" t="n">
        <f aca="false">$J351</f>
        <v>1</v>
      </c>
      <c r="W351" s="32" t="n">
        <f aca="false">$J351</f>
        <v>1</v>
      </c>
      <c r="X351" s="32" t="n">
        <f aca="false">$J351</f>
        <v>1</v>
      </c>
      <c r="Y351" s="32" t="n">
        <f aca="false">$J351</f>
        <v>1</v>
      </c>
      <c r="Z351" s="32" t="n">
        <f aca="false">$J351</f>
        <v>1</v>
      </c>
      <c r="AA351" s="32" t="n">
        <f aca="false">$J351</f>
        <v>1</v>
      </c>
      <c r="AB351" s="5"/>
    </row>
    <row r="352" customFormat="false" ht="15" hidden="false" customHeight="false" outlineLevel="0" collapsed="false">
      <c r="A352" s="4" t="s">
        <v>255</v>
      </c>
      <c r="B352" s="4" t="s">
        <v>1309</v>
      </c>
      <c r="C352" s="4" t="s">
        <v>1310</v>
      </c>
      <c r="D352" s="5" t="s">
        <v>585</v>
      </c>
      <c r="E352" s="32" t="n">
        <v>1</v>
      </c>
      <c r="F352" s="4" t="s">
        <v>82</v>
      </c>
      <c r="G352" s="5" t="s">
        <v>509</v>
      </c>
      <c r="H352" s="4" t="s">
        <v>586</v>
      </c>
      <c r="I352" s="32" t="n">
        <v>1</v>
      </c>
      <c r="J352" s="32" t="n">
        <f aca="false">E352*I352</f>
        <v>1</v>
      </c>
      <c r="K352" s="4"/>
      <c r="L352" s="32"/>
      <c r="M352" s="32"/>
      <c r="N352" s="32"/>
      <c r="O352" s="32"/>
      <c r="P352" s="4"/>
      <c r="Q352" s="32"/>
      <c r="R352" s="32" t="n">
        <f aca="false">$J352</f>
        <v>1</v>
      </c>
      <c r="S352" s="32" t="n">
        <f aca="false">$J352</f>
        <v>1</v>
      </c>
      <c r="T352" s="32" t="n">
        <f aca="false">$J352</f>
        <v>1</v>
      </c>
      <c r="U352" s="32" t="n">
        <f aca="false">$J352</f>
        <v>1</v>
      </c>
      <c r="V352" s="32" t="n">
        <f aca="false">$J352</f>
        <v>1</v>
      </c>
      <c r="W352" s="32" t="n">
        <f aca="false">$J352</f>
        <v>1</v>
      </c>
      <c r="X352" s="32" t="n">
        <f aca="false">$J352</f>
        <v>1</v>
      </c>
      <c r="Y352" s="32" t="n">
        <f aca="false">$J352</f>
        <v>1</v>
      </c>
      <c r="Z352" s="32" t="n">
        <f aca="false">$J352</f>
        <v>1</v>
      </c>
      <c r="AA352" s="32" t="n">
        <f aca="false">$J352</f>
        <v>1</v>
      </c>
      <c r="AB352" s="5"/>
    </row>
    <row r="353" customFormat="false" ht="15" hidden="false" customHeight="false" outlineLevel="0" collapsed="false">
      <c r="A353" s="4" t="s">
        <v>255</v>
      </c>
      <c r="B353" s="4" t="s">
        <v>1311</v>
      </c>
      <c r="C353" s="4" t="s">
        <v>1312</v>
      </c>
      <c r="D353" s="5" t="s">
        <v>687</v>
      </c>
      <c r="E353" s="32" t="n">
        <v>1</v>
      </c>
      <c r="F353" s="4" t="s">
        <v>82</v>
      </c>
      <c r="G353" s="5" t="s">
        <v>509</v>
      </c>
      <c r="H353" s="4" t="s">
        <v>688</v>
      </c>
      <c r="I353" s="32" t="n">
        <v>1</v>
      </c>
      <c r="J353" s="32" t="n">
        <f aca="false">E353*I353</f>
        <v>1</v>
      </c>
      <c r="K353" s="4" t="s">
        <v>689</v>
      </c>
      <c r="L353" s="32"/>
      <c r="M353" s="32"/>
      <c r="N353" s="32"/>
      <c r="O353" s="32"/>
      <c r="P353" s="4"/>
      <c r="Q353" s="32"/>
      <c r="R353" s="32" t="n">
        <f aca="false">$J353</f>
        <v>1</v>
      </c>
      <c r="S353" s="32" t="n">
        <f aca="false">$J353</f>
        <v>1</v>
      </c>
      <c r="T353" s="32" t="n">
        <f aca="false">$J353</f>
        <v>1</v>
      </c>
      <c r="U353" s="32" t="n">
        <f aca="false">$J353</f>
        <v>1</v>
      </c>
      <c r="V353" s="32" t="n">
        <f aca="false">$J353</f>
        <v>1</v>
      </c>
      <c r="W353" s="32" t="n">
        <f aca="false">$J353</f>
        <v>1</v>
      </c>
      <c r="X353" s="32" t="n">
        <f aca="false">$J353</f>
        <v>1</v>
      </c>
      <c r="Y353" s="32" t="n">
        <f aca="false">$J353</f>
        <v>1</v>
      </c>
      <c r="Z353" s="32" t="n">
        <f aca="false">$J353</f>
        <v>1</v>
      </c>
      <c r="AA353" s="32" t="n">
        <f aca="false">$J353</f>
        <v>1</v>
      </c>
      <c r="AB353" s="5"/>
    </row>
    <row r="354" customFormat="false" ht="15" hidden="false" customHeight="false" outlineLevel="0" collapsed="false">
      <c r="A354" s="4" t="s">
        <v>255</v>
      </c>
      <c r="B354" s="4" t="s">
        <v>1313</v>
      </c>
      <c r="C354" s="4" t="s">
        <v>1314</v>
      </c>
      <c r="D354" s="5" t="s">
        <v>589</v>
      </c>
      <c r="E354" s="32" t="n">
        <v>1</v>
      </c>
      <c r="F354" s="4" t="s">
        <v>82</v>
      </c>
      <c r="G354" s="5" t="s">
        <v>509</v>
      </c>
      <c r="H354" s="4" t="s">
        <v>590</v>
      </c>
      <c r="I354" s="32" t="n">
        <v>1</v>
      </c>
      <c r="J354" s="32" t="n">
        <f aca="false">E354*I354</f>
        <v>1</v>
      </c>
      <c r="K354" s="4"/>
      <c r="L354" s="32"/>
      <c r="M354" s="32"/>
      <c r="N354" s="32"/>
      <c r="O354" s="32"/>
      <c r="P354" s="4"/>
      <c r="Q354" s="32"/>
      <c r="R354" s="32" t="n">
        <f aca="false">$J354</f>
        <v>1</v>
      </c>
      <c r="S354" s="32" t="n">
        <f aca="false">$J354</f>
        <v>1</v>
      </c>
      <c r="T354" s="32" t="n">
        <f aca="false">$J354</f>
        <v>1</v>
      </c>
      <c r="U354" s="32" t="n">
        <f aca="false">$J354</f>
        <v>1</v>
      </c>
      <c r="V354" s="32" t="n">
        <f aca="false">$J354</f>
        <v>1</v>
      </c>
      <c r="W354" s="32" t="n">
        <f aca="false">$J354</f>
        <v>1</v>
      </c>
      <c r="X354" s="32" t="n">
        <f aca="false">$J354</f>
        <v>1</v>
      </c>
      <c r="Y354" s="32" t="n">
        <f aca="false">$J354</f>
        <v>1</v>
      </c>
      <c r="Z354" s="32" t="n">
        <f aca="false">$J354</f>
        <v>1</v>
      </c>
      <c r="AA354" s="32" t="n">
        <f aca="false">$J354</f>
        <v>1</v>
      </c>
      <c r="AB354" s="5"/>
    </row>
    <row r="355" customFormat="false" ht="15" hidden="false" customHeight="false" outlineLevel="0" collapsed="false">
      <c r="A355" s="4" t="s">
        <v>255</v>
      </c>
      <c r="B355" s="4" t="s">
        <v>1315</v>
      </c>
      <c r="C355" s="4" t="s">
        <v>1316</v>
      </c>
      <c r="D355" s="5" t="s">
        <v>593</v>
      </c>
      <c r="E355" s="32" t="n">
        <v>1</v>
      </c>
      <c r="F355" s="4" t="s">
        <v>82</v>
      </c>
      <c r="G355" s="5" t="s">
        <v>509</v>
      </c>
      <c r="H355" s="4" t="s">
        <v>594</v>
      </c>
      <c r="I355" s="32" t="n">
        <v>1</v>
      </c>
      <c r="J355" s="32" t="n">
        <f aca="false">E355*I355</f>
        <v>1</v>
      </c>
      <c r="K355" s="4"/>
      <c r="L355" s="32"/>
      <c r="M355" s="32"/>
      <c r="N355" s="32"/>
      <c r="O355" s="32"/>
      <c r="P355" s="4"/>
      <c r="Q355" s="32"/>
      <c r="R355" s="32" t="n">
        <f aca="false">$J355</f>
        <v>1</v>
      </c>
      <c r="S355" s="32" t="n">
        <f aca="false">$J355</f>
        <v>1</v>
      </c>
      <c r="T355" s="32" t="n">
        <f aca="false">$J355</f>
        <v>1</v>
      </c>
      <c r="U355" s="32" t="n">
        <f aca="false">$J355</f>
        <v>1</v>
      </c>
      <c r="V355" s="32" t="n">
        <f aca="false">$J355</f>
        <v>1</v>
      </c>
      <c r="W355" s="32" t="n">
        <f aca="false">$J355</f>
        <v>1</v>
      </c>
      <c r="X355" s="32" t="n">
        <f aca="false">$J355</f>
        <v>1</v>
      </c>
      <c r="Y355" s="32" t="n">
        <f aca="false">$J355</f>
        <v>1</v>
      </c>
      <c r="Z355" s="32" t="n">
        <f aca="false">$J355</f>
        <v>1</v>
      </c>
      <c r="AA355" s="32" t="n">
        <f aca="false">$J355</f>
        <v>1</v>
      </c>
      <c r="AB355" s="5"/>
    </row>
    <row r="356" customFormat="false" ht="15" hidden="false" customHeight="false" outlineLevel="0" collapsed="false">
      <c r="A356" s="4" t="s">
        <v>255</v>
      </c>
      <c r="B356" s="4" t="s">
        <v>1317</v>
      </c>
      <c r="C356" s="4" t="s">
        <v>1318</v>
      </c>
      <c r="D356" s="5" t="s">
        <v>597</v>
      </c>
      <c r="E356" s="32" t="n">
        <v>1</v>
      </c>
      <c r="F356" s="4" t="s">
        <v>82</v>
      </c>
      <c r="G356" s="5" t="s">
        <v>509</v>
      </c>
      <c r="H356" s="4" t="s">
        <v>598</v>
      </c>
      <c r="I356" s="32" t="n">
        <v>1</v>
      </c>
      <c r="J356" s="32" t="n">
        <f aca="false">E356*I356</f>
        <v>1</v>
      </c>
      <c r="K356" s="4"/>
      <c r="L356" s="32"/>
      <c r="M356" s="32"/>
      <c r="N356" s="32"/>
      <c r="O356" s="32"/>
      <c r="P356" s="4"/>
      <c r="Q356" s="32"/>
      <c r="R356" s="32" t="n">
        <f aca="false">$J356</f>
        <v>1</v>
      </c>
      <c r="S356" s="32" t="n">
        <f aca="false">$J356</f>
        <v>1</v>
      </c>
      <c r="T356" s="32" t="n">
        <f aca="false">$J356</f>
        <v>1</v>
      </c>
      <c r="U356" s="32" t="n">
        <f aca="false">$J356</f>
        <v>1</v>
      </c>
      <c r="V356" s="32" t="n">
        <f aca="false">$J356</f>
        <v>1</v>
      </c>
      <c r="W356" s="32" t="n">
        <f aca="false">$J356</f>
        <v>1</v>
      </c>
      <c r="X356" s="32" t="n">
        <f aca="false">$J356</f>
        <v>1</v>
      </c>
      <c r="Y356" s="32" t="n">
        <f aca="false">$J356</f>
        <v>1</v>
      </c>
      <c r="Z356" s="32" t="n">
        <f aca="false">$J356</f>
        <v>1</v>
      </c>
      <c r="AA356" s="32" t="n">
        <f aca="false">$J356</f>
        <v>1</v>
      </c>
      <c r="AB356" s="5"/>
    </row>
    <row r="357" customFormat="false" ht="15" hidden="false" customHeight="false" outlineLevel="0" collapsed="false">
      <c r="A357" s="4" t="s">
        <v>279</v>
      </c>
      <c r="B357" s="4" t="s">
        <v>1228</v>
      </c>
      <c r="C357" s="4" t="s">
        <v>1319</v>
      </c>
      <c r="D357" s="5" t="s">
        <v>490</v>
      </c>
      <c r="E357" s="32" t="n">
        <v>1</v>
      </c>
      <c r="F357" s="4" t="s">
        <v>82</v>
      </c>
      <c r="G357" s="5" t="s">
        <v>491</v>
      </c>
      <c r="H357" s="4" t="s">
        <v>1121</v>
      </c>
      <c r="I357" s="32" t="n">
        <f aca="false">FAB_COMPRA!K32</f>
        <v>0.333333333333333</v>
      </c>
      <c r="J357" s="32" t="n">
        <f aca="false">E357*I357</f>
        <v>0.333333333333333</v>
      </c>
      <c r="K357" s="4"/>
      <c r="L357" s="32"/>
      <c r="M357" s="32"/>
      <c r="N357" s="32"/>
      <c r="O357" s="32"/>
      <c r="P357" s="4"/>
      <c r="Q357" s="32"/>
      <c r="R357" s="32" t="n">
        <f aca="false">$J357</f>
        <v>0.333333333333333</v>
      </c>
      <c r="S357" s="32" t="n">
        <f aca="false">$J357</f>
        <v>0.333333333333333</v>
      </c>
      <c r="T357" s="32" t="n">
        <f aca="false">$J357</f>
        <v>0.333333333333333</v>
      </c>
      <c r="U357" s="32" t="n">
        <f aca="false">$J357</f>
        <v>0.333333333333333</v>
      </c>
      <c r="V357" s="32" t="n">
        <f aca="false">$J357</f>
        <v>0.333333333333333</v>
      </c>
      <c r="W357" s="32" t="n">
        <f aca="false">$J357</f>
        <v>0.333333333333333</v>
      </c>
      <c r="X357" s="32" t="n">
        <f aca="false">$J357</f>
        <v>0.333333333333333</v>
      </c>
      <c r="Y357" s="32" t="n">
        <f aca="false">$J357</f>
        <v>0.333333333333333</v>
      </c>
      <c r="Z357" s="32" t="n">
        <f aca="false">$J357</f>
        <v>0.333333333333333</v>
      </c>
      <c r="AA357" s="32" t="n">
        <f aca="false">$J357</f>
        <v>0.333333333333333</v>
      </c>
      <c r="AB357" s="5" t="s">
        <v>493</v>
      </c>
    </row>
    <row r="358" customFormat="false" ht="15" hidden="false" customHeight="false" outlineLevel="0" collapsed="false">
      <c r="A358" s="4" t="s">
        <v>279</v>
      </c>
      <c r="B358" s="4" t="s">
        <v>1230</v>
      </c>
      <c r="C358" s="4" t="s">
        <v>1320</v>
      </c>
      <c r="D358" s="5" t="s">
        <v>496</v>
      </c>
      <c r="E358" s="32" t="n">
        <v>1</v>
      </c>
      <c r="F358" s="4" t="s">
        <v>82</v>
      </c>
      <c r="G358" s="5" t="s">
        <v>491</v>
      </c>
      <c r="H358" s="4" t="s">
        <v>1124</v>
      </c>
      <c r="I358" s="32" t="n">
        <f aca="false">FAB_COMPRA!K33</f>
        <v>1</v>
      </c>
      <c r="J358" s="32" t="n">
        <f aca="false">E358*I358</f>
        <v>1</v>
      </c>
      <c r="K358" s="4"/>
      <c r="L358" s="32"/>
      <c r="M358" s="32"/>
      <c r="N358" s="32"/>
      <c r="O358" s="32"/>
      <c r="P358" s="4"/>
      <c r="Q358" s="32"/>
      <c r="R358" s="32" t="n">
        <f aca="false">$J358</f>
        <v>1</v>
      </c>
      <c r="S358" s="32" t="n">
        <f aca="false">$J358</f>
        <v>1</v>
      </c>
      <c r="T358" s="32" t="n">
        <f aca="false">$J358</f>
        <v>1</v>
      </c>
      <c r="U358" s="32" t="n">
        <f aca="false">$J358</f>
        <v>1</v>
      </c>
      <c r="V358" s="32" t="n">
        <f aca="false">$J358</f>
        <v>1</v>
      </c>
      <c r="W358" s="32" t="n">
        <f aca="false">$J358</f>
        <v>1</v>
      </c>
      <c r="X358" s="32" t="n">
        <f aca="false">$J358</f>
        <v>1</v>
      </c>
      <c r="Y358" s="32" t="n">
        <f aca="false">$J358</f>
        <v>1</v>
      </c>
      <c r="Z358" s="32" t="n">
        <f aca="false">$J358</f>
        <v>1</v>
      </c>
      <c r="AA358" s="32" t="n">
        <f aca="false">$J358</f>
        <v>1</v>
      </c>
      <c r="AB358" s="5" t="s">
        <v>493</v>
      </c>
    </row>
    <row r="359" customFormat="false" ht="15" hidden="false" customHeight="false" outlineLevel="0" collapsed="false">
      <c r="A359" s="4" t="s">
        <v>279</v>
      </c>
      <c r="B359" s="4" t="s">
        <v>1232</v>
      </c>
      <c r="C359" s="4" t="s">
        <v>1321</v>
      </c>
      <c r="D359" s="5" t="s">
        <v>500</v>
      </c>
      <c r="E359" s="32" t="n">
        <v>1</v>
      </c>
      <c r="F359" s="4" t="s">
        <v>82</v>
      </c>
      <c r="G359" s="5" t="s">
        <v>491</v>
      </c>
      <c r="H359" s="4" t="s">
        <v>1124</v>
      </c>
      <c r="I359" s="32" t="n">
        <f aca="false">FAB_COMPRA!K34</f>
        <v>1</v>
      </c>
      <c r="J359" s="32" t="n">
        <f aca="false">E359*I359</f>
        <v>1</v>
      </c>
      <c r="K359" s="4"/>
      <c r="L359" s="32"/>
      <c r="M359" s="32"/>
      <c r="N359" s="32"/>
      <c r="O359" s="32"/>
      <c r="P359" s="4"/>
      <c r="Q359" s="32"/>
      <c r="R359" s="32" t="n">
        <f aca="false">$J359</f>
        <v>1</v>
      </c>
      <c r="S359" s="32" t="n">
        <f aca="false">$J359</f>
        <v>1</v>
      </c>
      <c r="T359" s="32" t="n">
        <f aca="false">$J359</f>
        <v>1</v>
      </c>
      <c r="U359" s="32" t="n">
        <f aca="false">$J359</f>
        <v>1</v>
      </c>
      <c r="V359" s="32" t="n">
        <f aca="false">$J359</f>
        <v>1</v>
      </c>
      <c r="W359" s="32" t="n">
        <f aca="false">$J359</f>
        <v>1</v>
      </c>
      <c r="X359" s="32" t="n">
        <f aca="false">$J359</f>
        <v>1</v>
      </c>
      <c r="Y359" s="32" t="n">
        <f aca="false">$J359</f>
        <v>1</v>
      </c>
      <c r="Z359" s="32" t="n">
        <f aca="false">$J359</f>
        <v>1</v>
      </c>
      <c r="AA359" s="32" t="n">
        <f aca="false">$J359</f>
        <v>1</v>
      </c>
      <c r="AB359" s="5" t="s">
        <v>493</v>
      </c>
    </row>
    <row r="360" customFormat="false" ht="15" hidden="false" customHeight="false" outlineLevel="0" collapsed="false">
      <c r="A360" s="4" t="s">
        <v>279</v>
      </c>
      <c r="B360" s="4" t="s">
        <v>1234</v>
      </c>
      <c r="C360" s="4" t="s">
        <v>1322</v>
      </c>
      <c r="D360" s="5" t="s">
        <v>504</v>
      </c>
      <c r="E360" s="32" t="n">
        <v>1</v>
      </c>
      <c r="F360" s="4" t="s">
        <v>82</v>
      </c>
      <c r="G360" s="5" t="s">
        <v>491</v>
      </c>
      <c r="H360" s="4" t="s">
        <v>1129</v>
      </c>
      <c r="I360" s="32" t="n">
        <f aca="false">FAB_COMPRA!K35</f>
        <v>1</v>
      </c>
      <c r="J360" s="32" t="n">
        <f aca="false">E360*I360</f>
        <v>1</v>
      </c>
      <c r="K360" s="4"/>
      <c r="L360" s="32"/>
      <c r="M360" s="32"/>
      <c r="N360" s="32"/>
      <c r="O360" s="32"/>
      <c r="P360" s="4"/>
      <c r="Q360" s="32"/>
      <c r="R360" s="32" t="n">
        <f aca="false">$J360</f>
        <v>1</v>
      </c>
      <c r="S360" s="32" t="n">
        <f aca="false">$J360</f>
        <v>1</v>
      </c>
      <c r="T360" s="32" t="n">
        <f aca="false">$J360</f>
        <v>1</v>
      </c>
      <c r="U360" s="32" t="n">
        <f aca="false">$J360</f>
        <v>1</v>
      </c>
      <c r="V360" s="32" t="n">
        <f aca="false">$J360</f>
        <v>1</v>
      </c>
      <c r="W360" s="32" t="n">
        <f aca="false">$J360</f>
        <v>1</v>
      </c>
      <c r="X360" s="32" t="n">
        <f aca="false">$J360</f>
        <v>1</v>
      </c>
      <c r="Y360" s="32" t="n">
        <f aca="false">$J360</f>
        <v>1</v>
      </c>
      <c r="Z360" s="32" t="n">
        <f aca="false">$J360</f>
        <v>1</v>
      </c>
      <c r="AA360" s="32" t="n">
        <f aca="false">$J360</f>
        <v>1</v>
      </c>
      <c r="AB360" s="5" t="s">
        <v>493</v>
      </c>
    </row>
    <row r="361" customFormat="false" ht="15" hidden="false" customHeight="false" outlineLevel="0" collapsed="false">
      <c r="A361" s="4" t="s">
        <v>279</v>
      </c>
      <c r="B361" s="4" t="s">
        <v>1236</v>
      </c>
      <c r="C361" s="4" t="s">
        <v>1323</v>
      </c>
      <c r="D361" s="5" t="s">
        <v>1132</v>
      </c>
      <c r="E361" s="32" t="n">
        <v>1</v>
      </c>
      <c r="F361" s="4" t="s">
        <v>82</v>
      </c>
      <c r="G361" s="5" t="s">
        <v>943</v>
      </c>
      <c r="H361" s="4"/>
      <c r="I361" s="32"/>
      <c r="J361" s="32" t="n">
        <f aca="false">E361*I361</f>
        <v>0</v>
      </c>
      <c r="K361" s="4"/>
      <c r="L361" s="32"/>
      <c r="M361" s="32"/>
      <c r="N361" s="32"/>
      <c r="O361" s="32"/>
      <c r="P361" s="4"/>
      <c r="Q361" s="32"/>
      <c r="R361" s="32" t="n">
        <f aca="false">$J361</f>
        <v>0</v>
      </c>
      <c r="S361" s="32" t="n">
        <f aca="false">$J361</f>
        <v>0</v>
      </c>
      <c r="T361" s="32" t="n">
        <f aca="false">$J361</f>
        <v>0</v>
      </c>
      <c r="U361" s="32" t="n">
        <f aca="false">$J361</f>
        <v>0</v>
      </c>
      <c r="V361" s="32" t="n">
        <f aca="false">$J361</f>
        <v>0</v>
      </c>
      <c r="W361" s="32" t="n">
        <f aca="false">$J361</f>
        <v>0</v>
      </c>
      <c r="X361" s="32" t="n">
        <f aca="false">$J361</f>
        <v>0</v>
      </c>
      <c r="Y361" s="32" t="n">
        <f aca="false">$J361</f>
        <v>0</v>
      </c>
      <c r="Z361" s="32" t="n">
        <f aca="false">$J361</f>
        <v>0</v>
      </c>
      <c r="AA361" s="32" t="n">
        <f aca="false">$J361</f>
        <v>0</v>
      </c>
      <c r="AB361" s="5"/>
    </row>
    <row r="362" customFormat="false" ht="15" hidden="false" customHeight="false" outlineLevel="0" collapsed="false">
      <c r="A362" s="4" t="s">
        <v>279</v>
      </c>
      <c r="B362" s="4" t="s">
        <v>1324</v>
      </c>
      <c r="C362" s="4" t="s">
        <v>1325</v>
      </c>
      <c r="D362" s="5" t="s">
        <v>609</v>
      </c>
      <c r="E362" s="32" t="n">
        <v>1</v>
      </c>
      <c r="F362" s="4" t="s">
        <v>82</v>
      </c>
      <c r="G362" s="5" t="s">
        <v>509</v>
      </c>
      <c r="H362" s="4" t="s">
        <v>1225</v>
      </c>
      <c r="I362" s="32" t="n">
        <v>1</v>
      </c>
      <c r="J362" s="32" t="n">
        <f aca="false">E362*I362</f>
        <v>1</v>
      </c>
      <c r="K362" s="4"/>
      <c r="L362" s="32"/>
      <c r="M362" s="32"/>
      <c r="N362" s="32"/>
      <c r="O362" s="32"/>
      <c r="P362" s="4"/>
      <c r="Q362" s="32"/>
      <c r="R362" s="32" t="n">
        <f aca="false">$J362</f>
        <v>1</v>
      </c>
      <c r="S362" s="32" t="n">
        <f aca="false">$J362</f>
        <v>1</v>
      </c>
      <c r="T362" s="32" t="n">
        <f aca="false">$J362</f>
        <v>1</v>
      </c>
      <c r="U362" s="32" t="n">
        <f aca="false">$J362</f>
        <v>1</v>
      </c>
      <c r="V362" s="32" t="n">
        <f aca="false">$J362</f>
        <v>1</v>
      </c>
      <c r="W362" s="32" t="n">
        <f aca="false">$J362</f>
        <v>1</v>
      </c>
      <c r="X362" s="32" t="n">
        <f aca="false">$J362</f>
        <v>1</v>
      </c>
      <c r="Y362" s="32" t="n">
        <f aca="false">$J362</f>
        <v>1</v>
      </c>
      <c r="Z362" s="32" t="n">
        <f aca="false">$J362</f>
        <v>1</v>
      </c>
      <c r="AA362" s="32" t="n">
        <f aca="false">$J362</f>
        <v>1</v>
      </c>
      <c r="AB362" s="5"/>
    </row>
    <row r="363" customFormat="false" ht="15" hidden="false" customHeight="false" outlineLevel="0" collapsed="false">
      <c r="A363" s="4" t="s">
        <v>279</v>
      </c>
      <c r="B363" s="4" t="s">
        <v>1326</v>
      </c>
      <c r="C363" s="4" t="s">
        <v>1327</v>
      </c>
      <c r="D363" s="5" t="s">
        <v>613</v>
      </c>
      <c r="E363" s="32" t="n">
        <v>1</v>
      </c>
      <c r="F363" s="4" t="s">
        <v>82</v>
      </c>
      <c r="G363" s="5" t="s">
        <v>509</v>
      </c>
      <c r="H363" s="4" t="s">
        <v>614</v>
      </c>
      <c r="I363" s="32" t="n">
        <v>1</v>
      </c>
      <c r="J363" s="32" t="n">
        <f aca="false">E363*I363</f>
        <v>1</v>
      </c>
      <c r="K363" s="4"/>
      <c r="L363" s="32"/>
      <c r="M363" s="32"/>
      <c r="N363" s="32"/>
      <c r="O363" s="32"/>
      <c r="P363" s="4"/>
      <c r="Q363" s="32"/>
      <c r="R363" s="32" t="n">
        <f aca="false">$J363</f>
        <v>1</v>
      </c>
      <c r="S363" s="32" t="n">
        <f aca="false">$J363</f>
        <v>1</v>
      </c>
      <c r="T363" s="32" t="n">
        <f aca="false">$J363</f>
        <v>1</v>
      </c>
      <c r="U363" s="32" t="n">
        <f aca="false">$J363</f>
        <v>1</v>
      </c>
      <c r="V363" s="32" t="n">
        <f aca="false">$J363</f>
        <v>1</v>
      </c>
      <c r="W363" s="32" t="n">
        <f aca="false">$J363</f>
        <v>1</v>
      </c>
      <c r="X363" s="32" t="n">
        <f aca="false">$J363</f>
        <v>1</v>
      </c>
      <c r="Y363" s="32" t="n">
        <f aca="false">$J363</f>
        <v>1</v>
      </c>
      <c r="Z363" s="32" t="n">
        <f aca="false">$J363</f>
        <v>1</v>
      </c>
      <c r="AA363" s="32" t="n">
        <f aca="false">$J363</f>
        <v>1</v>
      </c>
      <c r="AB363" s="5"/>
    </row>
    <row r="364" customFormat="false" ht="15" hidden="false" customHeight="false" outlineLevel="0" collapsed="false">
      <c r="A364" s="4" t="s">
        <v>409</v>
      </c>
      <c r="B364" s="4"/>
      <c r="C364" s="4"/>
      <c r="D364" s="5" t="s">
        <v>1328</v>
      </c>
      <c r="E364" s="4" t="n">
        <v>1</v>
      </c>
      <c r="F364" s="4" t="s">
        <v>82</v>
      </c>
      <c r="G364" s="5" t="s">
        <v>509</v>
      </c>
      <c r="H364" s="4" t="s">
        <v>1329</v>
      </c>
      <c r="I364" s="4" t="n">
        <v>1</v>
      </c>
      <c r="J364" s="4" t="n">
        <f aca="false">E364*I364</f>
        <v>1</v>
      </c>
      <c r="K364" s="4"/>
      <c r="L364" s="4"/>
      <c r="M364" s="4"/>
      <c r="N364" s="4"/>
      <c r="O364" s="4"/>
      <c r="P364" s="4"/>
      <c r="Q364" s="4"/>
      <c r="R364" s="4" t="n">
        <f aca="false">$J364</f>
        <v>1</v>
      </c>
      <c r="S364" s="4" t="n">
        <f aca="false">$J364</f>
        <v>1</v>
      </c>
      <c r="T364" s="4" t="n">
        <f aca="false">$J364</f>
        <v>1</v>
      </c>
      <c r="U364" s="4" t="n">
        <f aca="false">$J364</f>
        <v>1</v>
      </c>
      <c r="V364" s="4" t="n">
        <f aca="false">$J364</f>
        <v>1</v>
      </c>
      <c r="W364" s="4" t="n">
        <f aca="false">$J364</f>
        <v>1</v>
      </c>
      <c r="X364" s="4" t="n">
        <f aca="false">$J364</f>
        <v>1</v>
      </c>
      <c r="Y364" s="4" t="n">
        <f aca="false">$J364</f>
        <v>1</v>
      </c>
      <c r="Z364" s="4" t="n">
        <f aca="false">$J364</f>
        <v>1</v>
      </c>
      <c r="AA364" s="4" t="n">
        <f aca="false">$J364</f>
        <v>1</v>
      </c>
      <c r="AB364" s="5" t="s">
        <v>1330</v>
      </c>
    </row>
    <row r="365" customFormat="false" ht="15" hidden="false" customHeight="false" outlineLevel="0" collapsed="false">
      <c r="A365" s="4" t="s">
        <v>409</v>
      </c>
      <c r="B365" s="4"/>
      <c r="C365" s="4"/>
      <c r="D365" s="5" t="s">
        <v>1331</v>
      </c>
      <c r="E365" s="4" t="n">
        <v>1</v>
      </c>
      <c r="F365" s="4" t="s">
        <v>82</v>
      </c>
      <c r="G365" s="5" t="s">
        <v>509</v>
      </c>
      <c r="H365" s="4" t="s">
        <v>688</v>
      </c>
      <c r="I365" s="4" t="n">
        <v>1</v>
      </c>
      <c r="J365" s="4" t="n">
        <f aca="false">E365*I365</f>
        <v>1</v>
      </c>
      <c r="K365" s="4" t="s">
        <v>689</v>
      </c>
      <c r="L365" s="4"/>
      <c r="M365" s="4"/>
      <c r="N365" s="4"/>
      <c r="O365" s="4"/>
      <c r="P365" s="4"/>
      <c r="Q365" s="4"/>
      <c r="R365" s="4" t="n">
        <f aca="false">$J365</f>
        <v>1</v>
      </c>
      <c r="S365" s="4" t="n">
        <f aca="false">$J365</f>
        <v>1</v>
      </c>
      <c r="T365" s="4" t="n">
        <f aca="false">$J365</f>
        <v>1</v>
      </c>
      <c r="U365" s="4" t="n">
        <f aca="false">$J365</f>
        <v>1</v>
      </c>
      <c r="V365" s="4" t="n">
        <f aca="false">$J365</f>
        <v>1</v>
      </c>
      <c r="W365" s="4" t="n">
        <f aca="false">$J365</f>
        <v>1</v>
      </c>
      <c r="X365" s="4" t="n">
        <f aca="false">$J365</f>
        <v>1</v>
      </c>
      <c r="Y365" s="4" t="n">
        <f aca="false">$J365</f>
        <v>1</v>
      </c>
      <c r="Z365" s="4" t="n">
        <f aca="false">$J365</f>
        <v>1</v>
      </c>
      <c r="AA365" s="4" t="n">
        <f aca="false">$J365</f>
        <v>1</v>
      </c>
      <c r="AB365" s="5" t="s">
        <v>1332</v>
      </c>
    </row>
    <row r="366" customFormat="false" ht="15" hidden="false" customHeight="false" outlineLevel="0" collapsed="false">
      <c r="A366" s="4" t="s">
        <v>412</v>
      </c>
      <c r="B366" s="4"/>
      <c r="C366" s="4"/>
      <c r="D366" s="5" t="s">
        <v>1328</v>
      </c>
      <c r="E366" s="4" t="n">
        <v>1</v>
      </c>
      <c r="F366" s="4" t="s">
        <v>82</v>
      </c>
      <c r="G366" s="5" t="s">
        <v>509</v>
      </c>
      <c r="H366" s="4" t="s">
        <v>1333</v>
      </c>
      <c r="I366" s="4" t="n">
        <v>1</v>
      </c>
      <c r="J366" s="4" t="n">
        <f aca="false">E366*I366</f>
        <v>1</v>
      </c>
      <c r="K366" s="4"/>
      <c r="L366" s="4"/>
      <c r="M366" s="4"/>
      <c r="N366" s="4"/>
      <c r="O366" s="4"/>
      <c r="P366" s="4"/>
      <c r="Q366" s="4"/>
      <c r="R366" s="4" t="n">
        <f aca="false">$J366</f>
        <v>1</v>
      </c>
      <c r="S366" s="4" t="n">
        <f aca="false">$J366</f>
        <v>1</v>
      </c>
      <c r="T366" s="4" t="n">
        <f aca="false">$J366</f>
        <v>1</v>
      </c>
      <c r="U366" s="4" t="n">
        <f aca="false">$J366</f>
        <v>1</v>
      </c>
      <c r="V366" s="4" t="n">
        <f aca="false">$J366</f>
        <v>1</v>
      </c>
      <c r="W366" s="4" t="n">
        <f aca="false">$J366</f>
        <v>1</v>
      </c>
      <c r="X366" s="4" t="n">
        <f aca="false">$J366</f>
        <v>1</v>
      </c>
      <c r="Y366" s="4" t="n">
        <f aca="false">$J366</f>
        <v>1</v>
      </c>
      <c r="Z366" s="4" t="n">
        <f aca="false">$J366</f>
        <v>1</v>
      </c>
      <c r="AA366" s="4" t="n">
        <f aca="false">$J366</f>
        <v>1</v>
      </c>
      <c r="AB366" s="5" t="s">
        <v>1330</v>
      </c>
    </row>
    <row r="367" customFormat="false" ht="15" hidden="false" customHeight="false" outlineLevel="0" collapsed="false">
      <c r="A367" s="4" t="s">
        <v>412</v>
      </c>
      <c r="B367" s="4"/>
      <c r="C367" s="4"/>
      <c r="D367" s="5" t="s">
        <v>1331</v>
      </c>
      <c r="E367" s="4" t="n">
        <v>1</v>
      </c>
      <c r="F367" s="4" t="s">
        <v>82</v>
      </c>
      <c r="G367" s="5" t="s">
        <v>509</v>
      </c>
      <c r="H367" s="4" t="s">
        <v>688</v>
      </c>
      <c r="I367" s="4" t="n">
        <v>1</v>
      </c>
      <c r="J367" s="4" t="n">
        <f aca="false">E367*I367</f>
        <v>1</v>
      </c>
      <c r="K367" s="4" t="s">
        <v>689</v>
      </c>
      <c r="L367" s="4"/>
      <c r="M367" s="4"/>
      <c r="N367" s="4"/>
      <c r="O367" s="4"/>
      <c r="P367" s="4"/>
      <c r="Q367" s="4"/>
      <c r="R367" s="4" t="n">
        <f aca="false">$J367</f>
        <v>1</v>
      </c>
      <c r="S367" s="4" t="n">
        <f aca="false">$J367</f>
        <v>1</v>
      </c>
      <c r="T367" s="4" t="n">
        <f aca="false">$J367</f>
        <v>1</v>
      </c>
      <c r="U367" s="4" t="n">
        <f aca="false">$J367</f>
        <v>1</v>
      </c>
      <c r="V367" s="4" t="n">
        <f aca="false">$J367</f>
        <v>1</v>
      </c>
      <c r="W367" s="4" t="n">
        <f aca="false">$J367</f>
        <v>1</v>
      </c>
      <c r="X367" s="4" t="n">
        <f aca="false">$J367</f>
        <v>1</v>
      </c>
      <c r="Y367" s="4" t="n">
        <f aca="false">$J367</f>
        <v>1</v>
      </c>
      <c r="Z367" s="4" t="n">
        <f aca="false">$J367</f>
        <v>1</v>
      </c>
      <c r="AA367" s="4" t="n">
        <f aca="false">$J367</f>
        <v>1</v>
      </c>
      <c r="AB367" s="5" t="s">
        <v>1332</v>
      </c>
    </row>
    <row r="368" customFormat="false" ht="15" hidden="false" customHeight="false" outlineLevel="0" collapsed="false">
      <c r="A368" s="4" t="s">
        <v>415</v>
      </c>
      <c r="B368" s="4"/>
      <c r="C368" s="4"/>
      <c r="D368" s="5" t="s">
        <v>1328</v>
      </c>
      <c r="E368" s="4" t="n">
        <v>1</v>
      </c>
      <c r="F368" s="4" t="s">
        <v>82</v>
      </c>
      <c r="G368" s="5" t="s">
        <v>509</v>
      </c>
      <c r="H368" s="4" t="s">
        <v>1334</v>
      </c>
      <c r="I368" s="4" t="n">
        <v>1</v>
      </c>
      <c r="J368" s="4" t="n">
        <f aca="false">E368*I368</f>
        <v>1</v>
      </c>
      <c r="K368" s="4"/>
      <c r="L368" s="4"/>
      <c r="M368" s="4"/>
      <c r="N368" s="4"/>
      <c r="O368" s="4"/>
      <c r="P368" s="4"/>
      <c r="Q368" s="4"/>
      <c r="R368" s="4" t="n">
        <f aca="false">$J368</f>
        <v>1</v>
      </c>
      <c r="S368" s="4" t="n">
        <f aca="false">$J368</f>
        <v>1</v>
      </c>
      <c r="T368" s="4" t="n">
        <f aca="false">$J368</f>
        <v>1</v>
      </c>
      <c r="U368" s="4" t="n">
        <f aca="false">$J368</f>
        <v>1</v>
      </c>
      <c r="V368" s="4" t="n">
        <f aca="false">$J368</f>
        <v>1</v>
      </c>
      <c r="W368" s="4" t="n">
        <f aca="false">$J368</f>
        <v>1</v>
      </c>
      <c r="X368" s="4" t="n">
        <f aca="false">$J368</f>
        <v>1</v>
      </c>
      <c r="Y368" s="4" t="n">
        <f aca="false">$J368</f>
        <v>1</v>
      </c>
      <c r="Z368" s="4" t="n">
        <f aca="false">$J368</f>
        <v>1</v>
      </c>
      <c r="AA368" s="4" t="n">
        <f aca="false">$J368</f>
        <v>1</v>
      </c>
      <c r="AB368" s="5" t="s">
        <v>1330</v>
      </c>
    </row>
    <row r="369" customFormat="false" ht="15" hidden="false" customHeight="false" outlineLevel="0" collapsed="false">
      <c r="A369" s="4" t="s">
        <v>415</v>
      </c>
      <c r="B369" s="4"/>
      <c r="C369" s="4"/>
      <c r="D369" s="5" t="s">
        <v>1331</v>
      </c>
      <c r="E369" s="4" t="n">
        <v>1</v>
      </c>
      <c r="F369" s="4" t="s">
        <v>82</v>
      </c>
      <c r="G369" s="5" t="s">
        <v>509</v>
      </c>
      <c r="H369" s="4" t="s">
        <v>688</v>
      </c>
      <c r="I369" s="4" t="n">
        <v>1</v>
      </c>
      <c r="J369" s="4" t="n">
        <f aca="false">E369*I369</f>
        <v>1</v>
      </c>
      <c r="K369" s="4" t="s">
        <v>689</v>
      </c>
      <c r="L369" s="4"/>
      <c r="M369" s="4"/>
      <c r="N369" s="4"/>
      <c r="O369" s="4"/>
      <c r="P369" s="4"/>
      <c r="Q369" s="4"/>
      <c r="R369" s="4" t="n">
        <f aca="false">$J369</f>
        <v>1</v>
      </c>
      <c r="S369" s="4" t="n">
        <f aca="false">$J369</f>
        <v>1</v>
      </c>
      <c r="T369" s="4" t="n">
        <f aca="false">$J369</f>
        <v>1</v>
      </c>
      <c r="U369" s="4" t="n">
        <f aca="false">$J369</f>
        <v>1</v>
      </c>
      <c r="V369" s="4" t="n">
        <f aca="false">$J369</f>
        <v>1</v>
      </c>
      <c r="W369" s="4" t="n">
        <f aca="false">$J369</f>
        <v>1</v>
      </c>
      <c r="X369" s="4" t="n">
        <f aca="false">$J369</f>
        <v>1</v>
      </c>
      <c r="Y369" s="4" t="n">
        <f aca="false">$J369</f>
        <v>1</v>
      </c>
      <c r="Z369" s="4" t="n">
        <f aca="false">$J369</f>
        <v>1</v>
      </c>
      <c r="AA369" s="4" t="n">
        <f aca="false">$J369</f>
        <v>1</v>
      </c>
      <c r="AB369" s="5" t="s">
        <v>1332</v>
      </c>
    </row>
    <row r="370" customFormat="false" ht="15" hidden="false" customHeight="false" outlineLevel="0" collapsed="false">
      <c r="A370" s="4" t="s">
        <v>418</v>
      </c>
      <c r="B370" s="4"/>
      <c r="C370" s="4"/>
      <c r="D370" s="5" t="s">
        <v>1328</v>
      </c>
      <c r="E370" s="4" t="n">
        <v>1</v>
      </c>
      <c r="F370" s="4" t="s">
        <v>82</v>
      </c>
      <c r="G370" s="5" t="s">
        <v>509</v>
      </c>
      <c r="H370" s="4" t="s">
        <v>1335</v>
      </c>
      <c r="I370" s="4" t="n">
        <v>1</v>
      </c>
      <c r="J370" s="4" t="n">
        <f aca="false">E370*I370</f>
        <v>1</v>
      </c>
      <c r="K370" s="4"/>
      <c r="L370" s="4"/>
      <c r="M370" s="4"/>
      <c r="N370" s="4"/>
      <c r="O370" s="4"/>
      <c r="P370" s="4"/>
      <c r="Q370" s="4"/>
      <c r="R370" s="4" t="n">
        <f aca="false">$J370</f>
        <v>1</v>
      </c>
      <c r="S370" s="4" t="n">
        <f aca="false">$J370</f>
        <v>1</v>
      </c>
      <c r="T370" s="4" t="n">
        <f aca="false">$J370</f>
        <v>1</v>
      </c>
      <c r="U370" s="4" t="n">
        <f aca="false">$J370</f>
        <v>1</v>
      </c>
      <c r="V370" s="4" t="n">
        <f aca="false">$J370</f>
        <v>1</v>
      </c>
      <c r="W370" s="4" t="n">
        <f aca="false">$J370</f>
        <v>1</v>
      </c>
      <c r="X370" s="4" t="n">
        <f aca="false">$J370</f>
        <v>1</v>
      </c>
      <c r="Y370" s="4" t="n">
        <f aca="false">$J370</f>
        <v>1</v>
      </c>
      <c r="Z370" s="4" t="n">
        <f aca="false">$J370</f>
        <v>1</v>
      </c>
      <c r="AA370" s="4" t="n">
        <f aca="false">$J370</f>
        <v>1</v>
      </c>
      <c r="AB370" s="5" t="s">
        <v>1330</v>
      </c>
    </row>
    <row r="371" customFormat="false" ht="15" hidden="false" customHeight="false" outlineLevel="0" collapsed="false">
      <c r="A371" s="4" t="s">
        <v>418</v>
      </c>
      <c r="B371" s="4"/>
      <c r="C371" s="4"/>
      <c r="D371" s="5" t="s">
        <v>1331</v>
      </c>
      <c r="E371" s="4" t="n">
        <v>1</v>
      </c>
      <c r="F371" s="4" t="s">
        <v>82</v>
      </c>
      <c r="G371" s="5" t="s">
        <v>509</v>
      </c>
      <c r="H371" s="4" t="s">
        <v>688</v>
      </c>
      <c r="I371" s="4" t="n">
        <v>1</v>
      </c>
      <c r="J371" s="4" t="n">
        <f aca="false">E371*I371</f>
        <v>1</v>
      </c>
      <c r="K371" s="4" t="s">
        <v>689</v>
      </c>
      <c r="L371" s="4"/>
      <c r="M371" s="4"/>
      <c r="N371" s="4"/>
      <c r="O371" s="4"/>
      <c r="P371" s="4"/>
      <c r="Q371" s="4"/>
      <c r="R371" s="4" t="n">
        <f aca="false">$J371</f>
        <v>1</v>
      </c>
      <c r="S371" s="4" t="n">
        <f aca="false">$J371</f>
        <v>1</v>
      </c>
      <c r="T371" s="4" t="n">
        <f aca="false">$J371</f>
        <v>1</v>
      </c>
      <c r="U371" s="4" t="n">
        <f aca="false">$J371</f>
        <v>1</v>
      </c>
      <c r="V371" s="4" t="n">
        <f aca="false">$J371</f>
        <v>1</v>
      </c>
      <c r="W371" s="4" t="n">
        <f aca="false">$J371</f>
        <v>1</v>
      </c>
      <c r="X371" s="4" t="n">
        <f aca="false">$J371</f>
        <v>1</v>
      </c>
      <c r="Y371" s="4" t="n">
        <f aca="false">$J371</f>
        <v>1</v>
      </c>
      <c r="Z371" s="4" t="n">
        <f aca="false">$J371</f>
        <v>1</v>
      </c>
      <c r="AA371" s="4" t="n">
        <f aca="false">$J371</f>
        <v>1</v>
      </c>
      <c r="AB371" s="5" t="s">
        <v>1332</v>
      </c>
    </row>
    <row r="372" customFormat="false" ht="15" hidden="false" customHeight="false" outlineLevel="0" collapsed="false">
      <c r="A372" s="4" t="s">
        <v>421</v>
      </c>
      <c r="B372" s="4"/>
      <c r="C372" s="4"/>
      <c r="D372" s="5" t="s">
        <v>1328</v>
      </c>
      <c r="E372" s="4" t="n">
        <v>1</v>
      </c>
      <c r="F372" s="4" t="s">
        <v>82</v>
      </c>
      <c r="G372" s="5" t="s">
        <v>509</v>
      </c>
      <c r="H372" s="4" t="s">
        <v>1336</v>
      </c>
      <c r="I372" s="4" t="n">
        <v>1</v>
      </c>
      <c r="J372" s="4" t="n">
        <f aca="false">E372*I372</f>
        <v>1</v>
      </c>
      <c r="K372" s="4"/>
      <c r="L372" s="4"/>
      <c r="M372" s="4"/>
      <c r="N372" s="4"/>
      <c r="O372" s="4"/>
      <c r="P372" s="4"/>
      <c r="Q372" s="4"/>
      <c r="R372" s="4" t="n">
        <f aca="false">$J372</f>
        <v>1</v>
      </c>
      <c r="S372" s="4" t="n">
        <f aca="false">$J372</f>
        <v>1</v>
      </c>
      <c r="T372" s="4" t="n">
        <f aca="false">$J372</f>
        <v>1</v>
      </c>
      <c r="U372" s="4" t="n">
        <f aca="false">$J372</f>
        <v>1</v>
      </c>
      <c r="V372" s="4" t="n">
        <f aca="false">$J372</f>
        <v>1</v>
      </c>
      <c r="W372" s="4" t="n">
        <f aca="false">$J372</f>
        <v>1</v>
      </c>
      <c r="X372" s="4" t="n">
        <f aca="false">$J372</f>
        <v>1</v>
      </c>
      <c r="Y372" s="4" t="n">
        <f aca="false">$J372</f>
        <v>1</v>
      </c>
      <c r="Z372" s="4" t="n">
        <f aca="false">$J372</f>
        <v>1</v>
      </c>
      <c r="AA372" s="4" t="n">
        <f aca="false">$J372</f>
        <v>1</v>
      </c>
      <c r="AB372" s="5" t="s">
        <v>1330</v>
      </c>
    </row>
    <row r="373" customFormat="false" ht="15" hidden="false" customHeight="false" outlineLevel="0" collapsed="false">
      <c r="A373" s="4" t="s">
        <v>421</v>
      </c>
      <c r="B373" s="4"/>
      <c r="C373" s="4"/>
      <c r="D373" s="5" t="s">
        <v>1331</v>
      </c>
      <c r="E373" s="4" t="n">
        <v>1</v>
      </c>
      <c r="F373" s="4" t="s">
        <v>82</v>
      </c>
      <c r="G373" s="5" t="s">
        <v>509</v>
      </c>
      <c r="H373" s="4" t="s">
        <v>688</v>
      </c>
      <c r="I373" s="4" t="n">
        <v>1</v>
      </c>
      <c r="J373" s="4" t="n">
        <f aca="false">E373*I373</f>
        <v>1</v>
      </c>
      <c r="K373" s="4" t="s">
        <v>689</v>
      </c>
      <c r="L373" s="4"/>
      <c r="M373" s="4"/>
      <c r="N373" s="4"/>
      <c r="O373" s="4"/>
      <c r="P373" s="4"/>
      <c r="Q373" s="4"/>
      <c r="R373" s="4" t="n">
        <f aca="false">$J373</f>
        <v>1</v>
      </c>
      <c r="S373" s="4" t="n">
        <f aca="false">$J373</f>
        <v>1</v>
      </c>
      <c r="T373" s="4" t="n">
        <f aca="false">$J373</f>
        <v>1</v>
      </c>
      <c r="U373" s="4" t="n">
        <f aca="false">$J373</f>
        <v>1</v>
      </c>
      <c r="V373" s="4" t="n">
        <f aca="false">$J373</f>
        <v>1</v>
      </c>
      <c r="W373" s="4" t="n">
        <f aca="false">$J373</f>
        <v>1</v>
      </c>
      <c r="X373" s="4" t="n">
        <f aca="false">$J373</f>
        <v>1</v>
      </c>
      <c r="Y373" s="4" t="n">
        <f aca="false">$J373</f>
        <v>1</v>
      </c>
      <c r="Z373" s="4" t="n">
        <f aca="false">$J373</f>
        <v>1</v>
      </c>
      <c r="AA373" s="4" t="n">
        <f aca="false">$J373</f>
        <v>1</v>
      </c>
      <c r="AB373" s="5" t="s">
        <v>1332</v>
      </c>
    </row>
    <row r="374" customFormat="false" ht="15" hidden="false" customHeight="false" outlineLevel="0" collapsed="false">
      <c r="A374" s="4" t="s">
        <v>424</v>
      </c>
      <c r="B374" s="4"/>
      <c r="C374" s="4"/>
      <c r="D374" s="5" t="s">
        <v>1328</v>
      </c>
      <c r="E374" s="4" t="n">
        <v>1</v>
      </c>
      <c r="F374" s="4" t="s">
        <v>82</v>
      </c>
      <c r="G374" s="5" t="s">
        <v>509</v>
      </c>
      <c r="H374" s="4" t="s">
        <v>1337</v>
      </c>
      <c r="I374" s="4" t="n">
        <v>1</v>
      </c>
      <c r="J374" s="4" t="n">
        <f aca="false">E374*I374</f>
        <v>1</v>
      </c>
      <c r="K374" s="4"/>
      <c r="L374" s="4"/>
      <c r="M374" s="4"/>
      <c r="N374" s="4"/>
      <c r="O374" s="4"/>
      <c r="P374" s="4"/>
      <c r="Q374" s="4"/>
      <c r="R374" s="4" t="n">
        <f aca="false">$J374</f>
        <v>1</v>
      </c>
      <c r="S374" s="4" t="n">
        <f aca="false">$J374</f>
        <v>1</v>
      </c>
      <c r="T374" s="4" t="n">
        <f aca="false">$J374</f>
        <v>1</v>
      </c>
      <c r="U374" s="4" t="n">
        <f aca="false">$J374</f>
        <v>1</v>
      </c>
      <c r="V374" s="4" t="n">
        <f aca="false">$J374</f>
        <v>1</v>
      </c>
      <c r="W374" s="4" t="n">
        <f aca="false">$J374</f>
        <v>1</v>
      </c>
      <c r="X374" s="4" t="n">
        <f aca="false">$J374</f>
        <v>1</v>
      </c>
      <c r="Y374" s="4" t="n">
        <f aca="false">$J374</f>
        <v>1</v>
      </c>
      <c r="Z374" s="4" t="n">
        <f aca="false">$J374</f>
        <v>1</v>
      </c>
      <c r="AA374" s="4" t="n">
        <f aca="false">$J374</f>
        <v>1</v>
      </c>
      <c r="AB374" s="5" t="s">
        <v>1330</v>
      </c>
    </row>
    <row r="375" customFormat="false" ht="15" hidden="false" customHeight="false" outlineLevel="0" collapsed="false">
      <c r="A375" s="4" t="s">
        <v>424</v>
      </c>
      <c r="B375" s="4"/>
      <c r="C375" s="4"/>
      <c r="D375" s="5" t="s">
        <v>1331</v>
      </c>
      <c r="E375" s="4" t="n">
        <v>1</v>
      </c>
      <c r="F375" s="4" t="s">
        <v>82</v>
      </c>
      <c r="G375" s="5" t="s">
        <v>509</v>
      </c>
      <c r="H375" s="4" t="s">
        <v>688</v>
      </c>
      <c r="I375" s="4" t="n">
        <v>1</v>
      </c>
      <c r="J375" s="4" t="n">
        <f aca="false">E375*I375</f>
        <v>1</v>
      </c>
      <c r="K375" s="4" t="s">
        <v>689</v>
      </c>
      <c r="L375" s="4"/>
      <c r="M375" s="4"/>
      <c r="N375" s="4"/>
      <c r="O375" s="4"/>
      <c r="P375" s="4"/>
      <c r="Q375" s="4"/>
      <c r="R375" s="4" t="n">
        <f aca="false">$J375</f>
        <v>1</v>
      </c>
      <c r="S375" s="4" t="n">
        <f aca="false">$J375</f>
        <v>1</v>
      </c>
      <c r="T375" s="4" t="n">
        <f aca="false">$J375</f>
        <v>1</v>
      </c>
      <c r="U375" s="4" t="n">
        <f aca="false">$J375</f>
        <v>1</v>
      </c>
      <c r="V375" s="4" t="n">
        <f aca="false">$J375</f>
        <v>1</v>
      </c>
      <c r="W375" s="4" t="n">
        <f aca="false">$J375</f>
        <v>1</v>
      </c>
      <c r="X375" s="4" t="n">
        <f aca="false">$J375</f>
        <v>1</v>
      </c>
      <c r="Y375" s="4" t="n">
        <f aca="false">$J375</f>
        <v>1</v>
      </c>
      <c r="Z375" s="4" t="n">
        <f aca="false">$J375</f>
        <v>1</v>
      </c>
      <c r="AA375" s="4" t="n">
        <f aca="false">$J375</f>
        <v>1</v>
      </c>
      <c r="AB375" s="5" t="s">
        <v>1332</v>
      </c>
    </row>
    <row r="376" customFormat="false" ht="15" hidden="false" customHeight="false" outlineLevel="0" collapsed="false">
      <c r="A376" s="4" t="s">
        <v>427</v>
      </c>
      <c r="B376" s="4"/>
      <c r="C376" s="4"/>
      <c r="D376" s="5" t="s">
        <v>1328</v>
      </c>
      <c r="E376" s="4" t="n">
        <v>1</v>
      </c>
      <c r="F376" s="4" t="s">
        <v>82</v>
      </c>
      <c r="G376" s="5" t="s">
        <v>509</v>
      </c>
      <c r="H376" s="4" t="s">
        <v>1338</v>
      </c>
      <c r="I376" s="4" t="n">
        <v>1</v>
      </c>
      <c r="J376" s="4" t="n">
        <f aca="false">E376*I376</f>
        <v>1</v>
      </c>
      <c r="K376" s="4"/>
      <c r="L376" s="4"/>
      <c r="M376" s="4"/>
      <c r="N376" s="4"/>
      <c r="O376" s="4"/>
      <c r="P376" s="4"/>
      <c r="Q376" s="4"/>
      <c r="R376" s="4" t="n">
        <f aca="false">$J376</f>
        <v>1</v>
      </c>
      <c r="S376" s="4" t="n">
        <f aca="false">$J376</f>
        <v>1</v>
      </c>
      <c r="T376" s="4" t="n">
        <f aca="false">$J376</f>
        <v>1</v>
      </c>
      <c r="U376" s="4" t="n">
        <f aca="false">$J376</f>
        <v>1</v>
      </c>
      <c r="V376" s="4" t="n">
        <f aca="false">$J376</f>
        <v>1</v>
      </c>
      <c r="W376" s="4" t="n">
        <f aca="false">$J376</f>
        <v>1</v>
      </c>
      <c r="X376" s="4" t="n">
        <f aca="false">$J376</f>
        <v>1</v>
      </c>
      <c r="Y376" s="4" t="n">
        <f aca="false">$J376</f>
        <v>1</v>
      </c>
      <c r="Z376" s="4" t="n">
        <f aca="false">$J376</f>
        <v>1</v>
      </c>
      <c r="AA376" s="4" t="n">
        <f aca="false">$J376</f>
        <v>1</v>
      </c>
      <c r="AB376" s="5" t="s">
        <v>1330</v>
      </c>
    </row>
    <row r="377" customFormat="false" ht="15" hidden="false" customHeight="false" outlineLevel="0" collapsed="false">
      <c r="A377" s="4" t="s">
        <v>427</v>
      </c>
      <c r="B377" s="4"/>
      <c r="C377" s="4"/>
      <c r="D377" s="5" t="s">
        <v>1331</v>
      </c>
      <c r="E377" s="4" t="n">
        <v>1</v>
      </c>
      <c r="F377" s="4" t="s">
        <v>82</v>
      </c>
      <c r="G377" s="5" t="s">
        <v>509</v>
      </c>
      <c r="H377" s="4" t="s">
        <v>688</v>
      </c>
      <c r="I377" s="4" t="n">
        <v>1</v>
      </c>
      <c r="J377" s="4" t="n">
        <f aca="false">E377*I377</f>
        <v>1</v>
      </c>
      <c r="K377" s="4" t="s">
        <v>689</v>
      </c>
      <c r="L377" s="4"/>
      <c r="M377" s="4"/>
      <c r="N377" s="4"/>
      <c r="O377" s="4"/>
      <c r="P377" s="4"/>
      <c r="Q377" s="4"/>
      <c r="R377" s="4" t="n">
        <f aca="false">$J377</f>
        <v>1</v>
      </c>
      <c r="S377" s="4" t="n">
        <f aca="false">$J377</f>
        <v>1</v>
      </c>
      <c r="T377" s="4" t="n">
        <f aca="false">$J377</f>
        <v>1</v>
      </c>
      <c r="U377" s="4" t="n">
        <f aca="false">$J377</f>
        <v>1</v>
      </c>
      <c r="V377" s="4" t="n">
        <f aca="false">$J377</f>
        <v>1</v>
      </c>
      <c r="W377" s="4" t="n">
        <f aca="false">$J377</f>
        <v>1</v>
      </c>
      <c r="X377" s="4" t="n">
        <f aca="false">$J377</f>
        <v>1</v>
      </c>
      <c r="Y377" s="4" t="n">
        <f aca="false">$J377</f>
        <v>1</v>
      </c>
      <c r="Z377" s="4" t="n">
        <f aca="false">$J377</f>
        <v>1</v>
      </c>
      <c r="AA377" s="4" t="n">
        <f aca="false">$J377</f>
        <v>1</v>
      </c>
      <c r="AB377" s="5" t="s">
        <v>1332</v>
      </c>
    </row>
    <row r="378" customFormat="false" ht="15" hidden="false" customHeight="false" outlineLevel="0" collapsed="false">
      <c r="A378" s="4" t="s">
        <v>430</v>
      </c>
      <c r="B378" s="4"/>
      <c r="C378" s="4"/>
      <c r="D378" s="5" t="s">
        <v>1328</v>
      </c>
      <c r="E378" s="4" t="n">
        <v>1</v>
      </c>
      <c r="F378" s="4" t="s">
        <v>82</v>
      </c>
      <c r="G378" s="5" t="s">
        <v>509</v>
      </c>
      <c r="H378" s="4" t="s">
        <v>1339</v>
      </c>
      <c r="I378" s="4" t="n">
        <v>1</v>
      </c>
      <c r="J378" s="4" t="n">
        <f aca="false">E378*I378</f>
        <v>1</v>
      </c>
      <c r="K378" s="4"/>
      <c r="L378" s="4"/>
      <c r="M378" s="4"/>
      <c r="N378" s="4"/>
      <c r="O378" s="4"/>
      <c r="P378" s="4"/>
      <c r="Q378" s="4"/>
      <c r="R378" s="4" t="n">
        <f aca="false">$J378</f>
        <v>1</v>
      </c>
      <c r="S378" s="4" t="n">
        <f aca="false">$J378</f>
        <v>1</v>
      </c>
      <c r="T378" s="4" t="n">
        <f aca="false">$J378</f>
        <v>1</v>
      </c>
      <c r="U378" s="4" t="n">
        <f aca="false">$J378</f>
        <v>1</v>
      </c>
      <c r="V378" s="4" t="n">
        <f aca="false">$J378</f>
        <v>1</v>
      </c>
      <c r="W378" s="4" t="n">
        <f aca="false">$J378</f>
        <v>1</v>
      </c>
      <c r="X378" s="4" t="n">
        <f aca="false">$J378</f>
        <v>1</v>
      </c>
      <c r="Y378" s="4" t="n">
        <f aca="false">$J378</f>
        <v>1</v>
      </c>
      <c r="Z378" s="4" t="n">
        <f aca="false">$J378</f>
        <v>1</v>
      </c>
      <c r="AA378" s="4" t="n">
        <f aca="false">$J378</f>
        <v>1</v>
      </c>
      <c r="AB378" s="5" t="s">
        <v>1330</v>
      </c>
    </row>
    <row r="379" customFormat="false" ht="15" hidden="false" customHeight="false" outlineLevel="0" collapsed="false">
      <c r="A379" s="4" t="s">
        <v>430</v>
      </c>
      <c r="B379" s="4"/>
      <c r="C379" s="4"/>
      <c r="D379" s="5" t="s">
        <v>1331</v>
      </c>
      <c r="E379" s="4" t="n">
        <v>1</v>
      </c>
      <c r="F379" s="4" t="s">
        <v>82</v>
      </c>
      <c r="G379" s="5" t="s">
        <v>509</v>
      </c>
      <c r="H379" s="4" t="s">
        <v>688</v>
      </c>
      <c r="I379" s="4" t="n">
        <v>1</v>
      </c>
      <c r="J379" s="4" t="n">
        <f aca="false">E379*I379</f>
        <v>1</v>
      </c>
      <c r="K379" s="4" t="s">
        <v>689</v>
      </c>
      <c r="L379" s="4"/>
      <c r="M379" s="4"/>
      <c r="N379" s="4"/>
      <c r="O379" s="4"/>
      <c r="P379" s="4"/>
      <c r="Q379" s="4"/>
      <c r="R379" s="4" t="n">
        <f aca="false">$J379</f>
        <v>1</v>
      </c>
      <c r="S379" s="4" t="n">
        <f aca="false">$J379</f>
        <v>1</v>
      </c>
      <c r="T379" s="4" t="n">
        <f aca="false">$J379</f>
        <v>1</v>
      </c>
      <c r="U379" s="4" t="n">
        <f aca="false">$J379</f>
        <v>1</v>
      </c>
      <c r="V379" s="4" t="n">
        <f aca="false">$J379</f>
        <v>1</v>
      </c>
      <c r="W379" s="4" t="n">
        <f aca="false">$J379</f>
        <v>1</v>
      </c>
      <c r="X379" s="4" t="n">
        <f aca="false">$J379</f>
        <v>1</v>
      </c>
      <c r="Y379" s="4" t="n">
        <f aca="false">$J379</f>
        <v>1</v>
      </c>
      <c r="Z379" s="4" t="n">
        <f aca="false">$J379</f>
        <v>1</v>
      </c>
      <c r="AA379" s="4" t="n">
        <f aca="false">$J379</f>
        <v>1</v>
      </c>
      <c r="AB379" s="5" t="s">
        <v>1332</v>
      </c>
    </row>
    <row r="380" customFormat="false" ht="15" hidden="false" customHeight="false" outlineLevel="0" collapsed="false">
      <c r="A380" s="4" t="s">
        <v>433</v>
      </c>
      <c r="B380" s="4"/>
      <c r="C380" s="4"/>
      <c r="D380" s="5" t="s">
        <v>1328</v>
      </c>
      <c r="E380" s="4" t="n">
        <v>1</v>
      </c>
      <c r="F380" s="4" t="s">
        <v>82</v>
      </c>
      <c r="G380" s="5" t="s">
        <v>509</v>
      </c>
      <c r="H380" s="4" t="s">
        <v>1340</v>
      </c>
      <c r="I380" s="4" t="n">
        <v>1</v>
      </c>
      <c r="J380" s="4" t="n">
        <f aca="false">E380*I380</f>
        <v>1</v>
      </c>
      <c r="K380" s="4"/>
      <c r="L380" s="4"/>
      <c r="M380" s="4"/>
      <c r="N380" s="4"/>
      <c r="O380" s="4"/>
      <c r="P380" s="4"/>
      <c r="Q380" s="4"/>
      <c r="R380" s="4" t="n">
        <f aca="false">$J380</f>
        <v>1</v>
      </c>
      <c r="S380" s="4" t="n">
        <f aca="false">$J380</f>
        <v>1</v>
      </c>
      <c r="T380" s="4" t="n">
        <f aca="false">$J380</f>
        <v>1</v>
      </c>
      <c r="U380" s="4" t="n">
        <f aca="false">$J380</f>
        <v>1</v>
      </c>
      <c r="V380" s="4" t="n">
        <f aca="false">$J380</f>
        <v>1</v>
      </c>
      <c r="W380" s="4" t="n">
        <f aca="false">$J380</f>
        <v>1</v>
      </c>
      <c r="X380" s="4" t="n">
        <f aca="false">$J380</f>
        <v>1</v>
      </c>
      <c r="Y380" s="4" t="n">
        <f aca="false">$J380</f>
        <v>1</v>
      </c>
      <c r="Z380" s="4" t="n">
        <f aca="false">$J380</f>
        <v>1</v>
      </c>
      <c r="AA380" s="4" t="n">
        <f aca="false">$J380</f>
        <v>1</v>
      </c>
      <c r="AB380" s="5" t="s">
        <v>1330</v>
      </c>
    </row>
    <row r="381" customFormat="false" ht="15" hidden="false" customHeight="false" outlineLevel="0" collapsed="false">
      <c r="A381" s="4" t="s">
        <v>433</v>
      </c>
      <c r="B381" s="4"/>
      <c r="C381" s="4"/>
      <c r="D381" s="5" t="s">
        <v>1331</v>
      </c>
      <c r="E381" s="4" t="n">
        <v>1</v>
      </c>
      <c r="F381" s="4" t="s">
        <v>82</v>
      </c>
      <c r="G381" s="5" t="s">
        <v>509</v>
      </c>
      <c r="H381" s="4" t="s">
        <v>688</v>
      </c>
      <c r="I381" s="4" t="n">
        <v>1</v>
      </c>
      <c r="J381" s="4" t="n">
        <f aca="false">E381*I381</f>
        <v>1</v>
      </c>
      <c r="K381" s="4" t="s">
        <v>689</v>
      </c>
      <c r="L381" s="4"/>
      <c r="M381" s="4"/>
      <c r="N381" s="4"/>
      <c r="O381" s="4"/>
      <c r="P381" s="4"/>
      <c r="Q381" s="4"/>
      <c r="R381" s="4" t="n">
        <f aca="false">$J381</f>
        <v>1</v>
      </c>
      <c r="S381" s="4" t="n">
        <f aca="false">$J381</f>
        <v>1</v>
      </c>
      <c r="T381" s="4" t="n">
        <f aca="false">$J381</f>
        <v>1</v>
      </c>
      <c r="U381" s="4" t="n">
        <f aca="false">$J381</f>
        <v>1</v>
      </c>
      <c r="V381" s="4" t="n">
        <f aca="false">$J381</f>
        <v>1</v>
      </c>
      <c r="W381" s="4" t="n">
        <f aca="false">$J381</f>
        <v>1</v>
      </c>
      <c r="X381" s="4" t="n">
        <f aca="false">$J381</f>
        <v>1</v>
      </c>
      <c r="Y381" s="4" t="n">
        <f aca="false">$J381</f>
        <v>1</v>
      </c>
      <c r="Z381" s="4" t="n">
        <f aca="false">$J381</f>
        <v>1</v>
      </c>
      <c r="AA381" s="4" t="n">
        <f aca="false">$J381</f>
        <v>1</v>
      </c>
      <c r="AB381" s="5" t="s">
        <v>1332</v>
      </c>
    </row>
    <row r="382" customFormat="false" ht="15" hidden="false" customHeight="false" outlineLevel="0" collapsed="false">
      <c r="A382" s="4" t="s">
        <v>282</v>
      </c>
      <c r="B382" s="4" t="s">
        <v>1341</v>
      </c>
      <c r="C382" s="4" t="s">
        <v>1342</v>
      </c>
      <c r="D382" s="5" t="s">
        <v>1343</v>
      </c>
      <c r="E382" s="32" t="n">
        <v>1</v>
      </c>
      <c r="F382" s="32" t="s">
        <v>82</v>
      </c>
      <c r="G382" s="33" t="s">
        <v>1344</v>
      </c>
      <c r="H382" s="32" t="s">
        <v>1345</v>
      </c>
      <c r="I382" s="32" t="n">
        <v>1</v>
      </c>
      <c r="J382" s="32" t="n">
        <f aca="false">E382*I382</f>
        <v>1</v>
      </c>
      <c r="K382" s="32"/>
      <c r="L382" s="32" t="n">
        <v>1</v>
      </c>
      <c r="M382" s="32" t="n">
        <v>0</v>
      </c>
      <c r="N382" s="32" t="n">
        <v>0</v>
      </c>
      <c r="O382" s="32" t="n">
        <v>0</v>
      </c>
      <c r="P382" s="32" t="n">
        <v>5</v>
      </c>
      <c r="Q382" s="32" t="n">
        <v>0</v>
      </c>
      <c r="R382" s="32" t="n">
        <f aca="false">J382*(INDEX(P_VAL,MATCH("CTRL_AÑO",P_ID,0))*L382+(1-INDEX(PY_VAL,MATCH("P_USADOS",PY_ID,0),1))*M382+INDEX(PY_VAL,MATCH("P_USADOS",PY_ID,0),1)*N382+IF(P382&gt;0,O382/P382,0)+Q382)</f>
        <v>4</v>
      </c>
      <c r="S382" s="32" t="n">
        <f aca="false">J382*(INDEX(P_VAL,MATCH("CTRL_AÑO",P_ID,0))*L382+(1-INDEX(PY_VAL,MATCH("P_USADOS",PY_ID,0),2))*M382+INDEX(PY_VAL,MATCH("P_USADOS",PY_ID,0),2)*N382+IF(P382&gt;0,O382/P382,0)+Q382)</f>
        <v>4</v>
      </c>
      <c r="T382" s="32" t="n">
        <f aca="false">J382*(INDEX(P_VAL,MATCH("CTRL_AÑO",P_ID,0))*L382+(1-INDEX(PY_VAL,MATCH("P_USADOS",PY_ID,0),3))*M382+INDEX(PY_VAL,MATCH("P_USADOS",PY_ID,0),3)*N382+IF(P382&gt;0,O382/P382,0)+Q382)</f>
        <v>4</v>
      </c>
      <c r="U382" s="32" t="n">
        <f aca="false">J382*(INDEX(P_VAL,MATCH("CTRL_AÑO",P_ID,0))*L382+(1-INDEX(PY_VAL,MATCH("P_USADOS",PY_ID,0),4))*M382+INDEX(PY_VAL,MATCH("P_USADOS",PY_ID,0),4)*N382+IF(P382&gt;0,O382/P382,0)+Q382)</f>
        <v>4</v>
      </c>
      <c r="V382" s="32" t="n">
        <f aca="false">J382*(INDEX(P_VAL,MATCH("CTRL_AÑO",P_ID,0))*L382+(1-INDEX(PY_VAL,MATCH("P_USADOS",PY_ID,0),5))*M382+INDEX(PY_VAL,MATCH("P_USADOS",PY_ID,0),5)*N382+IF(P382&gt;0,O382/P382,0)+Q382)</f>
        <v>4</v>
      </c>
      <c r="W382" s="32" t="n">
        <f aca="false">J382*(INDEX(P_VAL,MATCH("CTRL_AÑO",P_ID,0))*L382+(1-INDEX(PY_VAL,MATCH("P_USADOS",PY_ID,0),6))*M382+INDEX(PY_VAL,MATCH("P_USADOS",PY_ID,0),6)*N382+IF(P382&gt;0,O382/P382,0)+Q382)</f>
        <v>4</v>
      </c>
      <c r="X382" s="32" t="n">
        <f aca="false">J382*(INDEX(P_VAL,MATCH("CTRL_AÑO",P_ID,0))*L382+(1-INDEX(PY_VAL,MATCH("P_USADOS",PY_ID,0),7))*M382+INDEX(PY_VAL,MATCH("P_USADOS",PY_ID,0),7)*N382+IF(P382&gt;0,O382/P382,0)+Q382)</f>
        <v>4</v>
      </c>
      <c r="Y382" s="32" t="n">
        <f aca="false">J382*(INDEX(P_VAL,MATCH("CTRL_AÑO",P_ID,0))*L382+(1-INDEX(PY_VAL,MATCH("P_USADOS",PY_ID,0),8))*M382+INDEX(PY_VAL,MATCH("P_USADOS",PY_ID,0),8)*N382+IF(P382&gt;0,O382/P382,0)+Q382)</f>
        <v>4</v>
      </c>
      <c r="Z382" s="32" t="n">
        <f aca="false">J382*(INDEX(P_VAL,MATCH("CTRL_AÑO",P_ID,0))*L382+(1-INDEX(PY_VAL,MATCH("P_USADOS",PY_ID,0),9))*M382+INDEX(PY_VAL,MATCH("P_USADOS",PY_ID,0),9)*N382+IF(P382&gt;0,O382/P382,0)+Q382)</f>
        <v>4</v>
      </c>
      <c r="AA382" s="32" t="n">
        <f aca="false">J382*(INDEX(P_VAL,MATCH("CTRL_AÑO",P_ID,0))*L382+(1-INDEX(PY_VAL,MATCH("P_USADOS",PY_ID,0),10))*M382+INDEX(PY_VAL,MATCH("P_USADOS",PY_ID,0),10)*N382+IF(P382&gt;0,O382/P382,0)+Q382)</f>
        <v>4</v>
      </c>
      <c r="AB382" s="5" t="s">
        <v>1346</v>
      </c>
    </row>
    <row r="383" customFormat="false" ht="15" hidden="false" customHeight="false" outlineLevel="0" collapsed="false">
      <c r="A383" s="4" t="s">
        <v>282</v>
      </c>
      <c r="B383" s="4" t="s">
        <v>1347</v>
      </c>
      <c r="C383" s="4" t="s">
        <v>1348</v>
      </c>
      <c r="D383" s="5" t="s">
        <v>1349</v>
      </c>
      <c r="E383" s="32" t="n">
        <v>1</v>
      </c>
      <c r="F383" s="32" t="s">
        <v>73</v>
      </c>
      <c r="G383" s="33" t="s">
        <v>1344</v>
      </c>
      <c r="H383" s="32" t="s">
        <v>568</v>
      </c>
      <c r="I383" s="32" t="n">
        <v>1</v>
      </c>
      <c r="J383" s="32" t="n">
        <f aca="false">E383*I383</f>
        <v>1</v>
      </c>
      <c r="K383" s="32"/>
      <c r="L383" s="32" t="n">
        <v>0</v>
      </c>
      <c r="M383" s="32" t="n">
        <v>0.05</v>
      </c>
      <c r="N383" s="32" t="n">
        <v>1.05</v>
      </c>
      <c r="O383" s="32" t="n">
        <v>0</v>
      </c>
      <c r="P383" s="32" t="n">
        <v>5</v>
      </c>
      <c r="Q383" s="32" t="n">
        <v>0</v>
      </c>
      <c r="R383" s="32" t="n">
        <f aca="false">J383*(INDEX(P_VAL,MATCH("CTRL_AÑO",P_ID,0))*L383+(1-INDEX(PY_VAL,MATCH("P_USADOS",PY_ID,0),1))*M383+INDEX(PY_VAL,MATCH("P_USADOS",PY_ID,0),1)*N383+IF(P383&gt;0,O383/P383,0)+Q383)</f>
        <v>0.09764</v>
      </c>
      <c r="S383" s="32" t="n">
        <f aca="false">J383*(INDEX(P_VAL,MATCH("CTRL_AÑO",P_ID,0))*L383+(1-INDEX(PY_VAL,MATCH("P_USADOS",PY_ID,0),2))*M383+INDEX(PY_VAL,MATCH("P_USADOS",PY_ID,0),2)*N383+IF(P383&gt;0,O383/P383,0)+Q383)</f>
        <v>0.097636</v>
      </c>
      <c r="T383" s="32" t="n">
        <f aca="false">J383*(INDEX(P_VAL,MATCH("CTRL_AÑO",P_ID,0))*L383+(1-INDEX(PY_VAL,MATCH("P_USADOS",PY_ID,0),3))*M383+INDEX(PY_VAL,MATCH("P_USADOS",PY_ID,0),3)*N383+IF(P383&gt;0,O383/P383,0)+Q383)</f>
        <v>0.097637</v>
      </c>
      <c r="U383" s="32" t="n">
        <f aca="false">J383*(INDEX(P_VAL,MATCH("CTRL_AÑO",P_ID,0))*L383+(1-INDEX(PY_VAL,MATCH("P_USADOS",PY_ID,0),4))*M383+INDEX(PY_VAL,MATCH("P_USADOS",PY_ID,0),4)*N383+IF(P383&gt;0,O383/P383,0)+Q383)</f>
        <v>0.097639</v>
      </c>
      <c r="V383" s="32" t="n">
        <f aca="false">J383*(INDEX(P_VAL,MATCH("CTRL_AÑO",P_ID,0))*L383+(1-INDEX(PY_VAL,MATCH("P_USADOS",PY_ID,0),5))*M383+INDEX(PY_VAL,MATCH("P_USADOS",PY_ID,0),5)*N383+IF(P383&gt;0,O383/P383,0)+Q383)</f>
        <v>0.097636</v>
      </c>
      <c r="W383" s="32" t="n">
        <f aca="false">J383*(INDEX(P_VAL,MATCH("CTRL_AÑO",P_ID,0))*L383+(1-INDEX(PY_VAL,MATCH("P_USADOS",PY_ID,0),6))*M383+INDEX(PY_VAL,MATCH("P_USADOS",PY_ID,0),6)*N383+IF(P383&gt;0,O383/P383,0)+Q383)</f>
        <v>0.097637</v>
      </c>
      <c r="X383" s="32" t="n">
        <f aca="false">J383*(INDEX(P_VAL,MATCH("CTRL_AÑO",P_ID,0))*L383+(1-INDEX(PY_VAL,MATCH("P_USADOS",PY_ID,0),7))*M383+INDEX(PY_VAL,MATCH("P_USADOS",PY_ID,0),7)*N383+IF(P383&gt;0,O383/P383,0)+Q383)</f>
        <v>0.097636</v>
      </c>
      <c r="Y383" s="32" t="n">
        <f aca="false">J383*(INDEX(P_VAL,MATCH("CTRL_AÑO",P_ID,0))*L383+(1-INDEX(PY_VAL,MATCH("P_USADOS",PY_ID,0),8))*M383+INDEX(PY_VAL,MATCH("P_USADOS",PY_ID,0),8)*N383+IF(P383&gt;0,O383/P383,0)+Q383)</f>
        <v>0.097638</v>
      </c>
      <c r="Z383" s="32" t="n">
        <f aca="false">J383*(INDEX(P_VAL,MATCH("CTRL_AÑO",P_ID,0))*L383+(1-INDEX(PY_VAL,MATCH("P_USADOS",PY_ID,0),9))*M383+INDEX(PY_VAL,MATCH("P_USADOS",PY_ID,0),9)*N383+IF(P383&gt;0,O383/P383,0)+Q383)</f>
        <v>0.097636</v>
      </c>
      <c r="AA383" s="32" t="n">
        <f aca="false">J383*(INDEX(P_VAL,MATCH("CTRL_AÑO",P_ID,0))*L383+(1-INDEX(PY_VAL,MATCH("P_USADOS",PY_ID,0),10))*M383+INDEX(PY_VAL,MATCH("P_USADOS",PY_ID,0),10)*N383+IF(P383&gt;0,O383/P383,0)+Q383)</f>
        <v>0.097633</v>
      </c>
      <c r="AB383" s="5" t="s">
        <v>1346</v>
      </c>
    </row>
    <row r="384" customFormat="false" ht="15" hidden="false" customHeight="false" outlineLevel="0" collapsed="false">
      <c r="A384" s="4" t="s">
        <v>282</v>
      </c>
      <c r="B384" s="4" t="s">
        <v>1350</v>
      </c>
      <c r="C384" s="4" t="s">
        <v>1351</v>
      </c>
      <c r="D384" s="5" t="s">
        <v>571</v>
      </c>
      <c r="E384" s="32" t="n">
        <v>1</v>
      </c>
      <c r="F384" s="32" t="s">
        <v>73</v>
      </c>
      <c r="G384" s="33" t="s">
        <v>1344</v>
      </c>
      <c r="H384" s="32" t="s">
        <v>573</v>
      </c>
      <c r="I384" s="32" t="n">
        <f aca="false">(1+INDEX(P_VAL,MATCH("N2_PERD",P_ID,0)))/INDEX(P_VAL,MATCH("RHO_N2",P_ID,0))</f>
        <v>1.0406660262568</v>
      </c>
      <c r="J384" s="32" t="n">
        <f aca="false">E384*I384</f>
        <v>1.0406660262568</v>
      </c>
      <c r="K384" s="32"/>
      <c r="L384" s="32" t="n">
        <v>0</v>
      </c>
      <c r="M384" s="32" t="n">
        <v>0.00388858704378115</v>
      </c>
      <c r="N384" s="32" t="n">
        <v>0.00388858704378115</v>
      </c>
      <c r="O384" s="32" t="n">
        <v>0</v>
      </c>
      <c r="P384" s="32" t="n">
        <v>5</v>
      </c>
      <c r="Q384" s="32" t="n">
        <v>0</v>
      </c>
      <c r="R384" s="32" t="n">
        <f aca="false">J384*(INDEX(P_VAL,MATCH("CTRL_AÑO",P_ID,0))*L384+(1-INDEX(PY_VAL,MATCH("P_USADOS",PY_ID,0),1))*M384+INDEX(PY_VAL,MATCH("P_USADOS",PY_ID,0),1)*N384+IF(P384&gt;0,O384/P384,0)+Q384)</f>
        <v>0.00404672042660542</v>
      </c>
      <c r="S384" s="32" t="n">
        <f aca="false">J384*(INDEX(P_VAL,MATCH("CTRL_AÑO",P_ID,0))*L384+(1-INDEX(PY_VAL,MATCH("P_USADOS",PY_ID,0),2))*M384+INDEX(PY_VAL,MATCH("P_USADOS",PY_ID,0),2)*N384+IF(P384&gt;0,O384/P384,0)+Q384)</f>
        <v>0.00404672042660542</v>
      </c>
      <c r="T384" s="32" t="n">
        <f aca="false">J384*(INDEX(P_VAL,MATCH("CTRL_AÑO",P_ID,0))*L384+(1-INDEX(PY_VAL,MATCH("P_USADOS",PY_ID,0),3))*M384+INDEX(PY_VAL,MATCH("P_USADOS",PY_ID,0),3)*N384+IF(P384&gt;0,O384/P384,0)+Q384)</f>
        <v>0.00404672042660542</v>
      </c>
      <c r="U384" s="32" t="n">
        <f aca="false">J384*(INDEX(P_VAL,MATCH("CTRL_AÑO",P_ID,0))*L384+(1-INDEX(PY_VAL,MATCH("P_USADOS",PY_ID,0),4))*M384+INDEX(PY_VAL,MATCH("P_USADOS",PY_ID,0),4)*N384+IF(P384&gt;0,O384/P384,0)+Q384)</f>
        <v>0.00404672042660542</v>
      </c>
      <c r="V384" s="32" t="n">
        <f aca="false">J384*(INDEX(P_VAL,MATCH("CTRL_AÑO",P_ID,0))*L384+(1-INDEX(PY_VAL,MATCH("P_USADOS",PY_ID,0),5))*M384+INDEX(PY_VAL,MATCH("P_USADOS",PY_ID,0),5)*N384+IF(P384&gt;0,O384/P384,0)+Q384)</f>
        <v>0.00404672042660542</v>
      </c>
      <c r="W384" s="32" t="n">
        <f aca="false">J384*(INDEX(P_VAL,MATCH("CTRL_AÑO",P_ID,0))*L384+(1-INDEX(PY_VAL,MATCH("P_USADOS",PY_ID,0),6))*M384+INDEX(PY_VAL,MATCH("P_USADOS",PY_ID,0),6)*N384+IF(P384&gt;0,O384/P384,0)+Q384)</f>
        <v>0.00404672042660542</v>
      </c>
      <c r="X384" s="32" t="n">
        <f aca="false">J384*(INDEX(P_VAL,MATCH("CTRL_AÑO",P_ID,0))*L384+(1-INDEX(PY_VAL,MATCH("P_USADOS",PY_ID,0),7))*M384+INDEX(PY_VAL,MATCH("P_USADOS",PY_ID,0),7)*N384+IF(P384&gt;0,O384/P384,0)+Q384)</f>
        <v>0.00404672042660542</v>
      </c>
      <c r="Y384" s="32" t="n">
        <f aca="false">J384*(INDEX(P_VAL,MATCH("CTRL_AÑO",P_ID,0))*L384+(1-INDEX(PY_VAL,MATCH("P_USADOS",PY_ID,0),8))*M384+INDEX(PY_VAL,MATCH("P_USADOS",PY_ID,0),8)*N384+IF(P384&gt;0,O384/P384,0)+Q384)</f>
        <v>0.00404672042660542</v>
      </c>
      <c r="Z384" s="32" t="n">
        <f aca="false">J384*(INDEX(P_VAL,MATCH("CTRL_AÑO",P_ID,0))*L384+(1-INDEX(PY_VAL,MATCH("P_USADOS",PY_ID,0),9))*M384+INDEX(PY_VAL,MATCH("P_USADOS",PY_ID,0),9)*N384+IF(P384&gt;0,O384/P384,0)+Q384)</f>
        <v>0.00404672042660542</v>
      </c>
      <c r="AA384" s="32" t="n">
        <f aca="false">J384*(INDEX(P_VAL,MATCH("CTRL_AÑO",P_ID,0))*L384+(1-INDEX(PY_VAL,MATCH("P_USADOS",PY_ID,0),10))*M384+INDEX(PY_VAL,MATCH("P_USADOS",PY_ID,0),10)*N384+IF(P384&gt;0,O384/P384,0)+Q384)</f>
        <v>0.00404672042660542</v>
      </c>
      <c r="AB384" s="5" t="s">
        <v>1346</v>
      </c>
    </row>
    <row r="385" customFormat="false" ht="15" hidden="false" customHeight="false" outlineLevel="0" collapsed="false">
      <c r="A385" s="4" t="s">
        <v>282</v>
      </c>
      <c r="B385" s="4" t="s">
        <v>1352</v>
      </c>
      <c r="C385" s="4" t="s">
        <v>1353</v>
      </c>
      <c r="D385" s="5" t="s">
        <v>1354</v>
      </c>
      <c r="E385" s="32" t="n">
        <v>1</v>
      </c>
      <c r="F385" s="32" t="s">
        <v>82</v>
      </c>
      <c r="G385" s="33" t="s">
        <v>1344</v>
      </c>
      <c r="H385" s="32" t="s">
        <v>1355</v>
      </c>
      <c r="I385" s="32" t="n">
        <v>1</v>
      </c>
      <c r="J385" s="32" t="n">
        <f aca="false">E385*I385</f>
        <v>1</v>
      </c>
      <c r="K385" s="32"/>
      <c r="L385" s="32" t="n">
        <v>0</v>
      </c>
      <c r="M385" s="32" t="n">
        <v>1</v>
      </c>
      <c r="N385" s="32" t="n">
        <v>1</v>
      </c>
      <c r="O385" s="32" t="n">
        <v>0</v>
      </c>
      <c r="P385" s="32" t="n">
        <v>5</v>
      </c>
      <c r="Q385" s="32" t="n">
        <v>0</v>
      </c>
      <c r="R385" s="32" t="n">
        <f aca="false">J385*(INDEX(P_VAL,MATCH("CTRL_AÑO",P_ID,0))*L385+(1-INDEX(PY_VAL,MATCH("P_USADOS",PY_ID,0),1))*M385+INDEX(PY_VAL,MATCH("P_USADOS",PY_ID,0),1)*N385+IF(P385&gt;0,O385/P385,0)+Q385)</f>
        <v>1</v>
      </c>
      <c r="S385" s="32" t="n">
        <f aca="false">J385*(INDEX(P_VAL,MATCH("CTRL_AÑO",P_ID,0))*L385+(1-INDEX(PY_VAL,MATCH("P_USADOS",PY_ID,0),2))*M385+INDEX(PY_VAL,MATCH("P_USADOS",PY_ID,0),2)*N385+IF(P385&gt;0,O385/P385,0)+Q385)</f>
        <v>1</v>
      </c>
      <c r="T385" s="32" t="n">
        <f aca="false">J385*(INDEX(P_VAL,MATCH("CTRL_AÑO",P_ID,0))*L385+(1-INDEX(PY_VAL,MATCH("P_USADOS",PY_ID,0),3))*M385+INDEX(PY_VAL,MATCH("P_USADOS",PY_ID,0),3)*N385+IF(P385&gt;0,O385/P385,0)+Q385)</f>
        <v>1</v>
      </c>
      <c r="U385" s="32" t="n">
        <f aca="false">J385*(INDEX(P_VAL,MATCH("CTRL_AÑO",P_ID,0))*L385+(1-INDEX(PY_VAL,MATCH("P_USADOS",PY_ID,0),4))*M385+INDEX(PY_VAL,MATCH("P_USADOS",PY_ID,0),4)*N385+IF(P385&gt;0,O385/P385,0)+Q385)</f>
        <v>1</v>
      </c>
      <c r="V385" s="32" t="n">
        <f aca="false">J385*(INDEX(P_VAL,MATCH("CTRL_AÑO",P_ID,0))*L385+(1-INDEX(PY_VAL,MATCH("P_USADOS",PY_ID,0),5))*M385+INDEX(PY_VAL,MATCH("P_USADOS",PY_ID,0),5)*N385+IF(P385&gt;0,O385/P385,0)+Q385)</f>
        <v>1</v>
      </c>
      <c r="W385" s="32" t="n">
        <f aca="false">J385*(INDEX(P_VAL,MATCH("CTRL_AÑO",P_ID,0))*L385+(1-INDEX(PY_VAL,MATCH("P_USADOS",PY_ID,0),6))*M385+INDEX(PY_VAL,MATCH("P_USADOS",PY_ID,0),6)*N385+IF(P385&gt;0,O385/P385,0)+Q385)</f>
        <v>1</v>
      </c>
      <c r="X385" s="32" t="n">
        <f aca="false">J385*(INDEX(P_VAL,MATCH("CTRL_AÑO",P_ID,0))*L385+(1-INDEX(PY_VAL,MATCH("P_USADOS",PY_ID,0),7))*M385+INDEX(PY_VAL,MATCH("P_USADOS",PY_ID,0),7)*N385+IF(P385&gt;0,O385/P385,0)+Q385)</f>
        <v>1</v>
      </c>
      <c r="Y385" s="32" t="n">
        <f aca="false">J385*(INDEX(P_VAL,MATCH("CTRL_AÑO",P_ID,0))*L385+(1-INDEX(PY_VAL,MATCH("P_USADOS",PY_ID,0),8))*M385+INDEX(PY_VAL,MATCH("P_USADOS",PY_ID,0),8)*N385+IF(P385&gt;0,O385/P385,0)+Q385)</f>
        <v>1</v>
      </c>
      <c r="Z385" s="32" t="n">
        <f aca="false">J385*(INDEX(P_VAL,MATCH("CTRL_AÑO",P_ID,0))*L385+(1-INDEX(PY_VAL,MATCH("P_USADOS",PY_ID,0),9))*M385+INDEX(PY_VAL,MATCH("P_USADOS",PY_ID,0),9)*N385+IF(P385&gt;0,O385/P385,0)+Q385)</f>
        <v>1</v>
      </c>
      <c r="AA385" s="32" t="n">
        <f aca="false">J385*(INDEX(P_VAL,MATCH("CTRL_AÑO",P_ID,0))*L385+(1-INDEX(PY_VAL,MATCH("P_USADOS",PY_ID,0),10))*M385+INDEX(PY_VAL,MATCH("P_USADOS",PY_ID,0),10)*N385+IF(P385&gt;0,O385/P385,0)+Q385)</f>
        <v>1</v>
      </c>
      <c r="AB385" s="5" t="s">
        <v>1346</v>
      </c>
    </row>
    <row r="386" customFormat="false" ht="15" hidden="false" customHeight="false" outlineLevel="0" collapsed="false">
      <c r="A386" s="4" t="s">
        <v>282</v>
      </c>
      <c r="B386" s="4" t="s">
        <v>1356</v>
      </c>
      <c r="C386" s="4" t="s">
        <v>1357</v>
      </c>
      <c r="D386" s="5" t="s">
        <v>1358</v>
      </c>
      <c r="E386" s="32" t="n">
        <v>1</v>
      </c>
      <c r="F386" s="32" t="s">
        <v>82</v>
      </c>
      <c r="G386" s="33" t="s">
        <v>1344</v>
      </c>
      <c r="H386" s="32" t="s">
        <v>1359</v>
      </c>
      <c r="I386" s="32" t="n">
        <v>1</v>
      </c>
      <c r="J386" s="32" t="n">
        <f aca="false">E386*I386</f>
        <v>1</v>
      </c>
      <c r="K386" s="32"/>
      <c r="L386" s="32" t="n">
        <v>0</v>
      </c>
      <c r="M386" s="32" t="n">
        <v>1</v>
      </c>
      <c r="N386" s="32" t="n">
        <v>1</v>
      </c>
      <c r="O386" s="32" t="n">
        <v>0</v>
      </c>
      <c r="P386" s="32" t="n">
        <v>5</v>
      </c>
      <c r="Q386" s="32" t="n">
        <v>0</v>
      </c>
      <c r="R386" s="32" t="n">
        <f aca="false">J386*(INDEX(P_VAL,MATCH("CTRL_AÑO",P_ID,0))*L386+(1-INDEX(PY_VAL,MATCH("P_USADOS",PY_ID,0),1))*M386+INDEX(PY_VAL,MATCH("P_USADOS",PY_ID,0),1)*N386+IF(P386&gt;0,O386/P386,0)+Q386)</f>
        <v>1</v>
      </c>
      <c r="S386" s="32" t="n">
        <f aca="false">J386*(INDEX(P_VAL,MATCH("CTRL_AÑO",P_ID,0))*L386+(1-INDEX(PY_VAL,MATCH("P_USADOS",PY_ID,0),2))*M386+INDEX(PY_VAL,MATCH("P_USADOS",PY_ID,0),2)*N386+IF(P386&gt;0,O386/P386,0)+Q386)</f>
        <v>1</v>
      </c>
      <c r="T386" s="32" t="n">
        <f aca="false">J386*(INDEX(P_VAL,MATCH("CTRL_AÑO",P_ID,0))*L386+(1-INDEX(PY_VAL,MATCH("P_USADOS",PY_ID,0),3))*M386+INDEX(PY_VAL,MATCH("P_USADOS",PY_ID,0),3)*N386+IF(P386&gt;0,O386/P386,0)+Q386)</f>
        <v>1</v>
      </c>
      <c r="U386" s="32" t="n">
        <f aca="false">J386*(INDEX(P_VAL,MATCH("CTRL_AÑO",P_ID,0))*L386+(1-INDEX(PY_VAL,MATCH("P_USADOS",PY_ID,0),4))*M386+INDEX(PY_VAL,MATCH("P_USADOS",PY_ID,0),4)*N386+IF(P386&gt;0,O386/P386,0)+Q386)</f>
        <v>1</v>
      </c>
      <c r="V386" s="32" t="n">
        <f aca="false">J386*(INDEX(P_VAL,MATCH("CTRL_AÑO",P_ID,0))*L386+(1-INDEX(PY_VAL,MATCH("P_USADOS",PY_ID,0),5))*M386+INDEX(PY_VAL,MATCH("P_USADOS",PY_ID,0),5)*N386+IF(P386&gt;0,O386/P386,0)+Q386)</f>
        <v>1</v>
      </c>
      <c r="W386" s="32" t="n">
        <f aca="false">J386*(INDEX(P_VAL,MATCH("CTRL_AÑO",P_ID,0))*L386+(1-INDEX(PY_VAL,MATCH("P_USADOS",PY_ID,0),6))*M386+INDEX(PY_VAL,MATCH("P_USADOS",PY_ID,0),6)*N386+IF(P386&gt;0,O386/P386,0)+Q386)</f>
        <v>1</v>
      </c>
      <c r="X386" s="32" t="n">
        <f aca="false">J386*(INDEX(P_VAL,MATCH("CTRL_AÑO",P_ID,0))*L386+(1-INDEX(PY_VAL,MATCH("P_USADOS",PY_ID,0),7))*M386+INDEX(PY_VAL,MATCH("P_USADOS",PY_ID,0),7)*N386+IF(P386&gt;0,O386/P386,0)+Q386)</f>
        <v>1</v>
      </c>
      <c r="Y386" s="32" t="n">
        <f aca="false">J386*(INDEX(P_VAL,MATCH("CTRL_AÑO",P_ID,0))*L386+(1-INDEX(PY_VAL,MATCH("P_USADOS",PY_ID,0),8))*M386+INDEX(PY_VAL,MATCH("P_USADOS",PY_ID,0),8)*N386+IF(P386&gt;0,O386/P386,0)+Q386)</f>
        <v>1</v>
      </c>
      <c r="Z386" s="32" t="n">
        <f aca="false">J386*(INDEX(P_VAL,MATCH("CTRL_AÑO",P_ID,0))*L386+(1-INDEX(PY_VAL,MATCH("P_USADOS",PY_ID,0),9))*M386+INDEX(PY_VAL,MATCH("P_USADOS",PY_ID,0),9)*N386+IF(P386&gt;0,O386/P386,0)+Q386)</f>
        <v>1</v>
      </c>
      <c r="AA386" s="32" t="n">
        <f aca="false">J386*(INDEX(P_VAL,MATCH("CTRL_AÑO",P_ID,0))*L386+(1-INDEX(PY_VAL,MATCH("P_USADOS",PY_ID,0),10))*M386+INDEX(PY_VAL,MATCH("P_USADOS",PY_ID,0),10)*N386+IF(P386&gt;0,O386/P386,0)+Q386)</f>
        <v>1</v>
      </c>
      <c r="AB386" s="5" t="s">
        <v>1346</v>
      </c>
    </row>
    <row r="387" customFormat="false" ht="15" hidden="false" customHeight="false" outlineLevel="0" collapsed="false">
      <c r="A387" s="4" t="s">
        <v>282</v>
      </c>
      <c r="B387" s="4" t="s">
        <v>1360</v>
      </c>
      <c r="C387" s="4" t="s">
        <v>1361</v>
      </c>
      <c r="D387" s="5" t="s">
        <v>1362</v>
      </c>
      <c r="E387" s="32" t="n">
        <v>1</v>
      </c>
      <c r="F387" s="32" t="s">
        <v>82</v>
      </c>
      <c r="G387" s="33" t="s">
        <v>1344</v>
      </c>
      <c r="H387" s="32" t="s">
        <v>1363</v>
      </c>
      <c r="I387" s="32" t="n">
        <v>1</v>
      </c>
      <c r="J387" s="32" t="n">
        <f aca="false">E387*I387</f>
        <v>1</v>
      </c>
      <c r="K387" s="32"/>
      <c r="L387" s="32" t="n">
        <v>0</v>
      </c>
      <c r="M387" s="32" t="n">
        <v>1</v>
      </c>
      <c r="N387" s="32" t="n">
        <v>1</v>
      </c>
      <c r="O387" s="32" t="n">
        <v>0</v>
      </c>
      <c r="P387" s="32" t="n">
        <v>5</v>
      </c>
      <c r="Q387" s="32" t="n">
        <v>0</v>
      </c>
      <c r="R387" s="32" t="n">
        <f aca="false">J387*(INDEX(P_VAL,MATCH("CTRL_AÑO",P_ID,0))*L387+(1-INDEX(PY_VAL,MATCH("P_USADOS",PY_ID,0),1))*M387+INDEX(PY_VAL,MATCH("P_USADOS",PY_ID,0),1)*N387+IF(P387&gt;0,O387/P387,0)+Q387)</f>
        <v>1</v>
      </c>
      <c r="S387" s="32" t="n">
        <f aca="false">J387*(INDEX(P_VAL,MATCH("CTRL_AÑO",P_ID,0))*L387+(1-INDEX(PY_VAL,MATCH("P_USADOS",PY_ID,0),2))*M387+INDEX(PY_VAL,MATCH("P_USADOS",PY_ID,0),2)*N387+IF(P387&gt;0,O387/P387,0)+Q387)</f>
        <v>1</v>
      </c>
      <c r="T387" s="32" t="n">
        <f aca="false">J387*(INDEX(P_VAL,MATCH("CTRL_AÑO",P_ID,0))*L387+(1-INDEX(PY_VAL,MATCH("P_USADOS",PY_ID,0),3))*M387+INDEX(PY_VAL,MATCH("P_USADOS",PY_ID,0),3)*N387+IF(P387&gt;0,O387/P387,0)+Q387)</f>
        <v>1</v>
      </c>
      <c r="U387" s="32" t="n">
        <f aca="false">J387*(INDEX(P_VAL,MATCH("CTRL_AÑO",P_ID,0))*L387+(1-INDEX(PY_VAL,MATCH("P_USADOS",PY_ID,0),4))*M387+INDEX(PY_VAL,MATCH("P_USADOS",PY_ID,0),4)*N387+IF(P387&gt;0,O387/P387,0)+Q387)</f>
        <v>1</v>
      </c>
      <c r="V387" s="32" t="n">
        <f aca="false">J387*(INDEX(P_VAL,MATCH("CTRL_AÑO",P_ID,0))*L387+(1-INDEX(PY_VAL,MATCH("P_USADOS",PY_ID,0),5))*M387+INDEX(PY_VAL,MATCH("P_USADOS",PY_ID,0),5)*N387+IF(P387&gt;0,O387/P387,0)+Q387)</f>
        <v>1</v>
      </c>
      <c r="W387" s="32" t="n">
        <f aca="false">J387*(INDEX(P_VAL,MATCH("CTRL_AÑO",P_ID,0))*L387+(1-INDEX(PY_VAL,MATCH("P_USADOS",PY_ID,0),6))*M387+INDEX(PY_VAL,MATCH("P_USADOS",PY_ID,0),6)*N387+IF(P387&gt;0,O387/P387,0)+Q387)</f>
        <v>1</v>
      </c>
      <c r="X387" s="32" t="n">
        <f aca="false">J387*(INDEX(P_VAL,MATCH("CTRL_AÑO",P_ID,0))*L387+(1-INDEX(PY_VAL,MATCH("P_USADOS",PY_ID,0),7))*M387+INDEX(PY_VAL,MATCH("P_USADOS",PY_ID,0),7)*N387+IF(P387&gt;0,O387/P387,0)+Q387)</f>
        <v>1</v>
      </c>
      <c r="Y387" s="32" t="n">
        <f aca="false">J387*(INDEX(P_VAL,MATCH("CTRL_AÑO",P_ID,0))*L387+(1-INDEX(PY_VAL,MATCH("P_USADOS",PY_ID,0),8))*M387+INDEX(PY_VAL,MATCH("P_USADOS",PY_ID,0),8)*N387+IF(P387&gt;0,O387/P387,0)+Q387)</f>
        <v>1</v>
      </c>
      <c r="Z387" s="32" t="n">
        <f aca="false">J387*(INDEX(P_VAL,MATCH("CTRL_AÑO",P_ID,0))*L387+(1-INDEX(PY_VAL,MATCH("P_USADOS",PY_ID,0),9))*M387+INDEX(PY_VAL,MATCH("P_USADOS",PY_ID,0),9)*N387+IF(P387&gt;0,O387/P387,0)+Q387)</f>
        <v>1</v>
      </c>
      <c r="AA387" s="32" t="n">
        <f aca="false">J387*(INDEX(P_VAL,MATCH("CTRL_AÑO",P_ID,0))*L387+(1-INDEX(PY_VAL,MATCH("P_USADOS",PY_ID,0),10))*M387+INDEX(PY_VAL,MATCH("P_USADOS",PY_ID,0),10)*N387+IF(P387&gt;0,O387/P387,0)+Q387)</f>
        <v>1</v>
      </c>
      <c r="AB387" s="5" t="s">
        <v>1346</v>
      </c>
    </row>
    <row r="388" customFormat="false" ht="15" hidden="false" customHeight="false" outlineLevel="0" collapsed="false">
      <c r="A388" s="4" t="s">
        <v>282</v>
      </c>
      <c r="B388" s="4" t="s">
        <v>1364</v>
      </c>
      <c r="C388" s="4" t="s">
        <v>1365</v>
      </c>
      <c r="D388" s="5" t="s">
        <v>1366</v>
      </c>
      <c r="E388" s="32" t="n">
        <v>1</v>
      </c>
      <c r="F388" s="32" t="s">
        <v>82</v>
      </c>
      <c r="G388" s="33" t="s">
        <v>1344</v>
      </c>
      <c r="H388" s="32" t="s">
        <v>1367</v>
      </c>
      <c r="I388" s="32" t="n">
        <v>1</v>
      </c>
      <c r="J388" s="32" t="n">
        <f aca="false">E388*I388</f>
        <v>1</v>
      </c>
      <c r="K388" s="32" t="s">
        <v>582</v>
      </c>
      <c r="L388" s="32" t="n">
        <v>0</v>
      </c>
      <c r="M388" s="32" t="n">
        <v>1</v>
      </c>
      <c r="N388" s="32" t="n">
        <v>1</v>
      </c>
      <c r="O388" s="32" t="n">
        <v>0</v>
      </c>
      <c r="P388" s="32" t="n">
        <v>5</v>
      </c>
      <c r="Q388" s="32" t="n">
        <v>0</v>
      </c>
      <c r="R388" s="32" t="n">
        <f aca="false">J388*(INDEX(P_VAL,MATCH("CTRL_AÑO",P_ID,0))*L388+(1-INDEX(PY_VAL,MATCH("P_USADOS",PY_ID,0),1))*M388+INDEX(PY_VAL,MATCH("P_USADOS",PY_ID,0),1)*N388+IF(P388&gt;0,O388/P388,0)+Q388)</f>
        <v>1</v>
      </c>
      <c r="S388" s="32" t="n">
        <f aca="false">J388*(INDEX(P_VAL,MATCH("CTRL_AÑO",P_ID,0))*L388+(1-INDEX(PY_VAL,MATCH("P_USADOS",PY_ID,0),2))*M388+INDEX(PY_VAL,MATCH("P_USADOS",PY_ID,0),2)*N388+IF(P388&gt;0,O388/P388,0)+Q388)</f>
        <v>1</v>
      </c>
      <c r="T388" s="32" t="n">
        <f aca="false">J388*(INDEX(P_VAL,MATCH("CTRL_AÑO",P_ID,0))*L388+(1-INDEX(PY_VAL,MATCH("P_USADOS",PY_ID,0),3))*M388+INDEX(PY_VAL,MATCH("P_USADOS",PY_ID,0),3)*N388+IF(P388&gt;0,O388/P388,0)+Q388)</f>
        <v>1</v>
      </c>
      <c r="U388" s="32" t="n">
        <f aca="false">J388*(INDEX(P_VAL,MATCH("CTRL_AÑO",P_ID,0))*L388+(1-INDEX(PY_VAL,MATCH("P_USADOS",PY_ID,0),4))*M388+INDEX(PY_VAL,MATCH("P_USADOS",PY_ID,0),4)*N388+IF(P388&gt;0,O388/P388,0)+Q388)</f>
        <v>1</v>
      </c>
      <c r="V388" s="32" t="n">
        <f aca="false">J388*(INDEX(P_VAL,MATCH("CTRL_AÑO",P_ID,0))*L388+(1-INDEX(PY_VAL,MATCH("P_USADOS",PY_ID,0),5))*M388+INDEX(PY_VAL,MATCH("P_USADOS",PY_ID,0),5)*N388+IF(P388&gt;0,O388/P388,0)+Q388)</f>
        <v>1</v>
      </c>
      <c r="W388" s="32" t="n">
        <f aca="false">J388*(INDEX(P_VAL,MATCH("CTRL_AÑO",P_ID,0))*L388+(1-INDEX(PY_VAL,MATCH("P_USADOS",PY_ID,0),6))*M388+INDEX(PY_VAL,MATCH("P_USADOS",PY_ID,0),6)*N388+IF(P388&gt;0,O388/P388,0)+Q388)</f>
        <v>1</v>
      </c>
      <c r="X388" s="32" t="n">
        <f aca="false">J388*(INDEX(P_VAL,MATCH("CTRL_AÑO",P_ID,0))*L388+(1-INDEX(PY_VAL,MATCH("P_USADOS",PY_ID,0),7))*M388+INDEX(PY_VAL,MATCH("P_USADOS",PY_ID,0),7)*N388+IF(P388&gt;0,O388/P388,0)+Q388)</f>
        <v>1</v>
      </c>
      <c r="Y388" s="32" t="n">
        <f aca="false">J388*(INDEX(P_VAL,MATCH("CTRL_AÑO",P_ID,0))*L388+(1-INDEX(PY_VAL,MATCH("P_USADOS",PY_ID,0),8))*M388+INDEX(PY_VAL,MATCH("P_USADOS",PY_ID,0),8)*N388+IF(P388&gt;0,O388/P388,0)+Q388)</f>
        <v>1</v>
      </c>
      <c r="Z388" s="32" t="n">
        <f aca="false">J388*(INDEX(P_VAL,MATCH("CTRL_AÑO",P_ID,0))*L388+(1-INDEX(PY_VAL,MATCH("P_USADOS",PY_ID,0),9))*M388+INDEX(PY_VAL,MATCH("P_USADOS",PY_ID,0),9)*N388+IF(P388&gt;0,O388/P388,0)+Q388)</f>
        <v>1</v>
      </c>
      <c r="AA388" s="32" t="n">
        <f aca="false">J388*(INDEX(P_VAL,MATCH("CTRL_AÑO",P_ID,0))*L388+(1-INDEX(PY_VAL,MATCH("P_USADOS",PY_ID,0),10))*M388+INDEX(PY_VAL,MATCH("P_USADOS",PY_ID,0),10)*N388+IF(P388&gt;0,O388/P388,0)+Q388)</f>
        <v>1</v>
      </c>
      <c r="AB388" s="5" t="s">
        <v>1346</v>
      </c>
    </row>
    <row r="389" customFormat="false" ht="15" hidden="false" customHeight="false" outlineLevel="0" collapsed="false">
      <c r="A389" s="4" t="s">
        <v>282</v>
      </c>
      <c r="B389" s="4" t="s">
        <v>1368</v>
      </c>
      <c r="C389" s="4" t="s">
        <v>1369</v>
      </c>
      <c r="D389" s="5" t="s">
        <v>1370</v>
      </c>
      <c r="E389" s="32" t="n">
        <v>1</v>
      </c>
      <c r="F389" s="32" t="s">
        <v>82</v>
      </c>
      <c r="G389" s="33" t="s">
        <v>1344</v>
      </c>
      <c r="H389" s="32" t="s">
        <v>1371</v>
      </c>
      <c r="I389" s="32" t="n">
        <v>1</v>
      </c>
      <c r="J389" s="32" t="n">
        <f aca="false">E389*I389</f>
        <v>1</v>
      </c>
      <c r="K389" s="32" t="s">
        <v>582</v>
      </c>
      <c r="L389" s="32" t="n">
        <v>0</v>
      </c>
      <c r="M389" s="32" t="n">
        <v>1</v>
      </c>
      <c r="N389" s="32" t="n">
        <v>1</v>
      </c>
      <c r="O389" s="32" t="n">
        <v>0</v>
      </c>
      <c r="P389" s="32" t="n">
        <v>5</v>
      </c>
      <c r="Q389" s="32" t="n">
        <v>0</v>
      </c>
      <c r="R389" s="32" t="n">
        <f aca="false">J389*(INDEX(P_VAL,MATCH("CTRL_AÑO",P_ID,0))*L389+(1-INDEX(PY_VAL,MATCH("P_USADOS",PY_ID,0),1))*M389+INDEX(PY_VAL,MATCH("P_USADOS",PY_ID,0),1)*N389+IF(P389&gt;0,O389/P389,0)+Q389)</f>
        <v>1</v>
      </c>
      <c r="S389" s="32" t="n">
        <f aca="false">J389*(INDEX(P_VAL,MATCH("CTRL_AÑO",P_ID,0))*L389+(1-INDEX(PY_VAL,MATCH("P_USADOS",PY_ID,0),2))*M389+INDEX(PY_VAL,MATCH("P_USADOS",PY_ID,0),2)*N389+IF(P389&gt;0,O389/P389,0)+Q389)</f>
        <v>1</v>
      </c>
      <c r="T389" s="32" t="n">
        <f aca="false">J389*(INDEX(P_VAL,MATCH("CTRL_AÑO",P_ID,0))*L389+(1-INDEX(PY_VAL,MATCH("P_USADOS",PY_ID,0),3))*M389+INDEX(PY_VAL,MATCH("P_USADOS",PY_ID,0),3)*N389+IF(P389&gt;0,O389/P389,0)+Q389)</f>
        <v>1</v>
      </c>
      <c r="U389" s="32" t="n">
        <f aca="false">J389*(INDEX(P_VAL,MATCH("CTRL_AÑO",P_ID,0))*L389+(1-INDEX(PY_VAL,MATCH("P_USADOS",PY_ID,0),4))*M389+INDEX(PY_VAL,MATCH("P_USADOS",PY_ID,0),4)*N389+IF(P389&gt;0,O389/P389,0)+Q389)</f>
        <v>1</v>
      </c>
      <c r="V389" s="32" t="n">
        <f aca="false">J389*(INDEX(P_VAL,MATCH("CTRL_AÑO",P_ID,0))*L389+(1-INDEX(PY_VAL,MATCH("P_USADOS",PY_ID,0),5))*M389+INDEX(PY_VAL,MATCH("P_USADOS",PY_ID,0),5)*N389+IF(P389&gt;0,O389/P389,0)+Q389)</f>
        <v>1</v>
      </c>
      <c r="W389" s="32" t="n">
        <f aca="false">J389*(INDEX(P_VAL,MATCH("CTRL_AÑO",P_ID,0))*L389+(1-INDEX(PY_VAL,MATCH("P_USADOS",PY_ID,0),6))*M389+INDEX(PY_VAL,MATCH("P_USADOS",PY_ID,0),6)*N389+IF(P389&gt;0,O389/P389,0)+Q389)</f>
        <v>1</v>
      </c>
      <c r="X389" s="32" t="n">
        <f aca="false">J389*(INDEX(P_VAL,MATCH("CTRL_AÑO",P_ID,0))*L389+(1-INDEX(PY_VAL,MATCH("P_USADOS",PY_ID,0),7))*M389+INDEX(PY_VAL,MATCH("P_USADOS",PY_ID,0),7)*N389+IF(P389&gt;0,O389/P389,0)+Q389)</f>
        <v>1</v>
      </c>
      <c r="Y389" s="32" t="n">
        <f aca="false">J389*(INDEX(P_VAL,MATCH("CTRL_AÑO",P_ID,0))*L389+(1-INDEX(PY_VAL,MATCH("P_USADOS",PY_ID,0),8))*M389+INDEX(PY_VAL,MATCH("P_USADOS",PY_ID,0),8)*N389+IF(P389&gt;0,O389/P389,0)+Q389)</f>
        <v>1</v>
      </c>
      <c r="Z389" s="32" t="n">
        <f aca="false">J389*(INDEX(P_VAL,MATCH("CTRL_AÑO",P_ID,0))*L389+(1-INDEX(PY_VAL,MATCH("P_USADOS",PY_ID,0),9))*M389+INDEX(PY_VAL,MATCH("P_USADOS",PY_ID,0),9)*N389+IF(P389&gt;0,O389/P389,0)+Q389)</f>
        <v>1</v>
      </c>
      <c r="AA389" s="32" t="n">
        <f aca="false">J389*(INDEX(P_VAL,MATCH("CTRL_AÑO",P_ID,0))*L389+(1-INDEX(PY_VAL,MATCH("P_USADOS",PY_ID,0),10))*M389+INDEX(PY_VAL,MATCH("P_USADOS",PY_ID,0),10)*N389+IF(P389&gt;0,O389/P389,0)+Q389)</f>
        <v>1</v>
      </c>
      <c r="AB389" s="5" t="s">
        <v>1346</v>
      </c>
    </row>
    <row r="390" customFormat="false" ht="15" hidden="false" customHeight="false" outlineLevel="0" collapsed="false">
      <c r="A390" s="4" t="s">
        <v>282</v>
      </c>
      <c r="B390" s="4" t="s">
        <v>1372</v>
      </c>
      <c r="C390" s="4" t="s">
        <v>1373</v>
      </c>
      <c r="D390" s="5" t="s">
        <v>1374</v>
      </c>
      <c r="E390" s="32" t="n">
        <v>1</v>
      </c>
      <c r="F390" s="32" t="s">
        <v>82</v>
      </c>
      <c r="G390" s="33" t="s">
        <v>1344</v>
      </c>
      <c r="H390" s="32" t="s">
        <v>688</v>
      </c>
      <c r="I390" s="32" t="n">
        <v>1</v>
      </c>
      <c r="J390" s="32" t="n">
        <f aca="false">E390*I390</f>
        <v>1</v>
      </c>
      <c r="K390" s="32" t="s">
        <v>689</v>
      </c>
      <c r="L390" s="32" t="n">
        <v>0</v>
      </c>
      <c r="M390" s="32" t="n">
        <v>1</v>
      </c>
      <c r="N390" s="32" t="n">
        <v>1</v>
      </c>
      <c r="O390" s="32" t="n">
        <v>0</v>
      </c>
      <c r="P390" s="32" t="n">
        <v>5</v>
      </c>
      <c r="Q390" s="32" t="n">
        <v>0</v>
      </c>
      <c r="R390" s="32" t="n">
        <f aca="false">J390*(INDEX(P_VAL,MATCH("CTRL_AÑO",P_ID,0))*L390+(1-INDEX(PY_VAL,MATCH("P_USADOS",PY_ID,0),1))*M390+INDEX(PY_VAL,MATCH("P_USADOS",PY_ID,0),1)*N390+IF(P390&gt;0,O390/P390,0)+Q390)</f>
        <v>1</v>
      </c>
      <c r="S390" s="32" t="n">
        <f aca="false">J390*(INDEX(P_VAL,MATCH("CTRL_AÑO",P_ID,0))*L390+(1-INDEX(PY_VAL,MATCH("P_USADOS",PY_ID,0),2))*M390+INDEX(PY_VAL,MATCH("P_USADOS",PY_ID,0),2)*N390+IF(P390&gt;0,O390/P390,0)+Q390)</f>
        <v>1</v>
      </c>
      <c r="T390" s="32" t="n">
        <f aca="false">J390*(INDEX(P_VAL,MATCH("CTRL_AÑO",P_ID,0))*L390+(1-INDEX(PY_VAL,MATCH("P_USADOS",PY_ID,0),3))*M390+INDEX(PY_VAL,MATCH("P_USADOS",PY_ID,0),3)*N390+IF(P390&gt;0,O390/P390,0)+Q390)</f>
        <v>1</v>
      </c>
      <c r="U390" s="32" t="n">
        <f aca="false">J390*(INDEX(P_VAL,MATCH("CTRL_AÑO",P_ID,0))*L390+(1-INDEX(PY_VAL,MATCH("P_USADOS",PY_ID,0),4))*M390+INDEX(PY_VAL,MATCH("P_USADOS",PY_ID,0),4)*N390+IF(P390&gt;0,O390/P390,0)+Q390)</f>
        <v>1</v>
      </c>
      <c r="V390" s="32" t="n">
        <f aca="false">J390*(INDEX(P_VAL,MATCH("CTRL_AÑO",P_ID,0))*L390+(1-INDEX(PY_VAL,MATCH("P_USADOS",PY_ID,0),5))*M390+INDEX(PY_VAL,MATCH("P_USADOS",PY_ID,0),5)*N390+IF(P390&gt;0,O390/P390,0)+Q390)</f>
        <v>1</v>
      </c>
      <c r="W390" s="32" t="n">
        <f aca="false">J390*(INDEX(P_VAL,MATCH("CTRL_AÑO",P_ID,0))*L390+(1-INDEX(PY_VAL,MATCH("P_USADOS",PY_ID,0),6))*M390+INDEX(PY_VAL,MATCH("P_USADOS",PY_ID,0),6)*N390+IF(P390&gt;0,O390/P390,0)+Q390)</f>
        <v>1</v>
      </c>
      <c r="X390" s="32" t="n">
        <f aca="false">J390*(INDEX(P_VAL,MATCH("CTRL_AÑO",P_ID,0))*L390+(1-INDEX(PY_VAL,MATCH("P_USADOS",PY_ID,0),7))*M390+INDEX(PY_VAL,MATCH("P_USADOS",PY_ID,0),7)*N390+IF(P390&gt;0,O390/P390,0)+Q390)</f>
        <v>1</v>
      </c>
      <c r="Y390" s="32" t="n">
        <f aca="false">J390*(INDEX(P_VAL,MATCH("CTRL_AÑO",P_ID,0))*L390+(1-INDEX(PY_VAL,MATCH("P_USADOS",PY_ID,0),8))*M390+INDEX(PY_VAL,MATCH("P_USADOS",PY_ID,0),8)*N390+IF(P390&gt;0,O390/P390,0)+Q390)</f>
        <v>1</v>
      </c>
      <c r="Z390" s="32" t="n">
        <f aca="false">J390*(INDEX(P_VAL,MATCH("CTRL_AÑO",P_ID,0))*L390+(1-INDEX(PY_VAL,MATCH("P_USADOS",PY_ID,0),9))*M390+INDEX(PY_VAL,MATCH("P_USADOS",PY_ID,0),9)*N390+IF(P390&gt;0,O390/P390,0)+Q390)</f>
        <v>1</v>
      </c>
      <c r="AA390" s="32" t="n">
        <f aca="false">J390*(INDEX(P_VAL,MATCH("CTRL_AÑO",P_ID,0))*L390+(1-INDEX(PY_VAL,MATCH("P_USADOS",PY_ID,0),10))*M390+INDEX(PY_VAL,MATCH("P_USADOS",PY_ID,0),10)*N390+IF(P390&gt;0,O390/P390,0)+Q390)</f>
        <v>1</v>
      </c>
      <c r="AB390" s="5" t="s">
        <v>1346</v>
      </c>
    </row>
    <row r="391" customFormat="false" ht="15" hidden="false" customHeight="false" outlineLevel="0" collapsed="false">
      <c r="A391" s="4" t="s">
        <v>282</v>
      </c>
      <c r="B391" s="4" t="s">
        <v>1375</v>
      </c>
      <c r="C391" s="4" t="s">
        <v>1376</v>
      </c>
      <c r="D391" s="5" t="s">
        <v>1377</v>
      </c>
      <c r="E391" s="32" t="n">
        <v>1</v>
      </c>
      <c r="F391" s="32" t="s">
        <v>82</v>
      </c>
      <c r="G391" s="33" t="s">
        <v>1344</v>
      </c>
      <c r="H391" s="32" t="s">
        <v>514</v>
      </c>
      <c r="I391" s="32" t="n">
        <v>1</v>
      </c>
      <c r="J391" s="32" t="n">
        <f aca="false">E391*I391</f>
        <v>1</v>
      </c>
      <c r="K391" s="32"/>
      <c r="L391" s="32" t="n">
        <v>0</v>
      </c>
      <c r="M391" s="32" t="n">
        <v>1</v>
      </c>
      <c r="N391" s="32" t="n">
        <v>1</v>
      </c>
      <c r="O391" s="32" t="n">
        <v>0</v>
      </c>
      <c r="P391" s="32" t="n">
        <v>5</v>
      </c>
      <c r="Q391" s="32" t="n">
        <v>0</v>
      </c>
      <c r="R391" s="32" t="n">
        <f aca="false">J391*(INDEX(P_VAL,MATCH("CTRL_AÑO",P_ID,0))*L391+(1-INDEX(PY_VAL,MATCH("P_USADOS",PY_ID,0),1))*M391+INDEX(PY_VAL,MATCH("P_USADOS",PY_ID,0),1)*N391+IF(P391&gt;0,O391/P391,0)+Q391)</f>
        <v>1</v>
      </c>
      <c r="S391" s="32" t="n">
        <f aca="false">J391*(INDEX(P_VAL,MATCH("CTRL_AÑO",P_ID,0))*L391+(1-INDEX(PY_VAL,MATCH("P_USADOS",PY_ID,0),2))*M391+INDEX(PY_VAL,MATCH("P_USADOS",PY_ID,0),2)*N391+IF(P391&gt;0,O391/P391,0)+Q391)</f>
        <v>1</v>
      </c>
      <c r="T391" s="32" t="n">
        <f aca="false">J391*(INDEX(P_VAL,MATCH("CTRL_AÑO",P_ID,0))*L391+(1-INDEX(PY_VAL,MATCH("P_USADOS",PY_ID,0),3))*M391+INDEX(PY_VAL,MATCH("P_USADOS",PY_ID,0),3)*N391+IF(P391&gt;0,O391/P391,0)+Q391)</f>
        <v>1</v>
      </c>
      <c r="U391" s="32" t="n">
        <f aca="false">J391*(INDEX(P_VAL,MATCH("CTRL_AÑO",P_ID,0))*L391+(1-INDEX(PY_VAL,MATCH("P_USADOS",PY_ID,0),4))*M391+INDEX(PY_VAL,MATCH("P_USADOS",PY_ID,0),4)*N391+IF(P391&gt;0,O391/P391,0)+Q391)</f>
        <v>1</v>
      </c>
      <c r="V391" s="32" t="n">
        <f aca="false">J391*(INDEX(P_VAL,MATCH("CTRL_AÑO",P_ID,0))*L391+(1-INDEX(PY_VAL,MATCH("P_USADOS",PY_ID,0),5))*M391+INDEX(PY_VAL,MATCH("P_USADOS",PY_ID,0),5)*N391+IF(P391&gt;0,O391/P391,0)+Q391)</f>
        <v>1</v>
      </c>
      <c r="W391" s="32" t="n">
        <f aca="false">J391*(INDEX(P_VAL,MATCH("CTRL_AÑO",P_ID,0))*L391+(1-INDEX(PY_VAL,MATCH("P_USADOS",PY_ID,0),6))*M391+INDEX(PY_VAL,MATCH("P_USADOS",PY_ID,0),6)*N391+IF(P391&gt;0,O391/P391,0)+Q391)</f>
        <v>1</v>
      </c>
      <c r="X391" s="32" t="n">
        <f aca="false">J391*(INDEX(P_VAL,MATCH("CTRL_AÑO",P_ID,0))*L391+(1-INDEX(PY_VAL,MATCH("P_USADOS",PY_ID,0),7))*M391+INDEX(PY_VAL,MATCH("P_USADOS",PY_ID,0),7)*N391+IF(P391&gt;0,O391/P391,0)+Q391)</f>
        <v>1</v>
      </c>
      <c r="Y391" s="32" t="n">
        <f aca="false">J391*(INDEX(P_VAL,MATCH("CTRL_AÑO",P_ID,0))*L391+(1-INDEX(PY_VAL,MATCH("P_USADOS",PY_ID,0),8))*M391+INDEX(PY_VAL,MATCH("P_USADOS",PY_ID,0),8)*N391+IF(P391&gt;0,O391/P391,0)+Q391)</f>
        <v>1</v>
      </c>
      <c r="Z391" s="32" t="n">
        <f aca="false">J391*(INDEX(P_VAL,MATCH("CTRL_AÑO",P_ID,0))*L391+(1-INDEX(PY_VAL,MATCH("P_USADOS",PY_ID,0),9))*M391+INDEX(PY_VAL,MATCH("P_USADOS",PY_ID,0),9)*N391+IF(P391&gt;0,O391/P391,0)+Q391)</f>
        <v>1</v>
      </c>
      <c r="AA391" s="32" t="n">
        <f aca="false">J391*(INDEX(P_VAL,MATCH("CTRL_AÑO",P_ID,0))*L391+(1-INDEX(PY_VAL,MATCH("P_USADOS",PY_ID,0),10))*M391+INDEX(PY_VAL,MATCH("P_USADOS",PY_ID,0),10)*N391+IF(P391&gt;0,O391/P391,0)+Q391)</f>
        <v>1</v>
      </c>
      <c r="AB391" s="5" t="s">
        <v>1346</v>
      </c>
    </row>
    <row r="392" customFormat="false" ht="15" hidden="false" customHeight="false" outlineLevel="0" collapsed="false">
      <c r="A392" s="4" t="s">
        <v>282</v>
      </c>
      <c r="B392" s="4" t="s">
        <v>1378</v>
      </c>
      <c r="C392" s="4" t="s">
        <v>1379</v>
      </c>
      <c r="D392" s="5" t="s">
        <v>1380</v>
      </c>
      <c r="E392" s="32" t="n">
        <v>1</v>
      </c>
      <c r="F392" s="32" t="s">
        <v>82</v>
      </c>
      <c r="G392" s="33" t="s">
        <v>1344</v>
      </c>
      <c r="H392" s="32" t="s">
        <v>1381</v>
      </c>
      <c r="I392" s="32" t="n">
        <v>1</v>
      </c>
      <c r="J392" s="32" t="n">
        <f aca="false">E392*I392</f>
        <v>1</v>
      </c>
      <c r="K392" s="32"/>
      <c r="L392" s="32" t="n">
        <v>0</v>
      </c>
      <c r="M392" s="32" t="n">
        <v>0</v>
      </c>
      <c r="N392" s="32" t="n">
        <v>0</v>
      </c>
      <c r="O392" s="32" t="n">
        <v>1</v>
      </c>
      <c r="P392" s="32" t="n">
        <v>5</v>
      </c>
      <c r="Q392" s="32" t="n">
        <v>0</v>
      </c>
      <c r="R392" s="32" t="n">
        <f aca="false">J392*(INDEX(P_VAL,MATCH("CTRL_AÑO",P_ID,0))*L392+(1-INDEX(PY_VAL,MATCH("P_USADOS",PY_ID,0),1))*M392+INDEX(PY_VAL,MATCH("P_USADOS",PY_ID,0),1)*N392+IF(P392&gt;0,O392/P392,0)+Q392)</f>
        <v>0.2</v>
      </c>
      <c r="S392" s="32" t="n">
        <f aca="false">J392*(INDEX(P_VAL,MATCH("CTRL_AÑO",P_ID,0))*L392+(1-INDEX(PY_VAL,MATCH("P_USADOS",PY_ID,0),2))*M392+INDEX(PY_VAL,MATCH("P_USADOS",PY_ID,0),2)*N392+IF(P392&gt;0,O392/P392,0)+Q392)</f>
        <v>0.2</v>
      </c>
      <c r="T392" s="32" t="n">
        <f aca="false">J392*(INDEX(P_VAL,MATCH("CTRL_AÑO",P_ID,0))*L392+(1-INDEX(PY_VAL,MATCH("P_USADOS",PY_ID,0),3))*M392+INDEX(PY_VAL,MATCH("P_USADOS",PY_ID,0),3)*N392+IF(P392&gt;0,O392/P392,0)+Q392)</f>
        <v>0.2</v>
      </c>
      <c r="U392" s="32" t="n">
        <f aca="false">J392*(INDEX(P_VAL,MATCH("CTRL_AÑO",P_ID,0))*L392+(1-INDEX(PY_VAL,MATCH("P_USADOS",PY_ID,0),4))*M392+INDEX(PY_VAL,MATCH("P_USADOS",PY_ID,0),4)*N392+IF(P392&gt;0,O392/P392,0)+Q392)</f>
        <v>0.2</v>
      </c>
      <c r="V392" s="32" t="n">
        <f aca="false">J392*(INDEX(P_VAL,MATCH("CTRL_AÑO",P_ID,0))*L392+(1-INDEX(PY_VAL,MATCH("P_USADOS",PY_ID,0),5))*M392+INDEX(PY_VAL,MATCH("P_USADOS",PY_ID,0),5)*N392+IF(P392&gt;0,O392/P392,0)+Q392)</f>
        <v>0.2</v>
      </c>
      <c r="W392" s="32" t="n">
        <f aca="false">J392*(INDEX(P_VAL,MATCH("CTRL_AÑO",P_ID,0))*L392+(1-INDEX(PY_VAL,MATCH("P_USADOS",PY_ID,0),6))*M392+INDEX(PY_VAL,MATCH("P_USADOS",PY_ID,0),6)*N392+IF(P392&gt;0,O392/P392,0)+Q392)</f>
        <v>0.2</v>
      </c>
      <c r="X392" s="32" t="n">
        <f aca="false">J392*(INDEX(P_VAL,MATCH("CTRL_AÑO",P_ID,0))*L392+(1-INDEX(PY_VAL,MATCH("P_USADOS",PY_ID,0),7))*M392+INDEX(PY_VAL,MATCH("P_USADOS",PY_ID,0),7)*N392+IF(P392&gt;0,O392/P392,0)+Q392)</f>
        <v>0.2</v>
      </c>
      <c r="Y392" s="32" t="n">
        <f aca="false">J392*(INDEX(P_VAL,MATCH("CTRL_AÑO",P_ID,0))*L392+(1-INDEX(PY_VAL,MATCH("P_USADOS",PY_ID,0),8))*M392+INDEX(PY_VAL,MATCH("P_USADOS",PY_ID,0),8)*N392+IF(P392&gt;0,O392/P392,0)+Q392)</f>
        <v>0.2</v>
      </c>
      <c r="Z392" s="32" t="n">
        <f aca="false">J392*(INDEX(P_VAL,MATCH("CTRL_AÑO",P_ID,0))*L392+(1-INDEX(PY_VAL,MATCH("P_USADOS",PY_ID,0),9))*M392+INDEX(PY_VAL,MATCH("P_USADOS",PY_ID,0),9)*N392+IF(P392&gt;0,O392/P392,0)+Q392)</f>
        <v>0.2</v>
      </c>
      <c r="AA392" s="32" t="n">
        <f aca="false">J392*(INDEX(P_VAL,MATCH("CTRL_AÑO",P_ID,0))*L392+(1-INDEX(PY_VAL,MATCH("P_USADOS",PY_ID,0),10))*M392+INDEX(PY_VAL,MATCH("P_USADOS",PY_ID,0),10)*N392+IF(P392&gt;0,O392/P392,0)+Q392)</f>
        <v>0.2</v>
      </c>
      <c r="AB392" s="5" t="s">
        <v>1346</v>
      </c>
    </row>
    <row r="393" customFormat="false" ht="15" hidden="false" customHeight="false" outlineLevel="0" collapsed="false">
      <c r="A393" s="4" t="s">
        <v>282</v>
      </c>
      <c r="B393" s="4" t="s">
        <v>1382</v>
      </c>
      <c r="C393" s="4" t="s">
        <v>1383</v>
      </c>
      <c r="D393" s="5" t="s">
        <v>1384</v>
      </c>
      <c r="E393" s="32" t="n">
        <v>1</v>
      </c>
      <c r="F393" s="32" t="s">
        <v>73</v>
      </c>
      <c r="G393" s="33" t="s">
        <v>1385</v>
      </c>
      <c r="H393" s="32"/>
      <c r="I393" s="32"/>
      <c r="J393" s="32"/>
      <c r="K393" s="32"/>
      <c r="L393" s="32" t="n">
        <v>0</v>
      </c>
      <c r="M393" s="32" t="n">
        <v>0</v>
      </c>
      <c r="N393" s="32" t="n">
        <v>0</v>
      </c>
      <c r="O393" s="32" t="n">
        <v>0</v>
      </c>
      <c r="P393" s="32" t="n">
        <v>0</v>
      </c>
      <c r="Q393" s="32" t="n">
        <v>0</v>
      </c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5" t="s">
        <v>1386</v>
      </c>
    </row>
    <row r="394" customFormat="false" ht="15" hidden="false" customHeight="false" outlineLevel="0" collapsed="false">
      <c r="A394" s="4" t="s">
        <v>282</v>
      </c>
      <c r="B394" s="4"/>
      <c r="C394" s="4"/>
      <c r="D394" s="5" t="s">
        <v>1387</v>
      </c>
      <c r="E394" s="32" t="n">
        <v>1</v>
      </c>
      <c r="F394" s="32" t="s">
        <v>82</v>
      </c>
      <c r="G394" s="33" t="s">
        <v>477</v>
      </c>
      <c r="H394" s="32" t="s">
        <v>519</v>
      </c>
      <c r="I394" s="32" t="n">
        <v>1</v>
      </c>
      <c r="J394" s="32" t="n">
        <f aca="false">E394*I394</f>
        <v>1</v>
      </c>
      <c r="K394" s="32"/>
      <c r="L394" s="32" t="n">
        <v>0</v>
      </c>
      <c r="M394" s="32" t="n">
        <v>0</v>
      </c>
      <c r="N394" s="32" t="n">
        <v>0</v>
      </c>
      <c r="O394" s="32" t="n">
        <v>0</v>
      </c>
      <c r="P394" s="32" t="n">
        <v>0</v>
      </c>
      <c r="Q394" s="32" t="n">
        <f aca="false">INDEX(P_VAL,MATCH("REPO_VALV",P_ID,0))</f>
        <v>0.03</v>
      </c>
      <c r="R394" s="32" t="n">
        <f aca="false">J394*(INDEX(P_VAL,MATCH("CTRL_AÑO",P_ID,0))*L394+(1-INDEX(PY_VAL,MATCH("P_USADOS",PY_ID,0),1))*M394+INDEX(PY_VAL,MATCH("P_USADOS",PY_ID,0),1)*N394+IF(P394&gt;0,O394/P394,0)+Q394)</f>
        <v>0.03</v>
      </c>
      <c r="S394" s="32" t="n">
        <f aca="false">J394*(INDEX(P_VAL,MATCH("CTRL_AÑO",P_ID,0))*L394+(1-INDEX(PY_VAL,MATCH("P_USADOS",PY_ID,0),2))*M394+INDEX(PY_VAL,MATCH("P_USADOS",PY_ID,0),2)*N394+IF(P394&gt;0,O394/P394,0)+Q394)</f>
        <v>0.03</v>
      </c>
      <c r="T394" s="32" t="n">
        <f aca="false">J394*(INDEX(P_VAL,MATCH("CTRL_AÑO",P_ID,0))*L394+(1-INDEX(PY_VAL,MATCH("P_USADOS",PY_ID,0),3))*M394+INDEX(PY_VAL,MATCH("P_USADOS",PY_ID,0),3)*N394+IF(P394&gt;0,O394/P394,0)+Q394)</f>
        <v>0.03</v>
      </c>
      <c r="U394" s="32" t="n">
        <f aca="false">J394*(INDEX(P_VAL,MATCH("CTRL_AÑO",P_ID,0))*L394+(1-INDEX(PY_VAL,MATCH("P_USADOS",PY_ID,0),4))*M394+INDEX(PY_VAL,MATCH("P_USADOS",PY_ID,0),4)*N394+IF(P394&gt;0,O394/P394,0)+Q394)</f>
        <v>0.03</v>
      </c>
      <c r="V394" s="32" t="n">
        <f aca="false">J394*(INDEX(P_VAL,MATCH("CTRL_AÑO",P_ID,0))*L394+(1-INDEX(PY_VAL,MATCH("P_USADOS",PY_ID,0),5))*M394+INDEX(PY_VAL,MATCH("P_USADOS",PY_ID,0),5)*N394+IF(P394&gt;0,O394/P394,0)+Q394)</f>
        <v>0.03</v>
      </c>
      <c r="W394" s="32" t="n">
        <f aca="false">J394*(INDEX(P_VAL,MATCH("CTRL_AÑO",P_ID,0))*L394+(1-INDEX(PY_VAL,MATCH("P_USADOS",PY_ID,0),6))*M394+INDEX(PY_VAL,MATCH("P_USADOS",PY_ID,0),6)*N394+IF(P394&gt;0,O394/P394,0)+Q394)</f>
        <v>0.03</v>
      </c>
      <c r="X394" s="32" t="n">
        <f aca="false">J394*(INDEX(P_VAL,MATCH("CTRL_AÑO",P_ID,0))*L394+(1-INDEX(PY_VAL,MATCH("P_USADOS",PY_ID,0),7))*M394+INDEX(PY_VAL,MATCH("P_USADOS",PY_ID,0),7)*N394+IF(P394&gt;0,O394/P394,0)+Q394)</f>
        <v>0.03</v>
      </c>
      <c r="Y394" s="32" t="n">
        <f aca="false">J394*(INDEX(P_VAL,MATCH("CTRL_AÑO",P_ID,0))*L394+(1-INDEX(PY_VAL,MATCH("P_USADOS",PY_ID,0),8))*M394+INDEX(PY_VAL,MATCH("P_USADOS",PY_ID,0),8)*N394+IF(P394&gt;0,O394/P394,0)+Q394)</f>
        <v>0.03</v>
      </c>
      <c r="Z394" s="32" t="n">
        <f aca="false">J394*(INDEX(P_VAL,MATCH("CTRL_AÑO",P_ID,0))*L394+(1-INDEX(PY_VAL,MATCH("P_USADOS",PY_ID,0),9))*M394+INDEX(PY_VAL,MATCH("P_USADOS",PY_ID,0),9)*N394+IF(P394&gt;0,O394/P394,0)+Q394)</f>
        <v>0.03</v>
      </c>
      <c r="AA394" s="32" t="n">
        <f aca="false">J394*(INDEX(P_VAL,MATCH("CTRL_AÑO",P_ID,0))*L394+(1-INDEX(PY_VAL,MATCH("P_USADOS",PY_ID,0),10))*M394+INDEX(PY_VAL,MATCH("P_USADOS",PY_ID,0),10)*N394+IF(P394&gt;0,O394/P394,0)+Q394)</f>
        <v>0.03</v>
      </c>
      <c r="AB394" s="5" t="s">
        <v>1388</v>
      </c>
    </row>
    <row r="395" customFormat="false" ht="15" hidden="false" customHeight="false" outlineLevel="0" collapsed="false">
      <c r="A395" s="4" t="s">
        <v>282</v>
      </c>
      <c r="B395" s="4"/>
      <c r="C395" s="4"/>
      <c r="D395" s="5" t="s">
        <v>1389</v>
      </c>
      <c r="E395" s="32" t="n">
        <v>1</v>
      </c>
      <c r="F395" s="32" t="s">
        <v>82</v>
      </c>
      <c r="G395" s="33" t="s">
        <v>477</v>
      </c>
      <c r="H395" s="32" t="s">
        <v>510</v>
      </c>
      <c r="I395" s="32" t="n">
        <v>1</v>
      </c>
      <c r="J395" s="32" t="n">
        <f aca="false">E395*I395</f>
        <v>1</v>
      </c>
      <c r="K395" s="32"/>
      <c r="L395" s="32" t="n">
        <v>0</v>
      </c>
      <c r="M395" s="32" t="n">
        <v>0</v>
      </c>
      <c r="N395" s="32" t="n">
        <v>0</v>
      </c>
      <c r="O395" s="32" t="n">
        <v>0</v>
      </c>
      <c r="P395" s="32" t="n">
        <v>0</v>
      </c>
      <c r="Q395" s="32" t="n">
        <f aca="false">INDEX(P_VAL,MATCH("REPO_MANO",P_ID,0))</f>
        <v>0.08</v>
      </c>
      <c r="R395" s="32" t="n">
        <f aca="false">J395*(INDEX(P_VAL,MATCH("CTRL_AÑO",P_ID,0))*L395+(1-INDEX(PY_VAL,MATCH("P_USADOS",PY_ID,0),1))*M395+INDEX(PY_VAL,MATCH("P_USADOS",PY_ID,0),1)*N395+IF(P395&gt;0,O395/P395,0)+Q395)</f>
        <v>0.08</v>
      </c>
      <c r="S395" s="32" t="n">
        <f aca="false">J395*(INDEX(P_VAL,MATCH("CTRL_AÑO",P_ID,0))*L395+(1-INDEX(PY_VAL,MATCH("P_USADOS",PY_ID,0),2))*M395+INDEX(PY_VAL,MATCH("P_USADOS",PY_ID,0),2)*N395+IF(P395&gt;0,O395/P395,0)+Q395)</f>
        <v>0.08</v>
      </c>
      <c r="T395" s="32" t="n">
        <f aca="false">J395*(INDEX(P_VAL,MATCH("CTRL_AÑO",P_ID,0))*L395+(1-INDEX(PY_VAL,MATCH("P_USADOS",PY_ID,0),3))*M395+INDEX(PY_VAL,MATCH("P_USADOS",PY_ID,0),3)*N395+IF(P395&gt;0,O395/P395,0)+Q395)</f>
        <v>0.08</v>
      </c>
      <c r="U395" s="32" t="n">
        <f aca="false">J395*(INDEX(P_VAL,MATCH("CTRL_AÑO",P_ID,0))*L395+(1-INDEX(PY_VAL,MATCH("P_USADOS",PY_ID,0),4))*M395+INDEX(PY_VAL,MATCH("P_USADOS",PY_ID,0),4)*N395+IF(P395&gt;0,O395/P395,0)+Q395)</f>
        <v>0.08</v>
      </c>
      <c r="V395" s="32" t="n">
        <f aca="false">J395*(INDEX(P_VAL,MATCH("CTRL_AÑO",P_ID,0))*L395+(1-INDEX(PY_VAL,MATCH("P_USADOS",PY_ID,0),5))*M395+INDEX(PY_VAL,MATCH("P_USADOS",PY_ID,0),5)*N395+IF(P395&gt;0,O395/P395,0)+Q395)</f>
        <v>0.08</v>
      </c>
      <c r="W395" s="32" t="n">
        <f aca="false">J395*(INDEX(P_VAL,MATCH("CTRL_AÑO",P_ID,0))*L395+(1-INDEX(PY_VAL,MATCH("P_USADOS",PY_ID,0),6))*M395+INDEX(PY_VAL,MATCH("P_USADOS",PY_ID,0),6)*N395+IF(P395&gt;0,O395/P395,0)+Q395)</f>
        <v>0.08</v>
      </c>
      <c r="X395" s="32" t="n">
        <f aca="false">J395*(INDEX(P_VAL,MATCH("CTRL_AÑO",P_ID,0))*L395+(1-INDEX(PY_VAL,MATCH("P_USADOS",PY_ID,0),7))*M395+INDEX(PY_VAL,MATCH("P_USADOS",PY_ID,0),7)*N395+IF(P395&gt;0,O395/P395,0)+Q395)</f>
        <v>0.08</v>
      </c>
      <c r="Y395" s="32" t="n">
        <f aca="false">J395*(INDEX(P_VAL,MATCH("CTRL_AÑO",P_ID,0))*L395+(1-INDEX(PY_VAL,MATCH("P_USADOS",PY_ID,0),8))*M395+INDEX(PY_VAL,MATCH("P_USADOS",PY_ID,0),8)*N395+IF(P395&gt;0,O395/P395,0)+Q395)</f>
        <v>0.08</v>
      </c>
      <c r="Z395" s="32" t="n">
        <f aca="false">J395*(INDEX(P_VAL,MATCH("CTRL_AÑO",P_ID,0))*L395+(1-INDEX(PY_VAL,MATCH("P_USADOS",PY_ID,0),9))*M395+INDEX(PY_VAL,MATCH("P_USADOS",PY_ID,0),9)*N395+IF(P395&gt;0,O395/P395,0)+Q395)</f>
        <v>0.08</v>
      </c>
      <c r="AA395" s="32" t="n">
        <f aca="false">J395*(INDEX(P_VAL,MATCH("CTRL_AÑO",P_ID,0))*L395+(1-INDEX(PY_VAL,MATCH("P_USADOS",PY_ID,0),10))*M395+INDEX(PY_VAL,MATCH("P_USADOS",PY_ID,0),10)*N395+IF(P395&gt;0,O395/P395,0)+Q395)</f>
        <v>0.08</v>
      </c>
      <c r="AB395" s="5" t="s">
        <v>1388</v>
      </c>
    </row>
    <row r="396" customFormat="false" ht="15" hidden="false" customHeight="false" outlineLevel="0" collapsed="false">
      <c r="A396" s="4" t="s">
        <v>286</v>
      </c>
      <c r="B396" s="4" t="s">
        <v>1341</v>
      </c>
      <c r="C396" s="4" t="s">
        <v>1390</v>
      </c>
      <c r="D396" s="5" t="s">
        <v>1343</v>
      </c>
      <c r="E396" s="32" t="n">
        <v>1</v>
      </c>
      <c r="F396" s="32" t="s">
        <v>82</v>
      </c>
      <c r="G396" s="33" t="s">
        <v>1344</v>
      </c>
      <c r="H396" s="32" t="s">
        <v>1345</v>
      </c>
      <c r="I396" s="32" t="n">
        <v>1</v>
      </c>
      <c r="J396" s="32" t="n">
        <f aca="false">E396*I396</f>
        <v>1</v>
      </c>
      <c r="K396" s="32"/>
      <c r="L396" s="32" t="n">
        <v>1</v>
      </c>
      <c r="M396" s="32" t="n">
        <v>0</v>
      </c>
      <c r="N396" s="32" t="n">
        <v>0</v>
      </c>
      <c r="O396" s="32" t="n">
        <v>0</v>
      </c>
      <c r="P396" s="32" t="n">
        <v>5</v>
      </c>
      <c r="Q396" s="32" t="n">
        <v>0</v>
      </c>
      <c r="R396" s="32" t="n">
        <f aca="false">J396*(INDEX(P_VAL,MATCH("CTRL_AÑO",P_ID,0))*L396+(1-INDEX(PY_VAL,MATCH("P_USADOS",PY_ID,0),1))*M396+INDEX(PY_VAL,MATCH("P_USADOS",PY_ID,0),1)*N396+IF(P396&gt;0,O396/P396,0)+Q396)</f>
        <v>4</v>
      </c>
      <c r="S396" s="32" t="n">
        <f aca="false">J396*(INDEX(P_VAL,MATCH("CTRL_AÑO",P_ID,0))*L396+(1-INDEX(PY_VAL,MATCH("P_USADOS",PY_ID,0),2))*M396+INDEX(PY_VAL,MATCH("P_USADOS",PY_ID,0),2)*N396+IF(P396&gt;0,O396/P396,0)+Q396)</f>
        <v>4</v>
      </c>
      <c r="T396" s="32" t="n">
        <f aca="false">J396*(INDEX(P_VAL,MATCH("CTRL_AÑO",P_ID,0))*L396+(1-INDEX(PY_VAL,MATCH("P_USADOS",PY_ID,0),3))*M396+INDEX(PY_VAL,MATCH("P_USADOS",PY_ID,0),3)*N396+IF(P396&gt;0,O396/P396,0)+Q396)</f>
        <v>4</v>
      </c>
      <c r="U396" s="32" t="n">
        <f aca="false">J396*(INDEX(P_VAL,MATCH("CTRL_AÑO",P_ID,0))*L396+(1-INDEX(PY_VAL,MATCH("P_USADOS",PY_ID,0),4))*M396+INDEX(PY_VAL,MATCH("P_USADOS",PY_ID,0),4)*N396+IF(P396&gt;0,O396/P396,0)+Q396)</f>
        <v>4</v>
      </c>
      <c r="V396" s="32" t="n">
        <f aca="false">J396*(INDEX(P_VAL,MATCH("CTRL_AÑO",P_ID,0))*L396+(1-INDEX(PY_VAL,MATCH("P_USADOS",PY_ID,0),5))*M396+INDEX(PY_VAL,MATCH("P_USADOS",PY_ID,0),5)*N396+IF(P396&gt;0,O396/P396,0)+Q396)</f>
        <v>4</v>
      </c>
      <c r="W396" s="32" t="n">
        <f aca="false">J396*(INDEX(P_VAL,MATCH("CTRL_AÑO",P_ID,0))*L396+(1-INDEX(PY_VAL,MATCH("P_USADOS",PY_ID,0),6))*M396+INDEX(PY_VAL,MATCH("P_USADOS",PY_ID,0),6)*N396+IF(P396&gt;0,O396/P396,0)+Q396)</f>
        <v>4</v>
      </c>
      <c r="X396" s="32" t="n">
        <f aca="false">J396*(INDEX(P_VAL,MATCH("CTRL_AÑO",P_ID,0))*L396+(1-INDEX(PY_VAL,MATCH("P_USADOS",PY_ID,0),7))*M396+INDEX(PY_VAL,MATCH("P_USADOS",PY_ID,0),7)*N396+IF(P396&gt;0,O396/P396,0)+Q396)</f>
        <v>4</v>
      </c>
      <c r="Y396" s="32" t="n">
        <f aca="false">J396*(INDEX(P_VAL,MATCH("CTRL_AÑO",P_ID,0))*L396+(1-INDEX(PY_VAL,MATCH("P_USADOS",PY_ID,0),8))*M396+INDEX(PY_VAL,MATCH("P_USADOS",PY_ID,0),8)*N396+IF(P396&gt;0,O396/P396,0)+Q396)</f>
        <v>4</v>
      </c>
      <c r="Z396" s="32" t="n">
        <f aca="false">J396*(INDEX(P_VAL,MATCH("CTRL_AÑO",P_ID,0))*L396+(1-INDEX(PY_VAL,MATCH("P_USADOS",PY_ID,0),9))*M396+INDEX(PY_VAL,MATCH("P_USADOS",PY_ID,0),9)*N396+IF(P396&gt;0,O396/P396,0)+Q396)</f>
        <v>4</v>
      </c>
      <c r="AA396" s="32" t="n">
        <f aca="false">J396*(INDEX(P_VAL,MATCH("CTRL_AÑO",P_ID,0))*L396+(1-INDEX(PY_VAL,MATCH("P_USADOS",PY_ID,0),10))*M396+INDEX(PY_VAL,MATCH("P_USADOS",PY_ID,0),10)*N396+IF(P396&gt;0,O396/P396,0)+Q396)</f>
        <v>4</v>
      </c>
      <c r="AB396" s="5" t="s">
        <v>1346</v>
      </c>
    </row>
    <row r="397" customFormat="false" ht="15" hidden="false" customHeight="false" outlineLevel="0" collapsed="false">
      <c r="A397" s="4" t="s">
        <v>286</v>
      </c>
      <c r="B397" s="4" t="s">
        <v>1347</v>
      </c>
      <c r="C397" s="4" t="s">
        <v>1391</v>
      </c>
      <c r="D397" s="5" t="s">
        <v>1349</v>
      </c>
      <c r="E397" s="32" t="n">
        <v>1</v>
      </c>
      <c r="F397" s="32" t="s">
        <v>73</v>
      </c>
      <c r="G397" s="33" t="s">
        <v>1344</v>
      </c>
      <c r="H397" s="32" t="s">
        <v>568</v>
      </c>
      <c r="I397" s="32" t="n">
        <v>1</v>
      </c>
      <c r="J397" s="32" t="n">
        <f aca="false">E397*I397</f>
        <v>1</v>
      </c>
      <c r="K397" s="32"/>
      <c r="L397" s="32" t="n">
        <v>0</v>
      </c>
      <c r="M397" s="32" t="n">
        <v>0.0499999999999998</v>
      </c>
      <c r="N397" s="32" t="n">
        <v>2.55</v>
      </c>
      <c r="O397" s="32" t="n">
        <v>0</v>
      </c>
      <c r="P397" s="32" t="n">
        <v>5</v>
      </c>
      <c r="Q397" s="32" t="n">
        <v>0</v>
      </c>
      <c r="R397" s="32" t="n">
        <f aca="false">J397*(INDEX(P_VAL,MATCH("CTRL_AÑO",P_ID,0))*L397+(1-INDEX(PY_VAL,MATCH("P_USADOS",PY_ID,0),1))*M397+INDEX(PY_VAL,MATCH("P_USADOS",PY_ID,0),1)*N397+IF(P397&gt;0,O397/P397,0)+Q397)</f>
        <v>0.1691</v>
      </c>
      <c r="S397" s="32" t="n">
        <f aca="false">J397*(INDEX(P_VAL,MATCH("CTRL_AÑO",P_ID,0))*L397+(1-INDEX(PY_VAL,MATCH("P_USADOS",PY_ID,0),2))*M397+INDEX(PY_VAL,MATCH("P_USADOS",PY_ID,0),2)*N397+IF(P397&gt;0,O397/P397,0)+Q397)</f>
        <v>0.16909</v>
      </c>
      <c r="T397" s="32" t="n">
        <f aca="false">J397*(INDEX(P_VAL,MATCH("CTRL_AÑO",P_ID,0))*L397+(1-INDEX(PY_VAL,MATCH("P_USADOS",PY_ID,0),3))*M397+INDEX(PY_VAL,MATCH("P_USADOS",PY_ID,0),3)*N397+IF(P397&gt;0,O397/P397,0)+Q397)</f>
        <v>0.1690925</v>
      </c>
      <c r="U397" s="32" t="n">
        <f aca="false">J397*(INDEX(P_VAL,MATCH("CTRL_AÑO",P_ID,0))*L397+(1-INDEX(PY_VAL,MATCH("P_USADOS",PY_ID,0),4))*M397+INDEX(PY_VAL,MATCH("P_USADOS",PY_ID,0),4)*N397+IF(P397&gt;0,O397/P397,0)+Q397)</f>
        <v>0.1690975</v>
      </c>
      <c r="V397" s="32" t="n">
        <f aca="false">J397*(INDEX(P_VAL,MATCH("CTRL_AÑO",P_ID,0))*L397+(1-INDEX(PY_VAL,MATCH("P_USADOS",PY_ID,0),5))*M397+INDEX(PY_VAL,MATCH("P_USADOS",PY_ID,0),5)*N397+IF(P397&gt;0,O397/P397,0)+Q397)</f>
        <v>0.16909</v>
      </c>
      <c r="W397" s="32" t="n">
        <f aca="false">J397*(INDEX(P_VAL,MATCH("CTRL_AÑO",P_ID,0))*L397+(1-INDEX(PY_VAL,MATCH("P_USADOS",PY_ID,0),6))*M397+INDEX(PY_VAL,MATCH("P_USADOS",PY_ID,0),6)*N397+IF(P397&gt;0,O397/P397,0)+Q397)</f>
        <v>0.1690925</v>
      </c>
      <c r="X397" s="32" t="n">
        <f aca="false">J397*(INDEX(P_VAL,MATCH("CTRL_AÑO",P_ID,0))*L397+(1-INDEX(PY_VAL,MATCH("P_USADOS",PY_ID,0),7))*M397+INDEX(PY_VAL,MATCH("P_USADOS",PY_ID,0),7)*N397+IF(P397&gt;0,O397/P397,0)+Q397)</f>
        <v>0.16909</v>
      </c>
      <c r="Y397" s="32" t="n">
        <f aca="false">J397*(INDEX(P_VAL,MATCH("CTRL_AÑO",P_ID,0))*L397+(1-INDEX(PY_VAL,MATCH("P_USADOS",PY_ID,0),8))*M397+INDEX(PY_VAL,MATCH("P_USADOS",PY_ID,0),8)*N397+IF(P397&gt;0,O397/P397,0)+Q397)</f>
        <v>0.169095</v>
      </c>
      <c r="Z397" s="32" t="n">
        <f aca="false">J397*(INDEX(P_VAL,MATCH("CTRL_AÑO",P_ID,0))*L397+(1-INDEX(PY_VAL,MATCH("P_USADOS",PY_ID,0),9))*M397+INDEX(PY_VAL,MATCH("P_USADOS",PY_ID,0),9)*N397+IF(P397&gt;0,O397/P397,0)+Q397)</f>
        <v>0.16909</v>
      </c>
      <c r="AA397" s="32" t="n">
        <f aca="false">J397*(INDEX(P_VAL,MATCH("CTRL_AÑO",P_ID,0))*L397+(1-INDEX(PY_VAL,MATCH("P_USADOS",PY_ID,0),10))*M397+INDEX(PY_VAL,MATCH("P_USADOS",PY_ID,0),10)*N397+IF(P397&gt;0,O397/P397,0)+Q397)</f>
        <v>0.1690825</v>
      </c>
      <c r="AB397" s="5" t="s">
        <v>1346</v>
      </c>
    </row>
    <row r="398" customFormat="false" ht="15" hidden="false" customHeight="false" outlineLevel="0" collapsed="false">
      <c r="A398" s="4" t="s">
        <v>286</v>
      </c>
      <c r="B398" s="4" t="s">
        <v>1350</v>
      </c>
      <c r="C398" s="4" t="s">
        <v>1392</v>
      </c>
      <c r="D398" s="5" t="s">
        <v>571</v>
      </c>
      <c r="E398" s="32" t="n">
        <v>1</v>
      </c>
      <c r="F398" s="32" t="s">
        <v>73</v>
      </c>
      <c r="G398" s="33" t="s">
        <v>1344</v>
      </c>
      <c r="H398" s="32" t="s">
        <v>573</v>
      </c>
      <c r="I398" s="32" t="n">
        <f aca="false">(1+INDEX(P_VAL,MATCH("N2_PERD",P_ID,0)))/INDEX(P_VAL,MATCH("RHO_N2",P_ID,0))</f>
        <v>1.0406660262568</v>
      </c>
      <c r="J398" s="32" t="n">
        <f aca="false">E398*I398</f>
        <v>1.0406660262568</v>
      </c>
      <c r="K398" s="32"/>
      <c r="L398" s="32" t="n">
        <v>0</v>
      </c>
      <c r="M398" s="32" t="n">
        <v>0.0203837224069173</v>
      </c>
      <c r="N398" s="32" t="n">
        <v>0.0203837224069173</v>
      </c>
      <c r="O398" s="32" t="n">
        <v>0</v>
      </c>
      <c r="P398" s="32" t="n">
        <v>5</v>
      </c>
      <c r="Q398" s="32" t="n">
        <v>0</v>
      </c>
      <c r="R398" s="32" t="n">
        <f aca="false">J398*(INDEX(P_VAL,MATCH("CTRL_AÑO",P_ID,0))*L398+(1-INDEX(PY_VAL,MATCH("P_USADOS",PY_ID,0),1))*M398+INDEX(PY_VAL,MATCH("P_USADOS",PY_ID,0),1)*N398+IF(P398&gt;0,O398/P398,0)+Q398)</f>
        <v>0.0212126473975284</v>
      </c>
      <c r="S398" s="32" t="n">
        <f aca="false">J398*(INDEX(P_VAL,MATCH("CTRL_AÑO",P_ID,0))*L398+(1-INDEX(PY_VAL,MATCH("P_USADOS",PY_ID,0),2))*M398+INDEX(PY_VAL,MATCH("P_USADOS",PY_ID,0),2)*N398+IF(P398&gt;0,O398/P398,0)+Q398)</f>
        <v>0.0212126473975284</v>
      </c>
      <c r="T398" s="32" t="n">
        <f aca="false">J398*(INDEX(P_VAL,MATCH("CTRL_AÑO",P_ID,0))*L398+(1-INDEX(PY_VAL,MATCH("P_USADOS",PY_ID,0),3))*M398+INDEX(PY_VAL,MATCH("P_USADOS",PY_ID,0),3)*N398+IF(P398&gt;0,O398/P398,0)+Q398)</f>
        <v>0.0212126473975284</v>
      </c>
      <c r="U398" s="32" t="n">
        <f aca="false">J398*(INDEX(P_VAL,MATCH("CTRL_AÑO",P_ID,0))*L398+(1-INDEX(PY_VAL,MATCH("P_USADOS",PY_ID,0),4))*M398+INDEX(PY_VAL,MATCH("P_USADOS",PY_ID,0),4)*N398+IF(P398&gt;0,O398/P398,0)+Q398)</f>
        <v>0.0212126473975284</v>
      </c>
      <c r="V398" s="32" t="n">
        <f aca="false">J398*(INDEX(P_VAL,MATCH("CTRL_AÑO",P_ID,0))*L398+(1-INDEX(PY_VAL,MATCH("P_USADOS",PY_ID,0),5))*M398+INDEX(PY_VAL,MATCH("P_USADOS",PY_ID,0),5)*N398+IF(P398&gt;0,O398/P398,0)+Q398)</f>
        <v>0.0212126473975284</v>
      </c>
      <c r="W398" s="32" t="n">
        <f aca="false">J398*(INDEX(P_VAL,MATCH("CTRL_AÑO",P_ID,0))*L398+(1-INDEX(PY_VAL,MATCH("P_USADOS",PY_ID,0),6))*M398+INDEX(PY_VAL,MATCH("P_USADOS",PY_ID,0),6)*N398+IF(P398&gt;0,O398/P398,0)+Q398)</f>
        <v>0.0212126473975284</v>
      </c>
      <c r="X398" s="32" t="n">
        <f aca="false">J398*(INDEX(P_VAL,MATCH("CTRL_AÑO",P_ID,0))*L398+(1-INDEX(PY_VAL,MATCH("P_USADOS",PY_ID,0),7))*M398+INDEX(PY_VAL,MATCH("P_USADOS",PY_ID,0),7)*N398+IF(P398&gt;0,O398/P398,0)+Q398)</f>
        <v>0.0212126473975284</v>
      </c>
      <c r="Y398" s="32" t="n">
        <f aca="false">J398*(INDEX(P_VAL,MATCH("CTRL_AÑO",P_ID,0))*L398+(1-INDEX(PY_VAL,MATCH("P_USADOS",PY_ID,0),8))*M398+INDEX(PY_VAL,MATCH("P_USADOS",PY_ID,0),8)*N398+IF(P398&gt;0,O398/P398,0)+Q398)</f>
        <v>0.0212126473975284</v>
      </c>
      <c r="Z398" s="32" t="n">
        <f aca="false">J398*(INDEX(P_VAL,MATCH("CTRL_AÑO",P_ID,0))*L398+(1-INDEX(PY_VAL,MATCH("P_USADOS",PY_ID,0),9))*M398+INDEX(PY_VAL,MATCH("P_USADOS",PY_ID,0),9)*N398+IF(P398&gt;0,O398/P398,0)+Q398)</f>
        <v>0.0212126473975284</v>
      </c>
      <c r="AA398" s="32" t="n">
        <f aca="false">J398*(INDEX(P_VAL,MATCH("CTRL_AÑO",P_ID,0))*L398+(1-INDEX(PY_VAL,MATCH("P_USADOS",PY_ID,0),10))*M398+INDEX(PY_VAL,MATCH("P_USADOS",PY_ID,0),10)*N398+IF(P398&gt;0,O398/P398,0)+Q398)</f>
        <v>0.0212126473975284</v>
      </c>
      <c r="AB398" s="5" t="s">
        <v>1346</v>
      </c>
    </row>
    <row r="399" customFormat="false" ht="15" hidden="false" customHeight="false" outlineLevel="0" collapsed="false">
      <c r="A399" s="4" t="s">
        <v>286</v>
      </c>
      <c r="B399" s="4" t="s">
        <v>1352</v>
      </c>
      <c r="C399" s="4" t="s">
        <v>1393</v>
      </c>
      <c r="D399" s="5" t="s">
        <v>1354</v>
      </c>
      <c r="E399" s="32" t="n">
        <v>1</v>
      </c>
      <c r="F399" s="32" t="s">
        <v>82</v>
      </c>
      <c r="G399" s="33" t="s">
        <v>1344</v>
      </c>
      <c r="H399" s="32" t="s">
        <v>1355</v>
      </c>
      <c r="I399" s="32" t="n">
        <v>1</v>
      </c>
      <c r="J399" s="32" t="n">
        <f aca="false">E399*I399</f>
        <v>1</v>
      </c>
      <c r="K399" s="32"/>
      <c r="L399" s="32" t="n">
        <v>0</v>
      </c>
      <c r="M399" s="32" t="n">
        <v>1</v>
      </c>
      <c r="N399" s="32" t="n">
        <v>1</v>
      </c>
      <c r="O399" s="32" t="n">
        <v>0</v>
      </c>
      <c r="P399" s="32" t="n">
        <v>5</v>
      </c>
      <c r="Q399" s="32" t="n">
        <v>0</v>
      </c>
      <c r="R399" s="32" t="n">
        <f aca="false">J399*(INDEX(P_VAL,MATCH("CTRL_AÑO",P_ID,0))*L399+(1-INDEX(PY_VAL,MATCH("P_USADOS",PY_ID,0),1))*M399+INDEX(PY_VAL,MATCH("P_USADOS",PY_ID,0),1)*N399+IF(P399&gt;0,O399/P399,0)+Q399)</f>
        <v>1</v>
      </c>
      <c r="S399" s="32" t="n">
        <f aca="false">J399*(INDEX(P_VAL,MATCH("CTRL_AÑO",P_ID,0))*L399+(1-INDEX(PY_VAL,MATCH("P_USADOS",PY_ID,0),2))*M399+INDEX(PY_VAL,MATCH("P_USADOS",PY_ID,0),2)*N399+IF(P399&gt;0,O399/P399,0)+Q399)</f>
        <v>1</v>
      </c>
      <c r="T399" s="32" t="n">
        <f aca="false">J399*(INDEX(P_VAL,MATCH("CTRL_AÑO",P_ID,0))*L399+(1-INDEX(PY_VAL,MATCH("P_USADOS",PY_ID,0),3))*M399+INDEX(PY_VAL,MATCH("P_USADOS",PY_ID,0),3)*N399+IF(P399&gt;0,O399/P399,0)+Q399)</f>
        <v>1</v>
      </c>
      <c r="U399" s="32" t="n">
        <f aca="false">J399*(INDEX(P_VAL,MATCH("CTRL_AÑO",P_ID,0))*L399+(1-INDEX(PY_VAL,MATCH("P_USADOS",PY_ID,0),4))*M399+INDEX(PY_VAL,MATCH("P_USADOS",PY_ID,0),4)*N399+IF(P399&gt;0,O399/P399,0)+Q399)</f>
        <v>1</v>
      </c>
      <c r="V399" s="32" t="n">
        <f aca="false">J399*(INDEX(P_VAL,MATCH("CTRL_AÑO",P_ID,0))*L399+(1-INDEX(PY_VAL,MATCH("P_USADOS",PY_ID,0),5))*M399+INDEX(PY_VAL,MATCH("P_USADOS",PY_ID,0),5)*N399+IF(P399&gt;0,O399/P399,0)+Q399)</f>
        <v>1</v>
      </c>
      <c r="W399" s="32" t="n">
        <f aca="false">J399*(INDEX(P_VAL,MATCH("CTRL_AÑO",P_ID,0))*L399+(1-INDEX(PY_VAL,MATCH("P_USADOS",PY_ID,0),6))*M399+INDEX(PY_VAL,MATCH("P_USADOS",PY_ID,0),6)*N399+IF(P399&gt;0,O399/P399,0)+Q399)</f>
        <v>1</v>
      </c>
      <c r="X399" s="32" t="n">
        <f aca="false">J399*(INDEX(P_VAL,MATCH("CTRL_AÑO",P_ID,0))*L399+(1-INDEX(PY_VAL,MATCH("P_USADOS",PY_ID,0),7))*M399+INDEX(PY_VAL,MATCH("P_USADOS",PY_ID,0),7)*N399+IF(P399&gt;0,O399/P399,0)+Q399)</f>
        <v>1</v>
      </c>
      <c r="Y399" s="32" t="n">
        <f aca="false">J399*(INDEX(P_VAL,MATCH("CTRL_AÑO",P_ID,0))*L399+(1-INDEX(PY_VAL,MATCH("P_USADOS",PY_ID,0),8))*M399+INDEX(PY_VAL,MATCH("P_USADOS",PY_ID,0),8)*N399+IF(P399&gt;0,O399/P399,0)+Q399)</f>
        <v>1</v>
      </c>
      <c r="Z399" s="32" t="n">
        <f aca="false">J399*(INDEX(P_VAL,MATCH("CTRL_AÑO",P_ID,0))*L399+(1-INDEX(PY_VAL,MATCH("P_USADOS",PY_ID,0),9))*M399+INDEX(PY_VAL,MATCH("P_USADOS",PY_ID,0),9)*N399+IF(P399&gt;0,O399/P399,0)+Q399)</f>
        <v>1</v>
      </c>
      <c r="AA399" s="32" t="n">
        <f aca="false">J399*(INDEX(P_VAL,MATCH("CTRL_AÑO",P_ID,0))*L399+(1-INDEX(PY_VAL,MATCH("P_USADOS",PY_ID,0),10))*M399+INDEX(PY_VAL,MATCH("P_USADOS",PY_ID,0),10)*N399+IF(P399&gt;0,O399/P399,0)+Q399)</f>
        <v>1</v>
      </c>
      <c r="AB399" s="5" t="s">
        <v>1346</v>
      </c>
    </row>
    <row r="400" customFormat="false" ht="15" hidden="false" customHeight="false" outlineLevel="0" collapsed="false">
      <c r="A400" s="4" t="s">
        <v>286</v>
      </c>
      <c r="B400" s="4" t="s">
        <v>1356</v>
      </c>
      <c r="C400" s="4" t="s">
        <v>1394</v>
      </c>
      <c r="D400" s="5" t="s">
        <v>1358</v>
      </c>
      <c r="E400" s="32" t="n">
        <v>1</v>
      </c>
      <c r="F400" s="32" t="s">
        <v>82</v>
      </c>
      <c r="G400" s="33" t="s">
        <v>1344</v>
      </c>
      <c r="H400" s="32" t="s">
        <v>1359</v>
      </c>
      <c r="I400" s="32" t="n">
        <v>1</v>
      </c>
      <c r="J400" s="32" t="n">
        <f aca="false">E400*I400</f>
        <v>1</v>
      </c>
      <c r="K400" s="32"/>
      <c r="L400" s="32" t="n">
        <v>0</v>
      </c>
      <c r="M400" s="32" t="n">
        <v>1</v>
      </c>
      <c r="N400" s="32" t="n">
        <v>1</v>
      </c>
      <c r="O400" s="32" t="n">
        <v>0</v>
      </c>
      <c r="P400" s="32" t="n">
        <v>5</v>
      </c>
      <c r="Q400" s="32" t="n">
        <v>0</v>
      </c>
      <c r="R400" s="32" t="n">
        <f aca="false">J400*(INDEX(P_VAL,MATCH("CTRL_AÑO",P_ID,0))*L400+(1-INDEX(PY_VAL,MATCH("P_USADOS",PY_ID,0),1))*M400+INDEX(PY_VAL,MATCH("P_USADOS",PY_ID,0),1)*N400+IF(P400&gt;0,O400/P400,0)+Q400)</f>
        <v>1</v>
      </c>
      <c r="S400" s="32" t="n">
        <f aca="false">J400*(INDEX(P_VAL,MATCH("CTRL_AÑO",P_ID,0))*L400+(1-INDEX(PY_VAL,MATCH("P_USADOS",PY_ID,0),2))*M400+INDEX(PY_VAL,MATCH("P_USADOS",PY_ID,0),2)*N400+IF(P400&gt;0,O400/P400,0)+Q400)</f>
        <v>1</v>
      </c>
      <c r="T400" s="32" t="n">
        <f aca="false">J400*(INDEX(P_VAL,MATCH("CTRL_AÑO",P_ID,0))*L400+(1-INDEX(PY_VAL,MATCH("P_USADOS",PY_ID,0),3))*M400+INDEX(PY_VAL,MATCH("P_USADOS",PY_ID,0),3)*N400+IF(P400&gt;0,O400/P400,0)+Q400)</f>
        <v>1</v>
      </c>
      <c r="U400" s="32" t="n">
        <f aca="false">J400*(INDEX(P_VAL,MATCH("CTRL_AÑO",P_ID,0))*L400+(1-INDEX(PY_VAL,MATCH("P_USADOS",PY_ID,0),4))*M400+INDEX(PY_VAL,MATCH("P_USADOS",PY_ID,0),4)*N400+IF(P400&gt;0,O400/P400,0)+Q400)</f>
        <v>1</v>
      </c>
      <c r="V400" s="32" t="n">
        <f aca="false">J400*(INDEX(P_VAL,MATCH("CTRL_AÑO",P_ID,0))*L400+(1-INDEX(PY_VAL,MATCH("P_USADOS",PY_ID,0),5))*M400+INDEX(PY_VAL,MATCH("P_USADOS",PY_ID,0),5)*N400+IF(P400&gt;0,O400/P400,0)+Q400)</f>
        <v>1</v>
      </c>
      <c r="W400" s="32" t="n">
        <f aca="false">J400*(INDEX(P_VAL,MATCH("CTRL_AÑO",P_ID,0))*L400+(1-INDEX(PY_VAL,MATCH("P_USADOS",PY_ID,0),6))*M400+INDEX(PY_VAL,MATCH("P_USADOS",PY_ID,0),6)*N400+IF(P400&gt;0,O400/P400,0)+Q400)</f>
        <v>1</v>
      </c>
      <c r="X400" s="32" t="n">
        <f aca="false">J400*(INDEX(P_VAL,MATCH("CTRL_AÑO",P_ID,0))*L400+(1-INDEX(PY_VAL,MATCH("P_USADOS",PY_ID,0),7))*M400+INDEX(PY_VAL,MATCH("P_USADOS",PY_ID,0),7)*N400+IF(P400&gt;0,O400/P400,0)+Q400)</f>
        <v>1</v>
      </c>
      <c r="Y400" s="32" t="n">
        <f aca="false">J400*(INDEX(P_VAL,MATCH("CTRL_AÑO",P_ID,0))*L400+(1-INDEX(PY_VAL,MATCH("P_USADOS",PY_ID,0),8))*M400+INDEX(PY_VAL,MATCH("P_USADOS",PY_ID,0),8)*N400+IF(P400&gt;0,O400/P400,0)+Q400)</f>
        <v>1</v>
      </c>
      <c r="Z400" s="32" t="n">
        <f aca="false">J400*(INDEX(P_VAL,MATCH("CTRL_AÑO",P_ID,0))*L400+(1-INDEX(PY_VAL,MATCH("P_USADOS",PY_ID,0),9))*M400+INDEX(PY_VAL,MATCH("P_USADOS",PY_ID,0),9)*N400+IF(P400&gt;0,O400/P400,0)+Q400)</f>
        <v>1</v>
      </c>
      <c r="AA400" s="32" t="n">
        <f aca="false">J400*(INDEX(P_VAL,MATCH("CTRL_AÑO",P_ID,0))*L400+(1-INDEX(PY_VAL,MATCH("P_USADOS",PY_ID,0),10))*M400+INDEX(PY_VAL,MATCH("P_USADOS",PY_ID,0),10)*N400+IF(P400&gt;0,O400/P400,0)+Q400)</f>
        <v>1</v>
      </c>
      <c r="AB400" s="5" t="s">
        <v>1346</v>
      </c>
    </row>
    <row r="401" customFormat="false" ht="15" hidden="false" customHeight="false" outlineLevel="0" collapsed="false">
      <c r="A401" s="4" t="s">
        <v>286</v>
      </c>
      <c r="B401" s="4" t="s">
        <v>1360</v>
      </c>
      <c r="C401" s="4" t="s">
        <v>1395</v>
      </c>
      <c r="D401" s="5" t="s">
        <v>1362</v>
      </c>
      <c r="E401" s="32" t="n">
        <v>1</v>
      </c>
      <c r="F401" s="32" t="s">
        <v>82</v>
      </c>
      <c r="G401" s="33" t="s">
        <v>1344</v>
      </c>
      <c r="H401" s="32" t="s">
        <v>1363</v>
      </c>
      <c r="I401" s="32" t="n">
        <v>1</v>
      </c>
      <c r="J401" s="32" t="n">
        <f aca="false">E401*I401</f>
        <v>1</v>
      </c>
      <c r="K401" s="32"/>
      <c r="L401" s="32" t="n">
        <v>0</v>
      </c>
      <c r="M401" s="32" t="n">
        <v>1</v>
      </c>
      <c r="N401" s="32" t="n">
        <v>1</v>
      </c>
      <c r="O401" s="32" t="n">
        <v>0</v>
      </c>
      <c r="P401" s="32" t="n">
        <v>5</v>
      </c>
      <c r="Q401" s="32" t="n">
        <v>0</v>
      </c>
      <c r="R401" s="32" t="n">
        <f aca="false">J401*(INDEX(P_VAL,MATCH("CTRL_AÑO",P_ID,0))*L401+(1-INDEX(PY_VAL,MATCH("P_USADOS",PY_ID,0),1))*M401+INDEX(PY_VAL,MATCH("P_USADOS",PY_ID,0),1)*N401+IF(P401&gt;0,O401/P401,0)+Q401)</f>
        <v>1</v>
      </c>
      <c r="S401" s="32" t="n">
        <f aca="false">J401*(INDEX(P_VAL,MATCH("CTRL_AÑO",P_ID,0))*L401+(1-INDEX(PY_VAL,MATCH("P_USADOS",PY_ID,0),2))*M401+INDEX(PY_VAL,MATCH("P_USADOS",PY_ID,0),2)*N401+IF(P401&gt;0,O401/P401,0)+Q401)</f>
        <v>1</v>
      </c>
      <c r="T401" s="32" t="n">
        <f aca="false">J401*(INDEX(P_VAL,MATCH("CTRL_AÑO",P_ID,0))*L401+(1-INDEX(PY_VAL,MATCH("P_USADOS",PY_ID,0),3))*M401+INDEX(PY_VAL,MATCH("P_USADOS",PY_ID,0),3)*N401+IF(P401&gt;0,O401/P401,0)+Q401)</f>
        <v>1</v>
      </c>
      <c r="U401" s="32" t="n">
        <f aca="false">J401*(INDEX(P_VAL,MATCH("CTRL_AÑO",P_ID,0))*L401+(1-INDEX(PY_VAL,MATCH("P_USADOS",PY_ID,0),4))*M401+INDEX(PY_VAL,MATCH("P_USADOS",PY_ID,0),4)*N401+IF(P401&gt;0,O401/P401,0)+Q401)</f>
        <v>1</v>
      </c>
      <c r="V401" s="32" t="n">
        <f aca="false">J401*(INDEX(P_VAL,MATCH("CTRL_AÑO",P_ID,0))*L401+(1-INDEX(PY_VAL,MATCH("P_USADOS",PY_ID,0),5))*M401+INDEX(PY_VAL,MATCH("P_USADOS",PY_ID,0),5)*N401+IF(P401&gt;0,O401/P401,0)+Q401)</f>
        <v>1</v>
      </c>
      <c r="W401" s="32" t="n">
        <f aca="false">J401*(INDEX(P_VAL,MATCH("CTRL_AÑO",P_ID,0))*L401+(1-INDEX(PY_VAL,MATCH("P_USADOS",PY_ID,0),6))*M401+INDEX(PY_VAL,MATCH("P_USADOS",PY_ID,0),6)*N401+IF(P401&gt;0,O401/P401,0)+Q401)</f>
        <v>1</v>
      </c>
      <c r="X401" s="32" t="n">
        <f aca="false">J401*(INDEX(P_VAL,MATCH("CTRL_AÑO",P_ID,0))*L401+(1-INDEX(PY_VAL,MATCH("P_USADOS",PY_ID,0),7))*M401+INDEX(PY_VAL,MATCH("P_USADOS",PY_ID,0),7)*N401+IF(P401&gt;0,O401/P401,0)+Q401)</f>
        <v>1</v>
      </c>
      <c r="Y401" s="32" t="n">
        <f aca="false">J401*(INDEX(P_VAL,MATCH("CTRL_AÑO",P_ID,0))*L401+(1-INDEX(PY_VAL,MATCH("P_USADOS",PY_ID,0),8))*M401+INDEX(PY_VAL,MATCH("P_USADOS",PY_ID,0),8)*N401+IF(P401&gt;0,O401/P401,0)+Q401)</f>
        <v>1</v>
      </c>
      <c r="Z401" s="32" t="n">
        <f aca="false">J401*(INDEX(P_VAL,MATCH("CTRL_AÑO",P_ID,0))*L401+(1-INDEX(PY_VAL,MATCH("P_USADOS",PY_ID,0),9))*M401+INDEX(PY_VAL,MATCH("P_USADOS",PY_ID,0),9)*N401+IF(P401&gt;0,O401/P401,0)+Q401)</f>
        <v>1</v>
      </c>
      <c r="AA401" s="32" t="n">
        <f aca="false">J401*(INDEX(P_VAL,MATCH("CTRL_AÑO",P_ID,0))*L401+(1-INDEX(PY_VAL,MATCH("P_USADOS",PY_ID,0),10))*M401+INDEX(PY_VAL,MATCH("P_USADOS",PY_ID,0),10)*N401+IF(P401&gt;0,O401/P401,0)+Q401)</f>
        <v>1</v>
      </c>
      <c r="AB401" s="5" t="s">
        <v>1346</v>
      </c>
    </row>
    <row r="402" customFormat="false" ht="15" hidden="false" customHeight="false" outlineLevel="0" collapsed="false">
      <c r="A402" s="4" t="s">
        <v>286</v>
      </c>
      <c r="B402" s="4" t="s">
        <v>1364</v>
      </c>
      <c r="C402" s="4" t="s">
        <v>1396</v>
      </c>
      <c r="D402" s="5" t="s">
        <v>1366</v>
      </c>
      <c r="E402" s="32" t="n">
        <v>1</v>
      </c>
      <c r="F402" s="32" t="s">
        <v>82</v>
      </c>
      <c r="G402" s="33" t="s">
        <v>1344</v>
      </c>
      <c r="H402" s="32" t="s">
        <v>1367</v>
      </c>
      <c r="I402" s="32" t="n">
        <v>1</v>
      </c>
      <c r="J402" s="32" t="n">
        <f aca="false">E402*I402</f>
        <v>1</v>
      </c>
      <c r="K402" s="32" t="s">
        <v>582</v>
      </c>
      <c r="L402" s="32" t="n">
        <v>0</v>
      </c>
      <c r="M402" s="32" t="n">
        <v>1</v>
      </c>
      <c r="N402" s="32" t="n">
        <v>1</v>
      </c>
      <c r="O402" s="32" t="n">
        <v>0</v>
      </c>
      <c r="P402" s="32" t="n">
        <v>5</v>
      </c>
      <c r="Q402" s="32" t="n">
        <v>0</v>
      </c>
      <c r="R402" s="32" t="n">
        <f aca="false">J402*(INDEX(P_VAL,MATCH("CTRL_AÑO",P_ID,0))*L402+(1-INDEX(PY_VAL,MATCH("P_USADOS",PY_ID,0),1))*M402+INDEX(PY_VAL,MATCH("P_USADOS",PY_ID,0),1)*N402+IF(P402&gt;0,O402/P402,0)+Q402)</f>
        <v>1</v>
      </c>
      <c r="S402" s="32" t="n">
        <f aca="false">J402*(INDEX(P_VAL,MATCH("CTRL_AÑO",P_ID,0))*L402+(1-INDEX(PY_VAL,MATCH("P_USADOS",PY_ID,0),2))*M402+INDEX(PY_VAL,MATCH("P_USADOS",PY_ID,0),2)*N402+IF(P402&gt;0,O402/P402,0)+Q402)</f>
        <v>1</v>
      </c>
      <c r="T402" s="32" t="n">
        <f aca="false">J402*(INDEX(P_VAL,MATCH("CTRL_AÑO",P_ID,0))*L402+(1-INDEX(PY_VAL,MATCH("P_USADOS",PY_ID,0),3))*M402+INDEX(PY_VAL,MATCH("P_USADOS",PY_ID,0),3)*N402+IF(P402&gt;0,O402/P402,0)+Q402)</f>
        <v>1</v>
      </c>
      <c r="U402" s="32" t="n">
        <f aca="false">J402*(INDEX(P_VAL,MATCH("CTRL_AÑO",P_ID,0))*L402+(1-INDEX(PY_VAL,MATCH("P_USADOS",PY_ID,0),4))*M402+INDEX(PY_VAL,MATCH("P_USADOS",PY_ID,0),4)*N402+IF(P402&gt;0,O402/P402,0)+Q402)</f>
        <v>1</v>
      </c>
      <c r="V402" s="32" t="n">
        <f aca="false">J402*(INDEX(P_VAL,MATCH("CTRL_AÑO",P_ID,0))*L402+(1-INDEX(PY_VAL,MATCH("P_USADOS",PY_ID,0),5))*M402+INDEX(PY_VAL,MATCH("P_USADOS",PY_ID,0),5)*N402+IF(P402&gt;0,O402/P402,0)+Q402)</f>
        <v>1</v>
      </c>
      <c r="W402" s="32" t="n">
        <f aca="false">J402*(INDEX(P_VAL,MATCH("CTRL_AÑO",P_ID,0))*L402+(1-INDEX(PY_VAL,MATCH("P_USADOS",PY_ID,0),6))*M402+INDEX(PY_VAL,MATCH("P_USADOS",PY_ID,0),6)*N402+IF(P402&gt;0,O402/P402,0)+Q402)</f>
        <v>1</v>
      </c>
      <c r="X402" s="32" t="n">
        <f aca="false">J402*(INDEX(P_VAL,MATCH("CTRL_AÑO",P_ID,0))*L402+(1-INDEX(PY_VAL,MATCH("P_USADOS",PY_ID,0),7))*M402+INDEX(PY_VAL,MATCH("P_USADOS",PY_ID,0),7)*N402+IF(P402&gt;0,O402/P402,0)+Q402)</f>
        <v>1</v>
      </c>
      <c r="Y402" s="32" t="n">
        <f aca="false">J402*(INDEX(P_VAL,MATCH("CTRL_AÑO",P_ID,0))*L402+(1-INDEX(PY_VAL,MATCH("P_USADOS",PY_ID,0),8))*M402+INDEX(PY_VAL,MATCH("P_USADOS",PY_ID,0),8)*N402+IF(P402&gt;0,O402/P402,0)+Q402)</f>
        <v>1</v>
      </c>
      <c r="Z402" s="32" t="n">
        <f aca="false">J402*(INDEX(P_VAL,MATCH("CTRL_AÑO",P_ID,0))*L402+(1-INDEX(PY_VAL,MATCH("P_USADOS",PY_ID,0),9))*M402+INDEX(PY_VAL,MATCH("P_USADOS",PY_ID,0),9)*N402+IF(P402&gt;0,O402/P402,0)+Q402)</f>
        <v>1</v>
      </c>
      <c r="AA402" s="32" t="n">
        <f aca="false">J402*(INDEX(P_VAL,MATCH("CTRL_AÑO",P_ID,0))*L402+(1-INDEX(PY_VAL,MATCH("P_USADOS",PY_ID,0),10))*M402+INDEX(PY_VAL,MATCH("P_USADOS",PY_ID,0),10)*N402+IF(P402&gt;0,O402/P402,0)+Q402)</f>
        <v>1</v>
      </c>
      <c r="AB402" s="5" t="s">
        <v>1346</v>
      </c>
    </row>
    <row r="403" customFormat="false" ht="15" hidden="false" customHeight="false" outlineLevel="0" collapsed="false">
      <c r="A403" s="4" t="s">
        <v>286</v>
      </c>
      <c r="B403" s="4" t="s">
        <v>1368</v>
      </c>
      <c r="C403" s="4" t="s">
        <v>1397</v>
      </c>
      <c r="D403" s="5" t="s">
        <v>1370</v>
      </c>
      <c r="E403" s="32" t="n">
        <v>1</v>
      </c>
      <c r="F403" s="32" t="s">
        <v>82</v>
      </c>
      <c r="G403" s="33" t="s">
        <v>1344</v>
      </c>
      <c r="H403" s="32" t="s">
        <v>1371</v>
      </c>
      <c r="I403" s="32" t="n">
        <v>1</v>
      </c>
      <c r="J403" s="32" t="n">
        <f aca="false">E403*I403</f>
        <v>1</v>
      </c>
      <c r="K403" s="32" t="s">
        <v>582</v>
      </c>
      <c r="L403" s="32" t="n">
        <v>0</v>
      </c>
      <c r="M403" s="32" t="n">
        <v>1</v>
      </c>
      <c r="N403" s="32" t="n">
        <v>1</v>
      </c>
      <c r="O403" s="32" t="n">
        <v>0</v>
      </c>
      <c r="P403" s="32" t="n">
        <v>5</v>
      </c>
      <c r="Q403" s="32" t="n">
        <v>0</v>
      </c>
      <c r="R403" s="32" t="n">
        <f aca="false">J403*(INDEX(P_VAL,MATCH("CTRL_AÑO",P_ID,0))*L403+(1-INDEX(PY_VAL,MATCH("P_USADOS",PY_ID,0),1))*M403+INDEX(PY_VAL,MATCH("P_USADOS",PY_ID,0),1)*N403+IF(P403&gt;0,O403/P403,0)+Q403)</f>
        <v>1</v>
      </c>
      <c r="S403" s="32" t="n">
        <f aca="false">J403*(INDEX(P_VAL,MATCH("CTRL_AÑO",P_ID,0))*L403+(1-INDEX(PY_VAL,MATCH("P_USADOS",PY_ID,0),2))*M403+INDEX(PY_VAL,MATCH("P_USADOS",PY_ID,0),2)*N403+IF(P403&gt;0,O403/P403,0)+Q403)</f>
        <v>1</v>
      </c>
      <c r="T403" s="32" t="n">
        <f aca="false">J403*(INDEX(P_VAL,MATCH("CTRL_AÑO",P_ID,0))*L403+(1-INDEX(PY_VAL,MATCH("P_USADOS",PY_ID,0),3))*M403+INDEX(PY_VAL,MATCH("P_USADOS",PY_ID,0),3)*N403+IF(P403&gt;0,O403/P403,0)+Q403)</f>
        <v>1</v>
      </c>
      <c r="U403" s="32" t="n">
        <f aca="false">J403*(INDEX(P_VAL,MATCH("CTRL_AÑO",P_ID,0))*L403+(1-INDEX(PY_VAL,MATCH("P_USADOS",PY_ID,0),4))*M403+INDEX(PY_VAL,MATCH("P_USADOS",PY_ID,0),4)*N403+IF(P403&gt;0,O403/P403,0)+Q403)</f>
        <v>1</v>
      </c>
      <c r="V403" s="32" t="n">
        <f aca="false">J403*(INDEX(P_VAL,MATCH("CTRL_AÑO",P_ID,0))*L403+(1-INDEX(PY_VAL,MATCH("P_USADOS",PY_ID,0),5))*M403+INDEX(PY_VAL,MATCH("P_USADOS",PY_ID,0),5)*N403+IF(P403&gt;0,O403/P403,0)+Q403)</f>
        <v>1</v>
      </c>
      <c r="W403" s="32" t="n">
        <f aca="false">J403*(INDEX(P_VAL,MATCH("CTRL_AÑO",P_ID,0))*L403+(1-INDEX(PY_VAL,MATCH("P_USADOS",PY_ID,0),6))*M403+INDEX(PY_VAL,MATCH("P_USADOS",PY_ID,0),6)*N403+IF(P403&gt;0,O403/P403,0)+Q403)</f>
        <v>1</v>
      </c>
      <c r="X403" s="32" t="n">
        <f aca="false">J403*(INDEX(P_VAL,MATCH("CTRL_AÑO",P_ID,0))*L403+(1-INDEX(PY_VAL,MATCH("P_USADOS",PY_ID,0),7))*M403+INDEX(PY_VAL,MATCH("P_USADOS",PY_ID,0),7)*N403+IF(P403&gt;0,O403/P403,0)+Q403)</f>
        <v>1</v>
      </c>
      <c r="Y403" s="32" t="n">
        <f aca="false">J403*(INDEX(P_VAL,MATCH("CTRL_AÑO",P_ID,0))*L403+(1-INDEX(PY_VAL,MATCH("P_USADOS",PY_ID,0),8))*M403+INDEX(PY_VAL,MATCH("P_USADOS",PY_ID,0),8)*N403+IF(P403&gt;0,O403/P403,0)+Q403)</f>
        <v>1</v>
      </c>
      <c r="Z403" s="32" t="n">
        <f aca="false">J403*(INDEX(P_VAL,MATCH("CTRL_AÑO",P_ID,0))*L403+(1-INDEX(PY_VAL,MATCH("P_USADOS",PY_ID,0),9))*M403+INDEX(PY_VAL,MATCH("P_USADOS",PY_ID,0),9)*N403+IF(P403&gt;0,O403/P403,0)+Q403)</f>
        <v>1</v>
      </c>
      <c r="AA403" s="32" t="n">
        <f aca="false">J403*(INDEX(P_VAL,MATCH("CTRL_AÑO",P_ID,0))*L403+(1-INDEX(PY_VAL,MATCH("P_USADOS",PY_ID,0),10))*M403+INDEX(PY_VAL,MATCH("P_USADOS",PY_ID,0),10)*N403+IF(P403&gt;0,O403/P403,0)+Q403)</f>
        <v>1</v>
      </c>
      <c r="AB403" s="5" t="s">
        <v>1346</v>
      </c>
    </row>
    <row r="404" customFormat="false" ht="15" hidden="false" customHeight="false" outlineLevel="0" collapsed="false">
      <c r="A404" s="4" t="s">
        <v>286</v>
      </c>
      <c r="B404" s="4" t="s">
        <v>1372</v>
      </c>
      <c r="C404" s="4" t="s">
        <v>1398</v>
      </c>
      <c r="D404" s="5" t="s">
        <v>1374</v>
      </c>
      <c r="E404" s="32" t="n">
        <v>1</v>
      </c>
      <c r="F404" s="32" t="s">
        <v>82</v>
      </c>
      <c r="G404" s="33" t="s">
        <v>1344</v>
      </c>
      <c r="H404" s="32" t="s">
        <v>688</v>
      </c>
      <c r="I404" s="32" t="n">
        <v>1</v>
      </c>
      <c r="J404" s="32" t="n">
        <f aca="false">E404*I404</f>
        <v>1</v>
      </c>
      <c r="K404" s="32" t="s">
        <v>689</v>
      </c>
      <c r="L404" s="32" t="n">
        <v>0</v>
      </c>
      <c r="M404" s="32" t="n">
        <v>1</v>
      </c>
      <c r="N404" s="32" t="n">
        <v>1</v>
      </c>
      <c r="O404" s="32" t="n">
        <v>0</v>
      </c>
      <c r="P404" s="32" t="n">
        <v>5</v>
      </c>
      <c r="Q404" s="32" t="n">
        <v>0</v>
      </c>
      <c r="R404" s="32" t="n">
        <f aca="false">J404*(INDEX(P_VAL,MATCH("CTRL_AÑO",P_ID,0))*L404+(1-INDEX(PY_VAL,MATCH("P_USADOS",PY_ID,0),1))*M404+INDEX(PY_VAL,MATCH("P_USADOS",PY_ID,0),1)*N404+IF(P404&gt;0,O404/P404,0)+Q404)</f>
        <v>1</v>
      </c>
      <c r="S404" s="32" t="n">
        <f aca="false">J404*(INDEX(P_VAL,MATCH("CTRL_AÑO",P_ID,0))*L404+(1-INDEX(PY_VAL,MATCH("P_USADOS",PY_ID,0),2))*M404+INDEX(PY_VAL,MATCH("P_USADOS",PY_ID,0),2)*N404+IF(P404&gt;0,O404/P404,0)+Q404)</f>
        <v>1</v>
      </c>
      <c r="T404" s="32" t="n">
        <f aca="false">J404*(INDEX(P_VAL,MATCH("CTRL_AÑO",P_ID,0))*L404+(1-INDEX(PY_VAL,MATCH("P_USADOS",PY_ID,0),3))*M404+INDEX(PY_VAL,MATCH("P_USADOS",PY_ID,0),3)*N404+IF(P404&gt;0,O404/P404,0)+Q404)</f>
        <v>1</v>
      </c>
      <c r="U404" s="32" t="n">
        <f aca="false">J404*(INDEX(P_VAL,MATCH("CTRL_AÑO",P_ID,0))*L404+(1-INDEX(PY_VAL,MATCH("P_USADOS",PY_ID,0),4))*M404+INDEX(PY_VAL,MATCH("P_USADOS",PY_ID,0),4)*N404+IF(P404&gt;0,O404/P404,0)+Q404)</f>
        <v>1</v>
      </c>
      <c r="V404" s="32" t="n">
        <f aca="false">J404*(INDEX(P_VAL,MATCH("CTRL_AÑO",P_ID,0))*L404+(1-INDEX(PY_VAL,MATCH("P_USADOS",PY_ID,0),5))*M404+INDEX(PY_VAL,MATCH("P_USADOS",PY_ID,0),5)*N404+IF(P404&gt;0,O404/P404,0)+Q404)</f>
        <v>1</v>
      </c>
      <c r="W404" s="32" t="n">
        <f aca="false">J404*(INDEX(P_VAL,MATCH("CTRL_AÑO",P_ID,0))*L404+(1-INDEX(PY_VAL,MATCH("P_USADOS",PY_ID,0),6))*M404+INDEX(PY_VAL,MATCH("P_USADOS",PY_ID,0),6)*N404+IF(P404&gt;0,O404/P404,0)+Q404)</f>
        <v>1</v>
      </c>
      <c r="X404" s="32" t="n">
        <f aca="false">J404*(INDEX(P_VAL,MATCH("CTRL_AÑO",P_ID,0))*L404+(1-INDEX(PY_VAL,MATCH("P_USADOS",PY_ID,0),7))*M404+INDEX(PY_VAL,MATCH("P_USADOS",PY_ID,0),7)*N404+IF(P404&gt;0,O404/P404,0)+Q404)</f>
        <v>1</v>
      </c>
      <c r="Y404" s="32" t="n">
        <f aca="false">J404*(INDEX(P_VAL,MATCH("CTRL_AÑO",P_ID,0))*L404+(1-INDEX(PY_VAL,MATCH("P_USADOS",PY_ID,0),8))*M404+INDEX(PY_VAL,MATCH("P_USADOS",PY_ID,0),8)*N404+IF(P404&gt;0,O404/P404,0)+Q404)</f>
        <v>1</v>
      </c>
      <c r="Z404" s="32" t="n">
        <f aca="false">J404*(INDEX(P_VAL,MATCH("CTRL_AÑO",P_ID,0))*L404+(1-INDEX(PY_VAL,MATCH("P_USADOS",PY_ID,0),9))*M404+INDEX(PY_VAL,MATCH("P_USADOS",PY_ID,0),9)*N404+IF(P404&gt;0,O404/P404,0)+Q404)</f>
        <v>1</v>
      </c>
      <c r="AA404" s="32" t="n">
        <f aca="false">J404*(INDEX(P_VAL,MATCH("CTRL_AÑO",P_ID,0))*L404+(1-INDEX(PY_VAL,MATCH("P_USADOS",PY_ID,0),10))*M404+INDEX(PY_VAL,MATCH("P_USADOS",PY_ID,0),10)*N404+IF(P404&gt;0,O404/P404,0)+Q404)</f>
        <v>1</v>
      </c>
      <c r="AB404" s="5" t="s">
        <v>1346</v>
      </c>
    </row>
    <row r="405" customFormat="false" ht="15" hidden="false" customHeight="false" outlineLevel="0" collapsed="false">
      <c r="A405" s="4" t="s">
        <v>286</v>
      </c>
      <c r="B405" s="4" t="s">
        <v>1375</v>
      </c>
      <c r="C405" s="4" t="s">
        <v>1399</v>
      </c>
      <c r="D405" s="5" t="s">
        <v>1377</v>
      </c>
      <c r="E405" s="32" t="n">
        <v>1</v>
      </c>
      <c r="F405" s="32" t="s">
        <v>82</v>
      </c>
      <c r="G405" s="33" t="s">
        <v>1344</v>
      </c>
      <c r="H405" s="32" t="s">
        <v>630</v>
      </c>
      <c r="I405" s="32" t="n">
        <v>1</v>
      </c>
      <c r="J405" s="32" t="n">
        <f aca="false">E405*I405</f>
        <v>1</v>
      </c>
      <c r="K405" s="32"/>
      <c r="L405" s="32" t="n">
        <v>0</v>
      </c>
      <c r="M405" s="32" t="n">
        <v>1</v>
      </c>
      <c r="N405" s="32" t="n">
        <v>1</v>
      </c>
      <c r="O405" s="32" t="n">
        <v>0</v>
      </c>
      <c r="P405" s="32" t="n">
        <v>5</v>
      </c>
      <c r="Q405" s="32" t="n">
        <v>0</v>
      </c>
      <c r="R405" s="32" t="n">
        <f aca="false">J405*(INDEX(P_VAL,MATCH("CTRL_AÑO",P_ID,0))*L405+(1-INDEX(PY_VAL,MATCH("P_USADOS",PY_ID,0),1))*M405+INDEX(PY_VAL,MATCH("P_USADOS",PY_ID,0),1)*N405+IF(P405&gt;0,O405/P405,0)+Q405)</f>
        <v>1</v>
      </c>
      <c r="S405" s="32" t="n">
        <f aca="false">J405*(INDEX(P_VAL,MATCH("CTRL_AÑO",P_ID,0))*L405+(1-INDEX(PY_VAL,MATCH("P_USADOS",PY_ID,0),2))*M405+INDEX(PY_VAL,MATCH("P_USADOS",PY_ID,0),2)*N405+IF(P405&gt;0,O405/P405,0)+Q405)</f>
        <v>1</v>
      </c>
      <c r="T405" s="32" t="n">
        <f aca="false">J405*(INDEX(P_VAL,MATCH("CTRL_AÑO",P_ID,0))*L405+(1-INDEX(PY_VAL,MATCH("P_USADOS",PY_ID,0),3))*M405+INDEX(PY_VAL,MATCH("P_USADOS",PY_ID,0),3)*N405+IF(P405&gt;0,O405/P405,0)+Q405)</f>
        <v>1</v>
      </c>
      <c r="U405" s="32" t="n">
        <f aca="false">J405*(INDEX(P_VAL,MATCH("CTRL_AÑO",P_ID,0))*L405+(1-INDEX(PY_VAL,MATCH("P_USADOS",PY_ID,0),4))*M405+INDEX(PY_VAL,MATCH("P_USADOS",PY_ID,0),4)*N405+IF(P405&gt;0,O405/P405,0)+Q405)</f>
        <v>1</v>
      </c>
      <c r="V405" s="32" t="n">
        <f aca="false">J405*(INDEX(P_VAL,MATCH("CTRL_AÑO",P_ID,0))*L405+(1-INDEX(PY_VAL,MATCH("P_USADOS",PY_ID,0),5))*M405+INDEX(PY_VAL,MATCH("P_USADOS",PY_ID,0),5)*N405+IF(P405&gt;0,O405/P405,0)+Q405)</f>
        <v>1</v>
      </c>
      <c r="W405" s="32" t="n">
        <f aca="false">J405*(INDEX(P_VAL,MATCH("CTRL_AÑO",P_ID,0))*L405+(1-INDEX(PY_VAL,MATCH("P_USADOS",PY_ID,0),6))*M405+INDEX(PY_VAL,MATCH("P_USADOS",PY_ID,0),6)*N405+IF(P405&gt;0,O405/P405,0)+Q405)</f>
        <v>1</v>
      </c>
      <c r="X405" s="32" t="n">
        <f aca="false">J405*(INDEX(P_VAL,MATCH("CTRL_AÑO",P_ID,0))*L405+(1-INDEX(PY_VAL,MATCH("P_USADOS",PY_ID,0),7))*M405+INDEX(PY_VAL,MATCH("P_USADOS",PY_ID,0),7)*N405+IF(P405&gt;0,O405/P405,0)+Q405)</f>
        <v>1</v>
      </c>
      <c r="Y405" s="32" t="n">
        <f aca="false">J405*(INDEX(P_VAL,MATCH("CTRL_AÑO",P_ID,0))*L405+(1-INDEX(PY_VAL,MATCH("P_USADOS",PY_ID,0),8))*M405+INDEX(PY_VAL,MATCH("P_USADOS",PY_ID,0),8)*N405+IF(P405&gt;0,O405/P405,0)+Q405)</f>
        <v>1</v>
      </c>
      <c r="Z405" s="32" t="n">
        <f aca="false">J405*(INDEX(P_VAL,MATCH("CTRL_AÑO",P_ID,0))*L405+(1-INDEX(PY_VAL,MATCH("P_USADOS",PY_ID,0),9))*M405+INDEX(PY_VAL,MATCH("P_USADOS",PY_ID,0),9)*N405+IF(P405&gt;0,O405/P405,0)+Q405)</f>
        <v>1</v>
      </c>
      <c r="AA405" s="32" t="n">
        <f aca="false">J405*(INDEX(P_VAL,MATCH("CTRL_AÑO",P_ID,0))*L405+(1-INDEX(PY_VAL,MATCH("P_USADOS",PY_ID,0),10))*M405+INDEX(PY_VAL,MATCH("P_USADOS",PY_ID,0),10)*N405+IF(P405&gt;0,O405/P405,0)+Q405)</f>
        <v>1</v>
      </c>
      <c r="AB405" s="5" t="s">
        <v>1346</v>
      </c>
    </row>
    <row r="406" customFormat="false" ht="15" hidden="false" customHeight="false" outlineLevel="0" collapsed="false">
      <c r="A406" s="4" t="s">
        <v>286</v>
      </c>
      <c r="B406" s="4" t="s">
        <v>1378</v>
      </c>
      <c r="C406" s="4" t="s">
        <v>1400</v>
      </c>
      <c r="D406" s="5" t="s">
        <v>1380</v>
      </c>
      <c r="E406" s="32" t="n">
        <v>1</v>
      </c>
      <c r="F406" s="32" t="s">
        <v>82</v>
      </c>
      <c r="G406" s="33" t="s">
        <v>1344</v>
      </c>
      <c r="H406" s="32" t="s">
        <v>1381</v>
      </c>
      <c r="I406" s="32" t="n">
        <v>1</v>
      </c>
      <c r="J406" s="32" t="n">
        <f aca="false">E406*I406</f>
        <v>1</v>
      </c>
      <c r="K406" s="32"/>
      <c r="L406" s="32" t="n">
        <v>0</v>
      </c>
      <c r="M406" s="32" t="n">
        <v>0</v>
      </c>
      <c r="N406" s="32" t="n">
        <v>0</v>
      </c>
      <c r="O406" s="32" t="n">
        <v>1</v>
      </c>
      <c r="P406" s="32" t="n">
        <v>5</v>
      </c>
      <c r="Q406" s="32" t="n">
        <v>0</v>
      </c>
      <c r="R406" s="32" t="n">
        <f aca="false">J406*(INDEX(P_VAL,MATCH("CTRL_AÑO",P_ID,0))*L406+(1-INDEX(PY_VAL,MATCH("P_USADOS",PY_ID,0),1))*M406+INDEX(PY_VAL,MATCH("P_USADOS",PY_ID,0),1)*N406+IF(P406&gt;0,O406/P406,0)+Q406)</f>
        <v>0.2</v>
      </c>
      <c r="S406" s="32" t="n">
        <f aca="false">J406*(INDEX(P_VAL,MATCH("CTRL_AÑO",P_ID,0))*L406+(1-INDEX(PY_VAL,MATCH("P_USADOS",PY_ID,0),2))*M406+INDEX(PY_VAL,MATCH("P_USADOS",PY_ID,0),2)*N406+IF(P406&gt;0,O406/P406,0)+Q406)</f>
        <v>0.2</v>
      </c>
      <c r="T406" s="32" t="n">
        <f aca="false">J406*(INDEX(P_VAL,MATCH("CTRL_AÑO",P_ID,0))*L406+(1-INDEX(PY_VAL,MATCH("P_USADOS",PY_ID,0),3))*M406+INDEX(PY_VAL,MATCH("P_USADOS",PY_ID,0),3)*N406+IF(P406&gt;0,O406/P406,0)+Q406)</f>
        <v>0.2</v>
      </c>
      <c r="U406" s="32" t="n">
        <f aca="false">J406*(INDEX(P_VAL,MATCH("CTRL_AÑO",P_ID,0))*L406+(1-INDEX(PY_VAL,MATCH("P_USADOS",PY_ID,0),4))*M406+INDEX(PY_VAL,MATCH("P_USADOS",PY_ID,0),4)*N406+IF(P406&gt;0,O406/P406,0)+Q406)</f>
        <v>0.2</v>
      </c>
      <c r="V406" s="32" t="n">
        <f aca="false">J406*(INDEX(P_VAL,MATCH("CTRL_AÑO",P_ID,0))*L406+(1-INDEX(PY_VAL,MATCH("P_USADOS",PY_ID,0),5))*M406+INDEX(PY_VAL,MATCH("P_USADOS",PY_ID,0),5)*N406+IF(P406&gt;0,O406/P406,0)+Q406)</f>
        <v>0.2</v>
      </c>
      <c r="W406" s="32" t="n">
        <f aca="false">J406*(INDEX(P_VAL,MATCH("CTRL_AÑO",P_ID,0))*L406+(1-INDEX(PY_VAL,MATCH("P_USADOS",PY_ID,0),6))*M406+INDEX(PY_VAL,MATCH("P_USADOS",PY_ID,0),6)*N406+IF(P406&gt;0,O406/P406,0)+Q406)</f>
        <v>0.2</v>
      </c>
      <c r="X406" s="32" t="n">
        <f aca="false">J406*(INDEX(P_VAL,MATCH("CTRL_AÑO",P_ID,0))*L406+(1-INDEX(PY_VAL,MATCH("P_USADOS",PY_ID,0),7))*M406+INDEX(PY_VAL,MATCH("P_USADOS",PY_ID,0),7)*N406+IF(P406&gt;0,O406/P406,0)+Q406)</f>
        <v>0.2</v>
      </c>
      <c r="Y406" s="32" t="n">
        <f aca="false">J406*(INDEX(P_VAL,MATCH("CTRL_AÑO",P_ID,0))*L406+(1-INDEX(PY_VAL,MATCH("P_USADOS",PY_ID,0),8))*M406+INDEX(PY_VAL,MATCH("P_USADOS",PY_ID,0),8)*N406+IF(P406&gt;0,O406/P406,0)+Q406)</f>
        <v>0.2</v>
      </c>
      <c r="Z406" s="32" t="n">
        <f aca="false">J406*(INDEX(P_VAL,MATCH("CTRL_AÑO",P_ID,0))*L406+(1-INDEX(PY_VAL,MATCH("P_USADOS",PY_ID,0),9))*M406+INDEX(PY_VAL,MATCH("P_USADOS",PY_ID,0),9)*N406+IF(P406&gt;0,O406/P406,0)+Q406)</f>
        <v>0.2</v>
      </c>
      <c r="AA406" s="32" t="n">
        <f aca="false">J406*(INDEX(P_VAL,MATCH("CTRL_AÑO",P_ID,0))*L406+(1-INDEX(PY_VAL,MATCH("P_USADOS",PY_ID,0),10))*M406+INDEX(PY_VAL,MATCH("P_USADOS",PY_ID,0),10)*N406+IF(P406&gt;0,O406/P406,0)+Q406)</f>
        <v>0.2</v>
      </c>
      <c r="AB406" s="5" t="s">
        <v>1346</v>
      </c>
    </row>
    <row r="407" customFormat="false" ht="15" hidden="false" customHeight="false" outlineLevel="0" collapsed="false">
      <c r="A407" s="4" t="s">
        <v>286</v>
      </c>
      <c r="B407" s="4" t="s">
        <v>1382</v>
      </c>
      <c r="C407" s="4" t="s">
        <v>1401</v>
      </c>
      <c r="D407" s="5" t="s">
        <v>1384</v>
      </c>
      <c r="E407" s="32" t="n">
        <v>1</v>
      </c>
      <c r="F407" s="32" t="s">
        <v>73</v>
      </c>
      <c r="G407" s="33" t="s">
        <v>1385</v>
      </c>
      <c r="H407" s="32"/>
      <c r="I407" s="32"/>
      <c r="J407" s="32"/>
      <c r="K407" s="32"/>
      <c r="L407" s="32" t="n">
        <v>0</v>
      </c>
      <c r="M407" s="32" t="n">
        <v>0</v>
      </c>
      <c r="N407" s="32" t="n">
        <v>0</v>
      </c>
      <c r="O407" s="32" t="n">
        <v>0</v>
      </c>
      <c r="P407" s="32" t="n">
        <v>0</v>
      </c>
      <c r="Q407" s="32" t="n">
        <v>0</v>
      </c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5" t="s">
        <v>1386</v>
      </c>
    </row>
    <row r="408" customFormat="false" ht="15" hidden="false" customHeight="false" outlineLevel="0" collapsed="false">
      <c r="A408" s="4" t="s">
        <v>286</v>
      </c>
      <c r="B408" s="4"/>
      <c r="C408" s="4"/>
      <c r="D408" s="5" t="s">
        <v>1387</v>
      </c>
      <c r="E408" s="32" t="n">
        <v>1</v>
      </c>
      <c r="F408" s="32" t="s">
        <v>82</v>
      </c>
      <c r="G408" s="33" t="s">
        <v>477</v>
      </c>
      <c r="H408" s="32" t="s">
        <v>634</v>
      </c>
      <c r="I408" s="32" t="n">
        <v>1</v>
      </c>
      <c r="J408" s="32" t="n">
        <f aca="false">E408*I408</f>
        <v>1</v>
      </c>
      <c r="K408" s="32"/>
      <c r="L408" s="32" t="n">
        <v>0</v>
      </c>
      <c r="M408" s="32" t="n">
        <v>0</v>
      </c>
      <c r="N408" s="32" t="n">
        <v>0</v>
      </c>
      <c r="O408" s="32" t="n">
        <v>0</v>
      </c>
      <c r="P408" s="32" t="n">
        <v>0</v>
      </c>
      <c r="Q408" s="32" t="n">
        <f aca="false">INDEX(P_VAL,MATCH("REPO_VALV",P_ID,0))</f>
        <v>0.03</v>
      </c>
      <c r="R408" s="32" t="n">
        <f aca="false">J408*(INDEX(P_VAL,MATCH("CTRL_AÑO",P_ID,0))*L408+(1-INDEX(PY_VAL,MATCH("P_USADOS",PY_ID,0),1))*M408+INDEX(PY_VAL,MATCH("P_USADOS",PY_ID,0),1)*N408+IF(P408&gt;0,O408/P408,0)+Q408)</f>
        <v>0.03</v>
      </c>
      <c r="S408" s="32" t="n">
        <f aca="false">J408*(INDEX(P_VAL,MATCH("CTRL_AÑO",P_ID,0))*L408+(1-INDEX(PY_VAL,MATCH("P_USADOS",PY_ID,0),2))*M408+INDEX(PY_VAL,MATCH("P_USADOS",PY_ID,0),2)*N408+IF(P408&gt;0,O408/P408,0)+Q408)</f>
        <v>0.03</v>
      </c>
      <c r="T408" s="32" t="n">
        <f aca="false">J408*(INDEX(P_VAL,MATCH("CTRL_AÑO",P_ID,0))*L408+(1-INDEX(PY_VAL,MATCH("P_USADOS",PY_ID,0),3))*M408+INDEX(PY_VAL,MATCH("P_USADOS",PY_ID,0),3)*N408+IF(P408&gt;0,O408/P408,0)+Q408)</f>
        <v>0.03</v>
      </c>
      <c r="U408" s="32" t="n">
        <f aca="false">J408*(INDEX(P_VAL,MATCH("CTRL_AÑO",P_ID,0))*L408+(1-INDEX(PY_VAL,MATCH("P_USADOS",PY_ID,0),4))*M408+INDEX(PY_VAL,MATCH("P_USADOS",PY_ID,0),4)*N408+IF(P408&gt;0,O408/P408,0)+Q408)</f>
        <v>0.03</v>
      </c>
      <c r="V408" s="32" t="n">
        <f aca="false">J408*(INDEX(P_VAL,MATCH("CTRL_AÑO",P_ID,0))*L408+(1-INDEX(PY_VAL,MATCH("P_USADOS",PY_ID,0),5))*M408+INDEX(PY_VAL,MATCH("P_USADOS",PY_ID,0),5)*N408+IF(P408&gt;0,O408/P408,0)+Q408)</f>
        <v>0.03</v>
      </c>
      <c r="W408" s="32" t="n">
        <f aca="false">J408*(INDEX(P_VAL,MATCH("CTRL_AÑO",P_ID,0))*L408+(1-INDEX(PY_VAL,MATCH("P_USADOS",PY_ID,0),6))*M408+INDEX(PY_VAL,MATCH("P_USADOS",PY_ID,0),6)*N408+IF(P408&gt;0,O408/P408,0)+Q408)</f>
        <v>0.03</v>
      </c>
      <c r="X408" s="32" t="n">
        <f aca="false">J408*(INDEX(P_VAL,MATCH("CTRL_AÑO",P_ID,0))*L408+(1-INDEX(PY_VAL,MATCH("P_USADOS",PY_ID,0),7))*M408+INDEX(PY_VAL,MATCH("P_USADOS",PY_ID,0),7)*N408+IF(P408&gt;0,O408/P408,0)+Q408)</f>
        <v>0.03</v>
      </c>
      <c r="Y408" s="32" t="n">
        <f aca="false">J408*(INDEX(P_VAL,MATCH("CTRL_AÑO",P_ID,0))*L408+(1-INDEX(PY_VAL,MATCH("P_USADOS",PY_ID,0),8))*M408+INDEX(PY_VAL,MATCH("P_USADOS",PY_ID,0),8)*N408+IF(P408&gt;0,O408/P408,0)+Q408)</f>
        <v>0.03</v>
      </c>
      <c r="Z408" s="32" t="n">
        <f aca="false">J408*(INDEX(P_VAL,MATCH("CTRL_AÑO",P_ID,0))*L408+(1-INDEX(PY_VAL,MATCH("P_USADOS",PY_ID,0),9))*M408+INDEX(PY_VAL,MATCH("P_USADOS",PY_ID,0),9)*N408+IF(P408&gt;0,O408/P408,0)+Q408)</f>
        <v>0.03</v>
      </c>
      <c r="AA408" s="32" t="n">
        <f aca="false">J408*(INDEX(P_VAL,MATCH("CTRL_AÑO",P_ID,0))*L408+(1-INDEX(PY_VAL,MATCH("P_USADOS",PY_ID,0),10))*M408+INDEX(PY_VAL,MATCH("P_USADOS",PY_ID,0),10)*N408+IF(P408&gt;0,O408/P408,0)+Q408)</f>
        <v>0.03</v>
      </c>
      <c r="AB408" s="5" t="s">
        <v>1388</v>
      </c>
    </row>
    <row r="409" customFormat="false" ht="15" hidden="false" customHeight="false" outlineLevel="0" collapsed="false">
      <c r="A409" s="4" t="s">
        <v>286</v>
      </c>
      <c r="B409" s="4"/>
      <c r="C409" s="4"/>
      <c r="D409" s="5" t="s">
        <v>1389</v>
      </c>
      <c r="E409" s="32" t="n">
        <v>1</v>
      </c>
      <c r="F409" s="32" t="s">
        <v>82</v>
      </c>
      <c r="G409" s="33" t="s">
        <v>477</v>
      </c>
      <c r="H409" s="32" t="s">
        <v>510</v>
      </c>
      <c r="I409" s="32" t="n">
        <v>1</v>
      </c>
      <c r="J409" s="32" t="n">
        <f aca="false">E409*I409</f>
        <v>1</v>
      </c>
      <c r="K409" s="32"/>
      <c r="L409" s="32" t="n">
        <v>0</v>
      </c>
      <c r="M409" s="32" t="n">
        <v>0</v>
      </c>
      <c r="N409" s="32" t="n">
        <v>0</v>
      </c>
      <c r="O409" s="32" t="n">
        <v>0</v>
      </c>
      <c r="P409" s="32" t="n">
        <v>0</v>
      </c>
      <c r="Q409" s="32" t="n">
        <f aca="false">INDEX(P_VAL,MATCH("REPO_MANO",P_ID,0))</f>
        <v>0.08</v>
      </c>
      <c r="R409" s="32" t="n">
        <f aca="false">J409*(INDEX(P_VAL,MATCH("CTRL_AÑO",P_ID,0))*L409+(1-INDEX(PY_VAL,MATCH("P_USADOS",PY_ID,0),1))*M409+INDEX(PY_VAL,MATCH("P_USADOS",PY_ID,0),1)*N409+IF(P409&gt;0,O409/P409,0)+Q409)</f>
        <v>0.08</v>
      </c>
      <c r="S409" s="32" t="n">
        <f aca="false">J409*(INDEX(P_VAL,MATCH("CTRL_AÑO",P_ID,0))*L409+(1-INDEX(PY_VAL,MATCH("P_USADOS",PY_ID,0),2))*M409+INDEX(PY_VAL,MATCH("P_USADOS",PY_ID,0),2)*N409+IF(P409&gt;0,O409/P409,0)+Q409)</f>
        <v>0.08</v>
      </c>
      <c r="T409" s="32" t="n">
        <f aca="false">J409*(INDEX(P_VAL,MATCH("CTRL_AÑO",P_ID,0))*L409+(1-INDEX(PY_VAL,MATCH("P_USADOS",PY_ID,0),3))*M409+INDEX(PY_VAL,MATCH("P_USADOS",PY_ID,0),3)*N409+IF(P409&gt;0,O409/P409,0)+Q409)</f>
        <v>0.08</v>
      </c>
      <c r="U409" s="32" t="n">
        <f aca="false">J409*(INDEX(P_VAL,MATCH("CTRL_AÑO",P_ID,0))*L409+(1-INDEX(PY_VAL,MATCH("P_USADOS",PY_ID,0),4))*M409+INDEX(PY_VAL,MATCH("P_USADOS",PY_ID,0),4)*N409+IF(P409&gt;0,O409/P409,0)+Q409)</f>
        <v>0.08</v>
      </c>
      <c r="V409" s="32" t="n">
        <f aca="false">J409*(INDEX(P_VAL,MATCH("CTRL_AÑO",P_ID,0))*L409+(1-INDEX(PY_VAL,MATCH("P_USADOS",PY_ID,0),5))*M409+INDEX(PY_VAL,MATCH("P_USADOS",PY_ID,0),5)*N409+IF(P409&gt;0,O409/P409,0)+Q409)</f>
        <v>0.08</v>
      </c>
      <c r="W409" s="32" t="n">
        <f aca="false">J409*(INDEX(P_VAL,MATCH("CTRL_AÑO",P_ID,0))*L409+(1-INDEX(PY_VAL,MATCH("P_USADOS",PY_ID,0),6))*M409+INDEX(PY_VAL,MATCH("P_USADOS",PY_ID,0),6)*N409+IF(P409&gt;0,O409/P409,0)+Q409)</f>
        <v>0.08</v>
      </c>
      <c r="X409" s="32" t="n">
        <f aca="false">J409*(INDEX(P_VAL,MATCH("CTRL_AÑO",P_ID,0))*L409+(1-INDEX(PY_VAL,MATCH("P_USADOS",PY_ID,0),7))*M409+INDEX(PY_VAL,MATCH("P_USADOS",PY_ID,0),7)*N409+IF(P409&gt;0,O409/P409,0)+Q409)</f>
        <v>0.08</v>
      </c>
      <c r="Y409" s="32" t="n">
        <f aca="false">J409*(INDEX(P_VAL,MATCH("CTRL_AÑO",P_ID,0))*L409+(1-INDEX(PY_VAL,MATCH("P_USADOS",PY_ID,0),8))*M409+INDEX(PY_VAL,MATCH("P_USADOS",PY_ID,0),8)*N409+IF(P409&gt;0,O409/P409,0)+Q409)</f>
        <v>0.08</v>
      </c>
      <c r="Z409" s="32" t="n">
        <f aca="false">J409*(INDEX(P_VAL,MATCH("CTRL_AÑO",P_ID,0))*L409+(1-INDEX(PY_VAL,MATCH("P_USADOS",PY_ID,0),9))*M409+INDEX(PY_VAL,MATCH("P_USADOS",PY_ID,0),9)*N409+IF(P409&gt;0,O409/P409,0)+Q409)</f>
        <v>0.08</v>
      </c>
      <c r="AA409" s="32" t="n">
        <f aca="false">J409*(INDEX(P_VAL,MATCH("CTRL_AÑO",P_ID,0))*L409+(1-INDEX(PY_VAL,MATCH("P_USADOS",PY_ID,0),10))*M409+INDEX(PY_VAL,MATCH("P_USADOS",PY_ID,0),10)*N409+IF(P409&gt;0,O409/P409,0)+Q409)</f>
        <v>0.08</v>
      </c>
      <c r="AB409" s="5" t="s">
        <v>1388</v>
      </c>
    </row>
    <row r="410" customFormat="false" ht="15" hidden="false" customHeight="false" outlineLevel="0" collapsed="false">
      <c r="A410" s="4" t="s">
        <v>286</v>
      </c>
      <c r="B410" s="4"/>
      <c r="C410" s="4"/>
      <c r="D410" s="5" t="s">
        <v>1402</v>
      </c>
      <c r="E410" s="32" t="n">
        <v>1</v>
      </c>
      <c r="F410" s="32" t="s">
        <v>82</v>
      </c>
      <c r="G410" s="33" t="s">
        <v>477</v>
      </c>
      <c r="H410" s="32" t="s">
        <v>661</v>
      </c>
      <c r="I410" s="32" t="n">
        <v>1</v>
      </c>
      <c r="J410" s="32" t="n">
        <f aca="false">E410*I410</f>
        <v>1</v>
      </c>
      <c r="K410" s="32"/>
      <c r="L410" s="32" t="n">
        <v>0</v>
      </c>
      <c r="M410" s="32" t="n">
        <v>0</v>
      </c>
      <c r="N410" s="32" t="n">
        <v>0</v>
      </c>
      <c r="O410" s="32" t="n">
        <v>0</v>
      </c>
      <c r="P410" s="32" t="n">
        <v>0</v>
      </c>
      <c r="Q410" s="32" t="n">
        <f aca="false">INDEX(P_VAL,MATCH("REPO_MANG",P_ID,0))</f>
        <v>0.05</v>
      </c>
      <c r="R410" s="32" t="n">
        <f aca="false">J410*(INDEX(P_VAL,MATCH("CTRL_AÑO",P_ID,0))*L410+(1-INDEX(PY_VAL,MATCH("P_USADOS",PY_ID,0),1))*M410+INDEX(PY_VAL,MATCH("P_USADOS",PY_ID,0),1)*N410+IF(P410&gt;0,O410/P410,0)+Q410)</f>
        <v>0.05</v>
      </c>
      <c r="S410" s="32" t="n">
        <f aca="false">J410*(INDEX(P_VAL,MATCH("CTRL_AÑO",P_ID,0))*L410+(1-INDEX(PY_VAL,MATCH("P_USADOS",PY_ID,0),2))*M410+INDEX(PY_VAL,MATCH("P_USADOS",PY_ID,0),2)*N410+IF(P410&gt;0,O410/P410,0)+Q410)</f>
        <v>0.05</v>
      </c>
      <c r="T410" s="32" t="n">
        <f aca="false">J410*(INDEX(P_VAL,MATCH("CTRL_AÑO",P_ID,0))*L410+(1-INDEX(PY_VAL,MATCH("P_USADOS",PY_ID,0),3))*M410+INDEX(PY_VAL,MATCH("P_USADOS",PY_ID,0),3)*N410+IF(P410&gt;0,O410/P410,0)+Q410)</f>
        <v>0.05</v>
      </c>
      <c r="U410" s="32" t="n">
        <f aca="false">J410*(INDEX(P_VAL,MATCH("CTRL_AÑO",P_ID,0))*L410+(1-INDEX(PY_VAL,MATCH("P_USADOS",PY_ID,0),4))*M410+INDEX(PY_VAL,MATCH("P_USADOS",PY_ID,0),4)*N410+IF(P410&gt;0,O410/P410,0)+Q410)</f>
        <v>0.05</v>
      </c>
      <c r="V410" s="32" t="n">
        <f aca="false">J410*(INDEX(P_VAL,MATCH("CTRL_AÑO",P_ID,0))*L410+(1-INDEX(PY_VAL,MATCH("P_USADOS",PY_ID,0),5))*M410+INDEX(PY_VAL,MATCH("P_USADOS",PY_ID,0),5)*N410+IF(P410&gt;0,O410/P410,0)+Q410)</f>
        <v>0.05</v>
      </c>
      <c r="W410" s="32" t="n">
        <f aca="false">J410*(INDEX(P_VAL,MATCH("CTRL_AÑO",P_ID,0))*L410+(1-INDEX(PY_VAL,MATCH("P_USADOS",PY_ID,0),6))*M410+INDEX(PY_VAL,MATCH("P_USADOS",PY_ID,0),6)*N410+IF(P410&gt;0,O410/P410,0)+Q410)</f>
        <v>0.05</v>
      </c>
      <c r="X410" s="32" t="n">
        <f aca="false">J410*(INDEX(P_VAL,MATCH("CTRL_AÑO",P_ID,0))*L410+(1-INDEX(PY_VAL,MATCH("P_USADOS",PY_ID,0),7))*M410+INDEX(PY_VAL,MATCH("P_USADOS",PY_ID,0),7)*N410+IF(P410&gt;0,O410/P410,0)+Q410)</f>
        <v>0.05</v>
      </c>
      <c r="Y410" s="32" t="n">
        <f aca="false">J410*(INDEX(P_VAL,MATCH("CTRL_AÑO",P_ID,0))*L410+(1-INDEX(PY_VAL,MATCH("P_USADOS",PY_ID,0),8))*M410+INDEX(PY_VAL,MATCH("P_USADOS",PY_ID,0),8)*N410+IF(P410&gt;0,O410/P410,0)+Q410)</f>
        <v>0.05</v>
      </c>
      <c r="Z410" s="32" t="n">
        <f aca="false">J410*(INDEX(P_VAL,MATCH("CTRL_AÑO",P_ID,0))*L410+(1-INDEX(PY_VAL,MATCH("P_USADOS",PY_ID,0),9))*M410+INDEX(PY_VAL,MATCH("P_USADOS",PY_ID,0),9)*N410+IF(P410&gt;0,O410/P410,0)+Q410)</f>
        <v>0.05</v>
      </c>
      <c r="AA410" s="32" t="n">
        <f aca="false">J410*(INDEX(P_VAL,MATCH("CTRL_AÑO",P_ID,0))*L410+(1-INDEX(PY_VAL,MATCH("P_USADOS",PY_ID,0),10))*M410+INDEX(PY_VAL,MATCH("P_USADOS",PY_ID,0),10)*N410+IF(P410&gt;0,O410/P410,0)+Q410)</f>
        <v>0.05</v>
      </c>
      <c r="AB410" s="5" t="s">
        <v>1388</v>
      </c>
    </row>
    <row r="411" customFormat="false" ht="15" hidden="false" customHeight="false" outlineLevel="0" collapsed="false">
      <c r="A411" s="4" t="s">
        <v>290</v>
      </c>
      <c r="B411" s="4" t="s">
        <v>1341</v>
      </c>
      <c r="C411" s="4" t="s">
        <v>1403</v>
      </c>
      <c r="D411" s="5" t="s">
        <v>1343</v>
      </c>
      <c r="E411" s="32" t="n">
        <v>1</v>
      </c>
      <c r="F411" s="32" t="s">
        <v>82</v>
      </c>
      <c r="G411" s="33" t="s">
        <v>1344</v>
      </c>
      <c r="H411" s="32" t="s">
        <v>1345</v>
      </c>
      <c r="I411" s="32" t="n">
        <v>1</v>
      </c>
      <c r="J411" s="32" t="n">
        <f aca="false">E411*I411</f>
        <v>1</v>
      </c>
      <c r="K411" s="32"/>
      <c r="L411" s="32" t="n">
        <v>1</v>
      </c>
      <c r="M411" s="32" t="n">
        <v>0</v>
      </c>
      <c r="N411" s="32" t="n">
        <v>0</v>
      </c>
      <c r="O411" s="32" t="n">
        <v>0</v>
      </c>
      <c r="P411" s="32" t="n">
        <v>5</v>
      </c>
      <c r="Q411" s="32" t="n">
        <v>0</v>
      </c>
      <c r="R411" s="32" t="n">
        <f aca="false">J411*(INDEX(P_VAL,MATCH("CTRL_AÑO",P_ID,0))*L411+(1-INDEX(PY_VAL,MATCH("P_USADOS",PY_ID,0),1))*M411+INDEX(PY_VAL,MATCH("P_USADOS",PY_ID,0),1)*N411+IF(P411&gt;0,O411/P411,0)+Q411)</f>
        <v>4</v>
      </c>
      <c r="S411" s="32" t="n">
        <f aca="false">J411*(INDEX(P_VAL,MATCH("CTRL_AÑO",P_ID,0))*L411+(1-INDEX(PY_VAL,MATCH("P_USADOS",PY_ID,0),2))*M411+INDEX(PY_VAL,MATCH("P_USADOS",PY_ID,0),2)*N411+IF(P411&gt;0,O411/P411,0)+Q411)</f>
        <v>4</v>
      </c>
      <c r="T411" s="32" t="n">
        <f aca="false">J411*(INDEX(P_VAL,MATCH("CTRL_AÑO",P_ID,0))*L411+(1-INDEX(PY_VAL,MATCH("P_USADOS",PY_ID,0),3))*M411+INDEX(PY_VAL,MATCH("P_USADOS",PY_ID,0),3)*N411+IF(P411&gt;0,O411/P411,0)+Q411)</f>
        <v>4</v>
      </c>
      <c r="U411" s="32" t="n">
        <f aca="false">J411*(INDEX(P_VAL,MATCH("CTRL_AÑO",P_ID,0))*L411+(1-INDEX(PY_VAL,MATCH("P_USADOS",PY_ID,0),4))*M411+INDEX(PY_VAL,MATCH("P_USADOS",PY_ID,0),4)*N411+IF(P411&gt;0,O411/P411,0)+Q411)</f>
        <v>4</v>
      </c>
      <c r="V411" s="32" t="n">
        <f aca="false">J411*(INDEX(P_VAL,MATCH("CTRL_AÑO",P_ID,0))*L411+(1-INDEX(PY_VAL,MATCH("P_USADOS",PY_ID,0),5))*M411+INDEX(PY_VAL,MATCH("P_USADOS",PY_ID,0),5)*N411+IF(P411&gt;0,O411/P411,0)+Q411)</f>
        <v>4</v>
      </c>
      <c r="W411" s="32" t="n">
        <f aca="false">J411*(INDEX(P_VAL,MATCH("CTRL_AÑO",P_ID,0))*L411+(1-INDEX(PY_VAL,MATCH("P_USADOS",PY_ID,0),6))*M411+INDEX(PY_VAL,MATCH("P_USADOS",PY_ID,0),6)*N411+IF(P411&gt;0,O411/P411,0)+Q411)</f>
        <v>4</v>
      </c>
      <c r="X411" s="32" t="n">
        <f aca="false">J411*(INDEX(P_VAL,MATCH("CTRL_AÑO",P_ID,0))*L411+(1-INDEX(PY_VAL,MATCH("P_USADOS",PY_ID,0),7))*M411+INDEX(PY_VAL,MATCH("P_USADOS",PY_ID,0),7)*N411+IF(P411&gt;0,O411/P411,0)+Q411)</f>
        <v>4</v>
      </c>
      <c r="Y411" s="32" t="n">
        <f aca="false">J411*(INDEX(P_VAL,MATCH("CTRL_AÑO",P_ID,0))*L411+(1-INDEX(PY_VAL,MATCH("P_USADOS",PY_ID,0),8))*M411+INDEX(PY_VAL,MATCH("P_USADOS",PY_ID,0),8)*N411+IF(P411&gt;0,O411/P411,0)+Q411)</f>
        <v>4</v>
      </c>
      <c r="Z411" s="32" t="n">
        <f aca="false">J411*(INDEX(P_VAL,MATCH("CTRL_AÑO",P_ID,0))*L411+(1-INDEX(PY_VAL,MATCH("P_USADOS",PY_ID,0),9))*M411+INDEX(PY_VAL,MATCH("P_USADOS",PY_ID,0),9)*N411+IF(P411&gt;0,O411/P411,0)+Q411)</f>
        <v>4</v>
      </c>
      <c r="AA411" s="32" t="n">
        <f aca="false">J411*(INDEX(P_VAL,MATCH("CTRL_AÑO",P_ID,0))*L411+(1-INDEX(PY_VAL,MATCH("P_USADOS",PY_ID,0),10))*M411+INDEX(PY_VAL,MATCH("P_USADOS",PY_ID,0),10)*N411+IF(P411&gt;0,O411/P411,0)+Q411)</f>
        <v>4</v>
      </c>
      <c r="AB411" s="5" t="s">
        <v>1346</v>
      </c>
    </row>
    <row r="412" customFormat="false" ht="15" hidden="false" customHeight="false" outlineLevel="0" collapsed="false">
      <c r="A412" s="4" t="s">
        <v>290</v>
      </c>
      <c r="B412" s="4" t="s">
        <v>1347</v>
      </c>
      <c r="C412" s="4" t="s">
        <v>1404</v>
      </c>
      <c r="D412" s="5" t="s">
        <v>1349</v>
      </c>
      <c r="E412" s="32" t="n">
        <v>1</v>
      </c>
      <c r="F412" s="32" t="s">
        <v>73</v>
      </c>
      <c r="G412" s="33" t="s">
        <v>1344</v>
      </c>
      <c r="H412" s="32" t="s">
        <v>568</v>
      </c>
      <c r="I412" s="32" t="n">
        <v>1</v>
      </c>
      <c r="J412" s="32" t="n">
        <f aca="false">E412*I412</f>
        <v>1</v>
      </c>
      <c r="K412" s="32"/>
      <c r="L412" s="32" t="n">
        <v>0</v>
      </c>
      <c r="M412" s="32" t="n">
        <v>0.15</v>
      </c>
      <c r="N412" s="32" t="n">
        <v>5.15</v>
      </c>
      <c r="O412" s="32" t="n">
        <v>0</v>
      </c>
      <c r="P412" s="32" t="n">
        <v>5</v>
      </c>
      <c r="Q412" s="32" t="n">
        <v>0</v>
      </c>
      <c r="R412" s="32" t="n">
        <f aca="false">J412*(INDEX(P_VAL,MATCH("CTRL_AÑO",P_ID,0))*L412+(1-INDEX(PY_VAL,MATCH("P_USADOS",PY_ID,0),1))*M412+INDEX(PY_VAL,MATCH("P_USADOS",PY_ID,0),1)*N412+IF(P412&gt;0,O412/P412,0)+Q412)</f>
        <v>0.3882</v>
      </c>
      <c r="S412" s="32" t="n">
        <f aca="false">J412*(INDEX(P_VAL,MATCH("CTRL_AÑO",P_ID,0))*L412+(1-INDEX(PY_VAL,MATCH("P_USADOS",PY_ID,0),2))*M412+INDEX(PY_VAL,MATCH("P_USADOS",PY_ID,0),2)*N412+IF(P412&gt;0,O412/P412,0)+Q412)</f>
        <v>0.38818</v>
      </c>
      <c r="T412" s="32" t="n">
        <f aca="false">J412*(INDEX(P_VAL,MATCH("CTRL_AÑO",P_ID,0))*L412+(1-INDEX(PY_VAL,MATCH("P_USADOS",PY_ID,0),3))*M412+INDEX(PY_VAL,MATCH("P_USADOS",PY_ID,0),3)*N412+IF(P412&gt;0,O412/P412,0)+Q412)</f>
        <v>0.388185</v>
      </c>
      <c r="U412" s="32" t="n">
        <f aca="false">J412*(INDEX(P_VAL,MATCH("CTRL_AÑO",P_ID,0))*L412+(1-INDEX(PY_VAL,MATCH("P_USADOS",PY_ID,0),4))*M412+INDEX(PY_VAL,MATCH("P_USADOS",PY_ID,0),4)*N412+IF(P412&gt;0,O412/P412,0)+Q412)</f>
        <v>0.388195</v>
      </c>
      <c r="V412" s="32" t="n">
        <f aca="false">J412*(INDEX(P_VAL,MATCH("CTRL_AÑO",P_ID,0))*L412+(1-INDEX(PY_VAL,MATCH("P_USADOS",PY_ID,0),5))*M412+INDEX(PY_VAL,MATCH("P_USADOS",PY_ID,0),5)*N412+IF(P412&gt;0,O412/P412,0)+Q412)</f>
        <v>0.38818</v>
      </c>
      <c r="W412" s="32" t="n">
        <f aca="false">J412*(INDEX(P_VAL,MATCH("CTRL_AÑO",P_ID,0))*L412+(1-INDEX(PY_VAL,MATCH("P_USADOS",PY_ID,0),6))*M412+INDEX(PY_VAL,MATCH("P_USADOS",PY_ID,0),6)*N412+IF(P412&gt;0,O412/P412,0)+Q412)</f>
        <v>0.388185</v>
      </c>
      <c r="X412" s="32" t="n">
        <f aca="false">J412*(INDEX(P_VAL,MATCH("CTRL_AÑO",P_ID,0))*L412+(1-INDEX(PY_VAL,MATCH("P_USADOS",PY_ID,0),7))*M412+INDEX(PY_VAL,MATCH("P_USADOS",PY_ID,0),7)*N412+IF(P412&gt;0,O412/P412,0)+Q412)</f>
        <v>0.38818</v>
      </c>
      <c r="Y412" s="32" t="n">
        <f aca="false">J412*(INDEX(P_VAL,MATCH("CTRL_AÑO",P_ID,0))*L412+(1-INDEX(PY_VAL,MATCH("P_USADOS",PY_ID,0),8))*M412+INDEX(PY_VAL,MATCH("P_USADOS",PY_ID,0),8)*N412+IF(P412&gt;0,O412/P412,0)+Q412)</f>
        <v>0.38819</v>
      </c>
      <c r="Z412" s="32" t="n">
        <f aca="false">J412*(INDEX(P_VAL,MATCH("CTRL_AÑO",P_ID,0))*L412+(1-INDEX(PY_VAL,MATCH("P_USADOS",PY_ID,0),9))*M412+INDEX(PY_VAL,MATCH("P_USADOS",PY_ID,0),9)*N412+IF(P412&gt;0,O412/P412,0)+Q412)</f>
        <v>0.38818</v>
      </c>
      <c r="AA412" s="32" t="n">
        <f aca="false">J412*(INDEX(P_VAL,MATCH("CTRL_AÑO",P_ID,0))*L412+(1-INDEX(PY_VAL,MATCH("P_USADOS",PY_ID,0),10))*M412+INDEX(PY_VAL,MATCH("P_USADOS",PY_ID,0),10)*N412+IF(P412&gt;0,O412/P412,0)+Q412)</f>
        <v>0.388165</v>
      </c>
      <c r="AB412" s="5" t="s">
        <v>1346</v>
      </c>
    </row>
    <row r="413" customFormat="false" ht="15" hidden="false" customHeight="false" outlineLevel="0" collapsed="false">
      <c r="A413" s="4" t="s">
        <v>290</v>
      </c>
      <c r="B413" s="4" t="s">
        <v>1350</v>
      </c>
      <c r="C413" s="4" t="s">
        <v>1405</v>
      </c>
      <c r="D413" s="5" t="s">
        <v>571</v>
      </c>
      <c r="E413" s="32" t="n">
        <v>1</v>
      </c>
      <c r="F413" s="32" t="s">
        <v>73</v>
      </c>
      <c r="G413" s="33" t="s">
        <v>1344</v>
      </c>
      <c r="H413" s="32" t="s">
        <v>573</v>
      </c>
      <c r="I413" s="32" t="n">
        <f aca="false">(1+INDEX(P_VAL,MATCH("N2_PERD",P_ID,0)))/INDEX(P_VAL,MATCH("RHO_N2",P_ID,0))</f>
        <v>1.0406660262568</v>
      </c>
      <c r="J413" s="32" t="n">
        <f aca="false">E413*I413</f>
        <v>1.0406660262568</v>
      </c>
      <c r="K413" s="32"/>
      <c r="L413" s="32" t="n">
        <v>0</v>
      </c>
      <c r="M413" s="32" t="n">
        <v>0.0227356903769463</v>
      </c>
      <c r="N413" s="32" t="n">
        <v>0.0227356903769463</v>
      </c>
      <c r="O413" s="32" t="n">
        <v>0</v>
      </c>
      <c r="P413" s="32" t="n">
        <v>5</v>
      </c>
      <c r="Q413" s="32" t="n">
        <v>0</v>
      </c>
      <c r="R413" s="32" t="n">
        <f aca="false">J413*(INDEX(P_VAL,MATCH("CTRL_AÑO",P_ID,0))*L413+(1-INDEX(PY_VAL,MATCH("P_USADOS",PY_ID,0),1))*M413+INDEX(PY_VAL,MATCH("P_USADOS",PY_ID,0),1)*N413+IF(P413&gt;0,O413/P413,0)+Q413)</f>
        <v>0.0236602605587818</v>
      </c>
      <c r="S413" s="32" t="n">
        <f aca="false">J413*(INDEX(P_VAL,MATCH("CTRL_AÑO",P_ID,0))*L413+(1-INDEX(PY_VAL,MATCH("P_USADOS",PY_ID,0),2))*M413+INDEX(PY_VAL,MATCH("P_USADOS",PY_ID,0),2)*N413+IF(P413&gt;0,O413/P413,0)+Q413)</f>
        <v>0.0236602605587818</v>
      </c>
      <c r="T413" s="32" t="n">
        <f aca="false">J413*(INDEX(P_VAL,MATCH("CTRL_AÑO",P_ID,0))*L413+(1-INDEX(PY_VAL,MATCH("P_USADOS",PY_ID,0),3))*M413+INDEX(PY_VAL,MATCH("P_USADOS",PY_ID,0),3)*N413+IF(P413&gt;0,O413/P413,0)+Q413)</f>
        <v>0.0236602605587818</v>
      </c>
      <c r="U413" s="32" t="n">
        <f aca="false">J413*(INDEX(P_VAL,MATCH("CTRL_AÑO",P_ID,0))*L413+(1-INDEX(PY_VAL,MATCH("P_USADOS",PY_ID,0),4))*M413+INDEX(PY_VAL,MATCH("P_USADOS",PY_ID,0),4)*N413+IF(P413&gt;0,O413/P413,0)+Q413)</f>
        <v>0.0236602605587818</v>
      </c>
      <c r="V413" s="32" t="n">
        <f aca="false">J413*(INDEX(P_VAL,MATCH("CTRL_AÑO",P_ID,0))*L413+(1-INDEX(PY_VAL,MATCH("P_USADOS",PY_ID,0),5))*M413+INDEX(PY_VAL,MATCH("P_USADOS",PY_ID,0),5)*N413+IF(P413&gt;0,O413/P413,0)+Q413)</f>
        <v>0.0236602605587818</v>
      </c>
      <c r="W413" s="32" t="n">
        <f aca="false">J413*(INDEX(P_VAL,MATCH("CTRL_AÑO",P_ID,0))*L413+(1-INDEX(PY_VAL,MATCH("P_USADOS",PY_ID,0),6))*M413+INDEX(PY_VAL,MATCH("P_USADOS",PY_ID,0),6)*N413+IF(P413&gt;0,O413/P413,0)+Q413)</f>
        <v>0.0236602605587818</v>
      </c>
      <c r="X413" s="32" t="n">
        <f aca="false">J413*(INDEX(P_VAL,MATCH("CTRL_AÑO",P_ID,0))*L413+(1-INDEX(PY_VAL,MATCH("P_USADOS",PY_ID,0),7))*M413+INDEX(PY_VAL,MATCH("P_USADOS",PY_ID,0),7)*N413+IF(P413&gt;0,O413/P413,0)+Q413)</f>
        <v>0.0236602605587818</v>
      </c>
      <c r="Y413" s="32" t="n">
        <f aca="false">J413*(INDEX(P_VAL,MATCH("CTRL_AÑO",P_ID,0))*L413+(1-INDEX(PY_VAL,MATCH("P_USADOS",PY_ID,0),8))*M413+INDEX(PY_VAL,MATCH("P_USADOS",PY_ID,0),8)*N413+IF(P413&gt;0,O413/P413,0)+Q413)</f>
        <v>0.0236602605587818</v>
      </c>
      <c r="Z413" s="32" t="n">
        <f aca="false">J413*(INDEX(P_VAL,MATCH("CTRL_AÑO",P_ID,0))*L413+(1-INDEX(PY_VAL,MATCH("P_USADOS",PY_ID,0),9))*M413+INDEX(PY_VAL,MATCH("P_USADOS",PY_ID,0),9)*N413+IF(P413&gt;0,O413/P413,0)+Q413)</f>
        <v>0.0236602605587818</v>
      </c>
      <c r="AA413" s="32" t="n">
        <f aca="false">J413*(INDEX(P_VAL,MATCH("CTRL_AÑO",P_ID,0))*L413+(1-INDEX(PY_VAL,MATCH("P_USADOS",PY_ID,0),10))*M413+INDEX(PY_VAL,MATCH("P_USADOS",PY_ID,0),10)*N413+IF(P413&gt;0,O413/P413,0)+Q413)</f>
        <v>0.0236602605587818</v>
      </c>
      <c r="AB413" s="5" t="s">
        <v>1346</v>
      </c>
    </row>
    <row r="414" customFormat="false" ht="15" hidden="false" customHeight="false" outlineLevel="0" collapsed="false">
      <c r="A414" s="4" t="s">
        <v>290</v>
      </c>
      <c r="B414" s="4" t="s">
        <v>1352</v>
      </c>
      <c r="C414" s="4" t="s">
        <v>1406</v>
      </c>
      <c r="D414" s="5" t="s">
        <v>1354</v>
      </c>
      <c r="E414" s="32" t="n">
        <v>1</v>
      </c>
      <c r="F414" s="32" t="s">
        <v>82</v>
      </c>
      <c r="G414" s="33" t="s">
        <v>1344</v>
      </c>
      <c r="H414" s="32" t="s">
        <v>1355</v>
      </c>
      <c r="I414" s="32" t="n">
        <v>1</v>
      </c>
      <c r="J414" s="32" t="n">
        <f aca="false">E414*I414</f>
        <v>1</v>
      </c>
      <c r="K414" s="32"/>
      <c r="L414" s="32" t="n">
        <v>0</v>
      </c>
      <c r="M414" s="32" t="n">
        <v>1</v>
      </c>
      <c r="N414" s="32" t="n">
        <v>1</v>
      </c>
      <c r="O414" s="32" t="n">
        <v>0</v>
      </c>
      <c r="P414" s="32" t="n">
        <v>5</v>
      </c>
      <c r="Q414" s="32" t="n">
        <v>0</v>
      </c>
      <c r="R414" s="32" t="n">
        <f aca="false">J414*(INDEX(P_VAL,MATCH("CTRL_AÑO",P_ID,0))*L414+(1-INDEX(PY_VAL,MATCH("P_USADOS",PY_ID,0),1))*M414+INDEX(PY_VAL,MATCH("P_USADOS",PY_ID,0),1)*N414+IF(P414&gt;0,O414/P414,0)+Q414)</f>
        <v>1</v>
      </c>
      <c r="S414" s="32" t="n">
        <f aca="false">J414*(INDEX(P_VAL,MATCH("CTRL_AÑO",P_ID,0))*L414+(1-INDEX(PY_VAL,MATCH("P_USADOS",PY_ID,0),2))*M414+INDEX(PY_VAL,MATCH("P_USADOS",PY_ID,0),2)*N414+IF(P414&gt;0,O414/P414,0)+Q414)</f>
        <v>1</v>
      </c>
      <c r="T414" s="32" t="n">
        <f aca="false">J414*(INDEX(P_VAL,MATCH("CTRL_AÑO",P_ID,0))*L414+(1-INDEX(PY_VAL,MATCH("P_USADOS",PY_ID,0),3))*M414+INDEX(PY_VAL,MATCH("P_USADOS",PY_ID,0),3)*N414+IF(P414&gt;0,O414/P414,0)+Q414)</f>
        <v>1</v>
      </c>
      <c r="U414" s="32" t="n">
        <f aca="false">J414*(INDEX(P_VAL,MATCH("CTRL_AÑO",P_ID,0))*L414+(1-INDEX(PY_VAL,MATCH("P_USADOS",PY_ID,0),4))*M414+INDEX(PY_VAL,MATCH("P_USADOS",PY_ID,0),4)*N414+IF(P414&gt;0,O414/P414,0)+Q414)</f>
        <v>1</v>
      </c>
      <c r="V414" s="32" t="n">
        <f aca="false">J414*(INDEX(P_VAL,MATCH("CTRL_AÑO",P_ID,0))*L414+(1-INDEX(PY_VAL,MATCH("P_USADOS",PY_ID,0),5))*M414+INDEX(PY_VAL,MATCH("P_USADOS",PY_ID,0),5)*N414+IF(P414&gt;0,O414/P414,0)+Q414)</f>
        <v>1</v>
      </c>
      <c r="W414" s="32" t="n">
        <f aca="false">J414*(INDEX(P_VAL,MATCH("CTRL_AÑO",P_ID,0))*L414+(1-INDEX(PY_VAL,MATCH("P_USADOS",PY_ID,0),6))*M414+INDEX(PY_VAL,MATCH("P_USADOS",PY_ID,0),6)*N414+IF(P414&gt;0,O414/P414,0)+Q414)</f>
        <v>1</v>
      </c>
      <c r="X414" s="32" t="n">
        <f aca="false">J414*(INDEX(P_VAL,MATCH("CTRL_AÑO",P_ID,0))*L414+(1-INDEX(PY_VAL,MATCH("P_USADOS",PY_ID,0),7))*M414+INDEX(PY_VAL,MATCH("P_USADOS",PY_ID,0),7)*N414+IF(P414&gt;0,O414/P414,0)+Q414)</f>
        <v>1</v>
      </c>
      <c r="Y414" s="32" t="n">
        <f aca="false">J414*(INDEX(P_VAL,MATCH("CTRL_AÑO",P_ID,0))*L414+(1-INDEX(PY_VAL,MATCH("P_USADOS",PY_ID,0),8))*M414+INDEX(PY_VAL,MATCH("P_USADOS",PY_ID,0),8)*N414+IF(P414&gt;0,O414/P414,0)+Q414)</f>
        <v>1</v>
      </c>
      <c r="Z414" s="32" t="n">
        <f aca="false">J414*(INDEX(P_VAL,MATCH("CTRL_AÑO",P_ID,0))*L414+(1-INDEX(PY_VAL,MATCH("P_USADOS",PY_ID,0),9))*M414+INDEX(PY_VAL,MATCH("P_USADOS",PY_ID,0),9)*N414+IF(P414&gt;0,O414/P414,0)+Q414)</f>
        <v>1</v>
      </c>
      <c r="AA414" s="32" t="n">
        <f aca="false">J414*(INDEX(P_VAL,MATCH("CTRL_AÑO",P_ID,0))*L414+(1-INDEX(PY_VAL,MATCH("P_USADOS",PY_ID,0),10))*M414+INDEX(PY_VAL,MATCH("P_USADOS",PY_ID,0),10)*N414+IF(P414&gt;0,O414/P414,0)+Q414)</f>
        <v>1</v>
      </c>
      <c r="AB414" s="5" t="s">
        <v>1346</v>
      </c>
    </row>
    <row r="415" customFormat="false" ht="15" hidden="false" customHeight="false" outlineLevel="0" collapsed="false">
      <c r="A415" s="4" t="s">
        <v>290</v>
      </c>
      <c r="B415" s="4" t="s">
        <v>1356</v>
      </c>
      <c r="C415" s="4" t="s">
        <v>1407</v>
      </c>
      <c r="D415" s="5" t="s">
        <v>1358</v>
      </c>
      <c r="E415" s="32" t="n">
        <v>1</v>
      </c>
      <c r="F415" s="32" t="s">
        <v>82</v>
      </c>
      <c r="G415" s="33" t="s">
        <v>1344</v>
      </c>
      <c r="H415" s="32" t="s">
        <v>1359</v>
      </c>
      <c r="I415" s="32" t="n">
        <v>1</v>
      </c>
      <c r="J415" s="32" t="n">
        <f aca="false">E415*I415</f>
        <v>1</v>
      </c>
      <c r="K415" s="32"/>
      <c r="L415" s="32" t="n">
        <v>0</v>
      </c>
      <c r="M415" s="32" t="n">
        <v>1</v>
      </c>
      <c r="N415" s="32" t="n">
        <v>1</v>
      </c>
      <c r="O415" s="32" t="n">
        <v>0</v>
      </c>
      <c r="P415" s="32" t="n">
        <v>5</v>
      </c>
      <c r="Q415" s="32" t="n">
        <v>0</v>
      </c>
      <c r="R415" s="32" t="n">
        <f aca="false">J415*(INDEX(P_VAL,MATCH("CTRL_AÑO",P_ID,0))*L415+(1-INDEX(PY_VAL,MATCH("P_USADOS",PY_ID,0),1))*M415+INDEX(PY_VAL,MATCH("P_USADOS",PY_ID,0),1)*N415+IF(P415&gt;0,O415/P415,0)+Q415)</f>
        <v>1</v>
      </c>
      <c r="S415" s="32" t="n">
        <f aca="false">J415*(INDEX(P_VAL,MATCH("CTRL_AÑO",P_ID,0))*L415+(1-INDEX(PY_VAL,MATCH("P_USADOS",PY_ID,0),2))*M415+INDEX(PY_VAL,MATCH("P_USADOS",PY_ID,0),2)*N415+IF(P415&gt;0,O415/P415,0)+Q415)</f>
        <v>1</v>
      </c>
      <c r="T415" s="32" t="n">
        <f aca="false">J415*(INDEX(P_VAL,MATCH("CTRL_AÑO",P_ID,0))*L415+(1-INDEX(PY_VAL,MATCH("P_USADOS",PY_ID,0),3))*M415+INDEX(PY_VAL,MATCH("P_USADOS",PY_ID,0),3)*N415+IF(P415&gt;0,O415/P415,0)+Q415)</f>
        <v>1</v>
      </c>
      <c r="U415" s="32" t="n">
        <f aca="false">J415*(INDEX(P_VAL,MATCH("CTRL_AÑO",P_ID,0))*L415+(1-INDEX(PY_VAL,MATCH("P_USADOS",PY_ID,0),4))*M415+INDEX(PY_VAL,MATCH("P_USADOS",PY_ID,0),4)*N415+IF(P415&gt;0,O415/P415,0)+Q415)</f>
        <v>1</v>
      </c>
      <c r="V415" s="32" t="n">
        <f aca="false">J415*(INDEX(P_VAL,MATCH("CTRL_AÑO",P_ID,0))*L415+(1-INDEX(PY_VAL,MATCH("P_USADOS",PY_ID,0),5))*M415+INDEX(PY_VAL,MATCH("P_USADOS",PY_ID,0),5)*N415+IF(P415&gt;0,O415/P415,0)+Q415)</f>
        <v>1</v>
      </c>
      <c r="W415" s="32" t="n">
        <f aca="false">J415*(INDEX(P_VAL,MATCH("CTRL_AÑO",P_ID,0))*L415+(1-INDEX(PY_VAL,MATCH("P_USADOS",PY_ID,0),6))*M415+INDEX(PY_VAL,MATCH("P_USADOS",PY_ID,0),6)*N415+IF(P415&gt;0,O415/P415,0)+Q415)</f>
        <v>1</v>
      </c>
      <c r="X415" s="32" t="n">
        <f aca="false">J415*(INDEX(P_VAL,MATCH("CTRL_AÑO",P_ID,0))*L415+(1-INDEX(PY_VAL,MATCH("P_USADOS",PY_ID,0),7))*M415+INDEX(PY_VAL,MATCH("P_USADOS",PY_ID,0),7)*N415+IF(P415&gt;0,O415/P415,0)+Q415)</f>
        <v>1</v>
      </c>
      <c r="Y415" s="32" t="n">
        <f aca="false">J415*(INDEX(P_VAL,MATCH("CTRL_AÑO",P_ID,0))*L415+(1-INDEX(PY_VAL,MATCH("P_USADOS",PY_ID,0),8))*M415+INDEX(PY_VAL,MATCH("P_USADOS",PY_ID,0),8)*N415+IF(P415&gt;0,O415/P415,0)+Q415)</f>
        <v>1</v>
      </c>
      <c r="Z415" s="32" t="n">
        <f aca="false">J415*(INDEX(P_VAL,MATCH("CTRL_AÑO",P_ID,0))*L415+(1-INDEX(PY_VAL,MATCH("P_USADOS",PY_ID,0),9))*M415+INDEX(PY_VAL,MATCH("P_USADOS",PY_ID,0),9)*N415+IF(P415&gt;0,O415/P415,0)+Q415)</f>
        <v>1</v>
      </c>
      <c r="AA415" s="32" t="n">
        <f aca="false">J415*(INDEX(P_VAL,MATCH("CTRL_AÑO",P_ID,0))*L415+(1-INDEX(PY_VAL,MATCH("P_USADOS",PY_ID,0),10))*M415+INDEX(PY_VAL,MATCH("P_USADOS",PY_ID,0),10)*N415+IF(P415&gt;0,O415/P415,0)+Q415)</f>
        <v>1</v>
      </c>
      <c r="AB415" s="5" t="s">
        <v>1346</v>
      </c>
    </row>
    <row r="416" customFormat="false" ht="15" hidden="false" customHeight="false" outlineLevel="0" collapsed="false">
      <c r="A416" s="4" t="s">
        <v>290</v>
      </c>
      <c r="B416" s="4" t="s">
        <v>1360</v>
      </c>
      <c r="C416" s="4" t="s">
        <v>1408</v>
      </c>
      <c r="D416" s="5" t="s">
        <v>1362</v>
      </c>
      <c r="E416" s="32" t="n">
        <v>1</v>
      </c>
      <c r="F416" s="32" t="s">
        <v>82</v>
      </c>
      <c r="G416" s="33" t="s">
        <v>1344</v>
      </c>
      <c r="H416" s="32" t="s">
        <v>1363</v>
      </c>
      <c r="I416" s="32" t="n">
        <v>1</v>
      </c>
      <c r="J416" s="32" t="n">
        <f aca="false">E416*I416</f>
        <v>1</v>
      </c>
      <c r="K416" s="32"/>
      <c r="L416" s="32" t="n">
        <v>0</v>
      </c>
      <c r="M416" s="32" t="n">
        <v>1</v>
      </c>
      <c r="N416" s="32" t="n">
        <v>1</v>
      </c>
      <c r="O416" s="32" t="n">
        <v>0</v>
      </c>
      <c r="P416" s="32" t="n">
        <v>5</v>
      </c>
      <c r="Q416" s="32" t="n">
        <v>0</v>
      </c>
      <c r="R416" s="32" t="n">
        <f aca="false">J416*(INDEX(P_VAL,MATCH("CTRL_AÑO",P_ID,0))*L416+(1-INDEX(PY_VAL,MATCH("P_USADOS",PY_ID,0),1))*M416+INDEX(PY_VAL,MATCH("P_USADOS",PY_ID,0),1)*N416+IF(P416&gt;0,O416/P416,0)+Q416)</f>
        <v>1</v>
      </c>
      <c r="S416" s="32" t="n">
        <f aca="false">J416*(INDEX(P_VAL,MATCH("CTRL_AÑO",P_ID,0))*L416+(1-INDEX(PY_VAL,MATCH("P_USADOS",PY_ID,0),2))*M416+INDEX(PY_VAL,MATCH("P_USADOS",PY_ID,0),2)*N416+IF(P416&gt;0,O416/P416,0)+Q416)</f>
        <v>1</v>
      </c>
      <c r="T416" s="32" t="n">
        <f aca="false">J416*(INDEX(P_VAL,MATCH("CTRL_AÑO",P_ID,0))*L416+(1-INDEX(PY_VAL,MATCH("P_USADOS",PY_ID,0),3))*M416+INDEX(PY_VAL,MATCH("P_USADOS",PY_ID,0),3)*N416+IF(P416&gt;0,O416/P416,0)+Q416)</f>
        <v>1</v>
      </c>
      <c r="U416" s="32" t="n">
        <f aca="false">J416*(INDEX(P_VAL,MATCH("CTRL_AÑO",P_ID,0))*L416+(1-INDEX(PY_VAL,MATCH("P_USADOS",PY_ID,0),4))*M416+INDEX(PY_VAL,MATCH("P_USADOS",PY_ID,0),4)*N416+IF(P416&gt;0,O416/P416,0)+Q416)</f>
        <v>1</v>
      </c>
      <c r="V416" s="32" t="n">
        <f aca="false">J416*(INDEX(P_VAL,MATCH("CTRL_AÑO",P_ID,0))*L416+(1-INDEX(PY_VAL,MATCH("P_USADOS",PY_ID,0),5))*M416+INDEX(PY_VAL,MATCH("P_USADOS",PY_ID,0),5)*N416+IF(P416&gt;0,O416/P416,0)+Q416)</f>
        <v>1</v>
      </c>
      <c r="W416" s="32" t="n">
        <f aca="false">J416*(INDEX(P_VAL,MATCH("CTRL_AÑO",P_ID,0))*L416+(1-INDEX(PY_VAL,MATCH("P_USADOS",PY_ID,0),6))*M416+INDEX(PY_VAL,MATCH("P_USADOS",PY_ID,0),6)*N416+IF(P416&gt;0,O416/P416,0)+Q416)</f>
        <v>1</v>
      </c>
      <c r="X416" s="32" t="n">
        <f aca="false">J416*(INDEX(P_VAL,MATCH("CTRL_AÑO",P_ID,0))*L416+(1-INDEX(PY_VAL,MATCH("P_USADOS",PY_ID,0),7))*M416+INDEX(PY_VAL,MATCH("P_USADOS",PY_ID,0),7)*N416+IF(P416&gt;0,O416/P416,0)+Q416)</f>
        <v>1</v>
      </c>
      <c r="Y416" s="32" t="n">
        <f aca="false">J416*(INDEX(P_VAL,MATCH("CTRL_AÑO",P_ID,0))*L416+(1-INDEX(PY_VAL,MATCH("P_USADOS",PY_ID,0),8))*M416+INDEX(PY_VAL,MATCH("P_USADOS",PY_ID,0),8)*N416+IF(P416&gt;0,O416/P416,0)+Q416)</f>
        <v>1</v>
      </c>
      <c r="Z416" s="32" t="n">
        <f aca="false">J416*(INDEX(P_VAL,MATCH("CTRL_AÑO",P_ID,0))*L416+(1-INDEX(PY_VAL,MATCH("P_USADOS",PY_ID,0),9))*M416+INDEX(PY_VAL,MATCH("P_USADOS",PY_ID,0),9)*N416+IF(P416&gt;0,O416/P416,0)+Q416)</f>
        <v>1</v>
      </c>
      <c r="AA416" s="32" t="n">
        <f aca="false">J416*(INDEX(P_VAL,MATCH("CTRL_AÑO",P_ID,0))*L416+(1-INDEX(PY_VAL,MATCH("P_USADOS",PY_ID,0),10))*M416+INDEX(PY_VAL,MATCH("P_USADOS",PY_ID,0),10)*N416+IF(P416&gt;0,O416/P416,0)+Q416)</f>
        <v>1</v>
      </c>
      <c r="AB416" s="5" t="s">
        <v>1346</v>
      </c>
    </row>
    <row r="417" customFormat="false" ht="15" hidden="false" customHeight="false" outlineLevel="0" collapsed="false">
      <c r="A417" s="4" t="s">
        <v>290</v>
      </c>
      <c r="B417" s="4" t="s">
        <v>1364</v>
      </c>
      <c r="C417" s="4" t="s">
        <v>1409</v>
      </c>
      <c r="D417" s="5" t="s">
        <v>1366</v>
      </c>
      <c r="E417" s="32" t="n">
        <v>1</v>
      </c>
      <c r="F417" s="32" t="s">
        <v>82</v>
      </c>
      <c r="G417" s="33" t="s">
        <v>1344</v>
      </c>
      <c r="H417" s="32" t="s">
        <v>1367</v>
      </c>
      <c r="I417" s="32" t="n">
        <v>1</v>
      </c>
      <c r="J417" s="32" t="n">
        <f aca="false">E417*I417</f>
        <v>1</v>
      </c>
      <c r="K417" s="32" t="s">
        <v>582</v>
      </c>
      <c r="L417" s="32" t="n">
        <v>0</v>
      </c>
      <c r="M417" s="32" t="n">
        <v>1</v>
      </c>
      <c r="N417" s="32" t="n">
        <v>1</v>
      </c>
      <c r="O417" s="32" t="n">
        <v>0</v>
      </c>
      <c r="P417" s="32" t="n">
        <v>5</v>
      </c>
      <c r="Q417" s="32" t="n">
        <v>0</v>
      </c>
      <c r="R417" s="32" t="n">
        <f aca="false">J417*(INDEX(P_VAL,MATCH("CTRL_AÑO",P_ID,0))*L417+(1-INDEX(PY_VAL,MATCH("P_USADOS",PY_ID,0),1))*M417+INDEX(PY_VAL,MATCH("P_USADOS",PY_ID,0),1)*N417+IF(P417&gt;0,O417/P417,0)+Q417)</f>
        <v>1</v>
      </c>
      <c r="S417" s="32" t="n">
        <f aca="false">J417*(INDEX(P_VAL,MATCH("CTRL_AÑO",P_ID,0))*L417+(1-INDEX(PY_VAL,MATCH("P_USADOS",PY_ID,0),2))*M417+INDEX(PY_VAL,MATCH("P_USADOS",PY_ID,0),2)*N417+IF(P417&gt;0,O417/P417,0)+Q417)</f>
        <v>1</v>
      </c>
      <c r="T417" s="32" t="n">
        <f aca="false">J417*(INDEX(P_VAL,MATCH("CTRL_AÑO",P_ID,0))*L417+(1-INDEX(PY_VAL,MATCH("P_USADOS",PY_ID,0),3))*M417+INDEX(PY_VAL,MATCH("P_USADOS",PY_ID,0),3)*N417+IF(P417&gt;0,O417/P417,0)+Q417)</f>
        <v>1</v>
      </c>
      <c r="U417" s="32" t="n">
        <f aca="false">J417*(INDEX(P_VAL,MATCH("CTRL_AÑO",P_ID,0))*L417+(1-INDEX(PY_VAL,MATCH("P_USADOS",PY_ID,0),4))*M417+INDEX(PY_VAL,MATCH("P_USADOS",PY_ID,0),4)*N417+IF(P417&gt;0,O417/P417,0)+Q417)</f>
        <v>1</v>
      </c>
      <c r="V417" s="32" t="n">
        <f aca="false">J417*(INDEX(P_VAL,MATCH("CTRL_AÑO",P_ID,0))*L417+(1-INDEX(PY_VAL,MATCH("P_USADOS",PY_ID,0),5))*M417+INDEX(PY_VAL,MATCH("P_USADOS",PY_ID,0),5)*N417+IF(P417&gt;0,O417/P417,0)+Q417)</f>
        <v>1</v>
      </c>
      <c r="W417" s="32" t="n">
        <f aca="false">J417*(INDEX(P_VAL,MATCH("CTRL_AÑO",P_ID,0))*L417+(1-INDEX(PY_VAL,MATCH("P_USADOS",PY_ID,0),6))*M417+INDEX(PY_VAL,MATCH("P_USADOS",PY_ID,0),6)*N417+IF(P417&gt;0,O417/P417,0)+Q417)</f>
        <v>1</v>
      </c>
      <c r="X417" s="32" t="n">
        <f aca="false">J417*(INDEX(P_VAL,MATCH("CTRL_AÑO",P_ID,0))*L417+(1-INDEX(PY_VAL,MATCH("P_USADOS",PY_ID,0),7))*M417+INDEX(PY_VAL,MATCH("P_USADOS",PY_ID,0),7)*N417+IF(P417&gt;0,O417/P417,0)+Q417)</f>
        <v>1</v>
      </c>
      <c r="Y417" s="32" t="n">
        <f aca="false">J417*(INDEX(P_VAL,MATCH("CTRL_AÑO",P_ID,0))*L417+(1-INDEX(PY_VAL,MATCH("P_USADOS",PY_ID,0),8))*M417+INDEX(PY_VAL,MATCH("P_USADOS",PY_ID,0),8)*N417+IF(P417&gt;0,O417/P417,0)+Q417)</f>
        <v>1</v>
      </c>
      <c r="Z417" s="32" t="n">
        <f aca="false">J417*(INDEX(P_VAL,MATCH("CTRL_AÑO",P_ID,0))*L417+(1-INDEX(PY_VAL,MATCH("P_USADOS",PY_ID,0),9))*M417+INDEX(PY_VAL,MATCH("P_USADOS",PY_ID,0),9)*N417+IF(P417&gt;0,O417/P417,0)+Q417)</f>
        <v>1</v>
      </c>
      <c r="AA417" s="32" t="n">
        <f aca="false">J417*(INDEX(P_VAL,MATCH("CTRL_AÑO",P_ID,0))*L417+(1-INDEX(PY_VAL,MATCH("P_USADOS",PY_ID,0),10))*M417+INDEX(PY_VAL,MATCH("P_USADOS",PY_ID,0),10)*N417+IF(P417&gt;0,O417/P417,0)+Q417)</f>
        <v>1</v>
      </c>
      <c r="AB417" s="5" t="s">
        <v>1346</v>
      </c>
    </row>
    <row r="418" customFormat="false" ht="15" hidden="false" customHeight="false" outlineLevel="0" collapsed="false">
      <c r="A418" s="4" t="s">
        <v>290</v>
      </c>
      <c r="B418" s="4" t="s">
        <v>1368</v>
      </c>
      <c r="C418" s="4" t="s">
        <v>1410</v>
      </c>
      <c r="D418" s="5" t="s">
        <v>1370</v>
      </c>
      <c r="E418" s="32" t="n">
        <v>1</v>
      </c>
      <c r="F418" s="32" t="s">
        <v>82</v>
      </c>
      <c r="G418" s="33" t="s">
        <v>1344</v>
      </c>
      <c r="H418" s="32" t="s">
        <v>1371</v>
      </c>
      <c r="I418" s="32" t="n">
        <v>1</v>
      </c>
      <c r="J418" s="32" t="n">
        <f aca="false">E418*I418</f>
        <v>1</v>
      </c>
      <c r="K418" s="32" t="s">
        <v>582</v>
      </c>
      <c r="L418" s="32" t="n">
        <v>0</v>
      </c>
      <c r="M418" s="32" t="n">
        <v>1</v>
      </c>
      <c r="N418" s="32" t="n">
        <v>1</v>
      </c>
      <c r="O418" s="32" t="n">
        <v>0</v>
      </c>
      <c r="P418" s="32" t="n">
        <v>5</v>
      </c>
      <c r="Q418" s="32" t="n">
        <v>0</v>
      </c>
      <c r="R418" s="32" t="n">
        <f aca="false">J418*(INDEX(P_VAL,MATCH("CTRL_AÑO",P_ID,0))*L418+(1-INDEX(PY_VAL,MATCH("P_USADOS",PY_ID,0),1))*M418+INDEX(PY_VAL,MATCH("P_USADOS",PY_ID,0),1)*N418+IF(P418&gt;0,O418/P418,0)+Q418)</f>
        <v>1</v>
      </c>
      <c r="S418" s="32" t="n">
        <f aca="false">J418*(INDEX(P_VAL,MATCH("CTRL_AÑO",P_ID,0))*L418+(1-INDEX(PY_VAL,MATCH("P_USADOS",PY_ID,0),2))*M418+INDEX(PY_VAL,MATCH("P_USADOS",PY_ID,0),2)*N418+IF(P418&gt;0,O418/P418,0)+Q418)</f>
        <v>1</v>
      </c>
      <c r="T418" s="32" t="n">
        <f aca="false">J418*(INDEX(P_VAL,MATCH("CTRL_AÑO",P_ID,0))*L418+(1-INDEX(PY_VAL,MATCH("P_USADOS",PY_ID,0),3))*M418+INDEX(PY_VAL,MATCH("P_USADOS",PY_ID,0),3)*N418+IF(P418&gt;0,O418/P418,0)+Q418)</f>
        <v>1</v>
      </c>
      <c r="U418" s="32" t="n">
        <f aca="false">J418*(INDEX(P_VAL,MATCH("CTRL_AÑO",P_ID,0))*L418+(1-INDEX(PY_VAL,MATCH("P_USADOS",PY_ID,0),4))*M418+INDEX(PY_VAL,MATCH("P_USADOS",PY_ID,0),4)*N418+IF(P418&gt;0,O418/P418,0)+Q418)</f>
        <v>1</v>
      </c>
      <c r="V418" s="32" t="n">
        <f aca="false">J418*(INDEX(P_VAL,MATCH("CTRL_AÑO",P_ID,0))*L418+(1-INDEX(PY_VAL,MATCH("P_USADOS",PY_ID,0),5))*M418+INDEX(PY_VAL,MATCH("P_USADOS",PY_ID,0),5)*N418+IF(P418&gt;0,O418/P418,0)+Q418)</f>
        <v>1</v>
      </c>
      <c r="W418" s="32" t="n">
        <f aca="false">J418*(INDEX(P_VAL,MATCH("CTRL_AÑO",P_ID,0))*L418+(1-INDEX(PY_VAL,MATCH("P_USADOS",PY_ID,0),6))*M418+INDEX(PY_VAL,MATCH("P_USADOS",PY_ID,0),6)*N418+IF(P418&gt;0,O418/P418,0)+Q418)</f>
        <v>1</v>
      </c>
      <c r="X418" s="32" t="n">
        <f aca="false">J418*(INDEX(P_VAL,MATCH("CTRL_AÑO",P_ID,0))*L418+(1-INDEX(PY_VAL,MATCH("P_USADOS",PY_ID,0),7))*M418+INDEX(PY_VAL,MATCH("P_USADOS",PY_ID,0),7)*N418+IF(P418&gt;0,O418/P418,0)+Q418)</f>
        <v>1</v>
      </c>
      <c r="Y418" s="32" t="n">
        <f aca="false">J418*(INDEX(P_VAL,MATCH("CTRL_AÑO",P_ID,0))*L418+(1-INDEX(PY_VAL,MATCH("P_USADOS",PY_ID,0),8))*M418+INDEX(PY_VAL,MATCH("P_USADOS",PY_ID,0),8)*N418+IF(P418&gt;0,O418/P418,0)+Q418)</f>
        <v>1</v>
      </c>
      <c r="Z418" s="32" t="n">
        <f aca="false">J418*(INDEX(P_VAL,MATCH("CTRL_AÑO",P_ID,0))*L418+(1-INDEX(PY_VAL,MATCH("P_USADOS",PY_ID,0),9))*M418+INDEX(PY_VAL,MATCH("P_USADOS",PY_ID,0),9)*N418+IF(P418&gt;0,O418/P418,0)+Q418)</f>
        <v>1</v>
      </c>
      <c r="AA418" s="32" t="n">
        <f aca="false">J418*(INDEX(P_VAL,MATCH("CTRL_AÑO",P_ID,0))*L418+(1-INDEX(PY_VAL,MATCH("P_USADOS",PY_ID,0),10))*M418+INDEX(PY_VAL,MATCH("P_USADOS",PY_ID,0),10)*N418+IF(P418&gt;0,O418/P418,0)+Q418)</f>
        <v>1</v>
      </c>
      <c r="AB418" s="5" t="s">
        <v>1346</v>
      </c>
    </row>
    <row r="419" customFormat="false" ht="15" hidden="false" customHeight="false" outlineLevel="0" collapsed="false">
      <c r="A419" s="4" t="s">
        <v>290</v>
      </c>
      <c r="B419" s="4" t="s">
        <v>1372</v>
      </c>
      <c r="C419" s="4" t="s">
        <v>1411</v>
      </c>
      <c r="D419" s="5" t="s">
        <v>1374</v>
      </c>
      <c r="E419" s="32" t="n">
        <v>1</v>
      </c>
      <c r="F419" s="32" t="s">
        <v>82</v>
      </c>
      <c r="G419" s="33" t="s">
        <v>1344</v>
      </c>
      <c r="H419" s="32" t="s">
        <v>688</v>
      </c>
      <c r="I419" s="32" t="n">
        <v>1</v>
      </c>
      <c r="J419" s="32" t="n">
        <f aca="false">E419*I419</f>
        <v>1</v>
      </c>
      <c r="K419" s="32" t="s">
        <v>689</v>
      </c>
      <c r="L419" s="32" t="n">
        <v>0</v>
      </c>
      <c r="M419" s="32" t="n">
        <v>1</v>
      </c>
      <c r="N419" s="32" t="n">
        <v>1</v>
      </c>
      <c r="O419" s="32" t="n">
        <v>0</v>
      </c>
      <c r="P419" s="32" t="n">
        <v>5</v>
      </c>
      <c r="Q419" s="32" t="n">
        <v>0</v>
      </c>
      <c r="R419" s="32" t="n">
        <f aca="false">J419*(INDEX(P_VAL,MATCH("CTRL_AÑO",P_ID,0))*L419+(1-INDEX(PY_VAL,MATCH("P_USADOS",PY_ID,0),1))*M419+INDEX(PY_VAL,MATCH("P_USADOS",PY_ID,0),1)*N419+IF(P419&gt;0,O419/P419,0)+Q419)</f>
        <v>1</v>
      </c>
      <c r="S419" s="32" t="n">
        <f aca="false">J419*(INDEX(P_VAL,MATCH("CTRL_AÑO",P_ID,0))*L419+(1-INDEX(PY_VAL,MATCH("P_USADOS",PY_ID,0),2))*M419+INDEX(PY_VAL,MATCH("P_USADOS",PY_ID,0),2)*N419+IF(P419&gt;0,O419/P419,0)+Q419)</f>
        <v>1</v>
      </c>
      <c r="T419" s="32" t="n">
        <f aca="false">J419*(INDEX(P_VAL,MATCH("CTRL_AÑO",P_ID,0))*L419+(1-INDEX(PY_VAL,MATCH("P_USADOS",PY_ID,0),3))*M419+INDEX(PY_VAL,MATCH("P_USADOS",PY_ID,0),3)*N419+IF(P419&gt;0,O419/P419,0)+Q419)</f>
        <v>1</v>
      </c>
      <c r="U419" s="32" t="n">
        <f aca="false">J419*(INDEX(P_VAL,MATCH("CTRL_AÑO",P_ID,0))*L419+(1-INDEX(PY_VAL,MATCH("P_USADOS",PY_ID,0),4))*M419+INDEX(PY_VAL,MATCH("P_USADOS",PY_ID,0),4)*N419+IF(P419&gt;0,O419/P419,0)+Q419)</f>
        <v>1</v>
      </c>
      <c r="V419" s="32" t="n">
        <f aca="false">J419*(INDEX(P_VAL,MATCH("CTRL_AÑO",P_ID,0))*L419+(1-INDEX(PY_VAL,MATCH("P_USADOS",PY_ID,0),5))*M419+INDEX(PY_VAL,MATCH("P_USADOS",PY_ID,0),5)*N419+IF(P419&gt;0,O419/P419,0)+Q419)</f>
        <v>1</v>
      </c>
      <c r="W419" s="32" t="n">
        <f aca="false">J419*(INDEX(P_VAL,MATCH("CTRL_AÑO",P_ID,0))*L419+(1-INDEX(PY_VAL,MATCH("P_USADOS",PY_ID,0),6))*M419+INDEX(PY_VAL,MATCH("P_USADOS",PY_ID,0),6)*N419+IF(P419&gt;0,O419/P419,0)+Q419)</f>
        <v>1</v>
      </c>
      <c r="X419" s="32" t="n">
        <f aca="false">J419*(INDEX(P_VAL,MATCH("CTRL_AÑO",P_ID,0))*L419+(1-INDEX(PY_VAL,MATCH("P_USADOS",PY_ID,0),7))*M419+INDEX(PY_VAL,MATCH("P_USADOS",PY_ID,0),7)*N419+IF(P419&gt;0,O419/P419,0)+Q419)</f>
        <v>1</v>
      </c>
      <c r="Y419" s="32" t="n">
        <f aca="false">J419*(INDEX(P_VAL,MATCH("CTRL_AÑO",P_ID,0))*L419+(1-INDEX(PY_VAL,MATCH("P_USADOS",PY_ID,0),8))*M419+INDEX(PY_VAL,MATCH("P_USADOS",PY_ID,0),8)*N419+IF(P419&gt;0,O419/P419,0)+Q419)</f>
        <v>1</v>
      </c>
      <c r="Z419" s="32" t="n">
        <f aca="false">J419*(INDEX(P_VAL,MATCH("CTRL_AÑO",P_ID,0))*L419+(1-INDEX(PY_VAL,MATCH("P_USADOS",PY_ID,0),9))*M419+INDEX(PY_VAL,MATCH("P_USADOS",PY_ID,0),9)*N419+IF(P419&gt;0,O419/P419,0)+Q419)</f>
        <v>1</v>
      </c>
      <c r="AA419" s="32" t="n">
        <f aca="false">J419*(INDEX(P_VAL,MATCH("CTRL_AÑO",P_ID,0))*L419+(1-INDEX(PY_VAL,MATCH("P_USADOS",PY_ID,0),10))*M419+INDEX(PY_VAL,MATCH("P_USADOS",PY_ID,0),10)*N419+IF(P419&gt;0,O419/P419,0)+Q419)</f>
        <v>1</v>
      </c>
      <c r="AB419" s="5" t="s">
        <v>1346</v>
      </c>
    </row>
    <row r="420" customFormat="false" ht="15" hidden="false" customHeight="false" outlineLevel="0" collapsed="false">
      <c r="A420" s="4" t="s">
        <v>290</v>
      </c>
      <c r="B420" s="4" t="s">
        <v>1375</v>
      </c>
      <c r="C420" s="4" t="s">
        <v>1412</v>
      </c>
      <c r="D420" s="5" t="s">
        <v>1377</v>
      </c>
      <c r="E420" s="32" t="n">
        <v>1</v>
      </c>
      <c r="F420" s="32" t="s">
        <v>82</v>
      </c>
      <c r="G420" s="33" t="s">
        <v>1344</v>
      </c>
      <c r="H420" s="32" t="s">
        <v>630</v>
      </c>
      <c r="I420" s="32" t="n">
        <v>1</v>
      </c>
      <c r="J420" s="32" t="n">
        <f aca="false">E420*I420</f>
        <v>1</v>
      </c>
      <c r="K420" s="32"/>
      <c r="L420" s="32" t="n">
        <v>0</v>
      </c>
      <c r="M420" s="32" t="n">
        <v>1</v>
      </c>
      <c r="N420" s="32" t="n">
        <v>1</v>
      </c>
      <c r="O420" s="32" t="n">
        <v>0</v>
      </c>
      <c r="P420" s="32" t="n">
        <v>5</v>
      </c>
      <c r="Q420" s="32" t="n">
        <v>0</v>
      </c>
      <c r="R420" s="32" t="n">
        <f aca="false">J420*(INDEX(P_VAL,MATCH("CTRL_AÑO",P_ID,0))*L420+(1-INDEX(PY_VAL,MATCH("P_USADOS",PY_ID,0),1))*M420+INDEX(PY_VAL,MATCH("P_USADOS",PY_ID,0),1)*N420+IF(P420&gt;0,O420/P420,0)+Q420)</f>
        <v>1</v>
      </c>
      <c r="S420" s="32" t="n">
        <f aca="false">J420*(INDEX(P_VAL,MATCH("CTRL_AÑO",P_ID,0))*L420+(1-INDEX(PY_VAL,MATCH("P_USADOS",PY_ID,0),2))*M420+INDEX(PY_VAL,MATCH("P_USADOS",PY_ID,0),2)*N420+IF(P420&gt;0,O420/P420,0)+Q420)</f>
        <v>1</v>
      </c>
      <c r="T420" s="32" t="n">
        <f aca="false">J420*(INDEX(P_VAL,MATCH("CTRL_AÑO",P_ID,0))*L420+(1-INDEX(PY_VAL,MATCH("P_USADOS",PY_ID,0),3))*M420+INDEX(PY_VAL,MATCH("P_USADOS",PY_ID,0),3)*N420+IF(P420&gt;0,O420/P420,0)+Q420)</f>
        <v>1</v>
      </c>
      <c r="U420" s="32" t="n">
        <f aca="false">J420*(INDEX(P_VAL,MATCH("CTRL_AÑO",P_ID,0))*L420+(1-INDEX(PY_VAL,MATCH("P_USADOS",PY_ID,0),4))*M420+INDEX(PY_VAL,MATCH("P_USADOS",PY_ID,0),4)*N420+IF(P420&gt;0,O420/P420,0)+Q420)</f>
        <v>1</v>
      </c>
      <c r="V420" s="32" t="n">
        <f aca="false">J420*(INDEX(P_VAL,MATCH("CTRL_AÑO",P_ID,0))*L420+(1-INDEX(PY_VAL,MATCH("P_USADOS",PY_ID,0),5))*M420+INDEX(PY_VAL,MATCH("P_USADOS",PY_ID,0),5)*N420+IF(P420&gt;0,O420/P420,0)+Q420)</f>
        <v>1</v>
      </c>
      <c r="W420" s="32" t="n">
        <f aca="false">J420*(INDEX(P_VAL,MATCH("CTRL_AÑO",P_ID,0))*L420+(1-INDEX(PY_VAL,MATCH("P_USADOS",PY_ID,0),6))*M420+INDEX(PY_VAL,MATCH("P_USADOS",PY_ID,0),6)*N420+IF(P420&gt;0,O420/P420,0)+Q420)</f>
        <v>1</v>
      </c>
      <c r="X420" s="32" t="n">
        <f aca="false">J420*(INDEX(P_VAL,MATCH("CTRL_AÑO",P_ID,0))*L420+(1-INDEX(PY_VAL,MATCH("P_USADOS",PY_ID,0),7))*M420+INDEX(PY_VAL,MATCH("P_USADOS",PY_ID,0),7)*N420+IF(P420&gt;0,O420/P420,0)+Q420)</f>
        <v>1</v>
      </c>
      <c r="Y420" s="32" t="n">
        <f aca="false">J420*(INDEX(P_VAL,MATCH("CTRL_AÑO",P_ID,0))*L420+(1-INDEX(PY_VAL,MATCH("P_USADOS",PY_ID,0),8))*M420+INDEX(PY_VAL,MATCH("P_USADOS",PY_ID,0),8)*N420+IF(P420&gt;0,O420/P420,0)+Q420)</f>
        <v>1</v>
      </c>
      <c r="Z420" s="32" t="n">
        <f aca="false">J420*(INDEX(P_VAL,MATCH("CTRL_AÑO",P_ID,0))*L420+(1-INDEX(PY_VAL,MATCH("P_USADOS",PY_ID,0),9))*M420+INDEX(PY_VAL,MATCH("P_USADOS",PY_ID,0),9)*N420+IF(P420&gt;0,O420/P420,0)+Q420)</f>
        <v>1</v>
      </c>
      <c r="AA420" s="32" t="n">
        <f aca="false">J420*(INDEX(P_VAL,MATCH("CTRL_AÑO",P_ID,0))*L420+(1-INDEX(PY_VAL,MATCH("P_USADOS",PY_ID,0),10))*M420+INDEX(PY_VAL,MATCH("P_USADOS",PY_ID,0),10)*N420+IF(P420&gt;0,O420/P420,0)+Q420)</f>
        <v>1</v>
      </c>
      <c r="AB420" s="5" t="s">
        <v>1346</v>
      </c>
    </row>
    <row r="421" customFormat="false" ht="15" hidden="false" customHeight="false" outlineLevel="0" collapsed="false">
      <c r="A421" s="4" t="s">
        <v>290</v>
      </c>
      <c r="B421" s="4" t="s">
        <v>1378</v>
      </c>
      <c r="C421" s="4" t="s">
        <v>1413</v>
      </c>
      <c r="D421" s="5" t="s">
        <v>1380</v>
      </c>
      <c r="E421" s="32" t="n">
        <v>1</v>
      </c>
      <c r="F421" s="32" t="s">
        <v>82</v>
      </c>
      <c r="G421" s="33" t="s">
        <v>1344</v>
      </c>
      <c r="H421" s="32" t="s">
        <v>1381</v>
      </c>
      <c r="I421" s="32" t="n">
        <v>1</v>
      </c>
      <c r="J421" s="32" t="n">
        <f aca="false">E421*I421</f>
        <v>1</v>
      </c>
      <c r="K421" s="32"/>
      <c r="L421" s="32" t="n">
        <v>0</v>
      </c>
      <c r="M421" s="32" t="n">
        <v>0</v>
      </c>
      <c r="N421" s="32" t="n">
        <v>0</v>
      </c>
      <c r="O421" s="32" t="n">
        <v>1</v>
      </c>
      <c r="P421" s="32" t="n">
        <v>5</v>
      </c>
      <c r="Q421" s="32" t="n">
        <v>0</v>
      </c>
      <c r="R421" s="32" t="n">
        <f aca="false">J421*(INDEX(P_VAL,MATCH("CTRL_AÑO",P_ID,0))*L421+(1-INDEX(PY_VAL,MATCH("P_USADOS",PY_ID,0),1))*M421+INDEX(PY_VAL,MATCH("P_USADOS",PY_ID,0),1)*N421+IF(P421&gt;0,O421/P421,0)+Q421)</f>
        <v>0.2</v>
      </c>
      <c r="S421" s="32" t="n">
        <f aca="false">J421*(INDEX(P_VAL,MATCH("CTRL_AÑO",P_ID,0))*L421+(1-INDEX(PY_VAL,MATCH("P_USADOS",PY_ID,0),2))*M421+INDEX(PY_VAL,MATCH("P_USADOS",PY_ID,0),2)*N421+IF(P421&gt;0,O421/P421,0)+Q421)</f>
        <v>0.2</v>
      </c>
      <c r="T421" s="32" t="n">
        <f aca="false">J421*(INDEX(P_VAL,MATCH("CTRL_AÑO",P_ID,0))*L421+(1-INDEX(PY_VAL,MATCH("P_USADOS",PY_ID,0),3))*M421+INDEX(PY_VAL,MATCH("P_USADOS",PY_ID,0),3)*N421+IF(P421&gt;0,O421/P421,0)+Q421)</f>
        <v>0.2</v>
      </c>
      <c r="U421" s="32" t="n">
        <f aca="false">J421*(INDEX(P_VAL,MATCH("CTRL_AÑO",P_ID,0))*L421+(1-INDEX(PY_VAL,MATCH("P_USADOS",PY_ID,0),4))*M421+INDEX(PY_VAL,MATCH("P_USADOS",PY_ID,0),4)*N421+IF(P421&gt;0,O421/P421,0)+Q421)</f>
        <v>0.2</v>
      </c>
      <c r="V421" s="32" t="n">
        <f aca="false">J421*(INDEX(P_VAL,MATCH("CTRL_AÑO",P_ID,0))*L421+(1-INDEX(PY_VAL,MATCH("P_USADOS",PY_ID,0),5))*M421+INDEX(PY_VAL,MATCH("P_USADOS",PY_ID,0),5)*N421+IF(P421&gt;0,O421/P421,0)+Q421)</f>
        <v>0.2</v>
      </c>
      <c r="W421" s="32" t="n">
        <f aca="false">J421*(INDEX(P_VAL,MATCH("CTRL_AÑO",P_ID,0))*L421+(1-INDEX(PY_VAL,MATCH("P_USADOS",PY_ID,0),6))*M421+INDEX(PY_VAL,MATCH("P_USADOS",PY_ID,0),6)*N421+IF(P421&gt;0,O421/P421,0)+Q421)</f>
        <v>0.2</v>
      </c>
      <c r="X421" s="32" t="n">
        <f aca="false">J421*(INDEX(P_VAL,MATCH("CTRL_AÑO",P_ID,0))*L421+(1-INDEX(PY_VAL,MATCH("P_USADOS",PY_ID,0),7))*M421+INDEX(PY_VAL,MATCH("P_USADOS",PY_ID,0),7)*N421+IF(P421&gt;0,O421/P421,0)+Q421)</f>
        <v>0.2</v>
      </c>
      <c r="Y421" s="32" t="n">
        <f aca="false">J421*(INDEX(P_VAL,MATCH("CTRL_AÑO",P_ID,0))*L421+(1-INDEX(PY_VAL,MATCH("P_USADOS",PY_ID,0),8))*M421+INDEX(PY_VAL,MATCH("P_USADOS",PY_ID,0),8)*N421+IF(P421&gt;0,O421/P421,0)+Q421)</f>
        <v>0.2</v>
      </c>
      <c r="Z421" s="32" t="n">
        <f aca="false">J421*(INDEX(P_VAL,MATCH("CTRL_AÑO",P_ID,0))*L421+(1-INDEX(PY_VAL,MATCH("P_USADOS",PY_ID,0),9))*M421+INDEX(PY_VAL,MATCH("P_USADOS",PY_ID,0),9)*N421+IF(P421&gt;0,O421/P421,0)+Q421)</f>
        <v>0.2</v>
      </c>
      <c r="AA421" s="32" t="n">
        <f aca="false">J421*(INDEX(P_VAL,MATCH("CTRL_AÑO",P_ID,0))*L421+(1-INDEX(PY_VAL,MATCH("P_USADOS",PY_ID,0),10))*M421+INDEX(PY_VAL,MATCH("P_USADOS",PY_ID,0),10)*N421+IF(P421&gt;0,O421/P421,0)+Q421)</f>
        <v>0.2</v>
      </c>
      <c r="AB421" s="5" t="s">
        <v>1346</v>
      </c>
    </row>
    <row r="422" customFormat="false" ht="15" hidden="false" customHeight="false" outlineLevel="0" collapsed="false">
      <c r="A422" s="4" t="s">
        <v>290</v>
      </c>
      <c r="B422" s="4" t="s">
        <v>1382</v>
      </c>
      <c r="C422" s="4" t="s">
        <v>1414</v>
      </c>
      <c r="D422" s="5" t="s">
        <v>1384</v>
      </c>
      <c r="E422" s="32" t="n">
        <v>1</v>
      </c>
      <c r="F422" s="32" t="s">
        <v>73</v>
      </c>
      <c r="G422" s="33" t="s">
        <v>1385</v>
      </c>
      <c r="H422" s="32"/>
      <c r="I422" s="32"/>
      <c r="J422" s="32"/>
      <c r="K422" s="32"/>
      <c r="L422" s="32" t="n">
        <v>0</v>
      </c>
      <c r="M422" s="32" t="n">
        <v>0</v>
      </c>
      <c r="N422" s="32" t="n">
        <v>0</v>
      </c>
      <c r="O422" s="32" t="n">
        <v>0</v>
      </c>
      <c r="P422" s="32" t="n">
        <v>0</v>
      </c>
      <c r="Q422" s="32" t="n">
        <v>0</v>
      </c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5" t="s">
        <v>1386</v>
      </c>
    </row>
    <row r="423" customFormat="false" ht="15" hidden="false" customHeight="false" outlineLevel="0" collapsed="false">
      <c r="A423" s="4" t="s">
        <v>290</v>
      </c>
      <c r="B423" s="4"/>
      <c r="C423" s="4"/>
      <c r="D423" s="5" t="s">
        <v>1387</v>
      </c>
      <c r="E423" s="32" t="n">
        <v>1</v>
      </c>
      <c r="F423" s="32" t="s">
        <v>82</v>
      </c>
      <c r="G423" s="33" t="s">
        <v>477</v>
      </c>
      <c r="H423" s="32" t="s">
        <v>634</v>
      </c>
      <c r="I423" s="32" t="n">
        <v>1</v>
      </c>
      <c r="J423" s="32" t="n">
        <f aca="false">E423*I423</f>
        <v>1</v>
      </c>
      <c r="K423" s="32"/>
      <c r="L423" s="32" t="n">
        <v>0</v>
      </c>
      <c r="M423" s="32" t="n">
        <v>0</v>
      </c>
      <c r="N423" s="32" t="n">
        <v>0</v>
      </c>
      <c r="O423" s="32" t="n">
        <v>0</v>
      </c>
      <c r="P423" s="32" t="n">
        <v>0</v>
      </c>
      <c r="Q423" s="32" t="n">
        <f aca="false">INDEX(P_VAL,MATCH("REPO_VALV",P_ID,0))</f>
        <v>0.03</v>
      </c>
      <c r="R423" s="32" t="n">
        <f aca="false">J423*(INDEX(P_VAL,MATCH("CTRL_AÑO",P_ID,0))*L423+(1-INDEX(PY_VAL,MATCH("P_USADOS",PY_ID,0),1))*M423+INDEX(PY_VAL,MATCH("P_USADOS",PY_ID,0),1)*N423+IF(P423&gt;0,O423/P423,0)+Q423)</f>
        <v>0.03</v>
      </c>
      <c r="S423" s="32" t="n">
        <f aca="false">J423*(INDEX(P_VAL,MATCH("CTRL_AÑO",P_ID,0))*L423+(1-INDEX(PY_VAL,MATCH("P_USADOS",PY_ID,0),2))*M423+INDEX(PY_VAL,MATCH("P_USADOS",PY_ID,0),2)*N423+IF(P423&gt;0,O423/P423,0)+Q423)</f>
        <v>0.03</v>
      </c>
      <c r="T423" s="32" t="n">
        <f aca="false">J423*(INDEX(P_VAL,MATCH("CTRL_AÑO",P_ID,0))*L423+(1-INDEX(PY_VAL,MATCH("P_USADOS",PY_ID,0),3))*M423+INDEX(PY_VAL,MATCH("P_USADOS",PY_ID,0),3)*N423+IF(P423&gt;0,O423/P423,0)+Q423)</f>
        <v>0.03</v>
      </c>
      <c r="U423" s="32" t="n">
        <f aca="false">J423*(INDEX(P_VAL,MATCH("CTRL_AÑO",P_ID,0))*L423+(1-INDEX(PY_VAL,MATCH("P_USADOS",PY_ID,0),4))*M423+INDEX(PY_VAL,MATCH("P_USADOS",PY_ID,0),4)*N423+IF(P423&gt;0,O423/P423,0)+Q423)</f>
        <v>0.03</v>
      </c>
      <c r="V423" s="32" t="n">
        <f aca="false">J423*(INDEX(P_VAL,MATCH("CTRL_AÑO",P_ID,0))*L423+(1-INDEX(PY_VAL,MATCH("P_USADOS",PY_ID,0),5))*M423+INDEX(PY_VAL,MATCH("P_USADOS",PY_ID,0),5)*N423+IF(P423&gt;0,O423/P423,0)+Q423)</f>
        <v>0.03</v>
      </c>
      <c r="W423" s="32" t="n">
        <f aca="false">J423*(INDEX(P_VAL,MATCH("CTRL_AÑO",P_ID,0))*L423+(1-INDEX(PY_VAL,MATCH("P_USADOS",PY_ID,0),6))*M423+INDEX(PY_VAL,MATCH("P_USADOS",PY_ID,0),6)*N423+IF(P423&gt;0,O423/P423,0)+Q423)</f>
        <v>0.03</v>
      </c>
      <c r="X423" s="32" t="n">
        <f aca="false">J423*(INDEX(P_VAL,MATCH("CTRL_AÑO",P_ID,0))*L423+(1-INDEX(PY_VAL,MATCH("P_USADOS",PY_ID,0),7))*M423+INDEX(PY_VAL,MATCH("P_USADOS",PY_ID,0),7)*N423+IF(P423&gt;0,O423/P423,0)+Q423)</f>
        <v>0.03</v>
      </c>
      <c r="Y423" s="32" t="n">
        <f aca="false">J423*(INDEX(P_VAL,MATCH("CTRL_AÑO",P_ID,0))*L423+(1-INDEX(PY_VAL,MATCH("P_USADOS",PY_ID,0),8))*M423+INDEX(PY_VAL,MATCH("P_USADOS",PY_ID,0),8)*N423+IF(P423&gt;0,O423/P423,0)+Q423)</f>
        <v>0.03</v>
      </c>
      <c r="Z423" s="32" t="n">
        <f aca="false">J423*(INDEX(P_VAL,MATCH("CTRL_AÑO",P_ID,0))*L423+(1-INDEX(PY_VAL,MATCH("P_USADOS",PY_ID,0),9))*M423+INDEX(PY_VAL,MATCH("P_USADOS",PY_ID,0),9)*N423+IF(P423&gt;0,O423/P423,0)+Q423)</f>
        <v>0.03</v>
      </c>
      <c r="AA423" s="32" t="n">
        <f aca="false">J423*(INDEX(P_VAL,MATCH("CTRL_AÑO",P_ID,0))*L423+(1-INDEX(PY_VAL,MATCH("P_USADOS",PY_ID,0),10))*M423+INDEX(PY_VAL,MATCH("P_USADOS",PY_ID,0),10)*N423+IF(P423&gt;0,O423/P423,0)+Q423)</f>
        <v>0.03</v>
      </c>
      <c r="AB423" s="5" t="s">
        <v>1388</v>
      </c>
    </row>
    <row r="424" customFormat="false" ht="15" hidden="false" customHeight="false" outlineLevel="0" collapsed="false">
      <c r="A424" s="4" t="s">
        <v>290</v>
      </c>
      <c r="B424" s="4"/>
      <c r="C424" s="4"/>
      <c r="D424" s="5" t="s">
        <v>1389</v>
      </c>
      <c r="E424" s="32" t="n">
        <v>1</v>
      </c>
      <c r="F424" s="32" t="s">
        <v>82</v>
      </c>
      <c r="G424" s="33" t="s">
        <v>477</v>
      </c>
      <c r="H424" s="32" t="s">
        <v>510</v>
      </c>
      <c r="I424" s="32" t="n">
        <v>1</v>
      </c>
      <c r="J424" s="32" t="n">
        <f aca="false">E424*I424</f>
        <v>1</v>
      </c>
      <c r="K424" s="32"/>
      <c r="L424" s="32" t="n">
        <v>0</v>
      </c>
      <c r="M424" s="32" t="n">
        <v>0</v>
      </c>
      <c r="N424" s="32" t="n">
        <v>0</v>
      </c>
      <c r="O424" s="32" t="n">
        <v>0</v>
      </c>
      <c r="P424" s="32" t="n">
        <v>0</v>
      </c>
      <c r="Q424" s="32" t="n">
        <f aca="false">INDEX(P_VAL,MATCH("REPO_MANO",P_ID,0))</f>
        <v>0.08</v>
      </c>
      <c r="R424" s="32" t="n">
        <f aca="false">J424*(INDEX(P_VAL,MATCH("CTRL_AÑO",P_ID,0))*L424+(1-INDEX(PY_VAL,MATCH("P_USADOS",PY_ID,0),1))*M424+INDEX(PY_VAL,MATCH("P_USADOS",PY_ID,0),1)*N424+IF(P424&gt;0,O424/P424,0)+Q424)</f>
        <v>0.08</v>
      </c>
      <c r="S424" s="32" t="n">
        <f aca="false">J424*(INDEX(P_VAL,MATCH("CTRL_AÑO",P_ID,0))*L424+(1-INDEX(PY_VAL,MATCH("P_USADOS",PY_ID,0),2))*M424+INDEX(PY_VAL,MATCH("P_USADOS",PY_ID,0),2)*N424+IF(P424&gt;0,O424/P424,0)+Q424)</f>
        <v>0.08</v>
      </c>
      <c r="T424" s="32" t="n">
        <f aca="false">J424*(INDEX(P_VAL,MATCH("CTRL_AÑO",P_ID,0))*L424+(1-INDEX(PY_VAL,MATCH("P_USADOS",PY_ID,0),3))*M424+INDEX(PY_VAL,MATCH("P_USADOS",PY_ID,0),3)*N424+IF(P424&gt;0,O424/P424,0)+Q424)</f>
        <v>0.08</v>
      </c>
      <c r="U424" s="32" t="n">
        <f aca="false">J424*(INDEX(P_VAL,MATCH("CTRL_AÑO",P_ID,0))*L424+(1-INDEX(PY_VAL,MATCH("P_USADOS",PY_ID,0),4))*M424+INDEX(PY_VAL,MATCH("P_USADOS",PY_ID,0),4)*N424+IF(P424&gt;0,O424/P424,0)+Q424)</f>
        <v>0.08</v>
      </c>
      <c r="V424" s="32" t="n">
        <f aca="false">J424*(INDEX(P_VAL,MATCH("CTRL_AÑO",P_ID,0))*L424+(1-INDEX(PY_VAL,MATCH("P_USADOS",PY_ID,0),5))*M424+INDEX(PY_VAL,MATCH("P_USADOS",PY_ID,0),5)*N424+IF(P424&gt;0,O424/P424,0)+Q424)</f>
        <v>0.08</v>
      </c>
      <c r="W424" s="32" t="n">
        <f aca="false">J424*(INDEX(P_VAL,MATCH("CTRL_AÑO",P_ID,0))*L424+(1-INDEX(PY_VAL,MATCH("P_USADOS",PY_ID,0),6))*M424+INDEX(PY_VAL,MATCH("P_USADOS",PY_ID,0),6)*N424+IF(P424&gt;0,O424/P424,0)+Q424)</f>
        <v>0.08</v>
      </c>
      <c r="X424" s="32" t="n">
        <f aca="false">J424*(INDEX(P_VAL,MATCH("CTRL_AÑO",P_ID,0))*L424+(1-INDEX(PY_VAL,MATCH("P_USADOS",PY_ID,0),7))*M424+INDEX(PY_VAL,MATCH("P_USADOS",PY_ID,0),7)*N424+IF(P424&gt;0,O424/P424,0)+Q424)</f>
        <v>0.08</v>
      </c>
      <c r="Y424" s="32" t="n">
        <f aca="false">J424*(INDEX(P_VAL,MATCH("CTRL_AÑO",P_ID,0))*L424+(1-INDEX(PY_VAL,MATCH("P_USADOS",PY_ID,0),8))*M424+INDEX(PY_VAL,MATCH("P_USADOS",PY_ID,0),8)*N424+IF(P424&gt;0,O424/P424,0)+Q424)</f>
        <v>0.08</v>
      </c>
      <c r="Z424" s="32" t="n">
        <f aca="false">J424*(INDEX(P_VAL,MATCH("CTRL_AÑO",P_ID,0))*L424+(1-INDEX(PY_VAL,MATCH("P_USADOS",PY_ID,0),9))*M424+INDEX(PY_VAL,MATCH("P_USADOS",PY_ID,0),9)*N424+IF(P424&gt;0,O424/P424,0)+Q424)</f>
        <v>0.08</v>
      </c>
      <c r="AA424" s="32" t="n">
        <f aca="false">J424*(INDEX(P_VAL,MATCH("CTRL_AÑO",P_ID,0))*L424+(1-INDEX(PY_VAL,MATCH("P_USADOS",PY_ID,0),10))*M424+INDEX(PY_VAL,MATCH("P_USADOS",PY_ID,0),10)*N424+IF(P424&gt;0,O424/P424,0)+Q424)</f>
        <v>0.08</v>
      </c>
      <c r="AB424" s="5" t="s">
        <v>1388</v>
      </c>
    </row>
    <row r="425" customFormat="false" ht="15" hidden="false" customHeight="false" outlineLevel="0" collapsed="false">
      <c r="A425" s="4" t="s">
        <v>290</v>
      </c>
      <c r="B425" s="4"/>
      <c r="C425" s="4"/>
      <c r="D425" s="5" t="s">
        <v>1402</v>
      </c>
      <c r="E425" s="32" t="n">
        <v>1</v>
      </c>
      <c r="F425" s="32" t="s">
        <v>82</v>
      </c>
      <c r="G425" s="33" t="s">
        <v>477</v>
      </c>
      <c r="H425" s="32" t="s">
        <v>756</v>
      </c>
      <c r="I425" s="32" t="n">
        <v>1</v>
      </c>
      <c r="J425" s="32" t="n">
        <f aca="false">E425*I425</f>
        <v>1</v>
      </c>
      <c r="K425" s="32"/>
      <c r="L425" s="32" t="n">
        <v>0</v>
      </c>
      <c r="M425" s="32" t="n">
        <v>0</v>
      </c>
      <c r="N425" s="32" t="n">
        <v>0</v>
      </c>
      <c r="O425" s="32" t="n">
        <v>0</v>
      </c>
      <c r="P425" s="32" t="n">
        <v>0</v>
      </c>
      <c r="Q425" s="32" t="n">
        <f aca="false">INDEX(P_VAL,MATCH("REPO_MANG",P_ID,0))</f>
        <v>0.05</v>
      </c>
      <c r="R425" s="32" t="n">
        <f aca="false">J425*(INDEX(P_VAL,MATCH("CTRL_AÑO",P_ID,0))*L425+(1-INDEX(PY_VAL,MATCH("P_USADOS",PY_ID,0),1))*M425+INDEX(PY_VAL,MATCH("P_USADOS",PY_ID,0),1)*N425+IF(P425&gt;0,O425/P425,0)+Q425)</f>
        <v>0.05</v>
      </c>
      <c r="S425" s="32" t="n">
        <f aca="false">J425*(INDEX(P_VAL,MATCH("CTRL_AÑO",P_ID,0))*L425+(1-INDEX(PY_VAL,MATCH("P_USADOS",PY_ID,0),2))*M425+INDEX(PY_VAL,MATCH("P_USADOS",PY_ID,0),2)*N425+IF(P425&gt;0,O425/P425,0)+Q425)</f>
        <v>0.05</v>
      </c>
      <c r="T425" s="32" t="n">
        <f aca="false">J425*(INDEX(P_VAL,MATCH("CTRL_AÑO",P_ID,0))*L425+(1-INDEX(PY_VAL,MATCH("P_USADOS",PY_ID,0),3))*M425+INDEX(PY_VAL,MATCH("P_USADOS",PY_ID,0),3)*N425+IF(P425&gt;0,O425/P425,0)+Q425)</f>
        <v>0.05</v>
      </c>
      <c r="U425" s="32" t="n">
        <f aca="false">J425*(INDEX(P_VAL,MATCH("CTRL_AÑO",P_ID,0))*L425+(1-INDEX(PY_VAL,MATCH("P_USADOS",PY_ID,0),4))*M425+INDEX(PY_VAL,MATCH("P_USADOS",PY_ID,0),4)*N425+IF(P425&gt;0,O425/P425,0)+Q425)</f>
        <v>0.05</v>
      </c>
      <c r="V425" s="32" t="n">
        <f aca="false">J425*(INDEX(P_VAL,MATCH("CTRL_AÑO",P_ID,0))*L425+(1-INDEX(PY_VAL,MATCH("P_USADOS",PY_ID,0),5))*M425+INDEX(PY_VAL,MATCH("P_USADOS",PY_ID,0),5)*N425+IF(P425&gt;0,O425/P425,0)+Q425)</f>
        <v>0.05</v>
      </c>
      <c r="W425" s="32" t="n">
        <f aca="false">J425*(INDEX(P_VAL,MATCH("CTRL_AÑO",P_ID,0))*L425+(1-INDEX(PY_VAL,MATCH("P_USADOS",PY_ID,0),6))*M425+INDEX(PY_VAL,MATCH("P_USADOS",PY_ID,0),6)*N425+IF(P425&gt;0,O425/P425,0)+Q425)</f>
        <v>0.05</v>
      </c>
      <c r="X425" s="32" t="n">
        <f aca="false">J425*(INDEX(P_VAL,MATCH("CTRL_AÑO",P_ID,0))*L425+(1-INDEX(PY_VAL,MATCH("P_USADOS",PY_ID,0),7))*M425+INDEX(PY_VAL,MATCH("P_USADOS",PY_ID,0),7)*N425+IF(P425&gt;0,O425/P425,0)+Q425)</f>
        <v>0.05</v>
      </c>
      <c r="Y425" s="32" t="n">
        <f aca="false">J425*(INDEX(P_VAL,MATCH("CTRL_AÑO",P_ID,0))*L425+(1-INDEX(PY_VAL,MATCH("P_USADOS",PY_ID,0),8))*M425+INDEX(PY_VAL,MATCH("P_USADOS",PY_ID,0),8)*N425+IF(P425&gt;0,O425/P425,0)+Q425)</f>
        <v>0.05</v>
      </c>
      <c r="Z425" s="32" t="n">
        <f aca="false">J425*(INDEX(P_VAL,MATCH("CTRL_AÑO",P_ID,0))*L425+(1-INDEX(PY_VAL,MATCH("P_USADOS",PY_ID,0),9))*M425+INDEX(PY_VAL,MATCH("P_USADOS",PY_ID,0),9)*N425+IF(P425&gt;0,O425/P425,0)+Q425)</f>
        <v>0.05</v>
      </c>
      <c r="AA425" s="32" t="n">
        <f aca="false">J425*(INDEX(P_VAL,MATCH("CTRL_AÑO",P_ID,0))*L425+(1-INDEX(PY_VAL,MATCH("P_USADOS",PY_ID,0),10))*M425+INDEX(PY_VAL,MATCH("P_USADOS",PY_ID,0),10)*N425+IF(P425&gt;0,O425/P425,0)+Q425)</f>
        <v>0.05</v>
      </c>
      <c r="AB425" s="5" t="s">
        <v>1388</v>
      </c>
    </row>
    <row r="426" customFormat="false" ht="15" hidden="false" customHeight="false" outlineLevel="0" collapsed="false">
      <c r="A426" s="4" t="s">
        <v>293</v>
      </c>
      <c r="B426" s="4" t="s">
        <v>1341</v>
      </c>
      <c r="C426" s="4" t="s">
        <v>1415</v>
      </c>
      <c r="D426" s="5" t="s">
        <v>1343</v>
      </c>
      <c r="E426" s="32" t="n">
        <v>1</v>
      </c>
      <c r="F426" s="32" t="s">
        <v>82</v>
      </c>
      <c r="G426" s="33" t="s">
        <v>1344</v>
      </c>
      <c r="H426" s="32" t="s">
        <v>1345</v>
      </c>
      <c r="I426" s="32" t="n">
        <v>1</v>
      </c>
      <c r="J426" s="32" t="n">
        <f aca="false">E426*I426</f>
        <v>1</v>
      </c>
      <c r="K426" s="32"/>
      <c r="L426" s="32" t="n">
        <v>1</v>
      </c>
      <c r="M426" s="32" t="n">
        <v>0</v>
      </c>
      <c r="N426" s="32" t="n">
        <v>0</v>
      </c>
      <c r="O426" s="32" t="n">
        <v>0</v>
      </c>
      <c r="P426" s="32" t="n">
        <v>5</v>
      </c>
      <c r="Q426" s="32" t="n">
        <v>0</v>
      </c>
      <c r="R426" s="32" t="n">
        <f aca="false">J426*(INDEX(P_VAL,MATCH("CTRL_AÑO",P_ID,0))*L426+(1-INDEX(PY_VAL,MATCH("P_USADOS",PY_ID,0),1))*M426+INDEX(PY_VAL,MATCH("P_USADOS",PY_ID,0),1)*N426+IF(P426&gt;0,O426/P426,0)+Q426)</f>
        <v>4</v>
      </c>
      <c r="S426" s="32" t="n">
        <f aca="false">J426*(INDEX(P_VAL,MATCH("CTRL_AÑO",P_ID,0))*L426+(1-INDEX(PY_VAL,MATCH("P_USADOS",PY_ID,0),2))*M426+INDEX(PY_VAL,MATCH("P_USADOS",PY_ID,0),2)*N426+IF(P426&gt;0,O426/P426,0)+Q426)</f>
        <v>4</v>
      </c>
      <c r="T426" s="32" t="n">
        <f aca="false">J426*(INDEX(P_VAL,MATCH("CTRL_AÑO",P_ID,0))*L426+(1-INDEX(PY_VAL,MATCH("P_USADOS",PY_ID,0),3))*M426+INDEX(PY_VAL,MATCH("P_USADOS",PY_ID,0),3)*N426+IF(P426&gt;0,O426/P426,0)+Q426)</f>
        <v>4</v>
      </c>
      <c r="U426" s="32" t="n">
        <f aca="false">J426*(INDEX(P_VAL,MATCH("CTRL_AÑO",P_ID,0))*L426+(1-INDEX(PY_VAL,MATCH("P_USADOS",PY_ID,0),4))*M426+INDEX(PY_VAL,MATCH("P_USADOS",PY_ID,0),4)*N426+IF(P426&gt;0,O426/P426,0)+Q426)</f>
        <v>4</v>
      </c>
      <c r="V426" s="32" t="n">
        <f aca="false">J426*(INDEX(P_VAL,MATCH("CTRL_AÑO",P_ID,0))*L426+(1-INDEX(PY_VAL,MATCH("P_USADOS",PY_ID,0),5))*M426+INDEX(PY_VAL,MATCH("P_USADOS",PY_ID,0),5)*N426+IF(P426&gt;0,O426/P426,0)+Q426)</f>
        <v>4</v>
      </c>
      <c r="W426" s="32" t="n">
        <f aca="false">J426*(INDEX(P_VAL,MATCH("CTRL_AÑO",P_ID,0))*L426+(1-INDEX(PY_VAL,MATCH("P_USADOS",PY_ID,0),6))*M426+INDEX(PY_VAL,MATCH("P_USADOS",PY_ID,0),6)*N426+IF(P426&gt;0,O426/P426,0)+Q426)</f>
        <v>4</v>
      </c>
      <c r="X426" s="32" t="n">
        <f aca="false">J426*(INDEX(P_VAL,MATCH("CTRL_AÑO",P_ID,0))*L426+(1-INDEX(PY_VAL,MATCH("P_USADOS",PY_ID,0),7))*M426+INDEX(PY_VAL,MATCH("P_USADOS",PY_ID,0),7)*N426+IF(P426&gt;0,O426/P426,0)+Q426)</f>
        <v>4</v>
      </c>
      <c r="Y426" s="32" t="n">
        <f aca="false">J426*(INDEX(P_VAL,MATCH("CTRL_AÑO",P_ID,0))*L426+(1-INDEX(PY_VAL,MATCH("P_USADOS",PY_ID,0),8))*M426+INDEX(PY_VAL,MATCH("P_USADOS",PY_ID,0),8)*N426+IF(P426&gt;0,O426/P426,0)+Q426)</f>
        <v>4</v>
      </c>
      <c r="Z426" s="32" t="n">
        <f aca="false">J426*(INDEX(P_VAL,MATCH("CTRL_AÑO",P_ID,0))*L426+(1-INDEX(PY_VAL,MATCH("P_USADOS",PY_ID,0),9))*M426+INDEX(PY_VAL,MATCH("P_USADOS",PY_ID,0),9)*N426+IF(P426&gt;0,O426/P426,0)+Q426)</f>
        <v>4</v>
      </c>
      <c r="AA426" s="32" t="n">
        <f aca="false">J426*(INDEX(P_VAL,MATCH("CTRL_AÑO",P_ID,0))*L426+(1-INDEX(PY_VAL,MATCH("P_USADOS",PY_ID,0),10))*M426+INDEX(PY_VAL,MATCH("P_USADOS",PY_ID,0),10)*N426+IF(P426&gt;0,O426/P426,0)+Q426)</f>
        <v>4</v>
      </c>
      <c r="AB426" s="5" t="s">
        <v>1346</v>
      </c>
    </row>
    <row r="427" customFormat="false" ht="15" hidden="false" customHeight="false" outlineLevel="0" collapsed="false">
      <c r="A427" s="4" t="s">
        <v>293</v>
      </c>
      <c r="B427" s="4" t="s">
        <v>1347</v>
      </c>
      <c r="C427" s="4" t="s">
        <v>1416</v>
      </c>
      <c r="D427" s="5" t="s">
        <v>1349</v>
      </c>
      <c r="E427" s="32" t="n">
        <v>1</v>
      </c>
      <c r="F427" s="32" t="s">
        <v>73</v>
      </c>
      <c r="G427" s="33" t="s">
        <v>1344</v>
      </c>
      <c r="H427" s="32" t="s">
        <v>568</v>
      </c>
      <c r="I427" s="32" t="n">
        <v>1</v>
      </c>
      <c r="J427" s="32" t="n">
        <f aca="false">E427*I427</f>
        <v>1</v>
      </c>
      <c r="K427" s="32"/>
      <c r="L427" s="32" t="n">
        <v>0</v>
      </c>
      <c r="M427" s="32" t="n">
        <v>0.15</v>
      </c>
      <c r="N427" s="32" t="n">
        <v>10.15</v>
      </c>
      <c r="O427" s="32" t="n">
        <v>0</v>
      </c>
      <c r="P427" s="32" t="n">
        <v>5</v>
      </c>
      <c r="Q427" s="32" t="n">
        <v>0</v>
      </c>
      <c r="R427" s="32" t="n">
        <f aca="false">J427*(INDEX(P_VAL,MATCH("CTRL_AÑO",P_ID,0))*L427+(1-INDEX(PY_VAL,MATCH("P_USADOS",PY_ID,0),1))*M427+INDEX(PY_VAL,MATCH("P_USADOS",PY_ID,0),1)*N427+IF(P427&gt;0,O427/P427,0)+Q427)</f>
        <v>0.6264</v>
      </c>
      <c r="S427" s="32" t="n">
        <f aca="false">J427*(INDEX(P_VAL,MATCH("CTRL_AÑO",P_ID,0))*L427+(1-INDEX(PY_VAL,MATCH("P_USADOS",PY_ID,0),2))*M427+INDEX(PY_VAL,MATCH("P_USADOS",PY_ID,0),2)*N427+IF(P427&gt;0,O427/P427,0)+Q427)</f>
        <v>0.62636</v>
      </c>
      <c r="T427" s="32" t="n">
        <f aca="false">J427*(INDEX(P_VAL,MATCH("CTRL_AÑO",P_ID,0))*L427+(1-INDEX(PY_VAL,MATCH("P_USADOS",PY_ID,0),3))*M427+INDEX(PY_VAL,MATCH("P_USADOS",PY_ID,0),3)*N427+IF(P427&gt;0,O427/P427,0)+Q427)</f>
        <v>0.62637</v>
      </c>
      <c r="U427" s="32" t="n">
        <f aca="false">J427*(INDEX(P_VAL,MATCH("CTRL_AÑO",P_ID,0))*L427+(1-INDEX(PY_VAL,MATCH("P_USADOS",PY_ID,0),4))*M427+INDEX(PY_VAL,MATCH("P_USADOS",PY_ID,0),4)*N427+IF(P427&gt;0,O427/P427,0)+Q427)</f>
        <v>0.62639</v>
      </c>
      <c r="V427" s="32" t="n">
        <f aca="false">J427*(INDEX(P_VAL,MATCH("CTRL_AÑO",P_ID,0))*L427+(1-INDEX(PY_VAL,MATCH("P_USADOS",PY_ID,0),5))*M427+INDEX(PY_VAL,MATCH("P_USADOS",PY_ID,0),5)*N427+IF(P427&gt;0,O427/P427,0)+Q427)</f>
        <v>0.62636</v>
      </c>
      <c r="W427" s="32" t="n">
        <f aca="false">J427*(INDEX(P_VAL,MATCH("CTRL_AÑO",P_ID,0))*L427+(1-INDEX(PY_VAL,MATCH("P_USADOS",PY_ID,0),6))*M427+INDEX(PY_VAL,MATCH("P_USADOS",PY_ID,0),6)*N427+IF(P427&gt;0,O427/P427,0)+Q427)</f>
        <v>0.62637</v>
      </c>
      <c r="X427" s="32" t="n">
        <f aca="false">J427*(INDEX(P_VAL,MATCH("CTRL_AÑO",P_ID,0))*L427+(1-INDEX(PY_VAL,MATCH("P_USADOS",PY_ID,0),7))*M427+INDEX(PY_VAL,MATCH("P_USADOS",PY_ID,0),7)*N427+IF(P427&gt;0,O427/P427,0)+Q427)</f>
        <v>0.62636</v>
      </c>
      <c r="Y427" s="32" t="n">
        <f aca="false">J427*(INDEX(P_VAL,MATCH("CTRL_AÑO",P_ID,0))*L427+(1-INDEX(PY_VAL,MATCH("P_USADOS",PY_ID,0),8))*M427+INDEX(PY_VAL,MATCH("P_USADOS",PY_ID,0),8)*N427+IF(P427&gt;0,O427/P427,0)+Q427)</f>
        <v>0.62638</v>
      </c>
      <c r="Z427" s="32" t="n">
        <f aca="false">J427*(INDEX(P_VAL,MATCH("CTRL_AÑO",P_ID,0))*L427+(1-INDEX(PY_VAL,MATCH("P_USADOS",PY_ID,0),9))*M427+INDEX(PY_VAL,MATCH("P_USADOS",PY_ID,0),9)*N427+IF(P427&gt;0,O427/P427,0)+Q427)</f>
        <v>0.62636</v>
      </c>
      <c r="AA427" s="32" t="n">
        <f aca="false">J427*(INDEX(P_VAL,MATCH("CTRL_AÑO",P_ID,0))*L427+(1-INDEX(PY_VAL,MATCH("P_USADOS",PY_ID,0),10))*M427+INDEX(PY_VAL,MATCH("P_USADOS",PY_ID,0),10)*N427+IF(P427&gt;0,O427/P427,0)+Q427)</f>
        <v>0.62633</v>
      </c>
      <c r="AB427" s="5" t="s">
        <v>1346</v>
      </c>
    </row>
    <row r="428" customFormat="false" ht="15" hidden="false" customHeight="false" outlineLevel="0" collapsed="false">
      <c r="A428" s="4" t="s">
        <v>293</v>
      </c>
      <c r="B428" s="4" t="s">
        <v>1350</v>
      </c>
      <c r="C428" s="4" t="s">
        <v>1417</v>
      </c>
      <c r="D428" s="5" t="s">
        <v>571</v>
      </c>
      <c r="E428" s="32" t="n">
        <v>1</v>
      </c>
      <c r="F428" s="32" t="s">
        <v>73</v>
      </c>
      <c r="G428" s="33" t="s">
        <v>1344</v>
      </c>
      <c r="H428" s="32" t="s">
        <v>573</v>
      </c>
      <c r="I428" s="32" t="n">
        <f aca="false">(1+INDEX(P_VAL,MATCH("N2_PERD",P_ID,0)))/INDEX(P_VAL,MATCH("RHO_N2",P_ID,0))</f>
        <v>1.0406660262568</v>
      </c>
      <c r="J428" s="32" t="n">
        <f aca="false">E428*I428</f>
        <v>1.0406660262568</v>
      </c>
      <c r="K428" s="32"/>
      <c r="L428" s="32" t="n">
        <v>0</v>
      </c>
      <c r="M428" s="32" t="n">
        <v>0.0564472312806942</v>
      </c>
      <c r="N428" s="32" t="n">
        <v>0.0564472312806942</v>
      </c>
      <c r="O428" s="32" t="n">
        <v>0</v>
      </c>
      <c r="P428" s="32" t="n">
        <v>5</v>
      </c>
      <c r="Q428" s="32" t="n">
        <v>0</v>
      </c>
      <c r="R428" s="32" t="n">
        <f aca="false">J428*(INDEX(P_VAL,MATCH("CTRL_AÑO",P_ID,0))*L428+(1-INDEX(PY_VAL,MATCH("P_USADOS",PY_ID,0),1))*M428+INDEX(PY_VAL,MATCH("P_USADOS",PY_ID,0),1)*N428+IF(P428&gt;0,O428/P428,0)+Q428)</f>
        <v>0.0587427158700788</v>
      </c>
      <c r="S428" s="32" t="n">
        <f aca="false">J428*(INDEX(P_VAL,MATCH("CTRL_AÑO",P_ID,0))*L428+(1-INDEX(PY_VAL,MATCH("P_USADOS",PY_ID,0),2))*M428+INDEX(PY_VAL,MATCH("P_USADOS",PY_ID,0),2)*N428+IF(P428&gt;0,O428/P428,0)+Q428)</f>
        <v>0.0587427158700788</v>
      </c>
      <c r="T428" s="32" t="n">
        <f aca="false">J428*(INDEX(P_VAL,MATCH("CTRL_AÑO",P_ID,0))*L428+(1-INDEX(PY_VAL,MATCH("P_USADOS",PY_ID,0),3))*M428+INDEX(PY_VAL,MATCH("P_USADOS",PY_ID,0),3)*N428+IF(P428&gt;0,O428/P428,0)+Q428)</f>
        <v>0.0587427158700788</v>
      </c>
      <c r="U428" s="32" t="n">
        <f aca="false">J428*(INDEX(P_VAL,MATCH("CTRL_AÑO",P_ID,0))*L428+(1-INDEX(PY_VAL,MATCH("P_USADOS",PY_ID,0),4))*M428+INDEX(PY_VAL,MATCH("P_USADOS",PY_ID,0),4)*N428+IF(P428&gt;0,O428/P428,0)+Q428)</f>
        <v>0.0587427158700788</v>
      </c>
      <c r="V428" s="32" t="n">
        <f aca="false">J428*(INDEX(P_VAL,MATCH("CTRL_AÑO",P_ID,0))*L428+(1-INDEX(PY_VAL,MATCH("P_USADOS",PY_ID,0),5))*M428+INDEX(PY_VAL,MATCH("P_USADOS",PY_ID,0),5)*N428+IF(P428&gt;0,O428/P428,0)+Q428)</f>
        <v>0.0587427158700788</v>
      </c>
      <c r="W428" s="32" t="n">
        <f aca="false">J428*(INDEX(P_VAL,MATCH("CTRL_AÑO",P_ID,0))*L428+(1-INDEX(PY_VAL,MATCH("P_USADOS",PY_ID,0),6))*M428+INDEX(PY_VAL,MATCH("P_USADOS",PY_ID,0),6)*N428+IF(P428&gt;0,O428/P428,0)+Q428)</f>
        <v>0.0587427158700788</v>
      </c>
      <c r="X428" s="32" t="n">
        <f aca="false">J428*(INDEX(P_VAL,MATCH("CTRL_AÑO",P_ID,0))*L428+(1-INDEX(PY_VAL,MATCH("P_USADOS",PY_ID,0),7))*M428+INDEX(PY_VAL,MATCH("P_USADOS",PY_ID,0),7)*N428+IF(P428&gt;0,O428/P428,0)+Q428)</f>
        <v>0.0587427158700788</v>
      </c>
      <c r="Y428" s="32" t="n">
        <f aca="false">J428*(INDEX(P_VAL,MATCH("CTRL_AÑO",P_ID,0))*L428+(1-INDEX(PY_VAL,MATCH("P_USADOS",PY_ID,0),8))*M428+INDEX(PY_VAL,MATCH("P_USADOS",PY_ID,0),8)*N428+IF(P428&gt;0,O428/P428,0)+Q428)</f>
        <v>0.0587427158700788</v>
      </c>
      <c r="Z428" s="32" t="n">
        <f aca="false">J428*(INDEX(P_VAL,MATCH("CTRL_AÑO",P_ID,0))*L428+(1-INDEX(PY_VAL,MATCH("P_USADOS",PY_ID,0),9))*M428+INDEX(PY_VAL,MATCH("P_USADOS",PY_ID,0),9)*N428+IF(P428&gt;0,O428/P428,0)+Q428)</f>
        <v>0.0587427158700788</v>
      </c>
      <c r="AA428" s="32" t="n">
        <f aca="false">J428*(INDEX(P_VAL,MATCH("CTRL_AÑO",P_ID,0))*L428+(1-INDEX(PY_VAL,MATCH("P_USADOS",PY_ID,0),10))*M428+INDEX(PY_VAL,MATCH("P_USADOS",PY_ID,0),10)*N428+IF(P428&gt;0,O428/P428,0)+Q428)</f>
        <v>0.0587427158700788</v>
      </c>
      <c r="AB428" s="5" t="s">
        <v>1346</v>
      </c>
    </row>
    <row r="429" customFormat="false" ht="15" hidden="false" customHeight="false" outlineLevel="0" collapsed="false">
      <c r="A429" s="4" t="s">
        <v>293</v>
      </c>
      <c r="B429" s="4" t="s">
        <v>1352</v>
      </c>
      <c r="C429" s="4" t="s">
        <v>1418</v>
      </c>
      <c r="D429" s="5" t="s">
        <v>1354</v>
      </c>
      <c r="E429" s="32" t="n">
        <v>1</v>
      </c>
      <c r="F429" s="32" t="s">
        <v>82</v>
      </c>
      <c r="G429" s="33" t="s">
        <v>1344</v>
      </c>
      <c r="H429" s="32" t="s">
        <v>1355</v>
      </c>
      <c r="I429" s="32" t="n">
        <v>1</v>
      </c>
      <c r="J429" s="32" t="n">
        <f aca="false">E429*I429</f>
        <v>1</v>
      </c>
      <c r="K429" s="32"/>
      <c r="L429" s="32" t="n">
        <v>0</v>
      </c>
      <c r="M429" s="32" t="n">
        <v>1</v>
      </c>
      <c r="N429" s="32" t="n">
        <v>1</v>
      </c>
      <c r="O429" s="32" t="n">
        <v>0</v>
      </c>
      <c r="P429" s="32" t="n">
        <v>5</v>
      </c>
      <c r="Q429" s="32" t="n">
        <v>0</v>
      </c>
      <c r="R429" s="32" t="n">
        <f aca="false">J429*(INDEX(P_VAL,MATCH("CTRL_AÑO",P_ID,0))*L429+(1-INDEX(PY_VAL,MATCH("P_USADOS",PY_ID,0),1))*M429+INDEX(PY_VAL,MATCH("P_USADOS",PY_ID,0),1)*N429+IF(P429&gt;0,O429/P429,0)+Q429)</f>
        <v>1</v>
      </c>
      <c r="S429" s="32" t="n">
        <f aca="false">J429*(INDEX(P_VAL,MATCH("CTRL_AÑO",P_ID,0))*L429+(1-INDEX(PY_VAL,MATCH("P_USADOS",PY_ID,0),2))*M429+INDEX(PY_VAL,MATCH("P_USADOS",PY_ID,0),2)*N429+IF(P429&gt;0,O429/P429,0)+Q429)</f>
        <v>1</v>
      </c>
      <c r="T429" s="32" t="n">
        <f aca="false">J429*(INDEX(P_VAL,MATCH("CTRL_AÑO",P_ID,0))*L429+(1-INDEX(PY_VAL,MATCH("P_USADOS",PY_ID,0),3))*M429+INDEX(PY_VAL,MATCH("P_USADOS",PY_ID,0),3)*N429+IF(P429&gt;0,O429/P429,0)+Q429)</f>
        <v>1</v>
      </c>
      <c r="U429" s="32" t="n">
        <f aca="false">J429*(INDEX(P_VAL,MATCH("CTRL_AÑO",P_ID,0))*L429+(1-INDEX(PY_VAL,MATCH("P_USADOS",PY_ID,0),4))*M429+INDEX(PY_VAL,MATCH("P_USADOS",PY_ID,0),4)*N429+IF(P429&gt;0,O429/P429,0)+Q429)</f>
        <v>1</v>
      </c>
      <c r="V429" s="32" t="n">
        <f aca="false">J429*(INDEX(P_VAL,MATCH("CTRL_AÑO",P_ID,0))*L429+(1-INDEX(PY_VAL,MATCH("P_USADOS",PY_ID,0),5))*M429+INDEX(PY_VAL,MATCH("P_USADOS",PY_ID,0),5)*N429+IF(P429&gt;0,O429/P429,0)+Q429)</f>
        <v>1</v>
      </c>
      <c r="W429" s="32" t="n">
        <f aca="false">J429*(INDEX(P_VAL,MATCH("CTRL_AÑO",P_ID,0))*L429+(1-INDEX(PY_VAL,MATCH("P_USADOS",PY_ID,0),6))*M429+INDEX(PY_VAL,MATCH("P_USADOS",PY_ID,0),6)*N429+IF(P429&gt;0,O429/P429,0)+Q429)</f>
        <v>1</v>
      </c>
      <c r="X429" s="32" t="n">
        <f aca="false">J429*(INDEX(P_VAL,MATCH("CTRL_AÑO",P_ID,0))*L429+(1-INDEX(PY_VAL,MATCH("P_USADOS",PY_ID,0),7))*M429+INDEX(PY_VAL,MATCH("P_USADOS",PY_ID,0),7)*N429+IF(P429&gt;0,O429/P429,0)+Q429)</f>
        <v>1</v>
      </c>
      <c r="Y429" s="32" t="n">
        <f aca="false">J429*(INDEX(P_VAL,MATCH("CTRL_AÑO",P_ID,0))*L429+(1-INDEX(PY_VAL,MATCH("P_USADOS",PY_ID,0),8))*M429+INDEX(PY_VAL,MATCH("P_USADOS",PY_ID,0),8)*N429+IF(P429&gt;0,O429/P429,0)+Q429)</f>
        <v>1</v>
      </c>
      <c r="Z429" s="32" t="n">
        <f aca="false">J429*(INDEX(P_VAL,MATCH("CTRL_AÑO",P_ID,0))*L429+(1-INDEX(PY_VAL,MATCH("P_USADOS",PY_ID,0),9))*M429+INDEX(PY_VAL,MATCH("P_USADOS",PY_ID,0),9)*N429+IF(P429&gt;0,O429/P429,0)+Q429)</f>
        <v>1</v>
      </c>
      <c r="AA429" s="32" t="n">
        <f aca="false">J429*(INDEX(P_VAL,MATCH("CTRL_AÑO",P_ID,0))*L429+(1-INDEX(PY_VAL,MATCH("P_USADOS",PY_ID,0),10))*M429+INDEX(PY_VAL,MATCH("P_USADOS",PY_ID,0),10)*N429+IF(P429&gt;0,O429/P429,0)+Q429)</f>
        <v>1</v>
      </c>
      <c r="AB429" s="5" t="s">
        <v>1346</v>
      </c>
    </row>
    <row r="430" customFormat="false" ht="15" hidden="false" customHeight="false" outlineLevel="0" collapsed="false">
      <c r="A430" s="4" t="s">
        <v>293</v>
      </c>
      <c r="B430" s="4" t="s">
        <v>1356</v>
      </c>
      <c r="C430" s="4" t="s">
        <v>1419</v>
      </c>
      <c r="D430" s="5" t="s">
        <v>1358</v>
      </c>
      <c r="E430" s="32" t="n">
        <v>1</v>
      </c>
      <c r="F430" s="32" t="s">
        <v>82</v>
      </c>
      <c r="G430" s="33" t="s">
        <v>1344</v>
      </c>
      <c r="H430" s="32" t="s">
        <v>1359</v>
      </c>
      <c r="I430" s="32" t="n">
        <v>1</v>
      </c>
      <c r="J430" s="32" t="n">
        <f aca="false">E430*I430</f>
        <v>1</v>
      </c>
      <c r="K430" s="32"/>
      <c r="L430" s="32" t="n">
        <v>0</v>
      </c>
      <c r="M430" s="32" t="n">
        <v>1</v>
      </c>
      <c r="N430" s="32" t="n">
        <v>1</v>
      </c>
      <c r="O430" s="32" t="n">
        <v>0</v>
      </c>
      <c r="P430" s="32" t="n">
        <v>5</v>
      </c>
      <c r="Q430" s="32" t="n">
        <v>0</v>
      </c>
      <c r="R430" s="32" t="n">
        <f aca="false">J430*(INDEX(P_VAL,MATCH("CTRL_AÑO",P_ID,0))*L430+(1-INDEX(PY_VAL,MATCH("P_USADOS",PY_ID,0),1))*M430+INDEX(PY_VAL,MATCH("P_USADOS",PY_ID,0),1)*N430+IF(P430&gt;0,O430/P430,0)+Q430)</f>
        <v>1</v>
      </c>
      <c r="S430" s="32" t="n">
        <f aca="false">J430*(INDEX(P_VAL,MATCH("CTRL_AÑO",P_ID,0))*L430+(1-INDEX(PY_VAL,MATCH("P_USADOS",PY_ID,0),2))*M430+INDEX(PY_VAL,MATCH("P_USADOS",PY_ID,0),2)*N430+IF(P430&gt;0,O430/P430,0)+Q430)</f>
        <v>1</v>
      </c>
      <c r="T430" s="32" t="n">
        <f aca="false">J430*(INDEX(P_VAL,MATCH("CTRL_AÑO",P_ID,0))*L430+(1-INDEX(PY_VAL,MATCH("P_USADOS",PY_ID,0),3))*M430+INDEX(PY_VAL,MATCH("P_USADOS",PY_ID,0),3)*N430+IF(P430&gt;0,O430/P430,0)+Q430)</f>
        <v>1</v>
      </c>
      <c r="U430" s="32" t="n">
        <f aca="false">J430*(INDEX(P_VAL,MATCH("CTRL_AÑO",P_ID,0))*L430+(1-INDEX(PY_VAL,MATCH("P_USADOS",PY_ID,0),4))*M430+INDEX(PY_VAL,MATCH("P_USADOS",PY_ID,0),4)*N430+IF(P430&gt;0,O430/P430,0)+Q430)</f>
        <v>1</v>
      </c>
      <c r="V430" s="32" t="n">
        <f aca="false">J430*(INDEX(P_VAL,MATCH("CTRL_AÑO",P_ID,0))*L430+(1-INDEX(PY_VAL,MATCH("P_USADOS",PY_ID,0),5))*M430+INDEX(PY_VAL,MATCH("P_USADOS",PY_ID,0),5)*N430+IF(P430&gt;0,O430/P430,0)+Q430)</f>
        <v>1</v>
      </c>
      <c r="W430" s="32" t="n">
        <f aca="false">J430*(INDEX(P_VAL,MATCH("CTRL_AÑO",P_ID,0))*L430+(1-INDEX(PY_VAL,MATCH("P_USADOS",PY_ID,0),6))*M430+INDEX(PY_VAL,MATCH("P_USADOS",PY_ID,0),6)*N430+IF(P430&gt;0,O430/P430,0)+Q430)</f>
        <v>1</v>
      </c>
      <c r="X430" s="32" t="n">
        <f aca="false">J430*(INDEX(P_VAL,MATCH("CTRL_AÑO",P_ID,0))*L430+(1-INDEX(PY_VAL,MATCH("P_USADOS",PY_ID,0),7))*M430+INDEX(PY_VAL,MATCH("P_USADOS",PY_ID,0),7)*N430+IF(P430&gt;0,O430/P430,0)+Q430)</f>
        <v>1</v>
      </c>
      <c r="Y430" s="32" t="n">
        <f aca="false">J430*(INDEX(P_VAL,MATCH("CTRL_AÑO",P_ID,0))*L430+(1-INDEX(PY_VAL,MATCH("P_USADOS",PY_ID,0),8))*M430+INDEX(PY_VAL,MATCH("P_USADOS",PY_ID,0),8)*N430+IF(P430&gt;0,O430/P430,0)+Q430)</f>
        <v>1</v>
      </c>
      <c r="Z430" s="32" t="n">
        <f aca="false">J430*(INDEX(P_VAL,MATCH("CTRL_AÑO",P_ID,0))*L430+(1-INDEX(PY_VAL,MATCH("P_USADOS",PY_ID,0),9))*M430+INDEX(PY_VAL,MATCH("P_USADOS",PY_ID,0),9)*N430+IF(P430&gt;0,O430/P430,0)+Q430)</f>
        <v>1</v>
      </c>
      <c r="AA430" s="32" t="n">
        <f aca="false">J430*(INDEX(P_VAL,MATCH("CTRL_AÑO",P_ID,0))*L430+(1-INDEX(PY_VAL,MATCH("P_USADOS",PY_ID,0),10))*M430+INDEX(PY_VAL,MATCH("P_USADOS",PY_ID,0),10)*N430+IF(P430&gt;0,O430/P430,0)+Q430)</f>
        <v>1</v>
      </c>
      <c r="AB430" s="5" t="s">
        <v>1346</v>
      </c>
    </row>
    <row r="431" customFormat="false" ht="15" hidden="false" customHeight="false" outlineLevel="0" collapsed="false">
      <c r="A431" s="4" t="s">
        <v>293</v>
      </c>
      <c r="B431" s="4" t="s">
        <v>1360</v>
      </c>
      <c r="C431" s="4" t="s">
        <v>1420</v>
      </c>
      <c r="D431" s="5" t="s">
        <v>1362</v>
      </c>
      <c r="E431" s="32" t="n">
        <v>1</v>
      </c>
      <c r="F431" s="32" t="s">
        <v>82</v>
      </c>
      <c r="G431" s="33" t="s">
        <v>1344</v>
      </c>
      <c r="H431" s="32" t="s">
        <v>1363</v>
      </c>
      <c r="I431" s="32" t="n">
        <v>1</v>
      </c>
      <c r="J431" s="32" t="n">
        <f aca="false">E431*I431</f>
        <v>1</v>
      </c>
      <c r="K431" s="32"/>
      <c r="L431" s="32" t="n">
        <v>0</v>
      </c>
      <c r="M431" s="32" t="n">
        <v>1</v>
      </c>
      <c r="N431" s="32" t="n">
        <v>1</v>
      </c>
      <c r="O431" s="32" t="n">
        <v>0</v>
      </c>
      <c r="P431" s="32" t="n">
        <v>5</v>
      </c>
      <c r="Q431" s="32" t="n">
        <v>0</v>
      </c>
      <c r="R431" s="32" t="n">
        <f aca="false">J431*(INDEX(P_VAL,MATCH("CTRL_AÑO",P_ID,0))*L431+(1-INDEX(PY_VAL,MATCH("P_USADOS",PY_ID,0),1))*M431+INDEX(PY_VAL,MATCH("P_USADOS",PY_ID,0),1)*N431+IF(P431&gt;0,O431/P431,0)+Q431)</f>
        <v>1</v>
      </c>
      <c r="S431" s="32" t="n">
        <f aca="false">J431*(INDEX(P_VAL,MATCH("CTRL_AÑO",P_ID,0))*L431+(1-INDEX(PY_VAL,MATCH("P_USADOS",PY_ID,0),2))*M431+INDEX(PY_VAL,MATCH("P_USADOS",PY_ID,0),2)*N431+IF(P431&gt;0,O431/P431,0)+Q431)</f>
        <v>1</v>
      </c>
      <c r="T431" s="32" t="n">
        <f aca="false">J431*(INDEX(P_VAL,MATCH("CTRL_AÑO",P_ID,0))*L431+(1-INDEX(PY_VAL,MATCH("P_USADOS",PY_ID,0),3))*M431+INDEX(PY_VAL,MATCH("P_USADOS",PY_ID,0),3)*N431+IF(P431&gt;0,O431/P431,0)+Q431)</f>
        <v>1</v>
      </c>
      <c r="U431" s="32" t="n">
        <f aca="false">J431*(INDEX(P_VAL,MATCH("CTRL_AÑO",P_ID,0))*L431+(1-INDEX(PY_VAL,MATCH("P_USADOS",PY_ID,0),4))*M431+INDEX(PY_VAL,MATCH("P_USADOS",PY_ID,0),4)*N431+IF(P431&gt;0,O431/P431,0)+Q431)</f>
        <v>1</v>
      </c>
      <c r="V431" s="32" t="n">
        <f aca="false">J431*(INDEX(P_VAL,MATCH("CTRL_AÑO",P_ID,0))*L431+(1-INDEX(PY_VAL,MATCH("P_USADOS",PY_ID,0),5))*M431+INDEX(PY_VAL,MATCH("P_USADOS",PY_ID,0),5)*N431+IF(P431&gt;0,O431/P431,0)+Q431)</f>
        <v>1</v>
      </c>
      <c r="W431" s="32" t="n">
        <f aca="false">J431*(INDEX(P_VAL,MATCH("CTRL_AÑO",P_ID,0))*L431+(1-INDEX(PY_VAL,MATCH("P_USADOS",PY_ID,0),6))*M431+INDEX(PY_VAL,MATCH("P_USADOS",PY_ID,0),6)*N431+IF(P431&gt;0,O431/P431,0)+Q431)</f>
        <v>1</v>
      </c>
      <c r="X431" s="32" t="n">
        <f aca="false">J431*(INDEX(P_VAL,MATCH("CTRL_AÑO",P_ID,0))*L431+(1-INDEX(PY_VAL,MATCH("P_USADOS",PY_ID,0),7))*M431+INDEX(PY_VAL,MATCH("P_USADOS",PY_ID,0),7)*N431+IF(P431&gt;0,O431/P431,0)+Q431)</f>
        <v>1</v>
      </c>
      <c r="Y431" s="32" t="n">
        <f aca="false">J431*(INDEX(P_VAL,MATCH("CTRL_AÑO",P_ID,0))*L431+(1-INDEX(PY_VAL,MATCH("P_USADOS",PY_ID,0),8))*M431+INDEX(PY_VAL,MATCH("P_USADOS",PY_ID,0),8)*N431+IF(P431&gt;0,O431/P431,0)+Q431)</f>
        <v>1</v>
      </c>
      <c r="Z431" s="32" t="n">
        <f aca="false">J431*(INDEX(P_VAL,MATCH("CTRL_AÑO",P_ID,0))*L431+(1-INDEX(PY_VAL,MATCH("P_USADOS",PY_ID,0),9))*M431+INDEX(PY_VAL,MATCH("P_USADOS",PY_ID,0),9)*N431+IF(P431&gt;0,O431/P431,0)+Q431)</f>
        <v>1</v>
      </c>
      <c r="AA431" s="32" t="n">
        <f aca="false">J431*(INDEX(P_VAL,MATCH("CTRL_AÑO",P_ID,0))*L431+(1-INDEX(PY_VAL,MATCH("P_USADOS",PY_ID,0),10))*M431+INDEX(PY_VAL,MATCH("P_USADOS",PY_ID,0),10)*N431+IF(P431&gt;0,O431/P431,0)+Q431)</f>
        <v>1</v>
      </c>
      <c r="AB431" s="5" t="s">
        <v>1346</v>
      </c>
    </row>
    <row r="432" customFormat="false" ht="15" hidden="false" customHeight="false" outlineLevel="0" collapsed="false">
      <c r="A432" s="4" t="s">
        <v>293</v>
      </c>
      <c r="B432" s="4" t="s">
        <v>1364</v>
      </c>
      <c r="C432" s="4" t="s">
        <v>1421</v>
      </c>
      <c r="D432" s="5" t="s">
        <v>1366</v>
      </c>
      <c r="E432" s="32" t="n">
        <v>1</v>
      </c>
      <c r="F432" s="32" t="s">
        <v>82</v>
      </c>
      <c r="G432" s="33" t="s">
        <v>1344</v>
      </c>
      <c r="H432" s="32" t="s">
        <v>1367</v>
      </c>
      <c r="I432" s="32" t="n">
        <v>1</v>
      </c>
      <c r="J432" s="32" t="n">
        <f aca="false">E432*I432</f>
        <v>1</v>
      </c>
      <c r="K432" s="32" t="s">
        <v>582</v>
      </c>
      <c r="L432" s="32" t="n">
        <v>0</v>
      </c>
      <c r="M432" s="32" t="n">
        <v>1</v>
      </c>
      <c r="N432" s="32" t="n">
        <v>1</v>
      </c>
      <c r="O432" s="32" t="n">
        <v>0</v>
      </c>
      <c r="P432" s="32" t="n">
        <v>5</v>
      </c>
      <c r="Q432" s="32" t="n">
        <v>0</v>
      </c>
      <c r="R432" s="32" t="n">
        <f aca="false">J432*(INDEX(P_VAL,MATCH("CTRL_AÑO",P_ID,0))*L432+(1-INDEX(PY_VAL,MATCH("P_USADOS",PY_ID,0),1))*M432+INDEX(PY_VAL,MATCH("P_USADOS",PY_ID,0),1)*N432+IF(P432&gt;0,O432/P432,0)+Q432)</f>
        <v>1</v>
      </c>
      <c r="S432" s="32" t="n">
        <f aca="false">J432*(INDEX(P_VAL,MATCH("CTRL_AÑO",P_ID,0))*L432+(1-INDEX(PY_VAL,MATCH("P_USADOS",PY_ID,0),2))*M432+INDEX(PY_VAL,MATCH("P_USADOS",PY_ID,0),2)*N432+IF(P432&gt;0,O432/P432,0)+Q432)</f>
        <v>1</v>
      </c>
      <c r="T432" s="32" t="n">
        <f aca="false">J432*(INDEX(P_VAL,MATCH("CTRL_AÑO",P_ID,0))*L432+(1-INDEX(PY_VAL,MATCH("P_USADOS",PY_ID,0),3))*M432+INDEX(PY_VAL,MATCH("P_USADOS",PY_ID,0),3)*N432+IF(P432&gt;0,O432/P432,0)+Q432)</f>
        <v>1</v>
      </c>
      <c r="U432" s="32" t="n">
        <f aca="false">J432*(INDEX(P_VAL,MATCH("CTRL_AÑO",P_ID,0))*L432+(1-INDEX(PY_VAL,MATCH("P_USADOS",PY_ID,0),4))*M432+INDEX(PY_VAL,MATCH("P_USADOS",PY_ID,0),4)*N432+IF(P432&gt;0,O432/P432,0)+Q432)</f>
        <v>1</v>
      </c>
      <c r="V432" s="32" t="n">
        <f aca="false">J432*(INDEX(P_VAL,MATCH("CTRL_AÑO",P_ID,0))*L432+(1-INDEX(PY_VAL,MATCH("P_USADOS",PY_ID,0),5))*M432+INDEX(PY_VAL,MATCH("P_USADOS",PY_ID,0),5)*N432+IF(P432&gt;0,O432/P432,0)+Q432)</f>
        <v>1</v>
      </c>
      <c r="W432" s="32" t="n">
        <f aca="false">J432*(INDEX(P_VAL,MATCH("CTRL_AÑO",P_ID,0))*L432+(1-INDEX(PY_VAL,MATCH("P_USADOS",PY_ID,0),6))*M432+INDEX(PY_VAL,MATCH("P_USADOS",PY_ID,0),6)*N432+IF(P432&gt;0,O432/P432,0)+Q432)</f>
        <v>1</v>
      </c>
      <c r="X432" s="32" t="n">
        <f aca="false">J432*(INDEX(P_VAL,MATCH("CTRL_AÑO",P_ID,0))*L432+(1-INDEX(PY_VAL,MATCH("P_USADOS",PY_ID,0),7))*M432+INDEX(PY_VAL,MATCH("P_USADOS",PY_ID,0),7)*N432+IF(P432&gt;0,O432/P432,0)+Q432)</f>
        <v>1</v>
      </c>
      <c r="Y432" s="32" t="n">
        <f aca="false">J432*(INDEX(P_VAL,MATCH("CTRL_AÑO",P_ID,0))*L432+(1-INDEX(PY_VAL,MATCH("P_USADOS",PY_ID,0),8))*M432+INDEX(PY_VAL,MATCH("P_USADOS",PY_ID,0),8)*N432+IF(P432&gt;0,O432/P432,0)+Q432)</f>
        <v>1</v>
      </c>
      <c r="Z432" s="32" t="n">
        <f aca="false">J432*(INDEX(P_VAL,MATCH("CTRL_AÑO",P_ID,0))*L432+(1-INDEX(PY_VAL,MATCH("P_USADOS",PY_ID,0),9))*M432+INDEX(PY_VAL,MATCH("P_USADOS",PY_ID,0),9)*N432+IF(P432&gt;0,O432/P432,0)+Q432)</f>
        <v>1</v>
      </c>
      <c r="AA432" s="32" t="n">
        <f aca="false">J432*(INDEX(P_VAL,MATCH("CTRL_AÑO",P_ID,0))*L432+(1-INDEX(PY_VAL,MATCH("P_USADOS",PY_ID,0),10))*M432+INDEX(PY_VAL,MATCH("P_USADOS",PY_ID,0),10)*N432+IF(P432&gt;0,O432/P432,0)+Q432)</f>
        <v>1</v>
      </c>
      <c r="AB432" s="5" t="s">
        <v>1346</v>
      </c>
    </row>
    <row r="433" customFormat="false" ht="15" hidden="false" customHeight="false" outlineLevel="0" collapsed="false">
      <c r="A433" s="4" t="s">
        <v>293</v>
      </c>
      <c r="B433" s="4" t="s">
        <v>1368</v>
      </c>
      <c r="C433" s="4" t="s">
        <v>1422</v>
      </c>
      <c r="D433" s="5" t="s">
        <v>1370</v>
      </c>
      <c r="E433" s="32" t="n">
        <v>1</v>
      </c>
      <c r="F433" s="32" t="s">
        <v>82</v>
      </c>
      <c r="G433" s="33" t="s">
        <v>1344</v>
      </c>
      <c r="H433" s="32" t="s">
        <v>1371</v>
      </c>
      <c r="I433" s="32" t="n">
        <v>1</v>
      </c>
      <c r="J433" s="32" t="n">
        <f aca="false">E433*I433</f>
        <v>1</v>
      </c>
      <c r="K433" s="32" t="s">
        <v>582</v>
      </c>
      <c r="L433" s="32" t="n">
        <v>0</v>
      </c>
      <c r="M433" s="32" t="n">
        <v>1</v>
      </c>
      <c r="N433" s="32" t="n">
        <v>1</v>
      </c>
      <c r="O433" s="32" t="n">
        <v>0</v>
      </c>
      <c r="P433" s="32" t="n">
        <v>5</v>
      </c>
      <c r="Q433" s="32" t="n">
        <v>0</v>
      </c>
      <c r="R433" s="32" t="n">
        <f aca="false">J433*(INDEX(P_VAL,MATCH("CTRL_AÑO",P_ID,0))*L433+(1-INDEX(PY_VAL,MATCH("P_USADOS",PY_ID,0),1))*M433+INDEX(PY_VAL,MATCH("P_USADOS",PY_ID,0),1)*N433+IF(P433&gt;0,O433/P433,0)+Q433)</f>
        <v>1</v>
      </c>
      <c r="S433" s="32" t="n">
        <f aca="false">J433*(INDEX(P_VAL,MATCH("CTRL_AÑO",P_ID,0))*L433+(1-INDEX(PY_VAL,MATCH("P_USADOS",PY_ID,0),2))*M433+INDEX(PY_VAL,MATCH("P_USADOS",PY_ID,0),2)*N433+IF(P433&gt;0,O433/P433,0)+Q433)</f>
        <v>1</v>
      </c>
      <c r="T433" s="32" t="n">
        <f aca="false">J433*(INDEX(P_VAL,MATCH("CTRL_AÑO",P_ID,0))*L433+(1-INDEX(PY_VAL,MATCH("P_USADOS",PY_ID,0),3))*M433+INDEX(PY_VAL,MATCH("P_USADOS",PY_ID,0),3)*N433+IF(P433&gt;0,O433/P433,0)+Q433)</f>
        <v>1</v>
      </c>
      <c r="U433" s="32" t="n">
        <f aca="false">J433*(INDEX(P_VAL,MATCH("CTRL_AÑO",P_ID,0))*L433+(1-INDEX(PY_VAL,MATCH("P_USADOS",PY_ID,0),4))*M433+INDEX(PY_VAL,MATCH("P_USADOS",PY_ID,0),4)*N433+IF(P433&gt;0,O433/P433,0)+Q433)</f>
        <v>1</v>
      </c>
      <c r="V433" s="32" t="n">
        <f aca="false">J433*(INDEX(P_VAL,MATCH("CTRL_AÑO",P_ID,0))*L433+(1-INDEX(PY_VAL,MATCH("P_USADOS",PY_ID,0),5))*M433+INDEX(PY_VAL,MATCH("P_USADOS",PY_ID,0),5)*N433+IF(P433&gt;0,O433/P433,0)+Q433)</f>
        <v>1</v>
      </c>
      <c r="W433" s="32" t="n">
        <f aca="false">J433*(INDEX(P_VAL,MATCH("CTRL_AÑO",P_ID,0))*L433+(1-INDEX(PY_VAL,MATCH("P_USADOS",PY_ID,0),6))*M433+INDEX(PY_VAL,MATCH("P_USADOS",PY_ID,0),6)*N433+IF(P433&gt;0,O433/P433,0)+Q433)</f>
        <v>1</v>
      </c>
      <c r="X433" s="32" t="n">
        <f aca="false">J433*(INDEX(P_VAL,MATCH("CTRL_AÑO",P_ID,0))*L433+(1-INDEX(PY_VAL,MATCH("P_USADOS",PY_ID,0),7))*M433+INDEX(PY_VAL,MATCH("P_USADOS",PY_ID,0),7)*N433+IF(P433&gt;0,O433/P433,0)+Q433)</f>
        <v>1</v>
      </c>
      <c r="Y433" s="32" t="n">
        <f aca="false">J433*(INDEX(P_VAL,MATCH("CTRL_AÑO",P_ID,0))*L433+(1-INDEX(PY_VAL,MATCH("P_USADOS",PY_ID,0),8))*M433+INDEX(PY_VAL,MATCH("P_USADOS",PY_ID,0),8)*N433+IF(P433&gt;0,O433/P433,0)+Q433)</f>
        <v>1</v>
      </c>
      <c r="Z433" s="32" t="n">
        <f aca="false">J433*(INDEX(P_VAL,MATCH("CTRL_AÑO",P_ID,0))*L433+(1-INDEX(PY_VAL,MATCH("P_USADOS",PY_ID,0),9))*M433+INDEX(PY_VAL,MATCH("P_USADOS",PY_ID,0),9)*N433+IF(P433&gt;0,O433/P433,0)+Q433)</f>
        <v>1</v>
      </c>
      <c r="AA433" s="32" t="n">
        <f aca="false">J433*(INDEX(P_VAL,MATCH("CTRL_AÑO",P_ID,0))*L433+(1-INDEX(PY_VAL,MATCH("P_USADOS",PY_ID,0),10))*M433+INDEX(PY_VAL,MATCH("P_USADOS",PY_ID,0),10)*N433+IF(P433&gt;0,O433/P433,0)+Q433)</f>
        <v>1</v>
      </c>
      <c r="AB433" s="5" t="s">
        <v>1346</v>
      </c>
    </row>
    <row r="434" customFormat="false" ht="15" hidden="false" customHeight="false" outlineLevel="0" collapsed="false">
      <c r="A434" s="4" t="s">
        <v>293</v>
      </c>
      <c r="B434" s="4" t="s">
        <v>1372</v>
      </c>
      <c r="C434" s="4" t="s">
        <v>1423</v>
      </c>
      <c r="D434" s="5" t="s">
        <v>1374</v>
      </c>
      <c r="E434" s="32" t="n">
        <v>1</v>
      </c>
      <c r="F434" s="32" t="s">
        <v>82</v>
      </c>
      <c r="G434" s="33" t="s">
        <v>1344</v>
      </c>
      <c r="H434" s="32" t="s">
        <v>688</v>
      </c>
      <c r="I434" s="32" t="n">
        <v>1</v>
      </c>
      <c r="J434" s="32" t="n">
        <f aca="false">E434*I434</f>
        <v>1</v>
      </c>
      <c r="K434" s="32" t="s">
        <v>689</v>
      </c>
      <c r="L434" s="32" t="n">
        <v>0</v>
      </c>
      <c r="M434" s="32" t="n">
        <v>1</v>
      </c>
      <c r="N434" s="32" t="n">
        <v>1</v>
      </c>
      <c r="O434" s="32" t="n">
        <v>0</v>
      </c>
      <c r="P434" s="32" t="n">
        <v>5</v>
      </c>
      <c r="Q434" s="32" t="n">
        <v>0</v>
      </c>
      <c r="R434" s="32" t="n">
        <f aca="false">J434*(INDEX(P_VAL,MATCH("CTRL_AÑO",P_ID,0))*L434+(1-INDEX(PY_VAL,MATCH("P_USADOS",PY_ID,0),1))*M434+INDEX(PY_VAL,MATCH("P_USADOS",PY_ID,0),1)*N434+IF(P434&gt;0,O434/P434,0)+Q434)</f>
        <v>1</v>
      </c>
      <c r="S434" s="32" t="n">
        <f aca="false">J434*(INDEX(P_VAL,MATCH("CTRL_AÑO",P_ID,0))*L434+(1-INDEX(PY_VAL,MATCH("P_USADOS",PY_ID,0),2))*M434+INDEX(PY_VAL,MATCH("P_USADOS",PY_ID,0),2)*N434+IF(P434&gt;0,O434/P434,0)+Q434)</f>
        <v>1</v>
      </c>
      <c r="T434" s="32" t="n">
        <f aca="false">J434*(INDEX(P_VAL,MATCH("CTRL_AÑO",P_ID,0))*L434+(1-INDEX(PY_VAL,MATCH("P_USADOS",PY_ID,0),3))*M434+INDEX(PY_VAL,MATCH("P_USADOS",PY_ID,0),3)*N434+IF(P434&gt;0,O434/P434,0)+Q434)</f>
        <v>1</v>
      </c>
      <c r="U434" s="32" t="n">
        <f aca="false">J434*(INDEX(P_VAL,MATCH("CTRL_AÑO",P_ID,0))*L434+(1-INDEX(PY_VAL,MATCH("P_USADOS",PY_ID,0),4))*M434+INDEX(PY_VAL,MATCH("P_USADOS",PY_ID,0),4)*N434+IF(P434&gt;0,O434/P434,0)+Q434)</f>
        <v>1</v>
      </c>
      <c r="V434" s="32" t="n">
        <f aca="false">J434*(INDEX(P_VAL,MATCH("CTRL_AÑO",P_ID,0))*L434+(1-INDEX(PY_VAL,MATCH("P_USADOS",PY_ID,0),5))*M434+INDEX(PY_VAL,MATCH("P_USADOS",PY_ID,0),5)*N434+IF(P434&gt;0,O434/P434,0)+Q434)</f>
        <v>1</v>
      </c>
      <c r="W434" s="32" t="n">
        <f aca="false">J434*(INDEX(P_VAL,MATCH("CTRL_AÑO",P_ID,0))*L434+(1-INDEX(PY_VAL,MATCH("P_USADOS",PY_ID,0),6))*M434+INDEX(PY_VAL,MATCH("P_USADOS",PY_ID,0),6)*N434+IF(P434&gt;0,O434/P434,0)+Q434)</f>
        <v>1</v>
      </c>
      <c r="X434" s="32" t="n">
        <f aca="false">J434*(INDEX(P_VAL,MATCH("CTRL_AÑO",P_ID,0))*L434+(1-INDEX(PY_VAL,MATCH("P_USADOS",PY_ID,0),7))*M434+INDEX(PY_VAL,MATCH("P_USADOS",PY_ID,0),7)*N434+IF(P434&gt;0,O434/P434,0)+Q434)</f>
        <v>1</v>
      </c>
      <c r="Y434" s="32" t="n">
        <f aca="false">J434*(INDEX(P_VAL,MATCH("CTRL_AÑO",P_ID,0))*L434+(1-INDEX(PY_VAL,MATCH("P_USADOS",PY_ID,0),8))*M434+INDEX(PY_VAL,MATCH("P_USADOS",PY_ID,0),8)*N434+IF(P434&gt;0,O434/P434,0)+Q434)</f>
        <v>1</v>
      </c>
      <c r="Z434" s="32" t="n">
        <f aca="false">J434*(INDEX(P_VAL,MATCH("CTRL_AÑO",P_ID,0))*L434+(1-INDEX(PY_VAL,MATCH("P_USADOS",PY_ID,0),9))*M434+INDEX(PY_VAL,MATCH("P_USADOS",PY_ID,0),9)*N434+IF(P434&gt;0,O434/P434,0)+Q434)</f>
        <v>1</v>
      </c>
      <c r="AA434" s="32" t="n">
        <f aca="false">J434*(INDEX(P_VAL,MATCH("CTRL_AÑO",P_ID,0))*L434+(1-INDEX(PY_VAL,MATCH("P_USADOS",PY_ID,0),10))*M434+INDEX(PY_VAL,MATCH("P_USADOS",PY_ID,0),10)*N434+IF(P434&gt;0,O434/P434,0)+Q434)</f>
        <v>1</v>
      </c>
      <c r="AB434" s="5" t="s">
        <v>1346</v>
      </c>
    </row>
    <row r="435" customFormat="false" ht="15" hidden="false" customHeight="false" outlineLevel="0" collapsed="false">
      <c r="A435" s="4" t="s">
        <v>293</v>
      </c>
      <c r="B435" s="4" t="s">
        <v>1375</v>
      </c>
      <c r="C435" s="4" t="s">
        <v>1424</v>
      </c>
      <c r="D435" s="5" t="s">
        <v>1377</v>
      </c>
      <c r="E435" s="32" t="n">
        <v>1</v>
      </c>
      <c r="F435" s="32" t="s">
        <v>82</v>
      </c>
      <c r="G435" s="33" t="s">
        <v>1344</v>
      </c>
      <c r="H435" s="32" t="s">
        <v>630</v>
      </c>
      <c r="I435" s="32" t="n">
        <v>1</v>
      </c>
      <c r="J435" s="32" t="n">
        <f aca="false">E435*I435</f>
        <v>1</v>
      </c>
      <c r="K435" s="32"/>
      <c r="L435" s="32" t="n">
        <v>0</v>
      </c>
      <c r="M435" s="32" t="n">
        <v>1</v>
      </c>
      <c r="N435" s="32" t="n">
        <v>1</v>
      </c>
      <c r="O435" s="32" t="n">
        <v>0</v>
      </c>
      <c r="P435" s="32" t="n">
        <v>5</v>
      </c>
      <c r="Q435" s="32" t="n">
        <v>0</v>
      </c>
      <c r="R435" s="32" t="n">
        <f aca="false">J435*(INDEX(P_VAL,MATCH("CTRL_AÑO",P_ID,0))*L435+(1-INDEX(PY_VAL,MATCH("P_USADOS",PY_ID,0),1))*M435+INDEX(PY_VAL,MATCH("P_USADOS",PY_ID,0),1)*N435+IF(P435&gt;0,O435/P435,0)+Q435)</f>
        <v>1</v>
      </c>
      <c r="S435" s="32" t="n">
        <f aca="false">J435*(INDEX(P_VAL,MATCH("CTRL_AÑO",P_ID,0))*L435+(1-INDEX(PY_VAL,MATCH("P_USADOS",PY_ID,0),2))*M435+INDEX(PY_VAL,MATCH("P_USADOS",PY_ID,0),2)*N435+IF(P435&gt;0,O435/P435,0)+Q435)</f>
        <v>1</v>
      </c>
      <c r="T435" s="32" t="n">
        <f aca="false">J435*(INDEX(P_VAL,MATCH("CTRL_AÑO",P_ID,0))*L435+(1-INDEX(PY_VAL,MATCH("P_USADOS",PY_ID,0),3))*M435+INDEX(PY_VAL,MATCH("P_USADOS",PY_ID,0),3)*N435+IF(P435&gt;0,O435/P435,0)+Q435)</f>
        <v>1</v>
      </c>
      <c r="U435" s="32" t="n">
        <f aca="false">J435*(INDEX(P_VAL,MATCH("CTRL_AÑO",P_ID,0))*L435+(1-INDEX(PY_VAL,MATCH("P_USADOS",PY_ID,0),4))*M435+INDEX(PY_VAL,MATCH("P_USADOS",PY_ID,0),4)*N435+IF(P435&gt;0,O435/P435,0)+Q435)</f>
        <v>1</v>
      </c>
      <c r="V435" s="32" t="n">
        <f aca="false">J435*(INDEX(P_VAL,MATCH("CTRL_AÑO",P_ID,0))*L435+(1-INDEX(PY_VAL,MATCH("P_USADOS",PY_ID,0),5))*M435+INDEX(PY_VAL,MATCH("P_USADOS",PY_ID,0),5)*N435+IF(P435&gt;0,O435/P435,0)+Q435)</f>
        <v>1</v>
      </c>
      <c r="W435" s="32" t="n">
        <f aca="false">J435*(INDEX(P_VAL,MATCH("CTRL_AÑO",P_ID,0))*L435+(1-INDEX(PY_VAL,MATCH("P_USADOS",PY_ID,0),6))*M435+INDEX(PY_VAL,MATCH("P_USADOS",PY_ID,0),6)*N435+IF(P435&gt;0,O435/P435,0)+Q435)</f>
        <v>1</v>
      </c>
      <c r="X435" s="32" t="n">
        <f aca="false">J435*(INDEX(P_VAL,MATCH("CTRL_AÑO",P_ID,0))*L435+(1-INDEX(PY_VAL,MATCH("P_USADOS",PY_ID,0),7))*M435+INDEX(PY_VAL,MATCH("P_USADOS",PY_ID,0),7)*N435+IF(P435&gt;0,O435/P435,0)+Q435)</f>
        <v>1</v>
      </c>
      <c r="Y435" s="32" t="n">
        <f aca="false">J435*(INDEX(P_VAL,MATCH("CTRL_AÑO",P_ID,0))*L435+(1-INDEX(PY_VAL,MATCH("P_USADOS",PY_ID,0),8))*M435+INDEX(PY_VAL,MATCH("P_USADOS",PY_ID,0),8)*N435+IF(P435&gt;0,O435/P435,0)+Q435)</f>
        <v>1</v>
      </c>
      <c r="Z435" s="32" t="n">
        <f aca="false">J435*(INDEX(P_VAL,MATCH("CTRL_AÑO",P_ID,0))*L435+(1-INDEX(PY_VAL,MATCH("P_USADOS",PY_ID,0),9))*M435+INDEX(PY_VAL,MATCH("P_USADOS",PY_ID,0),9)*N435+IF(P435&gt;0,O435/P435,0)+Q435)</f>
        <v>1</v>
      </c>
      <c r="AA435" s="32" t="n">
        <f aca="false">J435*(INDEX(P_VAL,MATCH("CTRL_AÑO",P_ID,0))*L435+(1-INDEX(PY_VAL,MATCH("P_USADOS",PY_ID,0),10))*M435+INDEX(PY_VAL,MATCH("P_USADOS",PY_ID,0),10)*N435+IF(P435&gt;0,O435/P435,0)+Q435)</f>
        <v>1</v>
      </c>
      <c r="AB435" s="5" t="s">
        <v>1346</v>
      </c>
    </row>
    <row r="436" customFormat="false" ht="15" hidden="false" customHeight="false" outlineLevel="0" collapsed="false">
      <c r="A436" s="4" t="s">
        <v>293</v>
      </c>
      <c r="B436" s="4" t="s">
        <v>1378</v>
      </c>
      <c r="C436" s="4" t="s">
        <v>1425</v>
      </c>
      <c r="D436" s="5" t="s">
        <v>1380</v>
      </c>
      <c r="E436" s="32" t="n">
        <v>1</v>
      </c>
      <c r="F436" s="32" t="s">
        <v>82</v>
      </c>
      <c r="G436" s="33" t="s">
        <v>1344</v>
      </c>
      <c r="H436" s="32" t="s">
        <v>1381</v>
      </c>
      <c r="I436" s="32" t="n">
        <v>1</v>
      </c>
      <c r="J436" s="32" t="n">
        <f aca="false">E436*I436</f>
        <v>1</v>
      </c>
      <c r="K436" s="32"/>
      <c r="L436" s="32" t="n">
        <v>0</v>
      </c>
      <c r="M436" s="32" t="n">
        <v>0</v>
      </c>
      <c r="N436" s="32" t="n">
        <v>0</v>
      </c>
      <c r="O436" s="32" t="n">
        <v>1</v>
      </c>
      <c r="P436" s="32" t="n">
        <v>5</v>
      </c>
      <c r="Q436" s="32" t="n">
        <v>0</v>
      </c>
      <c r="R436" s="32" t="n">
        <f aca="false">J436*(INDEX(P_VAL,MATCH("CTRL_AÑO",P_ID,0))*L436+(1-INDEX(PY_VAL,MATCH("P_USADOS",PY_ID,0),1))*M436+INDEX(PY_VAL,MATCH("P_USADOS",PY_ID,0),1)*N436+IF(P436&gt;0,O436/P436,0)+Q436)</f>
        <v>0.2</v>
      </c>
      <c r="S436" s="32" t="n">
        <f aca="false">J436*(INDEX(P_VAL,MATCH("CTRL_AÑO",P_ID,0))*L436+(1-INDEX(PY_VAL,MATCH("P_USADOS",PY_ID,0),2))*M436+INDEX(PY_VAL,MATCH("P_USADOS",PY_ID,0),2)*N436+IF(P436&gt;0,O436/P436,0)+Q436)</f>
        <v>0.2</v>
      </c>
      <c r="T436" s="32" t="n">
        <f aca="false">J436*(INDEX(P_VAL,MATCH("CTRL_AÑO",P_ID,0))*L436+(1-INDEX(PY_VAL,MATCH("P_USADOS",PY_ID,0),3))*M436+INDEX(PY_VAL,MATCH("P_USADOS",PY_ID,0),3)*N436+IF(P436&gt;0,O436/P436,0)+Q436)</f>
        <v>0.2</v>
      </c>
      <c r="U436" s="32" t="n">
        <f aca="false">J436*(INDEX(P_VAL,MATCH("CTRL_AÑO",P_ID,0))*L436+(1-INDEX(PY_VAL,MATCH("P_USADOS",PY_ID,0),4))*M436+INDEX(PY_VAL,MATCH("P_USADOS",PY_ID,0),4)*N436+IF(P436&gt;0,O436/P436,0)+Q436)</f>
        <v>0.2</v>
      </c>
      <c r="V436" s="32" t="n">
        <f aca="false">J436*(INDEX(P_VAL,MATCH("CTRL_AÑO",P_ID,0))*L436+(1-INDEX(PY_VAL,MATCH("P_USADOS",PY_ID,0),5))*M436+INDEX(PY_VAL,MATCH("P_USADOS",PY_ID,0),5)*N436+IF(P436&gt;0,O436/P436,0)+Q436)</f>
        <v>0.2</v>
      </c>
      <c r="W436" s="32" t="n">
        <f aca="false">J436*(INDEX(P_VAL,MATCH("CTRL_AÑO",P_ID,0))*L436+(1-INDEX(PY_VAL,MATCH("P_USADOS",PY_ID,0),6))*M436+INDEX(PY_VAL,MATCH("P_USADOS",PY_ID,0),6)*N436+IF(P436&gt;0,O436/P436,0)+Q436)</f>
        <v>0.2</v>
      </c>
      <c r="X436" s="32" t="n">
        <f aca="false">J436*(INDEX(P_VAL,MATCH("CTRL_AÑO",P_ID,0))*L436+(1-INDEX(PY_VAL,MATCH("P_USADOS",PY_ID,0),7))*M436+INDEX(PY_VAL,MATCH("P_USADOS",PY_ID,0),7)*N436+IF(P436&gt;0,O436/P436,0)+Q436)</f>
        <v>0.2</v>
      </c>
      <c r="Y436" s="32" t="n">
        <f aca="false">J436*(INDEX(P_VAL,MATCH("CTRL_AÑO",P_ID,0))*L436+(1-INDEX(PY_VAL,MATCH("P_USADOS",PY_ID,0),8))*M436+INDEX(PY_VAL,MATCH("P_USADOS",PY_ID,0),8)*N436+IF(P436&gt;0,O436/P436,0)+Q436)</f>
        <v>0.2</v>
      </c>
      <c r="Z436" s="32" t="n">
        <f aca="false">J436*(INDEX(P_VAL,MATCH("CTRL_AÑO",P_ID,0))*L436+(1-INDEX(PY_VAL,MATCH("P_USADOS",PY_ID,0),9))*M436+INDEX(PY_VAL,MATCH("P_USADOS",PY_ID,0),9)*N436+IF(P436&gt;0,O436/P436,0)+Q436)</f>
        <v>0.2</v>
      </c>
      <c r="AA436" s="32" t="n">
        <f aca="false">J436*(INDEX(P_VAL,MATCH("CTRL_AÑO",P_ID,0))*L436+(1-INDEX(PY_VAL,MATCH("P_USADOS",PY_ID,0),10))*M436+INDEX(PY_VAL,MATCH("P_USADOS",PY_ID,0),10)*N436+IF(P436&gt;0,O436/P436,0)+Q436)</f>
        <v>0.2</v>
      </c>
      <c r="AB436" s="5" t="s">
        <v>1346</v>
      </c>
    </row>
    <row r="437" customFormat="false" ht="15" hidden="false" customHeight="false" outlineLevel="0" collapsed="false">
      <c r="A437" s="4" t="s">
        <v>293</v>
      </c>
      <c r="B437" s="4" t="s">
        <v>1382</v>
      </c>
      <c r="C437" s="4" t="s">
        <v>1426</v>
      </c>
      <c r="D437" s="5" t="s">
        <v>1384</v>
      </c>
      <c r="E437" s="32" t="n">
        <v>1</v>
      </c>
      <c r="F437" s="32" t="s">
        <v>73</v>
      </c>
      <c r="G437" s="33" t="s">
        <v>1385</v>
      </c>
      <c r="H437" s="32"/>
      <c r="I437" s="32"/>
      <c r="J437" s="32"/>
      <c r="K437" s="32"/>
      <c r="L437" s="32" t="n">
        <v>0</v>
      </c>
      <c r="M437" s="32" t="n">
        <v>0</v>
      </c>
      <c r="N437" s="32" t="n">
        <v>0</v>
      </c>
      <c r="O437" s="32" t="n">
        <v>0</v>
      </c>
      <c r="P437" s="32" t="n">
        <v>0</v>
      </c>
      <c r="Q437" s="32" t="n">
        <v>0</v>
      </c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5" t="s">
        <v>1386</v>
      </c>
    </row>
    <row r="438" customFormat="false" ht="15" hidden="false" customHeight="false" outlineLevel="0" collapsed="false">
      <c r="A438" s="4" t="s">
        <v>293</v>
      </c>
      <c r="B438" s="4"/>
      <c r="C438" s="4"/>
      <c r="D438" s="5" t="s">
        <v>1387</v>
      </c>
      <c r="E438" s="32" t="n">
        <v>1</v>
      </c>
      <c r="F438" s="32" t="s">
        <v>82</v>
      </c>
      <c r="G438" s="33" t="s">
        <v>477</v>
      </c>
      <c r="H438" s="32" t="s">
        <v>634</v>
      </c>
      <c r="I438" s="32" t="n">
        <v>1</v>
      </c>
      <c r="J438" s="32" t="n">
        <f aca="false">E438*I438</f>
        <v>1</v>
      </c>
      <c r="K438" s="32"/>
      <c r="L438" s="32" t="n">
        <v>0</v>
      </c>
      <c r="M438" s="32" t="n">
        <v>0</v>
      </c>
      <c r="N438" s="32" t="n">
        <v>0</v>
      </c>
      <c r="O438" s="32" t="n">
        <v>0</v>
      </c>
      <c r="P438" s="32" t="n">
        <v>0</v>
      </c>
      <c r="Q438" s="32" t="n">
        <f aca="false">INDEX(P_VAL,MATCH("REPO_VALV",P_ID,0))</f>
        <v>0.03</v>
      </c>
      <c r="R438" s="32" t="n">
        <f aca="false">J438*(INDEX(P_VAL,MATCH("CTRL_AÑO",P_ID,0))*L438+(1-INDEX(PY_VAL,MATCH("P_USADOS",PY_ID,0),1))*M438+INDEX(PY_VAL,MATCH("P_USADOS",PY_ID,0),1)*N438+IF(P438&gt;0,O438/P438,0)+Q438)</f>
        <v>0.03</v>
      </c>
      <c r="S438" s="32" t="n">
        <f aca="false">J438*(INDEX(P_VAL,MATCH("CTRL_AÑO",P_ID,0))*L438+(1-INDEX(PY_VAL,MATCH("P_USADOS",PY_ID,0),2))*M438+INDEX(PY_VAL,MATCH("P_USADOS",PY_ID,0),2)*N438+IF(P438&gt;0,O438/P438,0)+Q438)</f>
        <v>0.03</v>
      </c>
      <c r="T438" s="32" t="n">
        <f aca="false">J438*(INDEX(P_VAL,MATCH("CTRL_AÑO",P_ID,0))*L438+(1-INDEX(PY_VAL,MATCH("P_USADOS",PY_ID,0),3))*M438+INDEX(PY_VAL,MATCH("P_USADOS",PY_ID,0),3)*N438+IF(P438&gt;0,O438/P438,0)+Q438)</f>
        <v>0.03</v>
      </c>
      <c r="U438" s="32" t="n">
        <f aca="false">J438*(INDEX(P_VAL,MATCH("CTRL_AÑO",P_ID,0))*L438+(1-INDEX(PY_VAL,MATCH("P_USADOS",PY_ID,0),4))*M438+INDEX(PY_VAL,MATCH("P_USADOS",PY_ID,0),4)*N438+IF(P438&gt;0,O438/P438,0)+Q438)</f>
        <v>0.03</v>
      </c>
      <c r="V438" s="32" t="n">
        <f aca="false">J438*(INDEX(P_VAL,MATCH("CTRL_AÑO",P_ID,0))*L438+(1-INDEX(PY_VAL,MATCH("P_USADOS",PY_ID,0),5))*M438+INDEX(PY_VAL,MATCH("P_USADOS",PY_ID,0),5)*N438+IF(P438&gt;0,O438/P438,0)+Q438)</f>
        <v>0.03</v>
      </c>
      <c r="W438" s="32" t="n">
        <f aca="false">J438*(INDEX(P_VAL,MATCH("CTRL_AÑO",P_ID,0))*L438+(1-INDEX(PY_VAL,MATCH("P_USADOS",PY_ID,0),6))*M438+INDEX(PY_VAL,MATCH("P_USADOS",PY_ID,0),6)*N438+IF(P438&gt;0,O438/P438,0)+Q438)</f>
        <v>0.03</v>
      </c>
      <c r="X438" s="32" t="n">
        <f aca="false">J438*(INDEX(P_VAL,MATCH("CTRL_AÑO",P_ID,0))*L438+(1-INDEX(PY_VAL,MATCH("P_USADOS",PY_ID,0),7))*M438+INDEX(PY_VAL,MATCH("P_USADOS",PY_ID,0),7)*N438+IF(P438&gt;0,O438/P438,0)+Q438)</f>
        <v>0.03</v>
      </c>
      <c r="Y438" s="32" t="n">
        <f aca="false">J438*(INDEX(P_VAL,MATCH("CTRL_AÑO",P_ID,0))*L438+(1-INDEX(PY_VAL,MATCH("P_USADOS",PY_ID,0),8))*M438+INDEX(PY_VAL,MATCH("P_USADOS",PY_ID,0),8)*N438+IF(P438&gt;0,O438/P438,0)+Q438)</f>
        <v>0.03</v>
      </c>
      <c r="Z438" s="32" t="n">
        <f aca="false">J438*(INDEX(P_VAL,MATCH("CTRL_AÑO",P_ID,0))*L438+(1-INDEX(PY_VAL,MATCH("P_USADOS",PY_ID,0),9))*M438+INDEX(PY_VAL,MATCH("P_USADOS",PY_ID,0),9)*N438+IF(P438&gt;0,O438/P438,0)+Q438)</f>
        <v>0.03</v>
      </c>
      <c r="AA438" s="32" t="n">
        <f aca="false">J438*(INDEX(P_VAL,MATCH("CTRL_AÑO",P_ID,0))*L438+(1-INDEX(PY_VAL,MATCH("P_USADOS",PY_ID,0),10))*M438+INDEX(PY_VAL,MATCH("P_USADOS",PY_ID,0),10)*N438+IF(P438&gt;0,O438/P438,0)+Q438)</f>
        <v>0.03</v>
      </c>
      <c r="AB438" s="5" t="s">
        <v>1388</v>
      </c>
    </row>
    <row r="439" customFormat="false" ht="15" hidden="false" customHeight="false" outlineLevel="0" collapsed="false">
      <c r="A439" s="4" t="s">
        <v>293</v>
      </c>
      <c r="B439" s="4"/>
      <c r="C439" s="4"/>
      <c r="D439" s="5" t="s">
        <v>1389</v>
      </c>
      <c r="E439" s="32" t="n">
        <v>1</v>
      </c>
      <c r="F439" s="32" t="s">
        <v>82</v>
      </c>
      <c r="G439" s="33" t="s">
        <v>477</v>
      </c>
      <c r="H439" s="32" t="s">
        <v>510</v>
      </c>
      <c r="I439" s="32" t="n">
        <v>1</v>
      </c>
      <c r="J439" s="32" t="n">
        <f aca="false">E439*I439</f>
        <v>1</v>
      </c>
      <c r="K439" s="32"/>
      <c r="L439" s="32" t="n">
        <v>0</v>
      </c>
      <c r="M439" s="32" t="n">
        <v>0</v>
      </c>
      <c r="N439" s="32" t="n">
        <v>0</v>
      </c>
      <c r="O439" s="32" t="n">
        <v>0</v>
      </c>
      <c r="P439" s="32" t="n">
        <v>0</v>
      </c>
      <c r="Q439" s="32" t="n">
        <f aca="false">INDEX(P_VAL,MATCH("REPO_MANO",P_ID,0))</f>
        <v>0.08</v>
      </c>
      <c r="R439" s="32" t="n">
        <f aca="false">J439*(INDEX(P_VAL,MATCH("CTRL_AÑO",P_ID,0))*L439+(1-INDEX(PY_VAL,MATCH("P_USADOS",PY_ID,0),1))*M439+INDEX(PY_VAL,MATCH("P_USADOS",PY_ID,0),1)*N439+IF(P439&gt;0,O439/P439,0)+Q439)</f>
        <v>0.08</v>
      </c>
      <c r="S439" s="32" t="n">
        <f aca="false">J439*(INDEX(P_VAL,MATCH("CTRL_AÑO",P_ID,0))*L439+(1-INDEX(PY_VAL,MATCH("P_USADOS",PY_ID,0),2))*M439+INDEX(PY_VAL,MATCH("P_USADOS",PY_ID,0),2)*N439+IF(P439&gt;0,O439/P439,0)+Q439)</f>
        <v>0.08</v>
      </c>
      <c r="T439" s="32" t="n">
        <f aca="false">J439*(INDEX(P_VAL,MATCH("CTRL_AÑO",P_ID,0))*L439+(1-INDEX(PY_VAL,MATCH("P_USADOS",PY_ID,0),3))*M439+INDEX(PY_VAL,MATCH("P_USADOS",PY_ID,0),3)*N439+IF(P439&gt;0,O439/P439,0)+Q439)</f>
        <v>0.08</v>
      </c>
      <c r="U439" s="32" t="n">
        <f aca="false">J439*(INDEX(P_VAL,MATCH("CTRL_AÑO",P_ID,0))*L439+(1-INDEX(PY_VAL,MATCH("P_USADOS",PY_ID,0),4))*M439+INDEX(PY_VAL,MATCH("P_USADOS",PY_ID,0),4)*N439+IF(P439&gt;0,O439/P439,0)+Q439)</f>
        <v>0.08</v>
      </c>
      <c r="V439" s="32" t="n">
        <f aca="false">J439*(INDEX(P_VAL,MATCH("CTRL_AÑO",P_ID,0))*L439+(1-INDEX(PY_VAL,MATCH("P_USADOS",PY_ID,0),5))*M439+INDEX(PY_VAL,MATCH("P_USADOS",PY_ID,0),5)*N439+IF(P439&gt;0,O439/P439,0)+Q439)</f>
        <v>0.08</v>
      </c>
      <c r="W439" s="32" t="n">
        <f aca="false">J439*(INDEX(P_VAL,MATCH("CTRL_AÑO",P_ID,0))*L439+(1-INDEX(PY_VAL,MATCH("P_USADOS",PY_ID,0),6))*M439+INDEX(PY_VAL,MATCH("P_USADOS",PY_ID,0),6)*N439+IF(P439&gt;0,O439/P439,0)+Q439)</f>
        <v>0.08</v>
      </c>
      <c r="X439" s="32" t="n">
        <f aca="false">J439*(INDEX(P_VAL,MATCH("CTRL_AÑO",P_ID,0))*L439+(1-INDEX(PY_VAL,MATCH("P_USADOS",PY_ID,0),7))*M439+INDEX(PY_VAL,MATCH("P_USADOS",PY_ID,0),7)*N439+IF(P439&gt;0,O439/P439,0)+Q439)</f>
        <v>0.08</v>
      </c>
      <c r="Y439" s="32" t="n">
        <f aca="false">J439*(INDEX(P_VAL,MATCH("CTRL_AÑO",P_ID,0))*L439+(1-INDEX(PY_VAL,MATCH("P_USADOS",PY_ID,0),8))*M439+INDEX(PY_VAL,MATCH("P_USADOS",PY_ID,0),8)*N439+IF(P439&gt;0,O439/P439,0)+Q439)</f>
        <v>0.08</v>
      </c>
      <c r="Z439" s="32" t="n">
        <f aca="false">J439*(INDEX(P_VAL,MATCH("CTRL_AÑO",P_ID,0))*L439+(1-INDEX(PY_VAL,MATCH("P_USADOS",PY_ID,0),9))*M439+INDEX(PY_VAL,MATCH("P_USADOS",PY_ID,0),9)*N439+IF(P439&gt;0,O439/P439,0)+Q439)</f>
        <v>0.08</v>
      </c>
      <c r="AA439" s="32" t="n">
        <f aca="false">J439*(INDEX(P_VAL,MATCH("CTRL_AÑO",P_ID,0))*L439+(1-INDEX(PY_VAL,MATCH("P_USADOS",PY_ID,0),10))*M439+INDEX(PY_VAL,MATCH("P_USADOS",PY_ID,0),10)*N439+IF(P439&gt;0,O439/P439,0)+Q439)</f>
        <v>0.08</v>
      </c>
      <c r="AB439" s="5" t="s">
        <v>1388</v>
      </c>
    </row>
    <row r="440" customFormat="false" ht="15" hidden="false" customHeight="false" outlineLevel="0" collapsed="false">
      <c r="A440" s="4" t="s">
        <v>293</v>
      </c>
      <c r="B440" s="4"/>
      <c r="C440" s="4"/>
      <c r="D440" s="5" t="s">
        <v>1402</v>
      </c>
      <c r="E440" s="32" t="n">
        <v>1</v>
      </c>
      <c r="F440" s="32" t="s">
        <v>82</v>
      </c>
      <c r="G440" s="33" t="s">
        <v>477</v>
      </c>
      <c r="H440" s="32" t="s">
        <v>840</v>
      </c>
      <c r="I440" s="32" t="n">
        <v>1</v>
      </c>
      <c r="J440" s="32" t="n">
        <f aca="false">E440*I440</f>
        <v>1</v>
      </c>
      <c r="K440" s="32"/>
      <c r="L440" s="32" t="n">
        <v>0</v>
      </c>
      <c r="M440" s="32" t="n">
        <v>0</v>
      </c>
      <c r="N440" s="32" t="n">
        <v>0</v>
      </c>
      <c r="O440" s="32" t="n">
        <v>0</v>
      </c>
      <c r="P440" s="32" t="n">
        <v>0</v>
      </c>
      <c r="Q440" s="32" t="n">
        <f aca="false">INDEX(P_VAL,MATCH("REPO_MANG",P_ID,0))</f>
        <v>0.05</v>
      </c>
      <c r="R440" s="32" t="n">
        <f aca="false">J440*(INDEX(P_VAL,MATCH("CTRL_AÑO",P_ID,0))*L440+(1-INDEX(PY_VAL,MATCH("P_USADOS",PY_ID,0),1))*M440+INDEX(PY_VAL,MATCH("P_USADOS",PY_ID,0),1)*N440+IF(P440&gt;0,O440/P440,0)+Q440)</f>
        <v>0.05</v>
      </c>
      <c r="S440" s="32" t="n">
        <f aca="false">J440*(INDEX(P_VAL,MATCH("CTRL_AÑO",P_ID,0))*L440+(1-INDEX(PY_VAL,MATCH("P_USADOS",PY_ID,0),2))*M440+INDEX(PY_VAL,MATCH("P_USADOS",PY_ID,0),2)*N440+IF(P440&gt;0,O440/P440,0)+Q440)</f>
        <v>0.05</v>
      </c>
      <c r="T440" s="32" t="n">
        <f aca="false">J440*(INDEX(P_VAL,MATCH("CTRL_AÑO",P_ID,0))*L440+(1-INDEX(PY_VAL,MATCH("P_USADOS",PY_ID,0),3))*M440+INDEX(PY_VAL,MATCH("P_USADOS",PY_ID,0),3)*N440+IF(P440&gt;0,O440/P440,0)+Q440)</f>
        <v>0.05</v>
      </c>
      <c r="U440" s="32" t="n">
        <f aca="false">J440*(INDEX(P_VAL,MATCH("CTRL_AÑO",P_ID,0))*L440+(1-INDEX(PY_VAL,MATCH("P_USADOS",PY_ID,0),4))*M440+INDEX(PY_VAL,MATCH("P_USADOS",PY_ID,0),4)*N440+IF(P440&gt;0,O440/P440,0)+Q440)</f>
        <v>0.05</v>
      </c>
      <c r="V440" s="32" t="n">
        <f aca="false">J440*(INDEX(P_VAL,MATCH("CTRL_AÑO",P_ID,0))*L440+(1-INDEX(PY_VAL,MATCH("P_USADOS",PY_ID,0),5))*M440+INDEX(PY_VAL,MATCH("P_USADOS",PY_ID,0),5)*N440+IF(P440&gt;0,O440/P440,0)+Q440)</f>
        <v>0.05</v>
      </c>
      <c r="W440" s="32" t="n">
        <f aca="false">J440*(INDEX(P_VAL,MATCH("CTRL_AÑO",P_ID,0))*L440+(1-INDEX(PY_VAL,MATCH("P_USADOS",PY_ID,0),6))*M440+INDEX(PY_VAL,MATCH("P_USADOS",PY_ID,0),6)*N440+IF(P440&gt;0,O440/P440,0)+Q440)</f>
        <v>0.05</v>
      </c>
      <c r="X440" s="32" t="n">
        <f aca="false">J440*(INDEX(P_VAL,MATCH("CTRL_AÑO",P_ID,0))*L440+(1-INDEX(PY_VAL,MATCH("P_USADOS",PY_ID,0),7))*M440+INDEX(PY_VAL,MATCH("P_USADOS",PY_ID,0),7)*N440+IF(P440&gt;0,O440/P440,0)+Q440)</f>
        <v>0.05</v>
      </c>
      <c r="Y440" s="32" t="n">
        <f aca="false">J440*(INDEX(P_VAL,MATCH("CTRL_AÑO",P_ID,0))*L440+(1-INDEX(PY_VAL,MATCH("P_USADOS",PY_ID,0),8))*M440+INDEX(PY_VAL,MATCH("P_USADOS",PY_ID,0),8)*N440+IF(P440&gt;0,O440/P440,0)+Q440)</f>
        <v>0.05</v>
      </c>
      <c r="Z440" s="32" t="n">
        <f aca="false">J440*(INDEX(P_VAL,MATCH("CTRL_AÑO",P_ID,0))*L440+(1-INDEX(PY_VAL,MATCH("P_USADOS",PY_ID,0),9))*M440+INDEX(PY_VAL,MATCH("P_USADOS",PY_ID,0),9)*N440+IF(P440&gt;0,O440/P440,0)+Q440)</f>
        <v>0.05</v>
      </c>
      <c r="AA440" s="32" t="n">
        <f aca="false">J440*(INDEX(P_VAL,MATCH("CTRL_AÑO",P_ID,0))*L440+(1-INDEX(PY_VAL,MATCH("P_USADOS",PY_ID,0),10))*M440+INDEX(PY_VAL,MATCH("P_USADOS",PY_ID,0),10)*N440+IF(P440&gt;0,O440/P440,0)+Q440)</f>
        <v>0.05</v>
      </c>
      <c r="AB440" s="5" t="s">
        <v>1388</v>
      </c>
    </row>
    <row r="441" customFormat="false" ht="15" hidden="false" customHeight="false" outlineLevel="0" collapsed="false">
      <c r="A441" s="4" t="s">
        <v>296</v>
      </c>
      <c r="B441" s="4" t="s">
        <v>1341</v>
      </c>
      <c r="C441" s="4" t="s">
        <v>1427</v>
      </c>
      <c r="D441" s="5" t="s">
        <v>1343</v>
      </c>
      <c r="E441" s="32" t="n">
        <v>1</v>
      </c>
      <c r="F441" s="32" t="s">
        <v>82</v>
      </c>
      <c r="G441" s="33" t="s">
        <v>1344</v>
      </c>
      <c r="H441" s="32" t="s">
        <v>1345</v>
      </c>
      <c r="I441" s="32" t="n">
        <v>1</v>
      </c>
      <c r="J441" s="32" t="n">
        <f aca="false">E441*I441</f>
        <v>1</v>
      </c>
      <c r="K441" s="32"/>
      <c r="L441" s="32" t="n">
        <v>1</v>
      </c>
      <c r="M441" s="32" t="n">
        <v>0</v>
      </c>
      <c r="N441" s="32" t="n">
        <v>0</v>
      </c>
      <c r="O441" s="32" t="n">
        <v>0</v>
      </c>
      <c r="P441" s="32" t="n">
        <v>5</v>
      </c>
      <c r="Q441" s="32" t="n">
        <v>0</v>
      </c>
      <c r="R441" s="32" t="n">
        <f aca="false">J441*(INDEX(P_VAL,MATCH("CTRL_AÑO",P_ID,0))*L441+(1-INDEX(PY_VAL,MATCH("P_USADOS",PY_ID,0),1))*M441+INDEX(PY_VAL,MATCH("P_USADOS",PY_ID,0),1)*N441+IF(P441&gt;0,O441/P441,0)+Q441)</f>
        <v>4</v>
      </c>
      <c r="S441" s="32" t="n">
        <f aca="false">J441*(INDEX(P_VAL,MATCH("CTRL_AÑO",P_ID,0))*L441+(1-INDEX(PY_VAL,MATCH("P_USADOS",PY_ID,0),2))*M441+INDEX(PY_VAL,MATCH("P_USADOS",PY_ID,0),2)*N441+IF(P441&gt;0,O441/P441,0)+Q441)</f>
        <v>4</v>
      </c>
      <c r="T441" s="32" t="n">
        <f aca="false">J441*(INDEX(P_VAL,MATCH("CTRL_AÑO",P_ID,0))*L441+(1-INDEX(PY_VAL,MATCH("P_USADOS",PY_ID,0),3))*M441+INDEX(PY_VAL,MATCH("P_USADOS",PY_ID,0),3)*N441+IF(P441&gt;0,O441/P441,0)+Q441)</f>
        <v>4</v>
      </c>
      <c r="U441" s="32" t="n">
        <f aca="false">J441*(INDEX(P_VAL,MATCH("CTRL_AÑO",P_ID,0))*L441+(1-INDEX(PY_VAL,MATCH("P_USADOS",PY_ID,0),4))*M441+INDEX(PY_VAL,MATCH("P_USADOS",PY_ID,0),4)*N441+IF(P441&gt;0,O441/P441,0)+Q441)</f>
        <v>4</v>
      </c>
      <c r="V441" s="32" t="n">
        <f aca="false">J441*(INDEX(P_VAL,MATCH("CTRL_AÑO",P_ID,0))*L441+(1-INDEX(PY_VAL,MATCH("P_USADOS",PY_ID,0),5))*M441+INDEX(PY_VAL,MATCH("P_USADOS",PY_ID,0),5)*N441+IF(P441&gt;0,O441/P441,0)+Q441)</f>
        <v>4</v>
      </c>
      <c r="W441" s="32" t="n">
        <f aca="false">J441*(INDEX(P_VAL,MATCH("CTRL_AÑO",P_ID,0))*L441+(1-INDEX(PY_VAL,MATCH("P_USADOS",PY_ID,0),6))*M441+INDEX(PY_VAL,MATCH("P_USADOS",PY_ID,0),6)*N441+IF(P441&gt;0,O441/P441,0)+Q441)</f>
        <v>4</v>
      </c>
      <c r="X441" s="32" t="n">
        <f aca="false">J441*(INDEX(P_VAL,MATCH("CTRL_AÑO",P_ID,0))*L441+(1-INDEX(PY_VAL,MATCH("P_USADOS",PY_ID,0),7))*M441+INDEX(PY_VAL,MATCH("P_USADOS",PY_ID,0),7)*N441+IF(P441&gt;0,O441/P441,0)+Q441)</f>
        <v>4</v>
      </c>
      <c r="Y441" s="32" t="n">
        <f aca="false">J441*(INDEX(P_VAL,MATCH("CTRL_AÑO",P_ID,0))*L441+(1-INDEX(PY_VAL,MATCH("P_USADOS",PY_ID,0),8))*M441+INDEX(PY_VAL,MATCH("P_USADOS",PY_ID,0),8)*N441+IF(P441&gt;0,O441/P441,0)+Q441)</f>
        <v>4</v>
      </c>
      <c r="Z441" s="32" t="n">
        <f aca="false">J441*(INDEX(P_VAL,MATCH("CTRL_AÑO",P_ID,0))*L441+(1-INDEX(PY_VAL,MATCH("P_USADOS",PY_ID,0),9))*M441+INDEX(PY_VAL,MATCH("P_USADOS",PY_ID,0),9)*N441+IF(P441&gt;0,O441/P441,0)+Q441)</f>
        <v>4</v>
      </c>
      <c r="AA441" s="32" t="n">
        <f aca="false">J441*(INDEX(P_VAL,MATCH("CTRL_AÑO",P_ID,0))*L441+(1-INDEX(PY_VAL,MATCH("P_USADOS",PY_ID,0),10))*M441+INDEX(PY_VAL,MATCH("P_USADOS",PY_ID,0),10)*N441+IF(P441&gt;0,O441/P441,0)+Q441)</f>
        <v>4</v>
      </c>
      <c r="AB441" s="5" t="s">
        <v>1346</v>
      </c>
    </row>
    <row r="442" customFormat="false" ht="15" hidden="false" customHeight="false" outlineLevel="0" collapsed="false">
      <c r="A442" s="4" t="s">
        <v>296</v>
      </c>
      <c r="B442" s="4" t="s">
        <v>1347</v>
      </c>
      <c r="C442" s="4" t="s">
        <v>1428</v>
      </c>
      <c r="D442" s="5" t="s">
        <v>1429</v>
      </c>
      <c r="E442" s="32" t="n">
        <v>1</v>
      </c>
      <c r="F442" s="32" t="s">
        <v>73</v>
      </c>
      <c r="G442" s="33" t="s">
        <v>1344</v>
      </c>
      <c r="H442" s="32" t="s">
        <v>988</v>
      </c>
      <c r="I442" s="32" t="n">
        <v>1</v>
      </c>
      <c r="J442" s="32" t="n">
        <f aca="false">E442*I442</f>
        <v>1</v>
      </c>
      <c r="K442" s="32"/>
      <c r="L442" s="32" t="n">
        <v>0</v>
      </c>
      <c r="M442" s="32" t="n">
        <v>0.75</v>
      </c>
      <c r="N442" s="32" t="n">
        <v>25</v>
      </c>
      <c r="O442" s="32" t="n">
        <v>0</v>
      </c>
      <c r="P442" s="32" t="n">
        <v>5</v>
      </c>
      <c r="Q442" s="32" t="n">
        <v>0</v>
      </c>
      <c r="R442" s="32" t="n">
        <f aca="false">J442*(INDEX(P_VAL,MATCH("CTRL_AÑO",P_ID,0))*L442+(1-INDEX(PY_VAL,MATCH("P_USADOS",PY_ID,0),1))*M442+INDEX(PY_VAL,MATCH("P_USADOS",PY_ID,0),1)*N442+IF(P442&gt;0,O442/P442,0)+Q442)</f>
        <v>1.90527</v>
      </c>
      <c r="S442" s="32" t="n">
        <f aca="false">J442*(INDEX(P_VAL,MATCH("CTRL_AÑO",P_ID,0))*L442+(1-INDEX(PY_VAL,MATCH("P_USADOS",PY_ID,0),2))*M442+INDEX(PY_VAL,MATCH("P_USADOS",PY_ID,0),2)*N442+IF(P442&gt;0,O442/P442,0)+Q442)</f>
        <v>1.905173</v>
      </c>
      <c r="T442" s="32" t="n">
        <f aca="false">J442*(INDEX(P_VAL,MATCH("CTRL_AÑO",P_ID,0))*L442+(1-INDEX(PY_VAL,MATCH("P_USADOS",PY_ID,0),3))*M442+INDEX(PY_VAL,MATCH("P_USADOS",PY_ID,0),3)*N442+IF(P442&gt;0,O442/P442,0)+Q442)</f>
        <v>1.90519725</v>
      </c>
      <c r="U442" s="32" t="n">
        <f aca="false">J442*(INDEX(P_VAL,MATCH("CTRL_AÑO",P_ID,0))*L442+(1-INDEX(PY_VAL,MATCH("P_USADOS",PY_ID,0),4))*M442+INDEX(PY_VAL,MATCH("P_USADOS",PY_ID,0),4)*N442+IF(P442&gt;0,O442/P442,0)+Q442)</f>
        <v>1.90524575</v>
      </c>
      <c r="V442" s="32" t="n">
        <f aca="false">J442*(INDEX(P_VAL,MATCH("CTRL_AÑO",P_ID,0))*L442+(1-INDEX(PY_VAL,MATCH("P_USADOS",PY_ID,0),5))*M442+INDEX(PY_VAL,MATCH("P_USADOS",PY_ID,0),5)*N442+IF(P442&gt;0,O442/P442,0)+Q442)</f>
        <v>1.905173</v>
      </c>
      <c r="W442" s="32" t="n">
        <f aca="false">J442*(INDEX(P_VAL,MATCH("CTRL_AÑO",P_ID,0))*L442+(1-INDEX(PY_VAL,MATCH("P_USADOS",PY_ID,0),6))*M442+INDEX(PY_VAL,MATCH("P_USADOS",PY_ID,0),6)*N442+IF(P442&gt;0,O442/P442,0)+Q442)</f>
        <v>1.90519725</v>
      </c>
      <c r="X442" s="32" t="n">
        <f aca="false">J442*(INDEX(P_VAL,MATCH("CTRL_AÑO",P_ID,0))*L442+(1-INDEX(PY_VAL,MATCH("P_USADOS",PY_ID,0),7))*M442+INDEX(PY_VAL,MATCH("P_USADOS",PY_ID,0),7)*N442+IF(P442&gt;0,O442/P442,0)+Q442)</f>
        <v>1.905173</v>
      </c>
      <c r="Y442" s="32" t="n">
        <f aca="false">J442*(INDEX(P_VAL,MATCH("CTRL_AÑO",P_ID,0))*L442+(1-INDEX(PY_VAL,MATCH("P_USADOS",PY_ID,0),8))*M442+INDEX(PY_VAL,MATCH("P_USADOS",PY_ID,0),8)*N442+IF(P442&gt;0,O442/P442,0)+Q442)</f>
        <v>1.9052215</v>
      </c>
      <c r="Z442" s="32" t="n">
        <f aca="false">J442*(INDEX(P_VAL,MATCH("CTRL_AÑO",P_ID,0))*L442+(1-INDEX(PY_VAL,MATCH("P_USADOS",PY_ID,0),9))*M442+INDEX(PY_VAL,MATCH("P_USADOS",PY_ID,0),9)*N442+IF(P442&gt;0,O442/P442,0)+Q442)</f>
        <v>1.905173</v>
      </c>
      <c r="AA442" s="32" t="n">
        <f aca="false">J442*(INDEX(P_VAL,MATCH("CTRL_AÑO",P_ID,0))*L442+(1-INDEX(PY_VAL,MATCH("P_USADOS",PY_ID,0),10))*M442+INDEX(PY_VAL,MATCH("P_USADOS",PY_ID,0),10)*N442+IF(P442&gt;0,O442/P442,0)+Q442)</f>
        <v>1.90510025</v>
      </c>
      <c r="AB442" s="5" t="s">
        <v>1346</v>
      </c>
    </row>
    <row r="443" customFormat="false" ht="15" hidden="false" customHeight="false" outlineLevel="0" collapsed="false">
      <c r="A443" s="4" t="s">
        <v>296</v>
      </c>
      <c r="B443" s="4" t="s">
        <v>1350</v>
      </c>
      <c r="C443" s="4" t="s">
        <v>1430</v>
      </c>
      <c r="D443" s="5" t="s">
        <v>571</v>
      </c>
      <c r="E443" s="32" t="n">
        <v>1</v>
      </c>
      <c r="F443" s="32" t="s">
        <v>73</v>
      </c>
      <c r="G443" s="33" t="s">
        <v>1344</v>
      </c>
      <c r="H443" s="32" t="s">
        <v>573</v>
      </c>
      <c r="I443" s="32" t="n">
        <f aca="false">(1+INDEX(P_VAL,MATCH("N2_PERD",P_ID,0)))/INDEX(P_VAL,MATCH("RHO_N2",P_ID,0))</f>
        <v>1.0406660262568</v>
      </c>
      <c r="J443" s="32" t="n">
        <f aca="false">E443*I443</f>
        <v>1.0406660262568</v>
      </c>
      <c r="K443" s="32"/>
      <c r="L443" s="32" t="n">
        <v>0</v>
      </c>
      <c r="M443" s="32" t="n">
        <v>0.201328458234476</v>
      </c>
      <c r="N443" s="32" t="n">
        <v>0.201328458234476</v>
      </c>
      <c r="O443" s="32" t="n">
        <v>0</v>
      </c>
      <c r="P443" s="32" t="n">
        <v>5</v>
      </c>
      <c r="Q443" s="32" t="n">
        <v>0</v>
      </c>
      <c r="R443" s="32" t="n">
        <f aca="false">J443*(INDEX(P_VAL,MATCH("CTRL_AÑO",P_ID,0))*L443+(1-INDEX(PY_VAL,MATCH("P_USADOS",PY_ID,0),1))*M443+INDEX(PY_VAL,MATCH("P_USADOS",PY_ID,0),1)*N443+IF(P443&gt;0,O443/P443,0)+Q443)</f>
        <v>0.209515686603281</v>
      </c>
      <c r="S443" s="32" t="n">
        <f aca="false">J443*(INDEX(P_VAL,MATCH("CTRL_AÑO",P_ID,0))*L443+(1-INDEX(PY_VAL,MATCH("P_USADOS",PY_ID,0),2))*M443+INDEX(PY_VAL,MATCH("P_USADOS",PY_ID,0),2)*N443+IF(P443&gt;0,O443/P443,0)+Q443)</f>
        <v>0.209515686603281</v>
      </c>
      <c r="T443" s="32" t="n">
        <f aca="false">J443*(INDEX(P_VAL,MATCH("CTRL_AÑO",P_ID,0))*L443+(1-INDEX(PY_VAL,MATCH("P_USADOS",PY_ID,0),3))*M443+INDEX(PY_VAL,MATCH("P_USADOS",PY_ID,0),3)*N443+IF(P443&gt;0,O443/P443,0)+Q443)</f>
        <v>0.209515686603281</v>
      </c>
      <c r="U443" s="32" t="n">
        <f aca="false">J443*(INDEX(P_VAL,MATCH("CTRL_AÑO",P_ID,0))*L443+(1-INDEX(PY_VAL,MATCH("P_USADOS",PY_ID,0),4))*M443+INDEX(PY_VAL,MATCH("P_USADOS",PY_ID,0),4)*N443+IF(P443&gt;0,O443/P443,0)+Q443)</f>
        <v>0.209515686603281</v>
      </c>
      <c r="V443" s="32" t="n">
        <f aca="false">J443*(INDEX(P_VAL,MATCH("CTRL_AÑO",P_ID,0))*L443+(1-INDEX(PY_VAL,MATCH("P_USADOS",PY_ID,0),5))*M443+INDEX(PY_VAL,MATCH("P_USADOS",PY_ID,0),5)*N443+IF(P443&gt;0,O443/P443,0)+Q443)</f>
        <v>0.209515686603281</v>
      </c>
      <c r="W443" s="32" t="n">
        <f aca="false">J443*(INDEX(P_VAL,MATCH("CTRL_AÑO",P_ID,0))*L443+(1-INDEX(PY_VAL,MATCH("P_USADOS",PY_ID,0),6))*M443+INDEX(PY_VAL,MATCH("P_USADOS",PY_ID,0),6)*N443+IF(P443&gt;0,O443/P443,0)+Q443)</f>
        <v>0.209515686603281</v>
      </c>
      <c r="X443" s="32" t="n">
        <f aca="false">J443*(INDEX(P_VAL,MATCH("CTRL_AÑO",P_ID,0))*L443+(1-INDEX(PY_VAL,MATCH("P_USADOS",PY_ID,0),7))*M443+INDEX(PY_VAL,MATCH("P_USADOS",PY_ID,0),7)*N443+IF(P443&gt;0,O443/P443,0)+Q443)</f>
        <v>0.209515686603281</v>
      </c>
      <c r="Y443" s="32" t="n">
        <f aca="false">J443*(INDEX(P_VAL,MATCH("CTRL_AÑO",P_ID,0))*L443+(1-INDEX(PY_VAL,MATCH("P_USADOS",PY_ID,0),8))*M443+INDEX(PY_VAL,MATCH("P_USADOS",PY_ID,0),8)*N443+IF(P443&gt;0,O443/P443,0)+Q443)</f>
        <v>0.209515686603281</v>
      </c>
      <c r="Z443" s="32" t="n">
        <f aca="false">J443*(INDEX(P_VAL,MATCH("CTRL_AÑO",P_ID,0))*L443+(1-INDEX(PY_VAL,MATCH("P_USADOS",PY_ID,0),9))*M443+INDEX(PY_VAL,MATCH("P_USADOS",PY_ID,0),9)*N443+IF(P443&gt;0,O443/P443,0)+Q443)</f>
        <v>0.209515686603281</v>
      </c>
      <c r="AA443" s="32" t="n">
        <f aca="false">J443*(INDEX(P_VAL,MATCH("CTRL_AÑO",P_ID,0))*L443+(1-INDEX(PY_VAL,MATCH("P_USADOS",PY_ID,0),10))*M443+INDEX(PY_VAL,MATCH("P_USADOS",PY_ID,0),10)*N443+IF(P443&gt;0,O443/P443,0)+Q443)</f>
        <v>0.209515686603281</v>
      </c>
      <c r="AB443" s="5" t="s">
        <v>1346</v>
      </c>
    </row>
    <row r="444" customFormat="false" ht="15" hidden="false" customHeight="false" outlineLevel="0" collapsed="false">
      <c r="A444" s="4" t="s">
        <v>296</v>
      </c>
      <c r="B444" s="4" t="s">
        <v>1352</v>
      </c>
      <c r="C444" s="4" t="s">
        <v>1431</v>
      </c>
      <c r="D444" s="5" t="s">
        <v>1354</v>
      </c>
      <c r="E444" s="32" t="n">
        <v>1</v>
      </c>
      <c r="F444" s="32" t="s">
        <v>82</v>
      </c>
      <c r="G444" s="33" t="s">
        <v>1344</v>
      </c>
      <c r="H444" s="32" t="s">
        <v>1355</v>
      </c>
      <c r="I444" s="32" t="n">
        <v>1</v>
      </c>
      <c r="J444" s="32" t="n">
        <f aca="false">E444*I444</f>
        <v>1</v>
      </c>
      <c r="K444" s="32"/>
      <c r="L444" s="32" t="n">
        <v>0</v>
      </c>
      <c r="M444" s="32" t="n">
        <v>1</v>
      </c>
      <c r="N444" s="32" t="n">
        <v>1</v>
      </c>
      <c r="O444" s="32" t="n">
        <v>0</v>
      </c>
      <c r="P444" s="32" t="n">
        <v>5</v>
      </c>
      <c r="Q444" s="32" t="n">
        <v>0</v>
      </c>
      <c r="R444" s="32" t="n">
        <f aca="false">J444*(INDEX(P_VAL,MATCH("CTRL_AÑO",P_ID,0))*L444+(1-INDEX(PY_VAL,MATCH("P_USADOS",PY_ID,0),1))*M444+INDEX(PY_VAL,MATCH("P_USADOS",PY_ID,0),1)*N444+IF(P444&gt;0,O444/P444,0)+Q444)</f>
        <v>1</v>
      </c>
      <c r="S444" s="32" t="n">
        <f aca="false">J444*(INDEX(P_VAL,MATCH("CTRL_AÑO",P_ID,0))*L444+(1-INDEX(PY_VAL,MATCH("P_USADOS",PY_ID,0),2))*M444+INDEX(PY_VAL,MATCH("P_USADOS",PY_ID,0),2)*N444+IF(P444&gt;0,O444/P444,0)+Q444)</f>
        <v>1</v>
      </c>
      <c r="T444" s="32" t="n">
        <f aca="false">J444*(INDEX(P_VAL,MATCH("CTRL_AÑO",P_ID,0))*L444+(1-INDEX(PY_VAL,MATCH("P_USADOS",PY_ID,0),3))*M444+INDEX(PY_VAL,MATCH("P_USADOS",PY_ID,0),3)*N444+IF(P444&gt;0,O444/P444,0)+Q444)</f>
        <v>1</v>
      </c>
      <c r="U444" s="32" t="n">
        <f aca="false">J444*(INDEX(P_VAL,MATCH("CTRL_AÑO",P_ID,0))*L444+(1-INDEX(PY_VAL,MATCH("P_USADOS",PY_ID,0),4))*M444+INDEX(PY_VAL,MATCH("P_USADOS",PY_ID,0),4)*N444+IF(P444&gt;0,O444/P444,0)+Q444)</f>
        <v>1</v>
      </c>
      <c r="V444" s="32" t="n">
        <f aca="false">J444*(INDEX(P_VAL,MATCH("CTRL_AÑO",P_ID,0))*L444+(1-INDEX(PY_VAL,MATCH("P_USADOS",PY_ID,0),5))*M444+INDEX(PY_VAL,MATCH("P_USADOS",PY_ID,0),5)*N444+IF(P444&gt;0,O444/P444,0)+Q444)</f>
        <v>1</v>
      </c>
      <c r="W444" s="32" t="n">
        <f aca="false">J444*(INDEX(P_VAL,MATCH("CTRL_AÑO",P_ID,0))*L444+(1-INDEX(PY_VAL,MATCH("P_USADOS",PY_ID,0),6))*M444+INDEX(PY_VAL,MATCH("P_USADOS",PY_ID,0),6)*N444+IF(P444&gt;0,O444/P444,0)+Q444)</f>
        <v>1</v>
      </c>
      <c r="X444" s="32" t="n">
        <f aca="false">J444*(INDEX(P_VAL,MATCH("CTRL_AÑO",P_ID,0))*L444+(1-INDEX(PY_VAL,MATCH("P_USADOS",PY_ID,0),7))*M444+INDEX(PY_VAL,MATCH("P_USADOS",PY_ID,0),7)*N444+IF(P444&gt;0,O444/P444,0)+Q444)</f>
        <v>1</v>
      </c>
      <c r="Y444" s="32" t="n">
        <f aca="false">J444*(INDEX(P_VAL,MATCH("CTRL_AÑO",P_ID,0))*L444+(1-INDEX(PY_VAL,MATCH("P_USADOS",PY_ID,0),8))*M444+INDEX(PY_VAL,MATCH("P_USADOS",PY_ID,0),8)*N444+IF(P444&gt;0,O444/P444,0)+Q444)</f>
        <v>1</v>
      </c>
      <c r="Z444" s="32" t="n">
        <f aca="false">J444*(INDEX(P_VAL,MATCH("CTRL_AÑO",P_ID,0))*L444+(1-INDEX(PY_VAL,MATCH("P_USADOS",PY_ID,0),9))*M444+INDEX(PY_VAL,MATCH("P_USADOS",PY_ID,0),9)*N444+IF(P444&gt;0,O444/P444,0)+Q444)</f>
        <v>1</v>
      </c>
      <c r="AA444" s="32" t="n">
        <f aca="false">J444*(INDEX(P_VAL,MATCH("CTRL_AÑO",P_ID,0))*L444+(1-INDEX(PY_VAL,MATCH("P_USADOS",PY_ID,0),10))*M444+INDEX(PY_VAL,MATCH("P_USADOS",PY_ID,0),10)*N444+IF(P444&gt;0,O444/P444,0)+Q444)</f>
        <v>1</v>
      </c>
      <c r="AB444" s="5" t="s">
        <v>1346</v>
      </c>
    </row>
    <row r="445" customFormat="false" ht="15" hidden="false" customHeight="false" outlineLevel="0" collapsed="false">
      <c r="A445" s="4" t="s">
        <v>296</v>
      </c>
      <c r="B445" s="4" t="s">
        <v>1356</v>
      </c>
      <c r="C445" s="4" t="s">
        <v>1432</v>
      </c>
      <c r="D445" s="5" t="s">
        <v>1358</v>
      </c>
      <c r="E445" s="32" t="n">
        <v>1</v>
      </c>
      <c r="F445" s="32" t="s">
        <v>82</v>
      </c>
      <c r="G445" s="33" t="s">
        <v>1344</v>
      </c>
      <c r="H445" s="32" t="s">
        <v>1359</v>
      </c>
      <c r="I445" s="32" t="n">
        <v>1</v>
      </c>
      <c r="J445" s="32" t="n">
        <f aca="false">E445*I445</f>
        <v>1</v>
      </c>
      <c r="K445" s="32"/>
      <c r="L445" s="32" t="n">
        <v>0</v>
      </c>
      <c r="M445" s="32" t="n">
        <v>1</v>
      </c>
      <c r="N445" s="32" t="n">
        <v>1</v>
      </c>
      <c r="O445" s="32" t="n">
        <v>0</v>
      </c>
      <c r="P445" s="32" t="n">
        <v>5</v>
      </c>
      <c r="Q445" s="32" t="n">
        <v>0</v>
      </c>
      <c r="R445" s="32" t="n">
        <f aca="false">J445*(INDEX(P_VAL,MATCH("CTRL_AÑO",P_ID,0))*L445+(1-INDEX(PY_VAL,MATCH("P_USADOS",PY_ID,0),1))*M445+INDEX(PY_VAL,MATCH("P_USADOS",PY_ID,0),1)*N445+IF(P445&gt;0,O445/P445,0)+Q445)</f>
        <v>1</v>
      </c>
      <c r="S445" s="32" t="n">
        <f aca="false">J445*(INDEX(P_VAL,MATCH("CTRL_AÑO",P_ID,0))*L445+(1-INDEX(PY_VAL,MATCH("P_USADOS",PY_ID,0),2))*M445+INDEX(PY_VAL,MATCH("P_USADOS",PY_ID,0),2)*N445+IF(P445&gt;0,O445/P445,0)+Q445)</f>
        <v>1</v>
      </c>
      <c r="T445" s="32" t="n">
        <f aca="false">J445*(INDEX(P_VAL,MATCH("CTRL_AÑO",P_ID,0))*L445+(1-INDEX(PY_VAL,MATCH("P_USADOS",PY_ID,0),3))*M445+INDEX(PY_VAL,MATCH("P_USADOS",PY_ID,0),3)*N445+IF(P445&gt;0,O445/P445,0)+Q445)</f>
        <v>1</v>
      </c>
      <c r="U445" s="32" t="n">
        <f aca="false">J445*(INDEX(P_VAL,MATCH("CTRL_AÑO",P_ID,0))*L445+(1-INDEX(PY_VAL,MATCH("P_USADOS",PY_ID,0),4))*M445+INDEX(PY_VAL,MATCH("P_USADOS",PY_ID,0),4)*N445+IF(P445&gt;0,O445/P445,0)+Q445)</f>
        <v>1</v>
      </c>
      <c r="V445" s="32" t="n">
        <f aca="false">J445*(INDEX(P_VAL,MATCH("CTRL_AÑO",P_ID,0))*L445+(1-INDEX(PY_VAL,MATCH("P_USADOS",PY_ID,0),5))*M445+INDEX(PY_VAL,MATCH("P_USADOS",PY_ID,0),5)*N445+IF(P445&gt;0,O445/P445,0)+Q445)</f>
        <v>1</v>
      </c>
      <c r="W445" s="32" t="n">
        <f aca="false">J445*(INDEX(P_VAL,MATCH("CTRL_AÑO",P_ID,0))*L445+(1-INDEX(PY_VAL,MATCH("P_USADOS",PY_ID,0),6))*M445+INDEX(PY_VAL,MATCH("P_USADOS",PY_ID,0),6)*N445+IF(P445&gt;0,O445/P445,0)+Q445)</f>
        <v>1</v>
      </c>
      <c r="X445" s="32" t="n">
        <f aca="false">J445*(INDEX(P_VAL,MATCH("CTRL_AÑO",P_ID,0))*L445+(1-INDEX(PY_VAL,MATCH("P_USADOS",PY_ID,0),7))*M445+INDEX(PY_VAL,MATCH("P_USADOS",PY_ID,0),7)*N445+IF(P445&gt;0,O445/P445,0)+Q445)</f>
        <v>1</v>
      </c>
      <c r="Y445" s="32" t="n">
        <f aca="false">J445*(INDEX(P_VAL,MATCH("CTRL_AÑO",P_ID,0))*L445+(1-INDEX(PY_VAL,MATCH("P_USADOS",PY_ID,0),8))*M445+INDEX(PY_VAL,MATCH("P_USADOS",PY_ID,0),8)*N445+IF(P445&gt;0,O445/P445,0)+Q445)</f>
        <v>1</v>
      </c>
      <c r="Z445" s="32" t="n">
        <f aca="false">J445*(INDEX(P_VAL,MATCH("CTRL_AÑO",P_ID,0))*L445+(1-INDEX(PY_VAL,MATCH("P_USADOS",PY_ID,0),9))*M445+INDEX(PY_VAL,MATCH("P_USADOS",PY_ID,0),9)*N445+IF(P445&gt;0,O445/P445,0)+Q445)</f>
        <v>1</v>
      </c>
      <c r="AA445" s="32" t="n">
        <f aca="false">J445*(INDEX(P_VAL,MATCH("CTRL_AÑO",P_ID,0))*L445+(1-INDEX(PY_VAL,MATCH("P_USADOS",PY_ID,0),10))*M445+INDEX(PY_VAL,MATCH("P_USADOS",PY_ID,0),10)*N445+IF(P445&gt;0,O445/P445,0)+Q445)</f>
        <v>1</v>
      </c>
      <c r="AB445" s="5" t="s">
        <v>1346</v>
      </c>
    </row>
    <row r="446" customFormat="false" ht="15" hidden="false" customHeight="false" outlineLevel="0" collapsed="false">
      <c r="A446" s="4" t="s">
        <v>296</v>
      </c>
      <c r="B446" s="4" t="s">
        <v>1360</v>
      </c>
      <c r="C446" s="4" t="s">
        <v>1433</v>
      </c>
      <c r="D446" s="5" t="s">
        <v>1362</v>
      </c>
      <c r="E446" s="32" t="n">
        <v>1</v>
      </c>
      <c r="F446" s="32" t="s">
        <v>82</v>
      </c>
      <c r="G446" s="33" t="s">
        <v>1344</v>
      </c>
      <c r="H446" s="32" t="s">
        <v>1363</v>
      </c>
      <c r="I446" s="32" t="n">
        <v>1</v>
      </c>
      <c r="J446" s="32" t="n">
        <f aca="false">E446*I446</f>
        <v>1</v>
      </c>
      <c r="K446" s="32"/>
      <c r="L446" s="32" t="n">
        <v>0</v>
      </c>
      <c r="M446" s="32" t="n">
        <v>1</v>
      </c>
      <c r="N446" s="32" t="n">
        <v>1</v>
      </c>
      <c r="O446" s="32" t="n">
        <v>0</v>
      </c>
      <c r="P446" s="32" t="n">
        <v>5</v>
      </c>
      <c r="Q446" s="32" t="n">
        <v>0</v>
      </c>
      <c r="R446" s="32" t="n">
        <f aca="false">J446*(INDEX(P_VAL,MATCH("CTRL_AÑO",P_ID,0))*L446+(1-INDEX(PY_VAL,MATCH("P_USADOS",PY_ID,0),1))*M446+INDEX(PY_VAL,MATCH("P_USADOS",PY_ID,0),1)*N446+IF(P446&gt;0,O446/P446,0)+Q446)</f>
        <v>1</v>
      </c>
      <c r="S446" s="32" t="n">
        <f aca="false">J446*(INDEX(P_VAL,MATCH("CTRL_AÑO",P_ID,0))*L446+(1-INDEX(PY_VAL,MATCH("P_USADOS",PY_ID,0),2))*M446+INDEX(PY_VAL,MATCH("P_USADOS",PY_ID,0),2)*N446+IF(P446&gt;0,O446/P446,0)+Q446)</f>
        <v>1</v>
      </c>
      <c r="T446" s="32" t="n">
        <f aca="false">J446*(INDEX(P_VAL,MATCH("CTRL_AÑO",P_ID,0))*L446+(1-INDEX(PY_VAL,MATCH("P_USADOS",PY_ID,0),3))*M446+INDEX(PY_VAL,MATCH("P_USADOS",PY_ID,0),3)*N446+IF(P446&gt;0,O446/P446,0)+Q446)</f>
        <v>1</v>
      </c>
      <c r="U446" s="32" t="n">
        <f aca="false">J446*(INDEX(P_VAL,MATCH("CTRL_AÑO",P_ID,0))*L446+(1-INDEX(PY_VAL,MATCH("P_USADOS",PY_ID,0),4))*M446+INDEX(PY_VAL,MATCH("P_USADOS",PY_ID,0),4)*N446+IF(P446&gt;0,O446/P446,0)+Q446)</f>
        <v>1</v>
      </c>
      <c r="V446" s="32" t="n">
        <f aca="false">J446*(INDEX(P_VAL,MATCH("CTRL_AÑO",P_ID,0))*L446+(1-INDEX(PY_VAL,MATCH("P_USADOS",PY_ID,0),5))*M446+INDEX(PY_VAL,MATCH("P_USADOS",PY_ID,0),5)*N446+IF(P446&gt;0,O446/P446,0)+Q446)</f>
        <v>1</v>
      </c>
      <c r="W446" s="32" t="n">
        <f aca="false">J446*(INDEX(P_VAL,MATCH("CTRL_AÑO",P_ID,0))*L446+(1-INDEX(PY_VAL,MATCH("P_USADOS",PY_ID,0),6))*M446+INDEX(PY_VAL,MATCH("P_USADOS",PY_ID,0),6)*N446+IF(P446&gt;0,O446/P446,0)+Q446)</f>
        <v>1</v>
      </c>
      <c r="X446" s="32" t="n">
        <f aca="false">J446*(INDEX(P_VAL,MATCH("CTRL_AÑO",P_ID,0))*L446+(1-INDEX(PY_VAL,MATCH("P_USADOS",PY_ID,0),7))*M446+INDEX(PY_VAL,MATCH("P_USADOS",PY_ID,0),7)*N446+IF(P446&gt;0,O446/P446,0)+Q446)</f>
        <v>1</v>
      </c>
      <c r="Y446" s="32" t="n">
        <f aca="false">J446*(INDEX(P_VAL,MATCH("CTRL_AÑO",P_ID,0))*L446+(1-INDEX(PY_VAL,MATCH("P_USADOS",PY_ID,0),8))*M446+INDEX(PY_VAL,MATCH("P_USADOS",PY_ID,0),8)*N446+IF(P446&gt;0,O446/P446,0)+Q446)</f>
        <v>1</v>
      </c>
      <c r="Z446" s="32" t="n">
        <f aca="false">J446*(INDEX(P_VAL,MATCH("CTRL_AÑO",P_ID,0))*L446+(1-INDEX(PY_VAL,MATCH("P_USADOS",PY_ID,0),9))*M446+INDEX(PY_VAL,MATCH("P_USADOS",PY_ID,0),9)*N446+IF(P446&gt;0,O446/P446,0)+Q446)</f>
        <v>1</v>
      </c>
      <c r="AA446" s="32" t="n">
        <f aca="false">J446*(INDEX(P_VAL,MATCH("CTRL_AÑO",P_ID,0))*L446+(1-INDEX(PY_VAL,MATCH("P_USADOS",PY_ID,0),10))*M446+INDEX(PY_VAL,MATCH("P_USADOS",PY_ID,0),10)*N446+IF(P446&gt;0,O446/P446,0)+Q446)</f>
        <v>1</v>
      </c>
      <c r="AB446" s="5" t="s">
        <v>1346</v>
      </c>
    </row>
    <row r="447" customFormat="false" ht="15" hidden="false" customHeight="false" outlineLevel="0" collapsed="false">
      <c r="A447" s="4" t="s">
        <v>296</v>
      </c>
      <c r="B447" s="4" t="s">
        <v>1364</v>
      </c>
      <c r="C447" s="4" t="s">
        <v>1434</v>
      </c>
      <c r="D447" s="5" t="s">
        <v>1366</v>
      </c>
      <c r="E447" s="32" t="n">
        <v>1</v>
      </c>
      <c r="F447" s="32" t="s">
        <v>82</v>
      </c>
      <c r="G447" s="33" t="s">
        <v>1344</v>
      </c>
      <c r="H447" s="32" t="s">
        <v>1367</v>
      </c>
      <c r="I447" s="32" t="n">
        <v>1</v>
      </c>
      <c r="J447" s="32" t="n">
        <f aca="false">E447*I447</f>
        <v>1</v>
      </c>
      <c r="K447" s="32" t="s">
        <v>582</v>
      </c>
      <c r="L447" s="32" t="n">
        <v>0</v>
      </c>
      <c r="M447" s="32" t="n">
        <v>1</v>
      </c>
      <c r="N447" s="32" t="n">
        <v>1</v>
      </c>
      <c r="O447" s="32" t="n">
        <v>0</v>
      </c>
      <c r="P447" s="32" t="n">
        <v>5</v>
      </c>
      <c r="Q447" s="32" t="n">
        <v>0</v>
      </c>
      <c r="R447" s="32" t="n">
        <f aca="false">J447*(INDEX(P_VAL,MATCH("CTRL_AÑO",P_ID,0))*L447+(1-INDEX(PY_VAL,MATCH("P_USADOS",PY_ID,0),1))*M447+INDEX(PY_VAL,MATCH("P_USADOS",PY_ID,0),1)*N447+IF(P447&gt;0,O447/P447,0)+Q447)</f>
        <v>1</v>
      </c>
      <c r="S447" s="32" t="n">
        <f aca="false">J447*(INDEX(P_VAL,MATCH("CTRL_AÑO",P_ID,0))*L447+(1-INDEX(PY_VAL,MATCH("P_USADOS",PY_ID,0),2))*M447+INDEX(PY_VAL,MATCH("P_USADOS",PY_ID,0),2)*N447+IF(P447&gt;0,O447/P447,0)+Q447)</f>
        <v>1</v>
      </c>
      <c r="T447" s="32" t="n">
        <f aca="false">J447*(INDEX(P_VAL,MATCH("CTRL_AÑO",P_ID,0))*L447+(1-INDEX(PY_VAL,MATCH("P_USADOS",PY_ID,0),3))*M447+INDEX(PY_VAL,MATCH("P_USADOS",PY_ID,0),3)*N447+IF(P447&gt;0,O447/P447,0)+Q447)</f>
        <v>1</v>
      </c>
      <c r="U447" s="32" t="n">
        <f aca="false">J447*(INDEX(P_VAL,MATCH("CTRL_AÑO",P_ID,0))*L447+(1-INDEX(PY_VAL,MATCH("P_USADOS",PY_ID,0),4))*M447+INDEX(PY_VAL,MATCH("P_USADOS",PY_ID,0),4)*N447+IF(P447&gt;0,O447/P447,0)+Q447)</f>
        <v>1</v>
      </c>
      <c r="V447" s="32" t="n">
        <f aca="false">J447*(INDEX(P_VAL,MATCH("CTRL_AÑO",P_ID,0))*L447+(1-INDEX(PY_VAL,MATCH("P_USADOS",PY_ID,0),5))*M447+INDEX(PY_VAL,MATCH("P_USADOS",PY_ID,0),5)*N447+IF(P447&gt;0,O447/P447,0)+Q447)</f>
        <v>1</v>
      </c>
      <c r="W447" s="32" t="n">
        <f aca="false">J447*(INDEX(P_VAL,MATCH("CTRL_AÑO",P_ID,0))*L447+(1-INDEX(PY_VAL,MATCH("P_USADOS",PY_ID,0),6))*M447+INDEX(PY_VAL,MATCH("P_USADOS",PY_ID,0),6)*N447+IF(P447&gt;0,O447/P447,0)+Q447)</f>
        <v>1</v>
      </c>
      <c r="X447" s="32" t="n">
        <f aca="false">J447*(INDEX(P_VAL,MATCH("CTRL_AÑO",P_ID,0))*L447+(1-INDEX(PY_VAL,MATCH("P_USADOS",PY_ID,0),7))*M447+INDEX(PY_VAL,MATCH("P_USADOS",PY_ID,0),7)*N447+IF(P447&gt;0,O447/P447,0)+Q447)</f>
        <v>1</v>
      </c>
      <c r="Y447" s="32" t="n">
        <f aca="false">J447*(INDEX(P_VAL,MATCH("CTRL_AÑO",P_ID,0))*L447+(1-INDEX(PY_VAL,MATCH("P_USADOS",PY_ID,0),8))*M447+INDEX(PY_VAL,MATCH("P_USADOS",PY_ID,0),8)*N447+IF(P447&gt;0,O447/P447,0)+Q447)</f>
        <v>1</v>
      </c>
      <c r="Z447" s="32" t="n">
        <f aca="false">J447*(INDEX(P_VAL,MATCH("CTRL_AÑO",P_ID,0))*L447+(1-INDEX(PY_VAL,MATCH("P_USADOS",PY_ID,0),9))*M447+INDEX(PY_VAL,MATCH("P_USADOS",PY_ID,0),9)*N447+IF(P447&gt;0,O447/P447,0)+Q447)</f>
        <v>1</v>
      </c>
      <c r="AA447" s="32" t="n">
        <f aca="false">J447*(INDEX(P_VAL,MATCH("CTRL_AÑO",P_ID,0))*L447+(1-INDEX(PY_VAL,MATCH("P_USADOS",PY_ID,0),10))*M447+INDEX(PY_VAL,MATCH("P_USADOS",PY_ID,0),10)*N447+IF(P447&gt;0,O447/P447,0)+Q447)</f>
        <v>1</v>
      </c>
      <c r="AB447" s="5" t="s">
        <v>1346</v>
      </c>
    </row>
    <row r="448" customFormat="false" ht="15" hidden="false" customHeight="false" outlineLevel="0" collapsed="false">
      <c r="A448" s="4" t="s">
        <v>296</v>
      </c>
      <c r="B448" s="4" t="s">
        <v>1368</v>
      </c>
      <c r="C448" s="4" t="s">
        <v>1435</v>
      </c>
      <c r="D448" s="5" t="s">
        <v>1370</v>
      </c>
      <c r="E448" s="32" t="n">
        <v>1</v>
      </c>
      <c r="F448" s="32" t="s">
        <v>82</v>
      </c>
      <c r="G448" s="33" t="s">
        <v>1344</v>
      </c>
      <c r="H448" s="32" t="s">
        <v>1371</v>
      </c>
      <c r="I448" s="32" t="n">
        <v>1</v>
      </c>
      <c r="J448" s="32" t="n">
        <f aca="false">E448*I448</f>
        <v>1</v>
      </c>
      <c r="K448" s="32" t="s">
        <v>582</v>
      </c>
      <c r="L448" s="32" t="n">
        <v>0</v>
      </c>
      <c r="M448" s="32" t="n">
        <v>1</v>
      </c>
      <c r="N448" s="32" t="n">
        <v>1</v>
      </c>
      <c r="O448" s="32" t="n">
        <v>0</v>
      </c>
      <c r="P448" s="32" t="n">
        <v>5</v>
      </c>
      <c r="Q448" s="32" t="n">
        <v>0</v>
      </c>
      <c r="R448" s="32" t="n">
        <f aca="false">J448*(INDEX(P_VAL,MATCH("CTRL_AÑO",P_ID,0))*L448+(1-INDEX(PY_VAL,MATCH("P_USADOS",PY_ID,0),1))*M448+INDEX(PY_VAL,MATCH("P_USADOS",PY_ID,0),1)*N448+IF(P448&gt;0,O448/P448,0)+Q448)</f>
        <v>1</v>
      </c>
      <c r="S448" s="32" t="n">
        <f aca="false">J448*(INDEX(P_VAL,MATCH("CTRL_AÑO",P_ID,0))*L448+(1-INDEX(PY_VAL,MATCH("P_USADOS",PY_ID,0),2))*M448+INDEX(PY_VAL,MATCH("P_USADOS",PY_ID,0),2)*N448+IF(P448&gt;0,O448/P448,0)+Q448)</f>
        <v>1</v>
      </c>
      <c r="T448" s="32" t="n">
        <f aca="false">J448*(INDEX(P_VAL,MATCH("CTRL_AÑO",P_ID,0))*L448+(1-INDEX(PY_VAL,MATCH("P_USADOS",PY_ID,0),3))*M448+INDEX(PY_VAL,MATCH("P_USADOS",PY_ID,0),3)*N448+IF(P448&gt;0,O448/P448,0)+Q448)</f>
        <v>1</v>
      </c>
      <c r="U448" s="32" t="n">
        <f aca="false">J448*(INDEX(P_VAL,MATCH("CTRL_AÑO",P_ID,0))*L448+(1-INDEX(PY_VAL,MATCH("P_USADOS",PY_ID,0),4))*M448+INDEX(PY_VAL,MATCH("P_USADOS",PY_ID,0),4)*N448+IF(P448&gt;0,O448/P448,0)+Q448)</f>
        <v>1</v>
      </c>
      <c r="V448" s="32" t="n">
        <f aca="false">J448*(INDEX(P_VAL,MATCH("CTRL_AÑO",P_ID,0))*L448+(1-INDEX(PY_VAL,MATCH("P_USADOS",PY_ID,0),5))*M448+INDEX(PY_VAL,MATCH("P_USADOS",PY_ID,0),5)*N448+IF(P448&gt;0,O448/P448,0)+Q448)</f>
        <v>1</v>
      </c>
      <c r="W448" s="32" t="n">
        <f aca="false">J448*(INDEX(P_VAL,MATCH("CTRL_AÑO",P_ID,0))*L448+(1-INDEX(PY_VAL,MATCH("P_USADOS",PY_ID,0),6))*M448+INDEX(PY_VAL,MATCH("P_USADOS",PY_ID,0),6)*N448+IF(P448&gt;0,O448/P448,0)+Q448)</f>
        <v>1</v>
      </c>
      <c r="X448" s="32" t="n">
        <f aca="false">J448*(INDEX(P_VAL,MATCH("CTRL_AÑO",P_ID,0))*L448+(1-INDEX(PY_VAL,MATCH("P_USADOS",PY_ID,0),7))*M448+INDEX(PY_VAL,MATCH("P_USADOS",PY_ID,0),7)*N448+IF(P448&gt;0,O448/P448,0)+Q448)</f>
        <v>1</v>
      </c>
      <c r="Y448" s="32" t="n">
        <f aca="false">J448*(INDEX(P_VAL,MATCH("CTRL_AÑO",P_ID,0))*L448+(1-INDEX(PY_VAL,MATCH("P_USADOS",PY_ID,0),8))*M448+INDEX(PY_VAL,MATCH("P_USADOS",PY_ID,0),8)*N448+IF(P448&gt;0,O448/P448,0)+Q448)</f>
        <v>1</v>
      </c>
      <c r="Z448" s="32" t="n">
        <f aca="false">J448*(INDEX(P_VAL,MATCH("CTRL_AÑO",P_ID,0))*L448+(1-INDEX(PY_VAL,MATCH("P_USADOS",PY_ID,0),9))*M448+INDEX(PY_VAL,MATCH("P_USADOS",PY_ID,0),9)*N448+IF(P448&gt;0,O448/P448,0)+Q448)</f>
        <v>1</v>
      </c>
      <c r="AA448" s="32" t="n">
        <f aca="false">J448*(INDEX(P_VAL,MATCH("CTRL_AÑO",P_ID,0))*L448+(1-INDEX(PY_VAL,MATCH("P_USADOS",PY_ID,0),10))*M448+INDEX(PY_VAL,MATCH("P_USADOS",PY_ID,0),10)*N448+IF(P448&gt;0,O448/P448,0)+Q448)</f>
        <v>1</v>
      </c>
      <c r="AB448" s="5" t="s">
        <v>1346</v>
      </c>
    </row>
    <row r="449" customFormat="false" ht="15" hidden="false" customHeight="false" outlineLevel="0" collapsed="false">
      <c r="A449" s="4" t="s">
        <v>296</v>
      </c>
      <c r="B449" s="4" t="s">
        <v>1372</v>
      </c>
      <c r="C449" s="4" t="s">
        <v>1436</v>
      </c>
      <c r="D449" s="5" t="s">
        <v>1374</v>
      </c>
      <c r="E449" s="32" t="n">
        <v>1</v>
      </c>
      <c r="F449" s="32" t="s">
        <v>82</v>
      </c>
      <c r="G449" s="33" t="s">
        <v>1344</v>
      </c>
      <c r="H449" s="32" t="s">
        <v>688</v>
      </c>
      <c r="I449" s="32" t="n">
        <v>1</v>
      </c>
      <c r="J449" s="32" t="n">
        <f aca="false">E449*I449</f>
        <v>1</v>
      </c>
      <c r="K449" s="32" t="s">
        <v>689</v>
      </c>
      <c r="L449" s="32" t="n">
        <v>0</v>
      </c>
      <c r="M449" s="32" t="n">
        <v>1</v>
      </c>
      <c r="N449" s="32" t="n">
        <v>1</v>
      </c>
      <c r="O449" s="32" t="n">
        <v>0</v>
      </c>
      <c r="P449" s="32" t="n">
        <v>5</v>
      </c>
      <c r="Q449" s="32" t="n">
        <v>0</v>
      </c>
      <c r="R449" s="32" t="n">
        <f aca="false">J449*(INDEX(P_VAL,MATCH("CTRL_AÑO",P_ID,0))*L449+(1-INDEX(PY_VAL,MATCH("P_USADOS",PY_ID,0),1))*M449+INDEX(PY_VAL,MATCH("P_USADOS",PY_ID,0),1)*N449+IF(P449&gt;0,O449/P449,0)+Q449)</f>
        <v>1</v>
      </c>
      <c r="S449" s="32" t="n">
        <f aca="false">J449*(INDEX(P_VAL,MATCH("CTRL_AÑO",P_ID,0))*L449+(1-INDEX(PY_VAL,MATCH("P_USADOS",PY_ID,0),2))*M449+INDEX(PY_VAL,MATCH("P_USADOS",PY_ID,0),2)*N449+IF(P449&gt;0,O449/P449,0)+Q449)</f>
        <v>1</v>
      </c>
      <c r="T449" s="32" t="n">
        <f aca="false">J449*(INDEX(P_VAL,MATCH("CTRL_AÑO",P_ID,0))*L449+(1-INDEX(PY_VAL,MATCH("P_USADOS",PY_ID,0),3))*M449+INDEX(PY_VAL,MATCH("P_USADOS",PY_ID,0),3)*N449+IF(P449&gt;0,O449/P449,0)+Q449)</f>
        <v>1</v>
      </c>
      <c r="U449" s="32" t="n">
        <f aca="false">J449*(INDEX(P_VAL,MATCH("CTRL_AÑO",P_ID,0))*L449+(1-INDEX(PY_VAL,MATCH("P_USADOS",PY_ID,0),4))*M449+INDEX(PY_VAL,MATCH("P_USADOS",PY_ID,0),4)*N449+IF(P449&gt;0,O449/P449,0)+Q449)</f>
        <v>1</v>
      </c>
      <c r="V449" s="32" t="n">
        <f aca="false">J449*(INDEX(P_VAL,MATCH("CTRL_AÑO",P_ID,0))*L449+(1-INDEX(PY_VAL,MATCH("P_USADOS",PY_ID,0),5))*M449+INDEX(PY_VAL,MATCH("P_USADOS",PY_ID,0),5)*N449+IF(P449&gt;0,O449/P449,0)+Q449)</f>
        <v>1</v>
      </c>
      <c r="W449" s="32" t="n">
        <f aca="false">J449*(INDEX(P_VAL,MATCH("CTRL_AÑO",P_ID,0))*L449+(1-INDEX(PY_VAL,MATCH("P_USADOS",PY_ID,0),6))*M449+INDEX(PY_VAL,MATCH("P_USADOS",PY_ID,0),6)*N449+IF(P449&gt;0,O449/P449,0)+Q449)</f>
        <v>1</v>
      </c>
      <c r="X449" s="32" t="n">
        <f aca="false">J449*(INDEX(P_VAL,MATCH("CTRL_AÑO",P_ID,0))*L449+(1-INDEX(PY_VAL,MATCH("P_USADOS",PY_ID,0),7))*M449+INDEX(PY_VAL,MATCH("P_USADOS",PY_ID,0),7)*N449+IF(P449&gt;0,O449/P449,0)+Q449)</f>
        <v>1</v>
      </c>
      <c r="Y449" s="32" t="n">
        <f aca="false">J449*(INDEX(P_VAL,MATCH("CTRL_AÑO",P_ID,0))*L449+(1-INDEX(PY_VAL,MATCH("P_USADOS",PY_ID,0),8))*M449+INDEX(PY_VAL,MATCH("P_USADOS",PY_ID,0),8)*N449+IF(P449&gt;0,O449/P449,0)+Q449)</f>
        <v>1</v>
      </c>
      <c r="Z449" s="32" t="n">
        <f aca="false">J449*(INDEX(P_VAL,MATCH("CTRL_AÑO",P_ID,0))*L449+(1-INDEX(PY_VAL,MATCH("P_USADOS",PY_ID,0),9))*M449+INDEX(PY_VAL,MATCH("P_USADOS",PY_ID,0),9)*N449+IF(P449&gt;0,O449/P449,0)+Q449)</f>
        <v>1</v>
      </c>
      <c r="AA449" s="32" t="n">
        <f aca="false">J449*(INDEX(P_VAL,MATCH("CTRL_AÑO",P_ID,0))*L449+(1-INDEX(PY_VAL,MATCH("P_USADOS",PY_ID,0),10))*M449+INDEX(PY_VAL,MATCH("P_USADOS",PY_ID,0),10)*N449+IF(P449&gt;0,O449/P449,0)+Q449)</f>
        <v>1</v>
      </c>
      <c r="AB449" s="5" t="s">
        <v>1346</v>
      </c>
    </row>
    <row r="450" customFormat="false" ht="15" hidden="false" customHeight="false" outlineLevel="0" collapsed="false">
      <c r="A450" s="4" t="s">
        <v>296</v>
      </c>
      <c r="B450" s="4" t="s">
        <v>1375</v>
      </c>
      <c r="C450" s="4" t="s">
        <v>1437</v>
      </c>
      <c r="D450" s="5" t="s">
        <v>1377</v>
      </c>
      <c r="E450" s="32" t="n">
        <v>1</v>
      </c>
      <c r="F450" s="32" t="s">
        <v>82</v>
      </c>
      <c r="G450" s="33" t="s">
        <v>1344</v>
      </c>
      <c r="H450" s="32" t="s">
        <v>630</v>
      </c>
      <c r="I450" s="32" t="n">
        <v>1</v>
      </c>
      <c r="J450" s="32" t="n">
        <f aca="false">E450*I450</f>
        <v>1</v>
      </c>
      <c r="K450" s="32"/>
      <c r="L450" s="32" t="n">
        <v>0</v>
      </c>
      <c r="M450" s="32" t="n">
        <v>1</v>
      </c>
      <c r="N450" s="32" t="n">
        <v>1</v>
      </c>
      <c r="O450" s="32" t="n">
        <v>0</v>
      </c>
      <c r="P450" s="32" t="n">
        <v>5</v>
      </c>
      <c r="Q450" s="32" t="n">
        <v>0</v>
      </c>
      <c r="R450" s="32" t="n">
        <f aca="false">J450*(INDEX(P_VAL,MATCH("CTRL_AÑO",P_ID,0))*L450+(1-INDEX(PY_VAL,MATCH("P_USADOS",PY_ID,0),1))*M450+INDEX(PY_VAL,MATCH("P_USADOS",PY_ID,0),1)*N450+IF(P450&gt;0,O450/P450,0)+Q450)</f>
        <v>1</v>
      </c>
      <c r="S450" s="32" t="n">
        <f aca="false">J450*(INDEX(P_VAL,MATCH("CTRL_AÑO",P_ID,0))*L450+(1-INDEX(PY_VAL,MATCH("P_USADOS",PY_ID,0),2))*M450+INDEX(PY_VAL,MATCH("P_USADOS",PY_ID,0),2)*N450+IF(P450&gt;0,O450/P450,0)+Q450)</f>
        <v>1</v>
      </c>
      <c r="T450" s="32" t="n">
        <f aca="false">J450*(INDEX(P_VAL,MATCH("CTRL_AÑO",P_ID,0))*L450+(1-INDEX(PY_VAL,MATCH("P_USADOS",PY_ID,0),3))*M450+INDEX(PY_VAL,MATCH("P_USADOS",PY_ID,0),3)*N450+IF(P450&gt;0,O450/P450,0)+Q450)</f>
        <v>1</v>
      </c>
      <c r="U450" s="32" t="n">
        <f aca="false">J450*(INDEX(P_VAL,MATCH("CTRL_AÑO",P_ID,0))*L450+(1-INDEX(PY_VAL,MATCH("P_USADOS",PY_ID,0),4))*M450+INDEX(PY_VAL,MATCH("P_USADOS",PY_ID,0),4)*N450+IF(P450&gt;0,O450/P450,0)+Q450)</f>
        <v>1</v>
      </c>
      <c r="V450" s="32" t="n">
        <f aca="false">J450*(INDEX(P_VAL,MATCH("CTRL_AÑO",P_ID,0))*L450+(1-INDEX(PY_VAL,MATCH("P_USADOS",PY_ID,0),5))*M450+INDEX(PY_VAL,MATCH("P_USADOS",PY_ID,0),5)*N450+IF(P450&gt;0,O450/P450,0)+Q450)</f>
        <v>1</v>
      </c>
      <c r="W450" s="32" t="n">
        <f aca="false">J450*(INDEX(P_VAL,MATCH("CTRL_AÑO",P_ID,0))*L450+(1-INDEX(PY_VAL,MATCH("P_USADOS",PY_ID,0),6))*M450+INDEX(PY_VAL,MATCH("P_USADOS",PY_ID,0),6)*N450+IF(P450&gt;0,O450/P450,0)+Q450)</f>
        <v>1</v>
      </c>
      <c r="X450" s="32" t="n">
        <f aca="false">J450*(INDEX(P_VAL,MATCH("CTRL_AÑO",P_ID,0))*L450+(1-INDEX(PY_VAL,MATCH("P_USADOS",PY_ID,0),7))*M450+INDEX(PY_VAL,MATCH("P_USADOS",PY_ID,0),7)*N450+IF(P450&gt;0,O450/P450,0)+Q450)</f>
        <v>1</v>
      </c>
      <c r="Y450" s="32" t="n">
        <f aca="false">J450*(INDEX(P_VAL,MATCH("CTRL_AÑO",P_ID,0))*L450+(1-INDEX(PY_VAL,MATCH("P_USADOS",PY_ID,0),8))*M450+INDEX(PY_VAL,MATCH("P_USADOS",PY_ID,0),8)*N450+IF(P450&gt;0,O450/P450,0)+Q450)</f>
        <v>1</v>
      </c>
      <c r="Z450" s="32" t="n">
        <f aca="false">J450*(INDEX(P_VAL,MATCH("CTRL_AÑO",P_ID,0))*L450+(1-INDEX(PY_VAL,MATCH("P_USADOS",PY_ID,0),9))*M450+INDEX(PY_VAL,MATCH("P_USADOS",PY_ID,0),9)*N450+IF(P450&gt;0,O450/P450,0)+Q450)</f>
        <v>1</v>
      </c>
      <c r="AA450" s="32" t="n">
        <f aca="false">J450*(INDEX(P_VAL,MATCH("CTRL_AÑO",P_ID,0))*L450+(1-INDEX(PY_VAL,MATCH("P_USADOS",PY_ID,0),10))*M450+INDEX(PY_VAL,MATCH("P_USADOS",PY_ID,0),10)*N450+IF(P450&gt;0,O450/P450,0)+Q450)</f>
        <v>1</v>
      </c>
      <c r="AB450" s="5" t="s">
        <v>1346</v>
      </c>
    </row>
    <row r="451" customFormat="false" ht="15" hidden="false" customHeight="false" outlineLevel="0" collapsed="false">
      <c r="A451" s="4" t="s">
        <v>296</v>
      </c>
      <c r="B451" s="4" t="s">
        <v>1378</v>
      </c>
      <c r="C451" s="4" t="s">
        <v>1438</v>
      </c>
      <c r="D451" s="5" t="s">
        <v>1380</v>
      </c>
      <c r="E451" s="32" t="n">
        <v>1</v>
      </c>
      <c r="F451" s="32" t="s">
        <v>82</v>
      </c>
      <c r="G451" s="33" t="s">
        <v>1344</v>
      </c>
      <c r="H451" s="32" t="s">
        <v>1381</v>
      </c>
      <c r="I451" s="32" t="n">
        <v>1</v>
      </c>
      <c r="J451" s="32" t="n">
        <f aca="false">E451*I451</f>
        <v>1</v>
      </c>
      <c r="K451" s="32"/>
      <c r="L451" s="32" t="n">
        <v>0</v>
      </c>
      <c r="M451" s="32" t="n">
        <v>0</v>
      </c>
      <c r="N451" s="32" t="n">
        <v>0</v>
      </c>
      <c r="O451" s="32" t="n">
        <v>1</v>
      </c>
      <c r="P451" s="32" t="n">
        <v>5</v>
      </c>
      <c r="Q451" s="32" t="n">
        <v>0</v>
      </c>
      <c r="R451" s="32" t="n">
        <f aca="false">J451*(INDEX(P_VAL,MATCH("CTRL_AÑO",P_ID,0))*L451+(1-INDEX(PY_VAL,MATCH("P_USADOS",PY_ID,0),1))*M451+INDEX(PY_VAL,MATCH("P_USADOS",PY_ID,0),1)*N451+IF(P451&gt;0,O451/P451,0)+Q451)</f>
        <v>0.2</v>
      </c>
      <c r="S451" s="32" t="n">
        <f aca="false">J451*(INDEX(P_VAL,MATCH("CTRL_AÑO",P_ID,0))*L451+(1-INDEX(PY_VAL,MATCH("P_USADOS",PY_ID,0),2))*M451+INDEX(PY_VAL,MATCH("P_USADOS",PY_ID,0),2)*N451+IF(P451&gt;0,O451/P451,0)+Q451)</f>
        <v>0.2</v>
      </c>
      <c r="T451" s="32" t="n">
        <f aca="false">J451*(INDEX(P_VAL,MATCH("CTRL_AÑO",P_ID,0))*L451+(1-INDEX(PY_VAL,MATCH("P_USADOS",PY_ID,0),3))*M451+INDEX(PY_VAL,MATCH("P_USADOS",PY_ID,0),3)*N451+IF(P451&gt;0,O451/P451,0)+Q451)</f>
        <v>0.2</v>
      </c>
      <c r="U451" s="32" t="n">
        <f aca="false">J451*(INDEX(P_VAL,MATCH("CTRL_AÑO",P_ID,0))*L451+(1-INDEX(PY_VAL,MATCH("P_USADOS",PY_ID,0),4))*M451+INDEX(PY_VAL,MATCH("P_USADOS",PY_ID,0),4)*N451+IF(P451&gt;0,O451/P451,0)+Q451)</f>
        <v>0.2</v>
      </c>
      <c r="V451" s="32" t="n">
        <f aca="false">J451*(INDEX(P_VAL,MATCH("CTRL_AÑO",P_ID,0))*L451+(1-INDEX(PY_VAL,MATCH("P_USADOS",PY_ID,0),5))*M451+INDEX(PY_VAL,MATCH("P_USADOS",PY_ID,0),5)*N451+IF(P451&gt;0,O451/P451,0)+Q451)</f>
        <v>0.2</v>
      </c>
      <c r="W451" s="32" t="n">
        <f aca="false">J451*(INDEX(P_VAL,MATCH("CTRL_AÑO",P_ID,0))*L451+(1-INDEX(PY_VAL,MATCH("P_USADOS",PY_ID,0),6))*M451+INDEX(PY_VAL,MATCH("P_USADOS",PY_ID,0),6)*N451+IF(P451&gt;0,O451/P451,0)+Q451)</f>
        <v>0.2</v>
      </c>
      <c r="X451" s="32" t="n">
        <f aca="false">J451*(INDEX(P_VAL,MATCH("CTRL_AÑO",P_ID,0))*L451+(1-INDEX(PY_VAL,MATCH("P_USADOS",PY_ID,0),7))*M451+INDEX(PY_VAL,MATCH("P_USADOS",PY_ID,0),7)*N451+IF(P451&gt;0,O451/P451,0)+Q451)</f>
        <v>0.2</v>
      </c>
      <c r="Y451" s="32" t="n">
        <f aca="false">J451*(INDEX(P_VAL,MATCH("CTRL_AÑO",P_ID,0))*L451+(1-INDEX(PY_VAL,MATCH("P_USADOS",PY_ID,0),8))*M451+INDEX(PY_VAL,MATCH("P_USADOS",PY_ID,0),8)*N451+IF(P451&gt;0,O451/P451,0)+Q451)</f>
        <v>0.2</v>
      </c>
      <c r="Z451" s="32" t="n">
        <f aca="false">J451*(INDEX(P_VAL,MATCH("CTRL_AÑO",P_ID,0))*L451+(1-INDEX(PY_VAL,MATCH("P_USADOS",PY_ID,0),9))*M451+INDEX(PY_VAL,MATCH("P_USADOS",PY_ID,0),9)*N451+IF(P451&gt;0,O451/P451,0)+Q451)</f>
        <v>0.2</v>
      </c>
      <c r="AA451" s="32" t="n">
        <f aca="false">J451*(INDEX(P_VAL,MATCH("CTRL_AÑO",P_ID,0))*L451+(1-INDEX(PY_VAL,MATCH("P_USADOS",PY_ID,0),10))*M451+INDEX(PY_VAL,MATCH("P_USADOS",PY_ID,0),10)*N451+IF(P451&gt;0,O451/P451,0)+Q451)</f>
        <v>0.2</v>
      </c>
      <c r="AB451" s="5" t="s">
        <v>1346</v>
      </c>
    </row>
    <row r="452" customFormat="false" ht="15" hidden="false" customHeight="false" outlineLevel="0" collapsed="false">
      <c r="A452" s="4" t="s">
        <v>296</v>
      </c>
      <c r="B452" s="4" t="s">
        <v>1382</v>
      </c>
      <c r="C452" s="4" t="s">
        <v>1439</v>
      </c>
      <c r="D452" s="5" t="s">
        <v>1440</v>
      </c>
      <c r="E452" s="32" t="n">
        <v>1</v>
      </c>
      <c r="F452" s="32" t="s">
        <v>73</v>
      </c>
      <c r="G452" s="33" t="s">
        <v>1385</v>
      </c>
      <c r="H452" s="32"/>
      <c r="I452" s="32"/>
      <c r="J452" s="32"/>
      <c r="K452" s="32"/>
      <c r="L452" s="32" t="n">
        <v>0</v>
      </c>
      <c r="M452" s="32" t="n">
        <v>0</v>
      </c>
      <c r="N452" s="32" t="n">
        <v>0</v>
      </c>
      <c r="O452" s="32" t="n">
        <v>0</v>
      </c>
      <c r="P452" s="32" t="n">
        <v>0</v>
      </c>
      <c r="Q452" s="32" t="n">
        <v>0</v>
      </c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5" t="s">
        <v>1386</v>
      </c>
    </row>
    <row r="453" customFormat="false" ht="15" hidden="false" customHeight="false" outlineLevel="0" collapsed="false">
      <c r="A453" s="4" t="s">
        <v>296</v>
      </c>
      <c r="B453" s="4"/>
      <c r="C453" s="4"/>
      <c r="D453" s="5" t="s">
        <v>1387</v>
      </c>
      <c r="E453" s="32" t="n">
        <v>1</v>
      </c>
      <c r="F453" s="32" t="s">
        <v>82</v>
      </c>
      <c r="G453" s="33" t="s">
        <v>477</v>
      </c>
      <c r="H453" s="32" t="s">
        <v>899</v>
      </c>
      <c r="I453" s="32" t="n">
        <v>1</v>
      </c>
      <c r="J453" s="32" t="n">
        <f aca="false">E453*I453</f>
        <v>1</v>
      </c>
      <c r="K453" s="32"/>
      <c r="L453" s="32" t="n">
        <v>0</v>
      </c>
      <c r="M453" s="32" t="n">
        <v>0</v>
      </c>
      <c r="N453" s="32" t="n">
        <v>0</v>
      </c>
      <c r="O453" s="32" t="n">
        <v>0</v>
      </c>
      <c r="P453" s="32" t="n">
        <v>0</v>
      </c>
      <c r="Q453" s="32" t="n">
        <f aca="false">INDEX(P_VAL,MATCH("REPO_VALV",P_ID,0))</f>
        <v>0.03</v>
      </c>
      <c r="R453" s="32" t="n">
        <f aca="false">J453*(INDEX(P_VAL,MATCH("CTRL_AÑO",P_ID,0))*L453+(1-INDEX(PY_VAL,MATCH("P_USADOS",PY_ID,0),1))*M453+INDEX(PY_VAL,MATCH("P_USADOS",PY_ID,0),1)*N453+IF(P453&gt;0,O453/P453,0)+Q453)</f>
        <v>0.03</v>
      </c>
      <c r="S453" s="32" t="n">
        <f aca="false">J453*(INDEX(P_VAL,MATCH("CTRL_AÑO",P_ID,0))*L453+(1-INDEX(PY_VAL,MATCH("P_USADOS",PY_ID,0),2))*M453+INDEX(PY_VAL,MATCH("P_USADOS",PY_ID,0),2)*N453+IF(P453&gt;0,O453/P453,0)+Q453)</f>
        <v>0.03</v>
      </c>
      <c r="T453" s="32" t="n">
        <f aca="false">J453*(INDEX(P_VAL,MATCH("CTRL_AÑO",P_ID,0))*L453+(1-INDEX(PY_VAL,MATCH("P_USADOS",PY_ID,0),3))*M453+INDEX(PY_VAL,MATCH("P_USADOS",PY_ID,0),3)*N453+IF(P453&gt;0,O453/P453,0)+Q453)</f>
        <v>0.03</v>
      </c>
      <c r="U453" s="32" t="n">
        <f aca="false">J453*(INDEX(P_VAL,MATCH("CTRL_AÑO",P_ID,0))*L453+(1-INDEX(PY_VAL,MATCH("P_USADOS",PY_ID,0),4))*M453+INDEX(PY_VAL,MATCH("P_USADOS",PY_ID,0),4)*N453+IF(P453&gt;0,O453/P453,0)+Q453)</f>
        <v>0.03</v>
      </c>
      <c r="V453" s="32" t="n">
        <f aca="false">J453*(INDEX(P_VAL,MATCH("CTRL_AÑO",P_ID,0))*L453+(1-INDEX(PY_VAL,MATCH("P_USADOS",PY_ID,0),5))*M453+INDEX(PY_VAL,MATCH("P_USADOS",PY_ID,0),5)*N453+IF(P453&gt;0,O453/P453,0)+Q453)</f>
        <v>0.03</v>
      </c>
      <c r="W453" s="32" t="n">
        <f aca="false">J453*(INDEX(P_VAL,MATCH("CTRL_AÑO",P_ID,0))*L453+(1-INDEX(PY_VAL,MATCH("P_USADOS",PY_ID,0),6))*M453+INDEX(PY_VAL,MATCH("P_USADOS",PY_ID,0),6)*N453+IF(P453&gt;0,O453/P453,0)+Q453)</f>
        <v>0.03</v>
      </c>
      <c r="X453" s="32" t="n">
        <f aca="false">J453*(INDEX(P_VAL,MATCH("CTRL_AÑO",P_ID,0))*L453+(1-INDEX(PY_VAL,MATCH("P_USADOS",PY_ID,0),7))*M453+INDEX(PY_VAL,MATCH("P_USADOS",PY_ID,0),7)*N453+IF(P453&gt;0,O453/P453,0)+Q453)</f>
        <v>0.03</v>
      </c>
      <c r="Y453" s="32" t="n">
        <f aca="false">J453*(INDEX(P_VAL,MATCH("CTRL_AÑO",P_ID,0))*L453+(1-INDEX(PY_VAL,MATCH("P_USADOS",PY_ID,0),8))*M453+INDEX(PY_VAL,MATCH("P_USADOS",PY_ID,0),8)*N453+IF(P453&gt;0,O453/P453,0)+Q453)</f>
        <v>0.03</v>
      </c>
      <c r="Z453" s="32" t="n">
        <f aca="false">J453*(INDEX(P_VAL,MATCH("CTRL_AÑO",P_ID,0))*L453+(1-INDEX(PY_VAL,MATCH("P_USADOS",PY_ID,0),9))*M453+INDEX(PY_VAL,MATCH("P_USADOS",PY_ID,0),9)*N453+IF(P453&gt;0,O453/P453,0)+Q453)</f>
        <v>0.03</v>
      </c>
      <c r="AA453" s="32" t="n">
        <f aca="false">J453*(INDEX(P_VAL,MATCH("CTRL_AÑO",P_ID,0))*L453+(1-INDEX(PY_VAL,MATCH("P_USADOS",PY_ID,0),10))*M453+INDEX(PY_VAL,MATCH("P_USADOS",PY_ID,0),10)*N453+IF(P453&gt;0,O453/P453,0)+Q453)</f>
        <v>0.03</v>
      </c>
      <c r="AB453" s="5" t="s">
        <v>1388</v>
      </c>
    </row>
    <row r="454" customFormat="false" ht="15" hidden="false" customHeight="false" outlineLevel="0" collapsed="false">
      <c r="A454" s="4" t="s">
        <v>296</v>
      </c>
      <c r="B454" s="4"/>
      <c r="C454" s="4"/>
      <c r="D454" s="5" t="s">
        <v>1389</v>
      </c>
      <c r="E454" s="32" t="n">
        <v>1</v>
      </c>
      <c r="F454" s="32" t="s">
        <v>82</v>
      </c>
      <c r="G454" s="33" t="s">
        <v>477</v>
      </c>
      <c r="H454" s="32" t="s">
        <v>510</v>
      </c>
      <c r="I454" s="32" t="n">
        <v>1</v>
      </c>
      <c r="J454" s="32" t="n">
        <f aca="false">E454*I454</f>
        <v>1</v>
      </c>
      <c r="K454" s="32"/>
      <c r="L454" s="32" t="n">
        <v>0</v>
      </c>
      <c r="M454" s="32" t="n">
        <v>0</v>
      </c>
      <c r="N454" s="32" t="n">
        <v>0</v>
      </c>
      <c r="O454" s="32" t="n">
        <v>0</v>
      </c>
      <c r="P454" s="32" t="n">
        <v>0</v>
      </c>
      <c r="Q454" s="32" t="n">
        <f aca="false">INDEX(P_VAL,MATCH("REPO_MANO",P_ID,0))</f>
        <v>0.08</v>
      </c>
      <c r="R454" s="32" t="n">
        <f aca="false">J454*(INDEX(P_VAL,MATCH("CTRL_AÑO",P_ID,0))*L454+(1-INDEX(PY_VAL,MATCH("P_USADOS",PY_ID,0),1))*M454+INDEX(PY_VAL,MATCH("P_USADOS",PY_ID,0),1)*N454+IF(P454&gt;0,O454/P454,0)+Q454)</f>
        <v>0.08</v>
      </c>
      <c r="S454" s="32" t="n">
        <f aca="false">J454*(INDEX(P_VAL,MATCH("CTRL_AÑO",P_ID,0))*L454+(1-INDEX(PY_VAL,MATCH("P_USADOS",PY_ID,0),2))*M454+INDEX(PY_VAL,MATCH("P_USADOS",PY_ID,0),2)*N454+IF(P454&gt;0,O454/P454,0)+Q454)</f>
        <v>0.08</v>
      </c>
      <c r="T454" s="32" t="n">
        <f aca="false">J454*(INDEX(P_VAL,MATCH("CTRL_AÑO",P_ID,0))*L454+(1-INDEX(PY_VAL,MATCH("P_USADOS",PY_ID,0),3))*M454+INDEX(PY_VAL,MATCH("P_USADOS",PY_ID,0),3)*N454+IF(P454&gt;0,O454/P454,0)+Q454)</f>
        <v>0.08</v>
      </c>
      <c r="U454" s="32" t="n">
        <f aca="false">J454*(INDEX(P_VAL,MATCH("CTRL_AÑO",P_ID,0))*L454+(1-INDEX(PY_VAL,MATCH("P_USADOS",PY_ID,0),4))*M454+INDEX(PY_VAL,MATCH("P_USADOS",PY_ID,0),4)*N454+IF(P454&gt;0,O454/P454,0)+Q454)</f>
        <v>0.08</v>
      </c>
      <c r="V454" s="32" t="n">
        <f aca="false">J454*(INDEX(P_VAL,MATCH("CTRL_AÑO",P_ID,0))*L454+(1-INDEX(PY_VAL,MATCH("P_USADOS",PY_ID,0),5))*M454+INDEX(PY_VAL,MATCH("P_USADOS",PY_ID,0),5)*N454+IF(P454&gt;0,O454/P454,0)+Q454)</f>
        <v>0.08</v>
      </c>
      <c r="W454" s="32" t="n">
        <f aca="false">J454*(INDEX(P_VAL,MATCH("CTRL_AÑO",P_ID,0))*L454+(1-INDEX(PY_VAL,MATCH("P_USADOS",PY_ID,0),6))*M454+INDEX(PY_VAL,MATCH("P_USADOS",PY_ID,0),6)*N454+IF(P454&gt;0,O454/P454,0)+Q454)</f>
        <v>0.08</v>
      </c>
      <c r="X454" s="32" t="n">
        <f aca="false">J454*(INDEX(P_VAL,MATCH("CTRL_AÑO",P_ID,0))*L454+(1-INDEX(PY_VAL,MATCH("P_USADOS",PY_ID,0),7))*M454+INDEX(PY_VAL,MATCH("P_USADOS",PY_ID,0),7)*N454+IF(P454&gt;0,O454/P454,0)+Q454)</f>
        <v>0.08</v>
      </c>
      <c r="Y454" s="32" t="n">
        <f aca="false">J454*(INDEX(P_VAL,MATCH("CTRL_AÑO",P_ID,0))*L454+(1-INDEX(PY_VAL,MATCH("P_USADOS",PY_ID,0),8))*M454+INDEX(PY_VAL,MATCH("P_USADOS",PY_ID,0),8)*N454+IF(P454&gt;0,O454/P454,0)+Q454)</f>
        <v>0.08</v>
      </c>
      <c r="Z454" s="32" t="n">
        <f aca="false">J454*(INDEX(P_VAL,MATCH("CTRL_AÑO",P_ID,0))*L454+(1-INDEX(PY_VAL,MATCH("P_USADOS",PY_ID,0),9))*M454+INDEX(PY_VAL,MATCH("P_USADOS",PY_ID,0),9)*N454+IF(P454&gt;0,O454/P454,0)+Q454)</f>
        <v>0.08</v>
      </c>
      <c r="AA454" s="32" t="n">
        <f aca="false">J454*(INDEX(P_VAL,MATCH("CTRL_AÑO",P_ID,0))*L454+(1-INDEX(PY_VAL,MATCH("P_USADOS",PY_ID,0),10))*M454+INDEX(PY_VAL,MATCH("P_USADOS",PY_ID,0),10)*N454+IF(P454&gt;0,O454/P454,0)+Q454)</f>
        <v>0.08</v>
      </c>
      <c r="AB454" s="5" t="s">
        <v>1388</v>
      </c>
    </row>
    <row r="455" customFormat="false" ht="15" hidden="false" customHeight="false" outlineLevel="0" collapsed="false">
      <c r="A455" s="4" t="s">
        <v>296</v>
      </c>
      <c r="B455" s="4"/>
      <c r="C455" s="4"/>
      <c r="D455" s="5" t="s">
        <v>1402</v>
      </c>
      <c r="E455" s="32" t="n">
        <v>1</v>
      </c>
      <c r="F455" s="32" t="s">
        <v>82</v>
      </c>
      <c r="G455" s="33" t="s">
        <v>477</v>
      </c>
      <c r="H455" s="32" t="s">
        <v>926</v>
      </c>
      <c r="I455" s="32" t="n">
        <v>1</v>
      </c>
      <c r="J455" s="32" t="n">
        <f aca="false">E455*I455</f>
        <v>1</v>
      </c>
      <c r="K455" s="32"/>
      <c r="L455" s="32" t="n">
        <v>0</v>
      </c>
      <c r="M455" s="32" t="n">
        <v>0</v>
      </c>
      <c r="N455" s="32" t="n">
        <v>0</v>
      </c>
      <c r="O455" s="32" t="n">
        <v>0</v>
      </c>
      <c r="P455" s="32" t="n">
        <v>0</v>
      </c>
      <c r="Q455" s="32" t="n">
        <f aca="false">INDEX(P_VAL,MATCH("REPO_MANG",P_ID,0))</f>
        <v>0.05</v>
      </c>
      <c r="R455" s="32" t="n">
        <f aca="false">J455*(INDEX(P_VAL,MATCH("CTRL_AÑO",P_ID,0))*L455+(1-INDEX(PY_VAL,MATCH("P_USADOS",PY_ID,0),1))*M455+INDEX(PY_VAL,MATCH("P_USADOS",PY_ID,0),1)*N455+IF(P455&gt;0,O455/P455,0)+Q455)</f>
        <v>0.05</v>
      </c>
      <c r="S455" s="32" t="n">
        <f aca="false">J455*(INDEX(P_VAL,MATCH("CTRL_AÑO",P_ID,0))*L455+(1-INDEX(PY_VAL,MATCH("P_USADOS",PY_ID,0),2))*M455+INDEX(PY_VAL,MATCH("P_USADOS",PY_ID,0),2)*N455+IF(P455&gt;0,O455/P455,0)+Q455)</f>
        <v>0.05</v>
      </c>
      <c r="T455" s="32" t="n">
        <f aca="false">J455*(INDEX(P_VAL,MATCH("CTRL_AÑO",P_ID,0))*L455+(1-INDEX(PY_VAL,MATCH("P_USADOS",PY_ID,0),3))*M455+INDEX(PY_VAL,MATCH("P_USADOS",PY_ID,0),3)*N455+IF(P455&gt;0,O455/P455,0)+Q455)</f>
        <v>0.05</v>
      </c>
      <c r="U455" s="32" t="n">
        <f aca="false">J455*(INDEX(P_VAL,MATCH("CTRL_AÑO",P_ID,0))*L455+(1-INDEX(PY_VAL,MATCH("P_USADOS",PY_ID,0),4))*M455+INDEX(PY_VAL,MATCH("P_USADOS",PY_ID,0),4)*N455+IF(P455&gt;0,O455/P455,0)+Q455)</f>
        <v>0.05</v>
      </c>
      <c r="V455" s="32" t="n">
        <f aca="false">J455*(INDEX(P_VAL,MATCH("CTRL_AÑO",P_ID,0))*L455+(1-INDEX(PY_VAL,MATCH("P_USADOS",PY_ID,0),5))*M455+INDEX(PY_VAL,MATCH("P_USADOS",PY_ID,0),5)*N455+IF(P455&gt;0,O455/P455,0)+Q455)</f>
        <v>0.05</v>
      </c>
      <c r="W455" s="32" t="n">
        <f aca="false">J455*(INDEX(P_VAL,MATCH("CTRL_AÑO",P_ID,0))*L455+(1-INDEX(PY_VAL,MATCH("P_USADOS",PY_ID,0),6))*M455+INDEX(PY_VAL,MATCH("P_USADOS",PY_ID,0),6)*N455+IF(P455&gt;0,O455/P455,0)+Q455)</f>
        <v>0.05</v>
      </c>
      <c r="X455" s="32" t="n">
        <f aca="false">J455*(INDEX(P_VAL,MATCH("CTRL_AÑO",P_ID,0))*L455+(1-INDEX(PY_VAL,MATCH("P_USADOS",PY_ID,0),7))*M455+INDEX(PY_VAL,MATCH("P_USADOS",PY_ID,0),7)*N455+IF(P455&gt;0,O455/P455,0)+Q455)</f>
        <v>0.05</v>
      </c>
      <c r="Y455" s="32" t="n">
        <f aca="false">J455*(INDEX(P_VAL,MATCH("CTRL_AÑO",P_ID,0))*L455+(1-INDEX(PY_VAL,MATCH("P_USADOS",PY_ID,0),8))*M455+INDEX(PY_VAL,MATCH("P_USADOS",PY_ID,0),8)*N455+IF(P455&gt;0,O455/P455,0)+Q455)</f>
        <v>0.05</v>
      </c>
      <c r="Z455" s="32" t="n">
        <f aca="false">J455*(INDEX(P_VAL,MATCH("CTRL_AÑO",P_ID,0))*L455+(1-INDEX(PY_VAL,MATCH("P_USADOS",PY_ID,0),9))*M455+INDEX(PY_VAL,MATCH("P_USADOS",PY_ID,0),9)*N455+IF(P455&gt;0,O455/P455,0)+Q455)</f>
        <v>0.05</v>
      </c>
      <c r="AA455" s="32" t="n">
        <f aca="false">J455*(INDEX(P_VAL,MATCH("CTRL_AÑO",P_ID,0))*L455+(1-INDEX(PY_VAL,MATCH("P_USADOS",PY_ID,0),10))*M455+INDEX(PY_VAL,MATCH("P_USADOS",PY_ID,0),10)*N455+IF(P455&gt;0,O455/P455,0)+Q455)</f>
        <v>0.05</v>
      </c>
      <c r="AB455" s="5" t="s">
        <v>1388</v>
      </c>
    </row>
    <row r="456" customFormat="false" ht="15" hidden="false" customHeight="false" outlineLevel="0" collapsed="false">
      <c r="A456" s="4" t="s">
        <v>300</v>
      </c>
      <c r="B456" s="4" t="s">
        <v>1341</v>
      </c>
      <c r="C456" s="4" t="s">
        <v>1441</v>
      </c>
      <c r="D456" s="5" t="s">
        <v>1343</v>
      </c>
      <c r="E456" s="32" t="n">
        <v>1</v>
      </c>
      <c r="F456" s="32" t="s">
        <v>82</v>
      </c>
      <c r="G456" s="33" t="s">
        <v>1344</v>
      </c>
      <c r="H456" s="32" t="s">
        <v>1345</v>
      </c>
      <c r="I456" s="32" t="n">
        <v>1</v>
      </c>
      <c r="J456" s="32" t="n">
        <f aca="false">E456*I456</f>
        <v>1</v>
      </c>
      <c r="K456" s="32"/>
      <c r="L456" s="32" t="n">
        <v>1</v>
      </c>
      <c r="M456" s="32" t="n">
        <v>0</v>
      </c>
      <c r="N456" s="32" t="n">
        <v>0</v>
      </c>
      <c r="O456" s="32" t="n">
        <v>0</v>
      </c>
      <c r="P456" s="32" t="n">
        <v>5</v>
      </c>
      <c r="Q456" s="32" t="n">
        <v>0</v>
      </c>
      <c r="R456" s="32" t="n">
        <f aca="false">J456*(INDEX(P_VAL,MATCH("CTRL_AÑO",P_ID,0))*L456+(1-INDEX(PY_VAL,MATCH("P_USADOS",PY_ID,0),1))*M456+INDEX(PY_VAL,MATCH("P_USADOS",PY_ID,0),1)*N456+IF(P456&gt;0,O456/P456,0)+Q456)</f>
        <v>4</v>
      </c>
      <c r="S456" s="32" t="n">
        <f aca="false">J456*(INDEX(P_VAL,MATCH("CTRL_AÑO",P_ID,0))*L456+(1-INDEX(PY_VAL,MATCH("P_USADOS",PY_ID,0),2))*M456+INDEX(PY_VAL,MATCH("P_USADOS",PY_ID,0),2)*N456+IF(P456&gt;0,O456/P456,0)+Q456)</f>
        <v>4</v>
      </c>
      <c r="T456" s="32" t="n">
        <f aca="false">J456*(INDEX(P_VAL,MATCH("CTRL_AÑO",P_ID,0))*L456+(1-INDEX(PY_VAL,MATCH("P_USADOS",PY_ID,0),3))*M456+INDEX(PY_VAL,MATCH("P_USADOS",PY_ID,0),3)*N456+IF(P456&gt;0,O456/P456,0)+Q456)</f>
        <v>4</v>
      </c>
      <c r="U456" s="32" t="n">
        <f aca="false">J456*(INDEX(P_VAL,MATCH("CTRL_AÑO",P_ID,0))*L456+(1-INDEX(PY_VAL,MATCH("P_USADOS",PY_ID,0),4))*M456+INDEX(PY_VAL,MATCH("P_USADOS",PY_ID,0),4)*N456+IF(P456&gt;0,O456/P456,0)+Q456)</f>
        <v>4</v>
      </c>
      <c r="V456" s="32" t="n">
        <f aca="false">J456*(INDEX(P_VAL,MATCH("CTRL_AÑO",P_ID,0))*L456+(1-INDEX(PY_VAL,MATCH("P_USADOS",PY_ID,0),5))*M456+INDEX(PY_VAL,MATCH("P_USADOS",PY_ID,0),5)*N456+IF(P456&gt;0,O456/P456,0)+Q456)</f>
        <v>4</v>
      </c>
      <c r="W456" s="32" t="n">
        <f aca="false">J456*(INDEX(P_VAL,MATCH("CTRL_AÑO",P_ID,0))*L456+(1-INDEX(PY_VAL,MATCH("P_USADOS",PY_ID,0),6))*M456+INDEX(PY_VAL,MATCH("P_USADOS",PY_ID,0),6)*N456+IF(P456&gt;0,O456/P456,0)+Q456)</f>
        <v>4</v>
      </c>
      <c r="X456" s="32" t="n">
        <f aca="false">J456*(INDEX(P_VAL,MATCH("CTRL_AÑO",P_ID,0))*L456+(1-INDEX(PY_VAL,MATCH("P_USADOS",PY_ID,0),7))*M456+INDEX(PY_VAL,MATCH("P_USADOS",PY_ID,0),7)*N456+IF(P456&gt;0,O456/P456,0)+Q456)</f>
        <v>4</v>
      </c>
      <c r="Y456" s="32" t="n">
        <f aca="false">J456*(INDEX(P_VAL,MATCH("CTRL_AÑO",P_ID,0))*L456+(1-INDEX(PY_VAL,MATCH("P_USADOS",PY_ID,0),8))*M456+INDEX(PY_VAL,MATCH("P_USADOS",PY_ID,0),8)*N456+IF(P456&gt;0,O456/P456,0)+Q456)</f>
        <v>4</v>
      </c>
      <c r="Z456" s="32" t="n">
        <f aca="false">J456*(INDEX(P_VAL,MATCH("CTRL_AÑO",P_ID,0))*L456+(1-INDEX(PY_VAL,MATCH("P_USADOS",PY_ID,0),9))*M456+INDEX(PY_VAL,MATCH("P_USADOS",PY_ID,0),9)*N456+IF(P456&gt;0,O456/P456,0)+Q456)</f>
        <v>4</v>
      </c>
      <c r="AA456" s="32" t="n">
        <f aca="false">J456*(INDEX(P_VAL,MATCH("CTRL_AÑO",P_ID,0))*L456+(1-INDEX(PY_VAL,MATCH("P_USADOS",PY_ID,0),10))*M456+INDEX(PY_VAL,MATCH("P_USADOS",PY_ID,0),10)*N456+IF(P456&gt;0,O456/P456,0)+Q456)</f>
        <v>4</v>
      </c>
      <c r="AB456" s="5" t="s">
        <v>1346</v>
      </c>
    </row>
    <row r="457" customFormat="false" ht="15" hidden="false" customHeight="false" outlineLevel="0" collapsed="false">
      <c r="A457" s="4" t="s">
        <v>300</v>
      </c>
      <c r="B457" s="4" t="s">
        <v>1347</v>
      </c>
      <c r="C457" s="4" t="s">
        <v>1442</v>
      </c>
      <c r="D457" s="5" t="s">
        <v>1429</v>
      </c>
      <c r="E457" s="32" t="n">
        <v>1</v>
      </c>
      <c r="F457" s="32" t="s">
        <v>73</v>
      </c>
      <c r="G457" s="33" t="s">
        <v>1344</v>
      </c>
      <c r="H457" s="32" t="s">
        <v>988</v>
      </c>
      <c r="I457" s="32" t="n">
        <v>1</v>
      </c>
      <c r="J457" s="32" t="n">
        <f aca="false">E457*I457</f>
        <v>1</v>
      </c>
      <c r="K457" s="32"/>
      <c r="L457" s="32" t="n">
        <v>0</v>
      </c>
      <c r="M457" s="32" t="n">
        <v>1.5</v>
      </c>
      <c r="N457" s="32" t="n">
        <v>50</v>
      </c>
      <c r="O457" s="32" t="n">
        <v>0</v>
      </c>
      <c r="P457" s="32" t="n">
        <v>5</v>
      </c>
      <c r="Q457" s="32" t="n">
        <v>0</v>
      </c>
      <c r="R457" s="32" t="n">
        <f aca="false">J457*(INDEX(P_VAL,MATCH("CTRL_AÑO",P_ID,0))*L457+(1-INDEX(PY_VAL,MATCH("P_USADOS",PY_ID,0),1))*M457+INDEX(PY_VAL,MATCH("P_USADOS",PY_ID,0),1)*N457+IF(P457&gt;0,O457/P457,0)+Q457)</f>
        <v>3.81054</v>
      </c>
      <c r="S457" s="32" t="n">
        <f aca="false">J457*(INDEX(P_VAL,MATCH("CTRL_AÑO",P_ID,0))*L457+(1-INDEX(PY_VAL,MATCH("P_USADOS",PY_ID,0),2))*M457+INDEX(PY_VAL,MATCH("P_USADOS",PY_ID,0),2)*N457+IF(P457&gt;0,O457/P457,0)+Q457)</f>
        <v>3.810346</v>
      </c>
      <c r="T457" s="32" t="n">
        <f aca="false">J457*(INDEX(P_VAL,MATCH("CTRL_AÑO",P_ID,0))*L457+(1-INDEX(PY_VAL,MATCH("P_USADOS",PY_ID,0),3))*M457+INDEX(PY_VAL,MATCH("P_USADOS",PY_ID,0),3)*N457+IF(P457&gt;0,O457/P457,0)+Q457)</f>
        <v>3.8103945</v>
      </c>
      <c r="U457" s="32" t="n">
        <f aca="false">J457*(INDEX(P_VAL,MATCH("CTRL_AÑO",P_ID,0))*L457+(1-INDEX(PY_VAL,MATCH("P_USADOS",PY_ID,0),4))*M457+INDEX(PY_VAL,MATCH("P_USADOS",PY_ID,0),4)*N457+IF(P457&gt;0,O457/P457,0)+Q457)</f>
        <v>3.8104915</v>
      </c>
      <c r="V457" s="32" t="n">
        <f aca="false">J457*(INDEX(P_VAL,MATCH("CTRL_AÑO",P_ID,0))*L457+(1-INDEX(PY_VAL,MATCH("P_USADOS",PY_ID,0),5))*M457+INDEX(PY_VAL,MATCH("P_USADOS",PY_ID,0),5)*N457+IF(P457&gt;0,O457/P457,0)+Q457)</f>
        <v>3.810346</v>
      </c>
      <c r="W457" s="32" t="n">
        <f aca="false">J457*(INDEX(P_VAL,MATCH("CTRL_AÑO",P_ID,0))*L457+(1-INDEX(PY_VAL,MATCH("P_USADOS",PY_ID,0),6))*M457+INDEX(PY_VAL,MATCH("P_USADOS",PY_ID,0),6)*N457+IF(P457&gt;0,O457/P457,0)+Q457)</f>
        <v>3.8103945</v>
      </c>
      <c r="X457" s="32" t="n">
        <f aca="false">J457*(INDEX(P_VAL,MATCH("CTRL_AÑO",P_ID,0))*L457+(1-INDEX(PY_VAL,MATCH("P_USADOS",PY_ID,0),7))*M457+INDEX(PY_VAL,MATCH("P_USADOS",PY_ID,0),7)*N457+IF(P457&gt;0,O457/P457,0)+Q457)</f>
        <v>3.810346</v>
      </c>
      <c r="Y457" s="32" t="n">
        <f aca="false">J457*(INDEX(P_VAL,MATCH("CTRL_AÑO",P_ID,0))*L457+(1-INDEX(PY_VAL,MATCH("P_USADOS",PY_ID,0),8))*M457+INDEX(PY_VAL,MATCH("P_USADOS",PY_ID,0),8)*N457+IF(P457&gt;0,O457/P457,0)+Q457)</f>
        <v>3.810443</v>
      </c>
      <c r="Z457" s="32" t="n">
        <f aca="false">J457*(INDEX(P_VAL,MATCH("CTRL_AÑO",P_ID,0))*L457+(1-INDEX(PY_VAL,MATCH("P_USADOS",PY_ID,0),9))*M457+INDEX(PY_VAL,MATCH("P_USADOS",PY_ID,0),9)*N457+IF(P457&gt;0,O457/P457,0)+Q457)</f>
        <v>3.810346</v>
      </c>
      <c r="AA457" s="32" t="n">
        <f aca="false">J457*(INDEX(P_VAL,MATCH("CTRL_AÑO",P_ID,0))*L457+(1-INDEX(PY_VAL,MATCH("P_USADOS",PY_ID,0),10))*M457+INDEX(PY_VAL,MATCH("P_USADOS",PY_ID,0),10)*N457+IF(P457&gt;0,O457/P457,0)+Q457)</f>
        <v>3.8102005</v>
      </c>
      <c r="AB457" s="5" t="s">
        <v>1346</v>
      </c>
    </row>
    <row r="458" customFormat="false" ht="15" hidden="false" customHeight="false" outlineLevel="0" collapsed="false">
      <c r="A458" s="4" t="s">
        <v>300</v>
      </c>
      <c r="B458" s="4" t="s">
        <v>1350</v>
      </c>
      <c r="C458" s="4" t="s">
        <v>1443</v>
      </c>
      <c r="D458" s="5" t="s">
        <v>571</v>
      </c>
      <c r="E458" s="32" t="n">
        <v>1</v>
      </c>
      <c r="F458" s="32" t="s">
        <v>73</v>
      </c>
      <c r="G458" s="33" t="s">
        <v>1344</v>
      </c>
      <c r="H458" s="32" t="s">
        <v>573</v>
      </c>
      <c r="I458" s="32" t="n">
        <f aca="false">(1+INDEX(P_VAL,MATCH("N2_PERD",P_ID,0)))/INDEX(P_VAL,MATCH("RHO_N2",P_ID,0))</f>
        <v>1.0406660262568</v>
      </c>
      <c r="J458" s="32" t="n">
        <f aca="false">E458*I458</f>
        <v>1.0406660262568</v>
      </c>
      <c r="K458" s="32"/>
      <c r="L458" s="32" t="n">
        <v>0</v>
      </c>
      <c r="M458" s="32" t="n">
        <v>0.281922560674133</v>
      </c>
      <c r="N458" s="32" t="n">
        <v>0.281922560674133</v>
      </c>
      <c r="O458" s="32" t="n">
        <v>0</v>
      </c>
      <c r="P458" s="32" t="n">
        <v>5</v>
      </c>
      <c r="Q458" s="32" t="n">
        <v>0</v>
      </c>
      <c r="R458" s="32" t="n">
        <f aca="false">J458*(INDEX(P_VAL,MATCH("CTRL_AÑO",P_ID,0))*L458+(1-INDEX(PY_VAL,MATCH("P_USADOS",PY_ID,0),1))*M458+INDEX(PY_VAL,MATCH("P_USADOS",PY_ID,0),1)*N458+IF(P458&gt;0,O458/P458,0)+Q458)</f>
        <v>0.293387230928893</v>
      </c>
      <c r="S458" s="32" t="n">
        <f aca="false">J458*(INDEX(P_VAL,MATCH("CTRL_AÑO",P_ID,0))*L458+(1-INDEX(PY_VAL,MATCH("P_USADOS",PY_ID,0),2))*M458+INDEX(PY_VAL,MATCH("P_USADOS",PY_ID,0),2)*N458+IF(P458&gt;0,O458/P458,0)+Q458)</f>
        <v>0.293387230928893</v>
      </c>
      <c r="T458" s="32" t="n">
        <f aca="false">J458*(INDEX(P_VAL,MATCH("CTRL_AÑO",P_ID,0))*L458+(1-INDEX(PY_VAL,MATCH("P_USADOS",PY_ID,0),3))*M458+INDEX(PY_VAL,MATCH("P_USADOS",PY_ID,0),3)*N458+IF(P458&gt;0,O458/P458,0)+Q458)</f>
        <v>0.293387230928893</v>
      </c>
      <c r="U458" s="32" t="n">
        <f aca="false">J458*(INDEX(P_VAL,MATCH("CTRL_AÑO",P_ID,0))*L458+(1-INDEX(PY_VAL,MATCH("P_USADOS",PY_ID,0),4))*M458+INDEX(PY_VAL,MATCH("P_USADOS",PY_ID,0),4)*N458+IF(P458&gt;0,O458/P458,0)+Q458)</f>
        <v>0.293387230928893</v>
      </c>
      <c r="V458" s="32" t="n">
        <f aca="false">J458*(INDEX(P_VAL,MATCH("CTRL_AÑO",P_ID,0))*L458+(1-INDEX(PY_VAL,MATCH("P_USADOS",PY_ID,0),5))*M458+INDEX(PY_VAL,MATCH("P_USADOS",PY_ID,0),5)*N458+IF(P458&gt;0,O458/P458,0)+Q458)</f>
        <v>0.293387230928893</v>
      </c>
      <c r="W458" s="32" t="n">
        <f aca="false">J458*(INDEX(P_VAL,MATCH("CTRL_AÑO",P_ID,0))*L458+(1-INDEX(PY_VAL,MATCH("P_USADOS",PY_ID,0),6))*M458+INDEX(PY_VAL,MATCH("P_USADOS",PY_ID,0),6)*N458+IF(P458&gt;0,O458/P458,0)+Q458)</f>
        <v>0.293387230928893</v>
      </c>
      <c r="X458" s="32" t="n">
        <f aca="false">J458*(INDEX(P_VAL,MATCH("CTRL_AÑO",P_ID,0))*L458+(1-INDEX(PY_VAL,MATCH("P_USADOS",PY_ID,0),7))*M458+INDEX(PY_VAL,MATCH("P_USADOS",PY_ID,0),7)*N458+IF(P458&gt;0,O458/P458,0)+Q458)</f>
        <v>0.293387230928893</v>
      </c>
      <c r="Y458" s="32" t="n">
        <f aca="false">J458*(INDEX(P_VAL,MATCH("CTRL_AÑO",P_ID,0))*L458+(1-INDEX(PY_VAL,MATCH("P_USADOS",PY_ID,0),8))*M458+INDEX(PY_VAL,MATCH("P_USADOS",PY_ID,0),8)*N458+IF(P458&gt;0,O458/P458,0)+Q458)</f>
        <v>0.293387230928893</v>
      </c>
      <c r="Z458" s="32" t="n">
        <f aca="false">J458*(INDEX(P_VAL,MATCH("CTRL_AÑO",P_ID,0))*L458+(1-INDEX(PY_VAL,MATCH("P_USADOS",PY_ID,0),9))*M458+INDEX(PY_VAL,MATCH("P_USADOS",PY_ID,0),9)*N458+IF(P458&gt;0,O458/P458,0)+Q458)</f>
        <v>0.293387230928893</v>
      </c>
      <c r="AA458" s="32" t="n">
        <f aca="false">J458*(INDEX(P_VAL,MATCH("CTRL_AÑO",P_ID,0))*L458+(1-INDEX(PY_VAL,MATCH("P_USADOS",PY_ID,0),10))*M458+INDEX(PY_VAL,MATCH("P_USADOS",PY_ID,0),10)*N458+IF(P458&gt;0,O458/P458,0)+Q458)</f>
        <v>0.293387230928893</v>
      </c>
      <c r="AB458" s="5" t="s">
        <v>1346</v>
      </c>
    </row>
    <row r="459" customFormat="false" ht="15" hidden="false" customHeight="false" outlineLevel="0" collapsed="false">
      <c r="A459" s="4" t="s">
        <v>300</v>
      </c>
      <c r="B459" s="4" t="s">
        <v>1352</v>
      </c>
      <c r="C459" s="4" t="s">
        <v>1444</v>
      </c>
      <c r="D459" s="5" t="s">
        <v>1354</v>
      </c>
      <c r="E459" s="32" t="n">
        <v>1</v>
      </c>
      <c r="F459" s="32" t="s">
        <v>82</v>
      </c>
      <c r="G459" s="33" t="s">
        <v>1344</v>
      </c>
      <c r="H459" s="32" t="s">
        <v>1355</v>
      </c>
      <c r="I459" s="32" t="n">
        <v>1</v>
      </c>
      <c r="J459" s="32" t="n">
        <f aca="false">E459*I459</f>
        <v>1</v>
      </c>
      <c r="K459" s="32"/>
      <c r="L459" s="32" t="n">
        <v>0</v>
      </c>
      <c r="M459" s="32" t="n">
        <v>1</v>
      </c>
      <c r="N459" s="32" t="n">
        <v>1</v>
      </c>
      <c r="O459" s="32" t="n">
        <v>0</v>
      </c>
      <c r="P459" s="32" t="n">
        <v>5</v>
      </c>
      <c r="Q459" s="32" t="n">
        <v>0</v>
      </c>
      <c r="R459" s="32" t="n">
        <f aca="false">J459*(INDEX(P_VAL,MATCH("CTRL_AÑO",P_ID,0))*L459+(1-INDEX(PY_VAL,MATCH("P_USADOS",PY_ID,0),1))*M459+INDEX(PY_VAL,MATCH("P_USADOS",PY_ID,0),1)*N459+IF(P459&gt;0,O459/P459,0)+Q459)</f>
        <v>1</v>
      </c>
      <c r="S459" s="32" t="n">
        <f aca="false">J459*(INDEX(P_VAL,MATCH("CTRL_AÑO",P_ID,0))*L459+(1-INDEX(PY_VAL,MATCH("P_USADOS",PY_ID,0),2))*M459+INDEX(PY_VAL,MATCH("P_USADOS",PY_ID,0),2)*N459+IF(P459&gt;0,O459/P459,0)+Q459)</f>
        <v>1</v>
      </c>
      <c r="T459" s="32" t="n">
        <f aca="false">J459*(INDEX(P_VAL,MATCH("CTRL_AÑO",P_ID,0))*L459+(1-INDEX(PY_VAL,MATCH("P_USADOS",PY_ID,0),3))*M459+INDEX(PY_VAL,MATCH("P_USADOS",PY_ID,0),3)*N459+IF(P459&gt;0,O459/P459,0)+Q459)</f>
        <v>1</v>
      </c>
      <c r="U459" s="32" t="n">
        <f aca="false">J459*(INDEX(P_VAL,MATCH("CTRL_AÑO",P_ID,0))*L459+(1-INDEX(PY_VAL,MATCH("P_USADOS",PY_ID,0),4))*M459+INDEX(PY_VAL,MATCH("P_USADOS",PY_ID,0),4)*N459+IF(P459&gt;0,O459/P459,0)+Q459)</f>
        <v>1</v>
      </c>
      <c r="V459" s="32" t="n">
        <f aca="false">J459*(INDEX(P_VAL,MATCH("CTRL_AÑO",P_ID,0))*L459+(1-INDEX(PY_VAL,MATCH("P_USADOS",PY_ID,0),5))*M459+INDEX(PY_VAL,MATCH("P_USADOS",PY_ID,0),5)*N459+IF(P459&gt;0,O459/P459,0)+Q459)</f>
        <v>1</v>
      </c>
      <c r="W459" s="32" t="n">
        <f aca="false">J459*(INDEX(P_VAL,MATCH("CTRL_AÑO",P_ID,0))*L459+(1-INDEX(PY_VAL,MATCH("P_USADOS",PY_ID,0),6))*M459+INDEX(PY_VAL,MATCH("P_USADOS",PY_ID,0),6)*N459+IF(P459&gt;0,O459/P459,0)+Q459)</f>
        <v>1</v>
      </c>
      <c r="X459" s="32" t="n">
        <f aca="false">J459*(INDEX(P_VAL,MATCH("CTRL_AÑO",P_ID,0))*L459+(1-INDEX(PY_VAL,MATCH("P_USADOS",PY_ID,0),7))*M459+INDEX(PY_VAL,MATCH("P_USADOS",PY_ID,0),7)*N459+IF(P459&gt;0,O459/P459,0)+Q459)</f>
        <v>1</v>
      </c>
      <c r="Y459" s="32" t="n">
        <f aca="false">J459*(INDEX(P_VAL,MATCH("CTRL_AÑO",P_ID,0))*L459+(1-INDEX(PY_VAL,MATCH("P_USADOS",PY_ID,0),8))*M459+INDEX(PY_VAL,MATCH("P_USADOS",PY_ID,0),8)*N459+IF(P459&gt;0,O459/P459,0)+Q459)</f>
        <v>1</v>
      </c>
      <c r="Z459" s="32" t="n">
        <f aca="false">J459*(INDEX(P_VAL,MATCH("CTRL_AÑO",P_ID,0))*L459+(1-INDEX(PY_VAL,MATCH("P_USADOS",PY_ID,0),9))*M459+INDEX(PY_VAL,MATCH("P_USADOS",PY_ID,0),9)*N459+IF(P459&gt;0,O459/P459,0)+Q459)</f>
        <v>1</v>
      </c>
      <c r="AA459" s="32" t="n">
        <f aca="false">J459*(INDEX(P_VAL,MATCH("CTRL_AÑO",P_ID,0))*L459+(1-INDEX(PY_VAL,MATCH("P_USADOS",PY_ID,0),10))*M459+INDEX(PY_VAL,MATCH("P_USADOS",PY_ID,0),10)*N459+IF(P459&gt;0,O459/P459,0)+Q459)</f>
        <v>1</v>
      </c>
      <c r="AB459" s="5" t="s">
        <v>1346</v>
      </c>
    </row>
    <row r="460" customFormat="false" ht="15" hidden="false" customHeight="false" outlineLevel="0" collapsed="false">
      <c r="A460" s="4" t="s">
        <v>300</v>
      </c>
      <c r="B460" s="4" t="s">
        <v>1356</v>
      </c>
      <c r="C460" s="4" t="s">
        <v>1445</v>
      </c>
      <c r="D460" s="5" t="s">
        <v>1358</v>
      </c>
      <c r="E460" s="32" t="n">
        <v>1</v>
      </c>
      <c r="F460" s="32" t="s">
        <v>82</v>
      </c>
      <c r="G460" s="33" t="s">
        <v>1344</v>
      </c>
      <c r="H460" s="32" t="s">
        <v>1359</v>
      </c>
      <c r="I460" s="32" t="n">
        <v>1</v>
      </c>
      <c r="J460" s="32" t="n">
        <f aca="false">E460*I460</f>
        <v>1</v>
      </c>
      <c r="K460" s="32"/>
      <c r="L460" s="32" t="n">
        <v>0</v>
      </c>
      <c r="M460" s="32" t="n">
        <v>1</v>
      </c>
      <c r="N460" s="32" t="n">
        <v>1</v>
      </c>
      <c r="O460" s="32" t="n">
        <v>0</v>
      </c>
      <c r="P460" s="32" t="n">
        <v>5</v>
      </c>
      <c r="Q460" s="32" t="n">
        <v>0</v>
      </c>
      <c r="R460" s="32" t="n">
        <f aca="false">J460*(INDEX(P_VAL,MATCH("CTRL_AÑO",P_ID,0))*L460+(1-INDEX(PY_VAL,MATCH("P_USADOS",PY_ID,0),1))*M460+INDEX(PY_VAL,MATCH("P_USADOS",PY_ID,0),1)*N460+IF(P460&gt;0,O460/P460,0)+Q460)</f>
        <v>1</v>
      </c>
      <c r="S460" s="32" t="n">
        <f aca="false">J460*(INDEX(P_VAL,MATCH("CTRL_AÑO",P_ID,0))*L460+(1-INDEX(PY_VAL,MATCH("P_USADOS",PY_ID,0),2))*M460+INDEX(PY_VAL,MATCH("P_USADOS",PY_ID,0),2)*N460+IF(P460&gt;0,O460/P460,0)+Q460)</f>
        <v>1</v>
      </c>
      <c r="T460" s="32" t="n">
        <f aca="false">J460*(INDEX(P_VAL,MATCH("CTRL_AÑO",P_ID,0))*L460+(1-INDEX(PY_VAL,MATCH("P_USADOS",PY_ID,0),3))*M460+INDEX(PY_VAL,MATCH("P_USADOS",PY_ID,0),3)*N460+IF(P460&gt;0,O460/P460,0)+Q460)</f>
        <v>1</v>
      </c>
      <c r="U460" s="32" t="n">
        <f aca="false">J460*(INDEX(P_VAL,MATCH("CTRL_AÑO",P_ID,0))*L460+(1-INDEX(PY_VAL,MATCH("P_USADOS",PY_ID,0),4))*M460+INDEX(PY_VAL,MATCH("P_USADOS",PY_ID,0),4)*N460+IF(P460&gt;0,O460/P460,0)+Q460)</f>
        <v>1</v>
      </c>
      <c r="V460" s="32" t="n">
        <f aca="false">J460*(INDEX(P_VAL,MATCH("CTRL_AÑO",P_ID,0))*L460+(1-INDEX(PY_VAL,MATCH("P_USADOS",PY_ID,0),5))*M460+INDEX(PY_VAL,MATCH("P_USADOS",PY_ID,0),5)*N460+IF(P460&gt;0,O460/P460,0)+Q460)</f>
        <v>1</v>
      </c>
      <c r="W460" s="32" t="n">
        <f aca="false">J460*(INDEX(P_VAL,MATCH("CTRL_AÑO",P_ID,0))*L460+(1-INDEX(PY_VAL,MATCH("P_USADOS",PY_ID,0),6))*M460+INDEX(PY_VAL,MATCH("P_USADOS",PY_ID,0),6)*N460+IF(P460&gt;0,O460/P460,0)+Q460)</f>
        <v>1</v>
      </c>
      <c r="X460" s="32" t="n">
        <f aca="false">J460*(INDEX(P_VAL,MATCH("CTRL_AÑO",P_ID,0))*L460+(1-INDEX(PY_VAL,MATCH("P_USADOS",PY_ID,0),7))*M460+INDEX(PY_VAL,MATCH("P_USADOS",PY_ID,0),7)*N460+IF(P460&gt;0,O460/P460,0)+Q460)</f>
        <v>1</v>
      </c>
      <c r="Y460" s="32" t="n">
        <f aca="false">J460*(INDEX(P_VAL,MATCH("CTRL_AÑO",P_ID,0))*L460+(1-INDEX(PY_VAL,MATCH("P_USADOS",PY_ID,0),8))*M460+INDEX(PY_VAL,MATCH("P_USADOS",PY_ID,0),8)*N460+IF(P460&gt;0,O460/P460,0)+Q460)</f>
        <v>1</v>
      </c>
      <c r="Z460" s="32" t="n">
        <f aca="false">J460*(INDEX(P_VAL,MATCH("CTRL_AÑO",P_ID,0))*L460+(1-INDEX(PY_VAL,MATCH("P_USADOS",PY_ID,0),9))*M460+INDEX(PY_VAL,MATCH("P_USADOS",PY_ID,0),9)*N460+IF(P460&gt;0,O460/P460,0)+Q460)</f>
        <v>1</v>
      </c>
      <c r="AA460" s="32" t="n">
        <f aca="false">J460*(INDEX(P_VAL,MATCH("CTRL_AÑO",P_ID,0))*L460+(1-INDEX(PY_VAL,MATCH("P_USADOS",PY_ID,0),10))*M460+INDEX(PY_VAL,MATCH("P_USADOS",PY_ID,0),10)*N460+IF(P460&gt;0,O460/P460,0)+Q460)</f>
        <v>1</v>
      </c>
      <c r="AB460" s="5" t="s">
        <v>1346</v>
      </c>
    </row>
    <row r="461" customFormat="false" ht="15" hidden="false" customHeight="false" outlineLevel="0" collapsed="false">
      <c r="A461" s="4" t="s">
        <v>300</v>
      </c>
      <c r="B461" s="4" t="s">
        <v>1360</v>
      </c>
      <c r="C461" s="4" t="s">
        <v>1446</v>
      </c>
      <c r="D461" s="5" t="s">
        <v>1362</v>
      </c>
      <c r="E461" s="32" t="n">
        <v>1</v>
      </c>
      <c r="F461" s="32" t="s">
        <v>82</v>
      </c>
      <c r="G461" s="33" t="s">
        <v>1344</v>
      </c>
      <c r="H461" s="32" t="s">
        <v>1363</v>
      </c>
      <c r="I461" s="32" t="n">
        <v>1</v>
      </c>
      <c r="J461" s="32" t="n">
        <f aca="false">E461*I461</f>
        <v>1</v>
      </c>
      <c r="K461" s="32"/>
      <c r="L461" s="32" t="n">
        <v>0</v>
      </c>
      <c r="M461" s="32" t="n">
        <v>1</v>
      </c>
      <c r="N461" s="32" t="n">
        <v>1</v>
      </c>
      <c r="O461" s="32" t="n">
        <v>0</v>
      </c>
      <c r="P461" s="32" t="n">
        <v>5</v>
      </c>
      <c r="Q461" s="32" t="n">
        <v>0</v>
      </c>
      <c r="R461" s="32" t="n">
        <f aca="false">J461*(INDEX(P_VAL,MATCH("CTRL_AÑO",P_ID,0))*L461+(1-INDEX(PY_VAL,MATCH("P_USADOS",PY_ID,0),1))*M461+INDEX(PY_VAL,MATCH("P_USADOS",PY_ID,0),1)*N461+IF(P461&gt;0,O461/P461,0)+Q461)</f>
        <v>1</v>
      </c>
      <c r="S461" s="32" t="n">
        <f aca="false">J461*(INDEX(P_VAL,MATCH("CTRL_AÑO",P_ID,0))*L461+(1-INDEX(PY_VAL,MATCH("P_USADOS",PY_ID,0),2))*M461+INDEX(PY_VAL,MATCH("P_USADOS",PY_ID,0),2)*N461+IF(P461&gt;0,O461/P461,0)+Q461)</f>
        <v>1</v>
      </c>
      <c r="T461" s="32" t="n">
        <f aca="false">J461*(INDEX(P_VAL,MATCH("CTRL_AÑO",P_ID,0))*L461+(1-INDEX(PY_VAL,MATCH("P_USADOS",PY_ID,0),3))*M461+INDEX(PY_VAL,MATCH("P_USADOS",PY_ID,0),3)*N461+IF(P461&gt;0,O461/P461,0)+Q461)</f>
        <v>1</v>
      </c>
      <c r="U461" s="32" t="n">
        <f aca="false">J461*(INDEX(P_VAL,MATCH("CTRL_AÑO",P_ID,0))*L461+(1-INDEX(PY_VAL,MATCH("P_USADOS",PY_ID,0),4))*M461+INDEX(PY_VAL,MATCH("P_USADOS",PY_ID,0),4)*N461+IF(P461&gt;0,O461/P461,0)+Q461)</f>
        <v>1</v>
      </c>
      <c r="V461" s="32" t="n">
        <f aca="false">J461*(INDEX(P_VAL,MATCH("CTRL_AÑO",P_ID,0))*L461+(1-INDEX(PY_VAL,MATCH("P_USADOS",PY_ID,0),5))*M461+INDEX(PY_VAL,MATCH("P_USADOS",PY_ID,0),5)*N461+IF(P461&gt;0,O461/P461,0)+Q461)</f>
        <v>1</v>
      </c>
      <c r="W461" s="32" t="n">
        <f aca="false">J461*(INDEX(P_VAL,MATCH("CTRL_AÑO",P_ID,0))*L461+(1-INDEX(PY_VAL,MATCH("P_USADOS",PY_ID,0),6))*M461+INDEX(PY_VAL,MATCH("P_USADOS",PY_ID,0),6)*N461+IF(P461&gt;0,O461/P461,0)+Q461)</f>
        <v>1</v>
      </c>
      <c r="X461" s="32" t="n">
        <f aca="false">J461*(INDEX(P_VAL,MATCH("CTRL_AÑO",P_ID,0))*L461+(1-INDEX(PY_VAL,MATCH("P_USADOS",PY_ID,0),7))*M461+INDEX(PY_VAL,MATCH("P_USADOS",PY_ID,0),7)*N461+IF(P461&gt;0,O461/P461,0)+Q461)</f>
        <v>1</v>
      </c>
      <c r="Y461" s="32" t="n">
        <f aca="false">J461*(INDEX(P_VAL,MATCH("CTRL_AÑO",P_ID,0))*L461+(1-INDEX(PY_VAL,MATCH("P_USADOS",PY_ID,0),8))*M461+INDEX(PY_VAL,MATCH("P_USADOS",PY_ID,0),8)*N461+IF(P461&gt;0,O461/P461,0)+Q461)</f>
        <v>1</v>
      </c>
      <c r="Z461" s="32" t="n">
        <f aca="false">J461*(INDEX(P_VAL,MATCH("CTRL_AÑO",P_ID,0))*L461+(1-INDEX(PY_VAL,MATCH("P_USADOS",PY_ID,0),9))*M461+INDEX(PY_VAL,MATCH("P_USADOS",PY_ID,0),9)*N461+IF(P461&gt;0,O461/P461,0)+Q461)</f>
        <v>1</v>
      </c>
      <c r="AA461" s="32" t="n">
        <f aca="false">J461*(INDEX(P_VAL,MATCH("CTRL_AÑO",P_ID,0))*L461+(1-INDEX(PY_VAL,MATCH("P_USADOS",PY_ID,0),10))*M461+INDEX(PY_VAL,MATCH("P_USADOS",PY_ID,0),10)*N461+IF(P461&gt;0,O461/P461,0)+Q461)</f>
        <v>1</v>
      </c>
      <c r="AB461" s="5" t="s">
        <v>1346</v>
      </c>
    </row>
    <row r="462" customFormat="false" ht="15" hidden="false" customHeight="false" outlineLevel="0" collapsed="false">
      <c r="A462" s="4" t="s">
        <v>300</v>
      </c>
      <c r="B462" s="4" t="s">
        <v>1364</v>
      </c>
      <c r="C462" s="4" t="s">
        <v>1447</v>
      </c>
      <c r="D462" s="5" t="s">
        <v>1366</v>
      </c>
      <c r="E462" s="32" t="n">
        <v>1</v>
      </c>
      <c r="F462" s="32" t="s">
        <v>82</v>
      </c>
      <c r="G462" s="33" t="s">
        <v>1344</v>
      </c>
      <c r="H462" s="32" t="s">
        <v>1367</v>
      </c>
      <c r="I462" s="32" t="n">
        <v>1</v>
      </c>
      <c r="J462" s="32" t="n">
        <f aca="false">E462*I462</f>
        <v>1</v>
      </c>
      <c r="K462" s="32" t="s">
        <v>582</v>
      </c>
      <c r="L462" s="32" t="n">
        <v>0</v>
      </c>
      <c r="M462" s="32" t="n">
        <v>1</v>
      </c>
      <c r="N462" s="32" t="n">
        <v>1</v>
      </c>
      <c r="O462" s="32" t="n">
        <v>0</v>
      </c>
      <c r="P462" s="32" t="n">
        <v>5</v>
      </c>
      <c r="Q462" s="32" t="n">
        <v>0</v>
      </c>
      <c r="R462" s="32" t="n">
        <f aca="false">J462*(INDEX(P_VAL,MATCH("CTRL_AÑO",P_ID,0))*L462+(1-INDEX(PY_VAL,MATCH("P_USADOS",PY_ID,0),1))*M462+INDEX(PY_VAL,MATCH("P_USADOS",PY_ID,0),1)*N462+IF(P462&gt;0,O462/P462,0)+Q462)</f>
        <v>1</v>
      </c>
      <c r="S462" s="32" t="n">
        <f aca="false">J462*(INDEX(P_VAL,MATCH("CTRL_AÑO",P_ID,0))*L462+(1-INDEX(PY_VAL,MATCH("P_USADOS",PY_ID,0),2))*M462+INDEX(PY_VAL,MATCH("P_USADOS",PY_ID,0),2)*N462+IF(P462&gt;0,O462/P462,0)+Q462)</f>
        <v>1</v>
      </c>
      <c r="T462" s="32" t="n">
        <f aca="false">J462*(INDEX(P_VAL,MATCH("CTRL_AÑO",P_ID,0))*L462+(1-INDEX(PY_VAL,MATCH("P_USADOS",PY_ID,0),3))*M462+INDEX(PY_VAL,MATCH("P_USADOS",PY_ID,0),3)*N462+IF(P462&gt;0,O462/P462,0)+Q462)</f>
        <v>1</v>
      </c>
      <c r="U462" s="32" t="n">
        <f aca="false">J462*(INDEX(P_VAL,MATCH("CTRL_AÑO",P_ID,0))*L462+(1-INDEX(PY_VAL,MATCH("P_USADOS",PY_ID,0),4))*M462+INDEX(PY_VAL,MATCH("P_USADOS",PY_ID,0),4)*N462+IF(P462&gt;0,O462/P462,0)+Q462)</f>
        <v>1</v>
      </c>
      <c r="V462" s="32" t="n">
        <f aca="false">J462*(INDEX(P_VAL,MATCH("CTRL_AÑO",P_ID,0))*L462+(1-INDEX(PY_VAL,MATCH("P_USADOS",PY_ID,0),5))*M462+INDEX(PY_VAL,MATCH("P_USADOS",PY_ID,0),5)*N462+IF(P462&gt;0,O462/P462,0)+Q462)</f>
        <v>1</v>
      </c>
      <c r="W462" s="32" t="n">
        <f aca="false">J462*(INDEX(P_VAL,MATCH("CTRL_AÑO",P_ID,0))*L462+(1-INDEX(PY_VAL,MATCH("P_USADOS",PY_ID,0),6))*M462+INDEX(PY_VAL,MATCH("P_USADOS",PY_ID,0),6)*N462+IF(P462&gt;0,O462/P462,0)+Q462)</f>
        <v>1</v>
      </c>
      <c r="X462" s="32" t="n">
        <f aca="false">J462*(INDEX(P_VAL,MATCH("CTRL_AÑO",P_ID,0))*L462+(1-INDEX(PY_VAL,MATCH("P_USADOS",PY_ID,0),7))*M462+INDEX(PY_VAL,MATCH("P_USADOS",PY_ID,0),7)*N462+IF(P462&gt;0,O462/P462,0)+Q462)</f>
        <v>1</v>
      </c>
      <c r="Y462" s="32" t="n">
        <f aca="false">J462*(INDEX(P_VAL,MATCH("CTRL_AÑO",P_ID,0))*L462+(1-INDEX(PY_VAL,MATCH("P_USADOS",PY_ID,0),8))*M462+INDEX(PY_VAL,MATCH("P_USADOS",PY_ID,0),8)*N462+IF(P462&gt;0,O462/P462,0)+Q462)</f>
        <v>1</v>
      </c>
      <c r="Z462" s="32" t="n">
        <f aca="false">J462*(INDEX(P_VAL,MATCH("CTRL_AÑO",P_ID,0))*L462+(1-INDEX(PY_VAL,MATCH("P_USADOS",PY_ID,0),9))*M462+INDEX(PY_VAL,MATCH("P_USADOS",PY_ID,0),9)*N462+IF(P462&gt;0,O462/P462,0)+Q462)</f>
        <v>1</v>
      </c>
      <c r="AA462" s="32" t="n">
        <f aca="false">J462*(INDEX(P_VAL,MATCH("CTRL_AÑO",P_ID,0))*L462+(1-INDEX(PY_VAL,MATCH("P_USADOS",PY_ID,0),10))*M462+INDEX(PY_VAL,MATCH("P_USADOS",PY_ID,0),10)*N462+IF(P462&gt;0,O462/P462,0)+Q462)</f>
        <v>1</v>
      </c>
      <c r="AB462" s="5" t="s">
        <v>1346</v>
      </c>
    </row>
    <row r="463" customFormat="false" ht="15" hidden="false" customHeight="false" outlineLevel="0" collapsed="false">
      <c r="A463" s="4" t="s">
        <v>300</v>
      </c>
      <c r="B463" s="4" t="s">
        <v>1368</v>
      </c>
      <c r="C463" s="4" t="s">
        <v>1448</v>
      </c>
      <c r="D463" s="5" t="s">
        <v>1370</v>
      </c>
      <c r="E463" s="32" t="n">
        <v>1</v>
      </c>
      <c r="F463" s="32" t="s">
        <v>82</v>
      </c>
      <c r="G463" s="33" t="s">
        <v>1344</v>
      </c>
      <c r="H463" s="32" t="s">
        <v>1371</v>
      </c>
      <c r="I463" s="32" t="n">
        <v>1</v>
      </c>
      <c r="J463" s="32" t="n">
        <f aca="false">E463*I463</f>
        <v>1</v>
      </c>
      <c r="K463" s="32" t="s">
        <v>582</v>
      </c>
      <c r="L463" s="32" t="n">
        <v>0</v>
      </c>
      <c r="M463" s="32" t="n">
        <v>1</v>
      </c>
      <c r="N463" s="32" t="n">
        <v>1</v>
      </c>
      <c r="O463" s="32" t="n">
        <v>0</v>
      </c>
      <c r="P463" s="32" t="n">
        <v>5</v>
      </c>
      <c r="Q463" s="32" t="n">
        <v>0</v>
      </c>
      <c r="R463" s="32" t="n">
        <f aca="false">J463*(INDEX(P_VAL,MATCH("CTRL_AÑO",P_ID,0))*L463+(1-INDEX(PY_VAL,MATCH("P_USADOS",PY_ID,0),1))*M463+INDEX(PY_VAL,MATCH("P_USADOS",PY_ID,0),1)*N463+IF(P463&gt;0,O463/P463,0)+Q463)</f>
        <v>1</v>
      </c>
      <c r="S463" s="32" t="n">
        <f aca="false">J463*(INDEX(P_VAL,MATCH("CTRL_AÑO",P_ID,0))*L463+(1-INDEX(PY_VAL,MATCH("P_USADOS",PY_ID,0),2))*M463+INDEX(PY_VAL,MATCH("P_USADOS",PY_ID,0),2)*N463+IF(P463&gt;0,O463/P463,0)+Q463)</f>
        <v>1</v>
      </c>
      <c r="T463" s="32" t="n">
        <f aca="false">J463*(INDEX(P_VAL,MATCH("CTRL_AÑO",P_ID,0))*L463+(1-INDEX(PY_VAL,MATCH("P_USADOS",PY_ID,0),3))*M463+INDEX(PY_VAL,MATCH("P_USADOS",PY_ID,0),3)*N463+IF(P463&gt;0,O463/P463,0)+Q463)</f>
        <v>1</v>
      </c>
      <c r="U463" s="32" t="n">
        <f aca="false">J463*(INDEX(P_VAL,MATCH("CTRL_AÑO",P_ID,0))*L463+(1-INDEX(PY_VAL,MATCH("P_USADOS",PY_ID,0),4))*M463+INDEX(PY_VAL,MATCH("P_USADOS",PY_ID,0),4)*N463+IF(P463&gt;0,O463/P463,0)+Q463)</f>
        <v>1</v>
      </c>
      <c r="V463" s="32" t="n">
        <f aca="false">J463*(INDEX(P_VAL,MATCH("CTRL_AÑO",P_ID,0))*L463+(1-INDEX(PY_VAL,MATCH("P_USADOS",PY_ID,0),5))*M463+INDEX(PY_VAL,MATCH("P_USADOS",PY_ID,0),5)*N463+IF(P463&gt;0,O463/P463,0)+Q463)</f>
        <v>1</v>
      </c>
      <c r="W463" s="32" t="n">
        <f aca="false">J463*(INDEX(P_VAL,MATCH("CTRL_AÑO",P_ID,0))*L463+(1-INDEX(PY_VAL,MATCH("P_USADOS",PY_ID,0),6))*M463+INDEX(PY_VAL,MATCH("P_USADOS",PY_ID,0),6)*N463+IF(P463&gt;0,O463/P463,0)+Q463)</f>
        <v>1</v>
      </c>
      <c r="X463" s="32" t="n">
        <f aca="false">J463*(INDEX(P_VAL,MATCH("CTRL_AÑO",P_ID,0))*L463+(1-INDEX(PY_VAL,MATCH("P_USADOS",PY_ID,0),7))*M463+INDEX(PY_VAL,MATCH("P_USADOS",PY_ID,0),7)*N463+IF(P463&gt;0,O463/P463,0)+Q463)</f>
        <v>1</v>
      </c>
      <c r="Y463" s="32" t="n">
        <f aca="false">J463*(INDEX(P_VAL,MATCH("CTRL_AÑO",P_ID,0))*L463+(1-INDEX(PY_VAL,MATCH("P_USADOS",PY_ID,0),8))*M463+INDEX(PY_VAL,MATCH("P_USADOS",PY_ID,0),8)*N463+IF(P463&gt;0,O463/P463,0)+Q463)</f>
        <v>1</v>
      </c>
      <c r="Z463" s="32" t="n">
        <f aca="false">J463*(INDEX(P_VAL,MATCH("CTRL_AÑO",P_ID,0))*L463+(1-INDEX(PY_VAL,MATCH("P_USADOS",PY_ID,0),9))*M463+INDEX(PY_VAL,MATCH("P_USADOS",PY_ID,0),9)*N463+IF(P463&gt;0,O463/P463,0)+Q463)</f>
        <v>1</v>
      </c>
      <c r="AA463" s="32" t="n">
        <f aca="false">J463*(INDEX(P_VAL,MATCH("CTRL_AÑO",P_ID,0))*L463+(1-INDEX(PY_VAL,MATCH("P_USADOS",PY_ID,0),10))*M463+INDEX(PY_VAL,MATCH("P_USADOS",PY_ID,0),10)*N463+IF(P463&gt;0,O463/P463,0)+Q463)</f>
        <v>1</v>
      </c>
      <c r="AB463" s="5" t="s">
        <v>1346</v>
      </c>
    </row>
    <row r="464" customFormat="false" ht="15" hidden="false" customHeight="false" outlineLevel="0" collapsed="false">
      <c r="A464" s="4" t="s">
        <v>300</v>
      </c>
      <c r="B464" s="4" t="s">
        <v>1372</v>
      </c>
      <c r="C464" s="4" t="s">
        <v>1449</v>
      </c>
      <c r="D464" s="5" t="s">
        <v>1374</v>
      </c>
      <c r="E464" s="32" t="n">
        <v>1</v>
      </c>
      <c r="F464" s="32" t="s">
        <v>82</v>
      </c>
      <c r="G464" s="33" t="s">
        <v>1344</v>
      </c>
      <c r="H464" s="32" t="s">
        <v>688</v>
      </c>
      <c r="I464" s="32" t="n">
        <v>1</v>
      </c>
      <c r="J464" s="32" t="n">
        <f aca="false">E464*I464</f>
        <v>1</v>
      </c>
      <c r="K464" s="32" t="s">
        <v>689</v>
      </c>
      <c r="L464" s="32" t="n">
        <v>0</v>
      </c>
      <c r="M464" s="32" t="n">
        <v>1</v>
      </c>
      <c r="N464" s="32" t="n">
        <v>1</v>
      </c>
      <c r="O464" s="32" t="n">
        <v>0</v>
      </c>
      <c r="P464" s="32" t="n">
        <v>5</v>
      </c>
      <c r="Q464" s="32" t="n">
        <v>0</v>
      </c>
      <c r="R464" s="32" t="n">
        <f aca="false">J464*(INDEX(P_VAL,MATCH("CTRL_AÑO",P_ID,0))*L464+(1-INDEX(PY_VAL,MATCH("P_USADOS",PY_ID,0),1))*M464+INDEX(PY_VAL,MATCH("P_USADOS",PY_ID,0),1)*N464+IF(P464&gt;0,O464/P464,0)+Q464)</f>
        <v>1</v>
      </c>
      <c r="S464" s="32" t="n">
        <f aca="false">J464*(INDEX(P_VAL,MATCH("CTRL_AÑO",P_ID,0))*L464+(1-INDEX(PY_VAL,MATCH("P_USADOS",PY_ID,0),2))*M464+INDEX(PY_VAL,MATCH("P_USADOS",PY_ID,0),2)*N464+IF(P464&gt;0,O464/P464,0)+Q464)</f>
        <v>1</v>
      </c>
      <c r="T464" s="32" t="n">
        <f aca="false">J464*(INDEX(P_VAL,MATCH("CTRL_AÑO",P_ID,0))*L464+(1-INDEX(PY_VAL,MATCH("P_USADOS",PY_ID,0),3))*M464+INDEX(PY_VAL,MATCH("P_USADOS",PY_ID,0),3)*N464+IF(P464&gt;0,O464/P464,0)+Q464)</f>
        <v>1</v>
      </c>
      <c r="U464" s="32" t="n">
        <f aca="false">J464*(INDEX(P_VAL,MATCH("CTRL_AÑO",P_ID,0))*L464+(1-INDEX(PY_VAL,MATCH("P_USADOS",PY_ID,0),4))*M464+INDEX(PY_VAL,MATCH("P_USADOS",PY_ID,0),4)*N464+IF(P464&gt;0,O464/P464,0)+Q464)</f>
        <v>1</v>
      </c>
      <c r="V464" s="32" t="n">
        <f aca="false">J464*(INDEX(P_VAL,MATCH("CTRL_AÑO",P_ID,0))*L464+(1-INDEX(PY_VAL,MATCH("P_USADOS",PY_ID,0),5))*M464+INDEX(PY_VAL,MATCH("P_USADOS",PY_ID,0),5)*N464+IF(P464&gt;0,O464/P464,0)+Q464)</f>
        <v>1</v>
      </c>
      <c r="W464" s="32" t="n">
        <f aca="false">J464*(INDEX(P_VAL,MATCH("CTRL_AÑO",P_ID,0))*L464+(1-INDEX(PY_VAL,MATCH("P_USADOS",PY_ID,0),6))*M464+INDEX(PY_VAL,MATCH("P_USADOS",PY_ID,0),6)*N464+IF(P464&gt;0,O464/P464,0)+Q464)</f>
        <v>1</v>
      </c>
      <c r="X464" s="32" t="n">
        <f aca="false">J464*(INDEX(P_VAL,MATCH("CTRL_AÑO",P_ID,0))*L464+(1-INDEX(PY_VAL,MATCH("P_USADOS",PY_ID,0),7))*M464+INDEX(PY_VAL,MATCH("P_USADOS",PY_ID,0),7)*N464+IF(P464&gt;0,O464/P464,0)+Q464)</f>
        <v>1</v>
      </c>
      <c r="Y464" s="32" t="n">
        <f aca="false">J464*(INDEX(P_VAL,MATCH("CTRL_AÑO",P_ID,0))*L464+(1-INDEX(PY_VAL,MATCH("P_USADOS",PY_ID,0),8))*M464+INDEX(PY_VAL,MATCH("P_USADOS",PY_ID,0),8)*N464+IF(P464&gt;0,O464/P464,0)+Q464)</f>
        <v>1</v>
      </c>
      <c r="Z464" s="32" t="n">
        <f aca="false">J464*(INDEX(P_VAL,MATCH("CTRL_AÑO",P_ID,0))*L464+(1-INDEX(PY_VAL,MATCH("P_USADOS",PY_ID,0),9))*M464+INDEX(PY_VAL,MATCH("P_USADOS",PY_ID,0),9)*N464+IF(P464&gt;0,O464/P464,0)+Q464)</f>
        <v>1</v>
      </c>
      <c r="AA464" s="32" t="n">
        <f aca="false">J464*(INDEX(P_VAL,MATCH("CTRL_AÑO",P_ID,0))*L464+(1-INDEX(PY_VAL,MATCH("P_USADOS",PY_ID,0),10))*M464+INDEX(PY_VAL,MATCH("P_USADOS",PY_ID,0),10)*N464+IF(P464&gt;0,O464/P464,0)+Q464)</f>
        <v>1</v>
      </c>
      <c r="AB464" s="5" t="s">
        <v>1346</v>
      </c>
    </row>
    <row r="465" customFormat="false" ht="15" hidden="false" customHeight="false" outlineLevel="0" collapsed="false">
      <c r="A465" s="4" t="s">
        <v>300</v>
      </c>
      <c r="B465" s="4" t="s">
        <v>1375</v>
      </c>
      <c r="C465" s="4" t="s">
        <v>1450</v>
      </c>
      <c r="D465" s="5" t="s">
        <v>1377</v>
      </c>
      <c r="E465" s="32" t="n">
        <v>1</v>
      </c>
      <c r="F465" s="32" t="s">
        <v>82</v>
      </c>
      <c r="G465" s="33" t="s">
        <v>1344</v>
      </c>
      <c r="H465" s="32" t="s">
        <v>630</v>
      </c>
      <c r="I465" s="32" t="n">
        <v>1</v>
      </c>
      <c r="J465" s="32" t="n">
        <f aca="false">E465*I465</f>
        <v>1</v>
      </c>
      <c r="K465" s="32"/>
      <c r="L465" s="32" t="n">
        <v>0</v>
      </c>
      <c r="M465" s="32" t="n">
        <v>1</v>
      </c>
      <c r="N465" s="32" t="n">
        <v>1</v>
      </c>
      <c r="O465" s="32" t="n">
        <v>0</v>
      </c>
      <c r="P465" s="32" t="n">
        <v>5</v>
      </c>
      <c r="Q465" s="32" t="n">
        <v>0</v>
      </c>
      <c r="R465" s="32" t="n">
        <f aca="false">J465*(INDEX(P_VAL,MATCH("CTRL_AÑO",P_ID,0))*L465+(1-INDEX(PY_VAL,MATCH("P_USADOS",PY_ID,0),1))*M465+INDEX(PY_VAL,MATCH("P_USADOS",PY_ID,0),1)*N465+IF(P465&gt;0,O465/P465,0)+Q465)</f>
        <v>1</v>
      </c>
      <c r="S465" s="32" t="n">
        <f aca="false">J465*(INDEX(P_VAL,MATCH("CTRL_AÑO",P_ID,0))*L465+(1-INDEX(PY_VAL,MATCH("P_USADOS",PY_ID,0),2))*M465+INDEX(PY_VAL,MATCH("P_USADOS",PY_ID,0),2)*N465+IF(P465&gt;0,O465/P465,0)+Q465)</f>
        <v>1</v>
      </c>
      <c r="T465" s="32" t="n">
        <f aca="false">J465*(INDEX(P_VAL,MATCH("CTRL_AÑO",P_ID,0))*L465+(1-INDEX(PY_VAL,MATCH("P_USADOS",PY_ID,0),3))*M465+INDEX(PY_VAL,MATCH("P_USADOS",PY_ID,0),3)*N465+IF(P465&gt;0,O465/P465,0)+Q465)</f>
        <v>1</v>
      </c>
      <c r="U465" s="32" t="n">
        <f aca="false">J465*(INDEX(P_VAL,MATCH("CTRL_AÑO",P_ID,0))*L465+(1-INDEX(PY_VAL,MATCH("P_USADOS",PY_ID,0),4))*M465+INDEX(PY_VAL,MATCH("P_USADOS",PY_ID,0),4)*N465+IF(P465&gt;0,O465/P465,0)+Q465)</f>
        <v>1</v>
      </c>
      <c r="V465" s="32" t="n">
        <f aca="false">J465*(INDEX(P_VAL,MATCH("CTRL_AÑO",P_ID,0))*L465+(1-INDEX(PY_VAL,MATCH("P_USADOS",PY_ID,0),5))*M465+INDEX(PY_VAL,MATCH("P_USADOS",PY_ID,0),5)*N465+IF(P465&gt;0,O465/P465,0)+Q465)</f>
        <v>1</v>
      </c>
      <c r="W465" s="32" t="n">
        <f aca="false">J465*(INDEX(P_VAL,MATCH("CTRL_AÑO",P_ID,0))*L465+(1-INDEX(PY_VAL,MATCH("P_USADOS",PY_ID,0),6))*M465+INDEX(PY_VAL,MATCH("P_USADOS",PY_ID,0),6)*N465+IF(P465&gt;0,O465/P465,0)+Q465)</f>
        <v>1</v>
      </c>
      <c r="X465" s="32" t="n">
        <f aca="false">J465*(INDEX(P_VAL,MATCH("CTRL_AÑO",P_ID,0))*L465+(1-INDEX(PY_VAL,MATCH("P_USADOS",PY_ID,0),7))*M465+INDEX(PY_VAL,MATCH("P_USADOS",PY_ID,0),7)*N465+IF(P465&gt;0,O465/P465,0)+Q465)</f>
        <v>1</v>
      </c>
      <c r="Y465" s="32" t="n">
        <f aca="false">J465*(INDEX(P_VAL,MATCH("CTRL_AÑO",P_ID,0))*L465+(1-INDEX(PY_VAL,MATCH("P_USADOS",PY_ID,0),8))*M465+INDEX(PY_VAL,MATCH("P_USADOS",PY_ID,0),8)*N465+IF(P465&gt;0,O465/P465,0)+Q465)</f>
        <v>1</v>
      </c>
      <c r="Z465" s="32" t="n">
        <f aca="false">J465*(INDEX(P_VAL,MATCH("CTRL_AÑO",P_ID,0))*L465+(1-INDEX(PY_VAL,MATCH("P_USADOS",PY_ID,0),9))*M465+INDEX(PY_VAL,MATCH("P_USADOS",PY_ID,0),9)*N465+IF(P465&gt;0,O465/P465,0)+Q465)</f>
        <v>1</v>
      </c>
      <c r="AA465" s="32" t="n">
        <f aca="false">J465*(INDEX(P_VAL,MATCH("CTRL_AÑO",P_ID,0))*L465+(1-INDEX(PY_VAL,MATCH("P_USADOS",PY_ID,0),10))*M465+INDEX(PY_VAL,MATCH("P_USADOS",PY_ID,0),10)*N465+IF(P465&gt;0,O465/P465,0)+Q465)</f>
        <v>1</v>
      </c>
      <c r="AB465" s="5" t="s">
        <v>1346</v>
      </c>
    </row>
    <row r="466" customFormat="false" ht="15" hidden="false" customHeight="false" outlineLevel="0" collapsed="false">
      <c r="A466" s="4" t="s">
        <v>300</v>
      </c>
      <c r="B466" s="4" t="s">
        <v>1378</v>
      </c>
      <c r="C466" s="4" t="s">
        <v>1451</v>
      </c>
      <c r="D466" s="5" t="s">
        <v>1380</v>
      </c>
      <c r="E466" s="32" t="n">
        <v>1</v>
      </c>
      <c r="F466" s="32" t="s">
        <v>82</v>
      </c>
      <c r="G466" s="33" t="s">
        <v>1344</v>
      </c>
      <c r="H466" s="32" t="s">
        <v>1381</v>
      </c>
      <c r="I466" s="32" t="n">
        <v>1</v>
      </c>
      <c r="J466" s="32" t="n">
        <f aca="false">E466*I466</f>
        <v>1</v>
      </c>
      <c r="K466" s="32"/>
      <c r="L466" s="32" t="n">
        <v>0</v>
      </c>
      <c r="M466" s="32" t="n">
        <v>0</v>
      </c>
      <c r="N466" s="32" t="n">
        <v>0</v>
      </c>
      <c r="O466" s="32" t="n">
        <v>1</v>
      </c>
      <c r="P466" s="32" t="n">
        <v>5</v>
      </c>
      <c r="Q466" s="32" t="n">
        <v>0</v>
      </c>
      <c r="R466" s="32" t="n">
        <f aca="false">J466*(INDEX(P_VAL,MATCH("CTRL_AÑO",P_ID,0))*L466+(1-INDEX(PY_VAL,MATCH("P_USADOS",PY_ID,0),1))*M466+INDEX(PY_VAL,MATCH("P_USADOS",PY_ID,0),1)*N466+IF(P466&gt;0,O466/P466,0)+Q466)</f>
        <v>0.2</v>
      </c>
      <c r="S466" s="32" t="n">
        <f aca="false">J466*(INDEX(P_VAL,MATCH("CTRL_AÑO",P_ID,0))*L466+(1-INDEX(PY_VAL,MATCH("P_USADOS",PY_ID,0),2))*M466+INDEX(PY_VAL,MATCH("P_USADOS",PY_ID,0),2)*N466+IF(P466&gt;0,O466/P466,0)+Q466)</f>
        <v>0.2</v>
      </c>
      <c r="T466" s="32" t="n">
        <f aca="false">J466*(INDEX(P_VAL,MATCH("CTRL_AÑO",P_ID,0))*L466+(1-INDEX(PY_VAL,MATCH("P_USADOS",PY_ID,0),3))*M466+INDEX(PY_VAL,MATCH("P_USADOS",PY_ID,0),3)*N466+IF(P466&gt;0,O466/P466,0)+Q466)</f>
        <v>0.2</v>
      </c>
      <c r="U466" s="32" t="n">
        <f aca="false">J466*(INDEX(P_VAL,MATCH("CTRL_AÑO",P_ID,0))*L466+(1-INDEX(PY_VAL,MATCH("P_USADOS",PY_ID,0),4))*M466+INDEX(PY_VAL,MATCH("P_USADOS",PY_ID,0),4)*N466+IF(P466&gt;0,O466/P466,0)+Q466)</f>
        <v>0.2</v>
      </c>
      <c r="V466" s="32" t="n">
        <f aca="false">J466*(INDEX(P_VAL,MATCH("CTRL_AÑO",P_ID,0))*L466+(1-INDEX(PY_VAL,MATCH("P_USADOS",PY_ID,0),5))*M466+INDEX(PY_VAL,MATCH("P_USADOS",PY_ID,0),5)*N466+IF(P466&gt;0,O466/P466,0)+Q466)</f>
        <v>0.2</v>
      </c>
      <c r="W466" s="32" t="n">
        <f aca="false">J466*(INDEX(P_VAL,MATCH("CTRL_AÑO",P_ID,0))*L466+(1-INDEX(PY_VAL,MATCH("P_USADOS",PY_ID,0),6))*M466+INDEX(PY_VAL,MATCH("P_USADOS",PY_ID,0),6)*N466+IF(P466&gt;0,O466/P466,0)+Q466)</f>
        <v>0.2</v>
      </c>
      <c r="X466" s="32" t="n">
        <f aca="false">J466*(INDEX(P_VAL,MATCH("CTRL_AÑO",P_ID,0))*L466+(1-INDEX(PY_VAL,MATCH("P_USADOS",PY_ID,0),7))*M466+INDEX(PY_VAL,MATCH("P_USADOS",PY_ID,0),7)*N466+IF(P466&gt;0,O466/P466,0)+Q466)</f>
        <v>0.2</v>
      </c>
      <c r="Y466" s="32" t="n">
        <f aca="false">J466*(INDEX(P_VAL,MATCH("CTRL_AÑO",P_ID,0))*L466+(1-INDEX(PY_VAL,MATCH("P_USADOS",PY_ID,0),8))*M466+INDEX(PY_VAL,MATCH("P_USADOS",PY_ID,0),8)*N466+IF(P466&gt;0,O466/P466,0)+Q466)</f>
        <v>0.2</v>
      </c>
      <c r="Z466" s="32" t="n">
        <f aca="false">J466*(INDEX(P_VAL,MATCH("CTRL_AÑO",P_ID,0))*L466+(1-INDEX(PY_VAL,MATCH("P_USADOS",PY_ID,0),9))*M466+INDEX(PY_VAL,MATCH("P_USADOS",PY_ID,0),9)*N466+IF(P466&gt;0,O466/P466,0)+Q466)</f>
        <v>0.2</v>
      </c>
      <c r="AA466" s="32" t="n">
        <f aca="false">J466*(INDEX(P_VAL,MATCH("CTRL_AÑO",P_ID,0))*L466+(1-INDEX(PY_VAL,MATCH("P_USADOS",PY_ID,0),10))*M466+INDEX(PY_VAL,MATCH("P_USADOS",PY_ID,0),10)*N466+IF(P466&gt;0,O466/P466,0)+Q466)</f>
        <v>0.2</v>
      </c>
      <c r="AB466" s="5" t="s">
        <v>1346</v>
      </c>
    </row>
    <row r="467" customFormat="false" ht="15" hidden="false" customHeight="false" outlineLevel="0" collapsed="false">
      <c r="A467" s="4" t="s">
        <v>300</v>
      </c>
      <c r="B467" s="4" t="s">
        <v>1382</v>
      </c>
      <c r="C467" s="4" t="s">
        <v>1452</v>
      </c>
      <c r="D467" s="5" t="s">
        <v>1440</v>
      </c>
      <c r="E467" s="32" t="n">
        <v>1</v>
      </c>
      <c r="F467" s="32" t="s">
        <v>73</v>
      </c>
      <c r="G467" s="33" t="s">
        <v>1385</v>
      </c>
      <c r="H467" s="32"/>
      <c r="I467" s="32"/>
      <c r="J467" s="32"/>
      <c r="K467" s="32"/>
      <c r="L467" s="32" t="n">
        <v>0</v>
      </c>
      <c r="M467" s="32" t="n">
        <v>0</v>
      </c>
      <c r="N467" s="32" t="n">
        <v>0</v>
      </c>
      <c r="O467" s="32" t="n">
        <v>0</v>
      </c>
      <c r="P467" s="32" t="n">
        <v>0</v>
      </c>
      <c r="Q467" s="32" t="n">
        <v>0</v>
      </c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5" t="s">
        <v>1386</v>
      </c>
    </row>
    <row r="468" customFormat="false" ht="15" hidden="false" customHeight="false" outlineLevel="0" collapsed="false">
      <c r="A468" s="4" t="s">
        <v>300</v>
      </c>
      <c r="B468" s="4"/>
      <c r="C468" s="4"/>
      <c r="D468" s="5" t="s">
        <v>1387</v>
      </c>
      <c r="E468" s="32" t="n">
        <v>1</v>
      </c>
      <c r="F468" s="32" t="s">
        <v>82</v>
      </c>
      <c r="G468" s="33" t="s">
        <v>477</v>
      </c>
      <c r="H468" s="32" t="s">
        <v>1030</v>
      </c>
      <c r="I468" s="32" t="n">
        <v>1</v>
      </c>
      <c r="J468" s="32" t="n">
        <f aca="false">E468*I468</f>
        <v>1</v>
      </c>
      <c r="K468" s="32"/>
      <c r="L468" s="32" t="n">
        <v>0</v>
      </c>
      <c r="M468" s="32" t="n">
        <v>0</v>
      </c>
      <c r="N468" s="32" t="n">
        <v>0</v>
      </c>
      <c r="O468" s="32" t="n">
        <v>0</v>
      </c>
      <c r="P468" s="32" t="n">
        <v>0</v>
      </c>
      <c r="Q468" s="32" t="n">
        <f aca="false">INDEX(P_VAL,MATCH("REPO_VALV",P_ID,0))</f>
        <v>0.03</v>
      </c>
      <c r="R468" s="32" t="n">
        <f aca="false">J468*(INDEX(P_VAL,MATCH("CTRL_AÑO",P_ID,0))*L468+(1-INDEX(PY_VAL,MATCH("P_USADOS",PY_ID,0),1))*M468+INDEX(PY_VAL,MATCH("P_USADOS",PY_ID,0),1)*N468+IF(P468&gt;0,O468/P468,0)+Q468)</f>
        <v>0.03</v>
      </c>
      <c r="S468" s="32" t="n">
        <f aca="false">J468*(INDEX(P_VAL,MATCH("CTRL_AÑO",P_ID,0))*L468+(1-INDEX(PY_VAL,MATCH("P_USADOS",PY_ID,0),2))*M468+INDEX(PY_VAL,MATCH("P_USADOS",PY_ID,0),2)*N468+IF(P468&gt;0,O468/P468,0)+Q468)</f>
        <v>0.03</v>
      </c>
      <c r="T468" s="32" t="n">
        <f aca="false">J468*(INDEX(P_VAL,MATCH("CTRL_AÑO",P_ID,0))*L468+(1-INDEX(PY_VAL,MATCH("P_USADOS",PY_ID,0),3))*M468+INDEX(PY_VAL,MATCH("P_USADOS",PY_ID,0),3)*N468+IF(P468&gt;0,O468/P468,0)+Q468)</f>
        <v>0.03</v>
      </c>
      <c r="U468" s="32" t="n">
        <f aca="false">J468*(INDEX(P_VAL,MATCH("CTRL_AÑO",P_ID,0))*L468+(1-INDEX(PY_VAL,MATCH("P_USADOS",PY_ID,0),4))*M468+INDEX(PY_VAL,MATCH("P_USADOS",PY_ID,0),4)*N468+IF(P468&gt;0,O468/P468,0)+Q468)</f>
        <v>0.03</v>
      </c>
      <c r="V468" s="32" t="n">
        <f aca="false">J468*(INDEX(P_VAL,MATCH("CTRL_AÑO",P_ID,0))*L468+(1-INDEX(PY_VAL,MATCH("P_USADOS",PY_ID,0),5))*M468+INDEX(PY_VAL,MATCH("P_USADOS",PY_ID,0),5)*N468+IF(P468&gt;0,O468/P468,0)+Q468)</f>
        <v>0.03</v>
      </c>
      <c r="W468" s="32" t="n">
        <f aca="false">J468*(INDEX(P_VAL,MATCH("CTRL_AÑO",P_ID,0))*L468+(1-INDEX(PY_VAL,MATCH("P_USADOS",PY_ID,0),6))*M468+INDEX(PY_VAL,MATCH("P_USADOS",PY_ID,0),6)*N468+IF(P468&gt;0,O468/P468,0)+Q468)</f>
        <v>0.03</v>
      </c>
      <c r="X468" s="32" t="n">
        <f aca="false">J468*(INDEX(P_VAL,MATCH("CTRL_AÑO",P_ID,0))*L468+(1-INDEX(PY_VAL,MATCH("P_USADOS",PY_ID,0),7))*M468+INDEX(PY_VAL,MATCH("P_USADOS",PY_ID,0),7)*N468+IF(P468&gt;0,O468/P468,0)+Q468)</f>
        <v>0.03</v>
      </c>
      <c r="Y468" s="32" t="n">
        <f aca="false">J468*(INDEX(P_VAL,MATCH("CTRL_AÑO",P_ID,0))*L468+(1-INDEX(PY_VAL,MATCH("P_USADOS",PY_ID,0),8))*M468+INDEX(PY_VAL,MATCH("P_USADOS",PY_ID,0),8)*N468+IF(P468&gt;0,O468/P468,0)+Q468)</f>
        <v>0.03</v>
      </c>
      <c r="Z468" s="32" t="n">
        <f aca="false">J468*(INDEX(P_VAL,MATCH("CTRL_AÑO",P_ID,0))*L468+(1-INDEX(PY_VAL,MATCH("P_USADOS",PY_ID,0),9))*M468+INDEX(PY_VAL,MATCH("P_USADOS",PY_ID,0),9)*N468+IF(P468&gt;0,O468/P468,0)+Q468)</f>
        <v>0.03</v>
      </c>
      <c r="AA468" s="32" t="n">
        <f aca="false">J468*(INDEX(P_VAL,MATCH("CTRL_AÑO",P_ID,0))*L468+(1-INDEX(PY_VAL,MATCH("P_USADOS",PY_ID,0),10))*M468+INDEX(PY_VAL,MATCH("P_USADOS",PY_ID,0),10)*N468+IF(P468&gt;0,O468/P468,0)+Q468)</f>
        <v>0.03</v>
      </c>
      <c r="AB468" s="5" t="s">
        <v>1388</v>
      </c>
    </row>
    <row r="469" customFormat="false" ht="15" hidden="false" customHeight="false" outlineLevel="0" collapsed="false">
      <c r="A469" s="4" t="s">
        <v>300</v>
      </c>
      <c r="B469" s="4"/>
      <c r="C469" s="4"/>
      <c r="D469" s="5" t="s">
        <v>1389</v>
      </c>
      <c r="E469" s="32" t="n">
        <v>1</v>
      </c>
      <c r="F469" s="32" t="s">
        <v>82</v>
      </c>
      <c r="G469" s="33" t="s">
        <v>477</v>
      </c>
      <c r="H469" s="32" t="s">
        <v>510</v>
      </c>
      <c r="I469" s="32" t="n">
        <v>1</v>
      </c>
      <c r="J469" s="32" t="n">
        <f aca="false">E469*I469</f>
        <v>1</v>
      </c>
      <c r="K469" s="32"/>
      <c r="L469" s="32" t="n">
        <v>0</v>
      </c>
      <c r="M469" s="32" t="n">
        <v>0</v>
      </c>
      <c r="N469" s="32" t="n">
        <v>0</v>
      </c>
      <c r="O469" s="32" t="n">
        <v>0</v>
      </c>
      <c r="P469" s="32" t="n">
        <v>0</v>
      </c>
      <c r="Q469" s="32" t="n">
        <f aca="false">INDEX(P_VAL,MATCH("REPO_MANO",P_ID,0))</f>
        <v>0.08</v>
      </c>
      <c r="R469" s="32" t="n">
        <f aca="false">J469*(INDEX(P_VAL,MATCH("CTRL_AÑO",P_ID,0))*L469+(1-INDEX(PY_VAL,MATCH("P_USADOS",PY_ID,0),1))*M469+INDEX(PY_VAL,MATCH("P_USADOS",PY_ID,0),1)*N469+IF(P469&gt;0,O469/P469,0)+Q469)</f>
        <v>0.08</v>
      </c>
      <c r="S469" s="32" t="n">
        <f aca="false">J469*(INDEX(P_VAL,MATCH("CTRL_AÑO",P_ID,0))*L469+(1-INDEX(PY_VAL,MATCH("P_USADOS",PY_ID,0),2))*M469+INDEX(PY_VAL,MATCH("P_USADOS",PY_ID,0),2)*N469+IF(P469&gt;0,O469/P469,0)+Q469)</f>
        <v>0.08</v>
      </c>
      <c r="T469" s="32" t="n">
        <f aca="false">J469*(INDEX(P_VAL,MATCH("CTRL_AÑO",P_ID,0))*L469+(1-INDEX(PY_VAL,MATCH("P_USADOS",PY_ID,0),3))*M469+INDEX(PY_VAL,MATCH("P_USADOS",PY_ID,0),3)*N469+IF(P469&gt;0,O469/P469,0)+Q469)</f>
        <v>0.08</v>
      </c>
      <c r="U469" s="32" t="n">
        <f aca="false">J469*(INDEX(P_VAL,MATCH("CTRL_AÑO",P_ID,0))*L469+(1-INDEX(PY_VAL,MATCH("P_USADOS",PY_ID,0),4))*M469+INDEX(PY_VAL,MATCH("P_USADOS",PY_ID,0),4)*N469+IF(P469&gt;0,O469/P469,0)+Q469)</f>
        <v>0.08</v>
      </c>
      <c r="V469" s="32" t="n">
        <f aca="false">J469*(INDEX(P_VAL,MATCH("CTRL_AÑO",P_ID,0))*L469+(1-INDEX(PY_VAL,MATCH("P_USADOS",PY_ID,0),5))*M469+INDEX(PY_VAL,MATCH("P_USADOS",PY_ID,0),5)*N469+IF(P469&gt;0,O469/P469,0)+Q469)</f>
        <v>0.08</v>
      </c>
      <c r="W469" s="32" t="n">
        <f aca="false">J469*(INDEX(P_VAL,MATCH("CTRL_AÑO",P_ID,0))*L469+(1-INDEX(PY_VAL,MATCH("P_USADOS",PY_ID,0),6))*M469+INDEX(PY_VAL,MATCH("P_USADOS",PY_ID,0),6)*N469+IF(P469&gt;0,O469/P469,0)+Q469)</f>
        <v>0.08</v>
      </c>
      <c r="X469" s="32" t="n">
        <f aca="false">J469*(INDEX(P_VAL,MATCH("CTRL_AÑO",P_ID,0))*L469+(1-INDEX(PY_VAL,MATCH("P_USADOS",PY_ID,0),7))*M469+INDEX(PY_VAL,MATCH("P_USADOS",PY_ID,0),7)*N469+IF(P469&gt;0,O469/P469,0)+Q469)</f>
        <v>0.08</v>
      </c>
      <c r="Y469" s="32" t="n">
        <f aca="false">J469*(INDEX(P_VAL,MATCH("CTRL_AÑO",P_ID,0))*L469+(1-INDEX(PY_VAL,MATCH("P_USADOS",PY_ID,0),8))*M469+INDEX(PY_VAL,MATCH("P_USADOS",PY_ID,0),8)*N469+IF(P469&gt;0,O469/P469,0)+Q469)</f>
        <v>0.08</v>
      </c>
      <c r="Z469" s="32" t="n">
        <f aca="false">J469*(INDEX(P_VAL,MATCH("CTRL_AÑO",P_ID,0))*L469+(1-INDEX(PY_VAL,MATCH("P_USADOS",PY_ID,0),9))*M469+INDEX(PY_VAL,MATCH("P_USADOS",PY_ID,0),9)*N469+IF(P469&gt;0,O469/P469,0)+Q469)</f>
        <v>0.08</v>
      </c>
      <c r="AA469" s="32" t="n">
        <f aca="false">J469*(INDEX(P_VAL,MATCH("CTRL_AÑO",P_ID,0))*L469+(1-INDEX(PY_VAL,MATCH("P_USADOS",PY_ID,0),10))*M469+INDEX(PY_VAL,MATCH("P_USADOS",PY_ID,0),10)*N469+IF(P469&gt;0,O469/P469,0)+Q469)</f>
        <v>0.08</v>
      </c>
      <c r="AB469" s="5" t="s">
        <v>1388</v>
      </c>
    </row>
    <row r="470" customFormat="false" ht="15" hidden="false" customHeight="false" outlineLevel="0" collapsed="false">
      <c r="A470" s="4" t="s">
        <v>300</v>
      </c>
      <c r="B470" s="4"/>
      <c r="C470" s="4"/>
      <c r="D470" s="5" t="s">
        <v>1402</v>
      </c>
      <c r="E470" s="32" t="n">
        <v>1</v>
      </c>
      <c r="F470" s="32" t="s">
        <v>82</v>
      </c>
      <c r="G470" s="33" t="s">
        <v>477</v>
      </c>
      <c r="H470" s="32" t="s">
        <v>1056</v>
      </c>
      <c r="I470" s="32" t="n">
        <v>1</v>
      </c>
      <c r="J470" s="32" t="n">
        <f aca="false">E470*I470</f>
        <v>1</v>
      </c>
      <c r="K470" s="32"/>
      <c r="L470" s="32" t="n">
        <v>0</v>
      </c>
      <c r="M470" s="32" t="n">
        <v>0</v>
      </c>
      <c r="N470" s="32" t="n">
        <v>0</v>
      </c>
      <c r="O470" s="32" t="n">
        <v>0</v>
      </c>
      <c r="P470" s="32" t="n">
        <v>0</v>
      </c>
      <c r="Q470" s="32" t="n">
        <f aca="false">INDEX(P_VAL,MATCH("REPO_MANG",P_ID,0))</f>
        <v>0.05</v>
      </c>
      <c r="R470" s="32" t="n">
        <f aca="false">J470*(INDEX(P_VAL,MATCH("CTRL_AÑO",P_ID,0))*L470+(1-INDEX(PY_VAL,MATCH("P_USADOS",PY_ID,0),1))*M470+INDEX(PY_VAL,MATCH("P_USADOS",PY_ID,0),1)*N470+IF(P470&gt;0,O470/P470,0)+Q470)</f>
        <v>0.05</v>
      </c>
      <c r="S470" s="32" t="n">
        <f aca="false">J470*(INDEX(P_VAL,MATCH("CTRL_AÑO",P_ID,0))*L470+(1-INDEX(PY_VAL,MATCH("P_USADOS",PY_ID,0),2))*M470+INDEX(PY_VAL,MATCH("P_USADOS",PY_ID,0),2)*N470+IF(P470&gt;0,O470/P470,0)+Q470)</f>
        <v>0.05</v>
      </c>
      <c r="T470" s="32" t="n">
        <f aca="false">J470*(INDEX(P_VAL,MATCH("CTRL_AÑO",P_ID,0))*L470+(1-INDEX(PY_VAL,MATCH("P_USADOS",PY_ID,0),3))*M470+INDEX(PY_VAL,MATCH("P_USADOS",PY_ID,0),3)*N470+IF(P470&gt;0,O470/P470,0)+Q470)</f>
        <v>0.05</v>
      </c>
      <c r="U470" s="32" t="n">
        <f aca="false">J470*(INDEX(P_VAL,MATCH("CTRL_AÑO",P_ID,0))*L470+(1-INDEX(PY_VAL,MATCH("P_USADOS",PY_ID,0),4))*M470+INDEX(PY_VAL,MATCH("P_USADOS",PY_ID,0),4)*N470+IF(P470&gt;0,O470/P470,0)+Q470)</f>
        <v>0.05</v>
      </c>
      <c r="V470" s="32" t="n">
        <f aca="false">J470*(INDEX(P_VAL,MATCH("CTRL_AÑO",P_ID,0))*L470+(1-INDEX(PY_VAL,MATCH("P_USADOS",PY_ID,0),5))*M470+INDEX(PY_VAL,MATCH("P_USADOS",PY_ID,0),5)*N470+IF(P470&gt;0,O470/P470,0)+Q470)</f>
        <v>0.05</v>
      </c>
      <c r="W470" s="32" t="n">
        <f aca="false">J470*(INDEX(P_VAL,MATCH("CTRL_AÑO",P_ID,0))*L470+(1-INDEX(PY_VAL,MATCH("P_USADOS",PY_ID,0),6))*M470+INDEX(PY_VAL,MATCH("P_USADOS",PY_ID,0),6)*N470+IF(P470&gt;0,O470/P470,0)+Q470)</f>
        <v>0.05</v>
      </c>
      <c r="X470" s="32" t="n">
        <f aca="false">J470*(INDEX(P_VAL,MATCH("CTRL_AÑO",P_ID,0))*L470+(1-INDEX(PY_VAL,MATCH("P_USADOS",PY_ID,0),7))*M470+INDEX(PY_VAL,MATCH("P_USADOS",PY_ID,0),7)*N470+IF(P470&gt;0,O470/P470,0)+Q470)</f>
        <v>0.05</v>
      </c>
      <c r="Y470" s="32" t="n">
        <f aca="false">J470*(INDEX(P_VAL,MATCH("CTRL_AÑO",P_ID,0))*L470+(1-INDEX(PY_VAL,MATCH("P_USADOS",PY_ID,0),8))*M470+INDEX(PY_VAL,MATCH("P_USADOS",PY_ID,0),8)*N470+IF(P470&gt;0,O470/P470,0)+Q470)</f>
        <v>0.05</v>
      </c>
      <c r="Z470" s="32" t="n">
        <f aca="false">J470*(INDEX(P_VAL,MATCH("CTRL_AÑO",P_ID,0))*L470+(1-INDEX(PY_VAL,MATCH("P_USADOS",PY_ID,0),9))*M470+INDEX(PY_VAL,MATCH("P_USADOS",PY_ID,0),9)*N470+IF(P470&gt;0,O470/P470,0)+Q470)</f>
        <v>0.05</v>
      </c>
      <c r="AA470" s="32" t="n">
        <f aca="false">J470*(INDEX(P_VAL,MATCH("CTRL_AÑO",P_ID,0))*L470+(1-INDEX(PY_VAL,MATCH("P_USADOS",PY_ID,0),10))*M470+INDEX(PY_VAL,MATCH("P_USADOS",PY_ID,0),10)*N470+IF(P470&gt;0,O470/P470,0)+Q470)</f>
        <v>0.05</v>
      </c>
      <c r="AB470" s="5" t="s">
        <v>1388</v>
      </c>
    </row>
    <row r="471" customFormat="false" ht="15" hidden="false" customHeight="false" outlineLevel="0" collapsed="false">
      <c r="A471" s="4" t="s">
        <v>303</v>
      </c>
      <c r="B471" s="4" t="s">
        <v>1341</v>
      </c>
      <c r="C471" s="4" t="s">
        <v>1453</v>
      </c>
      <c r="D471" s="5" t="s">
        <v>1343</v>
      </c>
      <c r="E471" s="32" t="n">
        <v>1</v>
      </c>
      <c r="F471" s="32" t="s">
        <v>82</v>
      </c>
      <c r="G471" s="33" t="s">
        <v>1344</v>
      </c>
      <c r="H471" s="32" t="s">
        <v>1345</v>
      </c>
      <c r="I471" s="32" t="n">
        <v>1</v>
      </c>
      <c r="J471" s="32" t="n">
        <f aca="false">E471*I471</f>
        <v>1</v>
      </c>
      <c r="K471" s="32"/>
      <c r="L471" s="32" t="n">
        <v>1</v>
      </c>
      <c r="M471" s="32" t="n">
        <v>0</v>
      </c>
      <c r="N471" s="32" t="n">
        <v>0</v>
      </c>
      <c r="O471" s="32" t="n">
        <v>0</v>
      </c>
      <c r="P471" s="32" t="n">
        <v>5</v>
      </c>
      <c r="Q471" s="32" t="n">
        <v>0</v>
      </c>
      <c r="R471" s="32" t="n">
        <f aca="false">J471*(INDEX(P_VAL,MATCH("CTRL_AÑO",P_ID,0))*L471+(1-INDEX(PY_VAL,MATCH("P_USADOS",PY_ID,0),1))*M471+INDEX(PY_VAL,MATCH("P_USADOS",PY_ID,0),1)*N471+IF(P471&gt;0,O471/P471,0)+Q471)</f>
        <v>4</v>
      </c>
      <c r="S471" s="32" t="n">
        <f aca="false">J471*(INDEX(P_VAL,MATCH("CTRL_AÑO",P_ID,0))*L471+(1-INDEX(PY_VAL,MATCH("P_USADOS",PY_ID,0),2))*M471+INDEX(PY_VAL,MATCH("P_USADOS",PY_ID,0),2)*N471+IF(P471&gt;0,O471/P471,0)+Q471)</f>
        <v>4</v>
      </c>
      <c r="T471" s="32" t="n">
        <f aca="false">J471*(INDEX(P_VAL,MATCH("CTRL_AÑO",P_ID,0))*L471+(1-INDEX(PY_VAL,MATCH("P_USADOS",PY_ID,0),3))*M471+INDEX(PY_VAL,MATCH("P_USADOS",PY_ID,0),3)*N471+IF(P471&gt;0,O471/P471,0)+Q471)</f>
        <v>4</v>
      </c>
      <c r="U471" s="32" t="n">
        <f aca="false">J471*(INDEX(P_VAL,MATCH("CTRL_AÑO",P_ID,0))*L471+(1-INDEX(PY_VAL,MATCH("P_USADOS",PY_ID,0),4))*M471+INDEX(PY_VAL,MATCH("P_USADOS",PY_ID,0),4)*N471+IF(P471&gt;0,O471/P471,0)+Q471)</f>
        <v>4</v>
      </c>
      <c r="V471" s="32" t="n">
        <f aca="false">J471*(INDEX(P_VAL,MATCH("CTRL_AÑO",P_ID,0))*L471+(1-INDEX(PY_VAL,MATCH("P_USADOS",PY_ID,0),5))*M471+INDEX(PY_VAL,MATCH("P_USADOS",PY_ID,0),5)*N471+IF(P471&gt;0,O471/P471,0)+Q471)</f>
        <v>4</v>
      </c>
      <c r="W471" s="32" t="n">
        <f aca="false">J471*(INDEX(P_VAL,MATCH("CTRL_AÑO",P_ID,0))*L471+(1-INDEX(PY_VAL,MATCH("P_USADOS",PY_ID,0),6))*M471+INDEX(PY_VAL,MATCH("P_USADOS",PY_ID,0),6)*N471+IF(P471&gt;0,O471/P471,0)+Q471)</f>
        <v>4</v>
      </c>
      <c r="X471" s="32" t="n">
        <f aca="false">J471*(INDEX(P_VAL,MATCH("CTRL_AÑO",P_ID,0))*L471+(1-INDEX(PY_VAL,MATCH("P_USADOS",PY_ID,0),7))*M471+INDEX(PY_VAL,MATCH("P_USADOS",PY_ID,0),7)*N471+IF(P471&gt;0,O471/P471,0)+Q471)</f>
        <v>4</v>
      </c>
      <c r="Y471" s="32" t="n">
        <f aca="false">J471*(INDEX(P_VAL,MATCH("CTRL_AÑO",P_ID,0))*L471+(1-INDEX(PY_VAL,MATCH("P_USADOS",PY_ID,0),8))*M471+INDEX(PY_VAL,MATCH("P_USADOS",PY_ID,0),8)*N471+IF(P471&gt;0,O471/P471,0)+Q471)</f>
        <v>4</v>
      </c>
      <c r="Z471" s="32" t="n">
        <f aca="false">J471*(INDEX(P_VAL,MATCH("CTRL_AÑO",P_ID,0))*L471+(1-INDEX(PY_VAL,MATCH("P_USADOS",PY_ID,0),9))*M471+INDEX(PY_VAL,MATCH("P_USADOS",PY_ID,0),9)*N471+IF(P471&gt;0,O471/P471,0)+Q471)</f>
        <v>4</v>
      </c>
      <c r="AA471" s="32" t="n">
        <f aca="false">J471*(INDEX(P_VAL,MATCH("CTRL_AÑO",P_ID,0))*L471+(1-INDEX(PY_VAL,MATCH("P_USADOS",PY_ID,0),10))*M471+INDEX(PY_VAL,MATCH("P_USADOS",PY_ID,0),10)*N471+IF(P471&gt;0,O471/P471,0)+Q471)</f>
        <v>4</v>
      </c>
      <c r="AB471" s="5" t="s">
        <v>1346</v>
      </c>
    </row>
    <row r="472" customFormat="false" ht="15" hidden="false" customHeight="false" outlineLevel="0" collapsed="false">
      <c r="A472" s="4" t="s">
        <v>303</v>
      </c>
      <c r="B472" s="4" t="s">
        <v>1347</v>
      </c>
      <c r="C472" s="4" t="s">
        <v>1454</v>
      </c>
      <c r="D472" s="5" t="s">
        <v>1429</v>
      </c>
      <c r="E472" s="32" t="n">
        <v>1</v>
      </c>
      <c r="F472" s="32" t="s">
        <v>73</v>
      </c>
      <c r="G472" s="33" t="s">
        <v>1344</v>
      </c>
      <c r="H472" s="32" t="s">
        <v>988</v>
      </c>
      <c r="I472" s="32" t="n">
        <v>1</v>
      </c>
      <c r="J472" s="32" t="n">
        <f aca="false">E472*I472</f>
        <v>1</v>
      </c>
      <c r="K472" s="32"/>
      <c r="L472" s="32" t="n">
        <v>0</v>
      </c>
      <c r="M472" s="32" t="n">
        <v>2.09999999999999</v>
      </c>
      <c r="N472" s="32" t="n">
        <v>70</v>
      </c>
      <c r="O472" s="32" t="n">
        <v>0</v>
      </c>
      <c r="P472" s="32" t="n">
        <v>5</v>
      </c>
      <c r="Q472" s="32" t="n">
        <v>0</v>
      </c>
      <c r="R472" s="32" t="n">
        <f aca="false">J472*(INDEX(P_VAL,MATCH("CTRL_AÑO",P_ID,0))*L472+(1-INDEX(PY_VAL,MATCH("P_USADOS",PY_ID,0),1))*M472+INDEX(PY_VAL,MATCH("P_USADOS",PY_ID,0),1)*N472+IF(P472&gt;0,O472/P472,0)+Q472)</f>
        <v>5.33475599999999</v>
      </c>
      <c r="S472" s="32" t="n">
        <f aca="false">J472*(INDEX(P_VAL,MATCH("CTRL_AÑO",P_ID,0))*L472+(1-INDEX(PY_VAL,MATCH("P_USADOS",PY_ID,0),2))*M472+INDEX(PY_VAL,MATCH("P_USADOS",PY_ID,0),2)*N472+IF(P472&gt;0,O472/P472,0)+Q472)</f>
        <v>5.33448439999999</v>
      </c>
      <c r="T472" s="32" t="n">
        <f aca="false">J472*(INDEX(P_VAL,MATCH("CTRL_AÑO",P_ID,0))*L472+(1-INDEX(PY_VAL,MATCH("P_USADOS",PY_ID,0),3))*M472+INDEX(PY_VAL,MATCH("P_USADOS",PY_ID,0),3)*N472+IF(P472&gt;0,O472/P472,0)+Q472)</f>
        <v>5.33455229999999</v>
      </c>
      <c r="U472" s="32" t="n">
        <f aca="false">J472*(INDEX(P_VAL,MATCH("CTRL_AÑO",P_ID,0))*L472+(1-INDEX(PY_VAL,MATCH("P_USADOS",PY_ID,0),4))*M472+INDEX(PY_VAL,MATCH("P_USADOS",PY_ID,0),4)*N472+IF(P472&gt;0,O472/P472,0)+Q472)</f>
        <v>5.33468809999999</v>
      </c>
      <c r="V472" s="32" t="n">
        <f aca="false">J472*(INDEX(P_VAL,MATCH("CTRL_AÑO",P_ID,0))*L472+(1-INDEX(PY_VAL,MATCH("P_USADOS",PY_ID,0),5))*M472+INDEX(PY_VAL,MATCH("P_USADOS",PY_ID,0),5)*N472+IF(P472&gt;0,O472/P472,0)+Q472)</f>
        <v>5.33448439999999</v>
      </c>
      <c r="W472" s="32" t="n">
        <f aca="false">J472*(INDEX(P_VAL,MATCH("CTRL_AÑO",P_ID,0))*L472+(1-INDEX(PY_VAL,MATCH("P_USADOS",PY_ID,0),6))*M472+INDEX(PY_VAL,MATCH("P_USADOS",PY_ID,0),6)*N472+IF(P472&gt;0,O472/P472,0)+Q472)</f>
        <v>5.33455229999999</v>
      </c>
      <c r="X472" s="32" t="n">
        <f aca="false">J472*(INDEX(P_VAL,MATCH("CTRL_AÑO",P_ID,0))*L472+(1-INDEX(PY_VAL,MATCH("P_USADOS",PY_ID,0),7))*M472+INDEX(PY_VAL,MATCH("P_USADOS",PY_ID,0),7)*N472+IF(P472&gt;0,O472/P472,0)+Q472)</f>
        <v>5.33448439999999</v>
      </c>
      <c r="Y472" s="32" t="n">
        <f aca="false">J472*(INDEX(P_VAL,MATCH("CTRL_AÑO",P_ID,0))*L472+(1-INDEX(PY_VAL,MATCH("P_USADOS",PY_ID,0),8))*M472+INDEX(PY_VAL,MATCH("P_USADOS",PY_ID,0),8)*N472+IF(P472&gt;0,O472/P472,0)+Q472)</f>
        <v>5.33462019999999</v>
      </c>
      <c r="Z472" s="32" t="n">
        <f aca="false">J472*(INDEX(P_VAL,MATCH("CTRL_AÑO",P_ID,0))*L472+(1-INDEX(PY_VAL,MATCH("P_USADOS",PY_ID,0),9))*M472+INDEX(PY_VAL,MATCH("P_USADOS",PY_ID,0),9)*N472+IF(P472&gt;0,O472/P472,0)+Q472)</f>
        <v>5.33448439999999</v>
      </c>
      <c r="AA472" s="32" t="n">
        <f aca="false">J472*(INDEX(P_VAL,MATCH("CTRL_AÑO",P_ID,0))*L472+(1-INDEX(PY_VAL,MATCH("P_USADOS",PY_ID,0),10))*M472+INDEX(PY_VAL,MATCH("P_USADOS",PY_ID,0),10)*N472+IF(P472&gt;0,O472/P472,0)+Q472)</f>
        <v>5.33428069999999</v>
      </c>
      <c r="AB472" s="5" t="s">
        <v>1346</v>
      </c>
    </row>
    <row r="473" customFormat="false" ht="15" hidden="false" customHeight="false" outlineLevel="0" collapsed="false">
      <c r="A473" s="4" t="s">
        <v>303</v>
      </c>
      <c r="B473" s="4" t="s">
        <v>1350</v>
      </c>
      <c r="C473" s="4" t="s">
        <v>1455</v>
      </c>
      <c r="D473" s="5" t="s">
        <v>571</v>
      </c>
      <c r="E473" s="32" t="n">
        <v>1</v>
      </c>
      <c r="F473" s="32" t="s">
        <v>73</v>
      </c>
      <c r="G473" s="33" t="s">
        <v>1344</v>
      </c>
      <c r="H473" s="32" t="s">
        <v>573</v>
      </c>
      <c r="I473" s="32" t="n">
        <f aca="false">(1+INDEX(P_VAL,MATCH("N2_PERD",P_ID,0)))/INDEX(P_VAL,MATCH("RHO_N2",P_ID,0))</f>
        <v>1.0406660262568</v>
      </c>
      <c r="J473" s="32" t="n">
        <f aca="false">E473*I473</f>
        <v>1.0406660262568</v>
      </c>
      <c r="K473" s="32"/>
      <c r="L473" s="32" t="n">
        <v>0</v>
      </c>
      <c r="M473" s="32" t="n">
        <v>0.558200398220198</v>
      </c>
      <c r="N473" s="32" t="n">
        <v>0.558200398220198</v>
      </c>
      <c r="O473" s="32" t="n">
        <v>0</v>
      </c>
      <c r="P473" s="32" t="n">
        <v>5</v>
      </c>
      <c r="Q473" s="32" t="n">
        <v>0</v>
      </c>
      <c r="R473" s="32" t="n">
        <f aca="false">J473*(INDEX(P_VAL,MATCH("CTRL_AÑO",P_ID,0))*L473+(1-INDEX(PY_VAL,MATCH("P_USADOS",PY_ID,0),1))*M473+INDEX(PY_VAL,MATCH("P_USADOS",PY_ID,0),1)*N473+IF(P473&gt;0,O473/P473,0)+Q473)</f>
        <v>0.580900190270779</v>
      </c>
      <c r="S473" s="32" t="n">
        <f aca="false">J473*(INDEX(P_VAL,MATCH("CTRL_AÑO",P_ID,0))*L473+(1-INDEX(PY_VAL,MATCH("P_USADOS",PY_ID,0),2))*M473+INDEX(PY_VAL,MATCH("P_USADOS",PY_ID,0),2)*N473+IF(P473&gt;0,O473/P473,0)+Q473)</f>
        <v>0.580900190270779</v>
      </c>
      <c r="T473" s="32" t="n">
        <f aca="false">J473*(INDEX(P_VAL,MATCH("CTRL_AÑO",P_ID,0))*L473+(1-INDEX(PY_VAL,MATCH("P_USADOS",PY_ID,0),3))*M473+INDEX(PY_VAL,MATCH("P_USADOS",PY_ID,0),3)*N473+IF(P473&gt;0,O473/P473,0)+Q473)</f>
        <v>0.580900190270779</v>
      </c>
      <c r="U473" s="32" t="n">
        <f aca="false">J473*(INDEX(P_VAL,MATCH("CTRL_AÑO",P_ID,0))*L473+(1-INDEX(PY_VAL,MATCH("P_USADOS",PY_ID,0),4))*M473+INDEX(PY_VAL,MATCH("P_USADOS",PY_ID,0),4)*N473+IF(P473&gt;0,O473/P473,0)+Q473)</f>
        <v>0.580900190270779</v>
      </c>
      <c r="V473" s="32" t="n">
        <f aca="false">J473*(INDEX(P_VAL,MATCH("CTRL_AÑO",P_ID,0))*L473+(1-INDEX(PY_VAL,MATCH("P_USADOS",PY_ID,0),5))*M473+INDEX(PY_VAL,MATCH("P_USADOS",PY_ID,0),5)*N473+IF(P473&gt;0,O473/P473,0)+Q473)</f>
        <v>0.580900190270779</v>
      </c>
      <c r="W473" s="32" t="n">
        <f aca="false">J473*(INDEX(P_VAL,MATCH("CTRL_AÑO",P_ID,0))*L473+(1-INDEX(PY_VAL,MATCH("P_USADOS",PY_ID,0),6))*M473+INDEX(PY_VAL,MATCH("P_USADOS",PY_ID,0),6)*N473+IF(P473&gt;0,O473/P473,0)+Q473)</f>
        <v>0.580900190270779</v>
      </c>
      <c r="X473" s="32" t="n">
        <f aca="false">J473*(INDEX(P_VAL,MATCH("CTRL_AÑO",P_ID,0))*L473+(1-INDEX(PY_VAL,MATCH("P_USADOS",PY_ID,0),7))*M473+INDEX(PY_VAL,MATCH("P_USADOS",PY_ID,0),7)*N473+IF(P473&gt;0,O473/P473,0)+Q473)</f>
        <v>0.580900190270779</v>
      </c>
      <c r="Y473" s="32" t="n">
        <f aca="false">J473*(INDEX(P_VAL,MATCH("CTRL_AÑO",P_ID,0))*L473+(1-INDEX(PY_VAL,MATCH("P_USADOS",PY_ID,0),8))*M473+INDEX(PY_VAL,MATCH("P_USADOS",PY_ID,0),8)*N473+IF(P473&gt;0,O473/P473,0)+Q473)</f>
        <v>0.580900190270779</v>
      </c>
      <c r="Z473" s="32" t="n">
        <f aca="false">J473*(INDEX(P_VAL,MATCH("CTRL_AÑO",P_ID,0))*L473+(1-INDEX(PY_VAL,MATCH("P_USADOS",PY_ID,0),9))*M473+INDEX(PY_VAL,MATCH("P_USADOS",PY_ID,0),9)*N473+IF(P473&gt;0,O473/P473,0)+Q473)</f>
        <v>0.580900190270779</v>
      </c>
      <c r="AA473" s="32" t="n">
        <f aca="false">J473*(INDEX(P_VAL,MATCH("CTRL_AÑO",P_ID,0))*L473+(1-INDEX(PY_VAL,MATCH("P_USADOS",PY_ID,0),10))*M473+INDEX(PY_VAL,MATCH("P_USADOS",PY_ID,0),10)*N473+IF(P473&gt;0,O473/P473,0)+Q473)</f>
        <v>0.580900190270779</v>
      </c>
      <c r="AB473" s="5" t="s">
        <v>1346</v>
      </c>
    </row>
    <row r="474" customFormat="false" ht="15" hidden="false" customHeight="false" outlineLevel="0" collapsed="false">
      <c r="A474" s="4" t="s">
        <v>303</v>
      </c>
      <c r="B474" s="4" t="s">
        <v>1352</v>
      </c>
      <c r="C474" s="4" t="s">
        <v>1456</v>
      </c>
      <c r="D474" s="5" t="s">
        <v>1354</v>
      </c>
      <c r="E474" s="32" t="n">
        <v>1</v>
      </c>
      <c r="F474" s="32" t="s">
        <v>82</v>
      </c>
      <c r="G474" s="33" t="s">
        <v>1344</v>
      </c>
      <c r="H474" s="32" t="s">
        <v>1355</v>
      </c>
      <c r="I474" s="32" t="n">
        <v>1</v>
      </c>
      <c r="J474" s="32" t="n">
        <f aca="false">E474*I474</f>
        <v>1</v>
      </c>
      <c r="K474" s="32"/>
      <c r="L474" s="32" t="n">
        <v>0</v>
      </c>
      <c r="M474" s="32" t="n">
        <v>1</v>
      </c>
      <c r="N474" s="32" t="n">
        <v>1</v>
      </c>
      <c r="O474" s="32" t="n">
        <v>0</v>
      </c>
      <c r="P474" s="32" t="n">
        <v>5</v>
      </c>
      <c r="Q474" s="32" t="n">
        <v>0</v>
      </c>
      <c r="R474" s="32" t="n">
        <f aca="false">J474*(INDEX(P_VAL,MATCH("CTRL_AÑO",P_ID,0))*L474+(1-INDEX(PY_VAL,MATCH("P_USADOS",PY_ID,0),1))*M474+INDEX(PY_VAL,MATCH("P_USADOS",PY_ID,0),1)*N474+IF(P474&gt;0,O474/P474,0)+Q474)</f>
        <v>1</v>
      </c>
      <c r="S474" s="32" t="n">
        <f aca="false">J474*(INDEX(P_VAL,MATCH("CTRL_AÑO",P_ID,0))*L474+(1-INDEX(PY_VAL,MATCH("P_USADOS",PY_ID,0),2))*M474+INDEX(PY_VAL,MATCH("P_USADOS",PY_ID,0),2)*N474+IF(P474&gt;0,O474/P474,0)+Q474)</f>
        <v>1</v>
      </c>
      <c r="T474" s="32" t="n">
        <f aca="false">J474*(INDEX(P_VAL,MATCH("CTRL_AÑO",P_ID,0))*L474+(1-INDEX(PY_VAL,MATCH("P_USADOS",PY_ID,0),3))*M474+INDEX(PY_VAL,MATCH("P_USADOS",PY_ID,0),3)*N474+IF(P474&gt;0,O474/P474,0)+Q474)</f>
        <v>1</v>
      </c>
      <c r="U474" s="32" t="n">
        <f aca="false">J474*(INDEX(P_VAL,MATCH("CTRL_AÑO",P_ID,0))*L474+(1-INDEX(PY_VAL,MATCH("P_USADOS",PY_ID,0),4))*M474+INDEX(PY_VAL,MATCH("P_USADOS",PY_ID,0),4)*N474+IF(P474&gt;0,O474/P474,0)+Q474)</f>
        <v>1</v>
      </c>
      <c r="V474" s="32" t="n">
        <f aca="false">J474*(INDEX(P_VAL,MATCH("CTRL_AÑO",P_ID,0))*L474+(1-INDEX(PY_VAL,MATCH("P_USADOS",PY_ID,0),5))*M474+INDEX(PY_VAL,MATCH("P_USADOS",PY_ID,0),5)*N474+IF(P474&gt;0,O474/P474,0)+Q474)</f>
        <v>1</v>
      </c>
      <c r="W474" s="32" t="n">
        <f aca="false">J474*(INDEX(P_VAL,MATCH("CTRL_AÑO",P_ID,0))*L474+(1-INDEX(PY_VAL,MATCH("P_USADOS",PY_ID,0),6))*M474+INDEX(PY_VAL,MATCH("P_USADOS",PY_ID,0),6)*N474+IF(P474&gt;0,O474/P474,0)+Q474)</f>
        <v>1</v>
      </c>
      <c r="X474" s="32" t="n">
        <f aca="false">J474*(INDEX(P_VAL,MATCH("CTRL_AÑO",P_ID,0))*L474+(1-INDEX(PY_VAL,MATCH("P_USADOS",PY_ID,0),7))*M474+INDEX(PY_VAL,MATCH("P_USADOS",PY_ID,0),7)*N474+IF(P474&gt;0,O474/P474,0)+Q474)</f>
        <v>1</v>
      </c>
      <c r="Y474" s="32" t="n">
        <f aca="false">J474*(INDEX(P_VAL,MATCH("CTRL_AÑO",P_ID,0))*L474+(1-INDEX(PY_VAL,MATCH("P_USADOS",PY_ID,0),8))*M474+INDEX(PY_VAL,MATCH("P_USADOS",PY_ID,0),8)*N474+IF(P474&gt;0,O474/P474,0)+Q474)</f>
        <v>1</v>
      </c>
      <c r="Z474" s="32" t="n">
        <f aca="false">J474*(INDEX(P_VAL,MATCH("CTRL_AÑO",P_ID,0))*L474+(1-INDEX(PY_VAL,MATCH("P_USADOS",PY_ID,0),9))*M474+INDEX(PY_VAL,MATCH("P_USADOS",PY_ID,0),9)*N474+IF(P474&gt;0,O474/P474,0)+Q474)</f>
        <v>1</v>
      </c>
      <c r="AA474" s="32" t="n">
        <f aca="false">J474*(INDEX(P_VAL,MATCH("CTRL_AÑO",P_ID,0))*L474+(1-INDEX(PY_VAL,MATCH("P_USADOS",PY_ID,0),10))*M474+INDEX(PY_VAL,MATCH("P_USADOS",PY_ID,0),10)*N474+IF(P474&gt;0,O474/P474,0)+Q474)</f>
        <v>1</v>
      </c>
      <c r="AB474" s="5" t="s">
        <v>1346</v>
      </c>
    </row>
    <row r="475" customFormat="false" ht="15" hidden="false" customHeight="false" outlineLevel="0" collapsed="false">
      <c r="A475" s="4" t="s">
        <v>303</v>
      </c>
      <c r="B475" s="4" t="s">
        <v>1356</v>
      </c>
      <c r="C475" s="4" t="s">
        <v>1457</v>
      </c>
      <c r="D475" s="5" t="s">
        <v>1358</v>
      </c>
      <c r="E475" s="32" t="n">
        <v>1</v>
      </c>
      <c r="F475" s="32" t="s">
        <v>82</v>
      </c>
      <c r="G475" s="33" t="s">
        <v>1344</v>
      </c>
      <c r="H475" s="32" t="s">
        <v>1359</v>
      </c>
      <c r="I475" s="32" t="n">
        <v>1</v>
      </c>
      <c r="J475" s="32" t="n">
        <f aca="false">E475*I475</f>
        <v>1</v>
      </c>
      <c r="K475" s="32"/>
      <c r="L475" s="32" t="n">
        <v>0</v>
      </c>
      <c r="M475" s="32" t="n">
        <v>1</v>
      </c>
      <c r="N475" s="32" t="n">
        <v>1</v>
      </c>
      <c r="O475" s="32" t="n">
        <v>0</v>
      </c>
      <c r="P475" s="32" t="n">
        <v>5</v>
      </c>
      <c r="Q475" s="32" t="n">
        <v>0</v>
      </c>
      <c r="R475" s="32" t="n">
        <f aca="false">J475*(INDEX(P_VAL,MATCH("CTRL_AÑO",P_ID,0))*L475+(1-INDEX(PY_VAL,MATCH("P_USADOS",PY_ID,0),1))*M475+INDEX(PY_VAL,MATCH("P_USADOS",PY_ID,0),1)*N475+IF(P475&gt;0,O475/P475,0)+Q475)</f>
        <v>1</v>
      </c>
      <c r="S475" s="32" t="n">
        <f aca="false">J475*(INDEX(P_VAL,MATCH("CTRL_AÑO",P_ID,0))*L475+(1-INDEX(PY_VAL,MATCH("P_USADOS",PY_ID,0),2))*M475+INDEX(PY_VAL,MATCH("P_USADOS",PY_ID,0),2)*N475+IF(P475&gt;0,O475/P475,0)+Q475)</f>
        <v>1</v>
      </c>
      <c r="T475" s="32" t="n">
        <f aca="false">J475*(INDEX(P_VAL,MATCH("CTRL_AÑO",P_ID,0))*L475+(1-INDEX(PY_VAL,MATCH("P_USADOS",PY_ID,0),3))*M475+INDEX(PY_VAL,MATCH("P_USADOS",PY_ID,0),3)*N475+IF(P475&gt;0,O475/P475,0)+Q475)</f>
        <v>1</v>
      </c>
      <c r="U475" s="32" t="n">
        <f aca="false">J475*(INDEX(P_VAL,MATCH("CTRL_AÑO",P_ID,0))*L475+(1-INDEX(PY_VAL,MATCH("P_USADOS",PY_ID,0),4))*M475+INDEX(PY_VAL,MATCH("P_USADOS",PY_ID,0),4)*N475+IF(P475&gt;0,O475/P475,0)+Q475)</f>
        <v>1</v>
      </c>
      <c r="V475" s="32" t="n">
        <f aca="false">J475*(INDEX(P_VAL,MATCH("CTRL_AÑO",P_ID,0))*L475+(1-INDEX(PY_VAL,MATCH("P_USADOS",PY_ID,0),5))*M475+INDEX(PY_VAL,MATCH("P_USADOS",PY_ID,0),5)*N475+IF(P475&gt;0,O475/P475,0)+Q475)</f>
        <v>1</v>
      </c>
      <c r="W475" s="32" t="n">
        <f aca="false">J475*(INDEX(P_VAL,MATCH("CTRL_AÑO",P_ID,0))*L475+(1-INDEX(PY_VAL,MATCH("P_USADOS",PY_ID,0),6))*M475+INDEX(PY_VAL,MATCH("P_USADOS",PY_ID,0),6)*N475+IF(P475&gt;0,O475/P475,0)+Q475)</f>
        <v>1</v>
      </c>
      <c r="X475" s="32" t="n">
        <f aca="false">J475*(INDEX(P_VAL,MATCH("CTRL_AÑO",P_ID,0))*L475+(1-INDEX(PY_VAL,MATCH("P_USADOS",PY_ID,0),7))*M475+INDEX(PY_VAL,MATCH("P_USADOS",PY_ID,0),7)*N475+IF(P475&gt;0,O475/P475,0)+Q475)</f>
        <v>1</v>
      </c>
      <c r="Y475" s="32" t="n">
        <f aca="false">J475*(INDEX(P_VAL,MATCH("CTRL_AÑO",P_ID,0))*L475+(1-INDEX(PY_VAL,MATCH("P_USADOS",PY_ID,0),8))*M475+INDEX(PY_VAL,MATCH("P_USADOS",PY_ID,0),8)*N475+IF(P475&gt;0,O475/P475,0)+Q475)</f>
        <v>1</v>
      </c>
      <c r="Z475" s="32" t="n">
        <f aca="false">J475*(INDEX(P_VAL,MATCH("CTRL_AÑO",P_ID,0))*L475+(1-INDEX(PY_VAL,MATCH("P_USADOS",PY_ID,0),9))*M475+INDEX(PY_VAL,MATCH("P_USADOS",PY_ID,0),9)*N475+IF(P475&gt;0,O475/P475,0)+Q475)</f>
        <v>1</v>
      </c>
      <c r="AA475" s="32" t="n">
        <f aca="false">J475*(INDEX(P_VAL,MATCH("CTRL_AÑO",P_ID,0))*L475+(1-INDEX(PY_VAL,MATCH("P_USADOS",PY_ID,0),10))*M475+INDEX(PY_VAL,MATCH("P_USADOS",PY_ID,0),10)*N475+IF(P475&gt;0,O475/P475,0)+Q475)</f>
        <v>1</v>
      </c>
      <c r="AB475" s="5" t="s">
        <v>1346</v>
      </c>
    </row>
    <row r="476" customFormat="false" ht="15" hidden="false" customHeight="false" outlineLevel="0" collapsed="false">
      <c r="A476" s="4" t="s">
        <v>303</v>
      </c>
      <c r="B476" s="4" t="s">
        <v>1360</v>
      </c>
      <c r="C476" s="4" t="s">
        <v>1458</v>
      </c>
      <c r="D476" s="5" t="s">
        <v>1362</v>
      </c>
      <c r="E476" s="32" t="n">
        <v>1</v>
      </c>
      <c r="F476" s="32" t="s">
        <v>82</v>
      </c>
      <c r="G476" s="33" t="s">
        <v>1344</v>
      </c>
      <c r="H476" s="32" t="s">
        <v>1363</v>
      </c>
      <c r="I476" s="32" t="n">
        <v>1</v>
      </c>
      <c r="J476" s="32" t="n">
        <f aca="false">E476*I476</f>
        <v>1</v>
      </c>
      <c r="K476" s="32"/>
      <c r="L476" s="32" t="n">
        <v>0</v>
      </c>
      <c r="M476" s="32" t="n">
        <v>1</v>
      </c>
      <c r="N476" s="32" t="n">
        <v>1</v>
      </c>
      <c r="O476" s="32" t="n">
        <v>0</v>
      </c>
      <c r="P476" s="32" t="n">
        <v>5</v>
      </c>
      <c r="Q476" s="32" t="n">
        <v>0</v>
      </c>
      <c r="R476" s="32" t="n">
        <f aca="false">J476*(INDEX(P_VAL,MATCH("CTRL_AÑO",P_ID,0))*L476+(1-INDEX(PY_VAL,MATCH("P_USADOS",PY_ID,0),1))*M476+INDEX(PY_VAL,MATCH("P_USADOS",PY_ID,0),1)*N476+IF(P476&gt;0,O476/P476,0)+Q476)</f>
        <v>1</v>
      </c>
      <c r="S476" s="32" t="n">
        <f aca="false">J476*(INDEX(P_VAL,MATCH("CTRL_AÑO",P_ID,0))*L476+(1-INDEX(PY_VAL,MATCH("P_USADOS",PY_ID,0),2))*M476+INDEX(PY_VAL,MATCH("P_USADOS",PY_ID,0),2)*N476+IF(P476&gt;0,O476/P476,0)+Q476)</f>
        <v>1</v>
      </c>
      <c r="T476" s="32" t="n">
        <f aca="false">J476*(INDEX(P_VAL,MATCH("CTRL_AÑO",P_ID,0))*L476+(1-INDEX(PY_VAL,MATCH("P_USADOS",PY_ID,0),3))*M476+INDEX(PY_VAL,MATCH("P_USADOS",PY_ID,0),3)*N476+IF(P476&gt;0,O476/P476,0)+Q476)</f>
        <v>1</v>
      </c>
      <c r="U476" s="32" t="n">
        <f aca="false">J476*(INDEX(P_VAL,MATCH("CTRL_AÑO",P_ID,0))*L476+(1-INDEX(PY_VAL,MATCH("P_USADOS",PY_ID,0),4))*M476+INDEX(PY_VAL,MATCH("P_USADOS",PY_ID,0),4)*N476+IF(P476&gt;0,O476/P476,0)+Q476)</f>
        <v>1</v>
      </c>
      <c r="V476" s="32" t="n">
        <f aca="false">J476*(INDEX(P_VAL,MATCH("CTRL_AÑO",P_ID,0))*L476+(1-INDEX(PY_VAL,MATCH("P_USADOS",PY_ID,0),5))*M476+INDEX(PY_VAL,MATCH("P_USADOS",PY_ID,0),5)*N476+IF(P476&gt;0,O476/P476,0)+Q476)</f>
        <v>1</v>
      </c>
      <c r="W476" s="32" t="n">
        <f aca="false">J476*(INDEX(P_VAL,MATCH("CTRL_AÑO",P_ID,0))*L476+(1-INDEX(PY_VAL,MATCH("P_USADOS",PY_ID,0),6))*M476+INDEX(PY_VAL,MATCH("P_USADOS",PY_ID,0),6)*N476+IF(P476&gt;0,O476/P476,0)+Q476)</f>
        <v>1</v>
      </c>
      <c r="X476" s="32" t="n">
        <f aca="false">J476*(INDEX(P_VAL,MATCH("CTRL_AÑO",P_ID,0))*L476+(1-INDEX(PY_VAL,MATCH("P_USADOS",PY_ID,0),7))*M476+INDEX(PY_VAL,MATCH("P_USADOS",PY_ID,0),7)*N476+IF(P476&gt;0,O476/P476,0)+Q476)</f>
        <v>1</v>
      </c>
      <c r="Y476" s="32" t="n">
        <f aca="false">J476*(INDEX(P_VAL,MATCH("CTRL_AÑO",P_ID,0))*L476+(1-INDEX(PY_VAL,MATCH("P_USADOS",PY_ID,0),8))*M476+INDEX(PY_VAL,MATCH("P_USADOS",PY_ID,0),8)*N476+IF(P476&gt;0,O476/P476,0)+Q476)</f>
        <v>1</v>
      </c>
      <c r="Z476" s="32" t="n">
        <f aca="false">J476*(INDEX(P_VAL,MATCH("CTRL_AÑO",P_ID,0))*L476+(1-INDEX(PY_VAL,MATCH("P_USADOS",PY_ID,0),9))*M476+INDEX(PY_VAL,MATCH("P_USADOS",PY_ID,0),9)*N476+IF(P476&gt;0,O476/P476,0)+Q476)</f>
        <v>1</v>
      </c>
      <c r="AA476" s="32" t="n">
        <f aca="false">J476*(INDEX(P_VAL,MATCH("CTRL_AÑO",P_ID,0))*L476+(1-INDEX(PY_VAL,MATCH("P_USADOS",PY_ID,0),10))*M476+INDEX(PY_VAL,MATCH("P_USADOS",PY_ID,0),10)*N476+IF(P476&gt;0,O476/P476,0)+Q476)</f>
        <v>1</v>
      </c>
      <c r="AB476" s="5" t="s">
        <v>1346</v>
      </c>
    </row>
    <row r="477" customFormat="false" ht="15" hidden="false" customHeight="false" outlineLevel="0" collapsed="false">
      <c r="A477" s="4" t="s">
        <v>303</v>
      </c>
      <c r="B477" s="4" t="s">
        <v>1364</v>
      </c>
      <c r="C477" s="4" t="s">
        <v>1459</v>
      </c>
      <c r="D477" s="5" t="s">
        <v>1366</v>
      </c>
      <c r="E477" s="32" t="n">
        <v>1</v>
      </c>
      <c r="F477" s="32" t="s">
        <v>82</v>
      </c>
      <c r="G477" s="33" t="s">
        <v>1344</v>
      </c>
      <c r="H477" s="32" t="s">
        <v>1367</v>
      </c>
      <c r="I477" s="32" t="n">
        <v>1</v>
      </c>
      <c r="J477" s="32" t="n">
        <f aca="false">E477*I477</f>
        <v>1</v>
      </c>
      <c r="K477" s="32" t="s">
        <v>582</v>
      </c>
      <c r="L477" s="32" t="n">
        <v>0</v>
      </c>
      <c r="M477" s="32" t="n">
        <v>1</v>
      </c>
      <c r="N477" s="32" t="n">
        <v>1</v>
      </c>
      <c r="O477" s="32" t="n">
        <v>0</v>
      </c>
      <c r="P477" s="32" t="n">
        <v>5</v>
      </c>
      <c r="Q477" s="32" t="n">
        <v>0</v>
      </c>
      <c r="R477" s="32" t="n">
        <f aca="false">J477*(INDEX(P_VAL,MATCH("CTRL_AÑO",P_ID,0))*L477+(1-INDEX(PY_VAL,MATCH("P_USADOS",PY_ID,0),1))*M477+INDEX(PY_VAL,MATCH("P_USADOS",PY_ID,0),1)*N477+IF(P477&gt;0,O477/P477,0)+Q477)</f>
        <v>1</v>
      </c>
      <c r="S477" s="32" t="n">
        <f aca="false">J477*(INDEX(P_VAL,MATCH("CTRL_AÑO",P_ID,0))*L477+(1-INDEX(PY_VAL,MATCH("P_USADOS",PY_ID,0),2))*M477+INDEX(PY_VAL,MATCH("P_USADOS",PY_ID,0),2)*N477+IF(P477&gt;0,O477/P477,0)+Q477)</f>
        <v>1</v>
      </c>
      <c r="T477" s="32" t="n">
        <f aca="false">J477*(INDEX(P_VAL,MATCH("CTRL_AÑO",P_ID,0))*L477+(1-INDEX(PY_VAL,MATCH("P_USADOS",PY_ID,0),3))*M477+INDEX(PY_VAL,MATCH("P_USADOS",PY_ID,0),3)*N477+IF(P477&gt;0,O477/P477,0)+Q477)</f>
        <v>1</v>
      </c>
      <c r="U477" s="32" t="n">
        <f aca="false">J477*(INDEX(P_VAL,MATCH("CTRL_AÑO",P_ID,0))*L477+(1-INDEX(PY_VAL,MATCH("P_USADOS",PY_ID,0),4))*M477+INDEX(PY_VAL,MATCH("P_USADOS",PY_ID,0),4)*N477+IF(P477&gt;0,O477/P477,0)+Q477)</f>
        <v>1</v>
      </c>
      <c r="V477" s="32" t="n">
        <f aca="false">J477*(INDEX(P_VAL,MATCH("CTRL_AÑO",P_ID,0))*L477+(1-INDEX(PY_VAL,MATCH("P_USADOS",PY_ID,0),5))*M477+INDEX(PY_VAL,MATCH("P_USADOS",PY_ID,0),5)*N477+IF(P477&gt;0,O477/P477,0)+Q477)</f>
        <v>1</v>
      </c>
      <c r="W477" s="32" t="n">
        <f aca="false">J477*(INDEX(P_VAL,MATCH("CTRL_AÑO",P_ID,0))*L477+(1-INDEX(PY_VAL,MATCH("P_USADOS",PY_ID,0),6))*M477+INDEX(PY_VAL,MATCH("P_USADOS",PY_ID,0),6)*N477+IF(P477&gt;0,O477/P477,0)+Q477)</f>
        <v>1</v>
      </c>
      <c r="X477" s="32" t="n">
        <f aca="false">J477*(INDEX(P_VAL,MATCH("CTRL_AÑO",P_ID,0))*L477+(1-INDEX(PY_VAL,MATCH("P_USADOS",PY_ID,0),7))*M477+INDEX(PY_VAL,MATCH("P_USADOS",PY_ID,0),7)*N477+IF(P477&gt;0,O477/P477,0)+Q477)</f>
        <v>1</v>
      </c>
      <c r="Y477" s="32" t="n">
        <f aca="false">J477*(INDEX(P_VAL,MATCH("CTRL_AÑO",P_ID,0))*L477+(1-INDEX(PY_VAL,MATCH("P_USADOS",PY_ID,0),8))*M477+INDEX(PY_VAL,MATCH("P_USADOS",PY_ID,0),8)*N477+IF(P477&gt;0,O477/P477,0)+Q477)</f>
        <v>1</v>
      </c>
      <c r="Z477" s="32" t="n">
        <f aca="false">J477*(INDEX(P_VAL,MATCH("CTRL_AÑO",P_ID,0))*L477+(1-INDEX(PY_VAL,MATCH("P_USADOS",PY_ID,0),9))*M477+INDEX(PY_VAL,MATCH("P_USADOS",PY_ID,0),9)*N477+IF(P477&gt;0,O477/P477,0)+Q477)</f>
        <v>1</v>
      </c>
      <c r="AA477" s="32" t="n">
        <f aca="false">J477*(INDEX(P_VAL,MATCH("CTRL_AÑO",P_ID,0))*L477+(1-INDEX(PY_VAL,MATCH("P_USADOS",PY_ID,0),10))*M477+INDEX(PY_VAL,MATCH("P_USADOS",PY_ID,0),10)*N477+IF(P477&gt;0,O477/P477,0)+Q477)</f>
        <v>1</v>
      </c>
      <c r="AB477" s="5" t="s">
        <v>1346</v>
      </c>
    </row>
    <row r="478" customFormat="false" ht="15" hidden="false" customHeight="false" outlineLevel="0" collapsed="false">
      <c r="A478" s="4" t="s">
        <v>303</v>
      </c>
      <c r="B478" s="4" t="s">
        <v>1368</v>
      </c>
      <c r="C478" s="4" t="s">
        <v>1460</v>
      </c>
      <c r="D478" s="5" t="s">
        <v>1370</v>
      </c>
      <c r="E478" s="32" t="n">
        <v>1</v>
      </c>
      <c r="F478" s="32" t="s">
        <v>82</v>
      </c>
      <c r="G478" s="33" t="s">
        <v>1344</v>
      </c>
      <c r="H478" s="32" t="s">
        <v>1371</v>
      </c>
      <c r="I478" s="32" t="n">
        <v>1</v>
      </c>
      <c r="J478" s="32" t="n">
        <f aca="false">E478*I478</f>
        <v>1</v>
      </c>
      <c r="K478" s="32" t="s">
        <v>582</v>
      </c>
      <c r="L478" s="32" t="n">
        <v>0</v>
      </c>
      <c r="M478" s="32" t="n">
        <v>1</v>
      </c>
      <c r="N478" s="32" t="n">
        <v>1</v>
      </c>
      <c r="O478" s="32" t="n">
        <v>0</v>
      </c>
      <c r="P478" s="32" t="n">
        <v>5</v>
      </c>
      <c r="Q478" s="32" t="n">
        <v>0</v>
      </c>
      <c r="R478" s="32" t="n">
        <f aca="false">J478*(INDEX(P_VAL,MATCH("CTRL_AÑO",P_ID,0))*L478+(1-INDEX(PY_VAL,MATCH("P_USADOS",PY_ID,0),1))*M478+INDEX(PY_VAL,MATCH("P_USADOS",PY_ID,0),1)*N478+IF(P478&gt;0,O478/P478,0)+Q478)</f>
        <v>1</v>
      </c>
      <c r="S478" s="32" t="n">
        <f aca="false">J478*(INDEX(P_VAL,MATCH("CTRL_AÑO",P_ID,0))*L478+(1-INDEX(PY_VAL,MATCH("P_USADOS",PY_ID,0),2))*M478+INDEX(PY_VAL,MATCH("P_USADOS",PY_ID,0),2)*N478+IF(P478&gt;0,O478/P478,0)+Q478)</f>
        <v>1</v>
      </c>
      <c r="T478" s="32" t="n">
        <f aca="false">J478*(INDEX(P_VAL,MATCH("CTRL_AÑO",P_ID,0))*L478+(1-INDEX(PY_VAL,MATCH("P_USADOS",PY_ID,0),3))*M478+INDEX(PY_VAL,MATCH("P_USADOS",PY_ID,0),3)*N478+IF(P478&gt;0,O478/P478,0)+Q478)</f>
        <v>1</v>
      </c>
      <c r="U478" s="32" t="n">
        <f aca="false">J478*(INDEX(P_VAL,MATCH("CTRL_AÑO",P_ID,0))*L478+(1-INDEX(PY_VAL,MATCH("P_USADOS",PY_ID,0),4))*M478+INDEX(PY_VAL,MATCH("P_USADOS",PY_ID,0),4)*N478+IF(P478&gt;0,O478/P478,0)+Q478)</f>
        <v>1</v>
      </c>
      <c r="V478" s="32" t="n">
        <f aca="false">J478*(INDEX(P_VAL,MATCH("CTRL_AÑO",P_ID,0))*L478+(1-INDEX(PY_VAL,MATCH("P_USADOS",PY_ID,0),5))*M478+INDEX(PY_VAL,MATCH("P_USADOS",PY_ID,0),5)*N478+IF(P478&gt;0,O478/P478,0)+Q478)</f>
        <v>1</v>
      </c>
      <c r="W478" s="32" t="n">
        <f aca="false">J478*(INDEX(P_VAL,MATCH("CTRL_AÑO",P_ID,0))*L478+(1-INDEX(PY_VAL,MATCH("P_USADOS",PY_ID,0),6))*M478+INDEX(PY_VAL,MATCH("P_USADOS",PY_ID,0),6)*N478+IF(P478&gt;0,O478/P478,0)+Q478)</f>
        <v>1</v>
      </c>
      <c r="X478" s="32" t="n">
        <f aca="false">J478*(INDEX(P_VAL,MATCH("CTRL_AÑO",P_ID,0))*L478+(1-INDEX(PY_VAL,MATCH("P_USADOS",PY_ID,0),7))*M478+INDEX(PY_VAL,MATCH("P_USADOS",PY_ID,0),7)*N478+IF(P478&gt;0,O478/P478,0)+Q478)</f>
        <v>1</v>
      </c>
      <c r="Y478" s="32" t="n">
        <f aca="false">J478*(INDEX(P_VAL,MATCH("CTRL_AÑO",P_ID,0))*L478+(1-INDEX(PY_VAL,MATCH("P_USADOS",PY_ID,0),8))*M478+INDEX(PY_VAL,MATCH("P_USADOS",PY_ID,0),8)*N478+IF(P478&gt;0,O478/P478,0)+Q478)</f>
        <v>1</v>
      </c>
      <c r="Z478" s="32" t="n">
        <f aca="false">J478*(INDEX(P_VAL,MATCH("CTRL_AÑO",P_ID,0))*L478+(1-INDEX(PY_VAL,MATCH("P_USADOS",PY_ID,0),9))*M478+INDEX(PY_VAL,MATCH("P_USADOS",PY_ID,0),9)*N478+IF(P478&gt;0,O478/P478,0)+Q478)</f>
        <v>1</v>
      </c>
      <c r="AA478" s="32" t="n">
        <f aca="false">J478*(INDEX(P_VAL,MATCH("CTRL_AÑO",P_ID,0))*L478+(1-INDEX(PY_VAL,MATCH("P_USADOS",PY_ID,0),10))*M478+INDEX(PY_VAL,MATCH("P_USADOS",PY_ID,0),10)*N478+IF(P478&gt;0,O478/P478,0)+Q478)</f>
        <v>1</v>
      </c>
      <c r="AB478" s="5" t="s">
        <v>1346</v>
      </c>
    </row>
    <row r="479" customFormat="false" ht="15" hidden="false" customHeight="false" outlineLevel="0" collapsed="false">
      <c r="A479" s="4" t="s">
        <v>303</v>
      </c>
      <c r="B479" s="4" t="s">
        <v>1372</v>
      </c>
      <c r="C479" s="4" t="s">
        <v>1461</v>
      </c>
      <c r="D479" s="5" t="s">
        <v>1374</v>
      </c>
      <c r="E479" s="32" t="n">
        <v>1</v>
      </c>
      <c r="F479" s="32" t="s">
        <v>82</v>
      </c>
      <c r="G479" s="33" t="s">
        <v>1344</v>
      </c>
      <c r="H479" s="32" t="s">
        <v>688</v>
      </c>
      <c r="I479" s="32" t="n">
        <v>1</v>
      </c>
      <c r="J479" s="32" t="n">
        <f aca="false">E479*I479</f>
        <v>1</v>
      </c>
      <c r="K479" s="32" t="s">
        <v>689</v>
      </c>
      <c r="L479" s="32" t="n">
        <v>0</v>
      </c>
      <c r="M479" s="32" t="n">
        <v>1</v>
      </c>
      <c r="N479" s="32" t="n">
        <v>1</v>
      </c>
      <c r="O479" s="32" t="n">
        <v>0</v>
      </c>
      <c r="P479" s="32" t="n">
        <v>5</v>
      </c>
      <c r="Q479" s="32" t="n">
        <v>0</v>
      </c>
      <c r="R479" s="32" t="n">
        <f aca="false">J479*(INDEX(P_VAL,MATCH("CTRL_AÑO",P_ID,0))*L479+(1-INDEX(PY_VAL,MATCH("P_USADOS",PY_ID,0),1))*M479+INDEX(PY_VAL,MATCH("P_USADOS",PY_ID,0),1)*N479+IF(P479&gt;0,O479/P479,0)+Q479)</f>
        <v>1</v>
      </c>
      <c r="S479" s="32" t="n">
        <f aca="false">J479*(INDEX(P_VAL,MATCH("CTRL_AÑO",P_ID,0))*L479+(1-INDEX(PY_VAL,MATCH("P_USADOS",PY_ID,0),2))*M479+INDEX(PY_VAL,MATCH("P_USADOS",PY_ID,0),2)*N479+IF(P479&gt;0,O479/P479,0)+Q479)</f>
        <v>1</v>
      </c>
      <c r="T479" s="32" t="n">
        <f aca="false">J479*(INDEX(P_VAL,MATCH("CTRL_AÑO",P_ID,0))*L479+(1-INDEX(PY_VAL,MATCH("P_USADOS",PY_ID,0),3))*M479+INDEX(PY_VAL,MATCH("P_USADOS",PY_ID,0),3)*N479+IF(P479&gt;0,O479/P479,0)+Q479)</f>
        <v>1</v>
      </c>
      <c r="U479" s="32" t="n">
        <f aca="false">J479*(INDEX(P_VAL,MATCH("CTRL_AÑO",P_ID,0))*L479+(1-INDEX(PY_VAL,MATCH("P_USADOS",PY_ID,0),4))*M479+INDEX(PY_VAL,MATCH("P_USADOS",PY_ID,0),4)*N479+IF(P479&gt;0,O479/P479,0)+Q479)</f>
        <v>1</v>
      </c>
      <c r="V479" s="32" t="n">
        <f aca="false">J479*(INDEX(P_VAL,MATCH("CTRL_AÑO",P_ID,0))*L479+(1-INDEX(PY_VAL,MATCH("P_USADOS",PY_ID,0),5))*M479+INDEX(PY_VAL,MATCH("P_USADOS",PY_ID,0),5)*N479+IF(P479&gt;0,O479/P479,0)+Q479)</f>
        <v>1</v>
      </c>
      <c r="W479" s="32" t="n">
        <f aca="false">J479*(INDEX(P_VAL,MATCH("CTRL_AÑO",P_ID,0))*L479+(1-INDEX(PY_VAL,MATCH("P_USADOS",PY_ID,0),6))*M479+INDEX(PY_VAL,MATCH("P_USADOS",PY_ID,0),6)*N479+IF(P479&gt;0,O479/P479,0)+Q479)</f>
        <v>1</v>
      </c>
      <c r="X479" s="32" t="n">
        <f aca="false">J479*(INDEX(P_VAL,MATCH("CTRL_AÑO",P_ID,0))*L479+(1-INDEX(PY_VAL,MATCH("P_USADOS",PY_ID,0),7))*M479+INDEX(PY_VAL,MATCH("P_USADOS",PY_ID,0),7)*N479+IF(P479&gt;0,O479/P479,0)+Q479)</f>
        <v>1</v>
      </c>
      <c r="Y479" s="32" t="n">
        <f aca="false">J479*(INDEX(P_VAL,MATCH("CTRL_AÑO",P_ID,0))*L479+(1-INDEX(PY_VAL,MATCH("P_USADOS",PY_ID,0),8))*M479+INDEX(PY_VAL,MATCH("P_USADOS",PY_ID,0),8)*N479+IF(P479&gt;0,O479/P479,0)+Q479)</f>
        <v>1</v>
      </c>
      <c r="Z479" s="32" t="n">
        <f aca="false">J479*(INDEX(P_VAL,MATCH("CTRL_AÑO",P_ID,0))*L479+(1-INDEX(PY_VAL,MATCH("P_USADOS",PY_ID,0),9))*M479+INDEX(PY_VAL,MATCH("P_USADOS",PY_ID,0),9)*N479+IF(P479&gt;0,O479/P479,0)+Q479)</f>
        <v>1</v>
      </c>
      <c r="AA479" s="32" t="n">
        <f aca="false">J479*(INDEX(P_VAL,MATCH("CTRL_AÑO",P_ID,0))*L479+(1-INDEX(PY_VAL,MATCH("P_USADOS",PY_ID,0),10))*M479+INDEX(PY_VAL,MATCH("P_USADOS",PY_ID,0),10)*N479+IF(P479&gt;0,O479/P479,0)+Q479)</f>
        <v>1</v>
      </c>
      <c r="AB479" s="5" t="s">
        <v>1346</v>
      </c>
    </row>
    <row r="480" customFormat="false" ht="15" hidden="false" customHeight="false" outlineLevel="0" collapsed="false">
      <c r="A480" s="4" t="s">
        <v>303</v>
      </c>
      <c r="B480" s="4" t="s">
        <v>1375</v>
      </c>
      <c r="C480" s="4" t="s">
        <v>1462</v>
      </c>
      <c r="D480" s="5" t="s">
        <v>1377</v>
      </c>
      <c r="E480" s="32" t="n">
        <v>1</v>
      </c>
      <c r="F480" s="32" t="s">
        <v>82</v>
      </c>
      <c r="G480" s="33" t="s">
        <v>1344</v>
      </c>
      <c r="H480" s="32" t="s">
        <v>1137</v>
      </c>
      <c r="I480" s="32" t="n">
        <v>1</v>
      </c>
      <c r="J480" s="32" t="n">
        <f aca="false">E480*I480</f>
        <v>1</v>
      </c>
      <c r="K480" s="32"/>
      <c r="L480" s="32" t="n">
        <v>0</v>
      </c>
      <c r="M480" s="32" t="n">
        <v>1</v>
      </c>
      <c r="N480" s="32" t="n">
        <v>1</v>
      </c>
      <c r="O480" s="32" t="n">
        <v>0</v>
      </c>
      <c r="P480" s="32" t="n">
        <v>5</v>
      </c>
      <c r="Q480" s="32" t="n">
        <v>0</v>
      </c>
      <c r="R480" s="32" t="n">
        <f aca="false">J480*(INDEX(P_VAL,MATCH("CTRL_AÑO",P_ID,0))*L480+(1-INDEX(PY_VAL,MATCH("P_USADOS",PY_ID,0),1))*M480+INDEX(PY_VAL,MATCH("P_USADOS",PY_ID,0),1)*N480+IF(P480&gt;0,O480/P480,0)+Q480)</f>
        <v>1</v>
      </c>
      <c r="S480" s="32" t="n">
        <f aca="false">J480*(INDEX(P_VAL,MATCH("CTRL_AÑO",P_ID,0))*L480+(1-INDEX(PY_VAL,MATCH("P_USADOS",PY_ID,0),2))*M480+INDEX(PY_VAL,MATCH("P_USADOS",PY_ID,0),2)*N480+IF(P480&gt;0,O480/P480,0)+Q480)</f>
        <v>1</v>
      </c>
      <c r="T480" s="32" t="n">
        <f aca="false">J480*(INDEX(P_VAL,MATCH("CTRL_AÑO",P_ID,0))*L480+(1-INDEX(PY_VAL,MATCH("P_USADOS",PY_ID,0),3))*M480+INDEX(PY_VAL,MATCH("P_USADOS",PY_ID,0),3)*N480+IF(P480&gt;0,O480/P480,0)+Q480)</f>
        <v>1</v>
      </c>
      <c r="U480" s="32" t="n">
        <f aca="false">J480*(INDEX(P_VAL,MATCH("CTRL_AÑO",P_ID,0))*L480+(1-INDEX(PY_VAL,MATCH("P_USADOS",PY_ID,0),4))*M480+INDEX(PY_VAL,MATCH("P_USADOS",PY_ID,0),4)*N480+IF(P480&gt;0,O480/P480,0)+Q480)</f>
        <v>1</v>
      </c>
      <c r="V480" s="32" t="n">
        <f aca="false">J480*(INDEX(P_VAL,MATCH("CTRL_AÑO",P_ID,0))*L480+(1-INDEX(PY_VAL,MATCH("P_USADOS",PY_ID,0),5))*M480+INDEX(PY_VAL,MATCH("P_USADOS",PY_ID,0),5)*N480+IF(P480&gt;0,O480/P480,0)+Q480)</f>
        <v>1</v>
      </c>
      <c r="W480" s="32" t="n">
        <f aca="false">J480*(INDEX(P_VAL,MATCH("CTRL_AÑO",P_ID,0))*L480+(1-INDEX(PY_VAL,MATCH("P_USADOS",PY_ID,0),6))*M480+INDEX(PY_VAL,MATCH("P_USADOS",PY_ID,0),6)*N480+IF(P480&gt;0,O480/P480,0)+Q480)</f>
        <v>1</v>
      </c>
      <c r="X480" s="32" t="n">
        <f aca="false">J480*(INDEX(P_VAL,MATCH("CTRL_AÑO",P_ID,0))*L480+(1-INDEX(PY_VAL,MATCH("P_USADOS",PY_ID,0),7))*M480+INDEX(PY_VAL,MATCH("P_USADOS",PY_ID,0),7)*N480+IF(P480&gt;0,O480/P480,0)+Q480)</f>
        <v>1</v>
      </c>
      <c r="Y480" s="32" t="n">
        <f aca="false">J480*(INDEX(P_VAL,MATCH("CTRL_AÑO",P_ID,0))*L480+(1-INDEX(PY_VAL,MATCH("P_USADOS",PY_ID,0),8))*M480+INDEX(PY_VAL,MATCH("P_USADOS",PY_ID,0),8)*N480+IF(P480&gt;0,O480/P480,0)+Q480)</f>
        <v>1</v>
      </c>
      <c r="Z480" s="32" t="n">
        <f aca="false">J480*(INDEX(P_VAL,MATCH("CTRL_AÑO",P_ID,0))*L480+(1-INDEX(PY_VAL,MATCH("P_USADOS",PY_ID,0),9))*M480+INDEX(PY_VAL,MATCH("P_USADOS",PY_ID,0),9)*N480+IF(P480&gt;0,O480/P480,0)+Q480)</f>
        <v>1</v>
      </c>
      <c r="AA480" s="32" t="n">
        <f aca="false">J480*(INDEX(P_VAL,MATCH("CTRL_AÑO",P_ID,0))*L480+(1-INDEX(PY_VAL,MATCH("P_USADOS",PY_ID,0),10))*M480+INDEX(PY_VAL,MATCH("P_USADOS",PY_ID,0),10)*N480+IF(P480&gt;0,O480/P480,0)+Q480)</f>
        <v>1</v>
      </c>
      <c r="AB480" s="5" t="s">
        <v>1346</v>
      </c>
    </row>
    <row r="481" customFormat="false" ht="15" hidden="false" customHeight="false" outlineLevel="0" collapsed="false">
      <c r="A481" s="4" t="s">
        <v>303</v>
      </c>
      <c r="B481" s="4" t="s">
        <v>1378</v>
      </c>
      <c r="C481" s="4" t="s">
        <v>1463</v>
      </c>
      <c r="D481" s="5" t="s">
        <v>1380</v>
      </c>
      <c r="E481" s="32" t="n">
        <v>1</v>
      </c>
      <c r="F481" s="32" t="s">
        <v>82</v>
      </c>
      <c r="G481" s="33" t="s">
        <v>1344</v>
      </c>
      <c r="H481" s="32" t="s">
        <v>1381</v>
      </c>
      <c r="I481" s="32" t="n">
        <v>1</v>
      </c>
      <c r="J481" s="32" t="n">
        <f aca="false">E481*I481</f>
        <v>1</v>
      </c>
      <c r="K481" s="32"/>
      <c r="L481" s="32" t="n">
        <v>0</v>
      </c>
      <c r="M481" s="32" t="n">
        <v>0</v>
      </c>
      <c r="N481" s="32" t="n">
        <v>0</v>
      </c>
      <c r="O481" s="32" t="n">
        <v>1</v>
      </c>
      <c r="P481" s="32" t="n">
        <v>5</v>
      </c>
      <c r="Q481" s="32" t="n">
        <v>0</v>
      </c>
      <c r="R481" s="32" t="n">
        <f aca="false">J481*(INDEX(P_VAL,MATCH("CTRL_AÑO",P_ID,0))*L481+(1-INDEX(PY_VAL,MATCH("P_USADOS",PY_ID,0),1))*M481+INDEX(PY_VAL,MATCH("P_USADOS",PY_ID,0),1)*N481+IF(P481&gt;0,O481/P481,0)+Q481)</f>
        <v>0.2</v>
      </c>
      <c r="S481" s="32" t="n">
        <f aca="false">J481*(INDEX(P_VAL,MATCH("CTRL_AÑO",P_ID,0))*L481+(1-INDEX(PY_VAL,MATCH("P_USADOS",PY_ID,0),2))*M481+INDEX(PY_VAL,MATCH("P_USADOS",PY_ID,0),2)*N481+IF(P481&gt;0,O481/P481,0)+Q481)</f>
        <v>0.2</v>
      </c>
      <c r="T481" s="32" t="n">
        <f aca="false">J481*(INDEX(P_VAL,MATCH("CTRL_AÑO",P_ID,0))*L481+(1-INDEX(PY_VAL,MATCH("P_USADOS",PY_ID,0),3))*M481+INDEX(PY_VAL,MATCH("P_USADOS",PY_ID,0),3)*N481+IF(P481&gt;0,O481/P481,0)+Q481)</f>
        <v>0.2</v>
      </c>
      <c r="U481" s="32" t="n">
        <f aca="false">J481*(INDEX(P_VAL,MATCH("CTRL_AÑO",P_ID,0))*L481+(1-INDEX(PY_VAL,MATCH("P_USADOS",PY_ID,0),4))*M481+INDEX(PY_VAL,MATCH("P_USADOS",PY_ID,0),4)*N481+IF(P481&gt;0,O481/P481,0)+Q481)</f>
        <v>0.2</v>
      </c>
      <c r="V481" s="32" t="n">
        <f aca="false">J481*(INDEX(P_VAL,MATCH("CTRL_AÑO",P_ID,0))*L481+(1-INDEX(PY_VAL,MATCH("P_USADOS",PY_ID,0),5))*M481+INDEX(PY_VAL,MATCH("P_USADOS",PY_ID,0),5)*N481+IF(P481&gt;0,O481/P481,0)+Q481)</f>
        <v>0.2</v>
      </c>
      <c r="W481" s="32" t="n">
        <f aca="false">J481*(INDEX(P_VAL,MATCH("CTRL_AÑO",P_ID,0))*L481+(1-INDEX(PY_VAL,MATCH("P_USADOS",PY_ID,0),6))*M481+INDEX(PY_VAL,MATCH("P_USADOS",PY_ID,0),6)*N481+IF(P481&gt;0,O481/P481,0)+Q481)</f>
        <v>0.2</v>
      </c>
      <c r="X481" s="32" t="n">
        <f aca="false">J481*(INDEX(P_VAL,MATCH("CTRL_AÑO",P_ID,0))*L481+(1-INDEX(PY_VAL,MATCH("P_USADOS",PY_ID,0),7))*M481+INDEX(PY_VAL,MATCH("P_USADOS",PY_ID,0),7)*N481+IF(P481&gt;0,O481/P481,0)+Q481)</f>
        <v>0.2</v>
      </c>
      <c r="Y481" s="32" t="n">
        <f aca="false">J481*(INDEX(P_VAL,MATCH("CTRL_AÑO",P_ID,0))*L481+(1-INDEX(PY_VAL,MATCH("P_USADOS",PY_ID,0),8))*M481+INDEX(PY_VAL,MATCH("P_USADOS",PY_ID,0),8)*N481+IF(P481&gt;0,O481/P481,0)+Q481)</f>
        <v>0.2</v>
      </c>
      <c r="Z481" s="32" t="n">
        <f aca="false">J481*(INDEX(P_VAL,MATCH("CTRL_AÑO",P_ID,0))*L481+(1-INDEX(PY_VAL,MATCH("P_USADOS",PY_ID,0),9))*M481+INDEX(PY_VAL,MATCH("P_USADOS",PY_ID,0),9)*N481+IF(P481&gt;0,O481/P481,0)+Q481)</f>
        <v>0.2</v>
      </c>
      <c r="AA481" s="32" t="n">
        <f aca="false">J481*(INDEX(P_VAL,MATCH("CTRL_AÑO",P_ID,0))*L481+(1-INDEX(PY_VAL,MATCH("P_USADOS",PY_ID,0),10))*M481+INDEX(PY_VAL,MATCH("P_USADOS",PY_ID,0),10)*N481+IF(P481&gt;0,O481/P481,0)+Q481)</f>
        <v>0.2</v>
      </c>
      <c r="AB481" s="5" t="s">
        <v>1346</v>
      </c>
    </row>
    <row r="482" customFormat="false" ht="15" hidden="false" customHeight="false" outlineLevel="0" collapsed="false">
      <c r="A482" s="4" t="s">
        <v>303</v>
      </c>
      <c r="B482" s="4" t="s">
        <v>1382</v>
      </c>
      <c r="C482" s="4" t="s">
        <v>1464</v>
      </c>
      <c r="D482" s="5" t="s">
        <v>1440</v>
      </c>
      <c r="E482" s="32" t="n">
        <v>1</v>
      </c>
      <c r="F482" s="32" t="s">
        <v>73</v>
      </c>
      <c r="G482" s="33" t="s">
        <v>1385</v>
      </c>
      <c r="H482" s="32"/>
      <c r="I482" s="32"/>
      <c r="J482" s="32"/>
      <c r="K482" s="32"/>
      <c r="L482" s="32" t="n">
        <v>0</v>
      </c>
      <c r="M482" s="32" t="n">
        <v>0</v>
      </c>
      <c r="N482" s="32" t="n">
        <v>0</v>
      </c>
      <c r="O482" s="32" t="n">
        <v>0</v>
      </c>
      <c r="P482" s="32" t="n">
        <v>0</v>
      </c>
      <c r="Q482" s="32" t="n">
        <v>0</v>
      </c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5" t="s">
        <v>1386</v>
      </c>
    </row>
    <row r="483" customFormat="false" ht="15" hidden="false" customHeight="false" outlineLevel="0" collapsed="false">
      <c r="A483" s="4" t="s">
        <v>303</v>
      </c>
      <c r="B483" s="4"/>
      <c r="C483" s="4"/>
      <c r="D483" s="5" t="s">
        <v>1387</v>
      </c>
      <c r="E483" s="32" t="n">
        <v>1</v>
      </c>
      <c r="F483" s="32" t="s">
        <v>82</v>
      </c>
      <c r="G483" s="33" t="s">
        <v>477</v>
      </c>
      <c r="H483" s="32" t="s">
        <v>1030</v>
      </c>
      <c r="I483" s="32" t="n">
        <v>1</v>
      </c>
      <c r="J483" s="32" t="n">
        <f aca="false">E483*I483</f>
        <v>1</v>
      </c>
      <c r="K483" s="32"/>
      <c r="L483" s="32" t="n">
        <v>0</v>
      </c>
      <c r="M483" s="32" t="n">
        <v>0</v>
      </c>
      <c r="N483" s="32" t="n">
        <v>0</v>
      </c>
      <c r="O483" s="32" t="n">
        <v>0</v>
      </c>
      <c r="P483" s="32" t="n">
        <v>0</v>
      </c>
      <c r="Q483" s="32" t="n">
        <f aca="false">INDEX(P_VAL,MATCH("REPO_VALV",P_ID,0))</f>
        <v>0.03</v>
      </c>
      <c r="R483" s="32" t="n">
        <f aca="false">J483*(INDEX(P_VAL,MATCH("CTRL_AÑO",P_ID,0))*L483+(1-INDEX(PY_VAL,MATCH("P_USADOS",PY_ID,0),1))*M483+INDEX(PY_VAL,MATCH("P_USADOS",PY_ID,0),1)*N483+IF(P483&gt;0,O483/P483,0)+Q483)</f>
        <v>0.03</v>
      </c>
      <c r="S483" s="32" t="n">
        <f aca="false">J483*(INDEX(P_VAL,MATCH("CTRL_AÑO",P_ID,0))*L483+(1-INDEX(PY_VAL,MATCH("P_USADOS",PY_ID,0),2))*M483+INDEX(PY_VAL,MATCH("P_USADOS",PY_ID,0),2)*N483+IF(P483&gt;0,O483/P483,0)+Q483)</f>
        <v>0.03</v>
      </c>
      <c r="T483" s="32" t="n">
        <f aca="false">J483*(INDEX(P_VAL,MATCH("CTRL_AÑO",P_ID,0))*L483+(1-INDEX(PY_VAL,MATCH("P_USADOS",PY_ID,0),3))*M483+INDEX(PY_VAL,MATCH("P_USADOS",PY_ID,0),3)*N483+IF(P483&gt;0,O483/P483,0)+Q483)</f>
        <v>0.03</v>
      </c>
      <c r="U483" s="32" t="n">
        <f aca="false">J483*(INDEX(P_VAL,MATCH("CTRL_AÑO",P_ID,0))*L483+(1-INDEX(PY_VAL,MATCH("P_USADOS",PY_ID,0),4))*M483+INDEX(PY_VAL,MATCH("P_USADOS",PY_ID,0),4)*N483+IF(P483&gt;0,O483/P483,0)+Q483)</f>
        <v>0.03</v>
      </c>
      <c r="V483" s="32" t="n">
        <f aca="false">J483*(INDEX(P_VAL,MATCH("CTRL_AÑO",P_ID,0))*L483+(1-INDEX(PY_VAL,MATCH("P_USADOS",PY_ID,0),5))*M483+INDEX(PY_VAL,MATCH("P_USADOS",PY_ID,0),5)*N483+IF(P483&gt;0,O483/P483,0)+Q483)</f>
        <v>0.03</v>
      </c>
      <c r="W483" s="32" t="n">
        <f aca="false">J483*(INDEX(P_VAL,MATCH("CTRL_AÑO",P_ID,0))*L483+(1-INDEX(PY_VAL,MATCH("P_USADOS",PY_ID,0),6))*M483+INDEX(PY_VAL,MATCH("P_USADOS",PY_ID,0),6)*N483+IF(P483&gt;0,O483/P483,0)+Q483)</f>
        <v>0.03</v>
      </c>
      <c r="X483" s="32" t="n">
        <f aca="false">J483*(INDEX(P_VAL,MATCH("CTRL_AÑO",P_ID,0))*L483+(1-INDEX(PY_VAL,MATCH("P_USADOS",PY_ID,0),7))*M483+INDEX(PY_VAL,MATCH("P_USADOS",PY_ID,0),7)*N483+IF(P483&gt;0,O483/P483,0)+Q483)</f>
        <v>0.03</v>
      </c>
      <c r="Y483" s="32" t="n">
        <f aca="false">J483*(INDEX(P_VAL,MATCH("CTRL_AÑO",P_ID,0))*L483+(1-INDEX(PY_VAL,MATCH("P_USADOS",PY_ID,0),8))*M483+INDEX(PY_VAL,MATCH("P_USADOS",PY_ID,0),8)*N483+IF(P483&gt;0,O483/P483,0)+Q483)</f>
        <v>0.03</v>
      </c>
      <c r="Z483" s="32" t="n">
        <f aca="false">J483*(INDEX(P_VAL,MATCH("CTRL_AÑO",P_ID,0))*L483+(1-INDEX(PY_VAL,MATCH("P_USADOS",PY_ID,0),9))*M483+INDEX(PY_VAL,MATCH("P_USADOS",PY_ID,0),9)*N483+IF(P483&gt;0,O483/P483,0)+Q483)</f>
        <v>0.03</v>
      </c>
      <c r="AA483" s="32" t="n">
        <f aca="false">J483*(INDEX(P_VAL,MATCH("CTRL_AÑO",P_ID,0))*L483+(1-INDEX(PY_VAL,MATCH("P_USADOS",PY_ID,0),10))*M483+INDEX(PY_VAL,MATCH("P_USADOS",PY_ID,0),10)*N483+IF(P483&gt;0,O483/P483,0)+Q483)</f>
        <v>0.03</v>
      </c>
      <c r="AB483" s="5" t="s">
        <v>1388</v>
      </c>
    </row>
    <row r="484" customFormat="false" ht="15" hidden="false" customHeight="false" outlineLevel="0" collapsed="false">
      <c r="A484" s="4" t="s">
        <v>303</v>
      </c>
      <c r="B484" s="4"/>
      <c r="C484" s="4"/>
      <c r="D484" s="5" t="s">
        <v>1389</v>
      </c>
      <c r="E484" s="32" t="n">
        <v>1</v>
      </c>
      <c r="F484" s="32" t="s">
        <v>82</v>
      </c>
      <c r="G484" s="33" t="s">
        <v>477</v>
      </c>
      <c r="H484" s="32" t="s">
        <v>510</v>
      </c>
      <c r="I484" s="32" t="n">
        <v>1</v>
      </c>
      <c r="J484" s="32" t="n">
        <f aca="false">E484*I484</f>
        <v>1</v>
      </c>
      <c r="K484" s="32"/>
      <c r="L484" s="32" t="n">
        <v>0</v>
      </c>
      <c r="M484" s="32" t="n">
        <v>0</v>
      </c>
      <c r="N484" s="32" t="n">
        <v>0</v>
      </c>
      <c r="O484" s="32" t="n">
        <v>0</v>
      </c>
      <c r="P484" s="32" t="n">
        <v>0</v>
      </c>
      <c r="Q484" s="32" t="n">
        <f aca="false">INDEX(P_VAL,MATCH("REPO_MANO",P_ID,0))</f>
        <v>0.08</v>
      </c>
      <c r="R484" s="32" t="n">
        <f aca="false">J484*(INDEX(P_VAL,MATCH("CTRL_AÑO",P_ID,0))*L484+(1-INDEX(PY_VAL,MATCH("P_USADOS",PY_ID,0),1))*M484+INDEX(PY_VAL,MATCH("P_USADOS",PY_ID,0),1)*N484+IF(P484&gt;0,O484/P484,0)+Q484)</f>
        <v>0.08</v>
      </c>
      <c r="S484" s="32" t="n">
        <f aca="false">J484*(INDEX(P_VAL,MATCH("CTRL_AÑO",P_ID,0))*L484+(1-INDEX(PY_VAL,MATCH("P_USADOS",PY_ID,0),2))*M484+INDEX(PY_VAL,MATCH("P_USADOS",PY_ID,0),2)*N484+IF(P484&gt;0,O484/P484,0)+Q484)</f>
        <v>0.08</v>
      </c>
      <c r="T484" s="32" t="n">
        <f aca="false">J484*(INDEX(P_VAL,MATCH("CTRL_AÑO",P_ID,0))*L484+(1-INDEX(PY_VAL,MATCH("P_USADOS",PY_ID,0),3))*M484+INDEX(PY_VAL,MATCH("P_USADOS",PY_ID,0),3)*N484+IF(P484&gt;0,O484/P484,0)+Q484)</f>
        <v>0.08</v>
      </c>
      <c r="U484" s="32" t="n">
        <f aca="false">J484*(INDEX(P_VAL,MATCH("CTRL_AÑO",P_ID,0))*L484+(1-INDEX(PY_VAL,MATCH("P_USADOS",PY_ID,0),4))*M484+INDEX(PY_VAL,MATCH("P_USADOS",PY_ID,0),4)*N484+IF(P484&gt;0,O484/P484,0)+Q484)</f>
        <v>0.08</v>
      </c>
      <c r="V484" s="32" t="n">
        <f aca="false">J484*(INDEX(P_VAL,MATCH("CTRL_AÑO",P_ID,0))*L484+(1-INDEX(PY_VAL,MATCH("P_USADOS",PY_ID,0),5))*M484+INDEX(PY_VAL,MATCH("P_USADOS",PY_ID,0),5)*N484+IF(P484&gt;0,O484/P484,0)+Q484)</f>
        <v>0.08</v>
      </c>
      <c r="W484" s="32" t="n">
        <f aca="false">J484*(INDEX(P_VAL,MATCH("CTRL_AÑO",P_ID,0))*L484+(1-INDEX(PY_VAL,MATCH("P_USADOS",PY_ID,0),6))*M484+INDEX(PY_VAL,MATCH("P_USADOS",PY_ID,0),6)*N484+IF(P484&gt;0,O484/P484,0)+Q484)</f>
        <v>0.08</v>
      </c>
      <c r="X484" s="32" t="n">
        <f aca="false">J484*(INDEX(P_VAL,MATCH("CTRL_AÑO",P_ID,0))*L484+(1-INDEX(PY_VAL,MATCH("P_USADOS",PY_ID,0),7))*M484+INDEX(PY_VAL,MATCH("P_USADOS",PY_ID,0),7)*N484+IF(P484&gt;0,O484/P484,0)+Q484)</f>
        <v>0.08</v>
      </c>
      <c r="Y484" s="32" t="n">
        <f aca="false">J484*(INDEX(P_VAL,MATCH("CTRL_AÑO",P_ID,0))*L484+(1-INDEX(PY_VAL,MATCH("P_USADOS",PY_ID,0),8))*M484+INDEX(PY_VAL,MATCH("P_USADOS",PY_ID,0),8)*N484+IF(P484&gt;0,O484/P484,0)+Q484)</f>
        <v>0.08</v>
      </c>
      <c r="Z484" s="32" t="n">
        <f aca="false">J484*(INDEX(P_VAL,MATCH("CTRL_AÑO",P_ID,0))*L484+(1-INDEX(PY_VAL,MATCH("P_USADOS",PY_ID,0),9))*M484+INDEX(PY_VAL,MATCH("P_USADOS",PY_ID,0),9)*N484+IF(P484&gt;0,O484/P484,0)+Q484)</f>
        <v>0.08</v>
      </c>
      <c r="AA484" s="32" t="n">
        <f aca="false">J484*(INDEX(P_VAL,MATCH("CTRL_AÑO",P_ID,0))*L484+(1-INDEX(PY_VAL,MATCH("P_USADOS",PY_ID,0),10))*M484+INDEX(PY_VAL,MATCH("P_USADOS",PY_ID,0),10)*N484+IF(P484&gt;0,O484/P484,0)+Q484)</f>
        <v>0.08</v>
      </c>
      <c r="AB484" s="5" t="s">
        <v>1388</v>
      </c>
    </row>
    <row r="485" customFormat="false" ht="15" hidden="false" customHeight="false" outlineLevel="0" collapsed="false">
      <c r="A485" s="4" t="s">
        <v>303</v>
      </c>
      <c r="B485" s="4"/>
      <c r="C485" s="4"/>
      <c r="D485" s="5" t="s">
        <v>1402</v>
      </c>
      <c r="E485" s="32" t="n">
        <v>1</v>
      </c>
      <c r="F485" s="32" t="s">
        <v>82</v>
      </c>
      <c r="G485" s="33" t="s">
        <v>477</v>
      </c>
      <c r="H485" s="32" t="s">
        <v>1164</v>
      </c>
      <c r="I485" s="32" t="n">
        <v>1</v>
      </c>
      <c r="J485" s="32" t="n">
        <f aca="false">E485*I485</f>
        <v>1</v>
      </c>
      <c r="K485" s="32"/>
      <c r="L485" s="32" t="n">
        <v>0</v>
      </c>
      <c r="M485" s="32" t="n">
        <v>0</v>
      </c>
      <c r="N485" s="32" t="n">
        <v>0</v>
      </c>
      <c r="O485" s="32" t="n">
        <v>0</v>
      </c>
      <c r="P485" s="32" t="n">
        <v>0</v>
      </c>
      <c r="Q485" s="32" t="n">
        <f aca="false">INDEX(P_VAL,MATCH("REPO_MANG",P_ID,0))</f>
        <v>0.05</v>
      </c>
      <c r="R485" s="32" t="n">
        <f aca="false">J485*(INDEX(P_VAL,MATCH("CTRL_AÑO",P_ID,0))*L485+(1-INDEX(PY_VAL,MATCH("P_USADOS",PY_ID,0),1))*M485+INDEX(PY_VAL,MATCH("P_USADOS",PY_ID,0),1)*N485+IF(P485&gt;0,O485/P485,0)+Q485)</f>
        <v>0.05</v>
      </c>
      <c r="S485" s="32" t="n">
        <f aca="false">J485*(INDEX(P_VAL,MATCH("CTRL_AÑO",P_ID,0))*L485+(1-INDEX(PY_VAL,MATCH("P_USADOS",PY_ID,0),2))*M485+INDEX(PY_VAL,MATCH("P_USADOS",PY_ID,0),2)*N485+IF(P485&gt;0,O485/P485,0)+Q485)</f>
        <v>0.05</v>
      </c>
      <c r="T485" s="32" t="n">
        <f aca="false">J485*(INDEX(P_VAL,MATCH("CTRL_AÑO",P_ID,0))*L485+(1-INDEX(PY_VAL,MATCH("P_USADOS",PY_ID,0),3))*M485+INDEX(PY_VAL,MATCH("P_USADOS",PY_ID,0),3)*N485+IF(P485&gt;0,O485/P485,0)+Q485)</f>
        <v>0.05</v>
      </c>
      <c r="U485" s="32" t="n">
        <f aca="false">J485*(INDEX(P_VAL,MATCH("CTRL_AÑO",P_ID,0))*L485+(1-INDEX(PY_VAL,MATCH("P_USADOS",PY_ID,0),4))*M485+INDEX(PY_VAL,MATCH("P_USADOS",PY_ID,0),4)*N485+IF(P485&gt;0,O485/P485,0)+Q485)</f>
        <v>0.05</v>
      </c>
      <c r="V485" s="32" t="n">
        <f aca="false">J485*(INDEX(P_VAL,MATCH("CTRL_AÑO",P_ID,0))*L485+(1-INDEX(PY_VAL,MATCH("P_USADOS",PY_ID,0),5))*M485+INDEX(PY_VAL,MATCH("P_USADOS",PY_ID,0),5)*N485+IF(P485&gt;0,O485/P485,0)+Q485)</f>
        <v>0.05</v>
      </c>
      <c r="W485" s="32" t="n">
        <f aca="false">J485*(INDEX(P_VAL,MATCH("CTRL_AÑO",P_ID,0))*L485+(1-INDEX(PY_VAL,MATCH("P_USADOS",PY_ID,0),6))*M485+INDEX(PY_VAL,MATCH("P_USADOS",PY_ID,0),6)*N485+IF(P485&gt;0,O485/P485,0)+Q485)</f>
        <v>0.05</v>
      </c>
      <c r="X485" s="32" t="n">
        <f aca="false">J485*(INDEX(P_VAL,MATCH("CTRL_AÑO",P_ID,0))*L485+(1-INDEX(PY_VAL,MATCH("P_USADOS",PY_ID,0),7))*M485+INDEX(PY_VAL,MATCH("P_USADOS",PY_ID,0),7)*N485+IF(P485&gt;0,O485/P485,0)+Q485)</f>
        <v>0.05</v>
      </c>
      <c r="Y485" s="32" t="n">
        <f aca="false">J485*(INDEX(P_VAL,MATCH("CTRL_AÑO",P_ID,0))*L485+(1-INDEX(PY_VAL,MATCH("P_USADOS",PY_ID,0),8))*M485+INDEX(PY_VAL,MATCH("P_USADOS",PY_ID,0),8)*N485+IF(P485&gt;0,O485/P485,0)+Q485)</f>
        <v>0.05</v>
      </c>
      <c r="Z485" s="32" t="n">
        <f aca="false">J485*(INDEX(P_VAL,MATCH("CTRL_AÑO",P_ID,0))*L485+(1-INDEX(PY_VAL,MATCH("P_USADOS",PY_ID,0),9))*M485+INDEX(PY_VAL,MATCH("P_USADOS",PY_ID,0),9)*N485+IF(P485&gt;0,O485/P485,0)+Q485)</f>
        <v>0.05</v>
      </c>
      <c r="AA485" s="32" t="n">
        <f aca="false">J485*(INDEX(P_VAL,MATCH("CTRL_AÑO",P_ID,0))*L485+(1-INDEX(PY_VAL,MATCH("P_USADOS",PY_ID,0),10))*M485+INDEX(PY_VAL,MATCH("P_USADOS",PY_ID,0),10)*N485+IF(P485&gt;0,O485/P485,0)+Q485)</f>
        <v>0.05</v>
      </c>
      <c r="AB485" s="5" t="s">
        <v>1388</v>
      </c>
    </row>
    <row r="486" customFormat="false" ht="15" hidden="false" customHeight="false" outlineLevel="0" collapsed="false">
      <c r="A486" s="4" t="s">
        <v>306</v>
      </c>
      <c r="B486" s="4" t="s">
        <v>1341</v>
      </c>
      <c r="C486" s="4" t="s">
        <v>1465</v>
      </c>
      <c r="D486" s="5" t="s">
        <v>1343</v>
      </c>
      <c r="E486" s="32" t="n">
        <v>1</v>
      </c>
      <c r="F486" s="32" t="s">
        <v>82</v>
      </c>
      <c r="G486" s="33" t="s">
        <v>1344</v>
      </c>
      <c r="H486" s="32" t="s">
        <v>1345</v>
      </c>
      <c r="I486" s="32" t="n">
        <v>1</v>
      </c>
      <c r="J486" s="32" t="n">
        <f aca="false">E486*I486</f>
        <v>1</v>
      </c>
      <c r="K486" s="32"/>
      <c r="L486" s="32" t="n">
        <v>1</v>
      </c>
      <c r="M486" s="32" t="n">
        <v>0</v>
      </c>
      <c r="N486" s="32" t="n">
        <v>0</v>
      </c>
      <c r="O486" s="32" t="n">
        <v>0</v>
      </c>
      <c r="P486" s="32" t="n">
        <v>5</v>
      </c>
      <c r="Q486" s="32" t="n">
        <v>0</v>
      </c>
      <c r="R486" s="32" t="n">
        <f aca="false">J486*(INDEX(P_VAL,MATCH("CTRL_AÑO",P_ID,0))*L486+(1-INDEX(PY_VAL,MATCH("P_USADOS",PY_ID,0),1))*M486+INDEX(PY_VAL,MATCH("P_USADOS",PY_ID,0),1)*N486+IF(P486&gt;0,O486/P486,0)+Q486)</f>
        <v>4</v>
      </c>
      <c r="S486" s="32" t="n">
        <f aca="false">J486*(INDEX(P_VAL,MATCH("CTRL_AÑO",P_ID,0))*L486+(1-INDEX(PY_VAL,MATCH("P_USADOS",PY_ID,0),2))*M486+INDEX(PY_VAL,MATCH("P_USADOS",PY_ID,0),2)*N486+IF(P486&gt;0,O486/P486,0)+Q486)</f>
        <v>4</v>
      </c>
      <c r="T486" s="32" t="n">
        <f aca="false">J486*(INDEX(P_VAL,MATCH("CTRL_AÑO",P_ID,0))*L486+(1-INDEX(PY_VAL,MATCH("P_USADOS",PY_ID,0),3))*M486+INDEX(PY_VAL,MATCH("P_USADOS",PY_ID,0),3)*N486+IF(P486&gt;0,O486/P486,0)+Q486)</f>
        <v>4</v>
      </c>
      <c r="U486" s="32" t="n">
        <f aca="false">J486*(INDEX(P_VAL,MATCH("CTRL_AÑO",P_ID,0))*L486+(1-INDEX(PY_VAL,MATCH("P_USADOS",PY_ID,0),4))*M486+INDEX(PY_VAL,MATCH("P_USADOS",PY_ID,0),4)*N486+IF(P486&gt;0,O486/P486,0)+Q486)</f>
        <v>4</v>
      </c>
      <c r="V486" s="32" t="n">
        <f aca="false">J486*(INDEX(P_VAL,MATCH("CTRL_AÑO",P_ID,0))*L486+(1-INDEX(PY_VAL,MATCH("P_USADOS",PY_ID,0),5))*M486+INDEX(PY_VAL,MATCH("P_USADOS",PY_ID,0),5)*N486+IF(P486&gt;0,O486/P486,0)+Q486)</f>
        <v>4</v>
      </c>
      <c r="W486" s="32" t="n">
        <f aca="false">J486*(INDEX(P_VAL,MATCH("CTRL_AÑO",P_ID,0))*L486+(1-INDEX(PY_VAL,MATCH("P_USADOS",PY_ID,0),6))*M486+INDEX(PY_VAL,MATCH("P_USADOS",PY_ID,0),6)*N486+IF(P486&gt;0,O486/P486,0)+Q486)</f>
        <v>4</v>
      </c>
      <c r="X486" s="32" t="n">
        <f aca="false">J486*(INDEX(P_VAL,MATCH("CTRL_AÑO",P_ID,0))*L486+(1-INDEX(PY_VAL,MATCH("P_USADOS",PY_ID,0),7))*M486+INDEX(PY_VAL,MATCH("P_USADOS",PY_ID,0),7)*N486+IF(P486&gt;0,O486/P486,0)+Q486)</f>
        <v>4</v>
      </c>
      <c r="Y486" s="32" t="n">
        <f aca="false">J486*(INDEX(P_VAL,MATCH("CTRL_AÑO",P_ID,0))*L486+(1-INDEX(PY_VAL,MATCH("P_USADOS",PY_ID,0),8))*M486+INDEX(PY_VAL,MATCH("P_USADOS",PY_ID,0),8)*N486+IF(P486&gt;0,O486/P486,0)+Q486)</f>
        <v>4</v>
      </c>
      <c r="Z486" s="32" t="n">
        <f aca="false">J486*(INDEX(P_VAL,MATCH("CTRL_AÑO",P_ID,0))*L486+(1-INDEX(PY_VAL,MATCH("P_USADOS",PY_ID,0),9))*M486+INDEX(PY_VAL,MATCH("P_USADOS",PY_ID,0),9)*N486+IF(P486&gt;0,O486/P486,0)+Q486)</f>
        <v>4</v>
      </c>
      <c r="AA486" s="32" t="n">
        <f aca="false">J486*(INDEX(P_VAL,MATCH("CTRL_AÑO",P_ID,0))*L486+(1-INDEX(PY_VAL,MATCH("P_USADOS",PY_ID,0),10))*M486+INDEX(PY_VAL,MATCH("P_USADOS",PY_ID,0),10)*N486+IF(P486&gt;0,O486/P486,0)+Q486)</f>
        <v>4</v>
      </c>
      <c r="AB486" s="5" t="s">
        <v>1346</v>
      </c>
    </row>
    <row r="487" customFormat="false" ht="15" hidden="false" customHeight="false" outlineLevel="0" collapsed="false">
      <c r="A487" s="4" t="s">
        <v>306</v>
      </c>
      <c r="B487" s="4" t="s">
        <v>1347</v>
      </c>
      <c r="C487" s="4" t="s">
        <v>1466</v>
      </c>
      <c r="D487" s="5" t="s">
        <v>1429</v>
      </c>
      <c r="E487" s="32" t="n">
        <v>1</v>
      </c>
      <c r="F487" s="32" t="s">
        <v>73</v>
      </c>
      <c r="G487" s="33" t="s">
        <v>1344</v>
      </c>
      <c r="H487" s="32" t="s">
        <v>988</v>
      </c>
      <c r="I487" s="32" t="n">
        <v>1</v>
      </c>
      <c r="J487" s="32" t="n">
        <f aca="false">E487*I487</f>
        <v>1</v>
      </c>
      <c r="K487" s="32"/>
      <c r="L487" s="32" t="n">
        <v>0</v>
      </c>
      <c r="M487" s="32" t="n">
        <v>3</v>
      </c>
      <c r="N487" s="32" t="n">
        <v>100</v>
      </c>
      <c r="O487" s="32" t="n">
        <v>0</v>
      </c>
      <c r="P487" s="32" t="n">
        <v>5</v>
      </c>
      <c r="Q487" s="32" t="n">
        <v>0</v>
      </c>
      <c r="R487" s="32" t="n">
        <f aca="false">J487*(INDEX(P_VAL,MATCH("CTRL_AÑO",P_ID,0))*L487+(1-INDEX(PY_VAL,MATCH("P_USADOS",PY_ID,0),1))*M487+INDEX(PY_VAL,MATCH("P_USADOS",PY_ID,0),1)*N487+IF(P487&gt;0,O487/P487,0)+Q487)</f>
        <v>7.62108</v>
      </c>
      <c r="S487" s="32" t="n">
        <f aca="false">J487*(INDEX(P_VAL,MATCH("CTRL_AÑO",P_ID,0))*L487+(1-INDEX(PY_VAL,MATCH("P_USADOS",PY_ID,0),2))*M487+INDEX(PY_VAL,MATCH("P_USADOS",PY_ID,0),2)*N487+IF(P487&gt;0,O487/P487,0)+Q487)</f>
        <v>7.620692</v>
      </c>
      <c r="T487" s="32" t="n">
        <f aca="false">J487*(INDEX(P_VAL,MATCH("CTRL_AÑO",P_ID,0))*L487+(1-INDEX(PY_VAL,MATCH("P_USADOS",PY_ID,0),3))*M487+INDEX(PY_VAL,MATCH("P_USADOS",PY_ID,0),3)*N487+IF(P487&gt;0,O487/P487,0)+Q487)</f>
        <v>7.620789</v>
      </c>
      <c r="U487" s="32" t="n">
        <f aca="false">J487*(INDEX(P_VAL,MATCH("CTRL_AÑO",P_ID,0))*L487+(1-INDEX(PY_VAL,MATCH("P_USADOS",PY_ID,0),4))*M487+INDEX(PY_VAL,MATCH("P_USADOS",PY_ID,0),4)*N487+IF(P487&gt;0,O487/P487,0)+Q487)</f>
        <v>7.620983</v>
      </c>
      <c r="V487" s="32" t="n">
        <f aca="false">J487*(INDEX(P_VAL,MATCH("CTRL_AÑO",P_ID,0))*L487+(1-INDEX(PY_VAL,MATCH("P_USADOS",PY_ID,0),5))*M487+INDEX(PY_VAL,MATCH("P_USADOS",PY_ID,0),5)*N487+IF(P487&gt;0,O487/P487,0)+Q487)</f>
        <v>7.620692</v>
      </c>
      <c r="W487" s="32" t="n">
        <f aca="false">J487*(INDEX(P_VAL,MATCH("CTRL_AÑO",P_ID,0))*L487+(1-INDEX(PY_VAL,MATCH("P_USADOS",PY_ID,0),6))*M487+INDEX(PY_VAL,MATCH("P_USADOS",PY_ID,0),6)*N487+IF(P487&gt;0,O487/P487,0)+Q487)</f>
        <v>7.620789</v>
      </c>
      <c r="X487" s="32" t="n">
        <f aca="false">J487*(INDEX(P_VAL,MATCH("CTRL_AÑO",P_ID,0))*L487+(1-INDEX(PY_VAL,MATCH("P_USADOS",PY_ID,0),7))*M487+INDEX(PY_VAL,MATCH("P_USADOS",PY_ID,0),7)*N487+IF(P487&gt;0,O487/P487,0)+Q487)</f>
        <v>7.620692</v>
      </c>
      <c r="Y487" s="32" t="n">
        <f aca="false">J487*(INDEX(P_VAL,MATCH("CTRL_AÑO",P_ID,0))*L487+(1-INDEX(PY_VAL,MATCH("P_USADOS",PY_ID,0),8))*M487+INDEX(PY_VAL,MATCH("P_USADOS",PY_ID,0),8)*N487+IF(P487&gt;0,O487/P487,0)+Q487)</f>
        <v>7.620886</v>
      </c>
      <c r="Z487" s="32" t="n">
        <f aca="false">J487*(INDEX(P_VAL,MATCH("CTRL_AÑO",P_ID,0))*L487+(1-INDEX(PY_VAL,MATCH("P_USADOS",PY_ID,0),9))*M487+INDEX(PY_VAL,MATCH("P_USADOS",PY_ID,0),9)*N487+IF(P487&gt;0,O487/P487,0)+Q487)</f>
        <v>7.620692</v>
      </c>
      <c r="AA487" s="32" t="n">
        <f aca="false">J487*(INDEX(P_VAL,MATCH("CTRL_AÑO",P_ID,0))*L487+(1-INDEX(PY_VAL,MATCH("P_USADOS",PY_ID,0),10))*M487+INDEX(PY_VAL,MATCH("P_USADOS",PY_ID,0),10)*N487+IF(P487&gt;0,O487/P487,0)+Q487)</f>
        <v>7.620401</v>
      </c>
      <c r="AB487" s="5" t="s">
        <v>1346</v>
      </c>
    </row>
    <row r="488" customFormat="false" ht="15" hidden="false" customHeight="false" outlineLevel="0" collapsed="false">
      <c r="A488" s="4" t="s">
        <v>306</v>
      </c>
      <c r="B488" s="4" t="s">
        <v>1350</v>
      </c>
      <c r="C488" s="4" t="s">
        <v>1467</v>
      </c>
      <c r="D488" s="5" t="s">
        <v>571</v>
      </c>
      <c r="E488" s="32" t="n">
        <v>1</v>
      </c>
      <c r="F488" s="32" t="s">
        <v>73</v>
      </c>
      <c r="G488" s="33" t="s">
        <v>1344</v>
      </c>
      <c r="H488" s="32" t="s">
        <v>573</v>
      </c>
      <c r="I488" s="32" t="n">
        <f aca="false">(1+INDEX(P_VAL,MATCH("N2_PERD",P_ID,0)))/INDEX(P_VAL,MATCH("RHO_N2",P_ID,0))</f>
        <v>1.0406660262568</v>
      </c>
      <c r="J488" s="32" t="n">
        <f aca="false">E488*I488</f>
        <v>1.0406660262568</v>
      </c>
      <c r="K488" s="32"/>
      <c r="L488" s="32" t="n">
        <v>0</v>
      </c>
      <c r="M488" s="32" t="n">
        <v>0.519000932053049</v>
      </c>
      <c r="N488" s="32" t="n">
        <v>0.519000932053049</v>
      </c>
      <c r="O488" s="32" t="n">
        <v>0</v>
      </c>
      <c r="P488" s="32" t="n">
        <v>5</v>
      </c>
      <c r="Q488" s="32" t="n">
        <v>0</v>
      </c>
      <c r="R488" s="32" t="n">
        <f aca="false">J488*(INDEX(P_VAL,MATCH("CTRL_AÑO",P_ID,0))*L488+(1-INDEX(PY_VAL,MATCH("P_USADOS",PY_ID,0),1))*M488+INDEX(PY_VAL,MATCH("P_USADOS",PY_ID,0),1)*N488+IF(P488&gt;0,O488/P488,0)+Q488)</f>
        <v>0.540106637583224</v>
      </c>
      <c r="S488" s="32" t="n">
        <f aca="false">J488*(INDEX(P_VAL,MATCH("CTRL_AÑO",P_ID,0))*L488+(1-INDEX(PY_VAL,MATCH("P_USADOS",PY_ID,0),2))*M488+INDEX(PY_VAL,MATCH("P_USADOS",PY_ID,0),2)*N488+IF(P488&gt;0,O488/P488,0)+Q488)</f>
        <v>0.540106637583224</v>
      </c>
      <c r="T488" s="32" t="n">
        <f aca="false">J488*(INDEX(P_VAL,MATCH("CTRL_AÑO",P_ID,0))*L488+(1-INDEX(PY_VAL,MATCH("P_USADOS",PY_ID,0),3))*M488+INDEX(PY_VAL,MATCH("P_USADOS",PY_ID,0),3)*N488+IF(P488&gt;0,O488/P488,0)+Q488)</f>
        <v>0.540106637583224</v>
      </c>
      <c r="U488" s="32" t="n">
        <f aca="false">J488*(INDEX(P_VAL,MATCH("CTRL_AÑO",P_ID,0))*L488+(1-INDEX(PY_VAL,MATCH("P_USADOS",PY_ID,0),4))*M488+INDEX(PY_VAL,MATCH("P_USADOS",PY_ID,0),4)*N488+IF(P488&gt;0,O488/P488,0)+Q488)</f>
        <v>0.540106637583224</v>
      </c>
      <c r="V488" s="32" t="n">
        <f aca="false">J488*(INDEX(P_VAL,MATCH("CTRL_AÑO",P_ID,0))*L488+(1-INDEX(PY_VAL,MATCH("P_USADOS",PY_ID,0),5))*M488+INDEX(PY_VAL,MATCH("P_USADOS",PY_ID,0),5)*N488+IF(P488&gt;0,O488/P488,0)+Q488)</f>
        <v>0.540106637583224</v>
      </c>
      <c r="W488" s="32" t="n">
        <f aca="false">J488*(INDEX(P_VAL,MATCH("CTRL_AÑO",P_ID,0))*L488+(1-INDEX(PY_VAL,MATCH("P_USADOS",PY_ID,0),6))*M488+INDEX(PY_VAL,MATCH("P_USADOS",PY_ID,0),6)*N488+IF(P488&gt;0,O488/P488,0)+Q488)</f>
        <v>0.540106637583224</v>
      </c>
      <c r="X488" s="32" t="n">
        <f aca="false">J488*(INDEX(P_VAL,MATCH("CTRL_AÑO",P_ID,0))*L488+(1-INDEX(PY_VAL,MATCH("P_USADOS",PY_ID,0),7))*M488+INDEX(PY_VAL,MATCH("P_USADOS",PY_ID,0),7)*N488+IF(P488&gt;0,O488/P488,0)+Q488)</f>
        <v>0.540106637583224</v>
      </c>
      <c r="Y488" s="32" t="n">
        <f aca="false">J488*(INDEX(P_VAL,MATCH("CTRL_AÑO",P_ID,0))*L488+(1-INDEX(PY_VAL,MATCH("P_USADOS",PY_ID,0),8))*M488+INDEX(PY_VAL,MATCH("P_USADOS",PY_ID,0),8)*N488+IF(P488&gt;0,O488/P488,0)+Q488)</f>
        <v>0.540106637583224</v>
      </c>
      <c r="Z488" s="32" t="n">
        <f aca="false">J488*(INDEX(P_VAL,MATCH("CTRL_AÑO",P_ID,0))*L488+(1-INDEX(PY_VAL,MATCH("P_USADOS",PY_ID,0),9))*M488+INDEX(PY_VAL,MATCH("P_USADOS",PY_ID,0),9)*N488+IF(P488&gt;0,O488/P488,0)+Q488)</f>
        <v>0.540106637583224</v>
      </c>
      <c r="AA488" s="32" t="n">
        <f aca="false">J488*(INDEX(P_VAL,MATCH("CTRL_AÑO",P_ID,0))*L488+(1-INDEX(PY_VAL,MATCH("P_USADOS",PY_ID,0),10))*M488+INDEX(PY_VAL,MATCH("P_USADOS",PY_ID,0),10)*N488+IF(P488&gt;0,O488/P488,0)+Q488)</f>
        <v>0.540106637583224</v>
      </c>
      <c r="AB488" s="5" t="s">
        <v>1346</v>
      </c>
    </row>
    <row r="489" customFormat="false" ht="15" hidden="false" customHeight="false" outlineLevel="0" collapsed="false">
      <c r="A489" s="4" t="s">
        <v>306</v>
      </c>
      <c r="B489" s="4" t="s">
        <v>1352</v>
      </c>
      <c r="C489" s="4" t="s">
        <v>1468</v>
      </c>
      <c r="D489" s="5" t="s">
        <v>1354</v>
      </c>
      <c r="E489" s="32" t="n">
        <v>1</v>
      </c>
      <c r="F489" s="32" t="s">
        <v>82</v>
      </c>
      <c r="G489" s="33" t="s">
        <v>1344</v>
      </c>
      <c r="H489" s="32" t="s">
        <v>1355</v>
      </c>
      <c r="I489" s="32" t="n">
        <v>1</v>
      </c>
      <c r="J489" s="32" t="n">
        <f aca="false">E489*I489</f>
        <v>1</v>
      </c>
      <c r="K489" s="32"/>
      <c r="L489" s="32" t="n">
        <v>0</v>
      </c>
      <c r="M489" s="32" t="n">
        <v>1</v>
      </c>
      <c r="N489" s="32" t="n">
        <v>1</v>
      </c>
      <c r="O489" s="32" t="n">
        <v>0</v>
      </c>
      <c r="P489" s="32" t="n">
        <v>5</v>
      </c>
      <c r="Q489" s="32" t="n">
        <v>0</v>
      </c>
      <c r="R489" s="32" t="n">
        <f aca="false">J489*(INDEX(P_VAL,MATCH("CTRL_AÑO",P_ID,0))*L489+(1-INDEX(PY_VAL,MATCH("P_USADOS",PY_ID,0),1))*M489+INDEX(PY_VAL,MATCH("P_USADOS",PY_ID,0),1)*N489+IF(P489&gt;0,O489/P489,0)+Q489)</f>
        <v>1</v>
      </c>
      <c r="S489" s="32" t="n">
        <f aca="false">J489*(INDEX(P_VAL,MATCH("CTRL_AÑO",P_ID,0))*L489+(1-INDEX(PY_VAL,MATCH("P_USADOS",PY_ID,0),2))*M489+INDEX(PY_VAL,MATCH("P_USADOS",PY_ID,0),2)*N489+IF(P489&gt;0,O489/P489,0)+Q489)</f>
        <v>1</v>
      </c>
      <c r="T489" s="32" t="n">
        <f aca="false">J489*(INDEX(P_VAL,MATCH("CTRL_AÑO",P_ID,0))*L489+(1-INDEX(PY_VAL,MATCH("P_USADOS",PY_ID,0),3))*M489+INDEX(PY_VAL,MATCH("P_USADOS",PY_ID,0),3)*N489+IF(P489&gt;0,O489/P489,0)+Q489)</f>
        <v>1</v>
      </c>
      <c r="U489" s="32" t="n">
        <f aca="false">J489*(INDEX(P_VAL,MATCH("CTRL_AÑO",P_ID,0))*L489+(1-INDEX(PY_VAL,MATCH("P_USADOS",PY_ID,0),4))*M489+INDEX(PY_VAL,MATCH("P_USADOS",PY_ID,0),4)*N489+IF(P489&gt;0,O489/P489,0)+Q489)</f>
        <v>1</v>
      </c>
      <c r="V489" s="32" t="n">
        <f aca="false">J489*(INDEX(P_VAL,MATCH("CTRL_AÑO",P_ID,0))*L489+(1-INDEX(PY_VAL,MATCH("P_USADOS",PY_ID,0),5))*M489+INDEX(PY_VAL,MATCH("P_USADOS",PY_ID,0),5)*N489+IF(P489&gt;0,O489/P489,0)+Q489)</f>
        <v>1</v>
      </c>
      <c r="W489" s="32" t="n">
        <f aca="false">J489*(INDEX(P_VAL,MATCH("CTRL_AÑO",P_ID,0))*L489+(1-INDEX(PY_VAL,MATCH("P_USADOS",PY_ID,0),6))*M489+INDEX(PY_VAL,MATCH("P_USADOS",PY_ID,0),6)*N489+IF(P489&gt;0,O489/P489,0)+Q489)</f>
        <v>1</v>
      </c>
      <c r="X489" s="32" t="n">
        <f aca="false">J489*(INDEX(P_VAL,MATCH("CTRL_AÑO",P_ID,0))*L489+(1-INDEX(PY_VAL,MATCH("P_USADOS",PY_ID,0),7))*M489+INDEX(PY_VAL,MATCH("P_USADOS",PY_ID,0),7)*N489+IF(P489&gt;0,O489/P489,0)+Q489)</f>
        <v>1</v>
      </c>
      <c r="Y489" s="32" t="n">
        <f aca="false">J489*(INDEX(P_VAL,MATCH("CTRL_AÑO",P_ID,0))*L489+(1-INDEX(PY_VAL,MATCH("P_USADOS",PY_ID,0),8))*M489+INDEX(PY_VAL,MATCH("P_USADOS",PY_ID,0),8)*N489+IF(P489&gt;0,O489/P489,0)+Q489)</f>
        <v>1</v>
      </c>
      <c r="Z489" s="32" t="n">
        <f aca="false">J489*(INDEX(P_VAL,MATCH("CTRL_AÑO",P_ID,0))*L489+(1-INDEX(PY_VAL,MATCH("P_USADOS",PY_ID,0),9))*M489+INDEX(PY_VAL,MATCH("P_USADOS",PY_ID,0),9)*N489+IF(P489&gt;0,O489/P489,0)+Q489)</f>
        <v>1</v>
      </c>
      <c r="AA489" s="32" t="n">
        <f aca="false">J489*(INDEX(P_VAL,MATCH("CTRL_AÑO",P_ID,0))*L489+(1-INDEX(PY_VAL,MATCH("P_USADOS",PY_ID,0),10))*M489+INDEX(PY_VAL,MATCH("P_USADOS",PY_ID,0),10)*N489+IF(P489&gt;0,O489/P489,0)+Q489)</f>
        <v>1</v>
      </c>
      <c r="AB489" s="5" t="s">
        <v>1346</v>
      </c>
    </row>
    <row r="490" customFormat="false" ht="15" hidden="false" customHeight="false" outlineLevel="0" collapsed="false">
      <c r="A490" s="4" t="s">
        <v>306</v>
      </c>
      <c r="B490" s="4" t="s">
        <v>1356</v>
      </c>
      <c r="C490" s="4" t="s">
        <v>1469</v>
      </c>
      <c r="D490" s="5" t="s">
        <v>1358</v>
      </c>
      <c r="E490" s="32" t="n">
        <v>1</v>
      </c>
      <c r="F490" s="32" t="s">
        <v>82</v>
      </c>
      <c r="G490" s="33" t="s">
        <v>1344</v>
      </c>
      <c r="H490" s="32" t="s">
        <v>1359</v>
      </c>
      <c r="I490" s="32" t="n">
        <v>1</v>
      </c>
      <c r="J490" s="32" t="n">
        <f aca="false">E490*I490</f>
        <v>1</v>
      </c>
      <c r="K490" s="32"/>
      <c r="L490" s="32" t="n">
        <v>0</v>
      </c>
      <c r="M490" s="32" t="n">
        <v>1</v>
      </c>
      <c r="N490" s="32" t="n">
        <v>1</v>
      </c>
      <c r="O490" s="32" t="n">
        <v>0</v>
      </c>
      <c r="P490" s="32" t="n">
        <v>5</v>
      </c>
      <c r="Q490" s="32" t="n">
        <v>0</v>
      </c>
      <c r="R490" s="32" t="n">
        <f aca="false">J490*(INDEX(P_VAL,MATCH("CTRL_AÑO",P_ID,0))*L490+(1-INDEX(PY_VAL,MATCH("P_USADOS",PY_ID,0),1))*M490+INDEX(PY_VAL,MATCH("P_USADOS",PY_ID,0),1)*N490+IF(P490&gt;0,O490/P490,0)+Q490)</f>
        <v>1</v>
      </c>
      <c r="S490" s="32" t="n">
        <f aca="false">J490*(INDEX(P_VAL,MATCH("CTRL_AÑO",P_ID,0))*L490+(1-INDEX(PY_VAL,MATCH("P_USADOS",PY_ID,0),2))*M490+INDEX(PY_VAL,MATCH("P_USADOS",PY_ID,0),2)*N490+IF(P490&gt;0,O490/P490,0)+Q490)</f>
        <v>1</v>
      </c>
      <c r="T490" s="32" t="n">
        <f aca="false">J490*(INDEX(P_VAL,MATCH("CTRL_AÑO",P_ID,0))*L490+(1-INDEX(PY_VAL,MATCH("P_USADOS",PY_ID,0),3))*M490+INDEX(PY_VAL,MATCH("P_USADOS",PY_ID,0),3)*N490+IF(P490&gt;0,O490/P490,0)+Q490)</f>
        <v>1</v>
      </c>
      <c r="U490" s="32" t="n">
        <f aca="false">J490*(INDEX(P_VAL,MATCH("CTRL_AÑO",P_ID,0))*L490+(1-INDEX(PY_VAL,MATCH("P_USADOS",PY_ID,0),4))*M490+INDEX(PY_VAL,MATCH("P_USADOS",PY_ID,0),4)*N490+IF(P490&gt;0,O490/P490,0)+Q490)</f>
        <v>1</v>
      </c>
      <c r="V490" s="32" t="n">
        <f aca="false">J490*(INDEX(P_VAL,MATCH("CTRL_AÑO",P_ID,0))*L490+(1-INDEX(PY_VAL,MATCH("P_USADOS",PY_ID,0),5))*M490+INDEX(PY_VAL,MATCH("P_USADOS",PY_ID,0),5)*N490+IF(P490&gt;0,O490/P490,0)+Q490)</f>
        <v>1</v>
      </c>
      <c r="W490" s="32" t="n">
        <f aca="false">J490*(INDEX(P_VAL,MATCH("CTRL_AÑO",P_ID,0))*L490+(1-INDEX(PY_VAL,MATCH("P_USADOS",PY_ID,0),6))*M490+INDEX(PY_VAL,MATCH("P_USADOS",PY_ID,0),6)*N490+IF(P490&gt;0,O490/P490,0)+Q490)</f>
        <v>1</v>
      </c>
      <c r="X490" s="32" t="n">
        <f aca="false">J490*(INDEX(P_VAL,MATCH("CTRL_AÑO",P_ID,0))*L490+(1-INDEX(PY_VAL,MATCH("P_USADOS",PY_ID,0),7))*M490+INDEX(PY_VAL,MATCH("P_USADOS",PY_ID,0),7)*N490+IF(P490&gt;0,O490/P490,0)+Q490)</f>
        <v>1</v>
      </c>
      <c r="Y490" s="32" t="n">
        <f aca="false">J490*(INDEX(P_VAL,MATCH("CTRL_AÑO",P_ID,0))*L490+(1-INDEX(PY_VAL,MATCH("P_USADOS",PY_ID,0),8))*M490+INDEX(PY_VAL,MATCH("P_USADOS",PY_ID,0),8)*N490+IF(P490&gt;0,O490/P490,0)+Q490)</f>
        <v>1</v>
      </c>
      <c r="Z490" s="32" t="n">
        <f aca="false">J490*(INDEX(P_VAL,MATCH("CTRL_AÑO",P_ID,0))*L490+(1-INDEX(PY_VAL,MATCH("P_USADOS",PY_ID,0),9))*M490+INDEX(PY_VAL,MATCH("P_USADOS",PY_ID,0),9)*N490+IF(P490&gt;0,O490/P490,0)+Q490)</f>
        <v>1</v>
      </c>
      <c r="AA490" s="32" t="n">
        <f aca="false">J490*(INDEX(P_VAL,MATCH("CTRL_AÑO",P_ID,0))*L490+(1-INDEX(PY_VAL,MATCH("P_USADOS",PY_ID,0),10))*M490+INDEX(PY_VAL,MATCH("P_USADOS",PY_ID,0),10)*N490+IF(P490&gt;0,O490/P490,0)+Q490)</f>
        <v>1</v>
      </c>
      <c r="AB490" s="5" t="s">
        <v>1346</v>
      </c>
    </row>
    <row r="491" customFormat="false" ht="15" hidden="false" customHeight="false" outlineLevel="0" collapsed="false">
      <c r="A491" s="4" t="s">
        <v>306</v>
      </c>
      <c r="B491" s="4" t="s">
        <v>1360</v>
      </c>
      <c r="C491" s="4" t="s">
        <v>1470</v>
      </c>
      <c r="D491" s="5" t="s">
        <v>1362</v>
      </c>
      <c r="E491" s="32" t="n">
        <v>1</v>
      </c>
      <c r="F491" s="32" t="s">
        <v>82</v>
      </c>
      <c r="G491" s="33" t="s">
        <v>1344</v>
      </c>
      <c r="H491" s="32" t="s">
        <v>1363</v>
      </c>
      <c r="I491" s="32" t="n">
        <v>1</v>
      </c>
      <c r="J491" s="32" t="n">
        <f aca="false">E491*I491</f>
        <v>1</v>
      </c>
      <c r="K491" s="32"/>
      <c r="L491" s="32" t="n">
        <v>0</v>
      </c>
      <c r="M491" s="32" t="n">
        <v>1</v>
      </c>
      <c r="N491" s="32" t="n">
        <v>1</v>
      </c>
      <c r="O491" s="32" t="n">
        <v>0</v>
      </c>
      <c r="P491" s="32" t="n">
        <v>5</v>
      </c>
      <c r="Q491" s="32" t="n">
        <v>0</v>
      </c>
      <c r="R491" s="32" t="n">
        <f aca="false">J491*(INDEX(P_VAL,MATCH("CTRL_AÑO",P_ID,0))*L491+(1-INDEX(PY_VAL,MATCH("P_USADOS",PY_ID,0),1))*M491+INDEX(PY_VAL,MATCH("P_USADOS",PY_ID,0),1)*N491+IF(P491&gt;0,O491/P491,0)+Q491)</f>
        <v>1</v>
      </c>
      <c r="S491" s="32" t="n">
        <f aca="false">J491*(INDEX(P_VAL,MATCH("CTRL_AÑO",P_ID,0))*L491+(1-INDEX(PY_VAL,MATCH("P_USADOS",PY_ID,0),2))*M491+INDEX(PY_VAL,MATCH("P_USADOS",PY_ID,0),2)*N491+IF(P491&gt;0,O491/P491,0)+Q491)</f>
        <v>1</v>
      </c>
      <c r="T491" s="32" t="n">
        <f aca="false">J491*(INDEX(P_VAL,MATCH("CTRL_AÑO",P_ID,0))*L491+(1-INDEX(PY_VAL,MATCH("P_USADOS",PY_ID,0),3))*M491+INDEX(PY_VAL,MATCH("P_USADOS",PY_ID,0),3)*N491+IF(P491&gt;0,O491/P491,0)+Q491)</f>
        <v>1</v>
      </c>
      <c r="U491" s="32" t="n">
        <f aca="false">J491*(INDEX(P_VAL,MATCH("CTRL_AÑO",P_ID,0))*L491+(1-INDEX(PY_VAL,MATCH("P_USADOS",PY_ID,0),4))*M491+INDEX(PY_VAL,MATCH("P_USADOS",PY_ID,0),4)*N491+IF(P491&gt;0,O491/P491,0)+Q491)</f>
        <v>1</v>
      </c>
      <c r="V491" s="32" t="n">
        <f aca="false">J491*(INDEX(P_VAL,MATCH("CTRL_AÑO",P_ID,0))*L491+(1-INDEX(PY_VAL,MATCH("P_USADOS",PY_ID,0),5))*M491+INDEX(PY_VAL,MATCH("P_USADOS",PY_ID,0),5)*N491+IF(P491&gt;0,O491/P491,0)+Q491)</f>
        <v>1</v>
      </c>
      <c r="W491" s="32" t="n">
        <f aca="false">J491*(INDEX(P_VAL,MATCH("CTRL_AÑO",P_ID,0))*L491+(1-INDEX(PY_VAL,MATCH("P_USADOS",PY_ID,0),6))*M491+INDEX(PY_VAL,MATCH("P_USADOS",PY_ID,0),6)*N491+IF(P491&gt;0,O491/P491,0)+Q491)</f>
        <v>1</v>
      </c>
      <c r="X491" s="32" t="n">
        <f aca="false">J491*(INDEX(P_VAL,MATCH("CTRL_AÑO",P_ID,0))*L491+(1-INDEX(PY_VAL,MATCH("P_USADOS",PY_ID,0),7))*M491+INDEX(PY_VAL,MATCH("P_USADOS",PY_ID,0),7)*N491+IF(P491&gt;0,O491/P491,0)+Q491)</f>
        <v>1</v>
      </c>
      <c r="Y491" s="32" t="n">
        <f aca="false">J491*(INDEX(P_VAL,MATCH("CTRL_AÑO",P_ID,0))*L491+(1-INDEX(PY_VAL,MATCH("P_USADOS",PY_ID,0),8))*M491+INDEX(PY_VAL,MATCH("P_USADOS",PY_ID,0),8)*N491+IF(P491&gt;0,O491/P491,0)+Q491)</f>
        <v>1</v>
      </c>
      <c r="Z491" s="32" t="n">
        <f aca="false">J491*(INDEX(P_VAL,MATCH("CTRL_AÑO",P_ID,0))*L491+(1-INDEX(PY_VAL,MATCH("P_USADOS",PY_ID,0),9))*M491+INDEX(PY_VAL,MATCH("P_USADOS",PY_ID,0),9)*N491+IF(P491&gt;0,O491/P491,0)+Q491)</f>
        <v>1</v>
      </c>
      <c r="AA491" s="32" t="n">
        <f aca="false">J491*(INDEX(P_VAL,MATCH("CTRL_AÑO",P_ID,0))*L491+(1-INDEX(PY_VAL,MATCH("P_USADOS",PY_ID,0),10))*M491+INDEX(PY_VAL,MATCH("P_USADOS",PY_ID,0),10)*N491+IF(P491&gt;0,O491/P491,0)+Q491)</f>
        <v>1</v>
      </c>
      <c r="AB491" s="5" t="s">
        <v>1346</v>
      </c>
    </row>
    <row r="492" customFormat="false" ht="15" hidden="false" customHeight="false" outlineLevel="0" collapsed="false">
      <c r="A492" s="4" t="s">
        <v>306</v>
      </c>
      <c r="B492" s="4" t="s">
        <v>1364</v>
      </c>
      <c r="C492" s="4" t="s">
        <v>1471</v>
      </c>
      <c r="D492" s="5" t="s">
        <v>1366</v>
      </c>
      <c r="E492" s="32" t="n">
        <v>1</v>
      </c>
      <c r="F492" s="32" t="s">
        <v>82</v>
      </c>
      <c r="G492" s="33" t="s">
        <v>1344</v>
      </c>
      <c r="H492" s="32" t="s">
        <v>1367</v>
      </c>
      <c r="I492" s="32" t="n">
        <v>1</v>
      </c>
      <c r="J492" s="32" t="n">
        <f aca="false">E492*I492</f>
        <v>1</v>
      </c>
      <c r="K492" s="32" t="s">
        <v>582</v>
      </c>
      <c r="L492" s="32" t="n">
        <v>0</v>
      </c>
      <c r="M492" s="32" t="n">
        <v>1</v>
      </c>
      <c r="N492" s="32" t="n">
        <v>1</v>
      </c>
      <c r="O492" s="32" t="n">
        <v>0</v>
      </c>
      <c r="P492" s="32" t="n">
        <v>5</v>
      </c>
      <c r="Q492" s="32" t="n">
        <v>0</v>
      </c>
      <c r="R492" s="32" t="n">
        <f aca="false">J492*(INDEX(P_VAL,MATCH("CTRL_AÑO",P_ID,0))*L492+(1-INDEX(PY_VAL,MATCH("P_USADOS",PY_ID,0),1))*M492+INDEX(PY_VAL,MATCH("P_USADOS",PY_ID,0),1)*N492+IF(P492&gt;0,O492/P492,0)+Q492)</f>
        <v>1</v>
      </c>
      <c r="S492" s="32" t="n">
        <f aca="false">J492*(INDEX(P_VAL,MATCH("CTRL_AÑO",P_ID,0))*L492+(1-INDEX(PY_VAL,MATCH("P_USADOS",PY_ID,0),2))*M492+INDEX(PY_VAL,MATCH("P_USADOS",PY_ID,0),2)*N492+IF(P492&gt;0,O492/P492,0)+Q492)</f>
        <v>1</v>
      </c>
      <c r="T492" s="32" t="n">
        <f aca="false">J492*(INDEX(P_VAL,MATCH("CTRL_AÑO",P_ID,0))*L492+(1-INDEX(PY_VAL,MATCH("P_USADOS",PY_ID,0),3))*M492+INDEX(PY_VAL,MATCH("P_USADOS",PY_ID,0),3)*N492+IF(P492&gt;0,O492/P492,0)+Q492)</f>
        <v>1</v>
      </c>
      <c r="U492" s="32" t="n">
        <f aca="false">J492*(INDEX(P_VAL,MATCH("CTRL_AÑO",P_ID,0))*L492+(1-INDEX(PY_VAL,MATCH("P_USADOS",PY_ID,0),4))*M492+INDEX(PY_VAL,MATCH("P_USADOS",PY_ID,0),4)*N492+IF(P492&gt;0,O492/P492,0)+Q492)</f>
        <v>1</v>
      </c>
      <c r="V492" s="32" t="n">
        <f aca="false">J492*(INDEX(P_VAL,MATCH("CTRL_AÑO",P_ID,0))*L492+(1-INDEX(PY_VAL,MATCH("P_USADOS",PY_ID,0),5))*M492+INDEX(PY_VAL,MATCH("P_USADOS",PY_ID,0),5)*N492+IF(P492&gt;0,O492/P492,0)+Q492)</f>
        <v>1</v>
      </c>
      <c r="W492" s="32" t="n">
        <f aca="false">J492*(INDEX(P_VAL,MATCH("CTRL_AÑO",P_ID,0))*L492+(1-INDEX(PY_VAL,MATCH("P_USADOS",PY_ID,0),6))*M492+INDEX(PY_VAL,MATCH("P_USADOS",PY_ID,0),6)*N492+IF(P492&gt;0,O492/P492,0)+Q492)</f>
        <v>1</v>
      </c>
      <c r="X492" s="32" t="n">
        <f aca="false">J492*(INDEX(P_VAL,MATCH("CTRL_AÑO",P_ID,0))*L492+(1-INDEX(PY_VAL,MATCH("P_USADOS",PY_ID,0),7))*M492+INDEX(PY_VAL,MATCH("P_USADOS",PY_ID,0),7)*N492+IF(P492&gt;0,O492/P492,0)+Q492)</f>
        <v>1</v>
      </c>
      <c r="Y492" s="32" t="n">
        <f aca="false">J492*(INDEX(P_VAL,MATCH("CTRL_AÑO",P_ID,0))*L492+(1-INDEX(PY_VAL,MATCH("P_USADOS",PY_ID,0),8))*M492+INDEX(PY_VAL,MATCH("P_USADOS",PY_ID,0),8)*N492+IF(P492&gt;0,O492/P492,0)+Q492)</f>
        <v>1</v>
      </c>
      <c r="Z492" s="32" t="n">
        <f aca="false">J492*(INDEX(P_VAL,MATCH("CTRL_AÑO",P_ID,0))*L492+(1-INDEX(PY_VAL,MATCH("P_USADOS",PY_ID,0),9))*M492+INDEX(PY_VAL,MATCH("P_USADOS",PY_ID,0),9)*N492+IF(P492&gt;0,O492/P492,0)+Q492)</f>
        <v>1</v>
      </c>
      <c r="AA492" s="32" t="n">
        <f aca="false">J492*(INDEX(P_VAL,MATCH("CTRL_AÑO",P_ID,0))*L492+(1-INDEX(PY_VAL,MATCH("P_USADOS",PY_ID,0),10))*M492+INDEX(PY_VAL,MATCH("P_USADOS",PY_ID,0),10)*N492+IF(P492&gt;0,O492/P492,0)+Q492)</f>
        <v>1</v>
      </c>
      <c r="AB492" s="5" t="s">
        <v>1346</v>
      </c>
    </row>
    <row r="493" customFormat="false" ht="15" hidden="false" customHeight="false" outlineLevel="0" collapsed="false">
      <c r="A493" s="4" t="s">
        <v>306</v>
      </c>
      <c r="B493" s="4" t="s">
        <v>1368</v>
      </c>
      <c r="C493" s="4" t="s">
        <v>1472</v>
      </c>
      <c r="D493" s="5" t="s">
        <v>1370</v>
      </c>
      <c r="E493" s="32" t="n">
        <v>1</v>
      </c>
      <c r="F493" s="32" t="s">
        <v>82</v>
      </c>
      <c r="G493" s="33" t="s">
        <v>1344</v>
      </c>
      <c r="H493" s="32" t="s">
        <v>1371</v>
      </c>
      <c r="I493" s="32" t="n">
        <v>1</v>
      </c>
      <c r="J493" s="32" t="n">
        <f aca="false">E493*I493</f>
        <v>1</v>
      </c>
      <c r="K493" s="32" t="s">
        <v>582</v>
      </c>
      <c r="L493" s="32" t="n">
        <v>0</v>
      </c>
      <c r="M493" s="32" t="n">
        <v>1</v>
      </c>
      <c r="N493" s="32" t="n">
        <v>1</v>
      </c>
      <c r="O493" s="32" t="n">
        <v>0</v>
      </c>
      <c r="P493" s="32" t="n">
        <v>5</v>
      </c>
      <c r="Q493" s="32" t="n">
        <v>0</v>
      </c>
      <c r="R493" s="32" t="n">
        <f aca="false">J493*(INDEX(P_VAL,MATCH("CTRL_AÑO",P_ID,0))*L493+(1-INDEX(PY_VAL,MATCH("P_USADOS",PY_ID,0),1))*M493+INDEX(PY_VAL,MATCH("P_USADOS",PY_ID,0),1)*N493+IF(P493&gt;0,O493/P493,0)+Q493)</f>
        <v>1</v>
      </c>
      <c r="S493" s="32" t="n">
        <f aca="false">J493*(INDEX(P_VAL,MATCH("CTRL_AÑO",P_ID,0))*L493+(1-INDEX(PY_VAL,MATCH("P_USADOS",PY_ID,0),2))*M493+INDEX(PY_VAL,MATCH("P_USADOS",PY_ID,0),2)*N493+IF(P493&gt;0,O493/P493,0)+Q493)</f>
        <v>1</v>
      </c>
      <c r="T493" s="32" t="n">
        <f aca="false">J493*(INDEX(P_VAL,MATCH("CTRL_AÑO",P_ID,0))*L493+(1-INDEX(PY_VAL,MATCH("P_USADOS",PY_ID,0),3))*M493+INDEX(PY_VAL,MATCH("P_USADOS",PY_ID,0),3)*N493+IF(P493&gt;0,O493/P493,0)+Q493)</f>
        <v>1</v>
      </c>
      <c r="U493" s="32" t="n">
        <f aca="false">J493*(INDEX(P_VAL,MATCH("CTRL_AÑO",P_ID,0))*L493+(1-INDEX(PY_VAL,MATCH("P_USADOS",PY_ID,0),4))*M493+INDEX(PY_VAL,MATCH("P_USADOS",PY_ID,0),4)*N493+IF(P493&gt;0,O493/P493,0)+Q493)</f>
        <v>1</v>
      </c>
      <c r="V493" s="32" t="n">
        <f aca="false">J493*(INDEX(P_VAL,MATCH("CTRL_AÑO",P_ID,0))*L493+(1-INDEX(PY_VAL,MATCH("P_USADOS",PY_ID,0),5))*M493+INDEX(PY_VAL,MATCH("P_USADOS",PY_ID,0),5)*N493+IF(P493&gt;0,O493/P493,0)+Q493)</f>
        <v>1</v>
      </c>
      <c r="W493" s="32" t="n">
        <f aca="false">J493*(INDEX(P_VAL,MATCH("CTRL_AÑO",P_ID,0))*L493+(1-INDEX(PY_VAL,MATCH("P_USADOS",PY_ID,0),6))*M493+INDEX(PY_VAL,MATCH("P_USADOS",PY_ID,0),6)*N493+IF(P493&gt;0,O493/P493,0)+Q493)</f>
        <v>1</v>
      </c>
      <c r="X493" s="32" t="n">
        <f aca="false">J493*(INDEX(P_VAL,MATCH("CTRL_AÑO",P_ID,0))*L493+(1-INDEX(PY_VAL,MATCH("P_USADOS",PY_ID,0),7))*M493+INDEX(PY_VAL,MATCH("P_USADOS",PY_ID,0),7)*N493+IF(P493&gt;0,O493/P493,0)+Q493)</f>
        <v>1</v>
      </c>
      <c r="Y493" s="32" t="n">
        <f aca="false">J493*(INDEX(P_VAL,MATCH("CTRL_AÑO",P_ID,0))*L493+(1-INDEX(PY_VAL,MATCH("P_USADOS",PY_ID,0),8))*M493+INDEX(PY_VAL,MATCH("P_USADOS",PY_ID,0),8)*N493+IF(P493&gt;0,O493/P493,0)+Q493)</f>
        <v>1</v>
      </c>
      <c r="Z493" s="32" t="n">
        <f aca="false">J493*(INDEX(P_VAL,MATCH("CTRL_AÑO",P_ID,0))*L493+(1-INDEX(PY_VAL,MATCH("P_USADOS",PY_ID,0),9))*M493+INDEX(PY_VAL,MATCH("P_USADOS",PY_ID,0),9)*N493+IF(P493&gt;0,O493/P493,0)+Q493)</f>
        <v>1</v>
      </c>
      <c r="AA493" s="32" t="n">
        <f aca="false">J493*(INDEX(P_VAL,MATCH("CTRL_AÑO",P_ID,0))*L493+(1-INDEX(PY_VAL,MATCH("P_USADOS",PY_ID,0),10))*M493+INDEX(PY_VAL,MATCH("P_USADOS",PY_ID,0),10)*N493+IF(P493&gt;0,O493/P493,0)+Q493)</f>
        <v>1</v>
      </c>
      <c r="AB493" s="5" t="s">
        <v>1346</v>
      </c>
    </row>
    <row r="494" customFormat="false" ht="15" hidden="false" customHeight="false" outlineLevel="0" collapsed="false">
      <c r="A494" s="4" t="s">
        <v>306</v>
      </c>
      <c r="B494" s="4" t="s">
        <v>1372</v>
      </c>
      <c r="C494" s="4" t="s">
        <v>1473</v>
      </c>
      <c r="D494" s="5" t="s">
        <v>1374</v>
      </c>
      <c r="E494" s="32" t="n">
        <v>1</v>
      </c>
      <c r="F494" s="32" t="s">
        <v>82</v>
      </c>
      <c r="G494" s="33" t="s">
        <v>1344</v>
      </c>
      <c r="H494" s="32" t="s">
        <v>688</v>
      </c>
      <c r="I494" s="32" t="n">
        <v>1</v>
      </c>
      <c r="J494" s="32" t="n">
        <f aca="false">E494*I494</f>
        <v>1</v>
      </c>
      <c r="K494" s="32" t="s">
        <v>689</v>
      </c>
      <c r="L494" s="32" t="n">
        <v>0</v>
      </c>
      <c r="M494" s="32" t="n">
        <v>1</v>
      </c>
      <c r="N494" s="32" t="n">
        <v>1</v>
      </c>
      <c r="O494" s="32" t="n">
        <v>0</v>
      </c>
      <c r="P494" s="32" t="n">
        <v>5</v>
      </c>
      <c r="Q494" s="32" t="n">
        <v>0</v>
      </c>
      <c r="R494" s="32" t="n">
        <f aca="false">J494*(INDEX(P_VAL,MATCH("CTRL_AÑO",P_ID,0))*L494+(1-INDEX(PY_VAL,MATCH("P_USADOS",PY_ID,0),1))*M494+INDEX(PY_VAL,MATCH("P_USADOS",PY_ID,0),1)*N494+IF(P494&gt;0,O494/P494,0)+Q494)</f>
        <v>1</v>
      </c>
      <c r="S494" s="32" t="n">
        <f aca="false">J494*(INDEX(P_VAL,MATCH("CTRL_AÑO",P_ID,0))*L494+(1-INDEX(PY_VAL,MATCH("P_USADOS",PY_ID,0),2))*M494+INDEX(PY_VAL,MATCH("P_USADOS",PY_ID,0),2)*N494+IF(P494&gt;0,O494/P494,0)+Q494)</f>
        <v>1</v>
      </c>
      <c r="T494" s="32" t="n">
        <f aca="false">J494*(INDEX(P_VAL,MATCH("CTRL_AÑO",P_ID,0))*L494+(1-INDEX(PY_VAL,MATCH("P_USADOS",PY_ID,0),3))*M494+INDEX(PY_VAL,MATCH("P_USADOS",PY_ID,0),3)*N494+IF(P494&gt;0,O494/P494,0)+Q494)</f>
        <v>1</v>
      </c>
      <c r="U494" s="32" t="n">
        <f aca="false">J494*(INDEX(P_VAL,MATCH("CTRL_AÑO",P_ID,0))*L494+(1-INDEX(PY_VAL,MATCH("P_USADOS",PY_ID,0),4))*M494+INDEX(PY_VAL,MATCH("P_USADOS",PY_ID,0),4)*N494+IF(P494&gt;0,O494/P494,0)+Q494)</f>
        <v>1</v>
      </c>
      <c r="V494" s="32" t="n">
        <f aca="false">J494*(INDEX(P_VAL,MATCH("CTRL_AÑO",P_ID,0))*L494+(1-INDEX(PY_VAL,MATCH("P_USADOS",PY_ID,0),5))*M494+INDEX(PY_VAL,MATCH("P_USADOS",PY_ID,0),5)*N494+IF(P494&gt;0,O494/P494,0)+Q494)</f>
        <v>1</v>
      </c>
      <c r="W494" s="32" t="n">
        <f aca="false">J494*(INDEX(P_VAL,MATCH("CTRL_AÑO",P_ID,0))*L494+(1-INDEX(PY_VAL,MATCH("P_USADOS",PY_ID,0),6))*M494+INDEX(PY_VAL,MATCH("P_USADOS",PY_ID,0),6)*N494+IF(P494&gt;0,O494/P494,0)+Q494)</f>
        <v>1</v>
      </c>
      <c r="X494" s="32" t="n">
        <f aca="false">J494*(INDEX(P_VAL,MATCH("CTRL_AÑO",P_ID,0))*L494+(1-INDEX(PY_VAL,MATCH("P_USADOS",PY_ID,0),7))*M494+INDEX(PY_VAL,MATCH("P_USADOS",PY_ID,0),7)*N494+IF(P494&gt;0,O494/P494,0)+Q494)</f>
        <v>1</v>
      </c>
      <c r="Y494" s="32" t="n">
        <f aca="false">J494*(INDEX(P_VAL,MATCH("CTRL_AÑO",P_ID,0))*L494+(1-INDEX(PY_VAL,MATCH("P_USADOS",PY_ID,0),8))*M494+INDEX(PY_VAL,MATCH("P_USADOS",PY_ID,0),8)*N494+IF(P494&gt;0,O494/P494,0)+Q494)</f>
        <v>1</v>
      </c>
      <c r="Z494" s="32" t="n">
        <f aca="false">J494*(INDEX(P_VAL,MATCH("CTRL_AÑO",P_ID,0))*L494+(1-INDEX(PY_VAL,MATCH("P_USADOS",PY_ID,0),9))*M494+INDEX(PY_VAL,MATCH("P_USADOS",PY_ID,0),9)*N494+IF(P494&gt;0,O494/P494,0)+Q494)</f>
        <v>1</v>
      </c>
      <c r="AA494" s="32" t="n">
        <f aca="false">J494*(INDEX(P_VAL,MATCH("CTRL_AÑO",P_ID,0))*L494+(1-INDEX(PY_VAL,MATCH("P_USADOS",PY_ID,0),10))*M494+INDEX(PY_VAL,MATCH("P_USADOS",PY_ID,0),10)*N494+IF(P494&gt;0,O494/P494,0)+Q494)</f>
        <v>1</v>
      </c>
      <c r="AB494" s="5" t="s">
        <v>1346</v>
      </c>
    </row>
    <row r="495" customFormat="false" ht="15" hidden="false" customHeight="false" outlineLevel="0" collapsed="false">
      <c r="A495" s="4" t="s">
        <v>306</v>
      </c>
      <c r="B495" s="4" t="s">
        <v>1375</v>
      </c>
      <c r="C495" s="4" t="s">
        <v>1474</v>
      </c>
      <c r="D495" s="5" t="s">
        <v>1377</v>
      </c>
      <c r="E495" s="32" t="n">
        <v>1</v>
      </c>
      <c r="F495" s="32" t="s">
        <v>82</v>
      </c>
      <c r="G495" s="33" t="s">
        <v>1344</v>
      </c>
      <c r="H495" s="32" t="s">
        <v>1137</v>
      </c>
      <c r="I495" s="32" t="n">
        <v>1</v>
      </c>
      <c r="J495" s="32" t="n">
        <f aca="false">E495*I495</f>
        <v>1</v>
      </c>
      <c r="K495" s="32"/>
      <c r="L495" s="32" t="n">
        <v>0</v>
      </c>
      <c r="M495" s="32" t="n">
        <v>1</v>
      </c>
      <c r="N495" s="32" t="n">
        <v>1</v>
      </c>
      <c r="O495" s="32" t="n">
        <v>0</v>
      </c>
      <c r="P495" s="32" t="n">
        <v>5</v>
      </c>
      <c r="Q495" s="32" t="n">
        <v>0</v>
      </c>
      <c r="R495" s="32" t="n">
        <f aca="false">J495*(INDEX(P_VAL,MATCH("CTRL_AÑO",P_ID,0))*L495+(1-INDEX(PY_VAL,MATCH("P_USADOS",PY_ID,0),1))*M495+INDEX(PY_VAL,MATCH("P_USADOS",PY_ID,0),1)*N495+IF(P495&gt;0,O495/P495,0)+Q495)</f>
        <v>1</v>
      </c>
      <c r="S495" s="32" t="n">
        <f aca="false">J495*(INDEX(P_VAL,MATCH("CTRL_AÑO",P_ID,0))*L495+(1-INDEX(PY_VAL,MATCH("P_USADOS",PY_ID,0),2))*M495+INDEX(PY_VAL,MATCH("P_USADOS",PY_ID,0),2)*N495+IF(P495&gt;0,O495/P495,0)+Q495)</f>
        <v>1</v>
      </c>
      <c r="T495" s="32" t="n">
        <f aca="false">J495*(INDEX(P_VAL,MATCH("CTRL_AÑO",P_ID,0))*L495+(1-INDEX(PY_VAL,MATCH("P_USADOS",PY_ID,0),3))*M495+INDEX(PY_VAL,MATCH("P_USADOS",PY_ID,0),3)*N495+IF(P495&gt;0,O495/P495,0)+Q495)</f>
        <v>1</v>
      </c>
      <c r="U495" s="32" t="n">
        <f aca="false">J495*(INDEX(P_VAL,MATCH("CTRL_AÑO",P_ID,0))*L495+(1-INDEX(PY_VAL,MATCH("P_USADOS",PY_ID,0),4))*M495+INDEX(PY_VAL,MATCH("P_USADOS",PY_ID,0),4)*N495+IF(P495&gt;0,O495/P495,0)+Q495)</f>
        <v>1</v>
      </c>
      <c r="V495" s="32" t="n">
        <f aca="false">J495*(INDEX(P_VAL,MATCH("CTRL_AÑO",P_ID,0))*L495+(1-INDEX(PY_VAL,MATCH("P_USADOS",PY_ID,0),5))*M495+INDEX(PY_VAL,MATCH("P_USADOS",PY_ID,0),5)*N495+IF(P495&gt;0,O495/P495,0)+Q495)</f>
        <v>1</v>
      </c>
      <c r="W495" s="32" t="n">
        <f aca="false">J495*(INDEX(P_VAL,MATCH("CTRL_AÑO",P_ID,0))*L495+(1-INDEX(PY_VAL,MATCH("P_USADOS",PY_ID,0),6))*M495+INDEX(PY_VAL,MATCH("P_USADOS",PY_ID,0),6)*N495+IF(P495&gt;0,O495/P495,0)+Q495)</f>
        <v>1</v>
      </c>
      <c r="X495" s="32" t="n">
        <f aca="false">J495*(INDEX(P_VAL,MATCH("CTRL_AÑO",P_ID,0))*L495+(1-INDEX(PY_VAL,MATCH("P_USADOS",PY_ID,0),7))*M495+INDEX(PY_VAL,MATCH("P_USADOS",PY_ID,0),7)*N495+IF(P495&gt;0,O495/P495,0)+Q495)</f>
        <v>1</v>
      </c>
      <c r="Y495" s="32" t="n">
        <f aca="false">J495*(INDEX(P_VAL,MATCH("CTRL_AÑO",P_ID,0))*L495+(1-INDEX(PY_VAL,MATCH("P_USADOS",PY_ID,0),8))*M495+INDEX(PY_VAL,MATCH("P_USADOS",PY_ID,0),8)*N495+IF(P495&gt;0,O495/P495,0)+Q495)</f>
        <v>1</v>
      </c>
      <c r="Z495" s="32" t="n">
        <f aca="false">J495*(INDEX(P_VAL,MATCH("CTRL_AÑO",P_ID,0))*L495+(1-INDEX(PY_VAL,MATCH("P_USADOS",PY_ID,0),9))*M495+INDEX(PY_VAL,MATCH("P_USADOS",PY_ID,0),9)*N495+IF(P495&gt;0,O495/P495,0)+Q495)</f>
        <v>1</v>
      </c>
      <c r="AA495" s="32" t="n">
        <f aca="false">J495*(INDEX(P_VAL,MATCH("CTRL_AÑO",P_ID,0))*L495+(1-INDEX(PY_VAL,MATCH("P_USADOS",PY_ID,0),10))*M495+INDEX(PY_VAL,MATCH("P_USADOS",PY_ID,0),10)*N495+IF(P495&gt;0,O495/P495,0)+Q495)</f>
        <v>1</v>
      </c>
      <c r="AB495" s="5" t="s">
        <v>1346</v>
      </c>
    </row>
    <row r="496" customFormat="false" ht="15" hidden="false" customHeight="false" outlineLevel="0" collapsed="false">
      <c r="A496" s="4" t="s">
        <v>306</v>
      </c>
      <c r="B496" s="4" t="s">
        <v>1378</v>
      </c>
      <c r="C496" s="4" t="s">
        <v>1475</v>
      </c>
      <c r="D496" s="5" t="s">
        <v>1380</v>
      </c>
      <c r="E496" s="32" t="n">
        <v>1</v>
      </c>
      <c r="F496" s="32" t="s">
        <v>82</v>
      </c>
      <c r="G496" s="33" t="s">
        <v>1344</v>
      </c>
      <c r="H496" s="32" t="s">
        <v>1381</v>
      </c>
      <c r="I496" s="32" t="n">
        <v>1</v>
      </c>
      <c r="J496" s="32" t="n">
        <f aca="false">E496*I496</f>
        <v>1</v>
      </c>
      <c r="K496" s="32"/>
      <c r="L496" s="32" t="n">
        <v>0</v>
      </c>
      <c r="M496" s="32" t="n">
        <v>0</v>
      </c>
      <c r="N496" s="32" t="n">
        <v>0</v>
      </c>
      <c r="O496" s="32" t="n">
        <v>1</v>
      </c>
      <c r="P496" s="32" t="n">
        <v>5</v>
      </c>
      <c r="Q496" s="32" t="n">
        <v>0</v>
      </c>
      <c r="R496" s="32" t="n">
        <f aca="false">J496*(INDEX(P_VAL,MATCH("CTRL_AÑO",P_ID,0))*L496+(1-INDEX(PY_VAL,MATCH("P_USADOS",PY_ID,0),1))*M496+INDEX(PY_VAL,MATCH("P_USADOS",PY_ID,0),1)*N496+IF(P496&gt;0,O496/P496,0)+Q496)</f>
        <v>0.2</v>
      </c>
      <c r="S496" s="32" t="n">
        <f aca="false">J496*(INDEX(P_VAL,MATCH("CTRL_AÑO",P_ID,0))*L496+(1-INDEX(PY_VAL,MATCH("P_USADOS",PY_ID,0),2))*M496+INDEX(PY_VAL,MATCH("P_USADOS",PY_ID,0),2)*N496+IF(P496&gt;0,O496/P496,0)+Q496)</f>
        <v>0.2</v>
      </c>
      <c r="T496" s="32" t="n">
        <f aca="false">J496*(INDEX(P_VAL,MATCH("CTRL_AÑO",P_ID,0))*L496+(1-INDEX(PY_VAL,MATCH("P_USADOS",PY_ID,0),3))*M496+INDEX(PY_VAL,MATCH("P_USADOS",PY_ID,0),3)*N496+IF(P496&gt;0,O496/P496,0)+Q496)</f>
        <v>0.2</v>
      </c>
      <c r="U496" s="32" t="n">
        <f aca="false">J496*(INDEX(P_VAL,MATCH("CTRL_AÑO",P_ID,0))*L496+(1-INDEX(PY_VAL,MATCH("P_USADOS",PY_ID,0),4))*M496+INDEX(PY_VAL,MATCH("P_USADOS",PY_ID,0),4)*N496+IF(P496&gt;0,O496/P496,0)+Q496)</f>
        <v>0.2</v>
      </c>
      <c r="V496" s="32" t="n">
        <f aca="false">J496*(INDEX(P_VAL,MATCH("CTRL_AÑO",P_ID,0))*L496+(1-INDEX(PY_VAL,MATCH("P_USADOS",PY_ID,0),5))*M496+INDEX(PY_VAL,MATCH("P_USADOS",PY_ID,0),5)*N496+IF(P496&gt;0,O496/P496,0)+Q496)</f>
        <v>0.2</v>
      </c>
      <c r="W496" s="32" t="n">
        <f aca="false">J496*(INDEX(P_VAL,MATCH("CTRL_AÑO",P_ID,0))*L496+(1-INDEX(PY_VAL,MATCH("P_USADOS",PY_ID,0),6))*M496+INDEX(PY_VAL,MATCH("P_USADOS",PY_ID,0),6)*N496+IF(P496&gt;0,O496/P496,0)+Q496)</f>
        <v>0.2</v>
      </c>
      <c r="X496" s="32" t="n">
        <f aca="false">J496*(INDEX(P_VAL,MATCH("CTRL_AÑO",P_ID,0))*L496+(1-INDEX(PY_VAL,MATCH("P_USADOS",PY_ID,0),7))*M496+INDEX(PY_VAL,MATCH("P_USADOS",PY_ID,0),7)*N496+IF(P496&gt;0,O496/P496,0)+Q496)</f>
        <v>0.2</v>
      </c>
      <c r="Y496" s="32" t="n">
        <f aca="false">J496*(INDEX(P_VAL,MATCH("CTRL_AÑO",P_ID,0))*L496+(1-INDEX(PY_VAL,MATCH("P_USADOS",PY_ID,0),8))*M496+INDEX(PY_VAL,MATCH("P_USADOS",PY_ID,0),8)*N496+IF(P496&gt;0,O496/P496,0)+Q496)</f>
        <v>0.2</v>
      </c>
      <c r="Z496" s="32" t="n">
        <f aca="false">J496*(INDEX(P_VAL,MATCH("CTRL_AÑO",P_ID,0))*L496+(1-INDEX(PY_VAL,MATCH("P_USADOS",PY_ID,0),9))*M496+INDEX(PY_VAL,MATCH("P_USADOS",PY_ID,0),9)*N496+IF(P496&gt;0,O496/P496,0)+Q496)</f>
        <v>0.2</v>
      </c>
      <c r="AA496" s="32" t="n">
        <f aca="false">J496*(INDEX(P_VAL,MATCH("CTRL_AÑO",P_ID,0))*L496+(1-INDEX(PY_VAL,MATCH("P_USADOS",PY_ID,0),10))*M496+INDEX(PY_VAL,MATCH("P_USADOS",PY_ID,0),10)*N496+IF(P496&gt;0,O496/P496,0)+Q496)</f>
        <v>0.2</v>
      </c>
      <c r="AB496" s="5" t="s">
        <v>1346</v>
      </c>
    </row>
    <row r="497" customFormat="false" ht="15" hidden="false" customHeight="false" outlineLevel="0" collapsed="false">
      <c r="A497" s="4" t="s">
        <v>306</v>
      </c>
      <c r="B497" s="4" t="s">
        <v>1382</v>
      </c>
      <c r="C497" s="4" t="s">
        <v>1476</v>
      </c>
      <c r="D497" s="5" t="s">
        <v>1440</v>
      </c>
      <c r="E497" s="32" t="n">
        <v>1</v>
      </c>
      <c r="F497" s="32" t="s">
        <v>73</v>
      </c>
      <c r="G497" s="33" t="s">
        <v>1385</v>
      </c>
      <c r="H497" s="32"/>
      <c r="I497" s="32"/>
      <c r="J497" s="32"/>
      <c r="K497" s="32"/>
      <c r="L497" s="32" t="n">
        <v>0</v>
      </c>
      <c r="M497" s="32" t="n">
        <v>0</v>
      </c>
      <c r="N497" s="32" t="n">
        <v>0</v>
      </c>
      <c r="O497" s="32" t="n">
        <v>0</v>
      </c>
      <c r="P497" s="32" t="n">
        <v>0</v>
      </c>
      <c r="Q497" s="32" t="n">
        <v>0</v>
      </c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5" t="s">
        <v>1386</v>
      </c>
    </row>
    <row r="498" customFormat="false" ht="15" hidden="false" customHeight="false" outlineLevel="0" collapsed="false">
      <c r="A498" s="4" t="s">
        <v>306</v>
      </c>
      <c r="B498" s="4"/>
      <c r="C498" s="4"/>
      <c r="D498" s="5" t="s">
        <v>1387</v>
      </c>
      <c r="E498" s="32" t="n">
        <v>1</v>
      </c>
      <c r="F498" s="32" t="s">
        <v>82</v>
      </c>
      <c r="G498" s="33" t="s">
        <v>477</v>
      </c>
      <c r="H498" s="32" t="s">
        <v>1030</v>
      </c>
      <c r="I498" s="32" t="n">
        <v>1</v>
      </c>
      <c r="J498" s="32" t="n">
        <f aca="false">E498*I498</f>
        <v>1</v>
      </c>
      <c r="K498" s="32"/>
      <c r="L498" s="32" t="n">
        <v>0</v>
      </c>
      <c r="M498" s="32" t="n">
        <v>0</v>
      </c>
      <c r="N498" s="32" t="n">
        <v>0</v>
      </c>
      <c r="O498" s="32" t="n">
        <v>0</v>
      </c>
      <c r="P498" s="32" t="n">
        <v>0</v>
      </c>
      <c r="Q498" s="32" t="n">
        <f aca="false">INDEX(P_VAL,MATCH("REPO_VALV",P_ID,0))</f>
        <v>0.03</v>
      </c>
      <c r="R498" s="32" t="n">
        <f aca="false">J498*(INDEX(P_VAL,MATCH("CTRL_AÑO",P_ID,0))*L498+(1-INDEX(PY_VAL,MATCH("P_USADOS",PY_ID,0),1))*M498+INDEX(PY_VAL,MATCH("P_USADOS",PY_ID,0),1)*N498+IF(P498&gt;0,O498/P498,0)+Q498)</f>
        <v>0.03</v>
      </c>
      <c r="S498" s="32" t="n">
        <f aca="false">J498*(INDEX(P_VAL,MATCH("CTRL_AÑO",P_ID,0))*L498+(1-INDEX(PY_VAL,MATCH("P_USADOS",PY_ID,0),2))*M498+INDEX(PY_VAL,MATCH("P_USADOS",PY_ID,0),2)*N498+IF(P498&gt;0,O498/P498,0)+Q498)</f>
        <v>0.03</v>
      </c>
      <c r="T498" s="32" t="n">
        <f aca="false">J498*(INDEX(P_VAL,MATCH("CTRL_AÑO",P_ID,0))*L498+(1-INDEX(PY_VAL,MATCH("P_USADOS",PY_ID,0),3))*M498+INDEX(PY_VAL,MATCH("P_USADOS",PY_ID,0),3)*N498+IF(P498&gt;0,O498/P498,0)+Q498)</f>
        <v>0.03</v>
      </c>
      <c r="U498" s="32" t="n">
        <f aca="false">J498*(INDEX(P_VAL,MATCH("CTRL_AÑO",P_ID,0))*L498+(1-INDEX(PY_VAL,MATCH("P_USADOS",PY_ID,0),4))*M498+INDEX(PY_VAL,MATCH("P_USADOS",PY_ID,0),4)*N498+IF(P498&gt;0,O498/P498,0)+Q498)</f>
        <v>0.03</v>
      </c>
      <c r="V498" s="32" t="n">
        <f aca="false">J498*(INDEX(P_VAL,MATCH("CTRL_AÑO",P_ID,0))*L498+(1-INDEX(PY_VAL,MATCH("P_USADOS",PY_ID,0),5))*M498+INDEX(PY_VAL,MATCH("P_USADOS",PY_ID,0),5)*N498+IF(P498&gt;0,O498/P498,0)+Q498)</f>
        <v>0.03</v>
      </c>
      <c r="W498" s="32" t="n">
        <f aca="false">J498*(INDEX(P_VAL,MATCH("CTRL_AÑO",P_ID,0))*L498+(1-INDEX(PY_VAL,MATCH("P_USADOS",PY_ID,0),6))*M498+INDEX(PY_VAL,MATCH("P_USADOS",PY_ID,0),6)*N498+IF(P498&gt;0,O498/P498,0)+Q498)</f>
        <v>0.03</v>
      </c>
      <c r="X498" s="32" t="n">
        <f aca="false">J498*(INDEX(P_VAL,MATCH("CTRL_AÑO",P_ID,0))*L498+(1-INDEX(PY_VAL,MATCH("P_USADOS",PY_ID,0),7))*M498+INDEX(PY_VAL,MATCH("P_USADOS",PY_ID,0),7)*N498+IF(P498&gt;0,O498/P498,0)+Q498)</f>
        <v>0.03</v>
      </c>
      <c r="Y498" s="32" t="n">
        <f aca="false">J498*(INDEX(P_VAL,MATCH("CTRL_AÑO",P_ID,0))*L498+(1-INDEX(PY_VAL,MATCH("P_USADOS",PY_ID,0),8))*M498+INDEX(PY_VAL,MATCH("P_USADOS",PY_ID,0),8)*N498+IF(P498&gt;0,O498/P498,0)+Q498)</f>
        <v>0.03</v>
      </c>
      <c r="Z498" s="32" t="n">
        <f aca="false">J498*(INDEX(P_VAL,MATCH("CTRL_AÑO",P_ID,0))*L498+(1-INDEX(PY_VAL,MATCH("P_USADOS",PY_ID,0),9))*M498+INDEX(PY_VAL,MATCH("P_USADOS",PY_ID,0),9)*N498+IF(P498&gt;0,O498/P498,0)+Q498)</f>
        <v>0.03</v>
      </c>
      <c r="AA498" s="32" t="n">
        <f aca="false">J498*(INDEX(P_VAL,MATCH("CTRL_AÑO",P_ID,0))*L498+(1-INDEX(PY_VAL,MATCH("P_USADOS",PY_ID,0),10))*M498+INDEX(PY_VAL,MATCH("P_USADOS",PY_ID,0),10)*N498+IF(P498&gt;0,O498/P498,0)+Q498)</f>
        <v>0.03</v>
      </c>
      <c r="AB498" s="5" t="s">
        <v>1388</v>
      </c>
    </row>
    <row r="499" customFormat="false" ht="15" hidden="false" customHeight="false" outlineLevel="0" collapsed="false">
      <c r="A499" s="4" t="s">
        <v>306</v>
      </c>
      <c r="B499" s="4"/>
      <c r="C499" s="4"/>
      <c r="D499" s="5" t="s">
        <v>1389</v>
      </c>
      <c r="E499" s="32" t="n">
        <v>1</v>
      </c>
      <c r="F499" s="32" t="s">
        <v>82</v>
      </c>
      <c r="G499" s="33" t="s">
        <v>477</v>
      </c>
      <c r="H499" s="32" t="s">
        <v>510</v>
      </c>
      <c r="I499" s="32" t="n">
        <v>1</v>
      </c>
      <c r="J499" s="32" t="n">
        <f aca="false">E499*I499</f>
        <v>1</v>
      </c>
      <c r="K499" s="32"/>
      <c r="L499" s="32" t="n">
        <v>0</v>
      </c>
      <c r="M499" s="32" t="n">
        <v>0</v>
      </c>
      <c r="N499" s="32" t="n">
        <v>0</v>
      </c>
      <c r="O499" s="32" t="n">
        <v>0</v>
      </c>
      <c r="P499" s="32" t="n">
        <v>0</v>
      </c>
      <c r="Q499" s="32" t="n">
        <f aca="false">INDEX(P_VAL,MATCH("REPO_MANO",P_ID,0))</f>
        <v>0.08</v>
      </c>
      <c r="R499" s="32" t="n">
        <f aca="false">J499*(INDEX(P_VAL,MATCH("CTRL_AÑO",P_ID,0))*L499+(1-INDEX(PY_VAL,MATCH("P_USADOS",PY_ID,0),1))*M499+INDEX(PY_VAL,MATCH("P_USADOS",PY_ID,0),1)*N499+IF(P499&gt;0,O499/P499,0)+Q499)</f>
        <v>0.08</v>
      </c>
      <c r="S499" s="32" t="n">
        <f aca="false">J499*(INDEX(P_VAL,MATCH("CTRL_AÑO",P_ID,0))*L499+(1-INDEX(PY_VAL,MATCH("P_USADOS",PY_ID,0),2))*M499+INDEX(PY_VAL,MATCH("P_USADOS",PY_ID,0),2)*N499+IF(P499&gt;0,O499/P499,0)+Q499)</f>
        <v>0.08</v>
      </c>
      <c r="T499" s="32" t="n">
        <f aca="false">J499*(INDEX(P_VAL,MATCH("CTRL_AÑO",P_ID,0))*L499+(1-INDEX(PY_VAL,MATCH("P_USADOS",PY_ID,0),3))*M499+INDEX(PY_VAL,MATCH("P_USADOS",PY_ID,0),3)*N499+IF(P499&gt;0,O499/P499,0)+Q499)</f>
        <v>0.08</v>
      </c>
      <c r="U499" s="32" t="n">
        <f aca="false">J499*(INDEX(P_VAL,MATCH("CTRL_AÑO",P_ID,0))*L499+(1-INDEX(PY_VAL,MATCH("P_USADOS",PY_ID,0),4))*M499+INDEX(PY_VAL,MATCH("P_USADOS",PY_ID,0),4)*N499+IF(P499&gt;0,O499/P499,0)+Q499)</f>
        <v>0.08</v>
      </c>
      <c r="V499" s="32" t="n">
        <f aca="false">J499*(INDEX(P_VAL,MATCH("CTRL_AÑO",P_ID,0))*L499+(1-INDEX(PY_VAL,MATCH("P_USADOS",PY_ID,0),5))*M499+INDEX(PY_VAL,MATCH("P_USADOS",PY_ID,0),5)*N499+IF(P499&gt;0,O499/P499,0)+Q499)</f>
        <v>0.08</v>
      </c>
      <c r="W499" s="32" t="n">
        <f aca="false">J499*(INDEX(P_VAL,MATCH("CTRL_AÑO",P_ID,0))*L499+(1-INDEX(PY_VAL,MATCH("P_USADOS",PY_ID,0),6))*M499+INDEX(PY_VAL,MATCH("P_USADOS",PY_ID,0),6)*N499+IF(P499&gt;0,O499/P499,0)+Q499)</f>
        <v>0.08</v>
      </c>
      <c r="X499" s="32" t="n">
        <f aca="false">J499*(INDEX(P_VAL,MATCH("CTRL_AÑO",P_ID,0))*L499+(1-INDEX(PY_VAL,MATCH("P_USADOS",PY_ID,0),7))*M499+INDEX(PY_VAL,MATCH("P_USADOS",PY_ID,0),7)*N499+IF(P499&gt;0,O499/P499,0)+Q499)</f>
        <v>0.08</v>
      </c>
      <c r="Y499" s="32" t="n">
        <f aca="false">J499*(INDEX(P_VAL,MATCH("CTRL_AÑO",P_ID,0))*L499+(1-INDEX(PY_VAL,MATCH("P_USADOS",PY_ID,0),8))*M499+INDEX(PY_VAL,MATCH("P_USADOS",PY_ID,0),8)*N499+IF(P499&gt;0,O499/P499,0)+Q499)</f>
        <v>0.08</v>
      </c>
      <c r="Z499" s="32" t="n">
        <f aca="false">J499*(INDEX(P_VAL,MATCH("CTRL_AÑO",P_ID,0))*L499+(1-INDEX(PY_VAL,MATCH("P_USADOS",PY_ID,0),9))*M499+INDEX(PY_VAL,MATCH("P_USADOS",PY_ID,0),9)*N499+IF(P499&gt;0,O499/P499,0)+Q499)</f>
        <v>0.08</v>
      </c>
      <c r="AA499" s="32" t="n">
        <f aca="false">J499*(INDEX(P_VAL,MATCH("CTRL_AÑO",P_ID,0))*L499+(1-INDEX(PY_VAL,MATCH("P_USADOS",PY_ID,0),10))*M499+INDEX(PY_VAL,MATCH("P_USADOS",PY_ID,0),10)*N499+IF(P499&gt;0,O499/P499,0)+Q499)</f>
        <v>0.08</v>
      </c>
      <c r="AB499" s="5" t="s">
        <v>1388</v>
      </c>
    </row>
    <row r="500" customFormat="false" ht="15" hidden="false" customHeight="false" outlineLevel="0" collapsed="false">
      <c r="A500" s="4" t="s">
        <v>306</v>
      </c>
      <c r="B500" s="4"/>
      <c r="C500" s="4"/>
      <c r="D500" s="5" t="s">
        <v>1402</v>
      </c>
      <c r="E500" s="32" t="n">
        <v>1</v>
      </c>
      <c r="F500" s="32" t="s">
        <v>82</v>
      </c>
      <c r="G500" s="33" t="s">
        <v>477</v>
      </c>
      <c r="H500" s="32" t="s">
        <v>1268</v>
      </c>
      <c r="I500" s="32" t="n">
        <v>1</v>
      </c>
      <c r="J500" s="32" t="n">
        <f aca="false">E500*I500</f>
        <v>1</v>
      </c>
      <c r="K500" s="32"/>
      <c r="L500" s="32" t="n">
        <v>0</v>
      </c>
      <c r="M500" s="32" t="n">
        <v>0</v>
      </c>
      <c r="N500" s="32" t="n">
        <v>0</v>
      </c>
      <c r="O500" s="32" t="n">
        <v>0</v>
      </c>
      <c r="P500" s="32" t="n">
        <v>0</v>
      </c>
      <c r="Q500" s="32" t="n">
        <f aca="false">INDEX(P_VAL,MATCH("REPO_MANG",P_ID,0))</f>
        <v>0.05</v>
      </c>
      <c r="R500" s="32" t="n">
        <f aca="false">J500*(INDEX(P_VAL,MATCH("CTRL_AÑO",P_ID,0))*L500+(1-INDEX(PY_VAL,MATCH("P_USADOS",PY_ID,0),1))*M500+INDEX(PY_VAL,MATCH("P_USADOS",PY_ID,0),1)*N500+IF(P500&gt;0,O500/P500,0)+Q500)</f>
        <v>0.05</v>
      </c>
      <c r="S500" s="32" t="n">
        <f aca="false">J500*(INDEX(P_VAL,MATCH("CTRL_AÑO",P_ID,0))*L500+(1-INDEX(PY_VAL,MATCH("P_USADOS",PY_ID,0),2))*M500+INDEX(PY_VAL,MATCH("P_USADOS",PY_ID,0),2)*N500+IF(P500&gt;0,O500/P500,0)+Q500)</f>
        <v>0.05</v>
      </c>
      <c r="T500" s="32" t="n">
        <f aca="false">J500*(INDEX(P_VAL,MATCH("CTRL_AÑO",P_ID,0))*L500+(1-INDEX(PY_VAL,MATCH("P_USADOS",PY_ID,0),3))*M500+INDEX(PY_VAL,MATCH("P_USADOS",PY_ID,0),3)*N500+IF(P500&gt;0,O500/P500,0)+Q500)</f>
        <v>0.05</v>
      </c>
      <c r="U500" s="32" t="n">
        <f aca="false">J500*(INDEX(P_VAL,MATCH("CTRL_AÑO",P_ID,0))*L500+(1-INDEX(PY_VAL,MATCH("P_USADOS",PY_ID,0),4))*M500+INDEX(PY_VAL,MATCH("P_USADOS",PY_ID,0),4)*N500+IF(P500&gt;0,O500/P500,0)+Q500)</f>
        <v>0.05</v>
      </c>
      <c r="V500" s="32" t="n">
        <f aca="false">J500*(INDEX(P_VAL,MATCH("CTRL_AÑO",P_ID,0))*L500+(1-INDEX(PY_VAL,MATCH("P_USADOS",PY_ID,0),5))*M500+INDEX(PY_VAL,MATCH("P_USADOS",PY_ID,0),5)*N500+IF(P500&gt;0,O500/P500,0)+Q500)</f>
        <v>0.05</v>
      </c>
      <c r="W500" s="32" t="n">
        <f aca="false">J500*(INDEX(P_VAL,MATCH("CTRL_AÑO",P_ID,0))*L500+(1-INDEX(PY_VAL,MATCH("P_USADOS",PY_ID,0),6))*M500+INDEX(PY_VAL,MATCH("P_USADOS",PY_ID,0),6)*N500+IF(P500&gt;0,O500/P500,0)+Q500)</f>
        <v>0.05</v>
      </c>
      <c r="X500" s="32" t="n">
        <f aca="false">J500*(INDEX(P_VAL,MATCH("CTRL_AÑO",P_ID,0))*L500+(1-INDEX(PY_VAL,MATCH("P_USADOS",PY_ID,0),7))*M500+INDEX(PY_VAL,MATCH("P_USADOS",PY_ID,0),7)*N500+IF(P500&gt;0,O500/P500,0)+Q500)</f>
        <v>0.05</v>
      </c>
      <c r="Y500" s="32" t="n">
        <f aca="false">J500*(INDEX(P_VAL,MATCH("CTRL_AÑO",P_ID,0))*L500+(1-INDEX(PY_VAL,MATCH("P_USADOS",PY_ID,0),8))*M500+INDEX(PY_VAL,MATCH("P_USADOS",PY_ID,0),8)*N500+IF(P500&gt;0,O500/P500,0)+Q500)</f>
        <v>0.05</v>
      </c>
      <c r="Z500" s="32" t="n">
        <f aca="false">J500*(INDEX(P_VAL,MATCH("CTRL_AÑO",P_ID,0))*L500+(1-INDEX(PY_VAL,MATCH("P_USADOS",PY_ID,0),9))*M500+INDEX(PY_VAL,MATCH("P_USADOS",PY_ID,0),9)*N500+IF(P500&gt;0,O500/P500,0)+Q500)</f>
        <v>0.05</v>
      </c>
      <c r="AA500" s="32" t="n">
        <f aca="false">J500*(INDEX(P_VAL,MATCH("CTRL_AÑO",P_ID,0))*L500+(1-INDEX(PY_VAL,MATCH("P_USADOS",PY_ID,0),10))*M500+INDEX(PY_VAL,MATCH("P_USADOS",PY_ID,0),10)*N500+IF(P500&gt;0,O500/P500,0)+Q500)</f>
        <v>0.05</v>
      </c>
      <c r="AB500" s="5" t="s">
        <v>1388</v>
      </c>
    </row>
    <row r="501" customFormat="false" ht="15" hidden="false" customHeight="false" outlineLevel="0" collapsed="false">
      <c r="A501" s="4" t="s">
        <v>309</v>
      </c>
      <c r="B501" s="4" t="s">
        <v>1341</v>
      </c>
      <c r="C501" s="4" t="s">
        <v>1477</v>
      </c>
      <c r="D501" s="5" t="s">
        <v>1343</v>
      </c>
      <c r="E501" s="32" t="n">
        <v>1</v>
      </c>
      <c r="F501" s="32" t="s">
        <v>82</v>
      </c>
      <c r="G501" s="33" t="s">
        <v>1344</v>
      </c>
      <c r="H501" s="32" t="s">
        <v>1345</v>
      </c>
      <c r="I501" s="32" t="n">
        <v>1</v>
      </c>
      <c r="J501" s="32" t="n">
        <f aca="false">E501*I501</f>
        <v>1</v>
      </c>
      <c r="K501" s="32"/>
      <c r="L501" s="32" t="n">
        <v>1</v>
      </c>
      <c r="M501" s="32" t="n">
        <v>0</v>
      </c>
      <c r="N501" s="32" t="n">
        <v>0</v>
      </c>
      <c r="O501" s="32" t="n">
        <v>0</v>
      </c>
      <c r="P501" s="32" t="n">
        <v>2</v>
      </c>
      <c r="Q501" s="32" t="n">
        <v>0</v>
      </c>
      <c r="R501" s="32" t="n">
        <f aca="false">J501*(INDEX(P_VAL,MATCH("CTRL_AÑO",P_ID,0))*L501+(1-INDEX(PY_VAL,MATCH("P_USADOS",PY_ID,0),1))*M501+INDEX(PY_VAL,MATCH("P_USADOS",PY_ID,0),1)*N501+IF(P501&gt;0,O501/P501,0)+Q501)</f>
        <v>4</v>
      </c>
      <c r="S501" s="32" t="n">
        <f aca="false">J501*(INDEX(P_VAL,MATCH("CTRL_AÑO",P_ID,0))*L501+(1-INDEX(PY_VAL,MATCH("P_USADOS",PY_ID,0),2))*M501+INDEX(PY_VAL,MATCH("P_USADOS",PY_ID,0),2)*N501+IF(P501&gt;0,O501/P501,0)+Q501)</f>
        <v>4</v>
      </c>
      <c r="T501" s="32" t="n">
        <f aca="false">J501*(INDEX(P_VAL,MATCH("CTRL_AÑO",P_ID,0))*L501+(1-INDEX(PY_VAL,MATCH("P_USADOS",PY_ID,0),3))*M501+INDEX(PY_VAL,MATCH("P_USADOS",PY_ID,0),3)*N501+IF(P501&gt;0,O501/P501,0)+Q501)</f>
        <v>4</v>
      </c>
      <c r="U501" s="32" t="n">
        <f aca="false">J501*(INDEX(P_VAL,MATCH("CTRL_AÑO",P_ID,0))*L501+(1-INDEX(PY_VAL,MATCH("P_USADOS",PY_ID,0),4))*M501+INDEX(PY_VAL,MATCH("P_USADOS",PY_ID,0),4)*N501+IF(P501&gt;0,O501/P501,0)+Q501)</f>
        <v>4</v>
      </c>
      <c r="V501" s="32" t="n">
        <f aca="false">J501*(INDEX(P_VAL,MATCH("CTRL_AÑO",P_ID,0))*L501+(1-INDEX(PY_VAL,MATCH("P_USADOS",PY_ID,0),5))*M501+INDEX(PY_VAL,MATCH("P_USADOS",PY_ID,0),5)*N501+IF(P501&gt;0,O501/P501,0)+Q501)</f>
        <v>4</v>
      </c>
      <c r="W501" s="32" t="n">
        <f aca="false">J501*(INDEX(P_VAL,MATCH("CTRL_AÑO",P_ID,0))*L501+(1-INDEX(PY_VAL,MATCH("P_USADOS",PY_ID,0),6))*M501+INDEX(PY_VAL,MATCH("P_USADOS",PY_ID,0),6)*N501+IF(P501&gt;0,O501/P501,0)+Q501)</f>
        <v>4</v>
      </c>
      <c r="X501" s="32" t="n">
        <f aca="false">J501*(INDEX(P_VAL,MATCH("CTRL_AÑO",P_ID,0))*L501+(1-INDEX(PY_VAL,MATCH("P_USADOS",PY_ID,0),7))*M501+INDEX(PY_VAL,MATCH("P_USADOS",PY_ID,0),7)*N501+IF(P501&gt;0,O501/P501,0)+Q501)</f>
        <v>4</v>
      </c>
      <c r="Y501" s="32" t="n">
        <f aca="false">J501*(INDEX(P_VAL,MATCH("CTRL_AÑO",P_ID,0))*L501+(1-INDEX(PY_VAL,MATCH("P_USADOS",PY_ID,0),8))*M501+INDEX(PY_VAL,MATCH("P_USADOS",PY_ID,0),8)*N501+IF(P501&gt;0,O501/P501,0)+Q501)</f>
        <v>4</v>
      </c>
      <c r="Z501" s="32" t="n">
        <f aca="false">J501*(INDEX(P_VAL,MATCH("CTRL_AÑO",P_ID,0))*L501+(1-INDEX(PY_VAL,MATCH("P_USADOS",PY_ID,0),9))*M501+INDEX(PY_VAL,MATCH("P_USADOS",PY_ID,0),9)*N501+IF(P501&gt;0,O501/P501,0)+Q501)</f>
        <v>4</v>
      </c>
      <c r="AA501" s="32" t="n">
        <f aca="false">J501*(INDEX(P_VAL,MATCH("CTRL_AÑO",P_ID,0))*L501+(1-INDEX(PY_VAL,MATCH("P_USADOS",PY_ID,0),10))*M501+INDEX(PY_VAL,MATCH("P_USADOS",PY_ID,0),10)*N501+IF(P501&gt;0,O501/P501,0)+Q501)</f>
        <v>4</v>
      </c>
      <c r="AB501" s="5" t="s">
        <v>1346</v>
      </c>
    </row>
    <row r="502" customFormat="false" ht="15" hidden="false" customHeight="false" outlineLevel="0" collapsed="false">
      <c r="A502" s="4" t="s">
        <v>309</v>
      </c>
      <c r="B502" s="4" t="s">
        <v>1352</v>
      </c>
      <c r="C502" s="4" t="s">
        <v>1478</v>
      </c>
      <c r="D502" s="5" t="s">
        <v>1354</v>
      </c>
      <c r="E502" s="32" t="n">
        <v>1</v>
      </c>
      <c r="F502" s="32" t="s">
        <v>82</v>
      </c>
      <c r="G502" s="33" t="s">
        <v>1344</v>
      </c>
      <c r="H502" s="32" t="s">
        <v>1355</v>
      </c>
      <c r="I502" s="32" t="n">
        <v>1</v>
      </c>
      <c r="J502" s="32" t="n">
        <f aca="false">E502*I502</f>
        <v>1</v>
      </c>
      <c r="K502" s="32"/>
      <c r="L502" s="32" t="n">
        <v>0</v>
      </c>
      <c r="M502" s="32" t="n">
        <v>1</v>
      </c>
      <c r="N502" s="32" t="n">
        <v>1</v>
      </c>
      <c r="O502" s="32" t="n">
        <v>0</v>
      </c>
      <c r="P502" s="32" t="n">
        <v>2</v>
      </c>
      <c r="Q502" s="32" t="n">
        <v>0</v>
      </c>
      <c r="R502" s="32" t="n">
        <f aca="false">J502*(INDEX(P_VAL,MATCH("CTRL_AÑO",P_ID,0))*L502+(1-INDEX(PY_VAL,MATCH("P_USADOS",PY_ID,0),1))*M502+INDEX(PY_VAL,MATCH("P_USADOS",PY_ID,0),1)*N502+IF(P502&gt;0,O502/P502,0)+Q502)</f>
        <v>1</v>
      </c>
      <c r="S502" s="32" t="n">
        <f aca="false">J502*(INDEX(P_VAL,MATCH("CTRL_AÑO",P_ID,0))*L502+(1-INDEX(PY_VAL,MATCH("P_USADOS",PY_ID,0),2))*M502+INDEX(PY_VAL,MATCH("P_USADOS",PY_ID,0),2)*N502+IF(P502&gt;0,O502/P502,0)+Q502)</f>
        <v>1</v>
      </c>
      <c r="T502" s="32" t="n">
        <f aca="false">J502*(INDEX(P_VAL,MATCH("CTRL_AÑO",P_ID,0))*L502+(1-INDEX(PY_VAL,MATCH("P_USADOS",PY_ID,0),3))*M502+INDEX(PY_VAL,MATCH("P_USADOS",PY_ID,0),3)*N502+IF(P502&gt;0,O502/P502,0)+Q502)</f>
        <v>1</v>
      </c>
      <c r="U502" s="32" t="n">
        <f aca="false">J502*(INDEX(P_VAL,MATCH("CTRL_AÑO",P_ID,0))*L502+(1-INDEX(PY_VAL,MATCH("P_USADOS",PY_ID,0),4))*M502+INDEX(PY_VAL,MATCH("P_USADOS",PY_ID,0),4)*N502+IF(P502&gt;0,O502/P502,0)+Q502)</f>
        <v>1</v>
      </c>
      <c r="V502" s="32" t="n">
        <f aca="false">J502*(INDEX(P_VAL,MATCH("CTRL_AÑO",P_ID,0))*L502+(1-INDEX(PY_VAL,MATCH("P_USADOS",PY_ID,0),5))*M502+INDEX(PY_VAL,MATCH("P_USADOS",PY_ID,0),5)*N502+IF(P502&gt;0,O502/P502,0)+Q502)</f>
        <v>1</v>
      </c>
      <c r="W502" s="32" t="n">
        <f aca="false">J502*(INDEX(P_VAL,MATCH("CTRL_AÑO",P_ID,0))*L502+(1-INDEX(PY_VAL,MATCH("P_USADOS",PY_ID,0),6))*M502+INDEX(PY_VAL,MATCH("P_USADOS",PY_ID,0),6)*N502+IF(P502&gt;0,O502/P502,0)+Q502)</f>
        <v>1</v>
      </c>
      <c r="X502" s="32" t="n">
        <f aca="false">J502*(INDEX(P_VAL,MATCH("CTRL_AÑO",P_ID,0))*L502+(1-INDEX(PY_VAL,MATCH("P_USADOS",PY_ID,0),7))*M502+INDEX(PY_VAL,MATCH("P_USADOS",PY_ID,0),7)*N502+IF(P502&gt;0,O502/P502,0)+Q502)</f>
        <v>1</v>
      </c>
      <c r="Y502" s="32" t="n">
        <f aca="false">J502*(INDEX(P_VAL,MATCH("CTRL_AÑO",P_ID,0))*L502+(1-INDEX(PY_VAL,MATCH("P_USADOS",PY_ID,0),8))*M502+INDEX(PY_VAL,MATCH("P_USADOS",PY_ID,0),8)*N502+IF(P502&gt;0,O502/P502,0)+Q502)</f>
        <v>1</v>
      </c>
      <c r="Z502" s="32" t="n">
        <f aca="false">J502*(INDEX(P_VAL,MATCH("CTRL_AÑO",P_ID,0))*L502+(1-INDEX(PY_VAL,MATCH("P_USADOS",PY_ID,0),9))*M502+INDEX(PY_VAL,MATCH("P_USADOS",PY_ID,0),9)*N502+IF(P502&gt;0,O502/P502,0)+Q502)</f>
        <v>1</v>
      </c>
      <c r="AA502" s="32" t="n">
        <f aca="false">J502*(INDEX(P_VAL,MATCH("CTRL_AÑO",P_ID,0))*L502+(1-INDEX(PY_VAL,MATCH("P_USADOS",PY_ID,0),10))*M502+INDEX(PY_VAL,MATCH("P_USADOS",PY_ID,0),10)*N502+IF(P502&gt;0,O502/P502,0)+Q502)</f>
        <v>1</v>
      </c>
      <c r="AB502" s="5" t="s">
        <v>1346</v>
      </c>
    </row>
    <row r="503" customFormat="false" ht="15" hidden="false" customHeight="false" outlineLevel="0" collapsed="false">
      <c r="A503" s="4" t="s">
        <v>309</v>
      </c>
      <c r="B503" s="4" t="s">
        <v>1356</v>
      </c>
      <c r="C503" s="4" t="s">
        <v>1479</v>
      </c>
      <c r="D503" s="5" t="s">
        <v>1358</v>
      </c>
      <c r="E503" s="32" t="n">
        <v>1</v>
      </c>
      <c r="F503" s="32" t="s">
        <v>82</v>
      </c>
      <c r="G503" s="33" t="s">
        <v>1344</v>
      </c>
      <c r="H503" s="32" t="s">
        <v>1359</v>
      </c>
      <c r="I503" s="32" t="n">
        <v>1</v>
      </c>
      <c r="J503" s="32" t="n">
        <f aca="false">E503*I503</f>
        <v>1</v>
      </c>
      <c r="K503" s="32"/>
      <c r="L503" s="32" t="n">
        <v>0</v>
      </c>
      <c r="M503" s="32" t="n">
        <v>1</v>
      </c>
      <c r="N503" s="32" t="n">
        <v>1</v>
      </c>
      <c r="O503" s="32" t="n">
        <v>0</v>
      </c>
      <c r="P503" s="32" t="n">
        <v>2</v>
      </c>
      <c r="Q503" s="32" t="n">
        <v>0</v>
      </c>
      <c r="R503" s="32" t="n">
        <f aca="false">J503*(INDEX(P_VAL,MATCH("CTRL_AÑO",P_ID,0))*L503+(1-INDEX(PY_VAL,MATCH("P_USADOS",PY_ID,0),1))*M503+INDEX(PY_VAL,MATCH("P_USADOS",PY_ID,0),1)*N503+IF(P503&gt;0,O503/P503,0)+Q503)</f>
        <v>1</v>
      </c>
      <c r="S503" s="32" t="n">
        <f aca="false">J503*(INDEX(P_VAL,MATCH("CTRL_AÑO",P_ID,0))*L503+(1-INDEX(PY_VAL,MATCH("P_USADOS",PY_ID,0),2))*M503+INDEX(PY_VAL,MATCH("P_USADOS",PY_ID,0),2)*N503+IF(P503&gt;0,O503/P503,0)+Q503)</f>
        <v>1</v>
      </c>
      <c r="T503" s="32" t="n">
        <f aca="false">J503*(INDEX(P_VAL,MATCH("CTRL_AÑO",P_ID,0))*L503+(1-INDEX(PY_VAL,MATCH("P_USADOS",PY_ID,0),3))*M503+INDEX(PY_VAL,MATCH("P_USADOS",PY_ID,0),3)*N503+IF(P503&gt;0,O503/P503,0)+Q503)</f>
        <v>1</v>
      </c>
      <c r="U503" s="32" t="n">
        <f aca="false">J503*(INDEX(P_VAL,MATCH("CTRL_AÑO",P_ID,0))*L503+(1-INDEX(PY_VAL,MATCH("P_USADOS",PY_ID,0),4))*M503+INDEX(PY_VAL,MATCH("P_USADOS",PY_ID,0),4)*N503+IF(P503&gt;0,O503/P503,0)+Q503)</f>
        <v>1</v>
      </c>
      <c r="V503" s="32" t="n">
        <f aca="false">J503*(INDEX(P_VAL,MATCH("CTRL_AÑO",P_ID,0))*L503+(1-INDEX(PY_VAL,MATCH("P_USADOS",PY_ID,0),5))*M503+INDEX(PY_VAL,MATCH("P_USADOS",PY_ID,0),5)*N503+IF(P503&gt;0,O503/P503,0)+Q503)</f>
        <v>1</v>
      </c>
      <c r="W503" s="32" t="n">
        <f aca="false">J503*(INDEX(P_VAL,MATCH("CTRL_AÑO",P_ID,0))*L503+(1-INDEX(PY_VAL,MATCH("P_USADOS",PY_ID,0),6))*M503+INDEX(PY_VAL,MATCH("P_USADOS",PY_ID,0),6)*N503+IF(P503&gt;0,O503/P503,0)+Q503)</f>
        <v>1</v>
      </c>
      <c r="X503" s="32" t="n">
        <f aca="false">J503*(INDEX(P_VAL,MATCH("CTRL_AÑO",P_ID,0))*L503+(1-INDEX(PY_VAL,MATCH("P_USADOS",PY_ID,0),7))*M503+INDEX(PY_VAL,MATCH("P_USADOS",PY_ID,0),7)*N503+IF(P503&gt;0,O503/P503,0)+Q503)</f>
        <v>1</v>
      </c>
      <c r="Y503" s="32" t="n">
        <f aca="false">J503*(INDEX(P_VAL,MATCH("CTRL_AÑO",P_ID,0))*L503+(1-INDEX(PY_VAL,MATCH("P_USADOS",PY_ID,0),8))*M503+INDEX(PY_VAL,MATCH("P_USADOS",PY_ID,0),8)*N503+IF(P503&gt;0,O503/P503,0)+Q503)</f>
        <v>1</v>
      </c>
      <c r="Z503" s="32" t="n">
        <f aca="false">J503*(INDEX(P_VAL,MATCH("CTRL_AÑO",P_ID,0))*L503+(1-INDEX(PY_VAL,MATCH("P_USADOS",PY_ID,0),9))*M503+INDEX(PY_VAL,MATCH("P_USADOS",PY_ID,0),9)*N503+IF(P503&gt;0,O503/P503,0)+Q503)</f>
        <v>1</v>
      </c>
      <c r="AA503" s="32" t="n">
        <f aca="false">J503*(INDEX(P_VAL,MATCH("CTRL_AÑO",P_ID,0))*L503+(1-INDEX(PY_VAL,MATCH("P_USADOS",PY_ID,0),10))*M503+INDEX(PY_VAL,MATCH("P_USADOS",PY_ID,0),10)*N503+IF(P503&gt;0,O503/P503,0)+Q503)</f>
        <v>1</v>
      </c>
      <c r="AB503" s="5" t="s">
        <v>1346</v>
      </c>
    </row>
    <row r="504" customFormat="false" ht="15" hidden="false" customHeight="false" outlineLevel="0" collapsed="false">
      <c r="A504" s="4" t="s">
        <v>309</v>
      </c>
      <c r="B504" s="4" t="s">
        <v>1360</v>
      </c>
      <c r="C504" s="4" t="s">
        <v>1480</v>
      </c>
      <c r="D504" s="5" t="s">
        <v>1362</v>
      </c>
      <c r="E504" s="32" t="n">
        <v>1</v>
      </c>
      <c r="F504" s="32" t="s">
        <v>82</v>
      </c>
      <c r="G504" s="33" t="s">
        <v>1344</v>
      </c>
      <c r="H504" s="32" t="s">
        <v>1363</v>
      </c>
      <c r="I504" s="32" t="n">
        <v>1</v>
      </c>
      <c r="J504" s="32" t="n">
        <f aca="false">E504*I504</f>
        <v>1</v>
      </c>
      <c r="K504" s="32"/>
      <c r="L504" s="32" t="n">
        <v>0</v>
      </c>
      <c r="M504" s="32" t="n">
        <v>1</v>
      </c>
      <c r="N504" s="32" t="n">
        <v>1</v>
      </c>
      <c r="O504" s="32" t="n">
        <v>0</v>
      </c>
      <c r="P504" s="32" t="n">
        <v>2</v>
      </c>
      <c r="Q504" s="32" t="n">
        <v>0</v>
      </c>
      <c r="R504" s="32" t="n">
        <f aca="false">J504*(INDEX(P_VAL,MATCH("CTRL_AÑO",P_ID,0))*L504+(1-INDEX(PY_VAL,MATCH("P_USADOS",PY_ID,0),1))*M504+INDEX(PY_VAL,MATCH("P_USADOS",PY_ID,0),1)*N504+IF(P504&gt;0,O504/P504,0)+Q504)</f>
        <v>1</v>
      </c>
      <c r="S504" s="32" t="n">
        <f aca="false">J504*(INDEX(P_VAL,MATCH("CTRL_AÑO",P_ID,0))*L504+(1-INDEX(PY_VAL,MATCH("P_USADOS",PY_ID,0),2))*M504+INDEX(PY_VAL,MATCH("P_USADOS",PY_ID,0),2)*N504+IF(P504&gt;0,O504/P504,0)+Q504)</f>
        <v>1</v>
      </c>
      <c r="T504" s="32" t="n">
        <f aca="false">J504*(INDEX(P_VAL,MATCH("CTRL_AÑO",P_ID,0))*L504+(1-INDEX(PY_VAL,MATCH("P_USADOS",PY_ID,0),3))*M504+INDEX(PY_VAL,MATCH("P_USADOS",PY_ID,0),3)*N504+IF(P504&gt;0,O504/P504,0)+Q504)</f>
        <v>1</v>
      </c>
      <c r="U504" s="32" t="n">
        <f aca="false">J504*(INDEX(P_VAL,MATCH("CTRL_AÑO",P_ID,0))*L504+(1-INDEX(PY_VAL,MATCH("P_USADOS",PY_ID,0),4))*M504+INDEX(PY_VAL,MATCH("P_USADOS",PY_ID,0),4)*N504+IF(P504&gt;0,O504/P504,0)+Q504)</f>
        <v>1</v>
      </c>
      <c r="V504" s="32" t="n">
        <f aca="false">J504*(INDEX(P_VAL,MATCH("CTRL_AÑO",P_ID,0))*L504+(1-INDEX(PY_VAL,MATCH("P_USADOS",PY_ID,0),5))*M504+INDEX(PY_VAL,MATCH("P_USADOS",PY_ID,0),5)*N504+IF(P504&gt;0,O504/P504,0)+Q504)</f>
        <v>1</v>
      </c>
      <c r="W504" s="32" t="n">
        <f aca="false">J504*(INDEX(P_VAL,MATCH("CTRL_AÑO",P_ID,0))*L504+(1-INDEX(PY_VAL,MATCH("P_USADOS",PY_ID,0),6))*M504+INDEX(PY_VAL,MATCH("P_USADOS",PY_ID,0),6)*N504+IF(P504&gt;0,O504/P504,0)+Q504)</f>
        <v>1</v>
      </c>
      <c r="X504" s="32" t="n">
        <f aca="false">J504*(INDEX(P_VAL,MATCH("CTRL_AÑO",P_ID,0))*L504+(1-INDEX(PY_VAL,MATCH("P_USADOS",PY_ID,0),7))*M504+INDEX(PY_VAL,MATCH("P_USADOS",PY_ID,0),7)*N504+IF(P504&gt;0,O504/P504,0)+Q504)</f>
        <v>1</v>
      </c>
      <c r="Y504" s="32" t="n">
        <f aca="false">J504*(INDEX(P_VAL,MATCH("CTRL_AÑO",P_ID,0))*L504+(1-INDEX(PY_VAL,MATCH("P_USADOS",PY_ID,0),8))*M504+INDEX(PY_VAL,MATCH("P_USADOS",PY_ID,0),8)*N504+IF(P504&gt;0,O504/P504,0)+Q504)</f>
        <v>1</v>
      </c>
      <c r="Z504" s="32" t="n">
        <f aca="false">J504*(INDEX(P_VAL,MATCH("CTRL_AÑO",P_ID,0))*L504+(1-INDEX(PY_VAL,MATCH("P_USADOS",PY_ID,0),9))*M504+INDEX(PY_VAL,MATCH("P_USADOS",PY_ID,0),9)*N504+IF(P504&gt;0,O504/P504,0)+Q504)</f>
        <v>1</v>
      </c>
      <c r="AA504" s="32" t="n">
        <f aca="false">J504*(INDEX(P_VAL,MATCH("CTRL_AÑO",P_ID,0))*L504+(1-INDEX(PY_VAL,MATCH("P_USADOS",PY_ID,0),10))*M504+INDEX(PY_VAL,MATCH("P_USADOS",PY_ID,0),10)*N504+IF(P504&gt;0,O504/P504,0)+Q504)</f>
        <v>1</v>
      </c>
      <c r="AB504" s="5" t="s">
        <v>1346</v>
      </c>
    </row>
    <row r="505" customFormat="false" ht="15" hidden="false" customHeight="false" outlineLevel="0" collapsed="false">
      <c r="A505" s="4" t="s">
        <v>309</v>
      </c>
      <c r="B505" s="4" t="s">
        <v>1364</v>
      </c>
      <c r="C505" s="4" t="s">
        <v>1481</v>
      </c>
      <c r="D505" s="5" t="s">
        <v>1366</v>
      </c>
      <c r="E505" s="32" t="n">
        <v>1</v>
      </c>
      <c r="F505" s="32" t="s">
        <v>82</v>
      </c>
      <c r="G505" s="33" t="s">
        <v>1344</v>
      </c>
      <c r="H505" s="32" t="s">
        <v>1367</v>
      </c>
      <c r="I505" s="32" t="n">
        <v>1</v>
      </c>
      <c r="J505" s="32" t="n">
        <f aca="false">E505*I505</f>
        <v>1</v>
      </c>
      <c r="K505" s="32" t="s">
        <v>582</v>
      </c>
      <c r="L505" s="32" t="n">
        <v>0</v>
      </c>
      <c r="M505" s="32" t="n">
        <v>1</v>
      </c>
      <c r="N505" s="32" t="n">
        <v>1</v>
      </c>
      <c r="O505" s="32" t="n">
        <v>0</v>
      </c>
      <c r="P505" s="32" t="n">
        <v>2</v>
      </c>
      <c r="Q505" s="32" t="n">
        <v>0</v>
      </c>
      <c r="R505" s="32" t="n">
        <f aca="false">J505*(INDEX(P_VAL,MATCH("CTRL_AÑO",P_ID,0))*L505+(1-INDEX(PY_VAL,MATCH("P_USADOS",PY_ID,0),1))*M505+INDEX(PY_VAL,MATCH("P_USADOS",PY_ID,0),1)*N505+IF(P505&gt;0,O505/P505,0)+Q505)</f>
        <v>1</v>
      </c>
      <c r="S505" s="32" t="n">
        <f aca="false">J505*(INDEX(P_VAL,MATCH("CTRL_AÑO",P_ID,0))*L505+(1-INDEX(PY_VAL,MATCH("P_USADOS",PY_ID,0),2))*M505+INDEX(PY_VAL,MATCH("P_USADOS",PY_ID,0),2)*N505+IF(P505&gt;0,O505/P505,0)+Q505)</f>
        <v>1</v>
      </c>
      <c r="T505" s="32" t="n">
        <f aca="false">J505*(INDEX(P_VAL,MATCH("CTRL_AÑO",P_ID,0))*L505+(1-INDEX(PY_VAL,MATCH("P_USADOS",PY_ID,0),3))*M505+INDEX(PY_VAL,MATCH("P_USADOS",PY_ID,0),3)*N505+IF(P505&gt;0,O505/P505,0)+Q505)</f>
        <v>1</v>
      </c>
      <c r="U505" s="32" t="n">
        <f aca="false">J505*(INDEX(P_VAL,MATCH("CTRL_AÑO",P_ID,0))*L505+(1-INDEX(PY_VAL,MATCH("P_USADOS",PY_ID,0),4))*M505+INDEX(PY_VAL,MATCH("P_USADOS",PY_ID,0),4)*N505+IF(P505&gt;0,O505/P505,0)+Q505)</f>
        <v>1</v>
      </c>
      <c r="V505" s="32" t="n">
        <f aca="false">J505*(INDEX(P_VAL,MATCH("CTRL_AÑO",P_ID,0))*L505+(1-INDEX(PY_VAL,MATCH("P_USADOS",PY_ID,0),5))*M505+INDEX(PY_VAL,MATCH("P_USADOS",PY_ID,0),5)*N505+IF(P505&gt;0,O505/P505,0)+Q505)</f>
        <v>1</v>
      </c>
      <c r="W505" s="32" t="n">
        <f aca="false">J505*(INDEX(P_VAL,MATCH("CTRL_AÑO",P_ID,0))*L505+(1-INDEX(PY_VAL,MATCH("P_USADOS",PY_ID,0),6))*M505+INDEX(PY_VAL,MATCH("P_USADOS",PY_ID,0),6)*N505+IF(P505&gt;0,O505/P505,0)+Q505)</f>
        <v>1</v>
      </c>
      <c r="X505" s="32" t="n">
        <f aca="false">J505*(INDEX(P_VAL,MATCH("CTRL_AÑO",P_ID,0))*L505+(1-INDEX(PY_VAL,MATCH("P_USADOS",PY_ID,0),7))*M505+INDEX(PY_VAL,MATCH("P_USADOS",PY_ID,0),7)*N505+IF(P505&gt;0,O505/P505,0)+Q505)</f>
        <v>1</v>
      </c>
      <c r="Y505" s="32" t="n">
        <f aca="false">J505*(INDEX(P_VAL,MATCH("CTRL_AÑO",P_ID,0))*L505+(1-INDEX(PY_VAL,MATCH("P_USADOS",PY_ID,0),8))*M505+INDEX(PY_VAL,MATCH("P_USADOS",PY_ID,0),8)*N505+IF(P505&gt;0,O505/P505,0)+Q505)</f>
        <v>1</v>
      </c>
      <c r="Z505" s="32" t="n">
        <f aca="false">J505*(INDEX(P_VAL,MATCH("CTRL_AÑO",P_ID,0))*L505+(1-INDEX(PY_VAL,MATCH("P_USADOS",PY_ID,0),9))*M505+INDEX(PY_VAL,MATCH("P_USADOS",PY_ID,0),9)*N505+IF(P505&gt;0,O505/P505,0)+Q505)</f>
        <v>1</v>
      </c>
      <c r="AA505" s="32" t="n">
        <f aca="false">J505*(INDEX(P_VAL,MATCH("CTRL_AÑO",P_ID,0))*L505+(1-INDEX(PY_VAL,MATCH("P_USADOS",PY_ID,0),10))*M505+INDEX(PY_VAL,MATCH("P_USADOS",PY_ID,0),10)*N505+IF(P505&gt;0,O505/P505,0)+Q505)</f>
        <v>1</v>
      </c>
      <c r="AB505" s="5" t="s">
        <v>1346</v>
      </c>
    </row>
    <row r="506" customFormat="false" ht="15" hidden="false" customHeight="false" outlineLevel="0" collapsed="false">
      <c r="A506" s="4" t="s">
        <v>309</v>
      </c>
      <c r="B506" s="4" t="s">
        <v>1368</v>
      </c>
      <c r="C506" s="4" t="s">
        <v>1482</v>
      </c>
      <c r="D506" s="5" t="s">
        <v>1370</v>
      </c>
      <c r="E506" s="32" t="n">
        <v>1</v>
      </c>
      <c r="F506" s="32" t="s">
        <v>82</v>
      </c>
      <c r="G506" s="33" t="s">
        <v>1344</v>
      </c>
      <c r="H506" s="32" t="s">
        <v>1371</v>
      </c>
      <c r="I506" s="32" t="n">
        <v>1</v>
      </c>
      <c r="J506" s="32" t="n">
        <f aca="false">E506*I506</f>
        <v>1</v>
      </c>
      <c r="K506" s="32" t="s">
        <v>582</v>
      </c>
      <c r="L506" s="32" t="n">
        <v>0</v>
      </c>
      <c r="M506" s="32" t="n">
        <v>1</v>
      </c>
      <c r="N506" s="32" t="n">
        <v>1</v>
      </c>
      <c r="O506" s="32" t="n">
        <v>0</v>
      </c>
      <c r="P506" s="32" t="n">
        <v>2</v>
      </c>
      <c r="Q506" s="32" t="n">
        <v>0</v>
      </c>
      <c r="R506" s="32" t="n">
        <f aca="false">J506*(INDEX(P_VAL,MATCH("CTRL_AÑO",P_ID,0))*L506+(1-INDEX(PY_VAL,MATCH("P_USADOS",PY_ID,0),1))*M506+INDEX(PY_VAL,MATCH("P_USADOS",PY_ID,0),1)*N506+IF(P506&gt;0,O506/P506,0)+Q506)</f>
        <v>1</v>
      </c>
      <c r="S506" s="32" t="n">
        <f aca="false">J506*(INDEX(P_VAL,MATCH("CTRL_AÑO",P_ID,0))*L506+(1-INDEX(PY_VAL,MATCH("P_USADOS",PY_ID,0),2))*M506+INDEX(PY_VAL,MATCH("P_USADOS",PY_ID,0),2)*N506+IF(P506&gt;0,O506/P506,0)+Q506)</f>
        <v>1</v>
      </c>
      <c r="T506" s="32" t="n">
        <f aca="false">J506*(INDEX(P_VAL,MATCH("CTRL_AÑO",P_ID,0))*L506+(1-INDEX(PY_VAL,MATCH("P_USADOS",PY_ID,0),3))*M506+INDEX(PY_VAL,MATCH("P_USADOS",PY_ID,0),3)*N506+IF(P506&gt;0,O506/P506,0)+Q506)</f>
        <v>1</v>
      </c>
      <c r="U506" s="32" t="n">
        <f aca="false">J506*(INDEX(P_VAL,MATCH("CTRL_AÑO",P_ID,0))*L506+(1-INDEX(PY_VAL,MATCH("P_USADOS",PY_ID,0),4))*M506+INDEX(PY_VAL,MATCH("P_USADOS",PY_ID,0),4)*N506+IF(P506&gt;0,O506/P506,0)+Q506)</f>
        <v>1</v>
      </c>
      <c r="V506" s="32" t="n">
        <f aca="false">J506*(INDEX(P_VAL,MATCH("CTRL_AÑO",P_ID,0))*L506+(1-INDEX(PY_VAL,MATCH("P_USADOS",PY_ID,0),5))*M506+INDEX(PY_VAL,MATCH("P_USADOS",PY_ID,0),5)*N506+IF(P506&gt;0,O506/P506,0)+Q506)</f>
        <v>1</v>
      </c>
      <c r="W506" s="32" t="n">
        <f aca="false">J506*(INDEX(P_VAL,MATCH("CTRL_AÑO",P_ID,0))*L506+(1-INDEX(PY_VAL,MATCH("P_USADOS",PY_ID,0),6))*M506+INDEX(PY_VAL,MATCH("P_USADOS",PY_ID,0),6)*N506+IF(P506&gt;0,O506/P506,0)+Q506)</f>
        <v>1</v>
      </c>
      <c r="X506" s="32" t="n">
        <f aca="false">J506*(INDEX(P_VAL,MATCH("CTRL_AÑO",P_ID,0))*L506+(1-INDEX(PY_VAL,MATCH("P_USADOS",PY_ID,0),7))*M506+INDEX(PY_VAL,MATCH("P_USADOS",PY_ID,0),7)*N506+IF(P506&gt;0,O506/P506,0)+Q506)</f>
        <v>1</v>
      </c>
      <c r="Y506" s="32" t="n">
        <f aca="false">J506*(INDEX(P_VAL,MATCH("CTRL_AÑO",P_ID,0))*L506+(1-INDEX(PY_VAL,MATCH("P_USADOS",PY_ID,0),8))*M506+INDEX(PY_VAL,MATCH("P_USADOS",PY_ID,0),8)*N506+IF(P506&gt;0,O506/P506,0)+Q506)</f>
        <v>1</v>
      </c>
      <c r="Z506" s="32" t="n">
        <f aca="false">J506*(INDEX(P_VAL,MATCH("CTRL_AÑO",P_ID,0))*L506+(1-INDEX(PY_VAL,MATCH("P_USADOS",PY_ID,0),9))*M506+INDEX(PY_VAL,MATCH("P_USADOS",PY_ID,0),9)*N506+IF(P506&gt;0,O506/P506,0)+Q506)</f>
        <v>1</v>
      </c>
      <c r="AA506" s="32" t="n">
        <f aca="false">J506*(INDEX(P_VAL,MATCH("CTRL_AÑO",P_ID,0))*L506+(1-INDEX(PY_VAL,MATCH("P_USADOS",PY_ID,0),10))*M506+INDEX(PY_VAL,MATCH("P_USADOS",PY_ID,0),10)*N506+IF(P506&gt;0,O506/P506,0)+Q506)</f>
        <v>1</v>
      </c>
      <c r="AB506" s="5" t="s">
        <v>1346</v>
      </c>
    </row>
    <row r="507" customFormat="false" ht="15" hidden="false" customHeight="false" outlineLevel="0" collapsed="false">
      <c r="A507" s="4" t="s">
        <v>309</v>
      </c>
      <c r="B507" s="4" t="s">
        <v>1372</v>
      </c>
      <c r="C507" s="4" t="s">
        <v>1483</v>
      </c>
      <c r="D507" s="5" t="s">
        <v>1374</v>
      </c>
      <c r="E507" s="32" t="n">
        <v>1</v>
      </c>
      <c r="F507" s="32" t="s">
        <v>82</v>
      </c>
      <c r="G507" s="33" t="s">
        <v>1344</v>
      </c>
      <c r="H507" s="32" t="s">
        <v>688</v>
      </c>
      <c r="I507" s="32" t="n">
        <v>1</v>
      </c>
      <c r="J507" s="32" t="n">
        <f aca="false">E507*I507</f>
        <v>1</v>
      </c>
      <c r="K507" s="32" t="s">
        <v>689</v>
      </c>
      <c r="L507" s="32" t="n">
        <v>0</v>
      </c>
      <c r="M507" s="32" t="n">
        <v>1</v>
      </c>
      <c r="N507" s="32" t="n">
        <v>1</v>
      </c>
      <c r="O507" s="32" t="n">
        <v>0</v>
      </c>
      <c r="P507" s="32" t="n">
        <v>2</v>
      </c>
      <c r="Q507" s="32" t="n">
        <v>0</v>
      </c>
      <c r="R507" s="32" t="n">
        <f aca="false">J507*(INDEX(P_VAL,MATCH("CTRL_AÑO",P_ID,0))*L507+(1-INDEX(PY_VAL,MATCH("P_USADOS",PY_ID,0),1))*M507+INDEX(PY_VAL,MATCH("P_USADOS",PY_ID,0),1)*N507+IF(P507&gt;0,O507/P507,0)+Q507)</f>
        <v>1</v>
      </c>
      <c r="S507" s="32" t="n">
        <f aca="false">J507*(INDEX(P_VAL,MATCH("CTRL_AÑO",P_ID,0))*L507+(1-INDEX(PY_VAL,MATCH("P_USADOS",PY_ID,0),2))*M507+INDEX(PY_VAL,MATCH("P_USADOS",PY_ID,0),2)*N507+IF(P507&gt;0,O507/P507,0)+Q507)</f>
        <v>1</v>
      </c>
      <c r="T507" s="32" t="n">
        <f aca="false">J507*(INDEX(P_VAL,MATCH("CTRL_AÑO",P_ID,0))*L507+(1-INDEX(PY_VAL,MATCH("P_USADOS",PY_ID,0),3))*M507+INDEX(PY_VAL,MATCH("P_USADOS",PY_ID,0),3)*N507+IF(P507&gt;0,O507/P507,0)+Q507)</f>
        <v>1</v>
      </c>
      <c r="U507" s="32" t="n">
        <f aca="false">J507*(INDEX(P_VAL,MATCH("CTRL_AÑO",P_ID,0))*L507+(1-INDEX(PY_VAL,MATCH("P_USADOS",PY_ID,0),4))*M507+INDEX(PY_VAL,MATCH("P_USADOS",PY_ID,0),4)*N507+IF(P507&gt;0,O507/P507,0)+Q507)</f>
        <v>1</v>
      </c>
      <c r="V507" s="32" t="n">
        <f aca="false">J507*(INDEX(P_VAL,MATCH("CTRL_AÑO",P_ID,0))*L507+(1-INDEX(PY_VAL,MATCH("P_USADOS",PY_ID,0),5))*M507+INDEX(PY_VAL,MATCH("P_USADOS",PY_ID,0),5)*N507+IF(P507&gt;0,O507/P507,0)+Q507)</f>
        <v>1</v>
      </c>
      <c r="W507" s="32" t="n">
        <f aca="false">J507*(INDEX(P_VAL,MATCH("CTRL_AÑO",P_ID,0))*L507+(1-INDEX(PY_VAL,MATCH("P_USADOS",PY_ID,0),6))*M507+INDEX(PY_VAL,MATCH("P_USADOS",PY_ID,0),6)*N507+IF(P507&gt;0,O507/P507,0)+Q507)</f>
        <v>1</v>
      </c>
      <c r="X507" s="32" t="n">
        <f aca="false">J507*(INDEX(P_VAL,MATCH("CTRL_AÑO",P_ID,0))*L507+(1-INDEX(PY_VAL,MATCH("P_USADOS",PY_ID,0),7))*M507+INDEX(PY_VAL,MATCH("P_USADOS",PY_ID,0),7)*N507+IF(P507&gt;0,O507/P507,0)+Q507)</f>
        <v>1</v>
      </c>
      <c r="Y507" s="32" t="n">
        <f aca="false">J507*(INDEX(P_VAL,MATCH("CTRL_AÑO",P_ID,0))*L507+(1-INDEX(PY_VAL,MATCH("P_USADOS",PY_ID,0),8))*M507+INDEX(PY_VAL,MATCH("P_USADOS",PY_ID,0),8)*N507+IF(P507&gt;0,O507/P507,0)+Q507)</f>
        <v>1</v>
      </c>
      <c r="Z507" s="32" t="n">
        <f aca="false">J507*(INDEX(P_VAL,MATCH("CTRL_AÑO",P_ID,0))*L507+(1-INDEX(PY_VAL,MATCH("P_USADOS",PY_ID,0),9))*M507+INDEX(PY_VAL,MATCH("P_USADOS",PY_ID,0),9)*N507+IF(P507&gt;0,O507/P507,0)+Q507)</f>
        <v>1</v>
      </c>
      <c r="AA507" s="32" t="n">
        <f aca="false">J507*(INDEX(P_VAL,MATCH("CTRL_AÑO",P_ID,0))*L507+(1-INDEX(PY_VAL,MATCH("P_USADOS",PY_ID,0),10))*M507+INDEX(PY_VAL,MATCH("P_USADOS",PY_ID,0),10)*N507+IF(P507&gt;0,O507/P507,0)+Q507)</f>
        <v>1</v>
      </c>
      <c r="AB507" s="5" t="s">
        <v>1346</v>
      </c>
    </row>
    <row r="508" customFormat="false" ht="15" hidden="false" customHeight="false" outlineLevel="0" collapsed="false">
      <c r="A508" s="4" t="s">
        <v>309</v>
      </c>
      <c r="B508" s="4" t="s">
        <v>1375</v>
      </c>
      <c r="C508" s="4" t="s">
        <v>1484</v>
      </c>
      <c r="D508" s="5" t="s">
        <v>1377</v>
      </c>
      <c r="E508" s="32" t="n">
        <v>1</v>
      </c>
      <c r="F508" s="32" t="s">
        <v>82</v>
      </c>
      <c r="G508" s="33" t="s">
        <v>1344</v>
      </c>
      <c r="H508" s="32" t="s">
        <v>1485</v>
      </c>
      <c r="I508" s="32" t="n">
        <v>1</v>
      </c>
      <c r="J508" s="32" t="n">
        <f aca="false">E508*I508</f>
        <v>1</v>
      </c>
      <c r="K508" s="32"/>
      <c r="L508" s="32" t="n">
        <v>0</v>
      </c>
      <c r="M508" s="32" t="n">
        <v>1</v>
      </c>
      <c r="N508" s="32" t="n">
        <v>1</v>
      </c>
      <c r="O508" s="32" t="n">
        <v>0</v>
      </c>
      <c r="P508" s="32" t="n">
        <v>2</v>
      </c>
      <c r="Q508" s="32" t="n">
        <v>0</v>
      </c>
      <c r="R508" s="32" t="n">
        <f aca="false">J508*(INDEX(P_VAL,MATCH("CTRL_AÑO",P_ID,0))*L508+(1-INDEX(PY_VAL,MATCH("P_USADOS",PY_ID,0),1))*M508+INDEX(PY_VAL,MATCH("P_USADOS",PY_ID,0),1)*N508+IF(P508&gt;0,O508/P508,0)+Q508)</f>
        <v>1</v>
      </c>
      <c r="S508" s="32" t="n">
        <f aca="false">J508*(INDEX(P_VAL,MATCH("CTRL_AÑO",P_ID,0))*L508+(1-INDEX(PY_VAL,MATCH("P_USADOS",PY_ID,0),2))*M508+INDEX(PY_VAL,MATCH("P_USADOS",PY_ID,0),2)*N508+IF(P508&gt;0,O508/P508,0)+Q508)</f>
        <v>1</v>
      </c>
      <c r="T508" s="32" t="n">
        <f aca="false">J508*(INDEX(P_VAL,MATCH("CTRL_AÑO",P_ID,0))*L508+(1-INDEX(PY_VAL,MATCH("P_USADOS",PY_ID,0),3))*M508+INDEX(PY_VAL,MATCH("P_USADOS",PY_ID,0),3)*N508+IF(P508&gt;0,O508/P508,0)+Q508)</f>
        <v>1</v>
      </c>
      <c r="U508" s="32" t="n">
        <f aca="false">J508*(INDEX(P_VAL,MATCH("CTRL_AÑO",P_ID,0))*L508+(1-INDEX(PY_VAL,MATCH("P_USADOS",PY_ID,0),4))*M508+INDEX(PY_VAL,MATCH("P_USADOS",PY_ID,0),4)*N508+IF(P508&gt;0,O508/P508,0)+Q508)</f>
        <v>1</v>
      </c>
      <c r="V508" s="32" t="n">
        <f aca="false">J508*(INDEX(P_VAL,MATCH("CTRL_AÑO",P_ID,0))*L508+(1-INDEX(PY_VAL,MATCH("P_USADOS",PY_ID,0),5))*M508+INDEX(PY_VAL,MATCH("P_USADOS",PY_ID,0),5)*N508+IF(P508&gt;0,O508/P508,0)+Q508)</f>
        <v>1</v>
      </c>
      <c r="W508" s="32" t="n">
        <f aca="false">J508*(INDEX(P_VAL,MATCH("CTRL_AÑO",P_ID,0))*L508+(1-INDEX(PY_VAL,MATCH("P_USADOS",PY_ID,0),6))*M508+INDEX(PY_VAL,MATCH("P_USADOS",PY_ID,0),6)*N508+IF(P508&gt;0,O508/P508,0)+Q508)</f>
        <v>1</v>
      </c>
      <c r="X508" s="32" t="n">
        <f aca="false">J508*(INDEX(P_VAL,MATCH("CTRL_AÑO",P_ID,0))*L508+(1-INDEX(PY_VAL,MATCH("P_USADOS",PY_ID,0),7))*M508+INDEX(PY_VAL,MATCH("P_USADOS",PY_ID,0),7)*N508+IF(P508&gt;0,O508/P508,0)+Q508)</f>
        <v>1</v>
      </c>
      <c r="Y508" s="32" t="n">
        <f aca="false">J508*(INDEX(P_VAL,MATCH("CTRL_AÑO",P_ID,0))*L508+(1-INDEX(PY_VAL,MATCH("P_USADOS",PY_ID,0),8))*M508+INDEX(PY_VAL,MATCH("P_USADOS",PY_ID,0),8)*N508+IF(P508&gt;0,O508/P508,0)+Q508)</f>
        <v>1</v>
      </c>
      <c r="Z508" s="32" t="n">
        <f aca="false">J508*(INDEX(P_VAL,MATCH("CTRL_AÑO",P_ID,0))*L508+(1-INDEX(PY_VAL,MATCH("P_USADOS",PY_ID,0),9))*M508+INDEX(PY_VAL,MATCH("P_USADOS",PY_ID,0),9)*N508+IF(P508&gt;0,O508/P508,0)+Q508)</f>
        <v>1</v>
      </c>
      <c r="AA508" s="32" t="n">
        <f aca="false">J508*(INDEX(P_VAL,MATCH("CTRL_AÑO",P_ID,0))*L508+(1-INDEX(PY_VAL,MATCH("P_USADOS",PY_ID,0),10))*M508+INDEX(PY_VAL,MATCH("P_USADOS",PY_ID,0),10)*N508+IF(P508&gt;0,O508/P508,0)+Q508)</f>
        <v>1</v>
      </c>
      <c r="AB508" s="5" t="s">
        <v>1346</v>
      </c>
    </row>
    <row r="509" customFormat="false" ht="15" hidden="false" customHeight="false" outlineLevel="0" collapsed="false">
      <c r="A509" s="4" t="s">
        <v>309</v>
      </c>
      <c r="B509" s="4" t="s">
        <v>1378</v>
      </c>
      <c r="C509" s="4" t="s">
        <v>1486</v>
      </c>
      <c r="D509" s="5" t="s">
        <v>1380</v>
      </c>
      <c r="E509" s="32" t="n">
        <v>1</v>
      </c>
      <c r="F509" s="32" t="s">
        <v>82</v>
      </c>
      <c r="G509" s="33" t="s">
        <v>1344</v>
      </c>
      <c r="H509" s="32" t="s">
        <v>1381</v>
      </c>
      <c r="I509" s="32" t="n">
        <v>1</v>
      </c>
      <c r="J509" s="32" t="n">
        <f aca="false">E509*I509</f>
        <v>1</v>
      </c>
      <c r="K509" s="32"/>
      <c r="L509" s="32" t="n">
        <v>0</v>
      </c>
      <c r="M509" s="32" t="n">
        <v>0</v>
      </c>
      <c r="N509" s="32" t="n">
        <v>0</v>
      </c>
      <c r="O509" s="32" t="n">
        <v>1</v>
      </c>
      <c r="P509" s="32" t="n">
        <v>2</v>
      </c>
      <c r="Q509" s="32" t="n">
        <v>0</v>
      </c>
      <c r="R509" s="32" t="n">
        <f aca="false">J509*(INDEX(P_VAL,MATCH("CTRL_AÑO",P_ID,0))*L509+(1-INDEX(PY_VAL,MATCH("P_USADOS",PY_ID,0),1))*M509+INDEX(PY_VAL,MATCH("P_USADOS",PY_ID,0),1)*N509+IF(P509&gt;0,O509/P509,0)+Q509)</f>
        <v>0.5</v>
      </c>
      <c r="S509" s="32" t="n">
        <f aca="false">J509*(INDEX(P_VAL,MATCH("CTRL_AÑO",P_ID,0))*L509+(1-INDEX(PY_VAL,MATCH("P_USADOS",PY_ID,0),2))*M509+INDEX(PY_VAL,MATCH("P_USADOS",PY_ID,0),2)*N509+IF(P509&gt;0,O509/P509,0)+Q509)</f>
        <v>0.5</v>
      </c>
      <c r="T509" s="32" t="n">
        <f aca="false">J509*(INDEX(P_VAL,MATCH("CTRL_AÑO",P_ID,0))*L509+(1-INDEX(PY_VAL,MATCH("P_USADOS",PY_ID,0),3))*M509+INDEX(PY_VAL,MATCH("P_USADOS",PY_ID,0),3)*N509+IF(P509&gt;0,O509/P509,0)+Q509)</f>
        <v>0.5</v>
      </c>
      <c r="U509" s="32" t="n">
        <f aca="false">J509*(INDEX(P_VAL,MATCH("CTRL_AÑO",P_ID,0))*L509+(1-INDEX(PY_VAL,MATCH("P_USADOS",PY_ID,0),4))*M509+INDEX(PY_VAL,MATCH("P_USADOS",PY_ID,0),4)*N509+IF(P509&gt;0,O509/P509,0)+Q509)</f>
        <v>0.5</v>
      </c>
      <c r="V509" s="32" t="n">
        <f aca="false">J509*(INDEX(P_VAL,MATCH("CTRL_AÑO",P_ID,0))*L509+(1-INDEX(PY_VAL,MATCH("P_USADOS",PY_ID,0),5))*M509+INDEX(PY_VAL,MATCH("P_USADOS",PY_ID,0),5)*N509+IF(P509&gt;0,O509/P509,0)+Q509)</f>
        <v>0.5</v>
      </c>
      <c r="W509" s="32" t="n">
        <f aca="false">J509*(INDEX(P_VAL,MATCH("CTRL_AÑO",P_ID,0))*L509+(1-INDEX(PY_VAL,MATCH("P_USADOS",PY_ID,0),6))*M509+INDEX(PY_VAL,MATCH("P_USADOS",PY_ID,0),6)*N509+IF(P509&gt;0,O509/P509,0)+Q509)</f>
        <v>0.5</v>
      </c>
      <c r="X509" s="32" t="n">
        <f aca="false">J509*(INDEX(P_VAL,MATCH("CTRL_AÑO",P_ID,0))*L509+(1-INDEX(PY_VAL,MATCH("P_USADOS",PY_ID,0),7))*M509+INDEX(PY_VAL,MATCH("P_USADOS",PY_ID,0),7)*N509+IF(P509&gt;0,O509/P509,0)+Q509)</f>
        <v>0.5</v>
      </c>
      <c r="Y509" s="32" t="n">
        <f aca="false">J509*(INDEX(P_VAL,MATCH("CTRL_AÑO",P_ID,0))*L509+(1-INDEX(PY_VAL,MATCH("P_USADOS",PY_ID,0),8))*M509+INDEX(PY_VAL,MATCH("P_USADOS",PY_ID,0),8)*N509+IF(P509&gt;0,O509/P509,0)+Q509)</f>
        <v>0.5</v>
      </c>
      <c r="Z509" s="32" t="n">
        <f aca="false">J509*(INDEX(P_VAL,MATCH("CTRL_AÑO",P_ID,0))*L509+(1-INDEX(PY_VAL,MATCH("P_USADOS",PY_ID,0),9))*M509+INDEX(PY_VAL,MATCH("P_USADOS",PY_ID,0),9)*N509+IF(P509&gt;0,O509/P509,0)+Q509)</f>
        <v>0.5</v>
      </c>
      <c r="AA509" s="32" t="n">
        <f aca="false">J509*(INDEX(P_VAL,MATCH("CTRL_AÑO",P_ID,0))*L509+(1-INDEX(PY_VAL,MATCH("P_USADOS",PY_ID,0),10))*M509+INDEX(PY_VAL,MATCH("P_USADOS",PY_ID,0),10)*N509+IF(P509&gt;0,O509/P509,0)+Q509)</f>
        <v>0.5</v>
      </c>
      <c r="AB509" s="5" t="s">
        <v>1346</v>
      </c>
    </row>
    <row r="510" customFormat="false" ht="15" hidden="false" customHeight="false" outlineLevel="0" collapsed="false">
      <c r="A510" s="4" t="s">
        <v>309</v>
      </c>
      <c r="B510" s="4" t="s">
        <v>1347</v>
      </c>
      <c r="C510" s="4" t="s">
        <v>1487</v>
      </c>
      <c r="D510" s="5" t="s">
        <v>1488</v>
      </c>
      <c r="E510" s="32" t="n">
        <v>1</v>
      </c>
      <c r="F510" s="32" t="s">
        <v>1489</v>
      </c>
      <c r="G510" s="33" t="s">
        <v>1385</v>
      </c>
      <c r="H510" s="32"/>
      <c r="I510" s="32"/>
      <c r="J510" s="32"/>
      <c r="K510" s="32"/>
      <c r="L510" s="32" t="n">
        <v>0</v>
      </c>
      <c r="M510" s="32" t="n">
        <v>0</v>
      </c>
      <c r="N510" s="32" t="n">
        <v>0</v>
      </c>
      <c r="O510" s="32" t="n">
        <v>0</v>
      </c>
      <c r="P510" s="32" t="n">
        <v>0</v>
      </c>
      <c r="Q510" s="32" t="n">
        <v>0</v>
      </c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5" t="s">
        <v>1490</v>
      </c>
    </row>
    <row r="511" customFormat="false" ht="15" hidden="false" customHeight="false" outlineLevel="0" collapsed="false">
      <c r="A511" s="4" t="s">
        <v>309</v>
      </c>
      <c r="B511" s="4" t="s">
        <v>1350</v>
      </c>
      <c r="C511" s="4" t="s">
        <v>1491</v>
      </c>
      <c r="D511" s="5" t="s">
        <v>1492</v>
      </c>
      <c r="E511" s="32" t="n">
        <v>1</v>
      </c>
      <c r="F511" s="32" t="s">
        <v>73</v>
      </c>
      <c r="G511" s="33" t="s">
        <v>1385</v>
      </c>
      <c r="H511" s="32"/>
      <c r="I511" s="32"/>
      <c r="J511" s="32"/>
      <c r="K511" s="32"/>
      <c r="L511" s="32" t="n">
        <v>0</v>
      </c>
      <c r="M511" s="32" t="n">
        <v>0</v>
      </c>
      <c r="N511" s="32" t="n">
        <v>0</v>
      </c>
      <c r="O511" s="32" t="n">
        <v>0</v>
      </c>
      <c r="P511" s="32" t="n">
        <v>0</v>
      </c>
      <c r="Q511" s="32" t="n">
        <v>0</v>
      </c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5" t="s">
        <v>1490</v>
      </c>
    </row>
    <row r="512" customFormat="false" ht="15" hidden="false" customHeight="false" outlineLevel="0" collapsed="false">
      <c r="A512" s="4" t="s">
        <v>309</v>
      </c>
      <c r="B512" s="4" t="s">
        <v>1347</v>
      </c>
      <c r="C512" s="4" t="s">
        <v>1493</v>
      </c>
      <c r="D512" s="5" t="s">
        <v>1488</v>
      </c>
      <c r="E512" s="32" t="n">
        <v>1</v>
      </c>
      <c r="F512" s="32" t="s">
        <v>1489</v>
      </c>
      <c r="G512" s="33" t="s">
        <v>1385</v>
      </c>
      <c r="H512" s="32"/>
      <c r="I512" s="32"/>
      <c r="J512" s="32"/>
      <c r="K512" s="32"/>
      <c r="L512" s="32" t="n">
        <v>0</v>
      </c>
      <c r="M512" s="32" t="n">
        <v>0</v>
      </c>
      <c r="N512" s="32" t="n">
        <v>0</v>
      </c>
      <c r="O512" s="32" t="n">
        <v>0</v>
      </c>
      <c r="P512" s="32" t="n">
        <v>0</v>
      </c>
      <c r="Q512" s="32" t="n">
        <v>0</v>
      </c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5" t="s">
        <v>1490</v>
      </c>
    </row>
    <row r="513" customFormat="false" ht="15" hidden="false" customHeight="false" outlineLevel="0" collapsed="false">
      <c r="A513" s="4" t="s">
        <v>309</v>
      </c>
      <c r="B513" s="4" t="s">
        <v>1350</v>
      </c>
      <c r="C513" s="4" t="s">
        <v>1494</v>
      </c>
      <c r="D513" s="5" t="s">
        <v>1492</v>
      </c>
      <c r="E513" s="32" t="n">
        <v>1</v>
      </c>
      <c r="F513" s="32" t="s">
        <v>73</v>
      </c>
      <c r="G513" s="33" t="s">
        <v>1385</v>
      </c>
      <c r="H513" s="32"/>
      <c r="I513" s="32"/>
      <c r="J513" s="32"/>
      <c r="K513" s="32"/>
      <c r="L513" s="32" t="n">
        <v>0</v>
      </c>
      <c r="M513" s="32" t="n">
        <v>0</v>
      </c>
      <c r="N513" s="32" t="n">
        <v>0</v>
      </c>
      <c r="O513" s="32" t="n">
        <v>0</v>
      </c>
      <c r="P513" s="32" t="n">
        <v>0</v>
      </c>
      <c r="Q513" s="32" t="n">
        <v>0</v>
      </c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5" t="s">
        <v>1490</v>
      </c>
    </row>
    <row r="514" customFormat="false" ht="15" hidden="false" customHeight="false" outlineLevel="0" collapsed="false">
      <c r="A514" s="4" t="s">
        <v>312</v>
      </c>
      <c r="B514" s="4" t="s">
        <v>1341</v>
      </c>
      <c r="C514" s="4" t="s">
        <v>1495</v>
      </c>
      <c r="D514" s="5" t="s">
        <v>1343</v>
      </c>
      <c r="E514" s="32" t="n">
        <v>1</v>
      </c>
      <c r="F514" s="32" t="s">
        <v>82</v>
      </c>
      <c r="G514" s="33" t="s">
        <v>1344</v>
      </c>
      <c r="H514" s="32" t="s">
        <v>1345</v>
      </c>
      <c r="I514" s="32" t="n">
        <v>1</v>
      </c>
      <c r="J514" s="32" t="n">
        <f aca="false">E514*I514</f>
        <v>1</v>
      </c>
      <c r="K514" s="32"/>
      <c r="L514" s="32" t="n">
        <v>1</v>
      </c>
      <c r="M514" s="32" t="n">
        <v>0</v>
      </c>
      <c r="N514" s="32" t="n">
        <v>0</v>
      </c>
      <c r="O514" s="32" t="n">
        <v>0</v>
      </c>
      <c r="P514" s="32" t="n">
        <v>2</v>
      </c>
      <c r="Q514" s="32" t="n">
        <v>0</v>
      </c>
      <c r="R514" s="32" t="n">
        <f aca="false">J514*(INDEX(P_VAL,MATCH("CTRL_AÑO",P_ID,0))*L514+(1-INDEX(PY_VAL,MATCH("P_USADOS",PY_ID,0),1))*M514+INDEX(PY_VAL,MATCH("P_USADOS",PY_ID,0),1)*N514+IF(P514&gt;0,O514/P514,0)+Q514)</f>
        <v>4</v>
      </c>
      <c r="S514" s="32" t="n">
        <f aca="false">J514*(INDEX(P_VAL,MATCH("CTRL_AÑO",P_ID,0))*L514+(1-INDEX(PY_VAL,MATCH("P_USADOS",PY_ID,0),2))*M514+INDEX(PY_VAL,MATCH("P_USADOS",PY_ID,0),2)*N514+IF(P514&gt;0,O514/P514,0)+Q514)</f>
        <v>4</v>
      </c>
      <c r="T514" s="32" t="n">
        <f aca="false">J514*(INDEX(P_VAL,MATCH("CTRL_AÑO",P_ID,0))*L514+(1-INDEX(PY_VAL,MATCH("P_USADOS",PY_ID,0),3))*M514+INDEX(PY_VAL,MATCH("P_USADOS",PY_ID,0),3)*N514+IF(P514&gt;0,O514/P514,0)+Q514)</f>
        <v>4</v>
      </c>
      <c r="U514" s="32" t="n">
        <f aca="false">J514*(INDEX(P_VAL,MATCH("CTRL_AÑO",P_ID,0))*L514+(1-INDEX(PY_VAL,MATCH("P_USADOS",PY_ID,0),4))*M514+INDEX(PY_VAL,MATCH("P_USADOS",PY_ID,0),4)*N514+IF(P514&gt;0,O514/P514,0)+Q514)</f>
        <v>4</v>
      </c>
      <c r="V514" s="32" t="n">
        <f aca="false">J514*(INDEX(P_VAL,MATCH("CTRL_AÑO",P_ID,0))*L514+(1-INDEX(PY_VAL,MATCH("P_USADOS",PY_ID,0),5))*M514+INDEX(PY_VAL,MATCH("P_USADOS",PY_ID,0),5)*N514+IF(P514&gt;0,O514/P514,0)+Q514)</f>
        <v>4</v>
      </c>
      <c r="W514" s="32" t="n">
        <f aca="false">J514*(INDEX(P_VAL,MATCH("CTRL_AÑO",P_ID,0))*L514+(1-INDEX(PY_VAL,MATCH("P_USADOS",PY_ID,0),6))*M514+INDEX(PY_VAL,MATCH("P_USADOS",PY_ID,0),6)*N514+IF(P514&gt;0,O514/P514,0)+Q514)</f>
        <v>4</v>
      </c>
      <c r="X514" s="32" t="n">
        <f aca="false">J514*(INDEX(P_VAL,MATCH("CTRL_AÑO",P_ID,0))*L514+(1-INDEX(PY_VAL,MATCH("P_USADOS",PY_ID,0),7))*M514+INDEX(PY_VAL,MATCH("P_USADOS",PY_ID,0),7)*N514+IF(P514&gt;0,O514/P514,0)+Q514)</f>
        <v>4</v>
      </c>
      <c r="Y514" s="32" t="n">
        <f aca="false">J514*(INDEX(P_VAL,MATCH("CTRL_AÑO",P_ID,0))*L514+(1-INDEX(PY_VAL,MATCH("P_USADOS",PY_ID,0),8))*M514+INDEX(PY_VAL,MATCH("P_USADOS",PY_ID,0),8)*N514+IF(P514&gt;0,O514/P514,0)+Q514)</f>
        <v>4</v>
      </c>
      <c r="Z514" s="32" t="n">
        <f aca="false">J514*(INDEX(P_VAL,MATCH("CTRL_AÑO",P_ID,0))*L514+(1-INDEX(PY_VAL,MATCH("P_USADOS",PY_ID,0),9))*M514+INDEX(PY_VAL,MATCH("P_USADOS",PY_ID,0),9)*N514+IF(P514&gt;0,O514/P514,0)+Q514)</f>
        <v>4</v>
      </c>
      <c r="AA514" s="32" t="n">
        <f aca="false">J514*(INDEX(P_VAL,MATCH("CTRL_AÑO",P_ID,0))*L514+(1-INDEX(PY_VAL,MATCH("P_USADOS",PY_ID,0),10))*M514+INDEX(PY_VAL,MATCH("P_USADOS",PY_ID,0),10)*N514+IF(P514&gt;0,O514/P514,0)+Q514)</f>
        <v>4</v>
      </c>
      <c r="AB514" s="5" t="s">
        <v>1346</v>
      </c>
    </row>
    <row r="515" customFormat="false" ht="15" hidden="false" customHeight="false" outlineLevel="0" collapsed="false">
      <c r="A515" s="4" t="s">
        <v>312</v>
      </c>
      <c r="B515" s="4" t="s">
        <v>1496</v>
      </c>
      <c r="C515" s="4" t="s">
        <v>1497</v>
      </c>
      <c r="D515" s="5" t="s">
        <v>1498</v>
      </c>
      <c r="E515" s="32" t="n">
        <v>1</v>
      </c>
      <c r="F515" s="32" t="s">
        <v>1489</v>
      </c>
      <c r="G515" s="33" t="s">
        <v>1344</v>
      </c>
      <c r="H515" s="32" t="s">
        <v>1499</v>
      </c>
      <c r="I515" s="32" t="n">
        <v>1</v>
      </c>
      <c r="J515" s="32" t="n">
        <f aca="false">E515*I515</f>
        <v>1</v>
      </c>
      <c r="K515" s="32"/>
      <c r="L515" s="32" t="n">
        <v>0</v>
      </c>
      <c r="M515" s="32" t="n">
        <v>0.3</v>
      </c>
      <c r="N515" s="32" t="n">
        <v>0.3</v>
      </c>
      <c r="O515" s="32" t="n">
        <v>0</v>
      </c>
      <c r="P515" s="32" t="n">
        <v>2</v>
      </c>
      <c r="Q515" s="32" t="n">
        <v>0</v>
      </c>
      <c r="R515" s="32" t="n">
        <f aca="false">J515*(INDEX(P_VAL,MATCH("CTRL_AÑO",P_ID,0))*L515+(1-INDEX(PY_VAL,MATCH("P_USADOS",PY_ID,0),1))*M515+INDEX(PY_VAL,MATCH("P_USADOS",PY_ID,0),1)*N515+IF(P515&gt;0,O515/P515,0)+Q515)</f>
        <v>0.3</v>
      </c>
      <c r="S515" s="32" t="n">
        <f aca="false">J515*(INDEX(P_VAL,MATCH("CTRL_AÑO",P_ID,0))*L515+(1-INDEX(PY_VAL,MATCH("P_USADOS",PY_ID,0),2))*M515+INDEX(PY_VAL,MATCH("P_USADOS",PY_ID,0),2)*N515+IF(P515&gt;0,O515/P515,0)+Q515)</f>
        <v>0.3</v>
      </c>
      <c r="T515" s="32" t="n">
        <f aca="false">J515*(INDEX(P_VAL,MATCH("CTRL_AÑO",P_ID,0))*L515+(1-INDEX(PY_VAL,MATCH("P_USADOS",PY_ID,0),3))*M515+INDEX(PY_VAL,MATCH("P_USADOS",PY_ID,0),3)*N515+IF(P515&gt;0,O515/P515,0)+Q515)</f>
        <v>0.3</v>
      </c>
      <c r="U515" s="32" t="n">
        <f aca="false">J515*(INDEX(P_VAL,MATCH("CTRL_AÑO",P_ID,0))*L515+(1-INDEX(PY_VAL,MATCH("P_USADOS",PY_ID,0),4))*M515+INDEX(PY_VAL,MATCH("P_USADOS",PY_ID,0),4)*N515+IF(P515&gt;0,O515/P515,0)+Q515)</f>
        <v>0.3</v>
      </c>
      <c r="V515" s="32" t="n">
        <f aca="false">J515*(INDEX(P_VAL,MATCH("CTRL_AÑO",P_ID,0))*L515+(1-INDEX(PY_VAL,MATCH("P_USADOS",PY_ID,0),5))*M515+INDEX(PY_VAL,MATCH("P_USADOS",PY_ID,0),5)*N515+IF(P515&gt;0,O515/P515,0)+Q515)</f>
        <v>0.3</v>
      </c>
      <c r="W515" s="32" t="n">
        <f aca="false">J515*(INDEX(P_VAL,MATCH("CTRL_AÑO",P_ID,0))*L515+(1-INDEX(PY_VAL,MATCH("P_USADOS",PY_ID,0),6))*M515+INDEX(PY_VAL,MATCH("P_USADOS",PY_ID,0),6)*N515+IF(P515&gt;0,O515/P515,0)+Q515)</f>
        <v>0.3</v>
      </c>
      <c r="X515" s="32" t="n">
        <f aca="false">J515*(INDEX(P_VAL,MATCH("CTRL_AÑO",P_ID,0))*L515+(1-INDEX(PY_VAL,MATCH("P_USADOS",PY_ID,0),7))*M515+INDEX(PY_VAL,MATCH("P_USADOS",PY_ID,0),7)*N515+IF(P515&gt;0,O515/P515,0)+Q515)</f>
        <v>0.3</v>
      </c>
      <c r="Y515" s="32" t="n">
        <f aca="false">J515*(INDEX(P_VAL,MATCH("CTRL_AÑO",P_ID,0))*L515+(1-INDEX(PY_VAL,MATCH("P_USADOS",PY_ID,0),8))*M515+INDEX(PY_VAL,MATCH("P_USADOS",PY_ID,0),8)*N515+IF(P515&gt;0,O515/P515,0)+Q515)</f>
        <v>0.3</v>
      </c>
      <c r="Z515" s="32" t="n">
        <f aca="false">J515*(INDEX(P_VAL,MATCH("CTRL_AÑO",P_ID,0))*L515+(1-INDEX(PY_VAL,MATCH("P_USADOS",PY_ID,0),9))*M515+INDEX(PY_VAL,MATCH("P_USADOS",PY_ID,0),9)*N515+IF(P515&gt;0,O515/P515,0)+Q515)</f>
        <v>0.3</v>
      </c>
      <c r="AA515" s="32" t="n">
        <f aca="false">J515*(INDEX(P_VAL,MATCH("CTRL_AÑO",P_ID,0))*L515+(1-INDEX(PY_VAL,MATCH("P_USADOS",PY_ID,0),10))*M515+INDEX(PY_VAL,MATCH("P_USADOS",PY_ID,0),10)*N515+IF(P515&gt;0,O515/P515,0)+Q515)</f>
        <v>0.3</v>
      </c>
      <c r="AB515" s="5" t="s">
        <v>1346</v>
      </c>
    </row>
    <row r="516" customFormat="false" ht="15" hidden="false" customHeight="false" outlineLevel="0" collapsed="false">
      <c r="A516" s="4" t="s">
        <v>312</v>
      </c>
      <c r="B516" s="4" t="s">
        <v>1352</v>
      </c>
      <c r="C516" s="4" t="s">
        <v>1500</v>
      </c>
      <c r="D516" s="5" t="s">
        <v>1354</v>
      </c>
      <c r="E516" s="32" t="n">
        <v>1</v>
      </c>
      <c r="F516" s="32" t="s">
        <v>82</v>
      </c>
      <c r="G516" s="33" t="s">
        <v>1344</v>
      </c>
      <c r="H516" s="32" t="s">
        <v>1355</v>
      </c>
      <c r="I516" s="32" t="n">
        <v>1</v>
      </c>
      <c r="J516" s="32" t="n">
        <f aca="false">E516*I516</f>
        <v>1</v>
      </c>
      <c r="K516" s="32"/>
      <c r="L516" s="32" t="n">
        <v>0</v>
      </c>
      <c r="M516" s="32" t="n">
        <v>1</v>
      </c>
      <c r="N516" s="32" t="n">
        <v>1</v>
      </c>
      <c r="O516" s="32" t="n">
        <v>0</v>
      </c>
      <c r="P516" s="32" t="n">
        <v>2</v>
      </c>
      <c r="Q516" s="32" t="n">
        <v>0</v>
      </c>
      <c r="R516" s="32" t="n">
        <f aca="false">J516*(INDEX(P_VAL,MATCH("CTRL_AÑO",P_ID,0))*L516+(1-INDEX(PY_VAL,MATCH("P_USADOS",PY_ID,0),1))*M516+INDEX(PY_VAL,MATCH("P_USADOS",PY_ID,0),1)*N516+IF(P516&gt;0,O516/P516,0)+Q516)</f>
        <v>1</v>
      </c>
      <c r="S516" s="32" t="n">
        <f aca="false">J516*(INDEX(P_VAL,MATCH("CTRL_AÑO",P_ID,0))*L516+(1-INDEX(PY_VAL,MATCH("P_USADOS",PY_ID,0),2))*M516+INDEX(PY_VAL,MATCH("P_USADOS",PY_ID,0),2)*N516+IF(P516&gt;0,O516/P516,0)+Q516)</f>
        <v>1</v>
      </c>
      <c r="T516" s="32" t="n">
        <f aca="false">J516*(INDEX(P_VAL,MATCH("CTRL_AÑO",P_ID,0))*L516+(1-INDEX(PY_VAL,MATCH("P_USADOS",PY_ID,0),3))*M516+INDEX(PY_VAL,MATCH("P_USADOS",PY_ID,0),3)*N516+IF(P516&gt;0,O516/P516,0)+Q516)</f>
        <v>1</v>
      </c>
      <c r="U516" s="32" t="n">
        <f aca="false">J516*(INDEX(P_VAL,MATCH("CTRL_AÑO",P_ID,0))*L516+(1-INDEX(PY_VAL,MATCH("P_USADOS",PY_ID,0),4))*M516+INDEX(PY_VAL,MATCH("P_USADOS",PY_ID,0),4)*N516+IF(P516&gt;0,O516/P516,0)+Q516)</f>
        <v>1</v>
      </c>
      <c r="V516" s="32" t="n">
        <f aca="false">J516*(INDEX(P_VAL,MATCH("CTRL_AÑO",P_ID,0))*L516+(1-INDEX(PY_VAL,MATCH("P_USADOS",PY_ID,0),5))*M516+INDEX(PY_VAL,MATCH("P_USADOS",PY_ID,0),5)*N516+IF(P516&gt;0,O516/P516,0)+Q516)</f>
        <v>1</v>
      </c>
      <c r="W516" s="32" t="n">
        <f aca="false">J516*(INDEX(P_VAL,MATCH("CTRL_AÑO",P_ID,0))*L516+(1-INDEX(PY_VAL,MATCH("P_USADOS",PY_ID,0),6))*M516+INDEX(PY_VAL,MATCH("P_USADOS",PY_ID,0),6)*N516+IF(P516&gt;0,O516/P516,0)+Q516)</f>
        <v>1</v>
      </c>
      <c r="X516" s="32" t="n">
        <f aca="false">J516*(INDEX(P_VAL,MATCH("CTRL_AÑO",P_ID,0))*L516+(1-INDEX(PY_VAL,MATCH("P_USADOS",PY_ID,0),7))*M516+INDEX(PY_VAL,MATCH("P_USADOS",PY_ID,0),7)*N516+IF(P516&gt;0,O516/P516,0)+Q516)</f>
        <v>1</v>
      </c>
      <c r="Y516" s="32" t="n">
        <f aca="false">J516*(INDEX(P_VAL,MATCH("CTRL_AÑO",P_ID,0))*L516+(1-INDEX(PY_VAL,MATCH("P_USADOS",PY_ID,0),8))*M516+INDEX(PY_VAL,MATCH("P_USADOS",PY_ID,0),8)*N516+IF(P516&gt;0,O516/P516,0)+Q516)</f>
        <v>1</v>
      </c>
      <c r="Z516" s="32" t="n">
        <f aca="false">J516*(INDEX(P_VAL,MATCH("CTRL_AÑO",P_ID,0))*L516+(1-INDEX(PY_VAL,MATCH("P_USADOS",PY_ID,0),9))*M516+INDEX(PY_VAL,MATCH("P_USADOS",PY_ID,0),9)*N516+IF(P516&gt;0,O516/P516,0)+Q516)</f>
        <v>1</v>
      </c>
      <c r="AA516" s="32" t="n">
        <f aca="false">J516*(INDEX(P_VAL,MATCH("CTRL_AÑO",P_ID,0))*L516+(1-INDEX(PY_VAL,MATCH("P_USADOS",PY_ID,0),10))*M516+INDEX(PY_VAL,MATCH("P_USADOS",PY_ID,0),10)*N516+IF(P516&gt;0,O516/P516,0)+Q516)</f>
        <v>1</v>
      </c>
      <c r="AB516" s="5" t="s">
        <v>1346</v>
      </c>
    </row>
    <row r="517" customFormat="false" ht="15" hidden="false" customHeight="false" outlineLevel="0" collapsed="false">
      <c r="A517" s="4" t="s">
        <v>312</v>
      </c>
      <c r="B517" s="4" t="s">
        <v>1356</v>
      </c>
      <c r="C517" s="4" t="s">
        <v>1501</v>
      </c>
      <c r="D517" s="5" t="s">
        <v>1358</v>
      </c>
      <c r="E517" s="32" t="n">
        <v>1</v>
      </c>
      <c r="F517" s="32" t="s">
        <v>82</v>
      </c>
      <c r="G517" s="33" t="s">
        <v>1344</v>
      </c>
      <c r="H517" s="32" t="s">
        <v>1359</v>
      </c>
      <c r="I517" s="32" t="n">
        <v>1</v>
      </c>
      <c r="J517" s="32" t="n">
        <f aca="false">E517*I517</f>
        <v>1</v>
      </c>
      <c r="K517" s="32"/>
      <c r="L517" s="32" t="n">
        <v>0</v>
      </c>
      <c r="M517" s="32" t="n">
        <v>1</v>
      </c>
      <c r="N517" s="32" t="n">
        <v>1</v>
      </c>
      <c r="O517" s="32" t="n">
        <v>0</v>
      </c>
      <c r="P517" s="32" t="n">
        <v>2</v>
      </c>
      <c r="Q517" s="32" t="n">
        <v>0</v>
      </c>
      <c r="R517" s="32" t="n">
        <f aca="false">J517*(INDEX(P_VAL,MATCH("CTRL_AÑO",P_ID,0))*L517+(1-INDEX(PY_VAL,MATCH("P_USADOS",PY_ID,0),1))*M517+INDEX(PY_VAL,MATCH("P_USADOS",PY_ID,0),1)*N517+IF(P517&gt;0,O517/P517,0)+Q517)</f>
        <v>1</v>
      </c>
      <c r="S517" s="32" t="n">
        <f aca="false">J517*(INDEX(P_VAL,MATCH("CTRL_AÑO",P_ID,0))*L517+(1-INDEX(PY_VAL,MATCH("P_USADOS",PY_ID,0),2))*M517+INDEX(PY_VAL,MATCH("P_USADOS",PY_ID,0),2)*N517+IF(P517&gt;0,O517/P517,0)+Q517)</f>
        <v>1</v>
      </c>
      <c r="T517" s="32" t="n">
        <f aca="false">J517*(INDEX(P_VAL,MATCH("CTRL_AÑO",P_ID,0))*L517+(1-INDEX(PY_VAL,MATCH("P_USADOS",PY_ID,0),3))*M517+INDEX(PY_VAL,MATCH("P_USADOS",PY_ID,0),3)*N517+IF(P517&gt;0,O517/P517,0)+Q517)</f>
        <v>1</v>
      </c>
      <c r="U517" s="32" t="n">
        <f aca="false">J517*(INDEX(P_VAL,MATCH("CTRL_AÑO",P_ID,0))*L517+(1-INDEX(PY_VAL,MATCH("P_USADOS",PY_ID,0),4))*M517+INDEX(PY_VAL,MATCH("P_USADOS",PY_ID,0),4)*N517+IF(P517&gt;0,O517/P517,0)+Q517)</f>
        <v>1</v>
      </c>
      <c r="V517" s="32" t="n">
        <f aca="false">J517*(INDEX(P_VAL,MATCH("CTRL_AÑO",P_ID,0))*L517+(1-INDEX(PY_VAL,MATCH("P_USADOS",PY_ID,0),5))*M517+INDEX(PY_VAL,MATCH("P_USADOS",PY_ID,0),5)*N517+IF(P517&gt;0,O517/P517,0)+Q517)</f>
        <v>1</v>
      </c>
      <c r="W517" s="32" t="n">
        <f aca="false">J517*(INDEX(P_VAL,MATCH("CTRL_AÑO",P_ID,0))*L517+(1-INDEX(PY_VAL,MATCH("P_USADOS",PY_ID,0),6))*M517+INDEX(PY_VAL,MATCH("P_USADOS",PY_ID,0),6)*N517+IF(P517&gt;0,O517/P517,0)+Q517)</f>
        <v>1</v>
      </c>
      <c r="X517" s="32" t="n">
        <f aca="false">J517*(INDEX(P_VAL,MATCH("CTRL_AÑO",P_ID,0))*L517+(1-INDEX(PY_VAL,MATCH("P_USADOS",PY_ID,0),7))*M517+INDEX(PY_VAL,MATCH("P_USADOS",PY_ID,0),7)*N517+IF(P517&gt;0,O517/P517,0)+Q517)</f>
        <v>1</v>
      </c>
      <c r="Y517" s="32" t="n">
        <f aca="false">J517*(INDEX(P_VAL,MATCH("CTRL_AÑO",P_ID,0))*L517+(1-INDEX(PY_VAL,MATCH("P_USADOS",PY_ID,0),8))*M517+INDEX(PY_VAL,MATCH("P_USADOS",PY_ID,0),8)*N517+IF(P517&gt;0,O517/P517,0)+Q517)</f>
        <v>1</v>
      </c>
      <c r="Z517" s="32" t="n">
        <f aca="false">J517*(INDEX(P_VAL,MATCH("CTRL_AÑO",P_ID,0))*L517+(1-INDEX(PY_VAL,MATCH("P_USADOS",PY_ID,0),9))*M517+INDEX(PY_VAL,MATCH("P_USADOS",PY_ID,0),9)*N517+IF(P517&gt;0,O517/P517,0)+Q517)</f>
        <v>1</v>
      </c>
      <c r="AA517" s="32" t="n">
        <f aca="false">J517*(INDEX(P_VAL,MATCH("CTRL_AÑO",P_ID,0))*L517+(1-INDEX(PY_VAL,MATCH("P_USADOS",PY_ID,0),10))*M517+INDEX(PY_VAL,MATCH("P_USADOS",PY_ID,0),10)*N517+IF(P517&gt;0,O517/P517,0)+Q517)</f>
        <v>1</v>
      </c>
      <c r="AB517" s="5" t="s">
        <v>1346</v>
      </c>
    </row>
    <row r="518" customFormat="false" ht="15" hidden="false" customHeight="false" outlineLevel="0" collapsed="false">
      <c r="A518" s="4" t="s">
        <v>312</v>
      </c>
      <c r="B518" s="4" t="s">
        <v>1360</v>
      </c>
      <c r="C518" s="4" t="s">
        <v>1502</v>
      </c>
      <c r="D518" s="5" t="s">
        <v>1362</v>
      </c>
      <c r="E518" s="32" t="n">
        <v>1</v>
      </c>
      <c r="F518" s="32" t="s">
        <v>82</v>
      </c>
      <c r="G518" s="33" t="s">
        <v>1344</v>
      </c>
      <c r="H518" s="32" t="s">
        <v>1363</v>
      </c>
      <c r="I518" s="32" t="n">
        <v>1</v>
      </c>
      <c r="J518" s="32" t="n">
        <f aca="false">E518*I518</f>
        <v>1</v>
      </c>
      <c r="K518" s="32"/>
      <c r="L518" s="32" t="n">
        <v>0</v>
      </c>
      <c r="M518" s="32" t="n">
        <v>1</v>
      </c>
      <c r="N518" s="32" t="n">
        <v>1</v>
      </c>
      <c r="O518" s="32" t="n">
        <v>0</v>
      </c>
      <c r="P518" s="32" t="n">
        <v>2</v>
      </c>
      <c r="Q518" s="32" t="n">
        <v>0</v>
      </c>
      <c r="R518" s="32" t="n">
        <f aca="false">J518*(INDEX(P_VAL,MATCH("CTRL_AÑO",P_ID,0))*L518+(1-INDEX(PY_VAL,MATCH("P_USADOS",PY_ID,0),1))*M518+INDEX(PY_VAL,MATCH("P_USADOS",PY_ID,0),1)*N518+IF(P518&gt;0,O518/P518,0)+Q518)</f>
        <v>1</v>
      </c>
      <c r="S518" s="32" t="n">
        <f aca="false">J518*(INDEX(P_VAL,MATCH("CTRL_AÑO",P_ID,0))*L518+(1-INDEX(PY_VAL,MATCH("P_USADOS",PY_ID,0),2))*M518+INDEX(PY_VAL,MATCH("P_USADOS",PY_ID,0),2)*N518+IF(P518&gt;0,O518/P518,0)+Q518)</f>
        <v>1</v>
      </c>
      <c r="T518" s="32" t="n">
        <f aca="false">J518*(INDEX(P_VAL,MATCH("CTRL_AÑO",P_ID,0))*L518+(1-INDEX(PY_VAL,MATCH("P_USADOS",PY_ID,0),3))*M518+INDEX(PY_VAL,MATCH("P_USADOS",PY_ID,0),3)*N518+IF(P518&gt;0,O518/P518,0)+Q518)</f>
        <v>1</v>
      </c>
      <c r="U518" s="32" t="n">
        <f aca="false">J518*(INDEX(P_VAL,MATCH("CTRL_AÑO",P_ID,0))*L518+(1-INDEX(PY_VAL,MATCH("P_USADOS",PY_ID,0),4))*M518+INDEX(PY_VAL,MATCH("P_USADOS",PY_ID,0),4)*N518+IF(P518&gt;0,O518/P518,0)+Q518)</f>
        <v>1</v>
      </c>
      <c r="V518" s="32" t="n">
        <f aca="false">J518*(INDEX(P_VAL,MATCH("CTRL_AÑO",P_ID,0))*L518+(1-INDEX(PY_VAL,MATCH("P_USADOS",PY_ID,0),5))*M518+INDEX(PY_VAL,MATCH("P_USADOS",PY_ID,0),5)*N518+IF(P518&gt;0,O518/P518,0)+Q518)</f>
        <v>1</v>
      </c>
      <c r="W518" s="32" t="n">
        <f aca="false">J518*(INDEX(P_VAL,MATCH("CTRL_AÑO",P_ID,0))*L518+(1-INDEX(PY_VAL,MATCH("P_USADOS",PY_ID,0),6))*M518+INDEX(PY_VAL,MATCH("P_USADOS",PY_ID,0),6)*N518+IF(P518&gt;0,O518/P518,0)+Q518)</f>
        <v>1</v>
      </c>
      <c r="X518" s="32" t="n">
        <f aca="false">J518*(INDEX(P_VAL,MATCH("CTRL_AÑO",P_ID,0))*L518+(1-INDEX(PY_VAL,MATCH("P_USADOS",PY_ID,0),7))*M518+INDEX(PY_VAL,MATCH("P_USADOS",PY_ID,0),7)*N518+IF(P518&gt;0,O518/P518,0)+Q518)</f>
        <v>1</v>
      </c>
      <c r="Y518" s="32" t="n">
        <f aca="false">J518*(INDEX(P_VAL,MATCH("CTRL_AÑO",P_ID,0))*L518+(1-INDEX(PY_VAL,MATCH("P_USADOS",PY_ID,0),8))*M518+INDEX(PY_VAL,MATCH("P_USADOS",PY_ID,0),8)*N518+IF(P518&gt;0,O518/P518,0)+Q518)</f>
        <v>1</v>
      </c>
      <c r="Z518" s="32" t="n">
        <f aca="false">J518*(INDEX(P_VAL,MATCH("CTRL_AÑO",P_ID,0))*L518+(1-INDEX(PY_VAL,MATCH("P_USADOS",PY_ID,0),9))*M518+INDEX(PY_VAL,MATCH("P_USADOS",PY_ID,0),9)*N518+IF(P518&gt;0,O518/P518,0)+Q518)</f>
        <v>1</v>
      </c>
      <c r="AA518" s="32" t="n">
        <f aca="false">J518*(INDEX(P_VAL,MATCH("CTRL_AÑO",P_ID,0))*L518+(1-INDEX(PY_VAL,MATCH("P_USADOS",PY_ID,0),10))*M518+INDEX(PY_VAL,MATCH("P_USADOS",PY_ID,0),10)*N518+IF(P518&gt;0,O518/P518,0)+Q518)</f>
        <v>1</v>
      </c>
      <c r="AB518" s="5" t="s">
        <v>1346</v>
      </c>
    </row>
    <row r="519" customFormat="false" ht="15" hidden="false" customHeight="false" outlineLevel="0" collapsed="false">
      <c r="A519" s="4" t="s">
        <v>312</v>
      </c>
      <c r="B519" s="4" t="s">
        <v>1364</v>
      </c>
      <c r="C519" s="4" t="s">
        <v>1503</v>
      </c>
      <c r="D519" s="5" t="s">
        <v>1366</v>
      </c>
      <c r="E519" s="32" t="n">
        <v>1</v>
      </c>
      <c r="F519" s="32" t="s">
        <v>82</v>
      </c>
      <c r="G519" s="33" t="s">
        <v>1344</v>
      </c>
      <c r="H519" s="32" t="s">
        <v>1367</v>
      </c>
      <c r="I519" s="32" t="n">
        <v>1</v>
      </c>
      <c r="J519" s="32" t="n">
        <f aca="false">E519*I519</f>
        <v>1</v>
      </c>
      <c r="K519" s="32" t="s">
        <v>582</v>
      </c>
      <c r="L519" s="32" t="n">
        <v>0</v>
      </c>
      <c r="M519" s="32" t="n">
        <v>1</v>
      </c>
      <c r="N519" s="32" t="n">
        <v>1</v>
      </c>
      <c r="O519" s="32" t="n">
        <v>0</v>
      </c>
      <c r="P519" s="32" t="n">
        <v>2</v>
      </c>
      <c r="Q519" s="32" t="n">
        <v>0</v>
      </c>
      <c r="R519" s="32" t="n">
        <f aca="false">J519*(INDEX(P_VAL,MATCH("CTRL_AÑO",P_ID,0))*L519+(1-INDEX(PY_VAL,MATCH("P_USADOS",PY_ID,0),1))*M519+INDEX(PY_VAL,MATCH("P_USADOS",PY_ID,0),1)*N519+IF(P519&gt;0,O519/P519,0)+Q519)</f>
        <v>1</v>
      </c>
      <c r="S519" s="32" t="n">
        <f aca="false">J519*(INDEX(P_VAL,MATCH("CTRL_AÑO",P_ID,0))*L519+(1-INDEX(PY_VAL,MATCH("P_USADOS",PY_ID,0),2))*M519+INDEX(PY_VAL,MATCH("P_USADOS",PY_ID,0),2)*N519+IF(P519&gt;0,O519/P519,0)+Q519)</f>
        <v>1</v>
      </c>
      <c r="T519" s="32" t="n">
        <f aca="false">J519*(INDEX(P_VAL,MATCH("CTRL_AÑO",P_ID,0))*L519+(1-INDEX(PY_VAL,MATCH("P_USADOS",PY_ID,0),3))*M519+INDEX(PY_VAL,MATCH("P_USADOS",PY_ID,0),3)*N519+IF(P519&gt;0,O519/P519,0)+Q519)</f>
        <v>1</v>
      </c>
      <c r="U519" s="32" t="n">
        <f aca="false">J519*(INDEX(P_VAL,MATCH("CTRL_AÑO",P_ID,0))*L519+(1-INDEX(PY_VAL,MATCH("P_USADOS",PY_ID,0),4))*M519+INDEX(PY_VAL,MATCH("P_USADOS",PY_ID,0),4)*N519+IF(P519&gt;0,O519/P519,0)+Q519)</f>
        <v>1</v>
      </c>
      <c r="V519" s="32" t="n">
        <f aca="false">J519*(INDEX(P_VAL,MATCH("CTRL_AÑO",P_ID,0))*L519+(1-INDEX(PY_VAL,MATCH("P_USADOS",PY_ID,0),5))*M519+INDEX(PY_VAL,MATCH("P_USADOS",PY_ID,0),5)*N519+IF(P519&gt;0,O519/P519,0)+Q519)</f>
        <v>1</v>
      </c>
      <c r="W519" s="32" t="n">
        <f aca="false">J519*(INDEX(P_VAL,MATCH("CTRL_AÑO",P_ID,0))*L519+(1-INDEX(PY_VAL,MATCH("P_USADOS",PY_ID,0),6))*M519+INDEX(PY_VAL,MATCH("P_USADOS",PY_ID,0),6)*N519+IF(P519&gt;0,O519/P519,0)+Q519)</f>
        <v>1</v>
      </c>
      <c r="X519" s="32" t="n">
        <f aca="false">J519*(INDEX(P_VAL,MATCH("CTRL_AÑO",P_ID,0))*L519+(1-INDEX(PY_VAL,MATCH("P_USADOS",PY_ID,0),7))*M519+INDEX(PY_VAL,MATCH("P_USADOS",PY_ID,0),7)*N519+IF(P519&gt;0,O519/P519,0)+Q519)</f>
        <v>1</v>
      </c>
      <c r="Y519" s="32" t="n">
        <f aca="false">J519*(INDEX(P_VAL,MATCH("CTRL_AÑO",P_ID,0))*L519+(1-INDEX(PY_VAL,MATCH("P_USADOS",PY_ID,0),8))*M519+INDEX(PY_VAL,MATCH("P_USADOS",PY_ID,0),8)*N519+IF(P519&gt;0,O519/P519,0)+Q519)</f>
        <v>1</v>
      </c>
      <c r="Z519" s="32" t="n">
        <f aca="false">J519*(INDEX(P_VAL,MATCH("CTRL_AÑO",P_ID,0))*L519+(1-INDEX(PY_VAL,MATCH("P_USADOS",PY_ID,0),9))*M519+INDEX(PY_VAL,MATCH("P_USADOS",PY_ID,0),9)*N519+IF(P519&gt;0,O519/P519,0)+Q519)</f>
        <v>1</v>
      </c>
      <c r="AA519" s="32" t="n">
        <f aca="false">J519*(INDEX(P_VAL,MATCH("CTRL_AÑO",P_ID,0))*L519+(1-INDEX(PY_VAL,MATCH("P_USADOS",PY_ID,0),10))*M519+INDEX(PY_VAL,MATCH("P_USADOS",PY_ID,0),10)*N519+IF(P519&gt;0,O519/P519,0)+Q519)</f>
        <v>1</v>
      </c>
      <c r="AB519" s="5" t="s">
        <v>1346</v>
      </c>
    </row>
    <row r="520" customFormat="false" ht="15" hidden="false" customHeight="false" outlineLevel="0" collapsed="false">
      <c r="A520" s="4" t="s">
        <v>312</v>
      </c>
      <c r="B520" s="4" t="s">
        <v>1368</v>
      </c>
      <c r="C520" s="4" t="s">
        <v>1504</v>
      </c>
      <c r="D520" s="5" t="s">
        <v>1370</v>
      </c>
      <c r="E520" s="32" t="n">
        <v>1</v>
      </c>
      <c r="F520" s="32" t="s">
        <v>82</v>
      </c>
      <c r="G520" s="33" t="s">
        <v>1344</v>
      </c>
      <c r="H520" s="32" t="s">
        <v>1371</v>
      </c>
      <c r="I520" s="32" t="n">
        <v>1</v>
      </c>
      <c r="J520" s="32" t="n">
        <f aca="false">E520*I520</f>
        <v>1</v>
      </c>
      <c r="K520" s="32" t="s">
        <v>582</v>
      </c>
      <c r="L520" s="32" t="n">
        <v>0</v>
      </c>
      <c r="M520" s="32" t="n">
        <v>1</v>
      </c>
      <c r="N520" s="32" t="n">
        <v>1</v>
      </c>
      <c r="O520" s="32" t="n">
        <v>0</v>
      </c>
      <c r="P520" s="32" t="n">
        <v>2</v>
      </c>
      <c r="Q520" s="32" t="n">
        <v>0</v>
      </c>
      <c r="R520" s="32" t="n">
        <f aca="false">J520*(INDEX(P_VAL,MATCH("CTRL_AÑO",P_ID,0))*L520+(1-INDEX(PY_VAL,MATCH("P_USADOS",PY_ID,0),1))*M520+INDEX(PY_VAL,MATCH("P_USADOS",PY_ID,0),1)*N520+IF(P520&gt;0,O520/P520,0)+Q520)</f>
        <v>1</v>
      </c>
      <c r="S520" s="32" t="n">
        <f aca="false">J520*(INDEX(P_VAL,MATCH("CTRL_AÑO",P_ID,0))*L520+(1-INDEX(PY_VAL,MATCH("P_USADOS",PY_ID,0),2))*M520+INDEX(PY_VAL,MATCH("P_USADOS",PY_ID,0),2)*N520+IF(P520&gt;0,O520/P520,0)+Q520)</f>
        <v>1</v>
      </c>
      <c r="T520" s="32" t="n">
        <f aca="false">J520*(INDEX(P_VAL,MATCH("CTRL_AÑO",P_ID,0))*L520+(1-INDEX(PY_VAL,MATCH("P_USADOS",PY_ID,0),3))*M520+INDEX(PY_VAL,MATCH("P_USADOS",PY_ID,0),3)*N520+IF(P520&gt;0,O520/P520,0)+Q520)</f>
        <v>1</v>
      </c>
      <c r="U520" s="32" t="n">
        <f aca="false">J520*(INDEX(P_VAL,MATCH("CTRL_AÑO",P_ID,0))*L520+(1-INDEX(PY_VAL,MATCH("P_USADOS",PY_ID,0),4))*M520+INDEX(PY_VAL,MATCH("P_USADOS",PY_ID,0),4)*N520+IF(P520&gt;0,O520/P520,0)+Q520)</f>
        <v>1</v>
      </c>
      <c r="V520" s="32" t="n">
        <f aca="false">J520*(INDEX(P_VAL,MATCH("CTRL_AÑO",P_ID,0))*L520+(1-INDEX(PY_VAL,MATCH("P_USADOS",PY_ID,0),5))*M520+INDEX(PY_VAL,MATCH("P_USADOS",PY_ID,0),5)*N520+IF(P520&gt;0,O520/P520,0)+Q520)</f>
        <v>1</v>
      </c>
      <c r="W520" s="32" t="n">
        <f aca="false">J520*(INDEX(P_VAL,MATCH("CTRL_AÑO",P_ID,0))*L520+(1-INDEX(PY_VAL,MATCH("P_USADOS",PY_ID,0),6))*M520+INDEX(PY_VAL,MATCH("P_USADOS",PY_ID,0),6)*N520+IF(P520&gt;0,O520/P520,0)+Q520)</f>
        <v>1</v>
      </c>
      <c r="X520" s="32" t="n">
        <f aca="false">J520*(INDEX(P_VAL,MATCH("CTRL_AÑO",P_ID,0))*L520+(1-INDEX(PY_VAL,MATCH("P_USADOS",PY_ID,0),7))*M520+INDEX(PY_VAL,MATCH("P_USADOS",PY_ID,0),7)*N520+IF(P520&gt;0,O520/P520,0)+Q520)</f>
        <v>1</v>
      </c>
      <c r="Y520" s="32" t="n">
        <f aca="false">J520*(INDEX(P_VAL,MATCH("CTRL_AÑO",P_ID,0))*L520+(1-INDEX(PY_VAL,MATCH("P_USADOS",PY_ID,0),8))*M520+INDEX(PY_VAL,MATCH("P_USADOS",PY_ID,0),8)*N520+IF(P520&gt;0,O520/P520,0)+Q520)</f>
        <v>1</v>
      </c>
      <c r="Z520" s="32" t="n">
        <f aca="false">J520*(INDEX(P_VAL,MATCH("CTRL_AÑO",P_ID,0))*L520+(1-INDEX(PY_VAL,MATCH("P_USADOS",PY_ID,0),9))*M520+INDEX(PY_VAL,MATCH("P_USADOS",PY_ID,0),9)*N520+IF(P520&gt;0,O520/P520,0)+Q520)</f>
        <v>1</v>
      </c>
      <c r="AA520" s="32" t="n">
        <f aca="false">J520*(INDEX(P_VAL,MATCH("CTRL_AÑO",P_ID,0))*L520+(1-INDEX(PY_VAL,MATCH("P_USADOS",PY_ID,0),10))*M520+INDEX(PY_VAL,MATCH("P_USADOS",PY_ID,0),10)*N520+IF(P520&gt;0,O520/P520,0)+Q520)</f>
        <v>1</v>
      </c>
      <c r="AB520" s="5" t="s">
        <v>1346</v>
      </c>
    </row>
    <row r="521" customFormat="false" ht="15" hidden="false" customHeight="false" outlineLevel="0" collapsed="false">
      <c r="A521" s="4" t="s">
        <v>312</v>
      </c>
      <c r="B521" s="4" t="s">
        <v>1372</v>
      </c>
      <c r="C521" s="4" t="s">
        <v>1505</v>
      </c>
      <c r="D521" s="5" t="s">
        <v>1374</v>
      </c>
      <c r="E521" s="32" t="n">
        <v>1</v>
      </c>
      <c r="F521" s="32" t="s">
        <v>82</v>
      </c>
      <c r="G521" s="33" t="s">
        <v>1344</v>
      </c>
      <c r="H521" s="32" t="s">
        <v>688</v>
      </c>
      <c r="I521" s="32" t="n">
        <v>1</v>
      </c>
      <c r="J521" s="32" t="n">
        <f aca="false">E521*I521</f>
        <v>1</v>
      </c>
      <c r="K521" s="32" t="s">
        <v>689</v>
      </c>
      <c r="L521" s="32" t="n">
        <v>0</v>
      </c>
      <c r="M521" s="32" t="n">
        <v>1</v>
      </c>
      <c r="N521" s="32" t="n">
        <v>1</v>
      </c>
      <c r="O521" s="32" t="n">
        <v>0</v>
      </c>
      <c r="P521" s="32" t="n">
        <v>2</v>
      </c>
      <c r="Q521" s="32" t="n">
        <v>0</v>
      </c>
      <c r="R521" s="32" t="n">
        <f aca="false">J521*(INDEX(P_VAL,MATCH("CTRL_AÑO",P_ID,0))*L521+(1-INDEX(PY_VAL,MATCH("P_USADOS",PY_ID,0),1))*M521+INDEX(PY_VAL,MATCH("P_USADOS",PY_ID,0),1)*N521+IF(P521&gt;0,O521/P521,0)+Q521)</f>
        <v>1</v>
      </c>
      <c r="S521" s="32" t="n">
        <f aca="false">J521*(INDEX(P_VAL,MATCH("CTRL_AÑO",P_ID,0))*L521+(1-INDEX(PY_VAL,MATCH("P_USADOS",PY_ID,0),2))*M521+INDEX(PY_VAL,MATCH("P_USADOS",PY_ID,0),2)*N521+IF(P521&gt;0,O521/P521,0)+Q521)</f>
        <v>1</v>
      </c>
      <c r="T521" s="32" t="n">
        <f aca="false">J521*(INDEX(P_VAL,MATCH("CTRL_AÑO",P_ID,0))*L521+(1-INDEX(PY_VAL,MATCH("P_USADOS",PY_ID,0),3))*M521+INDEX(PY_VAL,MATCH("P_USADOS",PY_ID,0),3)*N521+IF(P521&gt;0,O521/P521,0)+Q521)</f>
        <v>1</v>
      </c>
      <c r="U521" s="32" t="n">
        <f aca="false">J521*(INDEX(P_VAL,MATCH("CTRL_AÑO",P_ID,0))*L521+(1-INDEX(PY_VAL,MATCH("P_USADOS",PY_ID,0),4))*M521+INDEX(PY_VAL,MATCH("P_USADOS",PY_ID,0),4)*N521+IF(P521&gt;0,O521/P521,0)+Q521)</f>
        <v>1</v>
      </c>
      <c r="V521" s="32" t="n">
        <f aca="false">J521*(INDEX(P_VAL,MATCH("CTRL_AÑO",P_ID,0))*L521+(1-INDEX(PY_VAL,MATCH("P_USADOS",PY_ID,0),5))*M521+INDEX(PY_VAL,MATCH("P_USADOS",PY_ID,0),5)*N521+IF(P521&gt;0,O521/P521,0)+Q521)</f>
        <v>1</v>
      </c>
      <c r="W521" s="32" t="n">
        <f aca="false">J521*(INDEX(P_VAL,MATCH("CTRL_AÑO",P_ID,0))*L521+(1-INDEX(PY_VAL,MATCH("P_USADOS",PY_ID,0),6))*M521+INDEX(PY_VAL,MATCH("P_USADOS",PY_ID,0),6)*N521+IF(P521&gt;0,O521/P521,0)+Q521)</f>
        <v>1</v>
      </c>
      <c r="X521" s="32" t="n">
        <f aca="false">J521*(INDEX(P_VAL,MATCH("CTRL_AÑO",P_ID,0))*L521+(1-INDEX(PY_VAL,MATCH("P_USADOS",PY_ID,0),7))*M521+INDEX(PY_VAL,MATCH("P_USADOS",PY_ID,0),7)*N521+IF(P521&gt;0,O521/P521,0)+Q521)</f>
        <v>1</v>
      </c>
      <c r="Y521" s="32" t="n">
        <f aca="false">J521*(INDEX(P_VAL,MATCH("CTRL_AÑO",P_ID,0))*L521+(1-INDEX(PY_VAL,MATCH("P_USADOS",PY_ID,0),8))*M521+INDEX(PY_VAL,MATCH("P_USADOS",PY_ID,0),8)*N521+IF(P521&gt;0,O521/P521,0)+Q521)</f>
        <v>1</v>
      </c>
      <c r="Z521" s="32" t="n">
        <f aca="false">J521*(INDEX(P_VAL,MATCH("CTRL_AÑO",P_ID,0))*L521+(1-INDEX(PY_VAL,MATCH("P_USADOS",PY_ID,0),9))*M521+INDEX(PY_VAL,MATCH("P_USADOS",PY_ID,0),9)*N521+IF(P521&gt;0,O521/P521,0)+Q521)</f>
        <v>1</v>
      </c>
      <c r="AA521" s="32" t="n">
        <f aca="false">J521*(INDEX(P_VAL,MATCH("CTRL_AÑO",P_ID,0))*L521+(1-INDEX(PY_VAL,MATCH("P_USADOS",PY_ID,0),10))*M521+INDEX(PY_VAL,MATCH("P_USADOS",PY_ID,0),10)*N521+IF(P521&gt;0,O521/P521,0)+Q521)</f>
        <v>1</v>
      </c>
      <c r="AB521" s="5" t="s">
        <v>1346</v>
      </c>
    </row>
    <row r="522" customFormat="false" ht="15" hidden="false" customHeight="false" outlineLevel="0" collapsed="false">
      <c r="A522" s="4" t="s">
        <v>312</v>
      </c>
      <c r="B522" s="4" t="s">
        <v>1375</v>
      </c>
      <c r="C522" s="4" t="s">
        <v>1506</v>
      </c>
      <c r="D522" s="5" t="s">
        <v>1377</v>
      </c>
      <c r="E522" s="32" t="n">
        <v>1</v>
      </c>
      <c r="F522" s="32" t="s">
        <v>82</v>
      </c>
      <c r="G522" s="33" t="s">
        <v>1344</v>
      </c>
      <c r="H522" s="32" t="s">
        <v>1485</v>
      </c>
      <c r="I522" s="32" t="n">
        <v>1</v>
      </c>
      <c r="J522" s="32" t="n">
        <f aca="false">E522*I522</f>
        <v>1</v>
      </c>
      <c r="K522" s="32"/>
      <c r="L522" s="32" t="n">
        <v>0</v>
      </c>
      <c r="M522" s="32" t="n">
        <v>1</v>
      </c>
      <c r="N522" s="32" t="n">
        <v>1</v>
      </c>
      <c r="O522" s="32" t="n">
        <v>0</v>
      </c>
      <c r="P522" s="32" t="n">
        <v>2</v>
      </c>
      <c r="Q522" s="32" t="n">
        <v>0</v>
      </c>
      <c r="R522" s="32" t="n">
        <f aca="false">J522*(INDEX(P_VAL,MATCH("CTRL_AÑO",P_ID,0))*L522+(1-INDEX(PY_VAL,MATCH("P_USADOS",PY_ID,0),1))*M522+INDEX(PY_VAL,MATCH("P_USADOS",PY_ID,0),1)*N522+IF(P522&gt;0,O522/P522,0)+Q522)</f>
        <v>1</v>
      </c>
      <c r="S522" s="32" t="n">
        <f aca="false">J522*(INDEX(P_VAL,MATCH("CTRL_AÑO",P_ID,0))*L522+(1-INDEX(PY_VAL,MATCH("P_USADOS",PY_ID,0),2))*M522+INDEX(PY_VAL,MATCH("P_USADOS",PY_ID,0),2)*N522+IF(P522&gt;0,O522/P522,0)+Q522)</f>
        <v>1</v>
      </c>
      <c r="T522" s="32" t="n">
        <f aca="false">J522*(INDEX(P_VAL,MATCH("CTRL_AÑO",P_ID,0))*L522+(1-INDEX(PY_VAL,MATCH("P_USADOS",PY_ID,0),3))*M522+INDEX(PY_VAL,MATCH("P_USADOS",PY_ID,0),3)*N522+IF(P522&gt;0,O522/P522,0)+Q522)</f>
        <v>1</v>
      </c>
      <c r="U522" s="32" t="n">
        <f aca="false">J522*(INDEX(P_VAL,MATCH("CTRL_AÑO",P_ID,0))*L522+(1-INDEX(PY_VAL,MATCH("P_USADOS",PY_ID,0),4))*M522+INDEX(PY_VAL,MATCH("P_USADOS",PY_ID,0),4)*N522+IF(P522&gt;0,O522/P522,0)+Q522)</f>
        <v>1</v>
      </c>
      <c r="V522" s="32" t="n">
        <f aca="false">J522*(INDEX(P_VAL,MATCH("CTRL_AÑO",P_ID,0))*L522+(1-INDEX(PY_VAL,MATCH("P_USADOS",PY_ID,0),5))*M522+INDEX(PY_VAL,MATCH("P_USADOS",PY_ID,0),5)*N522+IF(P522&gt;0,O522/P522,0)+Q522)</f>
        <v>1</v>
      </c>
      <c r="W522" s="32" t="n">
        <f aca="false">J522*(INDEX(P_VAL,MATCH("CTRL_AÑO",P_ID,0))*L522+(1-INDEX(PY_VAL,MATCH("P_USADOS",PY_ID,0),6))*M522+INDEX(PY_VAL,MATCH("P_USADOS",PY_ID,0),6)*N522+IF(P522&gt;0,O522/P522,0)+Q522)</f>
        <v>1</v>
      </c>
      <c r="X522" s="32" t="n">
        <f aca="false">J522*(INDEX(P_VAL,MATCH("CTRL_AÑO",P_ID,0))*L522+(1-INDEX(PY_VAL,MATCH("P_USADOS",PY_ID,0),7))*M522+INDEX(PY_VAL,MATCH("P_USADOS",PY_ID,0),7)*N522+IF(P522&gt;0,O522/P522,0)+Q522)</f>
        <v>1</v>
      </c>
      <c r="Y522" s="32" t="n">
        <f aca="false">J522*(INDEX(P_VAL,MATCH("CTRL_AÑO",P_ID,0))*L522+(1-INDEX(PY_VAL,MATCH("P_USADOS",PY_ID,0),8))*M522+INDEX(PY_VAL,MATCH("P_USADOS",PY_ID,0),8)*N522+IF(P522&gt;0,O522/P522,0)+Q522)</f>
        <v>1</v>
      </c>
      <c r="Z522" s="32" t="n">
        <f aca="false">J522*(INDEX(P_VAL,MATCH("CTRL_AÑO",P_ID,0))*L522+(1-INDEX(PY_VAL,MATCH("P_USADOS",PY_ID,0),9))*M522+INDEX(PY_VAL,MATCH("P_USADOS",PY_ID,0),9)*N522+IF(P522&gt;0,O522/P522,0)+Q522)</f>
        <v>1</v>
      </c>
      <c r="AA522" s="32" t="n">
        <f aca="false">J522*(INDEX(P_VAL,MATCH("CTRL_AÑO",P_ID,0))*L522+(1-INDEX(PY_VAL,MATCH("P_USADOS",PY_ID,0),10))*M522+INDEX(PY_VAL,MATCH("P_USADOS",PY_ID,0),10)*N522+IF(P522&gt;0,O522/P522,0)+Q522)</f>
        <v>1</v>
      </c>
      <c r="AB522" s="5" t="s">
        <v>1346</v>
      </c>
    </row>
    <row r="523" customFormat="false" ht="15" hidden="false" customHeight="false" outlineLevel="0" collapsed="false">
      <c r="A523" s="4" t="s">
        <v>312</v>
      </c>
      <c r="B523" s="4" t="s">
        <v>1378</v>
      </c>
      <c r="C523" s="4" t="s">
        <v>1507</v>
      </c>
      <c r="D523" s="5" t="s">
        <v>1380</v>
      </c>
      <c r="E523" s="32" t="n">
        <v>1</v>
      </c>
      <c r="F523" s="32" t="s">
        <v>82</v>
      </c>
      <c r="G523" s="33" t="s">
        <v>1344</v>
      </c>
      <c r="H523" s="32" t="s">
        <v>1381</v>
      </c>
      <c r="I523" s="32" t="n">
        <v>1</v>
      </c>
      <c r="J523" s="32" t="n">
        <f aca="false">E523*I523</f>
        <v>1</v>
      </c>
      <c r="K523" s="32"/>
      <c r="L523" s="32" t="n">
        <v>0</v>
      </c>
      <c r="M523" s="32" t="n">
        <v>0</v>
      </c>
      <c r="N523" s="32" t="n">
        <v>0</v>
      </c>
      <c r="O523" s="32" t="n">
        <v>1</v>
      </c>
      <c r="P523" s="32" t="n">
        <v>2</v>
      </c>
      <c r="Q523" s="32" t="n">
        <v>0</v>
      </c>
      <c r="R523" s="32" t="n">
        <f aca="false">J523*(INDEX(P_VAL,MATCH("CTRL_AÑO",P_ID,0))*L523+(1-INDEX(PY_VAL,MATCH("P_USADOS",PY_ID,0),1))*M523+INDEX(PY_VAL,MATCH("P_USADOS",PY_ID,0),1)*N523+IF(P523&gt;0,O523/P523,0)+Q523)</f>
        <v>0.5</v>
      </c>
      <c r="S523" s="32" t="n">
        <f aca="false">J523*(INDEX(P_VAL,MATCH("CTRL_AÑO",P_ID,0))*L523+(1-INDEX(PY_VAL,MATCH("P_USADOS",PY_ID,0),2))*M523+INDEX(PY_VAL,MATCH("P_USADOS",PY_ID,0),2)*N523+IF(P523&gt;0,O523/P523,0)+Q523)</f>
        <v>0.5</v>
      </c>
      <c r="T523" s="32" t="n">
        <f aca="false">J523*(INDEX(P_VAL,MATCH("CTRL_AÑO",P_ID,0))*L523+(1-INDEX(PY_VAL,MATCH("P_USADOS",PY_ID,0),3))*M523+INDEX(PY_VAL,MATCH("P_USADOS",PY_ID,0),3)*N523+IF(P523&gt;0,O523/P523,0)+Q523)</f>
        <v>0.5</v>
      </c>
      <c r="U523" s="32" t="n">
        <f aca="false">J523*(INDEX(P_VAL,MATCH("CTRL_AÑO",P_ID,0))*L523+(1-INDEX(PY_VAL,MATCH("P_USADOS",PY_ID,0),4))*M523+INDEX(PY_VAL,MATCH("P_USADOS",PY_ID,0),4)*N523+IF(P523&gt;0,O523/P523,0)+Q523)</f>
        <v>0.5</v>
      </c>
      <c r="V523" s="32" t="n">
        <f aca="false">J523*(INDEX(P_VAL,MATCH("CTRL_AÑO",P_ID,0))*L523+(1-INDEX(PY_VAL,MATCH("P_USADOS",PY_ID,0),5))*M523+INDEX(PY_VAL,MATCH("P_USADOS",PY_ID,0),5)*N523+IF(P523&gt;0,O523/P523,0)+Q523)</f>
        <v>0.5</v>
      </c>
      <c r="W523" s="32" t="n">
        <f aca="false">J523*(INDEX(P_VAL,MATCH("CTRL_AÑO",P_ID,0))*L523+(1-INDEX(PY_VAL,MATCH("P_USADOS",PY_ID,0),6))*M523+INDEX(PY_VAL,MATCH("P_USADOS",PY_ID,0),6)*N523+IF(P523&gt;0,O523/P523,0)+Q523)</f>
        <v>0.5</v>
      </c>
      <c r="X523" s="32" t="n">
        <f aca="false">J523*(INDEX(P_VAL,MATCH("CTRL_AÑO",P_ID,0))*L523+(1-INDEX(PY_VAL,MATCH("P_USADOS",PY_ID,0),7))*M523+INDEX(PY_VAL,MATCH("P_USADOS",PY_ID,0),7)*N523+IF(P523&gt;0,O523/P523,0)+Q523)</f>
        <v>0.5</v>
      </c>
      <c r="Y523" s="32" t="n">
        <f aca="false">J523*(INDEX(P_VAL,MATCH("CTRL_AÑO",P_ID,0))*L523+(1-INDEX(PY_VAL,MATCH("P_USADOS",PY_ID,0),8))*M523+INDEX(PY_VAL,MATCH("P_USADOS",PY_ID,0),8)*N523+IF(P523&gt;0,O523/P523,0)+Q523)</f>
        <v>0.5</v>
      </c>
      <c r="Z523" s="32" t="n">
        <f aca="false">J523*(INDEX(P_VAL,MATCH("CTRL_AÑO",P_ID,0))*L523+(1-INDEX(PY_VAL,MATCH("P_USADOS",PY_ID,0),9))*M523+INDEX(PY_VAL,MATCH("P_USADOS",PY_ID,0),9)*N523+IF(P523&gt;0,O523/P523,0)+Q523)</f>
        <v>0.5</v>
      </c>
      <c r="AA523" s="32" t="n">
        <f aca="false">J523*(INDEX(P_VAL,MATCH("CTRL_AÑO",P_ID,0))*L523+(1-INDEX(PY_VAL,MATCH("P_USADOS",PY_ID,0),10))*M523+INDEX(PY_VAL,MATCH("P_USADOS",PY_ID,0),10)*N523+IF(P523&gt;0,O523/P523,0)+Q523)</f>
        <v>0.5</v>
      </c>
      <c r="AB523" s="5" t="s">
        <v>1346</v>
      </c>
    </row>
    <row r="524" customFormat="false" ht="15" hidden="false" customHeight="false" outlineLevel="0" collapsed="false">
      <c r="A524" s="4" t="s">
        <v>312</v>
      </c>
      <c r="B524" s="4" t="s">
        <v>1347</v>
      </c>
      <c r="C524" s="4" t="s">
        <v>1508</v>
      </c>
      <c r="D524" s="5" t="s">
        <v>1509</v>
      </c>
      <c r="E524" s="32" t="n">
        <v>1</v>
      </c>
      <c r="F524" s="32" t="s">
        <v>1489</v>
      </c>
      <c r="G524" s="33" t="s">
        <v>1385</v>
      </c>
      <c r="H524" s="32"/>
      <c r="I524" s="32"/>
      <c r="J524" s="32"/>
      <c r="K524" s="32"/>
      <c r="L524" s="32" t="n">
        <v>0</v>
      </c>
      <c r="M524" s="32" t="n">
        <v>0</v>
      </c>
      <c r="N524" s="32" t="n">
        <v>0</v>
      </c>
      <c r="O524" s="32" t="n">
        <v>0</v>
      </c>
      <c r="P524" s="32" t="n">
        <v>0</v>
      </c>
      <c r="Q524" s="32" t="n">
        <v>0</v>
      </c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5" t="s">
        <v>1490</v>
      </c>
    </row>
    <row r="525" customFormat="false" ht="15" hidden="false" customHeight="false" outlineLevel="0" collapsed="false">
      <c r="A525" s="4" t="s">
        <v>312</v>
      </c>
      <c r="B525" s="4" t="s">
        <v>1350</v>
      </c>
      <c r="C525" s="4" t="s">
        <v>1510</v>
      </c>
      <c r="D525" s="5" t="s">
        <v>1492</v>
      </c>
      <c r="E525" s="32" t="n">
        <v>1</v>
      </c>
      <c r="F525" s="32" t="s">
        <v>73</v>
      </c>
      <c r="G525" s="33" t="s">
        <v>1385</v>
      </c>
      <c r="H525" s="32"/>
      <c r="I525" s="32"/>
      <c r="J525" s="32"/>
      <c r="K525" s="32"/>
      <c r="L525" s="32" t="n">
        <v>0</v>
      </c>
      <c r="M525" s="32" t="n">
        <v>0</v>
      </c>
      <c r="N525" s="32" t="n">
        <v>0</v>
      </c>
      <c r="O525" s="32" t="n">
        <v>0</v>
      </c>
      <c r="P525" s="32" t="n">
        <v>0</v>
      </c>
      <c r="Q525" s="32" t="n">
        <v>0</v>
      </c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5" t="s">
        <v>1490</v>
      </c>
    </row>
    <row r="526" customFormat="false" ht="15" hidden="false" customHeight="false" outlineLevel="0" collapsed="false">
      <c r="A526" s="4" t="s">
        <v>312</v>
      </c>
      <c r="B526" s="4" t="s">
        <v>1347</v>
      </c>
      <c r="C526" s="4" t="s">
        <v>1511</v>
      </c>
      <c r="D526" s="5" t="s">
        <v>1509</v>
      </c>
      <c r="E526" s="32" t="n">
        <v>1</v>
      </c>
      <c r="F526" s="32" t="s">
        <v>1489</v>
      </c>
      <c r="G526" s="33" t="s">
        <v>1385</v>
      </c>
      <c r="H526" s="32"/>
      <c r="I526" s="32"/>
      <c r="J526" s="32"/>
      <c r="K526" s="32"/>
      <c r="L526" s="32" t="n">
        <v>0</v>
      </c>
      <c r="M526" s="32" t="n">
        <v>0</v>
      </c>
      <c r="N526" s="32" t="n">
        <v>0</v>
      </c>
      <c r="O526" s="32" t="n">
        <v>0</v>
      </c>
      <c r="P526" s="32" t="n">
        <v>0</v>
      </c>
      <c r="Q526" s="32" t="n">
        <v>0</v>
      </c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5" t="s">
        <v>1490</v>
      </c>
    </row>
    <row r="527" customFormat="false" ht="15" hidden="false" customHeight="false" outlineLevel="0" collapsed="false">
      <c r="A527" s="4" t="s">
        <v>312</v>
      </c>
      <c r="B527" s="4" t="s">
        <v>1350</v>
      </c>
      <c r="C527" s="4" t="s">
        <v>1512</v>
      </c>
      <c r="D527" s="5" t="s">
        <v>1492</v>
      </c>
      <c r="E527" s="32" t="n">
        <v>1</v>
      </c>
      <c r="F527" s="32" t="s">
        <v>73</v>
      </c>
      <c r="G527" s="33" t="s">
        <v>1385</v>
      </c>
      <c r="H527" s="32"/>
      <c r="I527" s="32"/>
      <c r="J527" s="32"/>
      <c r="K527" s="32"/>
      <c r="L527" s="32" t="n">
        <v>0</v>
      </c>
      <c r="M527" s="32" t="n">
        <v>0</v>
      </c>
      <c r="N527" s="32" t="n">
        <v>0</v>
      </c>
      <c r="O527" s="32" t="n">
        <v>0</v>
      </c>
      <c r="P527" s="32" t="n">
        <v>0</v>
      </c>
      <c r="Q527" s="32" t="n">
        <v>0</v>
      </c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5" t="s">
        <v>1490</v>
      </c>
    </row>
    <row r="528" customFormat="false" ht="15" hidden="false" customHeight="false" outlineLevel="0" collapsed="false">
      <c r="A528" s="4" t="s">
        <v>315</v>
      </c>
      <c r="B528" s="4" t="s">
        <v>1341</v>
      </c>
      <c r="C528" s="4" t="s">
        <v>1513</v>
      </c>
      <c r="D528" s="5" t="s">
        <v>1343</v>
      </c>
      <c r="E528" s="32" t="n">
        <v>1</v>
      </c>
      <c r="F528" s="32" t="s">
        <v>82</v>
      </c>
      <c r="G528" s="33" t="s">
        <v>1344</v>
      </c>
      <c r="H528" s="32" t="s">
        <v>1345</v>
      </c>
      <c r="I528" s="32" t="n">
        <v>1</v>
      </c>
      <c r="J528" s="32" t="n">
        <f aca="false">E528*I528</f>
        <v>1</v>
      </c>
      <c r="K528" s="32"/>
      <c r="L528" s="32" t="n">
        <v>1</v>
      </c>
      <c r="M528" s="32" t="n">
        <v>0</v>
      </c>
      <c r="N528" s="32" t="n">
        <v>0</v>
      </c>
      <c r="O528" s="32" t="n">
        <v>0</v>
      </c>
      <c r="P528" s="32" t="n">
        <v>2</v>
      </c>
      <c r="Q528" s="32" t="n">
        <v>0</v>
      </c>
      <c r="R528" s="32" t="n">
        <f aca="false">J528*(INDEX(P_VAL,MATCH("CTRL_AÑO",P_ID,0))*L528+(1-INDEX(PY_VAL,MATCH("P_USADOS",PY_ID,0),1))*M528+INDEX(PY_VAL,MATCH("P_USADOS",PY_ID,0),1)*N528+IF(P528&gt;0,O528/P528,0)+Q528)</f>
        <v>4</v>
      </c>
      <c r="S528" s="32" t="n">
        <f aca="false">J528*(INDEX(P_VAL,MATCH("CTRL_AÑO",P_ID,0))*L528+(1-INDEX(PY_VAL,MATCH("P_USADOS",PY_ID,0),2))*M528+INDEX(PY_VAL,MATCH("P_USADOS",PY_ID,0),2)*N528+IF(P528&gt;0,O528/P528,0)+Q528)</f>
        <v>4</v>
      </c>
      <c r="T528" s="32" t="n">
        <f aca="false">J528*(INDEX(P_VAL,MATCH("CTRL_AÑO",P_ID,0))*L528+(1-INDEX(PY_VAL,MATCH("P_USADOS",PY_ID,0),3))*M528+INDEX(PY_VAL,MATCH("P_USADOS",PY_ID,0),3)*N528+IF(P528&gt;0,O528/P528,0)+Q528)</f>
        <v>4</v>
      </c>
      <c r="U528" s="32" t="n">
        <f aca="false">J528*(INDEX(P_VAL,MATCH("CTRL_AÑO",P_ID,0))*L528+(1-INDEX(PY_VAL,MATCH("P_USADOS",PY_ID,0),4))*M528+INDEX(PY_VAL,MATCH("P_USADOS",PY_ID,0),4)*N528+IF(P528&gt;0,O528/P528,0)+Q528)</f>
        <v>4</v>
      </c>
      <c r="V528" s="32" t="n">
        <f aca="false">J528*(INDEX(P_VAL,MATCH("CTRL_AÑO",P_ID,0))*L528+(1-INDEX(PY_VAL,MATCH("P_USADOS",PY_ID,0),5))*M528+INDEX(PY_VAL,MATCH("P_USADOS",PY_ID,0),5)*N528+IF(P528&gt;0,O528/P528,0)+Q528)</f>
        <v>4</v>
      </c>
      <c r="W528" s="32" t="n">
        <f aca="false">J528*(INDEX(P_VAL,MATCH("CTRL_AÑO",P_ID,0))*L528+(1-INDEX(PY_VAL,MATCH("P_USADOS",PY_ID,0),6))*M528+INDEX(PY_VAL,MATCH("P_USADOS",PY_ID,0),6)*N528+IF(P528&gt;0,O528/P528,0)+Q528)</f>
        <v>4</v>
      </c>
      <c r="X528" s="32" t="n">
        <f aca="false">J528*(INDEX(P_VAL,MATCH("CTRL_AÑO",P_ID,0))*L528+(1-INDEX(PY_VAL,MATCH("P_USADOS",PY_ID,0),7))*M528+INDEX(PY_VAL,MATCH("P_USADOS",PY_ID,0),7)*N528+IF(P528&gt;0,O528/P528,0)+Q528)</f>
        <v>4</v>
      </c>
      <c r="Y528" s="32" t="n">
        <f aca="false">J528*(INDEX(P_VAL,MATCH("CTRL_AÑO",P_ID,0))*L528+(1-INDEX(PY_VAL,MATCH("P_USADOS",PY_ID,0),8))*M528+INDEX(PY_VAL,MATCH("P_USADOS",PY_ID,0),8)*N528+IF(P528&gt;0,O528/P528,0)+Q528)</f>
        <v>4</v>
      </c>
      <c r="Z528" s="32" t="n">
        <f aca="false">J528*(INDEX(P_VAL,MATCH("CTRL_AÑO",P_ID,0))*L528+(1-INDEX(PY_VAL,MATCH("P_USADOS",PY_ID,0),9))*M528+INDEX(PY_VAL,MATCH("P_USADOS",PY_ID,0),9)*N528+IF(P528&gt;0,O528/P528,0)+Q528)</f>
        <v>4</v>
      </c>
      <c r="AA528" s="32" t="n">
        <f aca="false">J528*(INDEX(P_VAL,MATCH("CTRL_AÑO",P_ID,0))*L528+(1-INDEX(PY_VAL,MATCH("P_USADOS",PY_ID,0),10))*M528+INDEX(PY_VAL,MATCH("P_USADOS",PY_ID,0),10)*N528+IF(P528&gt;0,O528/P528,0)+Q528)</f>
        <v>4</v>
      </c>
      <c r="AB528" s="5" t="s">
        <v>1346</v>
      </c>
    </row>
    <row r="529" customFormat="false" ht="15" hidden="false" customHeight="false" outlineLevel="0" collapsed="false">
      <c r="A529" s="4" t="s">
        <v>315</v>
      </c>
      <c r="B529" s="4" t="s">
        <v>1496</v>
      </c>
      <c r="C529" s="4" t="s">
        <v>1514</v>
      </c>
      <c r="D529" s="5" t="s">
        <v>1498</v>
      </c>
      <c r="E529" s="32" t="n">
        <v>1</v>
      </c>
      <c r="F529" s="32" t="s">
        <v>1489</v>
      </c>
      <c r="G529" s="33" t="s">
        <v>1344</v>
      </c>
      <c r="H529" s="32" t="s">
        <v>1499</v>
      </c>
      <c r="I529" s="32" t="n">
        <v>1</v>
      </c>
      <c r="J529" s="32" t="n">
        <f aca="false">E529*I529</f>
        <v>1</v>
      </c>
      <c r="K529" s="32"/>
      <c r="L529" s="32" t="n">
        <v>0</v>
      </c>
      <c r="M529" s="32" t="n">
        <v>1.5</v>
      </c>
      <c r="N529" s="32" t="n">
        <v>1.5</v>
      </c>
      <c r="O529" s="32" t="n">
        <v>0</v>
      </c>
      <c r="P529" s="32" t="n">
        <v>2</v>
      </c>
      <c r="Q529" s="32" t="n">
        <v>0</v>
      </c>
      <c r="R529" s="32" t="n">
        <f aca="false">J529*(INDEX(P_VAL,MATCH("CTRL_AÑO",P_ID,0))*L529+(1-INDEX(PY_VAL,MATCH("P_USADOS",PY_ID,0),1))*M529+INDEX(PY_VAL,MATCH("P_USADOS",PY_ID,0),1)*N529+IF(P529&gt;0,O529/P529,0)+Q529)</f>
        <v>1.5</v>
      </c>
      <c r="S529" s="32" t="n">
        <f aca="false">J529*(INDEX(P_VAL,MATCH("CTRL_AÑO",P_ID,0))*L529+(1-INDEX(PY_VAL,MATCH("P_USADOS",PY_ID,0),2))*M529+INDEX(PY_VAL,MATCH("P_USADOS",PY_ID,0),2)*N529+IF(P529&gt;0,O529/P529,0)+Q529)</f>
        <v>1.5</v>
      </c>
      <c r="T529" s="32" t="n">
        <f aca="false">J529*(INDEX(P_VAL,MATCH("CTRL_AÑO",P_ID,0))*L529+(1-INDEX(PY_VAL,MATCH("P_USADOS",PY_ID,0),3))*M529+INDEX(PY_VAL,MATCH("P_USADOS",PY_ID,0),3)*N529+IF(P529&gt;0,O529/P529,0)+Q529)</f>
        <v>1.5</v>
      </c>
      <c r="U529" s="32" t="n">
        <f aca="false">J529*(INDEX(P_VAL,MATCH("CTRL_AÑO",P_ID,0))*L529+(1-INDEX(PY_VAL,MATCH("P_USADOS",PY_ID,0),4))*M529+INDEX(PY_VAL,MATCH("P_USADOS",PY_ID,0),4)*N529+IF(P529&gt;0,O529/P529,0)+Q529)</f>
        <v>1.5</v>
      </c>
      <c r="V529" s="32" t="n">
        <f aca="false">J529*(INDEX(P_VAL,MATCH("CTRL_AÑO",P_ID,0))*L529+(1-INDEX(PY_VAL,MATCH("P_USADOS",PY_ID,0),5))*M529+INDEX(PY_VAL,MATCH("P_USADOS",PY_ID,0),5)*N529+IF(P529&gt;0,O529/P529,0)+Q529)</f>
        <v>1.5</v>
      </c>
      <c r="W529" s="32" t="n">
        <f aca="false">J529*(INDEX(P_VAL,MATCH("CTRL_AÑO",P_ID,0))*L529+(1-INDEX(PY_VAL,MATCH("P_USADOS",PY_ID,0),6))*M529+INDEX(PY_VAL,MATCH("P_USADOS",PY_ID,0),6)*N529+IF(P529&gt;0,O529/P529,0)+Q529)</f>
        <v>1.5</v>
      </c>
      <c r="X529" s="32" t="n">
        <f aca="false">J529*(INDEX(P_VAL,MATCH("CTRL_AÑO",P_ID,0))*L529+(1-INDEX(PY_VAL,MATCH("P_USADOS",PY_ID,0),7))*M529+INDEX(PY_VAL,MATCH("P_USADOS",PY_ID,0),7)*N529+IF(P529&gt;0,O529/P529,0)+Q529)</f>
        <v>1.5</v>
      </c>
      <c r="Y529" s="32" t="n">
        <f aca="false">J529*(INDEX(P_VAL,MATCH("CTRL_AÑO",P_ID,0))*L529+(1-INDEX(PY_VAL,MATCH("P_USADOS",PY_ID,0),8))*M529+INDEX(PY_VAL,MATCH("P_USADOS",PY_ID,0),8)*N529+IF(P529&gt;0,O529/P529,0)+Q529)</f>
        <v>1.5</v>
      </c>
      <c r="Z529" s="32" t="n">
        <f aca="false">J529*(INDEX(P_VAL,MATCH("CTRL_AÑO",P_ID,0))*L529+(1-INDEX(PY_VAL,MATCH("P_USADOS",PY_ID,0),9))*M529+INDEX(PY_VAL,MATCH("P_USADOS",PY_ID,0),9)*N529+IF(P529&gt;0,O529/P529,0)+Q529)</f>
        <v>1.5</v>
      </c>
      <c r="AA529" s="32" t="n">
        <f aca="false">J529*(INDEX(P_VAL,MATCH("CTRL_AÑO",P_ID,0))*L529+(1-INDEX(PY_VAL,MATCH("P_USADOS",PY_ID,0),10))*M529+INDEX(PY_VAL,MATCH("P_USADOS",PY_ID,0),10)*N529+IF(P529&gt;0,O529/P529,0)+Q529)</f>
        <v>1.5</v>
      </c>
      <c r="AB529" s="5" t="s">
        <v>1346</v>
      </c>
    </row>
    <row r="530" customFormat="false" ht="15" hidden="false" customHeight="false" outlineLevel="0" collapsed="false">
      <c r="A530" s="4" t="s">
        <v>315</v>
      </c>
      <c r="B530" s="4" t="s">
        <v>1352</v>
      </c>
      <c r="C530" s="4" t="s">
        <v>1515</v>
      </c>
      <c r="D530" s="5" t="s">
        <v>1354</v>
      </c>
      <c r="E530" s="32" t="n">
        <v>1</v>
      </c>
      <c r="F530" s="32" t="s">
        <v>82</v>
      </c>
      <c r="G530" s="33" t="s">
        <v>1344</v>
      </c>
      <c r="H530" s="32" t="s">
        <v>1355</v>
      </c>
      <c r="I530" s="32" t="n">
        <v>1</v>
      </c>
      <c r="J530" s="32" t="n">
        <f aca="false">E530*I530</f>
        <v>1</v>
      </c>
      <c r="K530" s="32"/>
      <c r="L530" s="32" t="n">
        <v>0</v>
      </c>
      <c r="M530" s="32" t="n">
        <v>1</v>
      </c>
      <c r="N530" s="32" t="n">
        <v>1</v>
      </c>
      <c r="O530" s="32" t="n">
        <v>0</v>
      </c>
      <c r="P530" s="32" t="n">
        <v>2</v>
      </c>
      <c r="Q530" s="32" t="n">
        <v>0</v>
      </c>
      <c r="R530" s="32" t="n">
        <f aca="false">J530*(INDEX(P_VAL,MATCH("CTRL_AÑO",P_ID,0))*L530+(1-INDEX(PY_VAL,MATCH("P_USADOS",PY_ID,0),1))*M530+INDEX(PY_VAL,MATCH("P_USADOS",PY_ID,0),1)*N530+IF(P530&gt;0,O530/P530,0)+Q530)</f>
        <v>1</v>
      </c>
      <c r="S530" s="32" t="n">
        <f aca="false">J530*(INDEX(P_VAL,MATCH("CTRL_AÑO",P_ID,0))*L530+(1-INDEX(PY_VAL,MATCH("P_USADOS",PY_ID,0),2))*M530+INDEX(PY_VAL,MATCH("P_USADOS",PY_ID,0),2)*N530+IF(P530&gt;0,O530/P530,0)+Q530)</f>
        <v>1</v>
      </c>
      <c r="T530" s="32" t="n">
        <f aca="false">J530*(INDEX(P_VAL,MATCH("CTRL_AÑO",P_ID,0))*L530+(1-INDEX(PY_VAL,MATCH("P_USADOS",PY_ID,0),3))*M530+INDEX(PY_VAL,MATCH("P_USADOS",PY_ID,0),3)*N530+IF(P530&gt;0,O530/P530,0)+Q530)</f>
        <v>1</v>
      </c>
      <c r="U530" s="32" t="n">
        <f aca="false">J530*(INDEX(P_VAL,MATCH("CTRL_AÑO",P_ID,0))*L530+(1-INDEX(PY_VAL,MATCH("P_USADOS",PY_ID,0),4))*M530+INDEX(PY_VAL,MATCH("P_USADOS",PY_ID,0),4)*N530+IF(P530&gt;0,O530/P530,0)+Q530)</f>
        <v>1</v>
      </c>
      <c r="V530" s="32" t="n">
        <f aca="false">J530*(INDEX(P_VAL,MATCH("CTRL_AÑO",P_ID,0))*L530+(1-INDEX(PY_VAL,MATCH("P_USADOS",PY_ID,0),5))*M530+INDEX(PY_VAL,MATCH("P_USADOS",PY_ID,0),5)*N530+IF(P530&gt;0,O530/P530,0)+Q530)</f>
        <v>1</v>
      </c>
      <c r="W530" s="32" t="n">
        <f aca="false">J530*(INDEX(P_VAL,MATCH("CTRL_AÑO",P_ID,0))*L530+(1-INDEX(PY_VAL,MATCH("P_USADOS",PY_ID,0),6))*M530+INDEX(PY_VAL,MATCH("P_USADOS",PY_ID,0),6)*N530+IF(P530&gt;0,O530/P530,0)+Q530)</f>
        <v>1</v>
      </c>
      <c r="X530" s="32" t="n">
        <f aca="false">J530*(INDEX(P_VAL,MATCH("CTRL_AÑO",P_ID,0))*L530+(1-INDEX(PY_VAL,MATCH("P_USADOS",PY_ID,0),7))*M530+INDEX(PY_VAL,MATCH("P_USADOS",PY_ID,0),7)*N530+IF(P530&gt;0,O530/P530,0)+Q530)</f>
        <v>1</v>
      </c>
      <c r="Y530" s="32" t="n">
        <f aca="false">J530*(INDEX(P_VAL,MATCH("CTRL_AÑO",P_ID,0))*L530+(1-INDEX(PY_VAL,MATCH("P_USADOS",PY_ID,0),8))*M530+INDEX(PY_VAL,MATCH("P_USADOS",PY_ID,0),8)*N530+IF(P530&gt;0,O530/P530,0)+Q530)</f>
        <v>1</v>
      </c>
      <c r="Z530" s="32" t="n">
        <f aca="false">J530*(INDEX(P_VAL,MATCH("CTRL_AÑO",P_ID,0))*L530+(1-INDEX(PY_VAL,MATCH("P_USADOS",PY_ID,0),9))*M530+INDEX(PY_VAL,MATCH("P_USADOS",PY_ID,0),9)*N530+IF(P530&gt;0,O530/P530,0)+Q530)</f>
        <v>1</v>
      </c>
      <c r="AA530" s="32" t="n">
        <f aca="false">J530*(INDEX(P_VAL,MATCH("CTRL_AÑO",P_ID,0))*L530+(1-INDEX(PY_VAL,MATCH("P_USADOS",PY_ID,0),10))*M530+INDEX(PY_VAL,MATCH("P_USADOS",PY_ID,0),10)*N530+IF(P530&gt;0,O530/P530,0)+Q530)</f>
        <v>1</v>
      </c>
      <c r="AB530" s="5" t="s">
        <v>1346</v>
      </c>
    </row>
    <row r="531" customFormat="false" ht="15" hidden="false" customHeight="false" outlineLevel="0" collapsed="false">
      <c r="A531" s="4" t="s">
        <v>315</v>
      </c>
      <c r="B531" s="4" t="s">
        <v>1356</v>
      </c>
      <c r="C531" s="4" t="s">
        <v>1516</v>
      </c>
      <c r="D531" s="5" t="s">
        <v>1358</v>
      </c>
      <c r="E531" s="32" t="n">
        <v>1</v>
      </c>
      <c r="F531" s="32" t="s">
        <v>82</v>
      </c>
      <c r="G531" s="33" t="s">
        <v>1344</v>
      </c>
      <c r="H531" s="32" t="s">
        <v>1359</v>
      </c>
      <c r="I531" s="32" t="n">
        <v>1</v>
      </c>
      <c r="J531" s="32" t="n">
        <f aca="false">E531*I531</f>
        <v>1</v>
      </c>
      <c r="K531" s="32"/>
      <c r="L531" s="32" t="n">
        <v>0</v>
      </c>
      <c r="M531" s="32" t="n">
        <v>1</v>
      </c>
      <c r="N531" s="32" t="n">
        <v>1</v>
      </c>
      <c r="O531" s="32" t="n">
        <v>0</v>
      </c>
      <c r="P531" s="32" t="n">
        <v>2</v>
      </c>
      <c r="Q531" s="32" t="n">
        <v>0</v>
      </c>
      <c r="R531" s="32" t="n">
        <f aca="false">J531*(INDEX(P_VAL,MATCH("CTRL_AÑO",P_ID,0))*L531+(1-INDEX(PY_VAL,MATCH("P_USADOS",PY_ID,0),1))*M531+INDEX(PY_VAL,MATCH("P_USADOS",PY_ID,0),1)*N531+IF(P531&gt;0,O531/P531,0)+Q531)</f>
        <v>1</v>
      </c>
      <c r="S531" s="32" t="n">
        <f aca="false">J531*(INDEX(P_VAL,MATCH("CTRL_AÑO",P_ID,0))*L531+(1-INDEX(PY_VAL,MATCH("P_USADOS",PY_ID,0),2))*M531+INDEX(PY_VAL,MATCH("P_USADOS",PY_ID,0),2)*N531+IF(P531&gt;0,O531/P531,0)+Q531)</f>
        <v>1</v>
      </c>
      <c r="T531" s="32" t="n">
        <f aca="false">J531*(INDEX(P_VAL,MATCH("CTRL_AÑO",P_ID,0))*L531+(1-INDEX(PY_VAL,MATCH("P_USADOS",PY_ID,0),3))*M531+INDEX(PY_VAL,MATCH("P_USADOS",PY_ID,0),3)*N531+IF(P531&gt;0,O531/P531,0)+Q531)</f>
        <v>1</v>
      </c>
      <c r="U531" s="32" t="n">
        <f aca="false">J531*(INDEX(P_VAL,MATCH("CTRL_AÑO",P_ID,0))*L531+(1-INDEX(PY_VAL,MATCH("P_USADOS",PY_ID,0),4))*M531+INDEX(PY_VAL,MATCH("P_USADOS",PY_ID,0),4)*N531+IF(P531&gt;0,O531/P531,0)+Q531)</f>
        <v>1</v>
      </c>
      <c r="V531" s="32" t="n">
        <f aca="false">J531*(INDEX(P_VAL,MATCH("CTRL_AÑO",P_ID,0))*L531+(1-INDEX(PY_VAL,MATCH("P_USADOS",PY_ID,0),5))*M531+INDEX(PY_VAL,MATCH("P_USADOS",PY_ID,0),5)*N531+IF(P531&gt;0,O531/P531,0)+Q531)</f>
        <v>1</v>
      </c>
      <c r="W531" s="32" t="n">
        <f aca="false">J531*(INDEX(P_VAL,MATCH("CTRL_AÑO",P_ID,0))*L531+(1-INDEX(PY_VAL,MATCH("P_USADOS",PY_ID,0),6))*M531+INDEX(PY_VAL,MATCH("P_USADOS",PY_ID,0),6)*N531+IF(P531&gt;0,O531/P531,0)+Q531)</f>
        <v>1</v>
      </c>
      <c r="X531" s="32" t="n">
        <f aca="false">J531*(INDEX(P_VAL,MATCH("CTRL_AÑO",P_ID,0))*L531+(1-INDEX(PY_VAL,MATCH("P_USADOS",PY_ID,0),7))*M531+INDEX(PY_VAL,MATCH("P_USADOS",PY_ID,0),7)*N531+IF(P531&gt;0,O531/P531,0)+Q531)</f>
        <v>1</v>
      </c>
      <c r="Y531" s="32" t="n">
        <f aca="false">J531*(INDEX(P_VAL,MATCH("CTRL_AÑO",P_ID,0))*L531+(1-INDEX(PY_VAL,MATCH("P_USADOS",PY_ID,0),8))*M531+INDEX(PY_VAL,MATCH("P_USADOS",PY_ID,0),8)*N531+IF(P531&gt;0,O531/P531,0)+Q531)</f>
        <v>1</v>
      </c>
      <c r="Z531" s="32" t="n">
        <f aca="false">J531*(INDEX(P_VAL,MATCH("CTRL_AÑO",P_ID,0))*L531+(1-INDEX(PY_VAL,MATCH("P_USADOS",PY_ID,0),9))*M531+INDEX(PY_VAL,MATCH("P_USADOS",PY_ID,0),9)*N531+IF(P531&gt;0,O531/P531,0)+Q531)</f>
        <v>1</v>
      </c>
      <c r="AA531" s="32" t="n">
        <f aca="false">J531*(INDEX(P_VAL,MATCH("CTRL_AÑO",P_ID,0))*L531+(1-INDEX(PY_VAL,MATCH("P_USADOS",PY_ID,0),10))*M531+INDEX(PY_VAL,MATCH("P_USADOS",PY_ID,0),10)*N531+IF(P531&gt;0,O531/P531,0)+Q531)</f>
        <v>1</v>
      </c>
      <c r="AB531" s="5" t="s">
        <v>1346</v>
      </c>
    </row>
    <row r="532" customFormat="false" ht="15" hidden="false" customHeight="false" outlineLevel="0" collapsed="false">
      <c r="A532" s="4" t="s">
        <v>315</v>
      </c>
      <c r="B532" s="4" t="s">
        <v>1360</v>
      </c>
      <c r="C532" s="4" t="s">
        <v>1517</v>
      </c>
      <c r="D532" s="5" t="s">
        <v>1362</v>
      </c>
      <c r="E532" s="32" t="n">
        <v>1</v>
      </c>
      <c r="F532" s="32" t="s">
        <v>82</v>
      </c>
      <c r="G532" s="33" t="s">
        <v>1344</v>
      </c>
      <c r="H532" s="32" t="s">
        <v>1363</v>
      </c>
      <c r="I532" s="32" t="n">
        <v>1</v>
      </c>
      <c r="J532" s="32" t="n">
        <f aca="false">E532*I532</f>
        <v>1</v>
      </c>
      <c r="K532" s="32"/>
      <c r="L532" s="32" t="n">
        <v>0</v>
      </c>
      <c r="M532" s="32" t="n">
        <v>1</v>
      </c>
      <c r="N532" s="32" t="n">
        <v>1</v>
      </c>
      <c r="O532" s="32" t="n">
        <v>0</v>
      </c>
      <c r="P532" s="32" t="n">
        <v>2</v>
      </c>
      <c r="Q532" s="32" t="n">
        <v>0</v>
      </c>
      <c r="R532" s="32" t="n">
        <f aca="false">J532*(INDEX(P_VAL,MATCH("CTRL_AÑO",P_ID,0))*L532+(1-INDEX(PY_VAL,MATCH("P_USADOS",PY_ID,0),1))*M532+INDEX(PY_VAL,MATCH("P_USADOS",PY_ID,0),1)*N532+IF(P532&gt;0,O532/P532,0)+Q532)</f>
        <v>1</v>
      </c>
      <c r="S532" s="32" t="n">
        <f aca="false">J532*(INDEX(P_VAL,MATCH("CTRL_AÑO",P_ID,0))*L532+(1-INDEX(PY_VAL,MATCH("P_USADOS",PY_ID,0),2))*M532+INDEX(PY_VAL,MATCH("P_USADOS",PY_ID,0),2)*N532+IF(P532&gt;0,O532/P532,0)+Q532)</f>
        <v>1</v>
      </c>
      <c r="T532" s="32" t="n">
        <f aca="false">J532*(INDEX(P_VAL,MATCH("CTRL_AÑO",P_ID,0))*L532+(1-INDEX(PY_VAL,MATCH("P_USADOS",PY_ID,0),3))*M532+INDEX(PY_VAL,MATCH("P_USADOS",PY_ID,0),3)*N532+IF(P532&gt;0,O532/P532,0)+Q532)</f>
        <v>1</v>
      </c>
      <c r="U532" s="32" t="n">
        <f aca="false">J532*(INDEX(P_VAL,MATCH("CTRL_AÑO",P_ID,0))*L532+(1-INDEX(PY_VAL,MATCH("P_USADOS",PY_ID,0),4))*M532+INDEX(PY_VAL,MATCH("P_USADOS",PY_ID,0),4)*N532+IF(P532&gt;0,O532/P532,0)+Q532)</f>
        <v>1</v>
      </c>
      <c r="V532" s="32" t="n">
        <f aca="false">J532*(INDEX(P_VAL,MATCH("CTRL_AÑO",P_ID,0))*L532+(1-INDEX(PY_VAL,MATCH("P_USADOS",PY_ID,0),5))*M532+INDEX(PY_VAL,MATCH("P_USADOS",PY_ID,0),5)*N532+IF(P532&gt;0,O532/P532,0)+Q532)</f>
        <v>1</v>
      </c>
      <c r="W532" s="32" t="n">
        <f aca="false">J532*(INDEX(P_VAL,MATCH("CTRL_AÑO",P_ID,0))*L532+(1-INDEX(PY_VAL,MATCH("P_USADOS",PY_ID,0),6))*M532+INDEX(PY_VAL,MATCH("P_USADOS",PY_ID,0),6)*N532+IF(P532&gt;0,O532/P532,0)+Q532)</f>
        <v>1</v>
      </c>
      <c r="X532" s="32" t="n">
        <f aca="false">J532*(INDEX(P_VAL,MATCH("CTRL_AÑO",P_ID,0))*L532+(1-INDEX(PY_VAL,MATCH("P_USADOS",PY_ID,0),7))*M532+INDEX(PY_VAL,MATCH("P_USADOS",PY_ID,0),7)*N532+IF(P532&gt;0,O532/P532,0)+Q532)</f>
        <v>1</v>
      </c>
      <c r="Y532" s="32" t="n">
        <f aca="false">J532*(INDEX(P_VAL,MATCH("CTRL_AÑO",P_ID,0))*L532+(1-INDEX(PY_VAL,MATCH("P_USADOS",PY_ID,0),8))*M532+INDEX(PY_VAL,MATCH("P_USADOS",PY_ID,0),8)*N532+IF(P532&gt;0,O532/P532,0)+Q532)</f>
        <v>1</v>
      </c>
      <c r="Z532" s="32" t="n">
        <f aca="false">J532*(INDEX(P_VAL,MATCH("CTRL_AÑO",P_ID,0))*L532+(1-INDEX(PY_VAL,MATCH("P_USADOS",PY_ID,0),9))*M532+INDEX(PY_VAL,MATCH("P_USADOS",PY_ID,0),9)*N532+IF(P532&gt;0,O532/P532,0)+Q532)</f>
        <v>1</v>
      </c>
      <c r="AA532" s="32" t="n">
        <f aca="false">J532*(INDEX(P_VAL,MATCH("CTRL_AÑO",P_ID,0))*L532+(1-INDEX(PY_VAL,MATCH("P_USADOS",PY_ID,0),10))*M532+INDEX(PY_VAL,MATCH("P_USADOS",PY_ID,0),10)*N532+IF(P532&gt;0,O532/P532,0)+Q532)</f>
        <v>1</v>
      </c>
      <c r="AB532" s="5" t="s">
        <v>1346</v>
      </c>
    </row>
    <row r="533" customFormat="false" ht="15" hidden="false" customHeight="false" outlineLevel="0" collapsed="false">
      <c r="A533" s="4" t="s">
        <v>315</v>
      </c>
      <c r="B533" s="4" t="s">
        <v>1364</v>
      </c>
      <c r="C533" s="4" t="s">
        <v>1518</v>
      </c>
      <c r="D533" s="5" t="s">
        <v>1366</v>
      </c>
      <c r="E533" s="32" t="n">
        <v>1</v>
      </c>
      <c r="F533" s="32" t="s">
        <v>82</v>
      </c>
      <c r="G533" s="33" t="s">
        <v>1344</v>
      </c>
      <c r="H533" s="32" t="s">
        <v>1367</v>
      </c>
      <c r="I533" s="32" t="n">
        <v>1</v>
      </c>
      <c r="J533" s="32" t="n">
        <f aca="false">E533*I533</f>
        <v>1</v>
      </c>
      <c r="K533" s="32" t="s">
        <v>582</v>
      </c>
      <c r="L533" s="32" t="n">
        <v>0</v>
      </c>
      <c r="M533" s="32" t="n">
        <v>1</v>
      </c>
      <c r="N533" s="32" t="n">
        <v>1</v>
      </c>
      <c r="O533" s="32" t="n">
        <v>0</v>
      </c>
      <c r="P533" s="32" t="n">
        <v>2</v>
      </c>
      <c r="Q533" s="32" t="n">
        <v>0</v>
      </c>
      <c r="R533" s="32" t="n">
        <f aca="false">J533*(INDEX(P_VAL,MATCH("CTRL_AÑO",P_ID,0))*L533+(1-INDEX(PY_VAL,MATCH("P_USADOS",PY_ID,0),1))*M533+INDEX(PY_VAL,MATCH("P_USADOS",PY_ID,0),1)*N533+IF(P533&gt;0,O533/P533,0)+Q533)</f>
        <v>1</v>
      </c>
      <c r="S533" s="32" t="n">
        <f aca="false">J533*(INDEX(P_VAL,MATCH("CTRL_AÑO",P_ID,0))*L533+(1-INDEX(PY_VAL,MATCH("P_USADOS",PY_ID,0),2))*M533+INDEX(PY_VAL,MATCH("P_USADOS",PY_ID,0),2)*N533+IF(P533&gt;0,O533/P533,0)+Q533)</f>
        <v>1</v>
      </c>
      <c r="T533" s="32" t="n">
        <f aca="false">J533*(INDEX(P_VAL,MATCH("CTRL_AÑO",P_ID,0))*L533+(1-INDEX(PY_VAL,MATCH("P_USADOS",PY_ID,0),3))*M533+INDEX(PY_VAL,MATCH("P_USADOS",PY_ID,0),3)*N533+IF(P533&gt;0,O533/P533,0)+Q533)</f>
        <v>1</v>
      </c>
      <c r="U533" s="32" t="n">
        <f aca="false">J533*(INDEX(P_VAL,MATCH("CTRL_AÑO",P_ID,0))*L533+(1-INDEX(PY_VAL,MATCH("P_USADOS",PY_ID,0),4))*M533+INDEX(PY_VAL,MATCH("P_USADOS",PY_ID,0),4)*N533+IF(P533&gt;0,O533/P533,0)+Q533)</f>
        <v>1</v>
      </c>
      <c r="V533" s="32" t="n">
        <f aca="false">J533*(INDEX(P_VAL,MATCH("CTRL_AÑO",P_ID,0))*L533+(1-INDEX(PY_VAL,MATCH("P_USADOS",PY_ID,0),5))*M533+INDEX(PY_VAL,MATCH("P_USADOS",PY_ID,0),5)*N533+IF(P533&gt;0,O533/P533,0)+Q533)</f>
        <v>1</v>
      </c>
      <c r="W533" s="32" t="n">
        <f aca="false">J533*(INDEX(P_VAL,MATCH("CTRL_AÑO",P_ID,0))*L533+(1-INDEX(PY_VAL,MATCH("P_USADOS",PY_ID,0),6))*M533+INDEX(PY_VAL,MATCH("P_USADOS",PY_ID,0),6)*N533+IF(P533&gt;0,O533/P533,0)+Q533)</f>
        <v>1</v>
      </c>
      <c r="X533" s="32" t="n">
        <f aca="false">J533*(INDEX(P_VAL,MATCH("CTRL_AÑO",P_ID,0))*L533+(1-INDEX(PY_VAL,MATCH("P_USADOS",PY_ID,0),7))*M533+INDEX(PY_VAL,MATCH("P_USADOS",PY_ID,0),7)*N533+IF(P533&gt;0,O533/P533,0)+Q533)</f>
        <v>1</v>
      </c>
      <c r="Y533" s="32" t="n">
        <f aca="false">J533*(INDEX(P_VAL,MATCH("CTRL_AÑO",P_ID,0))*L533+(1-INDEX(PY_VAL,MATCH("P_USADOS",PY_ID,0),8))*M533+INDEX(PY_VAL,MATCH("P_USADOS",PY_ID,0),8)*N533+IF(P533&gt;0,O533/P533,0)+Q533)</f>
        <v>1</v>
      </c>
      <c r="Z533" s="32" t="n">
        <f aca="false">J533*(INDEX(P_VAL,MATCH("CTRL_AÑO",P_ID,0))*L533+(1-INDEX(PY_VAL,MATCH("P_USADOS",PY_ID,0),9))*M533+INDEX(PY_VAL,MATCH("P_USADOS",PY_ID,0),9)*N533+IF(P533&gt;0,O533/P533,0)+Q533)</f>
        <v>1</v>
      </c>
      <c r="AA533" s="32" t="n">
        <f aca="false">J533*(INDEX(P_VAL,MATCH("CTRL_AÑO",P_ID,0))*L533+(1-INDEX(PY_VAL,MATCH("P_USADOS",PY_ID,0),10))*M533+INDEX(PY_VAL,MATCH("P_USADOS",PY_ID,0),10)*N533+IF(P533&gt;0,O533/P533,0)+Q533)</f>
        <v>1</v>
      </c>
      <c r="AB533" s="5" t="s">
        <v>1346</v>
      </c>
    </row>
    <row r="534" customFormat="false" ht="15" hidden="false" customHeight="false" outlineLevel="0" collapsed="false">
      <c r="A534" s="4" t="s">
        <v>315</v>
      </c>
      <c r="B534" s="4" t="s">
        <v>1368</v>
      </c>
      <c r="C534" s="4" t="s">
        <v>1519</v>
      </c>
      <c r="D534" s="5" t="s">
        <v>1370</v>
      </c>
      <c r="E534" s="32" t="n">
        <v>1</v>
      </c>
      <c r="F534" s="32" t="s">
        <v>82</v>
      </c>
      <c r="G534" s="33" t="s">
        <v>1344</v>
      </c>
      <c r="H534" s="32" t="s">
        <v>1371</v>
      </c>
      <c r="I534" s="32" t="n">
        <v>1</v>
      </c>
      <c r="J534" s="32" t="n">
        <f aca="false">E534*I534</f>
        <v>1</v>
      </c>
      <c r="K534" s="32" t="s">
        <v>582</v>
      </c>
      <c r="L534" s="32" t="n">
        <v>0</v>
      </c>
      <c r="M534" s="32" t="n">
        <v>1</v>
      </c>
      <c r="N534" s="32" t="n">
        <v>1</v>
      </c>
      <c r="O534" s="32" t="n">
        <v>0</v>
      </c>
      <c r="P534" s="32" t="n">
        <v>2</v>
      </c>
      <c r="Q534" s="32" t="n">
        <v>0</v>
      </c>
      <c r="R534" s="32" t="n">
        <f aca="false">J534*(INDEX(P_VAL,MATCH("CTRL_AÑO",P_ID,0))*L534+(1-INDEX(PY_VAL,MATCH("P_USADOS",PY_ID,0),1))*M534+INDEX(PY_VAL,MATCH("P_USADOS",PY_ID,0),1)*N534+IF(P534&gt;0,O534/P534,0)+Q534)</f>
        <v>1</v>
      </c>
      <c r="S534" s="32" t="n">
        <f aca="false">J534*(INDEX(P_VAL,MATCH("CTRL_AÑO",P_ID,0))*L534+(1-INDEX(PY_VAL,MATCH("P_USADOS",PY_ID,0),2))*M534+INDEX(PY_VAL,MATCH("P_USADOS",PY_ID,0),2)*N534+IF(P534&gt;0,O534/P534,0)+Q534)</f>
        <v>1</v>
      </c>
      <c r="T534" s="32" t="n">
        <f aca="false">J534*(INDEX(P_VAL,MATCH("CTRL_AÑO",P_ID,0))*L534+(1-INDEX(PY_VAL,MATCH("P_USADOS",PY_ID,0),3))*M534+INDEX(PY_VAL,MATCH("P_USADOS",PY_ID,0),3)*N534+IF(P534&gt;0,O534/P534,0)+Q534)</f>
        <v>1</v>
      </c>
      <c r="U534" s="32" t="n">
        <f aca="false">J534*(INDEX(P_VAL,MATCH("CTRL_AÑO",P_ID,0))*L534+(1-INDEX(PY_VAL,MATCH("P_USADOS",PY_ID,0),4))*M534+INDEX(PY_VAL,MATCH("P_USADOS",PY_ID,0),4)*N534+IF(P534&gt;0,O534/P534,0)+Q534)</f>
        <v>1</v>
      </c>
      <c r="V534" s="32" t="n">
        <f aca="false">J534*(INDEX(P_VAL,MATCH("CTRL_AÑO",P_ID,0))*L534+(1-INDEX(PY_VAL,MATCH("P_USADOS",PY_ID,0),5))*M534+INDEX(PY_VAL,MATCH("P_USADOS",PY_ID,0),5)*N534+IF(P534&gt;0,O534/P534,0)+Q534)</f>
        <v>1</v>
      </c>
      <c r="W534" s="32" t="n">
        <f aca="false">J534*(INDEX(P_VAL,MATCH("CTRL_AÑO",P_ID,0))*L534+(1-INDEX(PY_VAL,MATCH("P_USADOS",PY_ID,0),6))*M534+INDEX(PY_VAL,MATCH("P_USADOS",PY_ID,0),6)*N534+IF(P534&gt;0,O534/P534,0)+Q534)</f>
        <v>1</v>
      </c>
      <c r="X534" s="32" t="n">
        <f aca="false">J534*(INDEX(P_VAL,MATCH("CTRL_AÑO",P_ID,0))*L534+(1-INDEX(PY_VAL,MATCH("P_USADOS",PY_ID,0),7))*M534+INDEX(PY_VAL,MATCH("P_USADOS",PY_ID,0),7)*N534+IF(P534&gt;0,O534/P534,0)+Q534)</f>
        <v>1</v>
      </c>
      <c r="Y534" s="32" t="n">
        <f aca="false">J534*(INDEX(P_VAL,MATCH("CTRL_AÑO",P_ID,0))*L534+(1-INDEX(PY_VAL,MATCH("P_USADOS",PY_ID,0),8))*M534+INDEX(PY_VAL,MATCH("P_USADOS",PY_ID,0),8)*N534+IF(P534&gt;0,O534/P534,0)+Q534)</f>
        <v>1</v>
      </c>
      <c r="Z534" s="32" t="n">
        <f aca="false">J534*(INDEX(P_VAL,MATCH("CTRL_AÑO",P_ID,0))*L534+(1-INDEX(PY_VAL,MATCH("P_USADOS",PY_ID,0),9))*M534+INDEX(PY_VAL,MATCH("P_USADOS",PY_ID,0),9)*N534+IF(P534&gt;0,O534/P534,0)+Q534)</f>
        <v>1</v>
      </c>
      <c r="AA534" s="32" t="n">
        <f aca="false">J534*(INDEX(P_VAL,MATCH("CTRL_AÑO",P_ID,0))*L534+(1-INDEX(PY_VAL,MATCH("P_USADOS",PY_ID,0),10))*M534+INDEX(PY_VAL,MATCH("P_USADOS",PY_ID,0),10)*N534+IF(P534&gt;0,O534/P534,0)+Q534)</f>
        <v>1</v>
      </c>
      <c r="AB534" s="5" t="s">
        <v>1346</v>
      </c>
    </row>
    <row r="535" customFormat="false" ht="15" hidden="false" customHeight="false" outlineLevel="0" collapsed="false">
      <c r="A535" s="4" t="s">
        <v>315</v>
      </c>
      <c r="B535" s="4" t="s">
        <v>1372</v>
      </c>
      <c r="C535" s="4" t="s">
        <v>1520</v>
      </c>
      <c r="D535" s="5" t="s">
        <v>1374</v>
      </c>
      <c r="E535" s="32" t="n">
        <v>1</v>
      </c>
      <c r="F535" s="32" t="s">
        <v>82</v>
      </c>
      <c r="G535" s="33" t="s">
        <v>1344</v>
      </c>
      <c r="H535" s="32" t="s">
        <v>688</v>
      </c>
      <c r="I535" s="32" t="n">
        <v>1</v>
      </c>
      <c r="J535" s="32" t="n">
        <f aca="false">E535*I535</f>
        <v>1</v>
      </c>
      <c r="K535" s="32" t="s">
        <v>689</v>
      </c>
      <c r="L535" s="32" t="n">
        <v>0</v>
      </c>
      <c r="M535" s="32" t="n">
        <v>1</v>
      </c>
      <c r="N535" s="32" t="n">
        <v>1</v>
      </c>
      <c r="O535" s="32" t="n">
        <v>0</v>
      </c>
      <c r="P535" s="32" t="n">
        <v>2</v>
      </c>
      <c r="Q535" s="32" t="n">
        <v>0</v>
      </c>
      <c r="R535" s="32" t="n">
        <f aca="false">J535*(INDEX(P_VAL,MATCH("CTRL_AÑO",P_ID,0))*L535+(1-INDEX(PY_VAL,MATCH("P_USADOS",PY_ID,0),1))*M535+INDEX(PY_VAL,MATCH("P_USADOS",PY_ID,0),1)*N535+IF(P535&gt;0,O535/P535,0)+Q535)</f>
        <v>1</v>
      </c>
      <c r="S535" s="32" t="n">
        <f aca="false">J535*(INDEX(P_VAL,MATCH("CTRL_AÑO",P_ID,0))*L535+(1-INDEX(PY_VAL,MATCH("P_USADOS",PY_ID,0),2))*M535+INDEX(PY_VAL,MATCH("P_USADOS",PY_ID,0),2)*N535+IF(P535&gt;0,O535/P535,0)+Q535)</f>
        <v>1</v>
      </c>
      <c r="T535" s="32" t="n">
        <f aca="false">J535*(INDEX(P_VAL,MATCH("CTRL_AÑO",P_ID,0))*L535+(1-INDEX(PY_VAL,MATCH("P_USADOS",PY_ID,0),3))*M535+INDEX(PY_VAL,MATCH("P_USADOS",PY_ID,0),3)*N535+IF(P535&gt;0,O535/P535,0)+Q535)</f>
        <v>1</v>
      </c>
      <c r="U535" s="32" t="n">
        <f aca="false">J535*(INDEX(P_VAL,MATCH("CTRL_AÑO",P_ID,0))*L535+(1-INDEX(PY_VAL,MATCH("P_USADOS",PY_ID,0),4))*M535+INDEX(PY_VAL,MATCH("P_USADOS",PY_ID,0),4)*N535+IF(P535&gt;0,O535/P535,0)+Q535)</f>
        <v>1</v>
      </c>
      <c r="V535" s="32" t="n">
        <f aca="false">J535*(INDEX(P_VAL,MATCH("CTRL_AÑO",P_ID,0))*L535+(1-INDEX(PY_VAL,MATCH("P_USADOS",PY_ID,0),5))*M535+INDEX(PY_VAL,MATCH("P_USADOS",PY_ID,0),5)*N535+IF(P535&gt;0,O535/P535,0)+Q535)</f>
        <v>1</v>
      </c>
      <c r="W535" s="32" t="n">
        <f aca="false">J535*(INDEX(P_VAL,MATCH("CTRL_AÑO",P_ID,0))*L535+(1-INDEX(PY_VAL,MATCH("P_USADOS",PY_ID,0),6))*M535+INDEX(PY_VAL,MATCH("P_USADOS",PY_ID,0),6)*N535+IF(P535&gt;0,O535/P535,0)+Q535)</f>
        <v>1</v>
      </c>
      <c r="X535" s="32" t="n">
        <f aca="false">J535*(INDEX(P_VAL,MATCH("CTRL_AÑO",P_ID,0))*L535+(1-INDEX(PY_VAL,MATCH("P_USADOS",PY_ID,0),7))*M535+INDEX(PY_VAL,MATCH("P_USADOS",PY_ID,0),7)*N535+IF(P535&gt;0,O535/P535,0)+Q535)</f>
        <v>1</v>
      </c>
      <c r="Y535" s="32" t="n">
        <f aca="false">J535*(INDEX(P_VAL,MATCH("CTRL_AÑO",P_ID,0))*L535+(1-INDEX(PY_VAL,MATCH("P_USADOS",PY_ID,0),8))*M535+INDEX(PY_VAL,MATCH("P_USADOS",PY_ID,0),8)*N535+IF(P535&gt;0,O535/P535,0)+Q535)</f>
        <v>1</v>
      </c>
      <c r="Z535" s="32" t="n">
        <f aca="false">J535*(INDEX(P_VAL,MATCH("CTRL_AÑO",P_ID,0))*L535+(1-INDEX(PY_VAL,MATCH("P_USADOS",PY_ID,0),9))*M535+INDEX(PY_VAL,MATCH("P_USADOS",PY_ID,0),9)*N535+IF(P535&gt;0,O535/P535,0)+Q535)</f>
        <v>1</v>
      </c>
      <c r="AA535" s="32" t="n">
        <f aca="false">J535*(INDEX(P_VAL,MATCH("CTRL_AÑO",P_ID,0))*L535+(1-INDEX(PY_VAL,MATCH("P_USADOS",PY_ID,0),10))*M535+INDEX(PY_VAL,MATCH("P_USADOS",PY_ID,0),10)*N535+IF(P535&gt;0,O535/P535,0)+Q535)</f>
        <v>1</v>
      </c>
      <c r="AB535" s="5" t="s">
        <v>1346</v>
      </c>
    </row>
    <row r="536" customFormat="false" ht="15" hidden="false" customHeight="false" outlineLevel="0" collapsed="false">
      <c r="A536" s="4" t="s">
        <v>315</v>
      </c>
      <c r="B536" s="4" t="s">
        <v>1375</v>
      </c>
      <c r="C536" s="4" t="s">
        <v>1521</v>
      </c>
      <c r="D536" s="5" t="s">
        <v>1377</v>
      </c>
      <c r="E536" s="32" t="n">
        <v>1</v>
      </c>
      <c r="F536" s="32" t="s">
        <v>82</v>
      </c>
      <c r="G536" s="33" t="s">
        <v>1344</v>
      </c>
      <c r="H536" s="32" t="s">
        <v>1485</v>
      </c>
      <c r="I536" s="32" t="n">
        <v>1</v>
      </c>
      <c r="J536" s="32" t="n">
        <f aca="false">E536*I536</f>
        <v>1</v>
      </c>
      <c r="K536" s="32"/>
      <c r="L536" s="32" t="n">
        <v>0</v>
      </c>
      <c r="M536" s="32" t="n">
        <v>1</v>
      </c>
      <c r="N536" s="32" t="n">
        <v>1</v>
      </c>
      <c r="O536" s="32" t="n">
        <v>0</v>
      </c>
      <c r="P536" s="32" t="n">
        <v>2</v>
      </c>
      <c r="Q536" s="32" t="n">
        <v>0</v>
      </c>
      <c r="R536" s="32" t="n">
        <f aca="false">J536*(INDEX(P_VAL,MATCH("CTRL_AÑO",P_ID,0))*L536+(1-INDEX(PY_VAL,MATCH("P_USADOS",PY_ID,0),1))*M536+INDEX(PY_VAL,MATCH("P_USADOS",PY_ID,0),1)*N536+IF(P536&gt;0,O536/P536,0)+Q536)</f>
        <v>1</v>
      </c>
      <c r="S536" s="32" t="n">
        <f aca="false">J536*(INDEX(P_VAL,MATCH("CTRL_AÑO",P_ID,0))*L536+(1-INDEX(PY_VAL,MATCH("P_USADOS",PY_ID,0),2))*M536+INDEX(PY_VAL,MATCH("P_USADOS",PY_ID,0),2)*N536+IF(P536&gt;0,O536/P536,0)+Q536)</f>
        <v>1</v>
      </c>
      <c r="T536" s="32" t="n">
        <f aca="false">J536*(INDEX(P_VAL,MATCH("CTRL_AÑO",P_ID,0))*L536+(1-INDEX(PY_VAL,MATCH("P_USADOS",PY_ID,0),3))*M536+INDEX(PY_VAL,MATCH("P_USADOS",PY_ID,0),3)*N536+IF(P536&gt;0,O536/P536,0)+Q536)</f>
        <v>1</v>
      </c>
      <c r="U536" s="32" t="n">
        <f aca="false">J536*(INDEX(P_VAL,MATCH("CTRL_AÑO",P_ID,0))*L536+(1-INDEX(PY_VAL,MATCH("P_USADOS",PY_ID,0),4))*M536+INDEX(PY_VAL,MATCH("P_USADOS",PY_ID,0),4)*N536+IF(P536&gt;0,O536/P536,0)+Q536)</f>
        <v>1</v>
      </c>
      <c r="V536" s="32" t="n">
        <f aca="false">J536*(INDEX(P_VAL,MATCH("CTRL_AÑO",P_ID,0))*L536+(1-INDEX(PY_VAL,MATCH("P_USADOS",PY_ID,0),5))*M536+INDEX(PY_VAL,MATCH("P_USADOS",PY_ID,0),5)*N536+IF(P536&gt;0,O536/P536,0)+Q536)</f>
        <v>1</v>
      </c>
      <c r="W536" s="32" t="n">
        <f aca="false">J536*(INDEX(P_VAL,MATCH("CTRL_AÑO",P_ID,0))*L536+(1-INDEX(PY_VAL,MATCH("P_USADOS",PY_ID,0),6))*M536+INDEX(PY_VAL,MATCH("P_USADOS",PY_ID,0),6)*N536+IF(P536&gt;0,O536/P536,0)+Q536)</f>
        <v>1</v>
      </c>
      <c r="X536" s="32" t="n">
        <f aca="false">J536*(INDEX(P_VAL,MATCH("CTRL_AÑO",P_ID,0))*L536+(1-INDEX(PY_VAL,MATCH("P_USADOS",PY_ID,0),7))*M536+INDEX(PY_VAL,MATCH("P_USADOS",PY_ID,0),7)*N536+IF(P536&gt;0,O536/P536,0)+Q536)</f>
        <v>1</v>
      </c>
      <c r="Y536" s="32" t="n">
        <f aca="false">J536*(INDEX(P_VAL,MATCH("CTRL_AÑO",P_ID,0))*L536+(1-INDEX(PY_VAL,MATCH("P_USADOS",PY_ID,0),8))*M536+INDEX(PY_VAL,MATCH("P_USADOS",PY_ID,0),8)*N536+IF(P536&gt;0,O536/P536,0)+Q536)</f>
        <v>1</v>
      </c>
      <c r="Z536" s="32" t="n">
        <f aca="false">J536*(INDEX(P_VAL,MATCH("CTRL_AÑO",P_ID,0))*L536+(1-INDEX(PY_VAL,MATCH("P_USADOS",PY_ID,0),9))*M536+INDEX(PY_VAL,MATCH("P_USADOS",PY_ID,0),9)*N536+IF(P536&gt;0,O536/P536,0)+Q536)</f>
        <v>1</v>
      </c>
      <c r="AA536" s="32" t="n">
        <f aca="false">J536*(INDEX(P_VAL,MATCH("CTRL_AÑO",P_ID,0))*L536+(1-INDEX(PY_VAL,MATCH("P_USADOS",PY_ID,0),10))*M536+INDEX(PY_VAL,MATCH("P_USADOS",PY_ID,0),10)*N536+IF(P536&gt;0,O536/P536,0)+Q536)</f>
        <v>1</v>
      </c>
      <c r="AB536" s="5" t="s">
        <v>1346</v>
      </c>
    </row>
    <row r="537" customFormat="false" ht="15" hidden="false" customHeight="false" outlineLevel="0" collapsed="false">
      <c r="A537" s="4" t="s">
        <v>315</v>
      </c>
      <c r="B537" s="4" t="s">
        <v>1378</v>
      </c>
      <c r="C537" s="4" t="s">
        <v>1522</v>
      </c>
      <c r="D537" s="5" t="s">
        <v>1380</v>
      </c>
      <c r="E537" s="32" t="n">
        <v>1</v>
      </c>
      <c r="F537" s="32" t="s">
        <v>82</v>
      </c>
      <c r="G537" s="33" t="s">
        <v>1344</v>
      </c>
      <c r="H537" s="32" t="s">
        <v>1381</v>
      </c>
      <c r="I537" s="32" t="n">
        <v>1</v>
      </c>
      <c r="J537" s="32" t="n">
        <f aca="false">E537*I537</f>
        <v>1</v>
      </c>
      <c r="K537" s="32"/>
      <c r="L537" s="32" t="n">
        <v>0</v>
      </c>
      <c r="M537" s="32" t="n">
        <v>0</v>
      </c>
      <c r="N537" s="32" t="n">
        <v>0</v>
      </c>
      <c r="O537" s="32" t="n">
        <v>1</v>
      </c>
      <c r="P537" s="32" t="n">
        <v>2</v>
      </c>
      <c r="Q537" s="32" t="n">
        <v>0</v>
      </c>
      <c r="R537" s="32" t="n">
        <f aca="false">J537*(INDEX(P_VAL,MATCH("CTRL_AÑO",P_ID,0))*L537+(1-INDEX(PY_VAL,MATCH("P_USADOS",PY_ID,0),1))*M537+INDEX(PY_VAL,MATCH("P_USADOS",PY_ID,0),1)*N537+IF(P537&gt;0,O537/P537,0)+Q537)</f>
        <v>0.5</v>
      </c>
      <c r="S537" s="32" t="n">
        <f aca="false">J537*(INDEX(P_VAL,MATCH("CTRL_AÑO",P_ID,0))*L537+(1-INDEX(PY_VAL,MATCH("P_USADOS",PY_ID,0),2))*M537+INDEX(PY_VAL,MATCH("P_USADOS",PY_ID,0),2)*N537+IF(P537&gt;0,O537/P537,0)+Q537)</f>
        <v>0.5</v>
      </c>
      <c r="T537" s="32" t="n">
        <f aca="false">J537*(INDEX(P_VAL,MATCH("CTRL_AÑO",P_ID,0))*L537+(1-INDEX(PY_VAL,MATCH("P_USADOS",PY_ID,0),3))*M537+INDEX(PY_VAL,MATCH("P_USADOS",PY_ID,0),3)*N537+IF(P537&gt;0,O537/P537,0)+Q537)</f>
        <v>0.5</v>
      </c>
      <c r="U537" s="32" t="n">
        <f aca="false">J537*(INDEX(P_VAL,MATCH("CTRL_AÑO",P_ID,0))*L537+(1-INDEX(PY_VAL,MATCH("P_USADOS",PY_ID,0),4))*M537+INDEX(PY_VAL,MATCH("P_USADOS",PY_ID,0),4)*N537+IF(P537&gt;0,O537/P537,0)+Q537)</f>
        <v>0.5</v>
      </c>
      <c r="V537" s="32" t="n">
        <f aca="false">J537*(INDEX(P_VAL,MATCH("CTRL_AÑO",P_ID,0))*L537+(1-INDEX(PY_VAL,MATCH("P_USADOS",PY_ID,0),5))*M537+INDEX(PY_VAL,MATCH("P_USADOS",PY_ID,0),5)*N537+IF(P537&gt;0,O537/P537,0)+Q537)</f>
        <v>0.5</v>
      </c>
      <c r="W537" s="32" t="n">
        <f aca="false">J537*(INDEX(P_VAL,MATCH("CTRL_AÑO",P_ID,0))*L537+(1-INDEX(PY_VAL,MATCH("P_USADOS",PY_ID,0),6))*M537+INDEX(PY_VAL,MATCH("P_USADOS",PY_ID,0),6)*N537+IF(P537&gt;0,O537/P537,0)+Q537)</f>
        <v>0.5</v>
      </c>
      <c r="X537" s="32" t="n">
        <f aca="false">J537*(INDEX(P_VAL,MATCH("CTRL_AÑO",P_ID,0))*L537+(1-INDEX(PY_VAL,MATCH("P_USADOS",PY_ID,0),7))*M537+INDEX(PY_VAL,MATCH("P_USADOS",PY_ID,0),7)*N537+IF(P537&gt;0,O537/P537,0)+Q537)</f>
        <v>0.5</v>
      </c>
      <c r="Y537" s="32" t="n">
        <f aca="false">J537*(INDEX(P_VAL,MATCH("CTRL_AÑO",P_ID,0))*L537+(1-INDEX(PY_VAL,MATCH("P_USADOS",PY_ID,0),8))*M537+INDEX(PY_VAL,MATCH("P_USADOS",PY_ID,0),8)*N537+IF(P537&gt;0,O537/P537,0)+Q537)</f>
        <v>0.5</v>
      </c>
      <c r="Z537" s="32" t="n">
        <f aca="false">J537*(INDEX(P_VAL,MATCH("CTRL_AÑO",P_ID,0))*L537+(1-INDEX(PY_VAL,MATCH("P_USADOS",PY_ID,0),9))*M537+INDEX(PY_VAL,MATCH("P_USADOS",PY_ID,0),9)*N537+IF(P537&gt;0,O537/P537,0)+Q537)</f>
        <v>0.5</v>
      </c>
      <c r="AA537" s="32" t="n">
        <f aca="false">J537*(INDEX(P_VAL,MATCH("CTRL_AÑO",P_ID,0))*L537+(1-INDEX(PY_VAL,MATCH("P_USADOS",PY_ID,0),10))*M537+INDEX(PY_VAL,MATCH("P_USADOS",PY_ID,0),10)*N537+IF(P537&gt;0,O537/P537,0)+Q537)</f>
        <v>0.5</v>
      </c>
      <c r="AB537" s="5" t="s">
        <v>1346</v>
      </c>
    </row>
    <row r="538" customFormat="false" ht="15" hidden="false" customHeight="false" outlineLevel="0" collapsed="false">
      <c r="A538" s="4" t="s">
        <v>315</v>
      </c>
      <c r="B538" s="4" t="s">
        <v>1347</v>
      </c>
      <c r="C538" s="4" t="s">
        <v>1523</v>
      </c>
      <c r="D538" s="5" t="s">
        <v>1509</v>
      </c>
      <c r="E538" s="32" t="n">
        <v>1</v>
      </c>
      <c r="F538" s="32" t="s">
        <v>1489</v>
      </c>
      <c r="G538" s="33" t="s">
        <v>1385</v>
      </c>
      <c r="H538" s="32"/>
      <c r="I538" s="32"/>
      <c r="J538" s="32"/>
      <c r="K538" s="32"/>
      <c r="L538" s="32" t="n">
        <v>0</v>
      </c>
      <c r="M538" s="32" t="n">
        <v>0</v>
      </c>
      <c r="N538" s="32" t="n">
        <v>0</v>
      </c>
      <c r="O538" s="32" t="n">
        <v>0</v>
      </c>
      <c r="P538" s="32" t="n">
        <v>0</v>
      </c>
      <c r="Q538" s="32" t="n">
        <v>0</v>
      </c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5" t="s">
        <v>1490</v>
      </c>
    </row>
    <row r="539" customFormat="false" ht="15" hidden="false" customHeight="false" outlineLevel="0" collapsed="false">
      <c r="A539" s="4" t="s">
        <v>315</v>
      </c>
      <c r="B539" s="4" t="s">
        <v>1350</v>
      </c>
      <c r="C539" s="4" t="s">
        <v>1524</v>
      </c>
      <c r="D539" s="5" t="s">
        <v>1492</v>
      </c>
      <c r="E539" s="32" t="n">
        <v>1</v>
      </c>
      <c r="F539" s="32" t="s">
        <v>73</v>
      </c>
      <c r="G539" s="33" t="s">
        <v>1385</v>
      </c>
      <c r="H539" s="32"/>
      <c r="I539" s="32"/>
      <c r="J539" s="32"/>
      <c r="K539" s="32"/>
      <c r="L539" s="32" t="n">
        <v>0</v>
      </c>
      <c r="M539" s="32" t="n">
        <v>0</v>
      </c>
      <c r="N539" s="32" t="n">
        <v>0</v>
      </c>
      <c r="O539" s="32" t="n">
        <v>0</v>
      </c>
      <c r="P539" s="32" t="n">
        <v>0</v>
      </c>
      <c r="Q539" s="32" t="n">
        <v>0</v>
      </c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5" t="s">
        <v>1490</v>
      </c>
    </row>
    <row r="540" customFormat="false" ht="15" hidden="false" customHeight="false" outlineLevel="0" collapsed="false">
      <c r="A540" s="4" t="s">
        <v>315</v>
      </c>
      <c r="B540" s="4" t="s">
        <v>1347</v>
      </c>
      <c r="C540" s="4" t="s">
        <v>1525</v>
      </c>
      <c r="D540" s="5" t="s">
        <v>1509</v>
      </c>
      <c r="E540" s="32" t="n">
        <v>1</v>
      </c>
      <c r="F540" s="32" t="s">
        <v>1489</v>
      </c>
      <c r="G540" s="33" t="s">
        <v>1385</v>
      </c>
      <c r="H540" s="32"/>
      <c r="I540" s="32"/>
      <c r="J540" s="32"/>
      <c r="K540" s="32"/>
      <c r="L540" s="32" t="n">
        <v>0</v>
      </c>
      <c r="M540" s="32" t="n">
        <v>0</v>
      </c>
      <c r="N540" s="32" t="n">
        <v>0</v>
      </c>
      <c r="O540" s="32" t="n">
        <v>0</v>
      </c>
      <c r="P540" s="32" t="n">
        <v>0</v>
      </c>
      <c r="Q540" s="32" t="n">
        <v>0</v>
      </c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5" t="s">
        <v>1490</v>
      </c>
    </row>
    <row r="541" customFormat="false" ht="15" hidden="false" customHeight="false" outlineLevel="0" collapsed="false">
      <c r="A541" s="4" t="s">
        <v>315</v>
      </c>
      <c r="B541" s="4" t="s">
        <v>1350</v>
      </c>
      <c r="C541" s="4" t="s">
        <v>1526</v>
      </c>
      <c r="D541" s="5" t="s">
        <v>1492</v>
      </c>
      <c r="E541" s="32" t="n">
        <v>1</v>
      </c>
      <c r="F541" s="32" t="s">
        <v>73</v>
      </c>
      <c r="G541" s="33" t="s">
        <v>1385</v>
      </c>
      <c r="H541" s="32"/>
      <c r="I541" s="32"/>
      <c r="J541" s="32"/>
      <c r="K541" s="32"/>
      <c r="L541" s="32" t="n">
        <v>0</v>
      </c>
      <c r="M541" s="32" t="n">
        <v>0</v>
      </c>
      <c r="N541" s="32" t="n">
        <v>0</v>
      </c>
      <c r="O541" s="32" t="n">
        <v>0</v>
      </c>
      <c r="P541" s="32" t="n">
        <v>0</v>
      </c>
      <c r="Q541" s="32" t="n">
        <v>0</v>
      </c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5" t="s">
        <v>1490</v>
      </c>
    </row>
    <row r="542" customFormat="false" ht="15" hidden="false" customHeight="false" outlineLevel="0" collapsed="false">
      <c r="A542" s="4" t="s">
        <v>318</v>
      </c>
      <c r="B542" s="4" t="s">
        <v>1341</v>
      </c>
      <c r="C542" s="4" t="s">
        <v>1527</v>
      </c>
      <c r="D542" s="5" t="s">
        <v>1343</v>
      </c>
      <c r="E542" s="32" t="n">
        <v>1</v>
      </c>
      <c r="F542" s="32" t="s">
        <v>82</v>
      </c>
      <c r="G542" s="33" t="s">
        <v>1344</v>
      </c>
      <c r="H542" s="32" t="s">
        <v>1345</v>
      </c>
      <c r="I542" s="32" t="n">
        <v>1</v>
      </c>
      <c r="J542" s="32" t="n">
        <f aca="false">E542*I542</f>
        <v>1</v>
      </c>
      <c r="K542" s="32"/>
      <c r="L542" s="32" t="n">
        <v>1</v>
      </c>
      <c r="M542" s="32" t="n">
        <v>0</v>
      </c>
      <c r="N542" s="32" t="n">
        <v>0</v>
      </c>
      <c r="O542" s="32" t="n">
        <v>0</v>
      </c>
      <c r="P542" s="32" t="n">
        <v>5</v>
      </c>
      <c r="Q542" s="32" t="n">
        <v>0</v>
      </c>
      <c r="R542" s="32" t="n">
        <f aca="false">J542*(INDEX(P_VAL,MATCH("CTRL_AÑO",P_ID,0))*L542+(1-INDEX(PY_VAL,MATCH("P_USADOS",PY_ID,0),1))*M542+INDEX(PY_VAL,MATCH("P_USADOS",PY_ID,0),1)*N542+IF(P542&gt;0,O542/P542,0)+Q542)</f>
        <v>4</v>
      </c>
      <c r="S542" s="32" t="n">
        <f aca="false">J542*(INDEX(P_VAL,MATCH("CTRL_AÑO",P_ID,0))*L542+(1-INDEX(PY_VAL,MATCH("P_USADOS",PY_ID,0),2))*M542+INDEX(PY_VAL,MATCH("P_USADOS",PY_ID,0),2)*N542+IF(P542&gt;0,O542/P542,0)+Q542)</f>
        <v>4</v>
      </c>
      <c r="T542" s="32" t="n">
        <f aca="false">J542*(INDEX(P_VAL,MATCH("CTRL_AÑO",P_ID,0))*L542+(1-INDEX(PY_VAL,MATCH("P_USADOS",PY_ID,0),3))*M542+INDEX(PY_VAL,MATCH("P_USADOS",PY_ID,0),3)*N542+IF(P542&gt;0,O542/P542,0)+Q542)</f>
        <v>4</v>
      </c>
      <c r="U542" s="32" t="n">
        <f aca="false">J542*(INDEX(P_VAL,MATCH("CTRL_AÑO",P_ID,0))*L542+(1-INDEX(PY_VAL,MATCH("P_USADOS",PY_ID,0),4))*M542+INDEX(PY_VAL,MATCH("P_USADOS",PY_ID,0),4)*N542+IF(P542&gt;0,O542/P542,0)+Q542)</f>
        <v>4</v>
      </c>
      <c r="V542" s="32" t="n">
        <f aca="false">J542*(INDEX(P_VAL,MATCH("CTRL_AÑO",P_ID,0))*L542+(1-INDEX(PY_VAL,MATCH("P_USADOS",PY_ID,0),5))*M542+INDEX(PY_VAL,MATCH("P_USADOS",PY_ID,0),5)*N542+IF(P542&gt;0,O542/P542,0)+Q542)</f>
        <v>4</v>
      </c>
      <c r="W542" s="32" t="n">
        <f aca="false">J542*(INDEX(P_VAL,MATCH("CTRL_AÑO",P_ID,0))*L542+(1-INDEX(PY_VAL,MATCH("P_USADOS",PY_ID,0),6))*M542+INDEX(PY_VAL,MATCH("P_USADOS",PY_ID,0),6)*N542+IF(P542&gt;0,O542/P542,0)+Q542)</f>
        <v>4</v>
      </c>
      <c r="X542" s="32" t="n">
        <f aca="false">J542*(INDEX(P_VAL,MATCH("CTRL_AÑO",P_ID,0))*L542+(1-INDEX(PY_VAL,MATCH("P_USADOS",PY_ID,0),7))*M542+INDEX(PY_VAL,MATCH("P_USADOS",PY_ID,0),7)*N542+IF(P542&gt;0,O542/P542,0)+Q542)</f>
        <v>4</v>
      </c>
      <c r="Y542" s="32" t="n">
        <f aca="false">J542*(INDEX(P_VAL,MATCH("CTRL_AÑO",P_ID,0))*L542+(1-INDEX(PY_VAL,MATCH("P_USADOS",PY_ID,0),8))*M542+INDEX(PY_VAL,MATCH("P_USADOS",PY_ID,0),8)*N542+IF(P542&gt;0,O542/P542,0)+Q542)</f>
        <v>4</v>
      </c>
      <c r="Z542" s="32" t="n">
        <f aca="false">J542*(INDEX(P_VAL,MATCH("CTRL_AÑO",P_ID,0))*L542+(1-INDEX(PY_VAL,MATCH("P_USADOS",PY_ID,0),9))*M542+INDEX(PY_VAL,MATCH("P_USADOS",PY_ID,0),9)*N542+IF(P542&gt;0,O542/P542,0)+Q542)</f>
        <v>4</v>
      </c>
      <c r="AA542" s="32" t="n">
        <f aca="false">J542*(INDEX(P_VAL,MATCH("CTRL_AÑO",P_ID,0))*L542+(1-INDEX(PY_VAL,MATCH("P_USADOS",PY_ID,0),10))*M542+INDEX(PY_VAL,MATCH("P_USADOS",PY_ID,0),10)*N542+IF(P542&gt;0,O542/P542,0)+Q542)</f>
        <v>4</v>
      </c>
      <c r="AB542" s="5" t="s">
        <v>1346</v>
      </c>
    </row>
    <row r="543" customFormat="false" ht="15" hidden="false" customHeight="false" outlineLevel="0" collapsed="false">
      <c r="A543" s="4" t="s">
        <v>318</v>
      </c>
      <c r="B543" s="4" t="s">
        <v>1347</v>
      </c>
      <c r="C543" s="4" t="s">
        <v>1528</v>
      </c>
      <c r="D543" s="5" t="s">
        <v>1529</v>
      </c>
      <c r="E543" s="32" t="n">
        <v>1</v>
      </c>
      <c r="F543" s="32" t="s">
        <v>73</v>
      </c>
      <c r="G543" s="33" t="s">
        <v>1344</v>
      </c>
      <c r="H543" s="32" t="s">
        <v>1530</v>
      </c>
      <c r="I543" s="32" t="n">
        <v>1</v>
      </c>
      <c r="J543" s="32" t="n">
        <f aca="false">E543*I543</f>
        <v>1</v>
      </c>
      <c r="K543" s="32"/>
      <c r="L543" s="32" t="n">
        <v>0</v>
      </c>
      <c r="M543" s="32" t="n">
        <v>0.15</v>
      </c>
      <c r="N543" s="32" t="n">
        <v>5.15</v>
      </c>
      <c r="O543" s="32" t="n">
        <v>0</v>
      </c>
      <c r="P543" s="32" t="n">
        <v>5</v>
      </c>
      <c r="Q543" s="32" t="n">
        <v>0</v>
      </c>
      <c r="R543" s="32" t="n">
        <f aca="false">J543*(INDEX(P_VAL,MATCH("CTRL_AÑO",P_ID,0))*L543+(1-INDEX(PY_VAL,MATCH("P_USADOS",PY_ID,0),1))*M543+INDEX(PY_VAL,MATCH("P_USADOS",PY_ID,0),1)*N543+IF(P543&gt;0,O543/P543,0)+Q543)</f>
        <v>0.3882</v>
      </c>
      <c r="S543" s="32" t="n">
        <f aca="false">J543*(INDEX(P_VAL,MATCH("CTRL_AÑO",P_ID,0))*L543+(1-INDEX(PY_VAL,MATCH("P_USADOS",PY_ID,0),2))*M543+INDEX(PY_VAL,MATCH("P_USADOS",PY_ID,0),2)*N543+IF(P543&gt;0,O543/P543,0)+Q543)</f>
        <v>0.38818</v>
      </c>
      <c r="T543" s="32" t="n">
        <f aca="false">J543*(INDEX(P_VAL,MATCH("CTRL_AÑO",P_ID,0))*L543+(1-INDEX(PY_VAL,MATCH("P_USADOS",PY_ID,0),3))*M543+INDEX(PY_VAL,MATCH("P_USADOS",PY_ID,0),3)*N543+IF(P543&gt;0,O543/P543,0)+Q543)</f>
        <v>0.388185</v>
      </c>
      <c r="U543" s="32" t="n">
        <f aca="false">J543*(INDEX(P_VAL,MATCH("CTRL_AÑO",P_ID,0))*L543+(1-INDEX(PY_VAL,MATCH("P_USADOS",PY_ID,0),4))*M543+INDEX(PY_VAL,MATCH("P_USADOS",PY_ID,0),4)*N543+IF(P543&gt;0,O543/P543,0)+Q543)</f>
        <v>0.388195</v>
      </c>
      <c r="V543" s="32" t="n">
        <f aca="false">J543*(INDEX(P_VAL,MATCH("CTRL_AÑO",P_ID,0))*L543+(1-INDEX(PY_VAL,MATCH("P_USADOS",PY_ID,0),5))*M543+INDEX(PY_VAL,MATCH("P_USADOS",PY_ID,0),5)*N543+IF(P543&gt;0,O543/P543,0)+Q543)</f>
        <v>0.38818</v>
      </c>
      <c r="W543" s="32" t="n">
        <f aca="false">J543*(INDEX(P_VAL,MATCH("CTRL_AÑO",P_ID,0))*L543+(1-INDEX(PY_VAL,MATCH("P_USADOS",PY_ID,0),6))*M543+INDEX(PY_VAL,MATCH("P_USADOS",PY_ID,0),6)*N543+IF(P543&gt;0,O543/P543,0)+Q543)</f>
        <v>0.388185</v>
      </c>
      <c r="X543" s="32" t="n">
        <f aca="false">J543*(INDEX(P_VAL,MATCH("CTRL_AÑO",P_ID,0))*L543+(1-INDEX(PY_VAL,MATCH("P_USADOS",PY_ID,0),7))*M543+INDEX(PY_VAL,MATCH("P_USADOS",PY_ID,0),7)*N543+IF(P543&gt;0,O543/P543,0)+Q543)</f>
        <v>0.38818</v>
      </c>
      <c r="Y543" s="32" t="n">
        <f aca="false">J543*(INDEX(P_VAL,MATCH("CTRL_AÑO",P_ID,0))*L543+(1-INDEX(PY_VAL,MATCH("P_USADOS",PY_ID,0),8))*M543+INDEX(PY_VAL,MATCH("P_USADOS",PY_ID,0),8)*N543+IF(P543&gt;0,O543/P543,0)+Q543)</f>
        <v>0.38819</v>
      </c>
      <c r="Z543" s="32" t="n">
        <f aca="false">J543*(INDEX(P_VAL,MATCH("CTRL_AÑO",P_ID,0))*L543+(1-INDEX(PY_VAL,MATCH("P_USADOS",PY_ID,0),9))*M543+INDEX(PY_VAL,MATCH("P_USADOS",PY_ID,0),9)*N543+IF(P543&gt;0,O543/P543,0)+Q543)</f>
        <v>0.38818</v>
      </c>
      <c r="AA543" s="32" t="n">
        <f aca="false">J543*(INDEX(P_VAL,MATCH("CTRL_AÑO",P_ID,0))*L543+(1-INDEX(PY_VAL,MATCH("P_USADOS",PY_ID,0),10))*M543+INDEX(PY_VAL,MATCH("P_USADOS",PY_ID,0),10)*N543+IF(P543&gt;0,O543/P543,0)+Q543)</f>
        <v>0.388165</v>
      </c>
      <c r="AB543" s="5" t="s">
        <v>1346</v>
      </c>
    </row>
    <row r="544" customFormat="false" ht="15" hidden="false" customHeight="false" outlineLevel="0" collapsed="false">
      <c r="A544" s="4" t="s">
        <v>318</v>
      </c>
      <c r="B544" s="4" t="s">
        <v>1350</v>
      </c>
      <c r="C544" s="4" t="s">
        <v>1531</v>
      </c>
      <c r="D544" s="5" t="s">
        <v>571</v>
      </c>
      <c r="E544" s="32" t="n">
        <v>1</v>
      </c>
      <c r="F544" s="32" t="s">
        <v>73</v>
      </c>
      <c r="G544" s="33" t="s">
        <v>1344</v>
      </c>
      <c r="H544" s="32" t="s">
        <v>573</v>
      </c>
      <c r="I544" s="32" t="n">
        <f aca="false">(1+INDEX(P_VAL,MATCH("N2_PERD",P_ID,0)))/INDEX(P_VAL,MATCH("RHO_N2",P_ID,0))</f>
        <v>1.0406660262568</v>
      </c>
      <c r="J544" s="32" t="n">
        <f aca="false">E544*I544</f>
        <v>1.0406660262568</v>
      </c>
      <c r="K544" s="32"/>
      <c r="L544" s="32" t="n">
        <v>0</v>
      </c>
      <c r="M544" s="32" t="n">
        <v>0.00479104586487373</v>
      </c>
      <c r="N544" s="32" t="n">
        <v>0.00479104586487373</v>
      </c>
      <c r="O544" s="32" t="n">
        <v>0</v>
      </c>
      <c r="P544" s="32" t="n">
        <v>5</v>
      </c>
      <c r="Q544" s="32" t="n">
        <v>0</v>
      </c>
      <c r="R544" s="32" t="n">
        <f aca="false">J544*(INDEX(P_VAL,MATCH("CTRL_AÑO",P_ID,0))*L544+(1-INDEX(PY_VAL,MATCH("P_USADOS",PY_ID,0),1))*M544+INDEX(PY_VAL,MATCH("P_USADOS",PY_ID,0),1)*N544+IF(P544&gt;0,O544/P544,0)+Q544)</f>
        <v>0.00498587866181224</v>
      </c>
      <c r="S544" s="32" t="n">
        <f aca="false">J544*(INDEX(P_VAL,MATCH("CTRL_AÑO",P_ID,0))*L544+(1-INDEX(PY_VAL,MATCH("P_USADOS",PY_ID,0),2))*M544+INDEX(PY_VAL,MATCH("P_USADOS",PY_ID,0),2)*N544+IF(P544&gt;0,O544/P544,0)+Q544)</f>
        <v>0.00498587866181224</v>
      </c>
      <c r="T544" s="32" t="n">
        <f aca="false">J544*(INDEX(P_VAL,MATCH("CTRL_AÑO",P_ID,0))*L544+(1-INDEX(PY_VAL,MATCH("P_USADOS",PY_ID,0),3))*M544+INDEX(PY_VAL,MATCH("P_USADOS",PY_ID,0),3)*N544+IF(P544&gt;0,O544/P544,0)+Q544)</f>
        <v>0.00498587866181224</v>
      </c>
      <c r="U544" s="32" t="n">
        <f aca="false">J544*(INDEX(P_VAL,MATCH("CTRL_AÑO",P_ID,0))*L544+(1-INDEX(PY_VAL,MATCH("P_USADOS",PY_ID,0),4))*M544+INDEX(PY_VAL,MATCH("P_USADOS",PY_ID,0),4)*N544+IF(P544&gt;0,O544/P544,0)+Q544)</f>
        <v>0.00498587866181224</v>
      </c>
      <c r="V544" s="32" t="n">
        <f aca="false">J544*(INDEX(P_VAL,MATCH("CTRL_AÑO",P_ID,0))*L544+(1-INDEX(PY_VAL,MATCH("P_USADOS",PY_ID,0),5))*M544+INDEX(PY_VAL,MATCH("P_USADOS",PY_ID,0),5)*N544+IF(P544&gt;0,O544/P544,0)+Q544)</f>
        <v>0.00498587866181224</v>
      </c>
      <c r="W544" s="32" t="n">
        <f aca="false">J544*(INDEX(P_VAL,MATCH("CTRL_AÑO",P_ID,0))*L544+(1-INDEX(PY_VAL,MATCH("P_USADOS",PY_ID,0),6))*M544+INDEX(PY_VAL,MATCH("P_USADOS",PY_ID,0),6)*N544+IF(P544&gt;0,O544/P544,0)+Q544)</f>
        <v>0.00498587866181224</v>
      </c>
      <c r="X544" s="32" t="n">
        <f aca="false">J544*(INDEX(P_VAL,MATCH("CTRL_AÑO",P_ID,0))*L544+(1-INDEX(PY_VAL,MATCH("P_USADOS",PY_ID,0),7))*M544+INDEX(PY_VAL,MATCH("P_USADOS",PY_ID,0),7)*N544+IF(P544&gt;0,O544/P544,0)+Q544)</f>
        <v>0.00498587866181224</v>
      </c>
      <c r="Y544" s="32" t="n">
        <f aca="false">J544*(INDEX(P_VAL,MATCH("CTRL_AÑO",P_ID,0))*L544+(1-INDEX(PY_VAL,MATCH("P_USADOS",PY_ID,0),8))*M544+INDEX(PY_VAL,MATCH("P_USADOS",PY_ID,0),8)*N544+IF(P544&gt;0,O544/P544,0)+Q544)</f>
        <v>0.00498587866181224</v>
      </c>
      <c r="Z544" s="32" t="n">
        <f aca="false">J544*(INDEX(P_VAL,MATCH("CTRL_AÑO",P_ID,0))*L544+(1-INDEX(PY_VAL,MATCH("P_USADOS",PY_ID,0),9))*M544+INDEX(PY_VAL,MATCH("P_USADOS",PY_ID,0),9)*N544+IF(P544&gt;0,O544/P544,0)+Q544)</f>
        <v>0.00498587866181224</v>
      </c>
      <c r="AA544" s="32" t="n">
        <f aca="false">J544*(INDEX(P_VAL,MATCH("CTRL_AÑO",P_ID,0))*L544+(1-INDEX(PY_VAL,MATCH("P_USADOS",PY_ID,0),10))*M544+INDEX(PY_VAL,MATCH("P_USADOS",PY_ID,0),10)*N544+IF(P544&gt;0,O544/P544,0)+Q544)</f>
        <v>0.00498587866181224</v>
      </c>
      <c r="AB544" s="5" t="s">
        <v>1346</v>
      </c>
    </row>
    <row r="545" customFormat="false" ht="15" hidden="false" customHeight="false" outlineLevel="0" collapsed="false">
      <c r="A545" s="4" t="s">
        <v>318</v>
      </c>
      <c r="B545" s="4" t="s">
        <v>1352</v>
      </c>
      <c r="C545" s="4" t="s">
        <v>1532</v>
      </c>
      <c r="D545" s="5" t="s">
        <v>1354</v>
      </c>
      <c r="E545" s="32" t="n">
        <v>1</v>
      </c>
      <c r="F545" s="32" t="s">
        <v>82</v>
      </c>
      <c r="G545" s="33" t="s">
        <v>1344</v>
      </c>
      <c r="H545" s="32" t="s">
        <v>1355</v>
      </c>
      <c r="I545" s="32" t="n">
        <v>1</v>
      </c>
      <c r="J545" s="32" t="n">
        <f aca="false">E545*I545</f>
        <v>1</v>
      </c>
      <c r="K545" s="32"/>
      <c r="L545" s="32" t="n">
        <v>0</v>
      </c>
      <c r="M545" s="32" t="n">
        <v>1</v>
      </c>
      <c r="N545" s="32" t="n">
        <v>1</v>
      </c>
      <c r="O545" s="32" t="n">
        <v>0</v>
      </c>
      <c r="P545" s="32" t="n">
        <v>5</v>
      </c>
      <c r="Q545" s="32" t="n">
        <v>0</v>
      </c>
      <c r="R545" s="32" t="n">
        <f aca="false">J545*(INDEX(P_VAL,MATCH("CTRL_AÑO",P_ID,0))*L545+(1-INDEX(PY_VAL,MATCH("P_USADOS",PY_ID,0),1))*M545+INDEX(PY_VAL,MATCH("P_USADOS",PY_ID,0),1)*N545+IF(P545&gt;0,O545/P545,0)+Q545)</f>
        <v>1</v>
      </c>
      <c r="S545" s="32" t="n">
        <f aca="false">J545*(INDEX(P_VAL,MATCH("CTRL_AÑO",P_ID,0))*L545+(1-INDEX(PY_VAL,MATCH("P_USADOS",PY_ID,0),2))*M545+INDEX(PY_VAL,MATCH("P_USADOS",PY_ID,0),2)*N545+IF(P545&gt;0,O545/P545,0)+Q545)</f>
        <v>1</v>
      </c>
      <c r="T545" s="32" t="n">
        <f aca="false">J545*(INDEX(P_VAL,MATCH("CTRL_AÑO",P_ID,0))*L545+(1-INDEX(PY_VAL,MATCH("P_USADOS",PY_ID,0),3))*M545+INDEX(PY_VAL,MATCH("P_USADOS",PY_ID,0),3)*N545+IF(P545&gt;0,O545/P545,0)+Q545)</f>
        <v>1</v>
      </c>
      <c r="U545" s="32" t="n">
        <f aca="false">J545*(INDEX(P_VAL,MATCH("CTRL_AÑO",P_ID,0))*L545+(1-INDEX(PY_VAL,MATCH("P_USADOS",PY_ID,0),4))*M545+INDEX(PY_VAL,MATCH("P_USADOS",PY_ID,0),4)*N545+IF(P545&gt;0,O545/P545,0)+Q545)</f>
        <v>1</v>
      </c>
      <c r="V545" s="32" t="n">
        <f aca="false">J545*(INDEX(P_VAL,MATCH("CTRL_AÑO",P_ID,0))*L545+(1-INDEX(PY_VAL,MATCH("P_USADOS",PY_ID,0),5))*M545+INDEX(PY_VAL,MATCH("P_USADOS",PY_ID,0),5)*N545+IF(P545&gt;0,O545/P545,0)+Q545)</f>
        <v>1</v>
      </c>
      <c r="W545" s="32" t="n">
        <f aca="false">J545*(INDEX(P_VAL,MATCH("CTRL_AÑO",P_ID,0))*L545+(1-INDEX(PY_VAL,MATCH("P_USADOS",PY_ID,0),6))*M545+INDEX(PY_VAL,MATCH("P_USADOS",PY_ID,0),6)*N545+IF(P545&gt;0,O545/P545,0)+Q545)</f>
        <v>1</v>
      </c>
      <c r="X545" s="32" t="n">
        <f aca="false">J545*(INDEX(P_VAL,MATCH("CTRL_AÑO",P_ID,0))*L545+(1-INDEX(PY_VAL,MATCH("P_USADOS",PY_ID,0),7))*M545+INDEX(PY_VAL,MATCH("P_USADOS",PY_ID,0),7)*N545+IF(P545&gt;0,O545/P545,0)+Q545)</f>
        <v>1</v>
      </c>
      <c r="Y545" s="32" t="n">
        <f aca="false">J545*(INDEX(P_VAL,MATCH("CTRL_AÑO",P_ID,0))*L545+(1-INDEX(PY_VAL,MATCH("P_USADOS",PY_ID,0),8))*M545+INDEX(PY_VAL,MATCH("P_USADOS",PY_ID,0),8)*N545+IF(P545&gt;0,O545/P545,0)+Q545)</f>
        <v>1</v>
      </c>
      <c r="Z545" s="32" t="n">
        <f aca="false">J545*(INDEX(P_VAL,MATCH("CTRL_AÑO",P_ID,0))*L545+(1-INDEX(PY_VAL,MATCH("P_USADOS",PY_ID,0),9))*M545+INDEX(PY_VAL,MATCH("P_USADOS",PY_ID,0),9)*N545+IF(P545&gt;0,O545/P545,0)+Q545)</f>
        <v>1</v>
      </c>
      <c r="AA545" s="32" t="n">
        <f aca="false">J545*(INDEX(P_VAL,MATCH("CTRL_AÑO",P_ID,0))*L545+(1-INDEX(PY_VAL,MATCH("P_USADOS",PY_ID,0),10))*M545+INDEX(PY_VAL,MATCH("P_USADOS",PY_ID,0),10)*N545+IF(P545&gt;0,O545/P545,0)+Q545)</f>
        <v>1</v>
      </c>
      <c r="AB545" s="5" t="s">
        <v>1346</v>
      </c>
    </row>
    <row r="546" customFormat="false" ht="15" hidden="false" customHeight="false" outlineLevel="0" collapsed="false">
      <c r="A546" s="4" t="s">
        <v>318</v>
      </c>
      <c r="B546" s="4" t="s">
        <v>1356</v>
      </c>
      <c r="C546" s="4" t="s">
        <v>1533</v>
      </c>
      <c r="D546" s="5" t="s">
        <v>1358</v>
      </c>
      <c r="E546" s="32" t="n">
        <v>1</v>
      </c>
      <c r="F546" s="32" t="s">
        <v>82</v>
      </c>
      <c r="G546" s="33" t="s">
        <v>1344</v>
      </c>
      <c r="H546" s="32" t="s">
        <v>1359</v>
      </c>
      <c r="I546" s="32" t="n">
        <v>1</v>
      </c>
      <c r="J546" s="32" t="n">
        <f aca="false">E546*I546</f>
        <v>1</v>
      </c>
      <c r="K546" s="32"/>
      <c r="L546" s="32" t="n">
        <v>0</v>
      </c>
      <c r="M546" s="32" t="n">
        <v>1</v>
      </c>
      <c r="N546" s="32" t="n">
        <v>1</v>
      </c>
      <c r="O546" s="32" t="n">
        <v>0</v>
      </c>
      <c r="P546" s="32" t="n">
        <v>5</v>
      </c>
      <c r="Q546" s="32" t="n">
        <v>0</v>
      </c>
      <c r="R546" s="32" t="n">
        <f aca="false">J546*(INDEX(P_VAL,MATCH("CTRL_AÑO",P_ID,0))*L546+(1-INDEX(PY_VAL,MATCH("P_USADOS",PY_ID,0),1))*M546+INDEX(PY_VAL,MATCH("P_USADOS",PY_ID,0),1)*N546+IF(P546&gt;0,O546/P546,0)+Q546)</f>
        <v>1</v>
      </c>
      <c r="S546" s="32" t="n">
        <f aca="false">J546*(INDEX(P_VAL,MATCH("CTRL_AÑO",P_ID,0))*L546+(1-INDEX(PY_VAL,MATCH("P_USADOS",PY_ID,0),2))*M546+INDEX(PY_VAL,MATCH("P_USADOS",PY_ID,0),2)*N546+IF(P546&gt;0,O546/P546,0)+Q546)</f>
        <v>1</v>
      </c>
      <c r="T546" s="32" t="n">
        <f aca="false">J546*(INDEX(P_VAL,MATCH("CTRL_AÑO",P_ID,0))*L546+(1-INDEX(PY_VAL,MATCH("P_USADOS",PY_ID,0),3))*M546+INDEX(PY_VAL,MATCH("P_USADOS",PY_ID,0),3)*N546+IF(P546&gt;0,O546/P546,0)+Q546)</f>
        <v>1</v>
      </c>
      <c r="U546" s="32" t="n">
        <f aca="false">J546*(INDEX(P_VAL,MATCH("CTRL_AÑO",P_ID,0))*L546+(1-INDEX(PY_VAL,MATCH("P_USADOS",PY_ID,0),4))*M546+INDEX(PY_VAL,MATCH("P_USADOS",PY_ID,0),4)*N546+IF(P546&gt;0,O546/P546,0)+Q546)</f>
        <v>1</v>
      </c>
      <c r="V546" s="32" t="n">
        <f aca="false">J546*(INDEX(P_VAL,MATCH("CTRL_AÑO",P_ID,0))*L546+(1-INDEX(PY_VAL,MATCH("P_USADOS",PY_ID,0),5))*M546+INDEX(PY_VAL,MATCH("P_USADOS",PY_ID,0),5)*N546+IF(P546&gt;0,O546/P546,0)+Q546)</f>
        <v>1</v>
      </c>
      <c r="W546" s="32" t="n">
        <f aca="false">J546*(INDEX(P_VAL,MATCH("CTRL_AÑO",P_ID,0))*L546+(1-INDEX(PY_VAL,MATCH("P_USADOS",PY_ID,0),6))*M546+INDEX(PY_VAL,MATCH("P_USADOS",PY_ID,0),6)*N546+IF(P546&gt;0,O546/P546,0)+Q546)</f>
        <v>1</v>
      </c>
      <c r="X546" s="32" t="n">
        <f aca="false">J546*(INDEX(P_VAL,MATCH("CTRL_AÑO",P_ID,0))*L546+(1-INDEX(PY_VAL,MATCH("P_USADOS",PY_ID,0),7))*M546+INDEX(PY_VAL,MATCH("P_USADOS",PY_ID,0),7)*N546+IF(P546&gt;0,O546/P546,0)+Q546)</f>
        <v>1</v>
      </c>
      <c r="Y546" s="32" t="n">
        <f aca="false">J546*(INDEX(P_VAL,MATCH("CTRL_AÑO",P_ID,0))*L546+(1-INDEX(PY_VAL,MATCH("P_USADOS",PY_ID,0),8))*M546+INDEX(PY_VAL,MATCH("P_USADOS",PY_ID,0),8)*N546+IF(P546&gt;0,O546/P546,0)+Q546)</f>
        <v>1</v>
      </c>
      <c r="Z546" s="32" t="n">
        <f aca="false">J546*(INDEX(P_VAL,MATCH("CTRL_AÑO",P_ID,0))*L546+(1-INDEX(PY_VAL,MATCH("P_USADOS",PY_ID,0),9))*M546+INDEX(PY_VAL,MATCH("P_USADOS",PY_ID,0),9)*N546+IF(P546&gt;0,O546/P546,0)+Q546)</f>
        <v>1</v>
      </c>
      <c r="AA546" s="32" t="n">
        <f aca="false">J546*(INDEX(P_VAL,MATCH("CTRL_AÑO",P_ID,0))*L546+(1-INDEX(PY_VAL,MATCH("P_USADOS",PY_ID,0),10))*M546+INDEX(PY_VAL,MATCH("P_USADOS",PY_ID,0),10)*N546+IF(P546&gt;0,O546/P546,0)+Q546)</f>
        <v>1</v>
      </c>
      <c r="AB546" s="5" t="s">
        <v>1346</v>
      </c>
    </row>
    <row r="547" customFormat="false" ht="15" hidden="false" customHeight="false" outlineLevel="0" collapsed="false">
      <c r="A547" s="4" t="s">
        <v>318</v>
      </c>
      <c r="B547" s="4" t="s">
        <v>1360</v>
      </c>
      <c r="C547" s="4" t="s">
        <v>1534</v>
      </c>
      <c r="D547" s="5" t="s">
        <v>1362</v>
      </c>
      <c r="E547" s="32" t="n">
        <v>1</v>
      </c>
      <c r="F547" s="32" t="s">
        <v>82</v>
      </c>
      <c r="G547" s="33" t="s">
        <v>1344</v>
      </c>
      <c r="H547" s="32" t="s">
        <v>1363</v>
      </c>
      <c r="I547" s="32" t="n">
        <v>1</v>
      </c>
      <c r="J547" s="32" t="n">
        <f aca="false">E547*I547</f>
        <v>1</v>
      </c>
      <c r="K547" s="32"/>
      <c r="L547" s="32" t="n">
        <v>0</v>
      </c>
      <c r="M547" s="32" t="n">
        <v>1</v>
      </c>
      <c r="N547" s="32" t="n">
        <v>1</v>
      </c>
      <c r="O547" s="32" t="n">
        <v>0</v>
      </c>
      <c r="P547" s="32" t="n">
        <v>5</v>
      </c>
      <c r="Q547" s="32" t="n">
        <v>0</v>
      </c>
      <c r="R547" s="32" t="n">
        <f aca="false">J547*(INDEX(P_VAL,MATCH("CTRL_AÑO",P_ID,0))*L547+(1-INDEX(PY_VAL,MATCH("P_USADOS",PY_ID,0),1))*M547+INDEX(PY_VAL,MATCH("P_USADOS",PY_ID,0),1)*N547+IF(P547&gt;0,O547/P547,0)+Q547)</f>
        <v>1</v>
      </c>
      <c r="S547" s="32" t="n">
        <f aca="false">J547*(INDEX(P_VAL,MATCH("CTRL_AÑO",P_ID,0))*L547+(1-INDEX(PY_VAL,MATCH("P_USADOS",PY_ID,0),2))*M547+INDEX(PY_VAL,MATCH("P_USADOS",PY_ID,0),2)*N547+IF(P547&gt;0,O547/P547,0)+Q547)</f>
        <v>1</v>
      </c>
      <c r="T547" s="32" t="n">
        <f aca="false">J547*(INDEX(P_VAL,MATCH("CTRL_AÑO",P_ID,0))*L547+(1-INDEX(PY_VAL,MATCH("P_USADOS",PY_ID,0),3))*M547+INDEX(PY_VAL,MATCH("P_USADOS",PY_ID,0),3)*N547+IF(P547&gt;0,O547/P547,0)+Q547)</f>
        <v>1</v>
      </c>
      <c r="U547" s="32" t="n">
        <f aca="false">J547*(INDEX(P_VAL,MATCH("CTRL_AÑO",P_ID,0))*L547+(1-INDEX(PY_VAL,MATCH("P_USADOS",PY_ID,0),4))*M547+INDEX(PY_VAL,MATCH("P_USADOS",PY_ID,0),4)*N547+IF(P547&gt;0,O547/P547,0)+Q547)</f>
        <v>1</v>
      </c>
      <c r="V547" s="32" t="n">
        <f aca="false">J547*(INDEX(P_VAL,MATCH("CTRL_AÑO",P_ID,0))*L547+(1-INDEX(PY_VAL,MATCH("P_USADOS",PY_ID,0),5))*M547+INDEX(PY_VAL,MATCH("P_USADOS",PY_ID,0),5)*N547+IF(P547&gt;0,O547/P547,0)+Q547)</f>
        <v>1</v>
      </c>
      <c r="W547" s="32" t="n">
        <f aca="false">J547*(INDEX(P_VAL,MATCH("CTRL_AÑO",P_ID,0))*L547+(1-INDEX(PY_VAL,MATCH("P_USADOS",PY_ID,0),6))*M547+INDEX(PY_VAL,MATCH("P_USADOS",PY_ID,0),6)*N547+IF(P547&gt;0,O547/P547,0)+Q547)</f>
        <v>1</v>
      </c>
      <c r="X547" s="32" t="n">
        <f aca="false">J547*(INDEX(P_VAL,MATCH("CTRL_AÑO",P_ID,0))*L547+(1-INDEX(PY_VAL,MATCH("P_USADOS",PY_ID,0),7))*M547+INDEX(PY_VAL,MATCH("P_USADOS",PY_ID,0),7)*N547+IF(P547&gt;0,O547/P547,0)+Q547)</f>
        <v>1</v>
      </c>
      <c r="Y547" s="32" t="n">
        <f aca="false">J547*(INDEX(P_VAL,MATCH("CTRL_AÑO",P_ID,0))*L547+(1-INDEX(PY_VAL,MATCH("P_USADOS",PY_ID,0),8))*M547+INDEX(PY_VAL,MATCH("P_USADOS",PY_ID,0),8)*N547+IF(P547&gt;0,O547/P547,0)+Q547)</f>
        <v>1</v>
      </c>
      <c r="Z547" s="32" t="n">
        <f aca="false">J547*(INDEX(P_VAL,MATCH("CTRL_AÑO",P_ID,0))*L547+(1-INDEX(PY_VAL,MATCH("P_USADOS",PY_ID,0),9))*M547+INDEX(PY_VAL,MATCH("P_USADOS",PY_ID,0),9)*N547+IF(P547&gt;0,O547/P547,0)+Q547)</f>
        <v>1</v>
      </c>
      <c r="AA547" s="32" t="n">
        <f aca="false">J547*(INDEX(P_VAL,MATCH("CTRL_AÑO",P_ID,0))*L547+(1-INDEX(PY_VAL,MATCH("P_USADOS",PY_ID,0),10))*M547+INDEX(PY_VAL,MATCH("P_USADOS",PY_ID,0),10)*N547+IF(P547&gt;0,O547/P547,0)+Q547)</f>
        <v>1</v>
      </c>
      <c r="AB547" s="5" t="s">
        <v>1346</v>
      </c>
    </row>
    <row r="548" customFormat="false" ht="15" hidden="false" customHeight="false" outlineLevel="0" collapsed="false">
      <c r="A548" s="4" t="s">
        <v>318</v>
      </c>
      <c r="B548" s="4" t="s">
        <v>1364</v>
      </c>
      <c r="C548" s="4" t="s">
        <v>1535</v>
      </c>
      <c r="D548" s="5" t="s">
        <v>1366</v>
      </c>
      <c r="E548" s="32" t="n">
        <v>1</v>
      </c>
      <c r="F548" s="32" t="s">
        <v>82</v>
      </c>
      <c r="G548" s="33" t="s">
        <v>1344</v>
      </c>
      <c r="H548" s="32" t="s">
        <v>1367</v>
      </c>
      <c r="I548" s="32" t="n">
        <v>1</v>
      </c>
      <c r="J548" s="32" t="n">
        <f aca="false">E548*I548</f>
        <v>1</v>
      </c>
      <c r="K548" s="32" t="s">
        <v>582</v>
      </c>
      <c r="L548" s="32" t="n">
        <v>0</v>
      </c>
      <c r="M548" s="32" t="n">
        <v>1</v>
      </c>
      <c r="N548" s="32" t="n">
        <v>1</v>
      </c>
      <c r="O548" s="32" t="n">
        <v>0</v>
      </c>
      <c r="P548" s="32" t="n">
        <v>5</v>
      </c>
      <c r="Q548" s="32" t="n">
        <v>0</v>
      </c>
      <c r="R548" s="32" t="n">
        <f aca="false">J548*(INDEX(P_VAL,MATCH("CTRL_AÑO",P_ID,0))*L548+(1-INDEX(PY_VAL,MATCH("P_USADOS",PY_ID,0),1))*M548+INDEX(PY_VAL,MATCH("P_USADOS",PY_ID,0),1)*N548+IF(P548&gt;0,O548/P548,0)+Q548)</f>
        <v>1</v>
      </c>
      <c r="S548" s="32" t="n">
        <f aca="false">J548*(INDEX(P_VAL,MATCH("CTRL_AÑO",P_ID,0))*L548+(1-INDEX(PY_VAL,MATCH("P_USADOS",PY_ID,0),2))*M548+INDEX(PY_VAL,MATCH("P_USADOS",PY_ID,0),2)*N548+IF(P548&gt;0,O548/P548,0)+Q548)</f>
        <v>1</v>
      </c>
      <c r="T548" s="32" t="n">
        <f aca="false">J548*(INDEX(P_VAL,MATCH("CTRL_AÑO",P_ID,0))*L548+(1-INDEX(PY_VAL,MATCH("P_USADOS",PY_ID,0),3))*M548+INDEX(PY_VAL,MATCH("P_USADOS",PY_ID,0),3)*N548+IF(P548&gt;0,O548/P548,0)+Q548)</f>
        <v>1</v>
      </c>
      <c r="U548" s="32" t="n">
        <f aca="false">J548*(INDEX(P_VAL,MATCH("CTRL_AÑO",P_ID,0))*L548+(1-INDEX(PY_VAL,MATCH("P_USADOS",PY_ID,0),4))*M548+INDEX(PY_VAL,MATCH("P_USADOS",PY_ID,0),4)*N548+IF(P548&gt;0,O548/P548,0)+Q548)</f>
        <v>1</v>
      </c>
      <c r="V548" s="32" t="n">
        <f aca="false">J548*(INDEX(P_VAL,MATCH("CTRL_AÑO",P_ID,0))*L548+(1-INDEX(PY_VAL,MATCH("P_USADOS",PY_ID,0),5))*M548+INDEX(PY_VAL,MATCH("P_USADOS",PY_ID,0),5)*N548+IF(P548&gt;0,O548/P548,0)+Q548)</f>
        <v>1</v>
      </c>
      <c r="W548" s="32" t="n">
        <f aca="false">J548*(INDEX(P_VAL,MATCH("CTRL_AÑO",P_ID,0))*L548+(1-INDEX(PY_VAL,MATCH("P_USADOS",PY_ID,0),6))*M548+INDEX(PY_VAL,MATCH("P_USADOS",PY_ID,0),6)*N548+IF(P548&gt;0,O548/P548,0)+Q548)</f>
        <v>1</v>
      </c>
      <c r="X548" s="32" t="n">
        <f aca="false">J548*(INDEX(P_VAL,MATCH("CTRL_AÑO",P_ID,0))*L548+(1-INDEX(PY_VAL,MATCH("P_USADOS",PY_ID,0),7))*M548+INDEX(PY_VAL,MATCH("P_USADOS",PY_ID,0),7)*N548+IF(P548&gt;0,O548/P548,0)+Q548)</f>
        <v>1</v>
      </c>
      <c r="Y548" s="32" t="n">
        <f aca="false">J548*(INDEX(P_VAL,MATCH("CTRL_AÑO",P_ID,0))*L548+(1-INDEX(PY_VAL,MATCH("P_USADOS",PY_ID,0),8))*M548+INDEX(PY_VAL,MATCH("P_USADOS",PY_ID,0),8)*N548+IF(P548&gt;0,O548/P548,0)+Q548)</f>
        <v>1</v>
      </c>
      <c r="Z548" s="32" t="n">
        <f aca="false">J548*(INDEX(P_VAL,MATCH("CTRL_AÑO",P_ID,0))*L548+(1-INDEX(PY_VAL,MATCH("P_USADOS",PY_ID,0),9))*M548+INDEX(PY_VAL,MATCH("P_USADOS",PY_ID,0),9)*N548+IF(P548&gt;0,O548/P548,0)+Q548)</f>
        <v>1</v>
      </c>
      <c r="AA548" s="32" t="n">
        <f aca="false">J548*(INDEX(P_VAL,MATCH("CTRL_AÑO",P_ID,0))*L548+(1-INDEX(PY_VAL,MATCH("P_USADOS",PY_ID,0),10))*M548+INDEX(PY_VAL,MATCH("P_USADOS",PY_ID,0),10)*N548+IF(P548&gt;0,O548/P548,0)+Q548)</f>
        <v>1</v>
      </c>
      <c r="AB548" s="5" t="s">
        <v>1346</v>
      </c>
    </row>
    <row r="549" customFormat="false" ht="15" hidden="false" customHeight="false" outlineLevel="0" collapsed="false">
      <c r="A549" s="4" t="s">
        <v>318</v>
      </c>
      <c r="B549" s="4" t="s">
        <v>1368</v>
      </c>
      <c r="C549" s="4" t="s">
        <v>1536</v>
      </c>
      <c r="D549" s="5" t="s">
        <v>1370</v>
      </c>
      <c r="E549" s="32" t="n">
        <v>1</v>
      </c>
      <c r="F549" s="32" t="s">
        <v>82</v>
      </c>
      <c r="G549" s="33" t="s">
        <v>1344</v>
      </c>
      <c r="H549" s="32" t="s">
        <v>1371</v>
      </c>
      <c r="I549" s="32" t="n">
        <v>1</v>
      </c>
      <c r="J549" s="32" t="n">
        <f aca="false">E549*I549</f>
        <v>1</v>
      </c>
      <c r="K549" s="32" t="s">
        <v>582</v>
      </c>
      <c r="L549" s="32" t="n">
        <v>0</v>
      </c>
      <c r="M549" s="32" t="n">
        <v>1</v>
      </c>
      <c r="N549" s="32" t="n">
        <v>1</v>
      </c>
      <c r="O549" s="32" t="n">
        <v>0</v>
      </c>
      <c r="P549" s="32" t="n">
        <v>5</v>
      </c>
      <c r="Q549" s="32" t="n">
        <v>0</v>
      </c>
      <c r="R549" s="32" t="n">
        <f aca="false">J549*(INDEX(P_VAL,MATCH("CTRL_AÑO",P_ID,0))*L549+(1-INDEX(PY_VAL,MATCH("P_USADOS",PY_ID,0),1))*M549+INDEX(PY_VAL,MATCH("P_USADOS",PY_ID,0),1)*N549+IF(P549&gt;0,O549/P549,0)+Q549)</f>
        <v>1</v>
      </c>
      <c r="S549" s="32" t="n">
        <f aca="false">J549*(INDEX(P_VAL,MATCH("CTRL_AÑO",P_ID,0))*L549+(1-INDEX(PY_VAL,MATCH("P_USADOS",PY_ID,0),2))*M549+INDEX(PY_VAL,MATCH("P_USADOS",PY_ID,0),2)*N549+IF(P549&gt;0,O549/P549,0)+Q549)</f>
        <v>1</v>
      </c>
      <c r="T549" s="32" t="n">
        <f aca="false">J549*(INDEX(P_VAL,MATCH("CTRL_AÑO",P_ID,0))*L549+(1-INDEX(PY_VAL,MATCH("P_USADOS",PY_ID,0),3))*M549+INDEX(PY_VAL,MATCH("P_USADOS",PY_ID,0),3)*N549+IF(P549&gt;0,O549/P549,0)+Q549)</f>
        <v>1</v>
      </c>
      <c r="U549" s="32" t="n">
        <f aca="false">J549*(INDEX(P_VAL,MATCH("CTRL_AÑO",P_ID,0))*L549+(1-INDEX(PY_VAL,MATCH("P_USADOS",PY_ID,0),4))*M549+INDEX(PY_VAL,MATCH("P_USADOS",PY_ID,0),4)*N549+IF(P549&gt;0,O549/P549,0)+Q549)</f>
        <v>1</v>
      </c>
      <c r="V549" s="32" t="n">
        <f aca="false">J549*(INDEX(P_VAL,MATCH("CTRL_AÑO",P_ID,0))*L549+(1-INDEX(PY_VAL,MATCH("P_USADOS",PY_ID,0),5))*M549+INDEX(PY_VAL,MATCH("P_USADOS",PY_ID,0),5)*N549+IF(P549&gt;0,O549/P549,0)+Q549)</f>
        <v>1</v>
      </c>
      <c r="W549" s="32" t="n">
        <f aca="false">J549*(INDEX(P_VAL,MATCH("CTRL_AÑO",P_ID,0))*L549+(1-INDEX(PY_VAL,MATCH("P_USADOS",PY_ID,0),6))*M549+INDEX(PY_VAL,MATCH("P_USADOS",PY_ID,0),6)*N549+IF(P549&gt;0,O549/P549,0)+Q549)</f>
        <v>1</v>
      </c>
      <c r="X549" s="32" t="n">
        <f aca="false">J549*(INDEX(P_VAL,MATCH("CTRL_AÑO",P_ID,0))*L549+(1-INDEX(PY_VAL,MATCH("P_USADOS",PY_ID,0),7))*M549+INDEX(PY_VAL,MATCH("P_USADOS",PY_ID,0),7)*N549+IF(P549&gt;0,O549/P549,0)+Q549)</f>
        <v>1</v>
      </c>
      <c r="Y549" s="32" t="n">
        <f aca="false">J549*(INDEX(P_VAL,MATCH("CTRL_AÑO",P_ID,0))*L549+(1-INDEX(PY_VAL,MATCH("P_USADOS",PY_ID,0),8))*M549+INDEX(PY_VAL,MATCH("P_USADOS",PY_ID,0),8)*N549+IF(P549&gt;0,O549/P549,0)+Q549)</f>
        <v>1</v>
      </c>
      <c r="Z549" s="32" t="n">
        <f aca="false">J549*(INDEX(P_VAL,MATCH("CTRL_AÑO",P_ID,0))*L549+(1-INDEX(PY_VAL,MATCH("P_USADOS",PY_ID,0),9))*M549+INDEX(PY_VAL,MATCH("P_USADOS",PY_ID,0),9)*N549+IF(P549&gt;0,O549/P549,0)+Q549)</f>
        <v>1</v>
      </c>
      <c r="AA549" s="32" t="n">
        <f aca="false">J549*(INDEX(P_VAL,MATCH("CTRL_AÑO",P_ID,0))*L549+(1-INDEX(PY_VAL,MATCH("P_USADOS",PY_ID,0),10))*M549+INDEX(PY_VAL,MATCH("P_USADOS",PY_ID,0),10)*N549+IF(P549&gt;0,O549/P549,0)+Q549)</f>
        <v>1</v>
      </c>
      <c r="AB549" s="5" t="s">
        <v>1346</v>
      </c>
    </row>
    <row r="550" customFormat="false" ht="15" hidden="false" customHeight="false" outlineLevel="0" collapsed="false">
      <c r="A550" s="4" t="s">
        <v>318</v>
      </c>
      <c r="B550" s="4" t="s">
        <v>1372</v>
      </c>
      <c r="C550" s="4" t="s">
        <v>1537</v>
      </c>
      <c r="D550" s="5" t="s">
        <v>1374</v>
      </c>
      <c r="E550" s="32" t="n">
        <v>1</v>
      </c>
      <c r="F550" s="32" t="s">
        <v>82</v>
      </c>
      <c r="G550" s="33" t="s">
        <v>1344</v>
      </c>
      <c r="H550" s="32" t="s">
        <v>688</v>
      </c>
      <c r="I550" s="32" t="n">
        <v>1</v>
      </c>
      <c r="J550" s="32" t="n">
        <f aca="false">E550*I550</f>
        <v>1</v>
      </c>
      <c r="K550" s="32" t="s">
        <v>689</v>
      </c>
      <c r="L550" s="32" t="n">
        <v>0</v>
      </c>
      <c r="M550" s="32" t="n">
        <v>1</v>
      </c>
      <c r="N550" s="32" t="n">
        <v>1</v>
      </c>
      <c r="O550" s="32" t="n">
        <v>0</v>
      </c>
      <c r="P550" s="32" t="n">
        <v>5</v>
      </c>
      <c r="Q550" s="32" t="n">
        <v>0</v>
      </c>
      <c r="R550" s="32" t="n">
        <f aca="false">J550*(INDEX(P_VAL,MATCH("CTRL_AÑO",P_ID,0))*L550+(1-INDEX(PY_VAL,MATCH("P_USADOS",PY_ID,0),1))*M550+INDEX(PY_VAL,MATCH("P_USADOS",PY_ID,0),1)*N550+IF(P550&gt;0,O550/P550,0)+Q550)</f>
        <v>1</v>
      </c>
      <c r="S550" s="32" t="n">
        <f aca="false">J550*(INDEX(P_VAL,MATCH("CTRL_AÑO",P_ID,0))*L550+(1-INDEX(PY_VAL,MATCH("P_USADOS",PY_ID,0),2))*M550+INDEX(PY_VAL,MATCH("P_USADOS",PY_ID,0),2)*N550+IF(P550&gt;0,O550/P550,0)+Q550)</f>
        <v>1</v>
      </c>
      <c r="T550" s="32" t="n">
        <f aca="false">J550*(INDEX(P_VAL,MATCH("CTRL_AÑO",P_ID,0))*L550+(1-INDEX(PY_VAL,MATCH("P_USADOS",PY_ID,0),3))*M550+INDEX(PY_VAL,MATCH("P_USADOS",PY_ID,0),3)*N550+IF(P550&gt;0,O550/P550,0)+Q550)</f>
        <v>1</v>
      </c>
      <c r="U550" s="32" t="n">
        <f aca="false">J550*(INDEX(P_VAL,MATCH("CTRL_AÑO",P_ID,0))*L550+(1-INDEX(PY_VAL,MATCH("P_USADOS",PY_ID,0),4))*M550+INDEX(PY_VAL,MATCH("P_USADOS",PY_ID,0),4)*N550+IF(P550&gt;0,O550/P550,0)+Q550)</f>
        <v>1</v>
      </c>
      <c r="V550" s="32" t="n">
        <f aca="false">J550*(INDEX(P_VAL,MATCH("CTRL_AÑO",P_ID,0))*L550+(1-INDEX(PY_VAL,MATCH("P_USADOS",PY_ID,0),5))*M550+INDEX(PY_VAL,MATCH("P_USADOS",PY_ID,0),5)*N550+IF(P550&gt;0,O550/P550,0)+Q550)</f>
        <v>1</v>
      </c>
      <c r="W550" s="32" t="n">
        <f aca="false">J550*(INDEX(P_VAL,MATCH("CTRL_AÑO",P_ID,0))*L550+(1-INDEX(PY_VAL,MATCH("P_USADOS",PY_ID,0),6))*M550+INDEX(PY_VAL,MATCH("P_USADOS",PY_ID,0),6)*N550+IF(P550&gt;0,O550/P550,0)+Q550)</f>
        <v>1</v>
      </c>
      <c r="X550" s="32" t="n">
        <f aca="false">J550*(INDEX(P_VAL,MATCH("CTRL_AÑO",P_ID,0))*L550+(1-INDEX(PY_VAL,MATCH("P_USADOS",PY_ID,0),7))*M550+INDEX(PY_VAL,MATCH("P_USADOS",PY_ID,0),7)*N550+IF(P550&gt;0,O550/P550,0)+Q550)</f>
        <v>1</v>
      </c>
      <c r="Y550" s="32" t="n">
        <f aca="false">J550*(INDEX(P_VAL,MATCH("CTRL_AÑO",P_ID,0))*L550+(1-INDEX(PY_VAL,MATCH("P_USADOS",PY_ID,0),8))*M550+INDEX(PY_VAL,MATCH("P_USADOS",PY_ID,0),8)*N550+IF(P550&gt;0,O550/P550,0)+Q550)</f>
        <v>1</v>
      </c>
      <c r="Z550" s="32" t="n">
        <f aca="false">J550*(INDEX(P_VAL,MATCH("CTRL_AÑO",P_ID,0))*L550+(1-INDEX(PY_VAL,MATCH("P_USADOS",PY_ID,0),9))*M550+INDEX(PY_VAL,MATCH("P_USADOS",PY_ID,0),9)*N550+IF(P550&gt;0,O550/P550,0)+Q550)</f>
        <v>1</v>
      </c>
      <c r="AA550" s="32" t="n">
        <f aca="false">J550*(INDEX(P_VAL,MATCH("CTRL_AÑO",P_ID,0))*L550+(1-INDEX(PY_VAL,MATCH("P_USADOS",PY_ID,0),10))*M550+INDEX(PY_VAL,MATCH("P_USADOS",PY_ID,0),10)*N550+IF(P550&gt;0,O550/P550,0)+Q550)</f>
        <v>1</v>
      </c>
      <c r="AB550" s="5" t="s">
        <v>1346</v>
      </c>
    </row>
    <row r="551" customFormat="false" ht="15" hidden="false" customHeight="false" outlineLevel="0" collapsed="false">
      <c r="A551" s="4" t="s">
        <v>318</v>
      </c>
      <c r="B551" s="4" t="s">
        <v>1375</v>
      </c>
      <c r="C551" s="4" t="s">
        <v>1538</v>
      </c>
      <c r="D551" s="5" t="s">
        <v>1377</v>
      </c>
      <c r="E551" s="32" t="n">
        <v>1</v>
      </c>
      <c r="F551" s="32" t="s">
        <v>82</v>
      </c>
      <c r="G551" s="33" t="s">
        <v>1344</v>
      </c>
      <c r="H551" s="32" t="s">
        <v>1485</v>
      </c>
      <c r="I551" s="32" t="n">
        <v>1</v>
      </c>
      <c r="J551" s="32" t="n">
        <f aca="false">E551*I551</f>
        <v>1</v>
      </c>
      <c r="K551" s="32"/>
      <c r="L551" s="32" t="n">
        <v>0</v>
      </c>
      <c r="M551" s="32" t="n">
        <v>1</v>
      </c>
      <c r="N551" s="32" t="n">
        <v>1</v>
      </c>
      <c r="O551" s="32" t="n">
        <v>0</v>
      </c>
      <c r="P551" s="32" t="n">
        <v>5</v>
      </c>
      <c r="Q551" s="32" t="n">
        <v>0</v>
      </c>
      <c r="R551" s="32" t="n">
        <f aca="false">J551*(INDEX(P_VAL,MATCH("CTRL_AÑO",P_ID,0))*L551+(1-INDEX(PY_VAL,MATCH("P_USADOS",PY_ID,0),1))*M551+INDEX(PY_VAL,MATCH("P_USADOS",PY_ID,0),1)*N551+IF(P551&gt;0,O551/P551,0)+Q551)</f>
        <v>1</v>
      </c>
      <c r="S551" s="32" t="n">
        <f aca="false">J551*(INDEX(P_VAL,MATCH("CTRL_AÑO",P_ID,0))*L551+(1-INDEX(PY_VAL,MATCH("P_USADOS",PY_ID,0),2))*M551+INDEX(PY_VAL,MATCH("P_USADOS",PY_ID,0),2)*N551+IF(P551&gt;0,O551/P551,0)+Q551)</f>
        <v>1</v>
      </c>
      <c r="T551" s="32" t="n">
        <f aca="false">J551*(INDEX(P_VAL,MATCH("CTRL_AÑO",P_ID,0))*L551+(1-INDEX(PY_VAL,MATCH("P_USADOS",PY_ID,0),3))*M551+INDEX(PY_VAL,MATCH("P_USADOS",PY_ID,0),3)*N551+IF(P551&gt;0,O551/P551,0)+Q551)</f>
        <v>1</v>
      </c>
      <c r="U551" s="32" t="n">
        <f aca="false">J551*(INDEX(P_VAL,MATCH("CTRL_AÑO",P_ID,0))*L551+(1-INDEX(PY_VAL,MATCH("P_USADOS",PY_ID,0),4))*M551+INDEX(PY_VAL,MATCH("P_USADOS",PY_ID,0),4)*N551+IF(P551&gt;0,O551/P551,0)+Q551)</f>
        <v>1</v>
      </c>
      <c r="V551" s="32" t="n">
        <f aca="false">J551*(INDEX(P_VAL,MATCH("CTRL_AÑO",P_ID,0))*L551+(1-INDEX(PY_VAL,MATCH("P_USADOS",PY_ID,0),5))*M551+INDEX(PY_VAL,MATCH("P_USADOS",PY_ID,0),5)*N551+IF(P551&gt;0,O551/P551,0)+Q551)</f>
        <v>1</v>
      </c>
      <c r="W551" s="32" t="n">
        <f aca="false">J551*(INDEX(P_VAL,MATCH("CTRL_AÑO",P_ID,0))*L551+(1-INDEX(PY_VAL,MATCH("P_USADOS",PY_ID,0),6))*M551+INDEX(PY_VAL,MATCH("P_USADOS",PY_ID,0),6)*N551+IF(P551&gt;0,O551/P551,0)+Q551)</f>
        <v>1</v>
      </c>
      <c r="X551" s="32" t="n">
        <f aca="false">J551*(INDEX(P_VAL,MATCH("CTRL_AÑO",P_ID,0))*L551+(1-INDEX(PY_VAL,MATCH("P_USADOS",PY_ID,0),7))*M551+INDEX(PY_VAL,MATCH("P_USADOS",PY_ID,0),7)*N551+IF(P551&gt;0,O551/P551,0)+Q551)</f>
        <v>1</v>
      </c>
      <c r="Y551" s="32" t="n">
        <f aca="false">J551*(INDEX(P_VAL,MATCH("CTRL_AÑO",P_ID,0))*L551+(1-INDEX(PY_VAL,MATCH("P_USADOS",PY_ID,0),8))*M551+INDEX(PY_VAL,MATCH("P_USADOS",PY_ID,0),8)*N551+IF(P551&gt;0,O551/P551,0)+Q551)</f>
        <v>1</v>
      </c>
      <c r="Z551" s="32" t="n">
        <f aca="false">J551*(INDEX(P_VAL,MATCH("CTRL_AÑO",P_ID,0))*L551+(1-INDEX(PY_VAL,MATCH("P_USADOS",PY_ID,0),9))*M551+INDEX(PY_VAL,MATCH("P_USADOS",PY_ID,0),9)*N551+IF(P551&gt;0,O551/P551,0)+Q551)</f>
        <v>1</v>
      </c>
      <c r="AA551" s="32" t="n">
        <f aca="false">J551*(INDEX(P_VAL,MATCH("CTRL_AÑO",P_ID,0))*L551+(1-INDEX(PY_VAL,MATCH("P_USADOS",PY_ID,0),10))*M551+INDEX(PY_VAL,MATCH("P_USADOS",PY_ID,0),10)*N551+IF(P551&gt;0,O551/P551,0)+Q551)</f>
        <v>1</v>
      </c>
      <c r="AB551" s="5" t="s">
        <v>1346</v>
      </c>
    </row>
    <row r="552" customFormat="false" ht="15" hidden="false" customHeight="false" outlineLevel="0" collapsed="false">
      <c r="A552" s="4" t="s">
        <v>318</v>
      </c>
      <c r="B552" s="4" t="s">
        <v>1378</v>
      </c>
      <c r="C552" s="4" t="s">
        <v>1539</v>
      </c>
      <c r="D552" s="5" t="s">
        <v>1380</v>
      </c>
      <c r="E552" s="32" t="n">
        <v>1</v>
      </c>
      <c r="F552" s="32" t="s">
        <v>82</v>
      </c>
      <c r="G552" s="33" t="s">
        <v>1344</v>
      </c>
      <c r="H552" s="32" t="s">
        <v>1381</v>
      </c>
      <c r="I552" s="32" t="n">
        <v>1</v>
      </c>
      <c r="J552" s="32" t="n">
        <f aca="false">E552*I552</f>
        <v>1</v>
      </c>
      <c r="K552" s="32"/>
      <c r="L552" s="32" t="n">
        <v>0</v>
      </c>
      <c r="M552" s="32" t="n">
        <v>0</v>
      </c>
      <c r="N552" s="32" t="n">
        <v>0</v>
      </c>
      <c r="O552" s="32" t="n">
        <v>1</v>
      </c>
      <c r="P552" s="32" t="n">
        <v>5</v>
      </c>
      <c r="Q552" s="32" t="n">
        <v>0</v>
      </c>
      <c r="R552" s="32" t="n">
        <f aca="false">J552*(INDEX(P_VAL,MATCH("CTRL_AÑO",P_ID,0))*L552+(1-INDEX(PY_VAL,MATCH("P_USADOS",PY_ID,0),1))*M552+INDEX(PY_VAL,MATCH("P_USADOS",PY_ID,0),1)*N552+IF(P552&gt;0,O552/P552,0)+Q552)</f>
        <v>0.2</v>
      </c>
      <c r="S552" s="32" t="n">
        <f aca="false">J552*(INDEX(P_VAL,MATCH("CTRL_AÑO",P_ID,0))*L552+(1-INDEX(PY_VAL,MATCH("P_USADOS",PY_ID,0),2))*M552+INDEX(PY_VAL,MATCH("P_USADOS",PY_ID,0),2)*N552+IF(P552&gt;0,O552/P552,0)+Q552)</f>
        <v>0.2</v>
      </c>
      <c r="T552" s="32" t="n">
        <f aca="false">J552*(INDEX(P_VAL,MATCH("CTRL_AÑO",P_ID,0))*L552+(1-INDEX(PY_VAL,MATCH("P_USADOS",PY_ID,0),3))*M552+INDEX(PY_VAL,MATCH("P_USADOS",PY_ID,0),3)*N552+IF(P552&gt;0,O552/P552,0)+Q552)</f>
        <v>0.2</v>
      </c>
      <c r="U552" s="32" t="n">
        <f aca="false">J552*(INDEX(P_VAL,MATCH("CTRL_AÑO",P_ID,0))*L552+(1-INDEX(PY_VAL,MATCH("P_USADOS",PY_ID,0),4))*M552+INDEX(PY_VAL,MATCH("P_USADOS",PY_ID,0),4)*N552+IF(P552&gt;0,O552/P552,0)+Q552)</f>
        <v>0.2</v>
      </c>
      <c r="V552" s="32" t="n">
        <f aca="false">J552*(INDEX(P_VAL,MATCH("CTRL_AÑO",P_ID,0))*L552+(1-INDEX(PY_VAL,MATCH("P_USADOS",PY_ID,0),5))*M552+INDEX(PY_VAL,MATCH("P_USADOS",PY_ID,0),5)*N552+IF(P552&gt;0,O552/P552,0)+Q552)</f>
        <v>0.2</v>
      </c>
      <c r="W552" s="32" t="n">
        <f aca="false">J552*(INDEX(P_VAL,MATCH("CTRL_AÑO",P_ID,0))*L552+(1-INDEX(PY_VAL,MATCH("P_USADOS",PY_ID,0),6))*M552+INDEX(PY_VAL,MATCH("P_USADOS",PY_ID,0),6)*N552+IF(P552&gt;0,O552/P552,0)+Q552)</f>
        <v>0.2</v>
      </c>
      <c r="X552" s="32" t="n">
        <f aca="false">J552*(INDEX(P_VAL,MATCH("CTRL_AÑO",P_ID,0))*L552+(1-INDEX(PY_VAL,MATCH("P_USADOS",PY_ID,0),7))*M552+INDEX(PY_VAL,MATCH("P_USADOS",PY_ID,0),7)*N552+IF(P552&gt;0,O552/P552,0)+Q552)</f>
        <v>0.2</v>
      </c>
      <c r="Y552" s="32" t="n">
        <f aca="false">J552*(INDEX(P_VAL,MATCH("CTRL_AÑO",P_ID,0))*L552+(1-INDEX(PY_VAL,MATCH("P_USADOS",PY_ID,0),8))*M552+INDEX(PY_VAL,MATCH("P_USADOS",PY_ID,0),8)*N552+IF(P552&gt;0,O552/P552,0)+Q552)</f>
        <v>0.2</v>
      </c>
      <c r="Z552" s="32" t="n">
        <f aca="false">J552*(INDEX(P_VAL,MATCH("CTRL_AÑO",P_ID,0))*L552+(1-INDEX(PY_VAL,MATCH("P_USADOS",PY_ID,0),9))*M552+INDEX(PY_VAL,MATCH("P_USADOS",PY_ID,0),9)*N552+IF(P552&gt;0,O552/P552,0)+Q552)</f>
        <v>0.2</v>
      </c>
      <c r="AA552" s="32" t="n">
        <f aca="false">J552*(INDEX(P_VAL,MATCH("CTRL_AÑO",P_ID,0))*L552+(1-INDEX(PY_VAL,MATCH("P_USADOS",PY_ID,0),10))*M552+INDEX(PY_VAL,MATCH("P_USADOS",PY_ID,0),10)*N552+IF(P552&gt;0,O552/P552,0)+Q552)</f>
        <v>0.2</v>
      </c>
      <c r="AB552" s="5" t="s">
        <v>1346</v>
      </c>
    </row>
    <row r="553" customFormat="false" ht="15" hidden="false" customHeight="false" outlineLevel="0" collapsed="false">
      <c r="A553" s="4" t="s">
        <v>318</v>
      </c>
      <c r="B553" s="4" t="s">
        <v>1382</v>
      </c>
      <c r="C553" s="4" t="s">
        <v>1540</v>
      </c>
      <c r="D553" s="5" t="s">
        <v>1541</v>
      </c>
      <c r="E553" s="32" t="n">
        <v>1</v>
      </c>
      <c r="F553" s="32" t="s">
        <v>73</v>
      </c>
      <c r="G553" s="33" t="s">
        <v>1385</v>
      </c>
      <c r="H553" s="32"/>
      <c r="I553" s="32"/>
      <c r="J553" s="32"/>
      <c r="K553" s="32"/>
      <c r="L553" s="32" t="n">
        <v>0</v>
      </c>
      <c r="M553" s="32" t="n">
        <v>0</v>
      </c>
      <c r="N553" s="32" t="n">
        <v>0</v>
      </c>
      <c r="O553" s="32" t="n">
        <v>0</v>
      </c>
      <c r="P553" s="32" t="n">
        <v>0</v>
      </c>
      <c r="Q553" s="32" t="n">
        <v>0</v>
      </c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5" t="s">
        <v>1386</v>
      </c>
    </row>
    <row r="554" customFormat="false" ht="15" hidden="false" customHeight="false" outlineLevel="0" collapsed="false">
      <c r="A554" s="4" t="s">
        <v>321</v>
      </c>
      <c r="B554" s="4" t="s">
        <v>1341</v>
      </c>
      <c r="C554" s="4" t="s">
        <v>1542</v>
      </c>
      <c r="D554" s="5" t="s">
        <v>1343</v>
      </c>
      <c r="E554" s="32" t="n">
        <v>1</v>
      </c>
      <c r="F554" s="32" t="s">
        <v>82</v>
      </c>
      <c r="G554" s="33" t="s">
        <v>1344</v>
      </c>
      <c r="H554" s="32" t="s">
        <v>1345</v>
      </c>
      <c r="I554" s="32" t="n">
        <v>1</v>
      </c>
      <c r="J554" s="32" t="n">
        <f aca="false">E554*I554</f>
        <v>1</v>
      </c>
      <c r="K554" s="32"/>
      <c r="L554" s="32" t="n">
        <v>1</v>
      </c>
      <c r="M554" s="32" t="n">
        <v>0</v>
      </c>
      <c r="N554" s="32" t="n">
        <v>0</v>
      </c>
      <c r="O554" s="32" t="n">
        <v>0</v>
      </c>
      <c r="P554" s="32" t="n">
        <v>2</v>
      </c>
      <c r="Q554" s="32" t="n">
        <v>0</v>
      </c>
      <c r="R554" s="32" t="n">
        <f aca="false">J554*(INDEX(P_VAL,MATCH("CTRL_AÑO",P_ID,0))*L554+(1-INDEX(PY_VAL,MATCH("P_USADOS",PY_ID,0),1))*M554+INDEX(PY_VAL,MATCH("P_USADOS",PY_ID,0),1)*N554+IF(P554&gt;0,O554/P554,0)+Q554)</f>
        <v>4</v>
      </c>
      <c r="S554" s="32" t="n">
        <f aca="false">J554*(INDEX(P_VAL,MATCH("CTRL_AÑO",P_ID,0))*L554+(1-INDEX(PY_VAL,MATCH("P_USADOS",PY_ID,0),2))*M554+INDEX(PY_VAL,MATCH("P_USADOS",PY_ID,0),2)*N554+IF(P554&gt;0,O554/P554,0)+Q554)</f>
        <v>4</v>
      </c>
      <c r="T554" s="32" t="n">
        <f aca="false">J554*(INDEX(P_VAL,MATCH("CTRL_AÑO",P_ID,0))*L554+(1-INDEX(PY_VAL,MATCH("P_USADOS",PY_ID,0),3))*M554+INDEX(PY_VAL,MATCH("P_USADOS",PY_ID,0),3)*N554+IF(P554&gt;0,O554/P554,0)+Q554)</f>
        <v>4</v>
      </c>
      <c r="U554" s="32" t="n">
        <f aca="false">J554*(INDEX(P_VAL,MATCH("CTRL_AÑO",P_ID,0))*L554+(1-INDEX(PY_VAL,MATCH("P_USADOS",PY_ID,0),4))*M554+INDEX(PY_VAL,MATCH("P_USADOS",PY_ID,0),4)*N554+IF(P554&gt;0,O554/P554,0)+Q554)</f>
        <v>4</v>
      </c>
      <c r="V554" s="32" t="n">
        <f aca="false">J554*(INDEX(P_VAL,MATCH("CTRL_AÑO",P_ID,0))*L554+(1-INDEX(PY_VAL,MATCH("P_USADOS",PY_ID,0),5))*M554+INDEX(PY_VAL,MATCH("P_USADOS",PY_ID,0),5)*N554+IF(P554&gt;0,O554/P554,0)+Q554)</f>
        <v>4</v>
      </c>
      <c r="W554" s="32" t="n">
        <f aca="false">J554*(INDEX(P_VAL,MATCH("CTRL_AÑO",P_ID,0))*L554+(1-INDEX(PY_VAL,MATCH("P_USADOS",PY_ID,0),6))*M554+INDEX(PY_VAL,MATCH("P_USADOS",PY_ID,0),6)*N554+IF(P554&gt;0,O554/P554,0)+Q554)</f>
        <v>4</v>
      </c>
      <c r="X554" s="32" t="n">
        <f aca="false">J554*(INDEX(P_VAL,MATCH("CTRL_AÑO",P_ID,0))*L554+(1-INDEX(PY_VAL,MATCH("P_USADOS",PY_ID,0),7))*M554+INDEX(PY_VAL,MATCH("P_USADOS",PY_ID,0),7)*N554+IF(P554&gt;0,O554/P554,0)+Q554)</f>
        <v>4</v>
      </c>
      <c r="Y554" s="32" t="n">
        <f aca="false">J554*(INDEX(P_VAL,MATCH("CTRL_AÑO",P_ID,0))*L554+(1-INDEX(PY_VAL,MATCH("P_USADOS",PY_ID,0),8))*M554+INDEX(PY_VAL,MATCH("P_USADOS",PY_ID,0),8)*N554+IF(P554&gt;0,O554/P554,0)+Q554)</f>
        <v>4</v>
      </c>
      <c r="Z554" s="32" t="n">
        <f aca="false">J554*(INDEX(P_VAL,MATCH("CTRL_AÑO",P_ID,0))*L554+(1-INDEX(PY_VAL,MATCH("P_USADOS",PY_ID,0),9))*M554+INDEX(PY_VAL,MATCH("P_USADOS",PY_ID,0),9)*N554+IF(P554&gt;0,O554/P554,0)+Q554)</f>
        <v>4</v>
      </c>
      <c r="AA554" s="32" t="n">
        <f aca="false">J554*(INDEX(P_VAL,MATCH("CTRL_AÑO",P_ID,0))*L554+(1-INDEX(PY_VAL,MATCH("P_USADOS",PY_ID,0),10))*M554+INDEX(PY_VAL,MATCH("P_USADOS",PY_ID,0),10)*N554+IF(P554&gt;0,O554/P554,0)+Q554)</f>
        <v>4</v>
      </c>
      <c r="AB554" s="5" t="s">
        <v>1346</v>
      </c>
    </row>
    <row r="555" customFormat="false" ht="15" hidden="false" customHeight="false" outlineLevel="0" collapsed="false">
      <c r="A555" s="4" t="s">
        <v>321</v>
      </c>
      <c r="B555" s="4" t="s">
        <v>1347</v>
      </c>
      <c r="C555" s="4" t="s">
        <v>1543</v>
      </c>
      <c r="D555" s="5" t="s">
        <v>1544</v>
      </c>
      <c r="E555" s="32" t="n">
        <v>1</v>
      </c>
      <c r="F555" s="32" t="s">
        <v>1489</v>
      </c>
      <c r="G555" s="33" t="s">
        <v>1344</v>
      </c>
      <c r="H555" s="32" t="s">
        <v>1545</v>
      </c>
      <c r="I555" s="32" t="n">
        <v>1</v>
      </c>
      <c r="J555" s="32" t="n">
        <f aca="false">E555*I555</f>
        <v>1</v>
      </c>
      <c r="K555" s="32"/>
      <c r="L555" s="32" t="n">
        <v>0</v>
      </c>
      <c r="M555" s="32" t="n">
        <v>6.09</v>
      </c>
      <c r="N555" s="32" t="n">
        <v>6.09</v>
      </c>
      <c r="O555" s="32" t="n">
        <v>0</v>
      </c>
      <c r="P555" s="32" t="n">
        <v>2</v>
      </c>
      <c r="Q555" s="32" t="n">
        <v>0</v>
      </c>
      <c r="R555" s="32" t="n">
        <f aca="false">J555*(INDEX(P_VAL,MATCH("CTRL_AÑO",P_ID,0))*L555+(1-INDEX(PY_VAL,MATCH("P_USADOS",PY_ID,0),1))*M555+INDEX(PY_VAL,MATCH("P_USADOS",PY_ID,0),1)*N555+IF(P555&gt;0,O555/P555,0)+Q555)</f>
        <v>6.09</v>
      </c>
      <c r="S555" s="32" t="n">
        <f aca="false">J555*(INDEX(P_VAL,MATCH("CTRL_AÑO",P_ID,0))*L555+(1-INDEX(PY_VAL,MATCH("P_USADOS",PY_ID,0),2))*M555+INDEX(PY_VAL,MATCH("P_USADOS",PY_ID,0),2)*N555+IF(P555&gt;0,O555/P555,0)+Q555)</f>
        <v>6.09</v>
      </c>
      <c r="T555" s="32" t="n">
        <f aca="false">J555*(INDEX(P_VAL,MATCH("CTRL_AÑO",P_ID,0))*L555+(1-INDEX(PY_VAL,MATCH("P_USADOS",PY_ID,0),3))*M555+INDEX(PY_VAL,MATCH("P_USADOS",PY_ID,0),3)*N555+IF(P555&gt;0,O555/P555,0)+Q555)</f>
        <v>6.09</v>
      </c>
      <c r="U555" s="32" t="n">
        <f aca="false">J555*(INDEX(P_VAL,MATCH("CTRL_AÑO",P_ID,0))*L555+(1-INDEX(PY_VAL,MATCH("P_USADOS",PY_ID,0),4))*M555+INDEX(PY_VAL,MATCH("P_USADOS",PY_ID,0),4)*N555+IF(P555&gt;0,O555/P555,0)+Q555)</f>
        <v>6.09</v>
      </c>
      <c r="V555" s="32" t="n">
        <f aca="false">J555*(INDEX(P_VAL,MATCH("CTRL_AÑO",P_ID,0))*L555+(1-INDEX(PY_VAL,MATCH("P_USADOS",PY_ID,0),5))*M555+INDEX(PY_VAL,MATCH("P_USADOS",PY_ID,0),5)*N555+IF(P555&gt;0,O555/P555,0)+Q555)</f>
        <v>6.09</v>
      </c>
      <c r="W555" s="32" t="n">
        <f aca="false">J555*(INDEX(P_VAL,MATCH("CTRL_AÑO",P_ID,0))*L555+(1-INDEX(PY_VAL,MATCH("P_USADOS",PY_ID,0),6))*M555+INDEX(PY_VAL,MATCH("P_USADOS",PY_ID,0),6)*N555+IF(P555&gt;0,O555/P555,0)+Q555)</f>
        <v>6.09</v>
      </c>
      <c r="X555" s="32" t="n">
        <f aca="false">J555*(INDEX(P_VAL,MATCH("CTRL_AÑO",P_ID,0))*L555+(1-INDEX(PY_VAL,MATCH("P_USADOS",PY_ID,0),7))*M555+INDEX(PY_VAL,MATCH("P_USADOS",PY_ID,0),7)*N555+IF(P555&gt;0,O555/P555,0)+Q555)</f>
        <v>6.09</v>
      </c>
      <c r="Y555" s="32" t="n">
        <f aca="false">J555*(INDEX(P_VAL,MATCH("CTRL_AÑO",P_ID,0))*L555+(1-INDEX(PY_VAL,MATCH("P_USADOS",PY_ID,0),8))*M555+INDEX(PY_VAL,MATCH("P_USADOS",PY_ID,0),8)*N555+IF(P555&gt;0,O555/P555,0)+Q555)</f>
        <v>6.09</v>
      </c>
      <c r="Z555" s="32" t="n">
        <f aca="false">J555*(INDEX(P_VAL,MATCH("CTRL_AÑO",P_ID,0))*L555+(1-INDEX(PY_VAL,MATCH("P_USADOS",PY_ID,0),9))*M555+INDEX(PY_VAL,MATCH("P_USADOS",PY_ID,0),9)*N555+IF(P555&gt;0,O555/P555,0)+Q555)</f>
        <v>6.09</v>
      </c>
      <c r="AA555" s="32" t="n">
        <f aca="false">J555*(INDEX(P_VAL,MATCH("CTRL_AÑO",P_ID,0))*L555+(1-INDEX(PY_VAL,MATCH("P_USADOS",PY_ID,0),10))*M555+INDEX(PY_VAL,MATCH("P_USADOS",PY_ID,0),10)*N555+IF(P555&gt;0,O555/P555,0)+Q555)</f>
        <v>6.09</v>
      </c>
      <c r="AB555" s="5" t="s">
        <v>1346</v>
      </c>
    </row>
    <row r="556" customFormat="false" ht="15" hidden="false" customHeight="false" outlineLevel="0" collapsed="false">
      <c r="A556" s="4" t="s">
        <v>321</v>
      </c>
      <c r="B556" s="4" t="s">
        <v>1350</v>
      </c>
      <c r="C556" s="4" t="s">
        <v>1546</v>
      </c>
      <c r="D556" s="5" t="s">
        <v>571</v>
      </c>
      <c r="E556" s="32" t="n">
        <v>1</v>
      </c>
      <c r="F556" s="32" t="s">
        <v>73</v>
      </c>
      <c r="G556" s="33" t="s">
        <v>1344</v>
      </c>
      <c r="H556" s="32" t="s">
        <v>573</v>
      </c>
      <c r="I556" s="32" t="n">
        <f aca="false">(1+INDEX(P_VAL,MATCH("N2_PERD",P_ID,0)))/INDEX(P_VAL,MATCH("RHO_N2",P_ID,0))</f>
        <v>1.0406660262568</v>
      </c>
      <c r="J556" s="32" t="n">
        <f aca="false">E556*I556</f>
        <v>1.0406660262568</v>
      </c>
      <c r="K556" s="32"/>
      <c r="L556" s="32" t="n">
        <v>0</v>
      </c>
      <c r="M556" s="32" t="n">
        <v>0.0297181264729978</v>
      </c>
      <c r="N556" s="32" t="n">
        <v>0.0297181264729978</v>
      </c>
      <c r="O556" s="32" t="n">
        <v>0</v>
      </c>
      <c r="P556" s="32" t="n">
        <v>2</v>
      </c>
      <c r="Q556" s="32" t="n">
        <v>0</v>
      </c>
      <c r="R556" s="32" t="n">
        <f aca="false">J556*(INDEX(P_VAL,MATCH("CTRL_AÑO",P_ID,0))*L556+(1-INDEX(PY_VAL,MATCH("P_USADOS",PY_ID,0),1))*M556+INDEX(PY_VAL,MATCH("P_USADOS",PY_ID,0),1)*N556+IF(P556&gt;0,O556/P556,0)+Q556)</f>
        <v>0.0309266445844518</v>
      </c>
      <c r="S556" s="32" t="n">
        <f aca="false">J556*(INDEX(P_VAL,MATCH("CTRL_AÑO",P_ID,0))*L556+(1-INDEX(PY_VAL,MATCH("P_USADOS",PY_ID,0),2))*M556+INDEX(PY_VAL,MATCH("P_USADOS",PY_ID,0),2)*N556+IF(P556&gt;0,O556/P556,0)+Q556)</f>
        <v>0.0309266445844518</v>
      </c>
      <c r="T556" s="32" t="n">
        <f aca="false">J556*(INDEX(P_VAL,MATCH("CTRL_AÑO",P_ID,0))*L556+(1-INDEX(PY_VAL,MATCH("P_USADOS",PY_ID,0),3))*M556+INDEX(PY_VAL,MATCH("P_USADOS",PY_ID,0),3)*N556+IF(P556&gt;0,O556/P556,0)+Q556)</f>
        <v>0.0309266445844518</v>
      </c>
      <c r="U556" s="32" t="n">
        <f aca="false">J556*(INDEX(P_VAL,MATCH("CTRL_AÑO",P_ID,0))*L556+(1-INDEX(PY_VAL,MATCH("P_USADOS",PY_ID,0),4))*M556+INDEX(PY_VAL,MATCH("P_USADOS",PY_ID,0),4)*N556+IF(P556&gt;0,O556/P556,0)+Q556)</f>
        <v>0.0309266445844518</v>
      </c>
      <c r="V556" s="32" t="n">
        <f aca="false">J556*(INDEX(P_VAL,MATCH("CTRL_AÑO",P_ID,0))*L556+(1-INDEX(PY_VAL,MATCH("P_USADOS",PY_ID,0),5))*M556+INDEX(PY_VAL,MATCH("P_USADOS",PY_ID,0),5)*N556+IF(P556&gt;0,O556/P556,0)+Q556)</f>
        <v>0.0309266445844518</v>
      </c>
      <c r="W556" s="32" t="n">
        <f aca="false">J556*(INDEX(P_VAL,MATCH("CTRL_AÑO",P_ID,0))*L556+(1-INDEX(PY_VAL,MATCH("P_USADOS",PY_ID,0),6))*M556+INDEX(PY_VAL,MATCH("P_USADOS",PY_ID,0),6)*N556+IF(P556&gt;0,O556/P556,0)+Q556)</f>
        <v>0.0309266445844518</v>
      </c>
      <c r="X556" s="32" t="n">
        <f aca="false">J556*(INDEX(P_VAL,MATCH("CTRL_AÑO",P_ID,0))*L556+(1-INDEX(PY_VAL,MATCH("P_USADOS",PY_ID,0),7))*M556+INDEX(PY_VAL,MATCH("P_USADOS",PY_ID,0),7)*N556+IF(P556&gt;0,O556/P556,0)+Q556)</f>
        <v>0.0309266445844518</v>
      </c>
      <c r="Y556" s="32" t="n">
        <f aca="false">J556*(INDEX(P_VAL,MATCH("CTRL_AÑO",P_ID,0))*L556+(1-INDEX(PY_VAL,MATCH("P_USADOS",PY_ID,0),8))*M556+INDEX(PY_VAL,MATCH("P_USADOS",PY_ID,0),8)*N556+IF(P556&gt;0,O556/P556,0)+Q556)</f>
        <v>0.0309266445844518</v>
      </c>
      <c r="Z556" s="32" t="n">
        <f aca="false">J556*(INDEX(P_VAL,MATCH("CTRL_AÑO",P_ID,0))*L556+(1-INDEX(PY_VAL,MATCH("P_USADOS",PY_ID,0),9))*M556+INDEX(PY_VAL,MATCH("P_USADOS",PY_ID,0),9)*N556+IF(P556&gt;0,O556/P556,0)+Q556)</f>
        <v>0.0309266445844518</v>
      </c>
      <c r="AA556" s="32" t="n">
        <f aca="false">J556*(INDEX(P_VAL,MATCH("CTRL_AÑO",P_ID,0))*L556+(1-INDEX(PY_VAL,MATCH("P_USADOS",PY_ID,0),10))*M556+INDEX(PY_VAL,MATCH("P_USADOS",PY_ID,0),10)*N556+IF(P556&gt;0,O556/P556,0)+Q556)</f>
        <v>0.0309266445844518</v>
      </c>
      <c r="AB556" s="5" t="s">
        <v>1346</v>
      </c>
    </row>
    <row r="557" customFormat="false" ht="15" hidden="false" customHeight="false" outlineLevel="0" collapsed="false">
      <c r="A557" s="4" t="s">
        <v>321</v>
      </c>
      <c r="B557" s="4" t="s">
        <v>1352</v>
      </c>
      <c r="C557" s="4" t="s">
        <v>1547</v>
      </c>
      <c r="D557" s="5" t="s">
        <v>1354</v>
      </c>
      <c r="E557" s="32" t="n">
        <v>1</v>
      </c>
      <c r="F557" s="32" t="s">
        <v>82</v>
      </c>
      <c r="G557" s="33" t="s">
        <v>1344</v>
      </c>
      <c r="H557" s="32" t="s">
        <v>1355</v>
      </c>
      <c r="I557" s="32" t="n">
        <v>1</v>
      </c>
      <c r="J557" s="32" t="n">
        <f aca="false">E557*I557</f>
        <v>1</v>
      </c>
      <c r="K557" s="32"/>
      <c r="L557" s="32" t="n">
        <v>0</v>
      </c>
      <c r="M557" s="32" t="n">
        <v>1</v>
      </c>
      <c r="N557" s="32" t="n">
        <v>1</v>
      </c>
      <c r="O557" s="32" t="n">
        <v>0</v>
      </c>
      <c r="P557" s="32" t="n">
        <v>2</v>
      </c>
      <c r="Q557" s="32" t="n">
        <v>0</v>
      </c>
      <c r="R557" s="32" t="n">
        <f aca="false">J557*(INDEX(P_VAL,MATCH("CTRL_AÑO",P_ID,0))*L557+(1-INDEX(PY_VAL,MATCH("P_USADOS",PY_ID,0),1))*M557+INDEX(PY_VAL,MATCH("P_USADOS",PY_ID,0),1)*N557+IF(P557&gt;0,O557/P557,0)+Q557)</f>
        <v>1</v>
      </c>
      <c r="S557" s="32" t="n">
        <f aca="false">J557*(INDEX(P_VAL,MATCH("CTRL_AÑO",P_ID,0))*L557+(1-INDEX(PY_VAL,MATCH("P_USADOS",PY_ID,0),2))*M557+INDEX(PY_VAL,MATCH("P_USADOS",PY_ID,0),2)*N557+IF(P557&gt;0,O557/P557,0)+Q557)</f>
        <v>1</v>
      </c>
      <c r="T557" s="32" t="n">
        <f aca="false">J557*(INDEX(P_VAL,MATCH("CTRL_AÑO",P_ID,0))*L557+(1-INDEX(PY_VAL,MATCH("P_USADOS",PY_ID,0),3))*M557+INDEX(PY_VAL,MATCH("P_USADOS",PY_ID,0),3)*N557+IF(P557&gt;0,O557/P557,0)+Q557)</f>
        <v>1</v>
      </c>
      <c r="U557" s="32" t="n">
        <f aca="false">J557*(INDEX(P_VAL,MATCH("CTRL_AÑO",P_ID,0))*L557+(1-INDEX(PY_VAL,MATCH("P_USADOS",PY_ID,0),4))*M557+INDEX(PY_VAL,MATCH("P_USADOS",PY_ID,0),4)*N557+IF(P557&gt;0,O557/P557,0)+Q557)</f>
        <v>1</v>
      </c>
      <c r="V557" s="32" t="n">
        <f aca="false">J557*(INDEX(P_VAL,MATCH("CTRL_AÑO",P_ID,0))*L557+(1-INDEX(PY_VAL,MATCH("P_USADOS",PY_ID,0),5))*M557+INDEX(PY_VAL,MATCH("P_USADOS",PY_ID,0),5)*N557+IF(P557&gt;0,O557/P557,0)+Q557)</f>
        <v>1</v>
      </c>
      <c r="W557" s="32" t="n">
        <f aca="false">J557*(INDEX(P_VAL,MATCH("CTRL_AÑO",P_ID,0))*L557+(1-INDEX(PY_VAL,MATCH("P_USADOS",PY_ID,0),6))*M557+INDEX(PY_VAL,MATCH("P_USADOS",PY_ID,0),6)*N557+IF(P557&gt;0,O557/P557,0)+Q557)</f>
        <v>1</v>
      </c>
      <c r="X557" s="32" t="n">
        <f aca="false">J557*(INDEX(P_VAL,MATCH("CTRL_AÑO",P_ID,0))*L557+(1-INDEX(PY_VAL,MATCH("P_USADOS",PY_ID,0),7))*M557+INDEX(PY_VAL,MATCH("P_USADOS",PY_ID,0),7)*N557+IF(P557&gt;0,O557/P557,0)+Q557)</f>
        <v>1</v>
      </c>
      <c r="Y557" s="32" t="n">
        <f aca="false">J557*(INDEX(P_VAL,MATCH("CTRL_AÑO",P_ID,0))*L557+(1-INDEX(PY_VAL,MATCH("P_USADOS",PY_ID,0),8))*M557+INDEX(PY_VAL,MATCH("P_USADOS",PY_ID,0),8)*N557+IF(P557&gt;0,O557/P557,0)+Q557)</f>
        <v>1</v>
      </c>
      <c r="Z557" s="32" t="n">
        <f aca="false">J557*(INDEX(P_VAL,MATCH("CTRL_AÑO",P_ID,0))*L557+(1-INDEX(PY_VAL,MATCH("P_USADOS",PY_ID,0),9))*M557+INDEX(PY_VAL,MATCH("P_USADOS",PY_ID,0),9)*N557+IF(P557&gt;0,O557/P557,0)+Q557)</f>
        <v>1</v>
      </c>
      <c r="AA557" s="32" t="n">
        <f aca="false">J557*(INDEX(P_VAL,MATCH("CTRL_AÑO",P_ID,0))*L557+(1-INDEX(PY_VAL,MATCH("P_USADOS",PY_ID,0),10))*M557+INDEX(PY_VAL,MATCH("P_USADOS",PY_ID,0),10)*N557+IF(P557&gt;0,O557/P557,0)+Q557)</f>
        <v>1</v>
      </c>
      <c r="AB557" s="5" t="s">
        <v>1346</v>
      </c>
    </row>
    <row r="558" customFormat="false" ht="15" hidden="false" customHeight="false" outlineLevel="0" collapsed="false">
      <c r="A558" s="4" t="s">
        <v>321</v>
      </c>
      <c r="B558" s="4" t="s">
        <v>1356</v>
      </c>
      <c r="C558" s="4" t="s">
        <v>1548</v>
      </c>
      <c r="D558" s="5" t="s">
        <v>1358</v>
      </c>
      <c r="E558" s="32" t="n">
        <v>1</v>
      </c>
      <c r="F558" s="32" t="s">
        <v>82</v>
      </c>
      <c r="G558" s="33" t="s">
        <v>1344</v>
      </c>
      <c r="H558" s="32" t="s">
        <v>1359</v>
      </c>
      <c r="I558" s="32" t="n">
        <v>1</v>
      </c>
      <c r="J558" s="32" t="n">
        <f aca="false">E558*I558</f>
        <v>1</v>
      </c>
      <c r="K558" s="32"/>
      <c r="L558" s="32" t="n">
        <v>0</v>
      </c>
      <c r="M558" s="32" t="n">
        <v>1</v>
      </c>
      <c r="N558" s="32" t="n">
        <v>1</v>
      </c>
      <c r="O558" s="32" t="n">
        <v>0</v>
      </c>
      <c r="P558" s="32" t="n">
        <v>2</v>
      </c>
      <c r="Q558" s="32" t="n">
        <v>0</v>
      </c>
      <c r="R558" s="32" t="n">
        <f aca="false">J558*(INDEX(P_VAL,MATCH("CTRL_AÑO",P_ID,0))*L558+(1-INDEX(PY_VAL,MATCH("P_USADOS",PY_ID,0),1))*M558+INDEX(PY_VAL,MATCH("P_USADOS",PY_ID,0),1)*N558+IF(P558&gt;0,O558/P558,0)+Q558)</f>
        <v>1</v>
      </c>
      <c r="S558" s="32" t="n">
        <f aca="false">J558*(INDEX(P_VAL,MATCH("CTRL_AÑO",P_ID,0))*L558+(1-INDEX(PY_VAL,MATCH("P_USADOS",PY_ID,0),2))*M558+INDEX(PY_VAL,MATCH("P_USADOS",PY_ID,0),2)*N558+IF(P558&gt;0,O558/P558,0)+Q558)</f>
        <v>1</v>
      </c>
      <c r="T558" s="32" t="n">
        <f aca="false">J558*(INDEX(P_VAL,MATCH("CTRL_AÑO",P_ID,0))*L558+(1-INDEX(PY_VAL,MATCH("P_USADOS",PY_ID,0),3))*M558+INDEX(PY_VAL,MATCH("P_USADOS",PY_ID,0),3)*N558+IF(P558&gt;0,O558/P558,0)+Q558)</f>
        <v>1</v>
      </c>
      <c r="U558" s="32" t="n">
        <f aca="false">J558*(INDEX(P_VAL,MATCH("CTRL_AÑO",P_ID,0))*L558+(1-INDEX(PY_VAL,MATCH("P_USADOS",PY_ID,0),4))*M558+INDEX(PY_VAL,MATCH("P_USADOS",PY_ID,0),4)*N558+IF(P558&gt;0,O558/P558,0)+Q558)</f>
        <v>1</v>
      </c>
      <c r="V558" s="32" t="n">
        <f aca="false">J558*(INDEX(P_VAL,MATCH("CTRL_AÑO",P_ID,0))*L558+(1-INDEX(PY_VAL,MATCH("P_USADOS",PY_ID,0),5))*M558+INDEX(PY_VAL,MATCH("P_USADOS",PY_ID,0),5)*N558+IF(P558&gt;0,O558/P558,0)+Q558)</f>
        <v>1</v>
      </c>
      <c r="W558" s="32" t="n">
        <f aca="false">J558*(INDEX(P_VAL,MATCH("CTRL_AÑO",P_ID,0))*L558+(1-INDEX(PY_VAL,MATCH("P_USADOS",PY_ID,0),6))*M558+INDEX(PY_VAL,MATCH("P_USADOS",PY_ID,0),6)*N558+IF(P558&gt;0,O558/P558,0)+Q558)</f>
        <v>1</v>
      </c>
      <c r="X558" s="32" t="n">
        <f aca="false">J558*(INDEX(P_VAL,MATCH("CTRL_AÑO",P_ID,0))*L558+(1-INDEX(PY_VAL,MATCH("P_USADOS",PY_ID,0),7))*M558+INDEX(PY_VAL,MATCH("P_USADOS",PY_ID,0),7)*N558+IF(P558&gt;0,O558/P558,0)+Q558)</f>
        <v>1</v>
      </c>
      <c r="Y558" s="32" t="n">
        <f aca="false">J558*(INDEX(P_VAL,MATCH("CTRL_AÑO",P_ID,0))*L558+(1-INDEX(PY_VAL,MATCH("P_USADOS",PY_ID,0),8))*M558+INDEX(PY_VAL,MATCH("P_USADOS",PY_ID,0),8)*N558+IF(P558&gt;0,O558/P558,0)+Q558)</f>
        <v>1</v>
      </c>
      <c r="Z558" s="32" t="n">
        <f aca="false">J558*(INDEX(P_VAL,MATCH("CTRL_AÑO",P_ID,0))*L558+(1-INDEX(PY_VAL,MATCH("P_USADOS",PY_ID,0),9))*M558+INDEX(PY_VAL,MATCH("P_USADOS",PY_ID,0),9)*N558+IF(P558&gt;0,O558/P558,0)+Q558)</f>
        <v>1</v>
      </c>
      <c r="AA558" s="32" t="n">
        <f aca="false">J558*(INDEX(P_VAL,MATCH("CTRL_AÑO",P_ID,0))*L558+(1-INDEX(PY_VAL,MATCH("P_USADOS",PY_ID,0),10))*M558+INDEX(PY_VAL,MATCH("P_USADOS",PY_ID,0),10)*N558+IF(P558&gt;0,O558/P558,0)+Q558)</f>
        <v>1</v>
      </c>
      <c r="AB558" s="5" t="s">
        <v>1346</v>
      </c>
    </row>
    <row r="559" customFormat="false" ht="15" hidden="false" customHeight="false" outlineLevel="0" collapsed="false">
      <c r="A559" s="4" t="s">
        <v>321</v>
      </c>
      <c r="B559" s="4" t="s">
        <v>1360</v>
      </c>
      <c r="C559" s="4" t="s">
        <v>1549</v>
      </c>
      <c r="D559" s="5" t="s">
        <v>1362</v>
      </c>
      <c r="E559" s="32" t="n">
        <v>1</v>
      </c>
      <c r="F559" s="32" t="s">
        <v>82</v>
      </c>
      <c r="G559" s="33" t="s">
        <v>1344</v>
      </c>
      <c r="H559" s="32" t="s">
        <v>1363</v>
      </c>
      <c r="I559" s="32" t="n">
        <v>1</v>
      </c>
      <c r="J559" s="32" t="n">
        <f aca="false">E559*I559</f>
        <v>1</v>
      </c>
      <c r="K559" s="32"/>
      <c r="L559" s="32" t="n">
        <v>0</v>
      </c>
      <c r="M559" s="32" t="n">
        <v>1</v>
      </c>
      <c r="N559" s="32" t="n">
        <v>1</v>
      </c>
      <c r="O559" s="32" t="n">
        <v>0</v>
      </c>
      <c r="P559" s="32" t="n">
        <v>2</v>
      </c>
      <c r="Q559" s="32" t="n">
        <v>0</v>
      </c>
      <c r="R559" s="32" t="n">
        <f aca="false">J559*(INDEX(P_VAL,MATCH("CTRL_AÑO",P_ID,0))*L559+(1-INDEX(PY_VAL,MATCH("P_USADOS",PY_ID,0),1))*M559+INDEX(PY_VAL,MATCH("P_USADOS",PY_ID,0),1)*N559+IF(P559&gt;0,O559/P559,0)+Q559)</f>
        <v>1</v>
      </c>
      <c r="S559" s="32" t="n">
        <f aca="false">J559*(INDEX(P_VAL,MATCH("CTRL_AÑO",P_ID,0))*L559+(1-INDEX(PY_VAL,MATCH("P_USADOS",PY_ID,0),2))*M559+INDEX(PY_VAL,MATCH("P_USADOS",PY_ID,0),2)*N559+IF(P559&gt;0,O559/P559,0)+Q559)</f>
        <v>1</v>
      </c>
      <c r="T559" s="32" t="n">
        <f aca="false">J559*(INDEX(P_VAL,MATCH("CTRL_AÑO",P_ID,0))*L559+(1-INDEX(PY_VAL,MATCH("P_USADOS",PY_ID,0),3))*M559+INDEX(PY_VAL,MATCH("P_USADOS",PY_ID,0),3)*N559+IF(P559&gt;0,O559/P559,0)+Q559)</f>
        <v>1</v>
      </c>
      <c r="U559" s="32" t="n">
        <f aca="false">J559*(INDEX(P_VAL,MATCH("CTRL_AÑO",P_ID,0))*L559+(1-INDEX(PY_VAL,MATCH("P_USADOS",PY_ID,0),4))*M559+INDEX(PY_VAL,MATCH("P_USADOS",PY_ID,0),4)*N559+IF(P559&gt;0,O559/P559,0)+Q559)</f>
        <v>1</v>
      </c>
      <c r="V559" s="32" t="n">
        <f aca="false">J559*(INDEX(P_VAL,MATCH("CTRL_AÑO",P_ID,0))*L559+(1-INDEX(PY_VAL,MATCH("P_USADOS",PY_ID,0),5))*M559+INDEX(PY_VAL,MATCH("P_USADOS",PY_ID,0),5)*N559+IF(P559&gt;0,O559/P559,0)+Q559)</f>
        <v>1</v>
      </c>
      <c r="W559" s="32" t="n">
        <f aca="false">J559*(INDEX(P_VAL,MATCH("CTRL_AÑO",P_ID,0))*L559+(1-INDEX(PY_VAL,MATCH("P_USADOS",PY_ID,0),6))*M559+INDEX(PY_VAL,MATCH("P_USADOS",PY_ID,0),6)*N559+IF(P559&gt;0,O559/P559,0)+Q559)</f>
        <v>1</v>
      </c>
      <c r="X559" s="32" t="n">
        <f aca="false">J559*(INDEX(P_VAL,MATCH("CTRL_AÑO",P_ID,0))*L559+(1-INDEX(PY_VAL,MATCH("P_USADOS",PY_ID,0),7))*M559+INDEX(PY_VAL,MATCH("P_USADOS",PY_ID,0),7)*N559+IF(P559&gt;0,O559/P559,0)+Q559)</f>
        <v>1</v>
      </c>
      <c r="Y559" s="32" t="n">
        <f aca="false">J559*(INDEX(P_VAL,MATCH("CTRL_AÑO",P_ID,0))*L559+(1-INDEX(PY_VAL,MATCH("P_USADOS",PY_ID,0),8))*M559+INDEX(PY_VAL,MATCH("P_USADOS",PY_ID,0),8)*N559+IF(P559&gt;0,O559/P559,0)+Q559)</f>
        <v>1</v>
      </c>
      <c r="Z559" s="32" t="n">
        <f aca="false">J559*(INDEX(P_VAL,MATCH("CTRL_AÑO",P_ID,0))*L559+(1-INDEX(PY_VAL,MATCH("P_USADOS",PY_ID,0),9))*M559+INDEX(PY_VAL,MATCH("P_USADOS",PY_ID,0),9)*N559+IF(P559&gt;0,O559/P559,0)+Q559)</f>
        <v>1</v>
      </c>
      <c r="AA559" s="32" t="n">
        <f aca="false">J559*(INDEX(P_VAL,MATCH("CTRL_AÑO",P_ID,0))*L559+(1-INDEX(PY_VAL,MATCH("P_USADOS",PY_ID,0),10))*M559+INDEX(PY_VAL,MATCH("P_USADOS",PY_ID,0),10)*N559+IF(P559&gt;0,O559/P559,0)+Q559)</f>
        <v>1</v>
      </c>
      <c r="AB559" s="5" t="s">
        <v>1346</v>
      </c>
    </row>
    <row r="560" customFormat="false" ht="15" hidden="false" customHeight="false" outlineLevel="0" collapsed="false">
      <c r="A560" s="4" t="s">
        <v>321</v>
      </c>
      <c r="B560" s="4" t="s">
        <v>1364</v>
      </c>
      <c r="C560" s="4" t="s">
        <v>1550</v>
      </c>
      <c r="D560" s="5" t="s">
        <v>1366</v>
      </c>
      <c r="E560" s="32" t="n">
        <v>1</v>
      </c>
      <c r="F560" s="32" t="s">
        <v>82</v>
      </c>
      <c r="G560" s="33" t="s">
        <v>1344</v>
      </c>
      <c r="H560" s="32" t="s">
        <v>1367</v>
      </c>
      <c r="I560" s="32" t="n">
        <v>1</v>
      </c>
      <c r="J560" s="32" t="n">
        <f aca="false">E560*I560</f>
        <v>1</v>
      </c>
      <c r="K560" s="32" t="s">
        <v>582</v>
      </c>
      <c r="L560" s="32" t="n">
        <v>0</v>
      </c>
      <c r="M560" s="32" t="n">
        <v>1</v>
      </c>
      <c r="N560" s="32" t="n">
        <v>1</v>
      </c>
      <c r="O560" s="32" t="n">
        <v>0</v>
      </c>
      <c r="P560" s="32" t="n">
        <v>2</v>
      </c>
      <c r="Q560" s="32" t="n">
        <v>0</v>
      </c>
      <c r="R560" s="32" t="n">
        <f aca="false">J560*(INDEX(P_VAL,MATCH("CTRL_AÑO",P_ID,0))*L560+(1-INDEX(PY_VAL,MATCH("P_USADOS",PY_ID,0),1))*M560+INDEX(PY_VAL,MATCH("P_USADOS",PY_ID,0),1)*N560+IF(P560&gt;0,O560/P560,0)+Q560)</f>
        <v>1</v>
      </c>
      <c r="S560" s="32" t="n">
        <f aca="false">J560*(INDEX(P_VAL,MATCH("CTRL_AÑO",P_ID,0))*L560+(1-INDEX(PY_VAL,MATCH("P_USADOS",PY_ID,0),2))*M560+INDEX(PY_VAL,MATCH("P_USADOS",PY_ID,0),2)*N560+IF(P560&gt;0,O560/P560,0)+Q560)</f>
        <v>1</v>
      </c>
      <c r="T560" s="32" t="n">
        <f aca="false">J560*(INDEX(P_VAL,MATCH("CTRL_AÑO",P_ID,0))*L560+(1-INDEX(PY_VAL,MATCH("P_USADOS",PY_ID,0),3))*M560+INDEX(PY_VAL,MATCH("P_USADOS",PY_ID,0),3)*N560+IF(P560&gt;0,O560/P560,0)+Q560)</f>
        <v>1</v>
      </c>
      <c r="U560" s="32" t="n">
        <f aca="false">J560*(INDEX(P_VAL,MATCH("CTRL_AÑO",P_ID,0))*L560+(1-INDEX(PY_VAL,MATCH("P_USADOS",PY_ID,0),4))*M560+INDEX(PY_VAL,MATCH("P_USADOS",PY_ID,0),4)*N560+IF(P560&gt;0,O560/P560,0)+Q560)</f>
        <v>1</v>
      </c>
      <c r="V560" s="32" t="n">
        <f aca="false">J560*(INDEX(P_VAL,MATCH("CTRL_AÑO",P_ID,0))*L560+(1-INDEX(PY_VAL,MATCH("P_USADOS",PY_ID,0),5))*M560+INDEX(PY_VAL,MATCH("P_USADOS",PY_ID,0),5)*N560+IF(P560&gt;0,O560/P560,0)+Q560)</f>
        <v>1</v>
      </c>
      <c r="W560" s="32" t="n">
        <f aca="false">J560*(INDEX(P_VAL,MATCH("CTRL_AÑO",P_ID,0))*L560+(1-INDEX(PY_VAL,MATCH("P_USADOS",PY_ID,0),6))*M560+INDEX(PY_VAL,MATCH("P_USADOS",PY_ID,0),6)*N560+IF(P560&gt;0,O560/P560,0)+Q560)</f>
        <v>1</v>
      </c>
      <c r="X560" s="32" t="n">
        <f aca="false">J560*(INDEX(P_VAL,MATCH("CTRL_AÑO",P_ID,0))*L560+(1-INDEX(PY_VAL,MATCH("P_USADOS",PY_ID,0),7))*M560+INDEX(PY_VAL,MATCH("P_USADOS",PY_ID,0),7)*N560+IF(P560&gt;0,O560/P560,0)+Q560)</f>
        <v>1</v>
      </c>
      <c r="Y560" s="32" t="n">
        <f aca="false">J560*(INDEX(P_VAL,MATCH("CTRL_AÑO",P_ID,0))*L560+(1-INDEX(PY_VAL,MATCH("P_USADOS",PY_ID,0),8))*M560+INDEX(PY_VAL,MATCH("P_USADOS",PY_ID,0),8)*N560+IF(P560&gt;0,O560/P560,0)+Q560)</f>
        <v>1</v>
      </c>
      <c r="Z560" s="32" t="n">
        <f aca="false">J560*(INDEX(P_VAL,MATCH("CTRL_AÑO",P_ID,0))*L560+(1-INDEX(PY_VAL,MATCH("P_USADOS",PY_ID,0),9))*M560+INDEX(PY_VAL,MATCH("P_USADOS",PY_ID,0),9)*N560+IF(P560&gt;0,O560/P560,0)+Q560)</f>
        <v>1</v>
      </c>
      <c r="AA560" s="32" t="n">
        <f aca="false">J560*(INDEX(P_VAL,MATCH("CTRL_AÑO",P_ID,0))*L560+(1-INDEX(PY_VAL,MATCH("P_USADOS",PY_ID,0),10))*M560+INDEX(PY_VAL,MATCH("P_USADOS",PY_ID,0),10)*N560+IF(P560&gt;0,O560/P560,0)+Q560)</f>
        <v>1</v>
      </c>
      <c r="AB560" s="5" t="s">
        <v>1346</v>
      </c>
    </row>
    <row r="561" customFormat="false" ht="15" hidden="false" customHeight="false" outlineLevel="0" collapsed="false">
      <c r="A561" s="4" t="s">
        <v>321</v>
      </c>
      <c r="B561" s="4" t="s">
        <v>1368</v>
      </c>
      <c r="C561" s="4" t="s">
        <v>1551</v>
      </c>
      <c r="D561" s="5" t="s">
        <v>1370</v>
      </c>
      <c r="E561" s="32" t="n">
        <v>1</v>
      </c>
      <c r="F561" s="32" t="s">
        <v>82</v>
      </c>
      <c r="G561" s="33" t="s">
        <v>1344</v>
      </c>
      <c r="H561" s="32" t="s">
        <v>1371</v>
      </c>
      <c r="I561" s="32" t="n">
        <v>1</v>
      </c>
      <c r="J561" s="32" t="n">
        <f aca="false">E561*I561</f>
        <v>1</v>
      </c>
      <c r="K561" s="32" t="s">
        <v>582</v>
      </c>
      <c r="L561" s="32" t="n">
        <v>0</v>
      </c>
      <c r="M561" s="32" t="n">
        <v>1</v>
      </c>
      <c r="N561" s="32" t="n">
        <v>1</v>
      </c>
      <c r="O561" s="32" t="n">
        <v>0</v>
      </c>
      <c r="P561" s="32" t="n">
        <v>2</v>
      </c>
      <c r="Q561" s="32" t="n">
        <v>0</v>
      </c>
      <c r="R561" s="32" t="n">
        <f aca="false">J561*(INDEX(P_VAL,MATCH("CTRL_AÑO",P_ID,0))*L561+(1-INDEX(PY_VAL,MATCH("P_USADOS",PY_ID,0),1))*M561+INDEX(PY_VAL,MATCH("P_USADOS",PY_ID,0),1)*N561+IF(P561&gt;0,O561/P561,0)+Q561)</f>
        <v>1</v>
      </c>
      <c r="S561" s="32" t="n">
        <f aca="false">J561*(INDEX(P_VAL,MATCH("CTRL_AÑO",P_ID,0))*L561+(1-INDEX(PY_VAL,MATCH("P_USADOS",PY_ID,0),2))*M561+INDEX(PY_VAL,MATCH("P_USADOS",PY_ID,0),2)*N561+IF(P561&gt;0,O561/P561,0)+Q561)</f>
        <v>1</v>
      </c>
      <c r="T561" s="32" t="n">
        <f aca="false">J561*(INDEX(P_VAL,MATCH("CTRL_AÑO",P_ID,0))*L561+(1-INDEX(PY_VAL,MATCH("P_USADOS",PY_ID,0),3))*M561+INDEX(PY_VAL,MATCH("P_USADOS",PY_ID,0),3)*N561+IF(P561&gt;0,O561/P561,0)+Q561)</f>
        <v>1</v>
      </c>
      <c r="U561" s="32" t="n">
        <f aca="false">J561*(INDEX(P_VAL,MATCH("CTRL_AÑO",P_ID,0))*L561+(1-INDEX(PY_VAL,MATCH("P_USADOS",PY_ID,0),4))*M561+INDEX(PY_VAL,MATCH("P_USADOS",PY_ID,0),4)*N561+IF(P561&gt;0,O561/P561,0)+Q561)</f>
        <v>1</v>
      </c>
      <c r="V561" s="32" t="n">
        <f aca="false">J561*(INDEX(P_VAL,MATCH("CTRL_AÑO",P_ID,0))*L561+(1-INDEX(PY_VAL,MATCH("P_USADOS",PY_ID,0),5))*M561+INDEX(PY_VAL,MATCH("P_USADOS",PY_ID,0),5)*N561+IF(P561&gt;0,O561/P561,0)+Q561)</f>
        <v>1</v>
      </c>
      <c r="W561" s="32" t="n">
        <f aca="false">J561*(INDEX(P_VAL,MATCH("CTRL_AÑO",P_ID,0))*L561+(1-INDEX(PY_VAL,MATCH("P_USADOS",PY_ID,0),6))*M561+INDEX(PY_VAL,MATCH("P_USADOS",PY_ID,0),6)*N561+IF(P561&gt;0,O561/P561,0)+Q561)</f>
        <v>1</v>
      </c>
      <c r="X561" s="32" t="n">
        <f aca="false">J561*(INDEX(P_VAL,MATCH("CTRL_AÑO",P_ID,0))*L561+(1-INDEX(PY_VAL,MATCH("P_USADOS",PY_ID,0),7))*M561+INDEX(PY_VAL,MATCH("P_USADOS",PY_ID,0),7)*N561+IF(P561&gt;0,O561/P561,0)+Q561)</f>
        <v>1</v>
      </c>
      <c r="Y561" s="32" t="n">
        <f aca="false">J561*(INDEX(P_VAL,MATCH("CTRL_AÑO",P_ID,0))*L561+(1-INDEX(PY_VAL,MATCH("P_USADOS",PY_ID,0),8))*M561+INDEX(PY_VAL,MATCH("P_USADOS",PY_ID,0),8)*N561+IF(P561&gt;0,O561/P561,0)+Q561)</f>
        <v>1</v>
      </c>
      <c r="Z561" s="32" t="n">
        <f aca="false">J561*(INDEX(P_VAL,MATCH("CTRL_AÑO",P_ID,0))*L561+(1-INDEX(PY_VAL,MATCH("P_USADOS",PY_ID,0),9))*M561+INDEX(PY_VAL,MATCH("P_USADOS",PY_ID,0),9)*N561+IF(P561&gt;0,O561/P561,0)+Q561)</f>
        <v>1</v>
      </c>
      <c r="AA561" s="32" t="n">
        <f aca="false">J561*(INDEX(P_VAL,MATCH("CTRL_AÑO",P_ID,0))*L561+(1-INDEX(PY_VAL,MATCH("P_USADOS",PY_ID,0),10))*M561+INDEX(PY_VAL,MATCH("P_USADOS",PY_ID,0),10)*N561+IF(P561&gt;0,O561/P561,0)+Q561)</f>
        <v>1</v>
      </c>
      <c r="AB561" s="5" t="s">
        <v>1346</v>
      </c>
    </row>
    <row r="562" customFormat="false" ht="15" hidden="false" customHeight="false" outlineLevel="0" collapsed="false">
      <c r="A562" s="4" t="s">
        <v>321</v>
      </c>
      <c r="B562" s="4" t="s">
        <v>1372</v>
      </c>
      <c r="C562" s="4" t="s">
        <v>1552</v>
      </c>
      <c r="D562" s="5" t="s">
        <v>1374</v>
      </c>
      <c r="E562" s="32" t="n">
        <v>1</v>
      </c>
      <c r="F562" s="32" t="s">
        <v>82</v>
      </c>
      <c r="G562" s="33" t="s">
        <v>1344</v>
      </c>
      <c r="H562" s="32" t="s">
        <v>688</v>
      </c>
      <c r="I562" s="32" t="n">
        <v>1</v>
      </c>
      <c r="J562" s="32" t="n">
        <f aca="false">E562*I562</f>
        <v>1</v>
      </c>
      <c r="K562" s="32" t="s">
        <v>689</v>
      </c>
      <c r="L562" s="32" t="n">
        <v>0</v>
      </c>
      <c r="M562" s="32" t="n">
        <v>1</v>
      </c>
      <c r="N562" s="32" t="n">
        <v>1</v>
      </c>
      <c r="O562" s="32" t="n">
        <v>0</v>
      </c>
      <c r="P562" s="32" t="n">
        <v>2</v>
      </c>
      <c r="Q562" s="32" t="n">
        <v>0</v>
      </c>
      <c r="R562" s="32" t="n">
        <f aca="false">J562*(INDEX(P_VAL,MATCH("CTRL_AÑO",P_ID,0))*L562+(1-INDEX(PY_VAL,MATCH("P_USADOS",PY_ID,0),1))*M562+INDEX(PY_VAL,MATCH("P_USADOS",PY_ID,0),1)*N562+IF(P562&gt;0,O562/P562,0)+Q562)</f>
        <v>1</v>
      </c>
      <c r="S562" s="32" t="n">
        <f aca="false">J562*(INDEX(P_VAL,MATCH("CTRL_AÑO",P_ID,0))*L562+(1-INDEX(PY_VAL,MATCH("P_USADOS",PY_ID,0),2))*M562+INDEX(PY_VAL,MATCH("P_USADOS",PY_ID,0),2)*N562+IF(P562&gt;0,O562/P562,0)+Q562)</f>
        <v>1</v>
      </c>
      <c r="T562" s="32" t="n">
        <f aca="false">J562*(INDEX(P_VAL,MATCH("CTRL_AÑO",P_ID,0))*L562+(1-INDEX(PY_VAL,MATCH("P_USADOS",PY_ID,0),3))*M562+INDEX(PY_VAL,MATCH("P_USADOS",PY_ID,0),3)*N562+IF(P562&gt;0,O562/P562,0)+Q562)</f>
        <v>1</v>
      </c>
      <c r="U562" s="32" t="n">
        <f aca="false">J562*(INDEX(P_VAL,MATCH("CTRL_AÑO",P_ID,0))*L562+(1-INDEX(PY_VAL,MATCH("P_USADOS",PY_ID,0),4))*M562+INDEX(PY_VAL,MATCH("P_USADOS",PY_ID,0),4)*N562+IF(P562&gt;0,O562/P562,0)+Q562)</f>
        <v>1</v>
      </c>
      <c r="V562" s="32" t="n">
        <f aca="false">J562*(INDEX(P_VAL,MATCH("CTRL_AÑO",P_ID,0))*L562+(1-INDEX(PY_VAL,MATCH("P_USADOS",PY_ID,0),5))*M562+INDEX(PY_VAL,MATCH("P_USADOS",PY_ID,0),5)*N562+IF(P562&gt;0,O562/P562,0)+Q562)</f>
        <v>1</v>
      </c>
      <c r="W562" s="32" t="n">
        <f aca="false">J562*(INDEX(P_VAL,MATCH("CTRL_AÑO",P_ID,0))*L562+(1-INDEX(PY_VAL,MATCH("P_USADOS",PY_ID,0),6))*M562+INDEX(PY_VAL,MATCH("P_USADOS",PY_ID,0),6)*N562+IF(P562&gt;0,O562/P562,0)+Q562)</f>
        <v>1</v>
      </c>
      <c r="X562" s="32" t="n">
        <f aca="false">J562*(INDEX(P_VAL,MATCH("CTRL_AÑO",P_ID,0))*L562+(1-INDEX(PY_VAL,MATCH("P_USADOS",PY_ID,0),7))*M562+INDEX(PY_VAL,MATCH("P_USADOS",PY_ID,0),7)*N562+IF(P562&gt;0,O562/P562,0)+Q562)</f>
        <v>1</v>
      </c>
      <c r="Y562" s="32" t="n">
        <f aca="false">J562*(INDEX(P_VAL,MATCH("CTRL_AÑO",P_ID,0))*L562+(1-INDEX(PY_VAL,MATCH("P_USADOS",PY_ID,0),8))*M562+INDEX(PY_VAL,MATCH("P_USADOS",PY_ID,0),8)*N562+IF(P562&gt;0,O562/P562,0)+Q562)</f>
        <v>1</v>
      </c>
      <c r="Z562" s="32" t="n">
        <f aca="false">J562*(INDEX(P_VAL,MATCH("CTRL_AÑO",P_ID,0))*L562+(1-INDEX(PY_VAL,MATCH("P_USADOS",PY_ID,0),9))*M562+INDEX(PY_VAL,MATCH("P_USADOS",PY_ID,0),9)*N562+IF(P562&gt;0,O562/P562,0)+Q562)</f>
        <v>1</v>
      </c>
      <c r="AA562" s="32" t="n">
        <f aca="false">J562*(INDEX(P_VAL,MATCH("CTRL_AÑO",P_ID,0))*L562+(1-INDEX(PY_VAL,MATCH("P_USADOS",PY_ID,0),10))*M562+INDEX(PY_VAL,MATCH("P_USADOS",PY_ID,0),10)*N562+IF(P562&gt;0,O562/P562,0)+Q562)</f>
        <v>1</v>
      </c>
      <c r="AB562" s="5" t="s">
        <v>1346</v>
      </c>
    </row>
    <row r="563" customFormat="false" ht="15" hidden="false" customHeight="false" outlineLevel="0" collapsed="false">
      <c r="A563" s="4" t="s">
        <v>321</v>
      </c>
      <c r="B563" s="4" t="s">
        <v>1375</v>
      </c>
      <c r="C563" s="4" t="s">
        <v>1553</v>
      </c>
      <c r="D563" s="5" t="s">
        <v>1377</v>
      </c>
      <c r="E563" s="32" t="n">
        <v>1</v>
      </c>
      <c r="F563" s="32" t="s">
        <v>82</v>
      </c>
      <c r="G563" s="33" t="s">
        <v>1344</v>
      </c>
      <c r="H563" s="32" t="s">
        <v>1485</v>
      </c>
      <c r="I563" s="32" t="n">
        <v>1</v>
      </c>
      <c r="J563" s="32" t="n">
        <f aca="false">E563*I563</f>
        <v>1</v>
      </c>
      <c r="K563" s="32"/>
      <c r="L563" s="32" t="n">
        <v>0</v>
      </c>
      <c r="M563" s="32" t="n">
        <v>1</v>
      </c>
      <c r="N563" s="32" t="n">
        <v>1</v>
      </c>
      <c r="O563" s="32" t="n">
        <v>0</v>
      </c>
      <c r="P563" s="32" t="n">
        <v>2</v>
      </c>
      <c r="Q563" s="32" t="n">
        <v>0</v>
      </c>
      <c r="R563" s="32" t="n">
        <f aca="false">J563*(INDEX(P_VAL,MATCH("CTRL_AÑO",P_ID,0))*L563+(1-INDEX(PY_VAL,MATCH("P_USADOS",PY_ID,0),1))*M563+INDEX(PY_VAL,MATCH("P_USADOS",PY_ID,0),1)*N563+IF(P563&gt;0,O563/P563,0)+Q563)</f>
        <v>1</v>
      </c>
      <c r="S563" s="32" t="n">
        <f aca="false">J563*(INDEX(P_VAL,MATCH("CTRL_AÑO",P_ID,0))*L563+(1-INDEX(PY_VAL,MATCH("P_USADOS",PY_ID,0),2))*M563+INDEX(PY_VAL,MATCH("P_USADOS",PY_ID,0),2)*N563+IF(P563&gt;0,O563/P563,0)+Q563)</f>
        <v>1</v>
      </c>
      <c r="T563" s="32" t="n">
        <f aca="false">J563*(INDEX(P_VAL,MATCH("CTRL_AÑO",P_ID,0))*L563+(1-INDEX(PY_VAL,MATCH("P_USADOS",PY_ID,0),3))*M563+INDEX(PY_VAL,MATCH("P_USADOS",PY_ID,0),3)*N563+IF(P563&gt;0,O563/P563,0)+Q563)</f>
        <v>1</v>
      </c>
      <c r="U563" s="32" t="n">
        <f aca="false">J563*(INDEX(P_VAL,MATCH("CTRL_AÑO",P_ID,0))*L563+(1-INDEX(PY_VAL,MATCH("P_USADOS",PY_ID,0),4))*M563+INDEX(PY_VAL,MATCH("P_USADOS",PY_ID,0),4)*N563+IF(P563&gt;0,O563/P563,0)+Q563)</f>
        <v>1</v>
      </c>
      <c r="V563" s="32" t="n">
        <f aca="false">J563*(INDEX(P_VAL,MATCH("CTRL_AÑO",P_ID,0))*L563+(1-INDEX(PY_VAL,MATCH("P_USADOS",PY_ID,0),5))*M563+INDEX(PY_VAL,MATCH("P_USADOS",PY_ID,0),5)*N563+IF(P563&gt;0,O563/P563,0)+Q563)</f>
        <v>1</v>
      </c>
      <c r="W563" s="32" t="n">
        <f aca="false">J563*(INDEX(P_VAL,MATCH("CTRL_AÑO",P_ID,0))*L563+(1-INDEX(PY_VAL,MATCH("P_USADOS",PY_ID,0),6))*M563+INDEX(PY_VAL,MATCH("P_USADOS",PY_ID,0),6)*N563+IF(P563&gt;0,O563/P563,0)+Q563)</f>
        <v>1</v>
      </c>
      <c r="X563" s="32" t="n">
        <f aca="false">J563*(INDEX(P_VAL,MATCH("CTRL_AÑO",P_ID,0))*L563+(1-INDEX(PY_VAL,MATCH("P_USADOS",PY_ID,0),7))*M563+INDEX(PY_VAL,MATCH("P_USADOS",PY_ID,0),7)*N563+IF(P563&gt;0,O563/P563,0)+Q563)</f>
        <v>1</v>
      </c>
      <c r="Y563" s="32" t="n">
        <f aca="false">J563*(INDEX(P_VAL,MATCH("CTRL_AÑO",P_ID,0))*L563+(1-INDEX(PY_VAL,MATCH("P_USADOS",PY_ID,0),8))*M563+INDEX(PY_VAL,MATCH("P_USADOS",PY_ID,0),8)*N563+IF(P563&gt;0,O563/P563,0)+Q563)</f>
        <v>1</v>
      </c>
      <c r="Z563" s="32" t="n">
        <f aca="false">J563*(INDEX(P_VAL,MATCH("CTRL_AÑO",P_ID,0))*L563+(1-INDEX(PY_VAL,MATCH("P_USADOS",PY_ID,0),9))*M563+INDEX(PY_VAL,MATCH("P_USADOS",PY_ID,0),9)*N563+IF(P563&gt;0,O563/P563,0)+Q563)</f>
        <v>1</v>
      </c>
      <c r="AA563" s="32" t="n">
        <f aca="false">J563*(INDEX(P_VAL,MATCH("CTRL_AÑO",P_ID,0))*L563+(1-INDEX(PY_VAL,MATCH("P_USADOS",PY_ID,0),10))*M563+INDEX(PY_VAL,MATCH("P_USADOS",PY_ID,0),10)*N563+IF(P563&gt;0,O563/P563,0)+Q563)</f>
        <v>1</v>
      </c>
      <c r="AB563" s="5" t="s">
        <v>1346</v>
      </c>
    </row>
    <row r="564" customFormat="false" ht="15" hidden="false" customHeight="false" outlineLevel="0" collapsed="false">
      <c r="A564" s="4" t="s">
        <v>321</v>
      </c>
      <c r="B564" s="4" t="s">
        <v>1378</v>
      </c>
      <c r="C564" s="4" t="s">
        <v>1554</v>
      </c>
      <c r="D564" s="5" t="s">
        <v>1380</v>
      </c>
      <c r="E564" s="32" t="n">
        <v>1</v>
      </c>
      <c r="F564" s="32" t="s">
        <v>82</v>
      </c>
      <c r="G564" s="33" t="s">
        <v>1344</v>
      </c>
      <c r="H564" s="32" t="s">
        <v>1381</v>
      </c>
      <c r="I564" s="32" t="n">
        <v>1</v>
      </c>
      <c r="J564" s="32" t="n">
        <f aca="false">E564*I564</f>
        <v>1</v>
      </c>
      <c r="K564" s="32"/>
      <c r="L564" s="32" t="n">
        <v>0</v>
      </c>
      <c r="M564" s="32" t="n">
        <v>0</v>
      </c>
      <c r="N564" s="32" t="n">
        <v>0</v>
      </c>
      <c r="O564" s="32" t="n">
        <v>1</v>
      </c>
      <c r="P564" s="32" t="n">
        <v>2</v>
      </c>
      <c r="Q564" s="32" t="n">
        <v>0</v>
      </c>
      <c r="R564" s="32" t="n">
        <f aca="false">J564*(INDEX(P_VAL,MATCH("CTRL_AÑO",P_ID,0))*L564+(1-INDEX(PY_VAL,MATCH("P_USADOS",PY_ID,0),1))*M564+INDEX(PY_VAL,MATCH("P_USADOS",PY_ID,0),1)*N564+IF(P564&gt;0,O564/P564,0)+Q564)</f>
        <v>0.5</v>
      </c>
      <c r="S564" s="32" t="n">
        <f aca="false">J564*(INDEX(P_VAL,MATCH("CTRL_AÑO",P_ID,0))*L564+(1-INDEX(PY_VAL,MATCH("P_USADOS",PY_ID,0),2))*M564+INDEX(PY_VAL,MATCH("P_USADOS",PY_ID,0),2)*N564+IF(P564&gt;0,O564/P564,0)+Q564)</f>
        <v>0.5</v>
      </c>
      <c r="T564" s="32" t="n">
        <f aca="false">J564*(INDEX(P_VAL,MATCH("CTRL_AÑO",P_ID,0))*L564+(1-INDEX(PY_VAL,MATCH("P_USADOS",PY_ID,0),3))*M564+INDEX(PY_VAL,MATCH("P_USADOS",PY_ID,0),3)*N564+IF(P564&gt;0,O564/P564,0)+Q564)</f>
        <v>0.5</v>
      </c>
      <c r="U564" s="32" t="n">
        <f aca="false">J564*(INDEX(P_VAL,MATCH("CTRL_AÑO",P_ID,0))*L564+(1-INDEX(PY_VAL,MATCH("P_USADOS",PY_ID,0),4))*M564+INDEX(PY_VAL,MATCH("P_USADOS",PY_ID,0),4)*N564+IF(P564&gt;0,O564/P564,0)+Q564)</f>
        <v>0.5</v>
      </c>
      <c r="V564" s="32" t="n">
        <f aca="false">J564*(INDEX(P_VAL,MATCH("CTRL_AÑO",P_ID,0))*L564+(1-INDEX(PY_VAL,MATCH("P_USADOS",PY_ID,0),5))*M564+INDEX(PY_VAL,MATCH("P_USADOS",PY_ID,0),5)*N564+IF(P564&gt;0,O564/P564,0)+Q564)</f>
        <v>0.5</v>
      </c>
      <c r="W564" s="32" t="n">
        <f aca="false">J564*(INDEX(P_VAL,MATCH("CTRL_AÑO",P_ID,0))*L564+(1-INDEX(PY_VAL,MATCH("P_USADOS",PY_ID,0),6))*M564+INDEX(PY_VAL,MATCH("P_USADOS",PY_ID,0),6)*N564+IF(P564&gt;0,O564/P564,0)+Q564)</f>
        <v>0.5</v>
      </c>
      <c r="X564" s="32" t="n">
        <f aca="false">J564*(INDEX(P_VAL,MATCH("CTRL_AÑO",P_ID,0))*L564+(1-INDEX(PY_VAL,MATCH("P_USADOS",PY_ID,0),7))*M564+INDEX(PY_VAL,MATCH("P_USADOS",PY_ID,0),7)*N564+IF(P564&gt;0,O564/P564,0)+Q564)</f>
        <v>0.5</v>
      </c>
      <c r="Y564" s="32" t="n">
        <f aca="false">J564*(INDEX(P_VAL,MATCH("CTRL_AÑO",P_ID,0))*L564+(1-INDEX(PY_VAL,MATCH("P_USADOS",PY_ID,0),8))*M564+INDEX(PY_VAL,MATCH("P_USADOS",PY_ID,0),8)*N564+IF(P564&gt;0,O564/P564,0)+Q564)</f>
        <v>0.5</v>
      </c>
      <c r="Z564" s="32" t="n">
        <f aca="false">J564*(INDEX(P_VAL,MATCH("CTRL_AÑO",P_ID,0))*L564+(1-INDEX(PY_VAL,MATCH("P_USADOS",PY_ID,0),9))*M564+INDEX(PY_VAL,MATCH("P_USADOS",PY_ID,0),9)*N564+IF(P564&gt;0,O564/P564,0)+Q564)</f>
        <v>0.5</v>
      </c>
      <c r="AA564" s="32" t="n">
        <f aca="false">J564*(INDEX(P_VAL,MATCH("CTRL_AÑO",P_ID,0))*L564+(1-INDEX(PY_VAL,MATCH("P_USADOS",PY_ID,0),10))*M564+INDEX(PY_VAL,MATCH("P_USADOS",PY_ID,0),10)*N564+IF(P564&gt;0,O564/P564,0)+Q564)</f>
        <v>0.5</v>
      </c>
      <c r="AB564" s="5" t="s">
        <v>1346</v>
      </c>
    </row>
    <row r="565" customFormat="false" ht="15" hidden="false" customHeight="false" outlineLevel="0" collapsed="false">
      <c r="A565" s="4" t="s">
        <v>324</v>
      </c>
      <c r="B565" s="4" t="s">
        <v>1341</v>
      </c>
      <c r="C565" s="4" t="s">
        <v>1555</v>
      </c>
      <c r="D565" s="5" t="s">
        <v>1343</v>
      </c>
      <c r="E565" s="32" t="n">
        <v>1</v>
      </c>
      <c r="F565" s="32" t="s">
        <v>82</v>
      </c>
      <c r="G565" s="33" t="s">
        <v>1344</v>
      </c>
      <c r="H565" s="32" t="s">
        <v>1345</v>
      </c>
      <c r="I565" s="32" t="n">
        <v>1</v>
      </c>
      <c r="J565" s="32" t="n">
        <f aca="false">E565*I565</f>
        <v>1</v>
      </c>
      <c r="K565" s="32"/>
      <c r="L565" s="32" t="n">
        <v>1</v>
      </c>
      <c r="M565" s="32" t="n">
        <v>0</v>
      </c>
      <c r="N565" s="32" t="n">
        <v>0</v>
      </c>
      <c r="O565" s="32" t="n">
        <v>0</v>
      </c>
      <c r="P565" s="32" t="n">
        <v>5</v>
      </c>
      <c r="Q565" s="32" t="n">
        <v>0</v>
      </c>
      <c r="R565" s="32" t="n">
        <f aca="false">J565*(INDEX(P_VAL,MATCH("CTRL_AÑO",P_ID,0))*L565+(1-INDEX(PY_VAL,MATCH("P_USADOS",PY_ID,0),1))*M565+INDEX(PY_VAL,MATCH("P_USADOS",PY_ID,0),1)*N565+IF(P565&gt;0,O565/P565,0)+Q565)</f>
        <v>4</v>
      </c>
      <c r="S565" s="32" t="n">
        <f aca="false">J565*(INDEX(P_VAL,MATCH("CTRL_AÑO",P_ID,0))*L565+(1-INDEX(PY_VAL,MATCH("P_USADOS",PY_ID,0),2))*M565+INDEX(PY_VAL,MATCH("P_USADOS",PY_ID,0),2)*N565+IF(P565&gt;0,O565/P565,0)+Q565)</f>
        <v>4</v>
      </c>
      <c r="T565" s="32" t="n">
        <f aca="false">J565*(INDEX(P_VAL,MATCH("CTRL_AÑO",P_ID,0))*L565+(1-INDEX(PY_VAL,MATCH("P_USADOS",PY_ID,0),3))*M565+INDEX(PY_VAL,MATCH("P_USADOS",PY_ID,0),3)*N565+IF(P565&gt;0,O565/P565,0)+Q565)</f>
        <v>4</v>
      </c>
      <c r="U565" s="32" t="n">
        <f aca="false">J565*(INDEX(P_VAL,MATCH("CTRL_AÑO",P_ID,0))*L565+(1-INDEX(PY_VAL,MATCH("P_USADOS",PY_ID,0),4))*M565+INDEX(PY_VAL,MATCH("P_USADOS",PY_ID,0),4)*N565+IF(P565&gt;0,O565/P565,0)+Q565)</f>
        <v>4</v>
      </c>
      <c r="V565" s="32" t="n">
        <f aca="false">J565*(INDEX(P_VAL,MATCH("CTRL_AÑO",P_ID,0))*L565+(1-INDEX(PY_VAL,MATCH("P_USADOS",PY_ID,0),5))*M565+INDEX(PY_VAL,MATCH("P_USADOS",PY_ID,0),5)*N565+IF(P565&gt;0,O565/P565,0)+Q565)</f>
        <v>4</v>
      </c>
      <c r="W565" s="32" t="n">
        <f aca="false">J565*(INDEX(P_VAL,MATCH("CTRL_AÑO",P_ID,0))*L565+(1-INDEX(PY_VAL,MATCH("P_USADOS",PY_ID,0),6))*M565+INDEX(PY_VAL,MATCH("P_USADOS",PY_ID,0),6)*N565+IF(P565&gt;0,O565/P565,0)+Q565)</f>
        <v>4</v>
      </c>
      <c r="X565" s="32" t="n">
        <f aca="false">J565*(INDEX(P_VAL,MATCH("CTRL_AÑO",P_ID,0))*L565+(1-INDEX(PY_VAL,MATCH("P_USADOS",PY_ID,0),7))*M565+INDEX(PY_VAL,MATCH("P_USADOS",PY_ID,0),7)*N565+IF(P565&gt;0,O565/P565,0)+Q565)</f>
        <v>4</v>
      </c>
      <c r="Y565" s="32" t="n">
        <f aca="false">J565*(INDEX(P_VAL,MATCH("CTRL_AÑO",P_ID,0))*L565+(1-INDEX(PY_VAL,MATCH("P_USADOS",PY_ID,0),8))*M565+INDEX(PY_VAL,MATCH("P_USADOS",PY_ID,0),8)*N565+IF(P565&gt;0,O565/P565,0)+Q565)</f>
        <v>4</v>
      </c>
      <c r="Z565" s="32" t="n">
        <f aca="false">J565*(INDEX(P_VAL,MATCH("CTRL_AÑO",P_ID,0))*L565+(1-INDEX(PY_VAL,MATCH("P_USADOS",PY_ID,0),9))*M565+INDEX(PY_VAL,MATCH("P_USADOS",PY_ID,0),9)*N565+IF(P565&gt;0,O565/P565,0)+Q565)</f>
        <v>4</v>
      </c>
      <c r="AA565" s="32" t="n">
        <f aca="false">J565*(INDEX(P_VAL,MATCH("CTRL_AÑO",P_ID,0))*L565+(1-INDEX(PY_VAL,MATCH("P_USADOS",PY_ID,0),10))*M565+INDEX(PY_VAL,MATCH("P_USADOS",PY_ID,0),10)*N565+IF(P565&gt;0,O565/P565,0)+Q565)</f>
        <v>4</v>
      </c>
      <c r="AB565" s="5" t="s">
        <v>1346</v>
      </c>
    </row>
    <row r="566" customFormat="false" ht="15" hidden="false" customHeight="false" outlineLevel="0" collapsed="false">
      <c r="A566" s="4" t="s">
        <v>324</v>
      </c>
      <c r="B566" s="4" t="s">
        <v>1347</v>
      </c>
      <c r="C566" s="4" t="s">
        <v>1556</v>
      </c>
      <c r="D566" s="5" t="s">
        <v>1557</v>
      </c>
      <c r="E566" s="32" t="n">
        <v>1</v>
      </c>
      <c r="F566" s="32" t="s">
        <v>73</v>
      </c>
      <c r="G566" s="33" t="s">
        <v>1344</v>
      </c>
      <c r="H566" s="32" t="s">
        <v>1558</v>
      </c>
      <c r="I566" s="32" t="n">
        <v>1</v>
      </c>
      <c r="J566" s="32" t="n">
        <f aca="false">E566*I566</f>
        <v>1</v>
      </c>
      <c r="K566" s="32"/>
      <c r="L566" s="32" t="n">
        <v>0</v>
      </c>
      <c r="M566" s="32" t="n">
        <v>0.1</v>
      </c>
      <c r="N566" s="32" t="n">
        <v>2</v>
      </c>
      <c r="O566" s="32" t="n">
        <v>0</v>
      </c>
      <c r="P566" s="32" t="n">
        <v>5</v>
      </c>
      <c r="Q566" s="32" t="n">
        <v>0</v>
      </c>
      <c r="R566" s="32" t="n">
        <f aca="false">J566*(INDEX(P_VAL,MATCH("CTRL_AÑO",P_ID,0))*L566+(1-INDEX(PY_VAL,MATCH("P_USADOS",PY_ID,0),1))*M566+INDEX(PY_VAL,MATCH("P_USADOS",PY_ID,0),1)*N566+IF(P566&gt;0,O566/P566,0)+Q566)</f>
        <v>0.190516</v>
      </c>
      <c r="S566" s="32" t="n">
        <f aca="false">J566*(INDEX(P_VAL,MATCH("CTRL_AÑO",P_ID,0))*L566+(1-INDEX(PY_VAL,MATCH("P_USADOS",PY_ID,0),2))*M566+INDEX(PY_VAL,MATCH("P_USADOS",PY_ID,0),2)*N566+IF(P566&gt;0,O566/P566,0)+Q566)</f>
        <v>0.1905084</v>
      </c>
      <c r="T566" s="32" t="n">
        <f aca="false">J566*(INDEX(P_VAL,MATCH("CTRL_AÑO",P_ID,0))*L566+(1-INDEX(PY_VAL,MATCH("P_USADOS",PY_ID,0),3))*M566+INDEX(PY_VAL,MATCH("P_USADOS",PY_ID,0),3)*N566+IF(P566&gt;0,O566/P566,0)+Q566)</f>
        <v>0.1905103</v>
      </c>
      <c r="U566" s="32" t="n">
        <f aca="false">J566*(INDEX(P_VAL,MATCH("CTRL_AÑO",P_ID,0))*L566+(1-INDEX(PY_VAL,MATCH("P_USADOS",PY_ID,0),4))*M566+INDEX(PY_VAL,MATCH("P_USADOS",PY_ID,0),4)*N566+IF(P566&gt;0,O566/P566,0)+Q566)</f>
        <v>0.1905141</v>
      </c>
      <c r="V566" s="32" t="n">
        <f aca="false">J566*(INDEX(P_VAL,MATCH("CTRL_AÑO",P_ID,0))*L566+(1-INDEX(PY_VAL,MATCH("P_USADOS",PY_ID,0),5))*M566+INDEX(PY_VAL,MATCH("P_USADOS",PY_ID,0),5)*N566+IF(P566&gt;0,O566/P566,0)+Q566)</f>
        <v>0.1905084</v>
      </c>
      <c r="W566" s="32" t="n">
        <f aca="false">J566*(INDEX(P_VAL,MATCH("CTRL_AÑO",P_ID,0))*L566+(1-INDEX(PY_VAL,MATCH("P_USADOS",PY_ID,0),6))*M566+INDEX(PY_VAL,MATCH("P_USADOS",PY_ID,0),6)*N566+IF(P566&gt;0,O566/P566,0)+Q566)</f>
        <v>0.1905103</v>
      </c>
      <c r="X566" s="32" t="n">
        <f aca="false">J566*(INDEX(P_VAL,MATCH("CTRL_AÑO",P_ID,0))*L566+(1-INDEX(PY_VAL,MATCH("P_USADOS",PY_ID,0),7))*M566+INDEX(PY_VAL,MATCH("P_USADOS",PY_ID,0),7)*N566+IF(P566&gt;0,O566/P566,0)+Q566)</f>
        <v>0.1905084</v>
      </c>
      <c r="Y566" s="32" t="n">
        <f aca="false">J566*(INDEX(P_VAL,MATCH("CTRL_AÑO",P_ID,0))*L566+(1-INDEX(PY_VAL,MATCH("P_USADOS",PY_ID,0),8))*M566+INDEX(PY_VAL,MATCH("P_USADOS",PY_ID,0),8)*N566+IF(P566&gt;0,O566/P566,0)+Q566)</f>
        <v>0.1905122</v>
      </c>
      <c r="Z566" s="32" t="n">
        <f aca="false">J566*(INDEX(P_VAL,MATCH("CTRL_AÑO",P_ID,0))*L566+(1-INDEX(PY_VAL,MATCH("P_USADOS",PY_ID,0),9))*M566+INDEX(PY_VAL,MATCH("P_USADOS",PY_ID,0),9)*N566+IF(P566&gt;0,O566/P566,0)+Q566)</f>
        <v>0.1905084</v>
      </c>
      <c r="AA566" s="32" t="n">
        <f aca="false">J566*(INDEX(P_VAL,MATCH("CTRL_AÑO",P_ID,0))*L566+(1-INDEX(PY_VAL,MATCH("P_USADOS",PY_ID,0),10))*M566+INDEX(PY_VAL,MATCH("P_USADOS",PY_ID,0),10)*N566+IF(P566&gt;0,O566/P566,0)+Q566)</f>
        <v>0.1905027</v>
      </c>
      <c r="AB566" s="5" t="s">
        <v>1346</v>
      </c>
    </row>
    <row r="567" customFormat="false" ht="15" hidden="false" customHeight="false" outlineLevel="0" collapsed="false">
      <c r="A567" s="4" t="s">
        <v>324</v>
      </c>
      <c r="B567" s="4" t="s">
        <v>1352</v>
      </c>
      <c r="C567" s="4" t="s">
        <v>1559</v>
      </c>
      <c r="D567" s="5" t="s">
        <v>1354</v>
      </c>
      <c r="E567" s="32" t="n">
        <v>1</v>
      </c>
      <c r="F567" s="32" t="s">
        <v>82</v>
      </c>
      <c r="G567" s="33" t="s">
        <v>1344</v>
      </c>
      <c r="H567" s="32" t="s">
        <v>1355</v>
      </c>
      <c r="I567" s="32" t="n">
        <v>1</v>
      </c>
      <c r="J567" s="32" t="n">
        <f aca="false">E567*I567</f>
        <v>1</v>
      </c>
      <c r="K567" s="32"/>
      <c r="L567" s="32" t="n">
        <v>0</v>
      </c>
      <c r="M567" s="32" t="n">
        <v>1</v>
      </c>
      <c r="N567" s="32" t="n">
        <v>1</v>
      </c>
      <c r="O567" s="32" t="n">
        <v>0</v>
      </c>
      <c r="P567" s="32" t="n">
        <v>5</v>
      </c>
      <c r="Q567" s="32" t="n">
        <v>0</v>
      </c>
      <c r="R567" s="32" t="n">
        <f aca="false">J567*(INDEX(P_VAL,MATCH("CTRL_AÑO",P_ID,0))*L567+(1-INDEX(PY_VAL,MATCH("P_USADOS",PY_ID,0),1))*M567+INDEX(PY_VAL,MATCH("P_USADOS",PY_ID,0),1)*N567+IF(P567&gt;0,O567/P567,0)+Q567)</f>
        <v>1</v>
      </c>
      <c r="S567" s="32" t="n">
        <f aca="false">J567*(INDEX(P_VAL,MATCH("CTRL_AÑO",P_ID,0))*L567+(1-INDEX(PY_VAL,MATCH("P_USADOS",PY_ID,0),2))*M567+INDEX(PY_VAL,MATCH("P_USADOS",PY_ID,0),2)*N567+IF(P567&gt;0,O567/P567,0)+Q567)</f>
        <v>1</v>
      </c>
      <c r="T567" s="32" t="n">
        <f aca="false">J567*(INDEX(P_VAL,MATCH("CTRL_AÑO",P_ID,0))*L567+(1-INDEX(PY_VAL,MATCH("P_USADOS",PY_ID,0),3))*M567+INDEX(PY_VAL,MATCH("P_USADOS",PY_ID,0),3)*N567+IF(P567&gt;0,O567/P567,0)+Q567)</f>
        <v>1</v>
      </c>
      <c r="U567" s="32" t="n">
        <f aca="false">J567*(INDEX(P_VAL,MATCH("CTRL_AÑO",P_ID,0))*L567+(1-INDEX(PY_VAL,MATCH("P_USADOS",PY_ID,0),4))*M567+INDEX(PY_VAL,MATCH("P_USADOS",PY_ID,0),4)*N567+IF(P567&gt;0,O567/P567,0)+Q567)</f>
        <v>1</v>
      </c>
      <c r="V567" s="32" t="n">
        <f aca="false">J567*(INDEX(P_VAL,MATCH("CTRL_AÑO",P_ID,0))*L567+(1-INDEX(PY_VAL,MATCH("P_USADOS",PY_ID,0),5))*M567+INDEX(PY_VAL,MATCH("P_USADOS",PY_ID,0),5)*N567+IF(P567&gt;0,O567/P567,0)+Q567)</f>
        <v>1</v>
      </c>
      <c r="W567" s="32" t="n">
        <f aca="false">J567*(INDEX(P_VAL,MATCH("CTRL_AÑO",P_ID,0))*L567+(1-INDEX(PY_VAL,MATCH("P_USADOS",PY_ID,0),6))*M567+INDEX(PY_VAL,MATCH("P_USADOS",PY_ID,0),6)*N567+IF(P567&gt;0,O567/P567,0)+Q567)</f>
        <v>1</v>
      </c>
      <c r="X567" s="32" t="n">
        <f aca="false">J567*(INDEX(P_VAL,MATCH("CTRL_AÑO",P_ID,0))*L567+(1-INDEX(PY_VAL,MATCH("P_USADOS",PY_ID,0),7))*M567+INDEX(PY_VAL,MATCH("P_USADOS",PY_ID,0),7)*N567+IF(P567&gt;0,O567/P567,0)+Q567)</f>
        <v>1</v>
      </c>
      <c r="Y567" s="32" t="n">
        <f aca="false">J567*(INDEX(P_VAL,MATCH("CTRL_AÑO",P_ID,0))*L567+(1-INDEX(PY_VAL,MATCH("P_USADOS",PY_ID,0),8))*M567+INDEX(PY_VAL,MATCH("P_USADOS",PY_ID,0),8)*N567+IF(P567&gt;0,O567/P567,0)+Q567)</f>
        <v>1</v>
      </c>
      <c r="Z567" s="32" t="n">
        <f aca="false">J567*(INDEX(P_VAL,MATCH("CTRL_AÑO",P_ID,0))*L567+(1-INDEX(PY_VAL,MATCH("P_USADOS",PY_ID,0),9))*M567+INDEX(PY_VAL,MATCH("P_USADOS",PY_ID,0),9)*N567+IF(P567&gt;0,O567/P567,0)+Q567)</f>
        <v>1</v>
      </c>
      <c r="AA567" s="32" t="n">
        <f aca="false">J567*(INDEX(P_VAL,MATCH("CTRL_AÑO",P_ID,0))*L567+(1-INDEX(PY_VAL,MATCH("P_USADOS",PY_ID,0),10))*M567+INDEX(PY_VAL,MATCH("P_USADOS",PY_ID,0),10)*N567+IF(P567&gt;0,O567/P567,0)+Q567)</f>
        <v>1</v>
      </c>
      <c r="AB567" s="5" t="s">
        <v>1346</v>
      </c>
    </row>
    <row r="568" customFormat="false" ht="15" hidden="false" customHeight="false" outlineLevel="0" collapsed="false">
      <c r="A568" s="4" t="s">
        <v>324</v>
      </c>
      <c r="B568" s="4" t="s">
        <v>1360</v>
      </c>
      <c r="C568" s="4" t="s">
        <v>1560</v>
      </c>
      <c r="D568" s="5" t="s">
        <v>1362</v>
      </c>
      <c r="E568" s="32" t="n">
        <v>1</v>
      </c>
      <c r="F568" s="32" t="s">
        <v>82</v>
      </c>
      <c r="G568" s="33" t="s">
        <v>1344</v>
      </c>
      <c r="H568" s="32" t="s">
        <v>1363</v>
      </c>
      <c r="I568" s="32" t="n">
        <v>1</v>
      </c>
      <c r="J568" s="32" t="n">
        <f aca="false">E568*I568</f>
        <v>1</v>
      </c>
      <c r="K568" s="32"/>
      <c r="L568" s="32" t="n">
        <v>0</v>
      </c>
      <c r="M568" s="32" t="n">
        <v>1</v>
      </c>
      <c r="N568" s="32" t="n">
        <v>1</v>
      </c>
      <c r="O568" s="32" t="n">
        <v>0</v>
      </c>
      <c r="P568" s="32" t="n">
        <v>5</v>
      </c>
      <c r="Q568" s="32" t="n">
        <v>0</v>
      </c>
      <c r="R568" s="32" t="n">
        <f aca="false">J568*(INDEX(P_VAL,MATCH("CTRL_AÑO",P_ID,0))*L568+(1-INDEX(PY_VAL,MATCH("P_USADOS",PY_ID,0),1))*M568+INDEX(PY_VAL,MATCH("P_USADOS",PY_ID,0),1)*N568+IF(P568&gt;0,O568/P568,0)+Q568)</f>
        <v>1</v>
      </c>
      <c r="S568" s="32" t="n">
        <f aca="false">J568*(INDEX(P_VAL,MATCH("CTRL_AÑO",P_ID,0))*L568+(1-INDEX(PY_VAL,MATCH("P_USADOS",PY_ID,0),2))*M568+INDEX(PY_VAL,MATCH("P_USADOS",PY_ID,0),2)*N568+IF(P568&gt;0,O568/P568,0)+Q568)</f>
        <v>1</v>
      </c>
      <c r="T568" s="32" t="n">
        <f aca="false">J568*(INDEX(P_VAL,MATCH("CTRL_AÑO",P_ID,0))*L568+(1-INDEX(PY_VAL,MATCH("P_USADOS",PY_ID,0),3))*M568+INDEX(PY_VAL,MATCH("P_USADOS",PY_ID,0),3)*N568+IF(P568&gt;0,O568/P568,0)+Q568)</f>
        <v>1</v>
      </c>
      <c r="U568" s="32" t="n">
        <f aca="false">J568*(INDEX(P_VAL,MATCH("CTRL_AÑO",P_ID,0))*L568+(1-INDEX(PY_VAL,MATCH("P_USADOS",PY_ID,0),4))*M568+INDEX(PY_VAL,MATCH("P_USADOS",PY_ID,0),4)*N568+IF(P568&gt;0,O568/P568,0)+Q568)</f>
        <v>1</v>
      </c>
      <c r="V568" s="32" t="n">
        <f aca="false">J568*(INDEX(P_VAL,MATCH("CTRL_AÑO",P_ID,0))*L568+(1-INDEX(PY_VAL,MATCH("P_USADOS",PY_ID,0),5))*M568+INDEX(PY_VAL,MATCH("P_USADOS",PY_ID,0),5)*N568+IF(P568&gt;0,O568/P568,0)+Q568)</f>
        <v>1</v>
      </c>
      <c r="W568" s="32" t="n">
        <f aca="false">J568*(INDEX(P_VAL,MATCH("CTRL_AÑO",P_ID,0))*L568+(1-INDEX(PY_VAL,MATCH("P_USADOS",PY_ID,0),6))*M568+INDEX(PY_VAL,MATCH("P_USADOS",PY_ID,0),6)*N568+IF(P568&gt;0,O568/P568,0)+Q568)</f>
        <v>1</v>
      </c>
      <c r="X568" s="32" t="n">
        <f aca="false">J568*(INDEX(P_VAL,MATCH("CTRL_AÑO",P_ID,0))*L568+(1-INDEX(PY_VAL,MATCH("P_USADOS",PY_ID,0),7))*M568+INDEX(PY_VAL,MATCH("P_USADOS",PY_ID,0),7)*N568+IF(P568&gt;0,O568/P568,0)+Q568)</f>
        <v>1</v>
      </c>
      <c r="Y568" s="32" t="n">
        <f aca="false">J568*(INDEX(P_VAL,MATCH("CTRL_AÑO",P_ID,0))*L568+(1-INDEX(PY_VAL,MATCH("P_USADOS",PY_ID,0),8))*M568+INDEX(PY_VAL,MATCH("P_USADOS",PY_ID,0),8)*N568+IF(P568&gt;0,O568/P568,0)+Q568)</f>
        <v>1</v>
      </c>
      <c r="Z568" s="32" t="n">
        <f aca="false">J568*(INDEX(P_VAL,MATCH("CTRL_AÑO",P_ID,0))*L568+(1-INDEX(PY_VAL,MATCH("P_USADOS",PY_ID,0),9))*M568+INDEX(PY_VAL,MATCH("P_USADOS",PY_ID,0),9)*N568+IF(P568&gt;0,O568/P568,0)+Q568)</f>
        <v>1</v>
      </c>
      <c r="AA568" s="32" t="n">
        <f aca="false">J568*(INDEX(P_VAL,MATCH("CTRL_AÑO",P_ID,0))*L568+(1-INDEX(PY_VAL,MATCH("P_USADOS",PY_ID,0),10))*M568+INDEX(PY_VAL,MATCH("P_USADOS",PY_ID,0),10)*N568+IF(P568&gt;0,O568/P568,0)+Q568)</f>
        <v>1</v>
      </c>
      <c r="AB568" s="5" t="s">
        <v>1346</v>
      </c>
    </row>
    <row r="569" customFormat="false" ht="15" hidden="false" customHeight="false" outlineLevel="0" collapsed="false">
      <c r="A569" s="4" t="s">
        <v>324</v>
      </c>
      <c r="B569" s="4" t="s">
        <v>1364</v>
      </c>
      <c r="C569" s="4" t="s">
        <v>1561</v>
      </c>
      <c r="D569" s="5" t="s">
        <v>1366</v>
      </c>
      <c r="E569" s="32" t="n">
        <v>1</v>
      </c>
      <c r="F569" s="32" t="s">
        <v>82</v>
      </c>
      <c r="G569" s="33" t="s">
        <v>1344</v>
      </c>
      <c r="H569" s="32" t="s">
        <v>1367</v>
      </c>
      <c r="I569" s="32" t="n">
        <v>1</v>
      </c>
      <c r="J569" s="32" t="n">
        <f aca="false">E569*I569</f>
        <v>1</v>
      </c>
      <c r="K569" s="32" t="s">
        <v>582</v>
      </c>
      <c r="L569" s="32" t="n">
        <v>0</v>
      </c>
      <c r="M569" s="32" t="n">
        <v>1</v>
      </c>
      <c r="N569" s="32" t="n">
        <v>1</v>
      </c>
      <c r="O569" s="32" t="n">
        <v>0</v>
      </c>
      <c r="P569" s="32" t="n">
        <v>5</v>
      </c>
      <c r="Q569" s="32" t="n">
        <v>0</v>
      </c>
      <c r="R569" s="32" t="n">
        <f aca="false">J569*(INDEX(P_VAL,MATCH("CTRL_AÑO",P_ID,0))*L569+(1-INDEX(PY_VAL,MATCH("P_USADOS",PY_ID,0),1))*M569+INDEX(PY_VAL,MATCH("P_USADOS",PY_ID,0),1)*N569+IF(P569&gt;0,O569/P569,0)+Q569)</f>
        <v>1</v>
      </c>
      <c r="S569" s="32" t="n">
        <f aca="false">J569*(INDEX(P_VAL,MATCH("CTRL_AÑO",P_ID,0))*L569+(1-INDEX(PY_VAL,MATCH("P_USADOS",PY_ID,0),2))*M569+INDEX(PY_VAL,MATCH("P_USADOS",PY_ID,0),2)*N569+IF(P569&gt;0,O569/P569,0)+Q569)</f>
        <v>1</v>
      </c>
      <c r="T569" s="32" t="n">
        <f aca="false">J569*(INDEX(P_VAL,MATCH("CTRL_AÑO",P_ID,0))*L569+(1-INDEX(PY_VAL,MATCH("P_USADOS",PY_ID,0),3))*M569+INDEX(PY_VAL,MATCH("P_USADOS",PY_ID,0),3)*N569+IF(P569&gt;0,O569/P569,0)+Q569)</f>
        <v>1</v>
      </c>
      <c r="U569" s="32" t="n">
        <f aca="false">J569*(INDEX(P_VAL,MATCH("CTRL_AÑO",P_ID,0))*L569+(1-INDEX(PY_VAL,MATCH("P_USADOS",PY_ID,0),4))*M569+INDEX(PY_VAL,MATCH("P_USADOS",PY_ID,0),4)*N569+IF(P569&gt;0,O569/P569,0)+Q569)</f>
        <v>1</v>
      </c>
      <c r="V569" s="32" t="n">
        <f aca="false">J569*(INDEX(P_VAL,MATCH("CTRL_AÑO",P_ID,0))*L569+(1-INDEX(PY_VAL,MATCH("P_USADOS",PY_ID,0),5))*M569+INDEX(PY_VAL,MATCH("P_USADOS",PY_ID,0),5)*N569+IF(P569&gt;0,O569/P569,0)+Q569)</f>
        <v>1</v>
      </c>
      <c r="W569" s="32" t="n">
        <f aca="false">J569*(INDEX(P_VAL,MATCH("CTRL_AÑO",P_ID,0))*L569+(1-INDEX(PY_VAL,MATCH("P_USADOS",PY_ID,0),6))*M569+INDEX(PY_VAL,MATCH("P_USADOS",PY_ID,0),6)*N569+IF(P569&gt;0,O569/P569,0)+Q569)</f>
        <v>1</v>
      </c>
      <c r="X569" s="32" t="n">
        <f aca="false">J569*(INDEX(P_VAL,MATCH("CTRL_AÑO",P_ID,0))*L569+(1-INDEX(PY_VAL,MATCH("P_USADOS",PY_ID,0),7))*M569+INDEX(PY_VAL,MATCH("P_USADOS",PY_ID,0),7)*N569+IF(P569&gt;0,O569/P569,0)+Q569)</f>
        <v>1</v>
      </c>
      <c r="Y569" s="32" t="n">
        <f aca="false">J569*(INDEX(P_VAL,MATCH("CTRL_AÑO",P_ID,0))*L569+(1-INDEX(PY_VAL,MATCH("P_USADOS",PY_ID,0),8))*M569+INDEX(PY_VAL,MATCH("P_USADOS",PY_ID,0),8)*N569+IF(P569&gt;0,O569/P569,0)+Q569)</f>
        <v>1</v>
      </c>
      <c r="Z569" s="32" t="n">
        <f aca="false">J569*(INDEX(P_VAL,MATCH("CTRL_AÑO",P_ID,0))*L569+(1-INDEX(PY_VAL,MATCH("P_USADOS",PY_ID,0),9))*M569+INDEX(PY_VAL,MATCH("P_USADOS",PY_ID,0),9)*N569+IF(P569&gt;0,O569/P569,0)+Q569)</f>
        <v>1</v>
      </c>
      <c r="AA569" s="32" t="n">
        <f aca="false">J569*(INDEX(P_VAL,MATCH("CTRL_AÑO",P_ID,0))*L569+(1-INDEX(PY_VAL,MATCH("P_USADOS",PY_ID,0),10))*M569+INDEX(PY_VAL,MATCH("P_USADOS",PY_ID,0),10)*N569+IF(P569&gt;0,O569/P569,0)+Q569)</f>
        <v>1</v>
      </c>
      <c r="AB569" s="5" t="s">
        <v>1346</v>
      </c>
    </row>
    <row r="570" customFormat="false" ht="15" hidden="false" customHeight="false" outlineLevel="0" collapsed="false">
      <c r="A570" s="4" t="s">
        <v>324</v>
      </c>
      <c r="B570" s="4" t="s">
        <v>1368</v>
      </c>
      <c r="C570" s="4" t="s">
        <v>1562</v>
      </c>
      <c r="D570" s="5" t="s">
        <v>1370</v>
      </c>
      <c r="E570" s="32" t="n">
        <v>1</v>
      </c>
      <c r="F570" s="32" t="s">
        <v>82</v>
      </c>
      <c r="G570" s="33" t="s">
        <v>1344</v>
      </c>
      <c r="H570" s="32" t="s">
        <v>1371</v>
      </c>
      <c r="I570" s="32" t="n">
        <v>1</v>
      </c>
      <c r="J570" s="32" t="n">
        <f aca="false">E570*I570</f>
        <v>1</v>
      </c>
      <c r="K570" s="32" t="s">
        <v>582</v>
      </c>
      <c r="L570" s="32" t="n">
        <v>0</v>
      </c>
      <c r="M570" s="32" t="n">
        <v>1</v>
      </c>
      <c r="N570" s="32" t="n">
        <v>1</v>
      </c>
      <c r="O570" s="32" t="n">
        <v>0</v>
      </c>
      <c r="P570" s="32" t="n">
        <v>5</v>
      </c>
      <c r="Q570" s="32" t="n">
        <v>0</v>
      </c>
      <c r="R570" s="32" t="n">
        <f aca="false">J570*(INDEX(P_VAL,MATCH("CTRL_AÑO",P_ID,0))*L570+(1-INDEX(PY_VAL,MATCH("P_USADOS",PY_ID,0),1))*M570+INDEX(PY_VAL,MATCH("P_USADOS",PY_ID,0),1)*N570+IF(P570&gt;0,O570/P570,0)+Q570)</f>
        <v>1</v>
      </c>
      <c r="S570" s="32" t="n">
        <f aca="false">J570*(INDEX(P_VAL,MATCH("CTRL_AÑO",P_ID,0))*L570+(1-INDEX(PY_VAL,MATCH("P_USADOS",PY_ID,0),2))*M570+INDEX(PY_VAL,MATCH("P_USADOS",PY_ID,0),2)*N570+IF(P570&gt;0,O570/P570,0)+Q570)</f>
        <v>1</v>
      </c>
      <c r="T570" s="32" t="n">
        <f aca="false">J570*(INDEX(P_VAL,MATCH("CTRL_AÑO",P_ID,0))*L570+(1-INDEX(PY_VAL,MATCH("P_USADOS",PY_ID,0),3))*M570+INDEX(PY_VAL,MATCH("P_USADOS",PY_ID,0),3)*N570+IF(P570&gt;0,O570/P570,0)+Q570)</f>
        <v>1</v>
      </c>
      <c r="U570" s="32" t="n">
        <f aca="false">J570*(INDEX(P_VAL,MATCH("CTRL_AÑO",P_ID,0))*L570+(1-INDEX(PY_VAL,MATCH("P_USADOS",PY_ID,0),4))*M570+INDEX(PY_VAL,MATCH("P_USADOS",PY_ID,0),4)*N570+IF(P570&gt;0,O570/P570,0)+Q570)</f>
        <v>1</v>
      </c>
      <c r="V570" s="32" t="n">
        <f aca="false">J570*(INDEX(P_VAL,MATCH("CTRL_AÑO",P_ID,0))*L570+(1-INDEX(PY_VAL,MATCH("P_USADOS",PY_ID,0),5))*M570+INDEX(PY_VAL,MATCH("P_USADOS",PY_ID,0),5)*N570+IF(P570&gt;0,O570/P570,0)+Q570)</f>
        <v>1</v>
      </c>
      <c r="W570" s="32" t="n">
        <f aca="false">J570*(INDEX(P_VAL,MATCH("CTRL_AÑO",P_ID,0))*L570+(1-INDEX(PY_VAL,MATCH("P_USADOS",PY_ID,0),6))*M570+INDEX(PY_VAL,MATCH("P_USADOS",PY_ID,0),6)*N570+IF(P570&gt;0,O570/P570,0)+Q570)</f>
        <v>1</v>
      </c>
      <c r="X570" s="32" t="n">
        <f aca="false">J570*(INDEX(P_VAL,MATCH("CTRL_AÑO",P_ID,0))*L570+(1-INDEX(PY_VAL,MATCH("P_USADOS",PY_ID,0),7))*M570+INDEX(PY_VAL,MATCH("P_USADOS",PY_ID,0),7)*N570+IF(P570&gt;0,O570/P570,0)+Q570)</f>
        <v>1</v>
      </c>
      <c r="Y570" s="32" t="n">
        <f aca="false">J570*(INDEX(P_VAL,MATCH("CTRL_AÑO",P_ID,0))*L570+(1-INDEX(PY_VAL,MATCH("P_USADOS",PY_ID,0),8))*M570+INDEX(PY_VAL,MATCH("P_USADOS",PY_ID,0),8)*N570+IF(P570&gt;0,O570/P570,0)+Q570)</f>
        <v>1</v>
      </c>
      <c r="Z570" s="32" t="n">
        <f aca="false">J570*(INDEX(P_VAL,MATCH("CTRL_AÑO",P_ID,0))*L570+(1-INDEX(PY_VAL,MATCH("P_USADOS",PY_ID,0),9))*M570+INDEX(PY_VAL,MATCH("P_USADOS",PY_ID,0),9)*N570+IF(P570&gt;0,O570/P570,0)+Q570)</f>
        <v>1</v>
      </c>
      <c r="AA570" s="32" t="n">
        <f aca="false">J570*(INDEX(P_VAL,MATCH("CTRL_AÑO",P_ID,0))*L570+(1-INDEX(PY_VAL,MATCH("P_USADOS",PY_ID,0),10))*M570+INDEX(PY_VAL,MATCH("P_USADOS",PY_ID,0),10)*N570+IF(P570&gt;0,O570/P570,0)+Q570)</f>
        <v>1</v>
      </c>
      <c r="AB570" s="5" t="s">
        <v>1346</v>
      </c>
    </row>
    <row r="571" customFormat="false" ht="15" hidden="false" customHeight="false" outlineLevel="0" collapsed="false">
      <c r="A571" s="4" t="s">
        <v>324</v>
      </c>
      <c r="B571" s="4" t="s">
        <v>1372</v>
      </c>
      <c r="C571" s="4" t="s">
        <v>1563</v>
      </c>
      <c r="D571" s="5" t="s">
        <v>1374</v>
      </c>
      <c r="E571" s="32" t="n">
        <v>1</v>
      </c>
      <c r="F571" s="32" t="s">
        <v>82</v>
      </c>
      <c r="G571" s="33" t="s">
        <v>1344</v>
      </c>
      <c r="H571" s="32" t="s">
        <v>688</v>
      </c>
      <c r="I571" s="32" t="n">
        <v>1</v>
      </c>
      <c r="J571" s="32" t="n">
        <f aca="false">E571*I571</f>
        <v>1</v>
      </c>
      <c r="K571" s="32" t="s">
        <v>689</v>
      </c>
      <c r="L571" s="32" t="n">
        <v>0</v>
      </c>
      <c r="M571" s="32" t="n">
        <v>1</v>
      </c>
      <c r="N571" s="32" t="n">
        <v>1</v>
      </c>
      <c r="O571" s="32" t="n">
        <v>0</v>
      </c>
      <c r="P571" s="32" t="n">
        <v>5</v>
      </c>
      <c r="Q571" s="32" t="n">
        <v>0</v>
      </c>
      <c r="R571" s="32" t="n">
        <f aca="false">J571*(INDEX(P_VAL,MATCH("CTRL_AÑO",P_ID,0))*L571+(1-INDEX(PY_VAL,MATCH("P_USADOS",PY_ID,0),1))*M571+INDEX(PY_VAL,MATCH("P_USADOS",PY_ID,0),1)*N571+IF(P571&gt;0,O571/P571,0)+Q571)</f>
        <v>1</v>
      </c>
      <c r="S571" s="32" t="n">
        <f aca="false">J571*(INDEX(P_VAL,MATCH("CTRL_AÑO",P_ID,0))*L571+(1-INDEX(PY_VAL,MATCH("P_USADOS",PY_ID,0),2))*M571+INDEX(PY_VAL,MATCH("P_USADOS",PY_ID,0),2)*N571+IF(P571&gt;0,O571/P571,0)+Q571)</f>
        <v>1</v>
      </c>
      <c r="T571" s="32" t="n">
        <f aca="false">J571*(INDEX(P_VAL,MATCH("CTRL_AÑO",P_ID,0))*L571+(1-INDEX(PY_VAL,MATCH("P_USADOS",PY_ID,0),3))*M571+INDEX(PY_VAL,MATCH("P_USADOS",PY_ID,0),3)*N571+IF(P571&gt;0,O571/P571,0)+Q571)</f>
        <v>1</v>
      </c>
      <c r="U571" s="32" t="n">
        <f aca="false">J571*(INDEX(P_VAL,MATCH("CTRL_AÑO",P_ID,0))*L571+(1-INDEX(PY_VAL,MATCH("P_USADOS",PY_ID,0),4))*M571+INDEX(PY_VAL,MATCH("P_USADOS",PY_ID,0),4)*N571+IF(P571&gt;0,O571/P571,0)+Q571)</f>
        <v>1</v>
      </c>
      <c r="V571" s="32" t="n">
        <f aca="false">J571*(INDEX(P_VAL,MATCH("CTRL_AÑO",P_ID,0))*L571+(1-INDEX(PY_VAL,MATCH("P_USADOS",PY_ID,0),5))*M571+INDEX(PY_VAL,MATCH("P_USADOS",PY_ID,0),5)*N571+IF(P571&gt;0,O571/P571,0)+Q571)</f>
        <v>1</v>
      </c>
      <c r="W571" s="32" t="n">
        <f aca="false">J571*(INDEX(P_VAL,MATCH("CTRL_AÑO",P_ID,0))*L571+(1-INDEX(PY_VAL,MATCH("P_USADOS",PY_ID,0),6))*M571+INDEX(PY_VAL,MATCH("P_USADOS",PY_ID,0),6)*N571+IF(P571&gt;0,O571/P571,0)+Q571)</f>
        <v>1</v>
      </c>
      <c r="X571" s="32" t="n">
        <f aca="false">J571*(INDEX(P_VAL,MATCH("CTRL_AÑO",P_ID,0))*L571+(1-INDEX(PY_VAL,MATCH("P_USADOS",PY_ID,0),7))*M571+INDEX(PY_VAL,MATCH("P_USADOS",PY_ID,0),7)*N571+IF(P571&gt;0,O571/P571,0)+Q571)</f>
        <v>1</v>
      </c>
      <c r="Y571" s="32" t="n">
        <f aca="false">J571*(INDEX(P_VAL,MATCH("CTRL_AÑO",P_ID,0))*L571+(1-INDEX(PY_VAL,MATCH("P_USADOS",PY_ID,0),8))*M571+INDEX(PY_VAL,MATCH("P_USADOS",PY_ID,0),8)*N571+IF(P571&gt;0,O571/P571,0)+Q571)</f>
        <v>1</v>
      </c>
      <c r="Z571" s="32" t="n">
        <f aca="false">J571*(INDEX(P_VAL,MATCH("CTRL_AÑO",P_ID,0))*L571+(1-INDEX(PY_VAL,MATCH("P_USADOS",PY_ID,0),9))*M571+INDEX(PY_VAL,MATCH("P_USADOS",PY_ID,0),9)*N571+IF(P571&gt;0,O571/P571,0)+Q571)</f>
        <v>1</v>
      </c>
      <c r="AA571" s="32" t="n">
        <f aca="false">J571*(INDEX(P_VAL,MATCH("CTRL_AÑO",P_ID,0))*L571+(1-INDEX(PY_VAL,MATCH("P_USADOS",PY_ID,0),10))*M571+INDEX(PY_VAL,MATCH("P_USADOS",PY_ID,0),10)*N571+IF(P571&gt;0,O571/P571,0)+Q571)</f>
        <v>1</v>
      </c>
      <c r="AB571" s="5" t="s">
        <v>1346</v>
      </c>
    </row>
    <row r="572" customFormat="false" ht="15" hidden="false" customHeight="false" outlineLevel="0" collapsed="false">
      <c r="A572" s="4" t="s">
        <v>324</v>
      </c>
      <c r="B572" s="4" t="s">
        <v>1564</v>
      </c>
      <c r="C572" s="4" t="s">
        <v>1565</v>
      </c>
      <c r="D572" s="5" t="s">
        <v>1566</v>
      </c>
      <c r="E572" s="32" t="n">
        <v>1</v>
      </c>
      <c r="F572" s="32" t="s">
        <v>82</v>
      </c>
      <c r="G572" s="33" t="s">
        <v>1344</v>
      </c>
      <c r="H572" s="32" t="s">
        <v>1567</v>
      </c>
      <c r="I572" s="32" t="n">
        <v>1</v>
      </c>
      <c r="J572" s="32" t="n">
        <f aca="false">E572*I572</f>
        <v>1</v>
      </c>
      <c r="K572" s="32"/>
      <c r="L572" s="32" t="n">
        <v>0</v>
      </c>
      <c r="M572" s="32" t="n">
        <v>0</v>
      </c>
      <c r="N572" s="32" t="n">
        <v>1</v>
      </c>
      <c r="O572" s="32" t="n">
        <v>1</v>
      </c>
      <c r="P572" s="32" t="n">
        <v>5</v>
      </c>
      <c r="Q572" s="32" t="n">
        <v>0</v>
      </c>
      <c r="R572" s="32" t="n">
        <f aca="false">J572*(INDEX(P_VAL,MATCH("CTRL_AÑO",P_ID,0))*L572+(1-INDEX(PY_VAL,MATCH("P_USADOS",PY_ID,0),1))*M572+INDEX(PY_VAL,MATCH("P_USADOS",PY_ID,0),1)*N572+IF(P572&gt;0,O572/P572,0)+Q572)</f>
        <v>0.24764</v>
      </c>
      <c r="S572" s="32" t="n">
        <f aca="false">J572*(INDEX(P_VAL,MATCH("CTRL_AÑO",P_ID,0))*L572+(1-INDEX(PY_VAL,MATCH("P_USADOS",PY_ID,0),2))*M572+INDEX(PY_VAL,MATCH("P_USADOS",PY_ID,0),2)*N572+IF(P572&gt;0,O572/P572,0)+Q572)</f>
        <v>0.247636</v>
      </c>
      <c r="T572" s="32" t="n">
        <f aca="false">J572*(INDEX(P_VAL,MATCH("CTRL_AÑO",P_ID,0))*L572+(1-INDEX(PY_VAL,MATCH("P_USADOS",PY_ID,0),3))*M572+INDEX(PY_VAL,MATCH("P_USADOS",PY_ID,0),3)*N572+IF(P572&gt;0,O572/P572,0)+Q572)</f>
        <v>0.247637</v>
      </c>
      <c r="U572" s="32" t="n">
        <f aca="false">J572*(INDEX(P_VAL,MATCH("CTRL_AÑO",P_ID,0))*L572+(1-INDEX(PY_VAL,MATCH("P_USADOS",PY_ID,0),4))*M572+INDEX(PY_VAL,MATCH("P_USADOS",PY_ID,0),4)*N572+IF(P572&gt;0,O572/P572,0)+Q572)</f>
        <v>0.247639</v>
      </c>
      <c r="V572" s="32" t="n">
        <f aca="false">J572*(INDEX(P_VAL,MATCH("CTRL_AÑO",P_ID,0))*L572+(1-INDEX(PY_VAL,MATCH("P_USADOS",PY_ID,0),5))*M572+INDEX(PY_VAL,MATCH("P_USADOS",PY_ID,0),5)*N572+IF(P572&gt;0,O572/P572,0)+Q572)</f>
        <v>0.247636</v>
      </c>
      <c r="W572" s="32" t="n">
        <f aca="false">J572*(INDEX(P_VAL,MATCH("CTRL_AÑO",P_ID,0))*L572+(1-INDEX(PY_VAL,MATCH("P_USADOS",PY_ID,0),6))*M572+INDEX(PY_VAL,MATCH("P_USADOS",PY_ID,0),6)*N572+IF(P572&gt;0,O572/P572,0)+Q572)</f>
        <v>0.247637</v>
      </c>
      <c r="X572" s="32" t="n">
        <f aca="false">J572*(INDEX(P_VAL,MATCH("CTRL_AÑO",P_ID,0))*L572+(1-INDEX(PY_VAL,MATCH("P_USADOS",PY_ID,0),7))*M572+INDEX(PY_VAL,MATCH("P_USADOS",PY_ID,0),7)*N572+IF(P572&gt;0,O572/P572,0)+Q572)</f>
        <v>0.247636</v>
      </c>
      <c r="Y572" s="32" t="n">
        <f aca="false">J572*(INDEX(P_VAL,MATCH("CTRL_AÑO",P_ID,0))*L572+(1-INDEX(PY_VAL,MATCH("P_USADOS",PY_ID,0),8))*M572+INDEX(PY_VAL,MATCH("P_USADOS",PY_ID,0),8)*N572+IF(P572&gt;0,O572/P572,0)+Q572)</f>
        <v>0.247638</v>
      </c>
      <c r="Z572" s="32" t="n">
        <f aca="false">J572*(INDEX(P_VAL,MATCH("CTRL_AÑO",P_ID,0))*L572+(1-INDEX(PY_VAL,MATCH("P_USADOS",PY_ID,0),9))*M572+INDEX(PY_VAL,MATCH("P_USADOS",PY_ID,0),9)*N572+IF(P572&gt;0,O572/P572,0)+Q572)</f>
        <v>0.247636</v>
      </c>
      <c r="AA572" s="32" t="n">
        <f aca="false">J572*(INDEX(P_VAL,MATCH("CTRL_AÑO",P_ID,0))*L572+(1-INDEX(PY_VAL,MATCH("P_USADOS",PY_ID,0),10))*M572+INDEX(PY_VAL,MATCH("P_USADOS",PY_ID,0),10)*N572+IF(P572&gt;0,O572/P572,0)+Q572)</f>
        <v>0.247633</v>
      </c>
      <c r="AB572" s="5" t="s">
        <v>1346</v>
      </c>
    </row>
    <row r="573" customFormat="false" ht="15" hidden="false" customHeight="false" outlineLevel="0" collapsed="false">
      <c r="A573" s="4" t="s">
        <v>324</v>
      </c>
      <c r="B573" s="4" t="s">
        <v>1356</v>
      </c>
      <c r="C573" s="4" t="s">
        <v>1568</v>
      </c>
      <c r="D573" s="5" t="s">
        <v>1358</v>
      </c>
      <c r="E573" s="32" t="n">
        <v>1</v>
      </c>
      <c r="F573" s="32" t="s">
        <v>82</v>
      </c>
      <c r="G573" s="33" t="s">
        <v>1344</v>
      </c>
      <c r="H573" s="32" t="s">
        <v>1359</v>
      </c>
      <c r="I573" s="32" t="n">
        <v>1</v>
      </c>
      <c r="J573" s="32" t="n">
        <f aca="false">E573*I573</f>
        <v>1</v>
      </c>
      <c r="K573" s="32"/>
      <c r="L573" s="32" t="n">
        <v>0</v>
      </c>
      <c r="M573" s="32" t="n">
        <v>0</v>
      </c>
      <c r="N573" s="32" t="n">
        <v>0</v>
      </c>
      <c r="O573" s="32" t="n">
        <v>1</v>
      </c>
      <c r="P573" s="32" t="n">
        <v>5</v>
      </c>
      <c r="Q573" s="32" t="n">
        <v>0</v>
      </c>
      <c r="R573" s="32" t="n">
        <f aca="false">J573*(INDEX(P_VAL,MATCH("CTRL_AÑO",P_ID,0))*L573+(1-INDEX(PY_VAL,MATCH("P_USADOS",PY_ID,0),1))*M573+INDEX(PY_VAL,MATCH("P_USADOS",PY_ID,0),1)*N573+IF(P573&gt;0,O573/P573,0)+Q573)</f>
        <v>0.2</v>
      </c>
      <c r="S573" s="32" t="n">
        <f aca="false">J573*(INDEX(P_VAL,MATCH("CTRL_AÑO",P_ID,0))*L573+(1-INDEX(PY_VAL,MATCH("P_USADOS",PY_ID,0),2))*M573+INDEX(PY_VAL,MATCH("P_USADOS",PY_ID,0),2)*N573+IF(P573&gt;0,O573/P573,0)+Q573)</f>
        <v>0.2</v>
      </c>
      <c r="T573" s="32" t="n">
        <f aca="false">J573*(INDEX(P_VAL,MATCH("CTRL_AÑO",P_ID,0))*L573+(1-INDEX(PY_VAL,MATCH("P_USADOS",PY_ID,0),3))*M573+INDEX(PY_VAL,MATCH("P_USADOS",PY_ID,0),3)*N573+IF(P573&gt;0,O573/P573,0)+Q573)</f>
        <v>0.2</v>
      </c>
      <c r="U573" s="32" t="n">
        <f aca="false">J573*(INDEX(P_VAL,MATCH("CTRL_AÑO",P_ID,0))*L573+(1-INDEX(PY_VAL,MATCH("P_USADOS",PY_ID,0),4))*M573+INDEX(PY_VAL,MATCH("P_USADOS",PY_ID,0),4)*N573+IF(P573&gt;0,O573/P573,0)+Q573)</f>
        <v>0.2</v>
      </c>
      <c r="V573" s="32" t="n">
        <f aca="false">J573*(INDEX(P_VAL,MATCH("CTRL_AÑO",P_ID,0))*L573+(1-INDEX(PY_VAL,MATCH("P_USADOS",PY_ID,0),5))*M573+INDEX(PY_VAL,MATCH("P_USADOS",PY_ID,0),5)*N573+IF(P573&gt;0,O573/P573,0)+Q573)</f>
        <v>0.2</v>
      </c>
      <c r="W573" s="32" t="n">
        <f aca="false">J573*(INDEX(P_VAL,MATCH("CTRL_AÑO",P_ID,0))*L573+(1-INDEX(PY_VAL,MATCH("P_USADOS",PY_ID,0),6))*M573+INDEX(PY_VAL,MATCH("P_USADOS",PY_ID,0),6)*N573+IF(P573&gt;0,O573/P573,0)+Q573)</f>
        <v>0.2</v>
      </c>
      <c r="X573" s="32" t="n">
        <f aca="false">J573*(INDEX(P_VAL,MATCH("CTRL_AÑO",P_ID,0))*L573+(1-INDEX(PY_VAL,MATCH("P_USADOS",PY_ID,0),7))*M573+INDEX(PY_VAL,MATCH("P_USADOS",PY_ID,0),7)*N573+IF(P573&gt;0,O573/P573,0)+Q573)</f>
        <v>0.2</v>
      </c>
      <c r="Y573" s="32" t="n">
        <f aca="false">J573*(INDEX(P_VAL,MATCH("CTRL_AÑO",P_ID,0))*L573+(1-INDEX(PY_VAL,MATCH("P_USADOS",PY_ID,0),8))*M573+INDEX(PY_VAL,MATCH("P_USADOS",PY_ID,0),8)*N573+IF(P573&gt;0,O573/P573,0)+Q573)</f>
        <v>0.2</v>
      </c>
      <c r="Z573" s="32" t="n">
        <f aca="false">J573*(INDEX(P_VAL,MATCH("CTRL_AÑO",P_ID,0))*L573+(1-INDEX(PY_VAL,MATCH("P_USADOS",PY_ID,0),9))*M573+INDEX(PY_VAL,MATCH("P_USADOS",PY_ID,0),9)*N573+IF(P573&gt;0,O573/P573,0)+Q573)</f>
        <v>0.2</v>
      </c>
      <c r="AA573" s="32" t="n">
        <f aca="false">J573*(INDEX(P_VAL,MATCH("CTRL_AÑO",P_ID,0))*L573+(1-INDEX(PY_VAL,MATCH("P_USADOS",PY_ID,0),10))*M573+INDEX(PY_VAL,MATCH("P_USADOS",PY_ID,0),10)*N573+IF(P573&gt;0,O573/P573,0)+Q573)</f>
        <v>0.2</v>
      </c>
      <c r="AB573" s="5" t="s">
        <v>1346</v>
      </c>
    </row>
    <row r="574" customFormat="false" ht="15" hidden="false" customHeight="false" outlineLevel="0" collapsed="false">
      <c r="A574" s="4" t="s">
        <v>324</v>
      </c>
      <c r="B574" s="4" t="s">
        <v>1375</v>
      </c>
      <c r="C574" s="4" t="s">
        <v>1569</v>
      </c>
      <c r="D574" s="5" t="s">
        <v>1377</v>
      </c>
      <c r="E574" s="32" t="n">
        <v>1</v>
      </c>
      <c r="F574" s="32" t="s">
        <v>82</v>
      </c>
      <c r="G574" s="33" t="s">
        <v>1344</v>
      </c>
      <c r="H574" s="32" t="s">
        <v>1485</v>
      </c>
      <c r="I574" s="32" t="n">
        <v>1</v>
      </c>
      <c r="J574" s="32" t="n">
        <f aca="false">E574*I574</f>
        <v>1</v>
      </c>
      <c r="K574" s="32"/>
      <c r="L574" s="32" t="n">
        <v>0</v>
      </c>
      <c r="M574" s="32" t="n">
        <v>0</v>
      </c>
      <c r="N574" s="32" t="n">
        <v>0</v>
      </c>
      <c r="O574" s="32" t="n">
        <v>1</v>
      </c>
      <c r="P574" s="32" t="n">
        <v>5</v>
      </c>
      <c r="Q574" s="32" t="n">
        <v>0</v>
      </c>
      <c r="R574" s="32" t="n">
        <f aca="false">J574*(INDEX(P_VAL,MATCH("CTRL_AÑO",P_ID,0))*L574+(1-INDEX(PY_VAL,MATCH("P_USADOS",PY_ID,0),1))*M574+INDEX(PY_VAL,MATCH("P_USADOS",PY_ID,0),1)*N574+IF(P574&gt;0,O574/P574,0)+Q574)</f>
        <v>0.2</v>
      </c>
      <c r="S574" s="32" t="n">
        <f aca="false">J574*(INDEX(P_VAL,MATCH("CTRL_AÑO",P_ID,0))*L574+(1-INDEX(PY_VAL,MATCH("P_USADOS",PY_ID,0),2))*M574+INDEX(PY_VAL,MATCH("P_USADOS",PY_ID,0),2)*N574+IF(P574&gt;0,O574/P574,0)+Q574)</f>
        <v>0.2</v>
      </c>
      <c r="T574" s="32" t="n">
        <f aca="false">J574*(INDEX(P_VAL,MATCH("CTRL_AÑO",P_ID,0))*L574+(1-INDEX(PY_VAL,MATCH("P_USADOS",PY_ID,0),3))*M574+INDEX(PY_VAL,MATCH("P_USADOS",PY_ID,0),3)*N574+IF(P574&gt;0,O574/P574,0)+Q574)</f>
        <v>0.2</v>
      </c>
      <c r="U574" s="32" t="n">
        <f aca="false">J574*(INDEX(P_VAL,MATCH("CTRL_AÑO",P_ID,0))*L574+(1-INDEX(PY_VAL,MATCH("P_USADOS",PY_ID,0),4))*M574+INDEX(PY_VAL,MATCH("P_USADOS",PY_ID,0),4)*N574+IF(P574&gt;0,O574/P574,0)+Q574)</f>
        <v>0.2</v>
      </c>
      <c r="V574" s="32" t="n">
        <f aca="false">J574*(INDEX(P_VAL,MATCH("CTRL_AÑO",P_ID,0))*L574+(1-INDEX(PY_VAL,MATCH("P_USADOS",PY_ID,0),5))*M574+INDEX(PY_VAL,MATCH("P_USADOS",PY_ID,0),5)*N574+IF(P574&gt;0,O574/P574,0)+Q574)</f>
        <v>0.2</v>
      </c>
      <c r="W574" s="32" t="n">
        <f aca="false">J574*(INDEX(P_VAL,MATCH("CTRL_AÑO",P_ID,0))*L574+(1-INDEX(PY_VAL,MATCH("P_USADOS",PY_ID,0),6))*M574+INDEX(PY_VAL,MATCH("P_USADOS",PY_ID,0),6)*N574+IF(P574&gt;0,O574/P574,0)+Q574)</f>
        <v>0.2</v>
      </c>
      <c r="X574" s="32" t="n">
        <f aca="false">J574*(INDEX(P_VAL,MATCH("CTRL_AÑO",P_ID,0))*L574+(1-INDEX(PY_VAL,MATCH("P_USADOS",PY_ID,0),7))*M574+INDEX(PY_VAL,MATCH("P_USADOS",PY_ID,0),7)*N574+IF(P574&gt;0,O574/P574,0)+Q574)</f>
        <v>0.2</v>
      </c>
      <c r="Y574" s="32" t="n">
        <f aca="false">J574*(INDEX(P_VAL,MATCH("CTRL_AÑO",P_ID,0))*L574+(1-INDEX(PY_VAL,MATCH("P_USADOS",PY_ID,0),8))*M574+INDEX(PY_VAL,MATCH("P_USADOS",PY_ID,0),8)*N574+IF(P574&gt;0,O574/P574,0)+Q574)</f>
        <v>0.2</v>
      </c>
      <c r="Z574" s="32" t="n">
        <f aca="false">J574*(INDEX(P_VAL,MATCH("CTRL_AÑO",P_ID,0))*L574+(1-INDEX(PY_VAL,MATCH("P_USADOS",PY_ID,0),9))*M574+INDEX(PY_VAL,MATCH("P_USADOS",PY_ID,0),9)*N574+IF(P574&gt;0,O574/P574,0)+Q574)</f>
        <v>0.2</v>
      </c>
      <c r="AA574" s="32" t="n">
        <f aca="false">J574*(INDEX(P_VAL,MATCH("CTRL_AÑO",P_ID,0))*L574+(1-INDEX(PY_VAL,MATCH("P_USADOS",PY_ID,0),10))*M574+INDEX(PY_VAL,MATCH("P_USADOS",PY_ID,0),10)*N574+IF(P574&gt;0,O574/P574,0)+Q574)</f>
        <v>0.2</v>
      </c>
      <c r="AB574" s="5" t="s">
        <v>1346</v>
      </c>
    </row>
    <row r="575" customFormat="false" ht="15" hidden="false" customHeight="false" outlineLevel="0" collapsed="false">
      <c r="A575" s="4" t="s">
        <v>324</v>
      </c>
      <c r="B575" s="4" t="s">
        <v>1382</v>
      </c>
      <c r="C575" s="4" t="s">
        <v>1570</v>
      </c>
      <c r="D575" s="5" t="s">
        <v>1571</v>
      </c>
      <c r="E575" s="32" t="n">
        <v>1</v>
      </c>
      <c r="F575" s="32" t="s">
        <v>73</v>
      </c>
      <c r="G575" s="33" t="s">
        <v>1385</v>
      </c>
      <c r="H575" s="32"/>
      <c r="I575" s="32"/>
      <c r="J575" s="32"/>
      <c r="K575" s="32"/>
      <c r="L575" s="32" t="n">
        <v>0</v>
      </c>
      <c r="M575" s="32" t="n">
        <v>0</v>
      </c>
      <c r="N575" s="32" t="n">
        <v>0</v>
      </c>
      <c r="O575" s="32" t="n">
        <v>0</v>
      </c>
      <c r="P575" s="32" t="n">
        <v>0</v>
      </c>
      <c r="Q575" s="32" t="n">
        <v>0</v>
      </c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5" t="s">
        <v>1386</v>
      </c>
    </row>
    <row r="576" customFormat="false" ht="15" hidden="false" customHeight="false" outlineLevel="0" collapsed="false">
      <c r="A576" s="4" t="s">
        <v>327</v>
      </c>
      <c r="B576" s="4" t="s">
        <v>1341</v>
      </c>
      <c r="C576" s="4" t="s">
        <v>1572</v>
      </c>
      <c r="D576" s="5" t="s">
        <v>1343</v>
      </c>
      <c r="E576" s="32" t="n">
        <v>1</v>
      </c>
      <c r="F576" s="32" t="s">
        <v>82</v>
      </c>
      <c r="G576" s="33" t="s">
        <v>1344</v>
      </c>
      <c r="H576" s="32" t="s">
        <v>1345</v>
      </c>
      <c r="I576" s="32" t="n">
        <v>1</v>
      </c>
      <c r="J576" s="32" t="n">
        <f aca="false">E576*I576</f>
        <v>1</v>
      </c>
      <c r="K576" s="32"/>
      <c r="L576" s="32" t="n">
        <v>1</v>
      </c>
      <c r="M576" s="32" t="n">
        <v>0</v>
      </c>
      <c r="N576" s="32" t="n">
        <v>0</v>
      </c>
      <c r="O576" s="32" t="n">
        <v>0</v>
      </c>
      <c r="P576" s="32" t="n">
        <v>5</v>
      </c>
      <c r="Q576" s="32" t="n">
        <v>0</v>
      </c>
      <c r="R576" s="32" t="n">
        <f aca="false">J576*(INDEX(P_VAL,MATCH("CTRL_AÑO",P_ID,0))*L576+(1-INDEX(PY_VAL,MATCH("P_USADOS",PY_ID,0),1))*M576+INDEX(PY_VAL,MATCH("P_USADOS",PY_ID,0),1)*N576+IF(P576&gt;0,O576/P576,0)+Q576)</f>
        <v>4</v>
      </c>
      <c r="S576" s="32" t="n">
        <f aca="false">J576*(INDEX(P_VAL,MATCH("CTRL_AÑO",P_ID,0))*L576+(1-INDEX(PY_VAL,MATCH("P_USADOS",PY_ID,0),2))*M576+INDEX(PY_VAL,MATCH("P_USADOS",PY_ID,0),2)*N576+IF(P576&gt;0,O576/P576,0)+Q576)</f>
        <v>4</v>
      </c>
      <c r="T576" s="32" t="n">
        <f aca="false">J576*(INDEX(P_VAL,MATCH("CTRL_AÑO",P_ID,0))*L576+(1-INDEX(PY_VAL,MATCH("P_USADOS",PY_ID,0),3))*M576+INDEX(PY_VAL,MATCH("P_USADOS",PY_ID,0),3)*N576+IF(P576&gt;0,O576/P576,0)+Q576)</f>
        <v>4</v>
      </c>
      <c r="U576" s="32" t="n">
        <f aca="false">J576*(INDEX(P_VAL,MATCH("CTRL_AÑO",P_ID,0))*L576+(1-INDEX(PY_VAL,MATCH("P_USADOS",PY_ID,0),4))*M576+INDEX(PY_VAL,MATCH("P_USADOS",PY_ID,0),4)*N576+IF(P576&gt;0,O576/P576,0)+Q576)</f>
        <v>4</v>
      </c>
      <c r="V576" s="32" t="n">
        <f aca="false">J576*(INDEX(P_VAL,MATCH("CTRL_AÑO",P_ID,0))*L576+(1-INDEX(PY_VAL,MATCH("P_USADOS",PY_ID,0),5))*M576+INDEX(PY_VAL,MATCH("P_USADOS",PY_ID,0),5)*N576+IF(P576&gt;0,O576/P576,0)+Q576)</f>
        <v>4</v>
      </c>
      <c r="W576" s="32" t="n">
        <f aca="false">J576*(INDEX(P_VAL,MATCH("CTRL_AÑO",P_ID,0))*L576+(1-INDEX(PY_VAL,MATCH("P_USADOS",PY_ID,0),6))*M576+INDEX(PY_VAL,MATCH("P_USADOS",PY_ID,0),6)*N576+IF(P576&gt;0,O576/P576,0)+Q576)</f>
        <v>4</v>
      </c>
      <c r="X576" s="32" t="n">
        <f aca="false">J576*(INDEX(P_VAL,MATCH("CTRL_AÑO",P_ID,0))*L576+(1-INDEX(PY_VAL,MATCH("P_USADOS",PY_ID,0),7))*M576+INDEX(PY_VAL,MATCH("P_USADOS",PY_ID,0),7)*N576+IF(P576&gt;0,O576/P576,0)+Q576)</f>
        <v>4</v>
      </c>
      <c r="Y576" s="32" t="n">
        <f aca="false">J576*(INDEX(P_VAL,MATCH("CTRL_AÑO",P_ID,0))*L576+(1-INDEX(PY_VAL,MATCH("P_USADOS",PY_ID,0),8))*M576+INDEX(PY_VAL,MATCH("P_USADOS",PY_ID,0),8)*N576+IF(P576&gt;0,O576/P576,0)+Q576)</f>
        <v>4</v>
      </c>
      <c r="Z576" s="32" t="n">
        <f aca="false">J576*(INDEX(P_VAL,MATCH("CTRL_AÑO",P_ID,0))*L576+(1-INDEX(PY_VAL,MATCH("P_USADOS",PY_ID,0),9))*M576+INDEX(PY_VAL,MATCH("P_USADOS",PY_ID,0),9)*N576+IF(P576&gt;0,O576/P576,0)+Q576)</f>
        <v>4</v>
      </c>
      <c r="AA576" s="32" t="n">
        <f aca="false">J576*(INDEX(P_VAL,MATCH("CTRL_AÑO",P_ID,0))*L576+(1-INDEX(PY_VAL,MATCH("P_USADOS",PY_ID,0),10))*M576+INDEX(PY_VAL,MATCH("P_USADOS",PY_ID,0),10)*N576+IF(P576&gt;0,O576/P576,0)+Q576)</f>
        <v>4</v>
      </c>
      <c r="AB576" s="5" t="s">
        <v>1346</v>
      </c>
    </row>
    <row r="577" customFormat="false" ht="15" hidden="false" customHeight="false" outlineLevel="0" collapsed="false">
      <c r="A577" s="4" t="s">
        <v>327</v>
      </c>
      <c r="B577" s="4" t="s">
        <v>1347</v>
      </c>
      <c r="C577" s="4" t="s">
        <v>1573</v>
      </c>
      <c r="D577" s="5" t="s">
        <v>1557</v>
      </c>
      <c r="E577" s="32" t="n">
        <v>1</v>
      </c>
      <c r="F577" s="32" t="s">
        <v>73</v>
      </c>
      <c r="G577" s="33" t="s">
        <v>1344</v>
      </c>
      <c r="H577" s="32" t="s">
        <v>1558</v>
      </c>
      <c r="I577" s="32" t="n">
        <v>1</v>
      </c>
      <c r="J577" s="32" t="n">
        <f aca="false">E577*I577</f>
        <v>1</v>
      </c>
      <c r="K577" s="32"/>
      <c r="L577" s="32" t="n">
        <v>0</v>
      </c>
      <c r="M577" s="32" t="n">
        <v>0.25</v>
      </c>
      <c r="N577" s="32" t="n">
        <v>5</v>
      </c>
      <c r="O577" s="32" t="n">
        <v>0</v>
      </c>
      <c r="P577" s="32" t="n">
        <v>5</v>
      </c>
      <c r="Q577" s="32" t="n">
        <v>0</v>
      </c>
      <c r="R577" s="32" t="n">
        <f aca="false">J577*(INDEX(P_VAL,MATCH("CTRL_AÑO",P_ID,0))*L577+(1-INDEX(PY_VAL,MATCH("P_USADOS",PY_ID,0),1))*M577+INDEX(PY_VAL,MATCH("P_USADOS",PY_ID,0),1)*N577+IF(P577&gt;0,O577/P577,0)+Q577)</f>
        <v>0.47629</v>
      </c>
      <c r="S577" s="32" t="n">
        <f aca="false">J577*(INDEX(P_VAL,MATCH("CTRL_AÑO",P_ID,0))*L577+(1-INDEX(PY_VAL,MATCH("P_USADOS",PY_ID,0),2))*M577+INDEX(PY_VAL,MATCH("P_USADOS",PY_ID,0),2)*N577+IF(P577&gt;0,O577/P577,0)+Q577)</f>
        <v>0.476271</v>
      </c>
      <c r="T577" s="32" t="n">
        <f aca="false">J577*(INDEX(P_VAL,MATCH("CTRL_AÑO",P_ID,0))*L577+(1-INDEX(PY_VAL,MATCH("P_USADOS",PY_ID,0),3))*M577+INDEX(PY_VAL,MATCH("P_USADOS",PY_ID,0),3)*N577+IF(P577&gt;0,O577/P577,0)+Q577)</f>
        <v>0.47627575</v>
      </c>
      <c r="U577" s="32" t="n">
        <f aca="false">J577*(INDEX(P_VAL,MATCH("CTRL_AÑO",P_ID,0))*L577+(1-INDEX(PY_VAL,MATCH("P_USADOS",PY_ID,0),4))*M577+INDEX(PY_VAL,MATCH("P_USADOS",PY_ID,0),4)*N577+IF(P577&gt;0,O577/P577,0)+Q577)</f>
        <v>0.47628525</v>
      </c>
      <c r="V577" s="32" t="n">
        <f aca="false">J577*(INDEX(P_VAL,MATCH("CTRL_AÑO",P_ID,0))*L577+(1-INDEX(PY_VAL,MATCH("P_USADOS",PY_ID,0),5))*M577+INDEX(PY_VAL,MATCH("P_USADOS",PY_ID,0),5)*N577+IF(P577&gt;0,O577/P577,0)+Q577)</f>
        <v>0.476271</v>
      </c>
      <c r="W577" s="32" t="n">
        <f aca="false">J577*(INDEX(P_VAL,MATCH("CTRL_AÑO",P_ID,0))*L577+(1-INDEX(PY_VAL,MATCH("P_USADOS",PY_ID,0),6))*M577+INDEX(PY_VAL,MATCH("P_USADOS",PY_ID,0),6)*N577+IF(P577&gt;0,O577/P577,0)+Q577)</f>
        <v>0.47627575</v>
      </c>
      <c r="X577" s="32" t="n">
        <f aca="false">J577*(INDEX(P_VAL,MATCH("CTRL_AÑO",P_ID,0))*L577+(1-INDEX(PY_VAL,MATCH("P_USADOS",PY_ID,0),7))*M577+INDEX(PY_VAL,MATCH("P_USADOS",PY_ID,0),7)*N577+IF(P577&gt;0,O577/P577,0)+Q577)</f>
        <v>0.476271</v>
      </c>
      <c r="Y577" s="32" t="n">
        <f aca="false">J577*(INDEX(P_VAL,MATCH("CTRL_AÑO",P_ID,0))*L577+(1-INDEX(PY_VAL,MATCH("P_USADOS",PY_ID,0),8))*M577+INDEX(PY_VAL,MATCH("P_USADOS",PY_ID,0),8)*N577+IF(P577&gt;0,O577/P577,0)+Q577)</f>
        <v>0.4762805</v>
      </c>
      <c r="Z577" s="32" t="n">
        <f aca="false">J577*(INDEX(P_VAL,MATCH("CTRL_AÑO",P_ID,0))*L577+(1-INDEX(PY_VAL,MATCH("P_USADOS",PY_ID,0),9))*M577+INDEX(PY_VAL,MATCH("P_USADOS",PY_ID,0),9)*N577+IF(P577&gt;0,O577/P577,0)+Q577)</f>
        <v>0.476271</v>
      </c>
      <c r="AA577" s="32" t="n">
        <f aca="false">J577*(INDEX(P_VAL,MATCH("CTRL_AÑO",P_ID,0))*L577+(1-INDEX(PY_VAL,MATCH("P_USADOS",PY_ID,0),10))*M577+INDEX(PY_VAL,MATCH("P_USADOS",PY_ID,0),10)*N577+IF(P577&gt;0,O577/P577,0)+Q577)</f>
        <v>0.47625675</v>
      </c>
      <c r="AB577" s="5" t="s">
        <v>1346</v>
      </c>
    </row>
    <row r="578" customFormat="false" ht="15" hidden="false" customHeight="false" outlineLevel="0" collapsed="false">
      <c r="A578" s="4" t="s">
        <v>327</v>
      </c>
      <c r="B578" s="4" t="s">
        <v>1352</v>
      </c>
      <c r="C578" s="4" t="s">
        <v>1574</v>
      </c>
      <c r="D578" s="5" t="s">
        <v>1354</v>
      </c>
      <c r="E578" s="32" t="n">
        <v>1</v>
      </c>
      <c r="F578" s="32" t="s">
        <v>82</v>
      </c>
      <c r="G578" s="33" t="s">
        <v>1344</v>
      </c>
      <c r="H578" s="32" t="s">
        <v>1355</v>
      </c>
      <c r="I578" s="32" t="n">
        <v>1</v>
      </c>
      <c r="J578" s="32" t="n">
        <f aca="false">E578*I578</f>
        <v>1</v>
      </c>
      <c r="K578" s="32"/>
      <c r="L578" s="32" t="n">
        <v>0</v>
      </c>
      <c r="M578" s="32" t="n">
        <v>1</v>
      </c>
      <c r="N578" s="32" t="n">
        <v>1</v>
      </c>
      <c r="O578" s="32" t="n">
        <v>0</v>
      </c>
      <c r="P578" s="32" t="n">
        <v>5</v>
      </c>
      <c r="Q578" s="32" t="n">
        <v>0</v>
      </c>
      <c r="R578" s="32" t="n">
        <f aca="false">J578*(INDEX(P_VAL,MATCH("CTRL_AÑO",P_ID,0))*L578+(1-INDEX(PY_VAL,MATCH("P_USADOS",PY_ID,0),1))*M578+INDEX(PY_VAL,MATCH("P_USADOS",PY_ID,0),1)*N578+IF(P578&gt;0,O578/P578,0)+Q578)</f>
        <v>1</v>
      </c>
      <c r="S578" s="32" t="n">
        <f aca="false">J578*(INDEX(P_VAL,MATCH("CTRL_AÑO",P_ID,0))*L578+(1-INDEX(PY_VAL,MATCH("P_USADOS",PY_ID,0),2))*M578+INDEX(PY_VAL,MATCH("P_USADOS",PY_ID,0),2)*N578+IF(P578&gt;0,O578/P578,0)+Q578)</f>
        <v>1</v>
      </c>
      <c r="T578" s="32" t="n">
        <f aca="false">J578*(INDEX(P_VAL,MATCH("CTRL_AÑO",P_ID,0))*L578+(1-INDEX(PY_VAL,MATCH("P_USADOS",PY_ID,0),3))*M578+INDEX(PY_VAL,MATCH("P_USADOS",PY_ID,0),3)*N578+IF(P578&gt;0,O578/P578,0)+Q578)</f>
        <v>1</v>
      </c>
      <c r="U578" s="32" t="n">
        <f aca="false">J578*(INDEX(P_VAL,MATCH("CTRL_AÑO",P_ID,0))*L578+(1-INDEX(PY_VAL,MATCH("P_USADOS",PY_ID,0),4))*M578+INDEX(PY_VAL,MATCH("P_USADOS",PY_ID,0),4)*N578+IF(P578&gt;0,O578/P578,0)+Q578)</f>
        <v>1</v>
      </c>
      <c r="V578" s="32" t="n">
        <f aca="false">J578*(INDEX(P_VAL,MATCH("CTRL_AÑO",P_ID,0))*L578+(1-INDEX(PY_VAL,MATCH("P_USADOS",PY_ID,0),5))*M578+INDEX(PY_VAL,MATCH("P_USADOS",PY_ID,0),5)*N578+IF(P578&gt;0,O578/P578,0)+Q578)</f>
        <v>1</v>
      </c>
      <c r="W578" s="32" t="n">
        <f aca="false">J578*(INDEX(P_VAL,MATCH("CTRL_AÑO",P_ID,0))*L578+(1-INDEX(PY_VAL,MATCH("P_USADOS",PY_ID,0),6))*M578+INDEX(PY_VAL,MATCH("P_USADOS",PY_ID,0),6)*N578+IF(P578&gt;0,O578/P578,0)+Q578)</f>
        <v>1</v>
      </c>
      <c r="X578" s="32" t="n">
        <f aca="false">J578*(INDEX(P_VAL,MATCH("CTRL_AÑO",P_ID,0))*L578+(1-INDEX(PY_VAL,MATCH("P_USADOS",PY_ID,0),7))*M578+INDEX(PY_VAL,MATCH("P_USADOS",PY_ID,0),7)*N578+IF(P578&gt;0,O578/P578,0)+Q578)</f>
        <v>1</v>
      </c>
      <c r="Y578" s="32" t="n">
        <f aca="false">J578*(INDEX(P_VAL,MATCH("CTRL_AÑO",P_ID,0))*L578+(1-INDEX(PY_VAL,MATCH("P_USADOS",PY_ID,0),8))*M578+INDEX(PY_VAL,MATCH("P_USADOS",PY_ID,0),8)*N578+IF(P578&gt;0,O578/P578,0)+Q578)</f>
        <v>1</v>
      </c>
      <c r="Z578" s="32" t="n">
        <f aca="false">J578*(INDEX(P_VAL,MATCH("CTRL_AÑO",P_ID,0))*L578+(1-INDEX(PY_VAL,MATCH("P_USADOS",PY_ID,0),9))*M578+INDEX(PY_VAL,MATCH("P_USADOS",PY_ID,0),9)*N578+IF(P578&gt;0,O578/P578,0)+Q578)</f>
        <v>1</v>
      </c>
      <c r="AA578" s="32" t="n">
        <f aca="false">J578*(INDEX(P_VAL,MATCH("CTRL_AÑO",P_ID,0))*L578+(1-INDEX(PY_VAL,MATCH("P_USADOS",PY_ID,0),10))*M578+INDEX(PY_VAL,MATCH("P_USADOS",PY_ID,0),10)*N578+IF(P578&gt;0,O578/P578,0)+Q578)</f>
        <v>1</v>
      </c>
      <c r="AB578" s="5" t="s">
        <v>1346</v>
      </c>
    </row>
    <row r="579" customFormat="false" ht="15" hidden="false" customHeight="false" outlineLevel="0" collapsed="false">
      <c r="A579" s="4" t="s">
        <v>327</v>
      </c>
      <c r="B579" s="4" t="s">
        <v>1360</v>
      </c>
      <c r="C579" s="4" t="s">
        <v>1575</v>
      </c>
      <c r="D579" s="5" t="s">
        <v>1362</v>
      </c>
      <c r="E579" s="32" t="n">
        <v>1</v>
      </c>
      <c r="F579" s="32" t="s">
        <v>82</v>
      </c>
      <c r="G579" s="33" t="s">
        <v>1344</v>
      </c>
      <c r="H579" s="32" t="s">
        <v>1363</v>
      </c>
      <c r="I579" s="32" t="n">
        <v>1</v>
      </c>
      <c r="J579" s="32" t="n">
        <f aca="false">E579*I579</f>
        <v>1</v>
      </c>
      <c r="K579" s="32"/>
      <c r="L579" s="32" t="n">
        <v>0</v>
      </c>
      <c r="M579" s="32" t="n">
        <v>1</v>
      </c>
      <c r="N579" s="32" t="n">
        <v>1</v>
      </c>
      <c r="O579" s="32" t="n">
        <v>0</v>
      </c>
      <c r="P579" s="32" t="n">
        <v>5</v>
      </c>
      <c r="Q579" s="32" t="n">
        <v>0</v>
      </c>
      <c r="R579" s="32" t="n">
        <f aca="false">J579*(INDEX(P_VAL,MATCH("CTRL_AÑO",P_ID,0))*L579+(1-INDEX(PY_VAL,MATCH("P_USADOS",PY_ID,0),1))*M579+INDEX(PY_VAL,MATCH("P_USADOS",PY_ID,0),1)*N579+IF(P579&gt;0,O579/P579,0)+Q579)</f>
        <v>1</v>
      </c>
      <c r="S579" s="32" t="n">
        <f aca="false">J579*(INDEX(P_VAL,MATCH("CTRL_AÑO",P_ID,0))*L579+(1-INDEX(PY_VAL,MATCH("P_USADOS",PY_ID,0),2))*M579+INDEX(PY_VAL,MATCH("P_USADOS",PY_ID,0),2)*N579+IF(P579&gt;0,O579/P579,0)+Q579)</f>
        <v>1</v>
      </c>
      <c r="T579" s="32" t="n">
        <f aca="false">J579*(INDEX(P_VAL,MATCH("CTRL_AÑO",P_ID,0))*L579+(1-INDEX(PY_VAL,MATCH("P_USADOS",PY_ID,0),3))*M579+INDEX(PY_VAL,MATCH("P_USADOS",PY_ID,0),3)*N579+IF(P579&gt;0,O579/P579,0)+Q579)</f>
        <v>1</v>
      </c>
      <c r="U579" s="32" t="n">
        <f aca="false">J579*(INDEX(P_VAL,MATCH("CTRL_AÑO",P_ID,0))*L579+(1-INDEX(PY_VAL,MATCH("P_USADOS",PY_ID,0),4))*M579+INDEX(PY_VAL,MATCH("P_USADOS",PY_ID,0),4)*N579+IF(P579&gt;0,O579/P579,0)+Q579)</f>
        <v>1</v>
      </c>
      <c r="V579" s="32" t="n">
        <f aca="false">J579*(INDEX(P_VAL,MATCH("CTRL_AÑO",P_ID,0))*L579+(1-INDEX(PY_VAL,MATCH("P_USADOS",PY_ID,0),5))*M579+INDEX(PY_VAL,MATCH("P_USADOS",PY_ID,0),5)*N579+IF(P579&gt;0,O579/P579,0)+Q579)</f>
        <v>1</v>
      </c>
      <c r="W579" s="32" t="n">
        <f aca="false">J579*(INDEX(P_VAL,MATCH("CTRL_AÑO",P_ID,0))*L579+(1-INDEX(PY_VAL,MATCH("P_USADOS",PY_ID,0),6))*M579+INDEX(PY_VAL,MATCH("P_USADOS",PY_ID,0),6)*N579+IF(P579&gt;0,O579/P579,0)+Q579)</f>
        <v>1</v>
      </c>
      <c r="X579" s="32" t="n">
        <f aca="false">J579*(INDEX(P_VAL,MATCH("CTRL_AÑO",P_ID,0))*L579+(1-INDEX(PY_VAL,MATCH("P_USADOS",PY_ID,0),7))*M579+INDEX(PY_VAL,MATCH("P_USADOS",PY_ID,0),7)*N579+IF(P579&gt;0,O579/P579,0)+Q579)</f>
        <v>1</v>
      </c>
      <c r="Y579" s="32" t="n">
        <f aca="false">J579*(INDEX(P_VAL,MATCH("CTRL_AÑO",P_ID,0))*L579+(1-INDEX(PY_VAL,MATCH("P_USADOS",PY_ID,0),8))*M579+INDEX(PY_VAL,MATCH("P_USADOS",PY_ID,0),8)*N579+IF(P579&gt;0,O579/P579,0)+Q579)</f>
        <v>1</v>
      </c>
      <c r="Z579" s="32" t="n">
        <f aca="false">J579*(INDEX(P_VAL,MATCH("CTRL_AÑO",P_ID,0))*L579+(1-INDEX(PY_VAL,MATCH("P_USADOS",PY_ID,0),9))*M579+INDEX(PY_VAL,MATCH("P_USADOS",PY_ID,0),9)*N579+IF(P579&gt;0,O579/P579,0)+Q579)</f>
        <v>1</v>
      </c>
      <c r="AA579" s="32" t="n">
        <f aca="false">J579*(INDEX(P_VAL,MATCH("CTRL_AÑO",P_ID,0))*L579+(1-INDEX(PY_VAL,MATCH("P_USADOS",PY_ID,0),10))*M579+INDEX(PY_VAL,MATCH("P_USADOS",PY_ID,0),10)*N579+IF(P579&gt;0,O579/P579,0)+Q579)</f>
        <v>1</v>
      </c>
      <c r="AB579" s="5" t="s">
        <v>1346</v>
      </c>
    </row>
    <row r="580" customFormat="false" ht="15" hidden="false" customHeight="false" outlineLevel="0" collapsed="false">
      <c r="A580" s="4" t="s">
        <v>327</v>
      </c>
      <c r="B580" s="4" t="s">
        <v>1364</v>
      </c>
      <c r="C580" s="4" t="s">
        <v>1576</v>
      </c>
      <c r="D580" s="5" t="s">
        <v>1366</v>
      </c>
      <c r="E580" s="32" t="n">
        <v>1</v>
      </c>
      <c r="F580" s="32" t="s">
        <v>82</v>
      </c>
      <c r="G580" s="33" t="s">
        <v>1344</v>
      </c>
      <c r="H580" s="32" t="s">
        <v>1367</v>
      </c>
      <c r="I580" s="32" t="n">
        <v>1</v>
      </c>
      <c r="J580" s="32" t="n">
        <f aca="false">E580*I580</f>
        <v>1</v>
      </c>
      <c r="K580" s="32" t="s">
        <v>582</v>
      </c>
      <c r="L580" s="32" t="n">
        <v>0</v>
      </c>
      <c r="M580" s="32" t="n">
        <v>1</v>
      </c>
      <c r="N580" s="32" t="n">
        <v>1</v>
      </c>
      <c r="O580" s="32" t="n">
        <v>0</v>
      </c>
      <c r="P580" s="32" t="n">
        <v>5</v>
      </c>
      <c r="Q580" s="32" t="n">
        <v>0</v>
      </c>
      <c r="R580" s="32" t="n">
        <f aca="false">J580*(INDEX(P_VAL,MATCH("CTRL_AÑO",P_ID,0))*L580+(1-INDEX(PY_VAL,MATCH("P_USADOS",PY_ID,0),1))*M580+INDEX(PY_VAL,MATCH("P_USADOS",PY_ID,0),1)*N580+IF(P580&gt;0,O580/P580,0)+Q580)</f>
        <v>1</v>
      </c>
      <c r="S580" s="32" t="n">
        <f aca="false">J580*(INDEX(P_VAL,MATCH("CTRL_AÑO",P_ID,0))*L580+(1-INDEX(PY_VAL,MATCH("P_USADOS",PY_ID,0),2))*M580+INDEX(PY_VAL,MATCH("P_USADOS",PY_ID,0),2)*N580+IF(P580&gt;0,O580/P580,0)+Q580)</f>
        <v>1</v>
      </c>
      <c r="T580" s="32" t="n">
        <f aca="false">J580*(INDEX(P_VAL,MATCH("CTRL_AÑO",P_ID,0))*L580+(1-INDEX(PY_VAL,MATCH("P_USADOS",PY_ID,0),3))*M580+INDEX(PY_VAL,MATCH("P_USADOS",PY_ID,0),3)*N580+IF(P580&gt;0,O580/P580,0)+Q580)</f>
        <v>1</v>
      </c>
      <c r="U580" s="32" t="n">
        <f aca="false">J580*(INDEX(P_VAL,MATCH("CTRL_AÑO",P_ID,0))*L580+(1-INDEX(PY_VAL,MATCH("P_USADOS",PY_ID,0),4))*M580+INDEX(PY_VAL,MATCH("P_USADOS",PY_ID,0),4)*N580+IF(P580&gt;0,O580/P580,0)+Q580)</f>
        <v>1</v>
      </c>
      <c r="V580" s="32" t="n">
        <f aca="false">J580*(INDEX(P_VAL,MATCH("CTRL_AÑO",P_ID,0))*L580+(1-INDEX(PY_VAL,MATCH("P_USADOS",PY_ID,0),5))*M580+INDEX(PY_VAL,MATCH("P_USADOS",PY_ID,0),5)*N580+IF(P580&gt;0,O580/P580,0)+Q580)</f>
        <v>1</v>
      </c>
      <c r="W580" s="32" t="n">
        <f aca="false">J580*(INDEX(P_VAL,MATCH("CTRL_AÑO",P_ID,0))*L580+(1-INDEX(PY_VAL,MATCH("P_USADOS",PY_ID,0),6))*M580+INDEX(PY_VAL,MATCH("P_USADOS",PY_ID,0),6)*N580+IF(P580&gt;0,O580/P580,0)+Q580)</f>
        <v>1</v>
      </c>
      <c r="X580" s="32" t="n">
        <f aca="false">J580*(INDEX(P_VAL,MATCH("CTRL_AÑO",P_ID,0))*L580+(1-INDEX(PY_VAL,MATCH("P_USADOS",PY_ID,0),7))*M580+INDEX(PY_VAL,MATCH("P_USADOS",PY_ID,0),7)*N580+IF(P580&gt;0,O580/P580,0)+Q580)</f>
        <v>1</v>
      </c>
      <c r="Y580" s="32" t="n">
        <f aca="false">J580*(INDEX(P_VAL,MATCH("CTRL_AÑO",P_ID,0))*L580+(1-INDEX(PY_VAL,MATCH("P_USADOS",PY_ID,0),8))*M580+INDEX(PY_VAL,MATCH("P_USADOS",PY_ID,0),8)*N580+IF(P580&gt;0,O580/P580,0)+Q580)</f>
        <v>1</v>
      </c>
      <c r="Z580" s="32" t="n">
        <f aca="false">J580*(INDEX(P_VAL,MATCH("CTRL_AÑO",P_ID,0))*L580+(1-INDEX(PY_VAL,MATCH("P_USADOS",PY_ID,0),9))*M580+INDEX(PY_VAL,MATCH("P_USADOS",PY_ID,0),9)*N580+IF(P580&gt;0,O580/P580,0)+Q580)</f>
        <v>1</v>
      </c>
      <c r="AA580" s="32" t="n">
        <f aca="false">J580*(INDEX(P_VAL,MATCH("CTRL_AÑO",P_ID,0))*L580+(1-INDEX(PY_VAL,MATCH("P_USADOS",PY_ID,0),10))*M580+INDEX(PY_VAL,MATCH("P_USADOS",PY_ID,0),10)*N580+IF(P580&gt;0,O580/P580,0)+Q580)</f>
        <v>1</v>
      </c>
      <c r="AB580" s="5" t="s">
        <v>1346</v>
      </c>
    </row>
    <row r="581" customFormat="false" ht="15" hidden="false" customHeight="false" outlineLevel="0" collapsed="false">
      <c r="A581" s="4" t="s">
        <v>327</v>
      </c>
      <c r="B581" s="4" t="s">
        <v>1368</v>
      </c>
      <c r="C581" s="4" t="s">
        <v>1577</v>
      </c>
      <c r="D581" s="5" t="s">
        <v>1370</v>
      </c>
      <c r="E581" s="32" t="n">
        <v>1</v>
      </c>
      <c r="F581" s="32" t="s">
        <v>82</v>
      </c>
      <c r="G581" s="33" t="s">
        <v>1344</v>
      </c>
      <c r="H581" s="32" t="s">
        <v>1371</v>
      </c>
      <c r="I581" s="32" t="n">
        <v>1</v>
      </c>
      <c r="J581" s="32" t="n">
        <f aca="false">E581*I581</f>
        <v>1</v>
      </c>
      <c r="K581" s="32" t="s">
        <v>582</v>
      </c>
      <c r="L581" s="32" t="n">
        <v>0</v>
      </c>
      <c r="M581" s="32" t="n">
        <v>1</v>
      </c>
      <c r="N581" s="32" t="n">
        <v>1</v>
      </c>
      <c r="O581" s="32" t="n">
        <v>0</v>
      </c>
      <c r="P581" s="32" t="n">
        <v>5</v>
      </c>
      <c r="Q581" s="32" t="n">
        <v>0</v>
      </c>
      <c r="R581" s="32" t="n">
        <f aca="false">J581*(INDEX(P_VAL,MATCH("CTRL_AÑO",P_ID,0))*L581+(1-INDEX(PY_VAL,MATCH("P_USADOS",PY_ID,0),1))*M581+INDEX(PY_VAL,MATCH("P_USADOS",PY_ID,0),1)*N581+IF(P581&gt;0,O581/P581,0)+Q581)</f>
        <v>1</v>
      </c>
      <c r="S581" s="32" t="n">
        <f aca="false">J581*(INDEX(P_VAL,MATCH("CTRL_AÑO",P_ID,0))*L581+(1-INDEX(PY_VAL,MATCH("P_USADOS",PY_ID,0),2))*M581+INDEX(PY_VAL,MATCH("P_USADOS",PY_ID,0),2)*N581+IF(P581&gt;0,O581/P581,0)+Q581)</f>
        <v>1</v>
      </c>
      <c r="T581" s="32" t="n">
        <f aca="false">J581*(INDEX(P_VAL,MATCH("CTRL_AÑO",P_ID,0))*L581+(1-INDEX(PY_VAL,MATCH("P_USADOS",PY_ID,0),3))*M581+INDEX(PY_VAL,MATCH("P_USADOS",PY_ID,0),3)*N581+IF(P581&gt;0,O581/P581,0)+Q581)</f>
        <v>1</v>
      </c>
      <c r="U581" s="32" t="n">
        <f aca="false">J581*(INDEX(P_VAL,MATCH("CTRL_AÑO",P_ID,0))*L581+(1-INDEX(PY_VAL,MATCH("P_USADOS",PY_ID,0),4))*M581+INDEX(PY_VAL,MATCH("P_USADOS",PY_ID,0),4)*N581+IF(P581&gt;0,O581/P581,0)+Q581)</f>
        <v>1</v>
      </c>
      <c r="V581" s="32" t="n">
        <f aca="false">J581*(INDEX(P_VAL,MATCH("CTRL_AÑO",P_ID,0))*L581+(1-INDEX(PY_VAL,MATCH("P_USADOS",PY_ID,0),5))*M581+INDEX(PY_VAL,MATCH("P_USADOS",PY_ID,0),5)*N581+IF(P581&gt;0,O581/P581,0)+Q581)</f>
        <v>1</v>
      </c>
      <c r="W581" s="32" t="n">
        <f aca="false">J581*(INDEX(P_VAL,MATCH("CTRL_AÑO",P_ID,0))*L581+(1-INDEX(PY_VAL,MATCH("P_USADOS",PY_ID,0),6))*M581+INDEX(PY_VAL,MATCH("P_USADOS",PY_ID,0),6)*N581+IF(P581&gt;0,O581/P581,0)+Q581)</f>
        <v>1</v>
      </c>
      <c r="X581" s="32" t="n">
        <f aca="false">J581*(INDEX(P_VAL,MATCH("CTRL_AÑO",P_ID,0))*L581+(1-INDEX(PY_VAL,MATCH("P_USADOS",PY_ID,0),7))*M581+INDEX(PY_VAL,MATCH("P_USADOS",PY_ID,0),7)*N581+IF(P581&gt;0,O581/P581,0)+Q581)</f>
        <v>1</v>
      </c>
      <c r="Y581" s="32" t="n">
        <f aca="false">J581*(INDEX(P_VAL,MATCH("CTRL_AÑO",P_ID,0))*L581+(1-INDEX(PY_VAL,MATCH("P_USADOS",PY_ID,0),8))*M581+INDEX(PY_VAL,MATCH("P_USADOS",PY_ID,0),8)*N581+IF(P581&gt;0,O581/P581,0)+Q581)</f>
        <v>1</v>
      </c>
      <c r="Z581" s="32" t="n">
        <f aca="false">J581*(INDEX(P_VAL,MATCH("CTRL_AÑO",P_ID,0))*L581+(1-INDEX(PY_VAL,MATCH("P_USADOS",PY_ID,0),9))*M581+INDEX(PY_VAL,MATCH("P_USADOS",PY_ID,0),9)*N581+IF(P581&gt;0,O581/P581,0)+Q581)</f>
        <v>1</v>
      </c>
      <c r="AA581" s="32" t="n">
        <f aca="false">J581*(INDEX(P_VAL,MATCH("CTRL_AÑO",P_ID,0))*L581+(1-INDEX(PY_VAL,MATCH("P_USADOS",PY_ID,0),10))*M581+INDEX(PY_VAL,MATCH("P_USADOS",PY_ID,0),10)*N581+IF(P581&gt;0,O581/P581,0)+Q581)</f>
        <v>1</v>
      </c>
      <c r="AB581" s="5" t="s">
        <v>1346</v>
      </c>
    </row>
    <row r="582" customFormat="false" ht="15" hidden="false" customHeight="false" outlineLevel="0" collapsed="false">
      <c r="A582" s="4" t="s">
        <v>327</v>
      </c>
      <c r="B582" s="4" t="s">
        <v>1372</v>
      </c>
      <c r="C582" s="4" t="s">
        <v>1578</v>
      </c>
      <c r="D582" s="5" t="s">
        <v>1374</v>
      </c>
      <c r="E582" s="32" t="n">
        <v>1</v>
      </c>
      <c r="F582" s="32" t="s">
        <v>82</v>
      </c>
      <c r="G582" s="33" t="s">
        <v>1344</v>
      </c>
      <c r="H582" s="32" t="s">
        <v>688</v>
      </c>
      <c r="I582" s="32" t="n">
        <v>1</v>
      </c>
      <c r="J582" s="32" t="n">
        <f aca="false">E582*I582</f>
        <v>1</v>
      </c>
      <c r="K582" s="32" t="s">
        <v>689</v>
      </c>
      <c r="L582" s="32" t="n">
        <v>0</v>
      </c>
      <c r="M582" s="32" t="n">
        <v>1</v>
      </c>
      <c r="N582" s="32" t="n">
        <v>1</v>
      </c>
      <c r="O582" s="32" t="n">
        <v>0</v>
      </c>
      <c r="P582" s="32" t="n">
        <v>5</v>
      </c>
      <c r="Q582" s="32" t="n">
        <v>0</v>
      </c>
      <c r="R582" s="32" t="n">
        <f aca="false">J582*(INDEX(P_VAL,MATCH("CTRL_AÑO",P_ID,0))*L582+(1-INDEX(PY_VAL,MATCH("P_USADOS",PY_ID,0),1))*M582+INDEX(PY_VAL,MATCH("P_USADOS",PY_ID,0),1)*N582+IF(P582&gt;0,O582/P582,0)+Q582)</f>
        <v>1</v>
      </c>
      <c r="S582" s="32" t="n">
        <f aca="false">J582*(INDEX(P_VAL,MATCH("CTRL_AÑO",P_ID,0))*L582+(1-INDEX(PY_VAL,MATCH("P_USADOS",PY_ID,0),2))*M582+INDEX(PY_VAL,MATCH("P_USADOS",PY_ID,0),2)*N582+IF(P582&gt;0,O582/P582,0)+Q582)</f>
        <v>1</v>
      </c>
      <c r="T582" s="32" t="n">
        <f aca="false">J582*(INDEX(P_VAL,MATCH("CTRL_AÑO",P_ID,0))*L582+(1-INDEX(PY_VAL,MATCH("P_USADOS",PY_ID,0),3))*M582+INDEX(PY_VAL,MATCH("P_USADOS",PY_ID,0),3)*N582+IF(P582&gt;0,O582/P582,0)+Q582)</f>
        <v>1</v>
      </c>
      <c r="U582" s="32" t="n">
        <f aca="false">J582*(INDEX(P_VAL,MATCH("CTRL_AÑO",P_ID,0))*L582+(1-INDEX(PY_VAL,MATCH("P_USADOS",PY_ID,0),4))*M582+INDEX(PY_VAL,MATCH("P_USADOS",PY_ID,0),4)*N582+IF(P582&gt;0,O582/P582,0)+Q582)</f>
        <v>1</v>
      </c>
      <c r="V582" s="32" t="n">
        <f aca="false">J582*(INDEX(P_VAL,MATCH("CTRL_AÑO",P_ID,0))*L582+(1-INDEX(PY_VAL,MATCH("P_USADOS",PY_ID,0),5))*M582+INDEX(PY_VAL,MATCH("P_USADOS",PY_ID,0),5)*N582+IF(P582&gt;0,O582/P582,0)+Q582)</f>
        <v>1</v>
      </c>
      <c r="W582" s="32" t="n">
        <f aca="false">J582*(INDEX(P_VAL,MATCH("CTRL_AÑO",P_ID,0))*L582+(1-INDEX(PY_VAL,MATCH("P_USADOS",PY_ID,0),6))*M582+INDEX(PY_VAL,MATCH("P_USADOS",PY_ID,0),6)*N582+IF(P582&gt;0,O582/P582,0)+Q582)</f>
        <v>1</v>
      </c>
      <c r="X582" s="32" t="n">
        <f aca="false">J582*(INDEX(P_VAL,MATCH("CTRL_AÑO",P_ID,0))*L582+(1-INDEX(PY_VAL,MATCH("P_USADOS",PY_ID,0),7))*M582+INDEX(PY_VAL,MATCH("P_USADOS",PY_ID,0),7)*N582+IF(P582&gt;0,O582/P582,0)+Q582)</f>
        <v>1</v>
      </c>
      <c r="Y582" s="32" t="n">
        <f aca="false">J582*(INDEX(P_VAL,MATCH("CTRL_AÑO",P_ID,0))*L582+(1-INDEX(PY_VAL,MATCH("P_USADOS",PY_ID,0),8))*M582+INDEX(PY_VAL,MATCH("P_USADOS",PY_ID,0),8)*N582+IF(P582&gt;0,O582/P582,0)+Q582)</f>
        <v>1</v>
      </c>
      <c r="Z582" s="32" t="n">
        <f aca="false">J582*(INDEX(P_VAL,MATCH("CTRL_AÑO",P_ID,0))*L582+(1-INDEX(PY_VAL,MATCH("P_USADOS",PY_ID,0),9))*M582+INDEX(PY_VAL,MATCH("P_USADOS",PY_ID,0),9)*N582+IF(P582&gt;0,O582/P582,0)+Q582)</f>
        <v>1</v>
      </c>
      <c r="AA582" s="32" t="n">
        <f aca="false">J582*(INDEX(P_VAL,MATCH("CTRL_AÑO",P_ID,0))*L582+(1-INDEX(PY_VAL,MATCH("P_USADOS",PY_ID,0),10))*M582+INDEX(PY_VAL,MATCH("P_USADOS",PY_ID,0),10)*N582+IF(P582&gt;0,O582/P582,0)+Q582)</f>
        <v>1</v>
      </c>
      <c r="AB582" s="5" t="s">
        <v>1346</v>
      </c>
    </row>
    <row r="583" customFormat="false" ht="15" hidden="false" customHeight="false" outlineLevel="0" collapsed="false">
      <c r="A583" s="4" t="s">
        <v>327</v>
      </c>
      <c r="B583" s="4" t="s">
        <v>1564</v>
      </c>
      <c r="C583" s="4" t="s">
        <v>1579</v>
      </c>
      <c r="D583" s="5" t="s">
        <v>1566</v>
      </c>
      <c r="E583" s="32" t="n">
        <v>1</v>
      </c>
      <c r="F583" s="32" t="s">
        <v>82</v>
      </c>
      <c r="G583" s="33" t="s">
        <v>1344</v>
      </c>
      <c r="H583" s="32" t="s">
        <v>1567</v>
      </c>
      <c r="I583" s="32" t="n">
        <v>1</v>
      </c>
      <c r="J583" s="32" t="n">
        <f aca="false">E583*I583</f>
        <v>1</v>
      </c>
      <c r="K583" s="32"/>
      <c r="L583" s="32" t="n">
        <v>0</v>
      </c>
      <c r="M583" s="32" t="n">
        <v>0</v>
      </c>
      <c r="N583" s="32" t="n">
        <v>1</v>
      </c>
      <c r="O583" s="32" t="n">
        <v>1</v>
      </c>
      <c r="P583" s="32" t="n">
        <v>5</v>
      </c>
      <c r="Q583" s="32" t="n">
        <v>0</v>
      </c>
      <c r="R583" s="32" t="n">
        <f aca="false">J583*(INDEX(P_VAL,MATCH("CTRL_AÑO",P_ID,0))*L583+(1-INDEX(PY_VAL,MATCH("P_USADOS",PY_ID,0),1))*M583+INDEX(PY_VAL,MATCH("P_USADOS",PY_ID,0),1)*N583+IF(P583&gt;0,O583/P583,0)+Q583)</f>
        <v>0.24764</v>
      </c>
      <c r="S583" s="32" t="n">
        <f aca="false">J583*(INDEX(P_VAL,MATCH("CTRL_AÑO",P_ID,0))*L583+(1-INDEX(PY_VAL,MATCH("P_USADOS",PY_ID,0),2))*M583+INDEX(PY_VAL,MATCH("P_USADOS",PY_ID,0),2)*N583+IF(P583&gt;0,O583/P583,0)+Q583)</f>
        <v>0.247636</v>
      </c>
      <c r="T583" s="32" t="n">
        <f aca="false">J583*(INDEX(P_VAL,MATCH("CTRL_AÑO",P_ID,0))*L583+(1-INDEX(PY_VAL,MATCH("P_USADOS",PY_ID,0),3))*M583+INDEX(PY_VAL,MATCH("P_USADOS",PY_ID,0),3)*N583+IF(P583&gt;0,O583/P583,0)+Q583)</f>
        <v>0.247637</v>
      </c>
      <c r="U583" s="32" t="n">
        <f aca="false">J583*(INDEX(P_VAL,MATCH("CTRL_AÑO",P_ID,0))*L583+(1-INDEX(PY_VAL,MATCH("P_USADOS",PY_ID,0),4))*M583+INDEX(PY_VAL,MATCH("P_USADOS",PY_ID,0),4)*N583+IF(P583&gt;0,O583/P583,0)+Q583)</f>
        <v>0.247639</v>
      </c>
      <c r="V583" s="32" t="n">
        <f aca="false">J583*(INDEX(P_VAL,MATCH("CTRL_AÑO",P_ID,0))*L583+(1-INDEX(PY_VAL,MATCH("P_USADOS",PY_ID,0),5))*M583+INDEX(PY_VAL,MATCH("P_USADOS",PY_ID,0),5)*N583+IF(P583&gt;0,O583/P583,0)+Q583)</f>
        <v>0.247636</v>
      </c>
      <c r="W583" s="32" t="n">
        <f aca="false">J583*(INDEX(P_VAL,MATCH("CTRL_AÑO",P_ID,0))*L583+(1-INDEX(PY_VAL,MATCH("P_USADOS",PY_ID,0),6))*M583+INDEX(PY_VAL,MATCH("P_USADOS",PY_ID,0),6)*N583+IF(P583&gt;0,O583/P583,0)+Q583)</f>
        <v>0.247637</v>
      </c>
      <c r="X583" s="32" t="n">
        <f aca="false">J583*(INDEX(P_VAL,MATCH("CTRL_AÑO",P_ID,0))*L583+(1-INDEX(PY_VAL,MATCH("P_USADOS",PY_ID,0),7))*M583+INDEX(PY_VAL,MATCH("P_USADOS",PY_ID,0),7)*N583+IF(P583&gt;0,O583/P583,0)+Q583)</f>
        <v>0.247636</v>
      </c>
      <c r="Y583" s="32" t="n">
        <f aca="false">J583*(INDEX(P_VAL,MATCH("CTRL_AÑO",P_ID,0))*L583+(1-INDEX(PY_VAL,MATCH("P_USADOS",PY_ID,0),8))*M583+INDEX(PY_VAL,MATCH("P_USADOS",PY_ID,0),8)*N583+IF(P583&gt;0,O583/P583,0)+Q583)</f>
        <v>0.247638</v>
      </c>
      <c r="Z583" s="32" t="n">
        <f aca="false">J583*(INDEX(P_VAL,MATCH("CTRL_AÑO",P_ID,0))*L583+(1-INDEX(PY_VAL,MATCH("P_USADOS",PY_ID,0),9))*M583+INDEX(PY_VAL,MATCH("P_USADOS",PY_ID,0),9)*N583+IF(P583&gt;0,O583/P583,0)+Q583)</f>
        <v>0.247636</v>
      </c>
      <c r="AA583" s="32" t="n">
        <f aca="false">J583*(INDEX(P_VAL,MATCH("CTRL_AÑO",P_ID,0))*L583+(1-INDEX(PY_VAL,MATCH("P_USADOS",PY_ID,0),10))*M583+INDEX(PY_VAL,MATCH("P_USADOS",PY_ID,0),10)*N583+IF(P583&gt;0,O583/P583,0)+Q583)</f>
        <v>0.247633</v>
      </c>
      <c r="AB583" s="5" t="s">
        <v>1346</v>
      </c>
    </row>
    <row r="584" customFormat="false" ht="15" hidden="false" customHeight="false" outlineLevel="0" collapsed="false">
      <c r="A584" s="4" t="s">
        <v>327</v>
      </c>
      <c r="B584" s="4" t="s">
        <v>1356</v>
      </c>
      <c r="C584" s="4" t="s">
        <v>1580</v>
      </c>
      <c r="D584" s="5" t="s">
        <v>1358</v>
      </c>
      <c r="E584" s="32" t="n">
        <v>1</v>
      </c>
      <c r="F584" s="32" t="s">
        <v>82</v>
      </c>
      <c r="G584" s="33" t="s">
        <v>1344</v>
      </c>
      <c r="H584" s="32" t="s">
        <v>1359</v>
      </c>
      <c r="I584" s="32" t="n">
        <v>1</v>
      </c>
      <c r="J584" s="32" t="n">
        <f aca="false">E584*I584</f>
        <v>1</v>
      </c>
      <c r="K584" s="32"/>
      <c r="L584" s="32" t="n">
        <v>0</v>
      </c>
      <c r="M584" s="32" t="n">
        <v>0</v>
      </c>
      <c r="N584" s="32" t="n">
        <v>0</v>
      </c>
      <c r="O584" s="32" t="n">
        <v>1</v>
      </c>
      <c r="P584" s="32" t="n">
        <v>5</v>
      </c>
      <c r="Q584" s="32" t="n">
        <v>0</v>
      </c>
      <c r="R584" s="32" t="n">
        <f aca="false">J584*(INDEX(P_VAL,MATCH("CTRL_AÑO",P_ID,0))*L584+(1-INDEX(PY_VAL,MATCH("P_USADOS",PY_ID,0),1))*M584+INDEX(PY_VAL,MATCH("P_USADOS",PY_ID,0),1)*N584+IF(P584&gt;0,O584/P584,0)+Q584)</f>
        <v>0.2</v>
      </c>
      <c r="S584" s="32" t="n">
        <f aca="false">J584*(INDEX(P_VAL,MATCH("CTRL_AÑO",P_ID,0))*L584+(1-INDEX(PY_VAL,MATCH("P_USADOS",PY_ID,0),2))*M584+INDEX(PY_VAL,MATCH("P_USADOS",PY_ID,0),2)*N584+IF(P584&gt;0,O584/P584,0)+Q584)</f>
        <v>0.2</v>
      </c>
      <c r="T584" s="32" t="n">
        <f aca="false">J584*(INDEX(P_VAL,MATCH("CTRL_AÑO",P_ID,0))*L584+(1-INDEX(PY_VAL,MATCH("P_USADOS",PY_ID,0),3))*M584+INDEX(PY_VAL,MATCH("P_USADOS",PY_ID,0),3)*N584+IF(P584&gt;0,O584/P584,0)+Q584)</f>
        <v>0.2</v>
      </c>
      <c r="U584" s="32" t="n">
        <f aca="false">J584*(INDEX(P_VAL,MATCH("CTRL_AÑO",P_ID,0))*L584+(1-INDEX(PY_VAL,MATCH("P_USADOS",PY_ID,0),4))*M584+INDEX(PY_VAL,MATCH("P_USADOS",PY_ID,0),4)*N584+IF(P584&gt;0,O584/P584,0)+Q584)</f>
        <v>0.2</v>
      </c>
      <c r="V584" s="32" t="n">
        <f aca="false">J584*(INDEX(P_VAL,MATCH("CTRL_AÑO",P_ID,0))*L584+(1-INDEX(PY_VAL,MATCH("P_USADOS",PY_ID,0),5))*M584+INDEX(PY_VAL,MATCH("P_USADOS",PY_ID,0),5)*N584+IF(P584&gt;0,O584/P584,0)+Q584)</f>
        <v>0.2</v>
      </c>
      <c r="W584" s="32" t="n">
        <f aca="false">J584*(INDEX(P_VAL,MATCH("CTRL_AÑO",P_ID,0))*L584+(1-INDEX(PY_VAL,MATCH("P_USADOS",PY_ID,0),6))*M584+INDEX(PY_VAL,MATCH("P_USADOS",PY_ID,0),6)*N584+IF(P584&gt;0,O584/P584,0)+Q584)</f>
        <v>0.2</v>
      </c>
      <c r="X584" s="32" t="n">
        <f aca="false">J584*(INDEX(P_VAL,MATCH("CTRL_AÑO",P_ID,0))*L584+(1-INDEX(PY_VAL,MATCH("P_USADOS",PY_ID,0),7))*M584+INDEX(PY_VAL,MATCH("P_USADOS",PY_ID,0),7)*N584+IF(P584&gt;0,O584/P584,0)+Q584)</f>
        <v>0.2</v>
      </c>
      <c r="Y584" s="32" t="n">
        <f aca="false">J584*(INDEX(P_VAL,MATCH("CTRL_AÑO",P_ID,0))*L584+(1-INDEX(PY_VAL,MATCH("P_USADOS",PY_ID,0),8))*M584+INDEX(PY_VAL,MATCH("P_USADOS",PY_ID,0),8)*N584+IF(P584&gt;0,O584/P584,0)+Q584)</f>
        <v>0.2</v>
      </c>
      <c r="Z584" s="32" t="n">
        <f aca="false">J584*(INDEX(P_VAL,MATCH("CTRL_AÑO",P_ID,0))*L584+(1-INDEX(PY_VAL,MATCH("P_USADOS",PY_ID,0),9))*M584+INDEX(PY_VAL,MATCH("P_USADOS",PY_ID,0),9)*N584+IF(P584&gt;0,O584/P584,0)+Q584)</f>
        <v>0.2</v>
      </c>
      <c r="AA584" s="32" t="n">
        <f aca="false">J584*(INDEX(P_VAL,MATCH("CTRL_AÑO",P_ID,0))*L584+(1-INDEX(PY_VAL,MATCH("P_USADOS",PY_ID,0),10))*M584+INDEX(PY_VAL,MATCH("P_USADOS",PY_ID,0),10)*N584+IF(P584&gt;0,O584/P584,0)+Q584)</f>
        <v>0.2</v>
      </c>
      <c r="AB584" s="5" t="s">
        <v>1346</v>
      </c>
    </row>
    <row r="585" customFormat="false" ht="15" hidden="false" customHeight="false" outlineLevel="0" collapsed="false">
      <c r="A585" s="4" t="s">
        <v>327</v>
      </c>
      <c r="B585" s="4" t="s">
        <v>1375</v>
      </c>
      <c r="C585" s="4" t="s">
        <v>1581</v>
      </c>
      <c r="D585" s="5" t="s">
        <v>1377</v>
      </c>
      <c r="E585" s="32" t="n">
        <v>1</v>
      </c>
      <c r="F585" s="32" t="s">
        <v>82</v>
      </c>
      <c r="G585" s="33" t="s">
        <v>1344</v>
      </c>
      <c r="H585" s="32" t="s">
        <v>1485</v>
      </c>
      <c r="I585" s="32" t="n">
        <v>1</v>
      </c>
      <c r="J585" s="32" t="n">
        <f aca="false">E585*I585</f>
        <v>1</v>
      </c>
      <c r="K585" s="32"/>
      <c r="L585" s="32" t="n">
        <v>0</v>
      </c>
      <c r="M585" s="32" t="n">
        <v>0</v>
      </c>
      <c r="N585" s="32" t="n">
        <v>0</v>
      </c>
      <c r="O585" s="32" t="n">
        <v>1</v>
      </c>
      <c r="P585" s="32" t="n">
        <v>5</v>
      </c>
      <c r="Q585" s="32" t="n">
        <v>0</v>
      </c>
      <c r="R585" s="32" t="n">
        <f aca="false">J585*(INDEX(P_VAL,MATCH("CTRL_AÑO",P_ID,0))*L585+(1-INDEX(PY_VAL,MATCH("P_USADOS",PY_ID,0),1))*M585+INDEX(PY_VAL,MATCH("P_USADOS",PY_ID,0),1)*N585+IF(P585&gt;0,O585/P585,0)+Q585)</f>
        <v>0.2</v>
      </c>
      <c r="S585" s="32" t="n">
        <f aca="false">J585*(INDEX(P_VAL,MATCH("CTRL_AÑO",P_ID,0))*L585+(1-INDEX(PY_VAL,MATCH("P_USADOS",PY_ID,0),2))*M585+INDEX(PY_VAL,MATCH("P_USADOS",PY_ID,0),2)*N585+IF(P585&gt;0,O585/P585,0)+Q585)</f>
        <v>0.2</v>
      </c>
      <c r="T585" s="32" t="n">
        <f aca="false">J585*(INDEX(P_VAL,MATCH("CTRL_AÑO",P_ID,0))*L585+(1-INDEX(PY_VAL,MATCH("P_USADOS",PY_ID,0),3))*M585+INDEX(PY_VAL,MATCH("P_USADOS",PY_ID,0),3)*N585+IF(P585&gt;0,O585/P585,0)+Q585)</f>
        <v>0.2</v>
      </c>
      <c r="U585" s="32" t="n">
        <f aca="false">J585*(INDEX(P_VAL,MATCH("CTRL_AÑO",P_ID,0))*L585+(1-INDEX(PY_VAL,MATCH("P_USADOS",PY_ID,0),4))*M585+INDEX(PY_VAL,MATCH("P_USADOS",PY_ID,0),4)*N585+IF(P585&gt;0,O585/P585,0)+Q585)</f>
        <v>0.2</v>
      </c>
      <c r="V585" s="32" t="n">
        <f aca="false">J585*(INDEX(P_VAL,MATCH("CTRL_AÑO",P_ID,0))*L585+(1-INDEX(PY_VAL,MATCH("P_USADOS",PY_ID,0),5))*M585+INDEX(PY_VAL,MATCH("P_USADOS",PY_ID,0),5)*N585+IF(P585&gt;0,O585/P585,0)+Q585)</f>
        <v>0.2</v>
      </c>
      <c r="W585" s="32" t="n">
        <f aca="false">J585*(INDEX(P_VAL,MATCH("CTRL_AÑO",P_ID,0))*L585+(1-INDEX(PY_VAL,MATCH("P_USADOS",PY_ID,0),6))*M585+INDEX(PY_VAL,MATCH("P_USADOS",PY_ID,0),6)*N585+IF(P585&gt;0,O585/P585,0)+Q585)</f>
        <v>0.2</v>
      </c>
      <c r="X585" s="32" t="n">
        <f aca="false">J585*(INDEX(P_VAL,MATCH("CTRL_AÑO",P_ID,0))*L585+(1-INDEX(PY_VAL,MATCH("P_USADOS",PY_ID,0),7))*M585+INDEX(PY_VAL,MATCH("P_USADOS",PY_ID,0),7)*N585+IF(P585&gt;0,O585/P585,0)+Q585)</f>
        <v>0.2</v>
      </c>
      <c r="Y585" s="32" t="n">
        <f aca="false">J585*(INDEX(P_VAL,MATCH("CTRL_AÑO",P_ID,0))*L585+(1-INDEX(PY_VAL,MATCH("P_USADOS",PY_ID,0),8))*M585+INDEX(PY_VAL,MATCH("P_USADOS",PY_ID,0),8)*N585+IF(P585&gt;0,O585/P585,0)+Q585)</f>
        <v>0.2</v>
      </c>
      <c r="Z585" s="32" t="n">
        <f aca="false">J585*(INDEX(P_VAL,MATCH("CTRL_AÑO",P_ID,0))*L585+(1-INDEX(PY_VAL,MATCH("P_USADOS",PY_ID,0),9))*M585+INDEX(PY_VAL,MATCH("P_USADOS",PY_ID,0),9)*N585+IF(P585&gt;0,O585/P585,0)+Q585)</f>
        <v>0.2</v>
      </c>
      <c r="AA585" s="32" t="n">
        <f aca="false">J585*(INDEX(P_VAL,MATCH("CTRL_AÑO",P_ID,0))*L585+(1-INDEX(PY_VAL,MATCH("P_USADOS",PY_ID,0),10))*M585+INDEX(PY_VAL,MATCH("P_USADOS",PY_ID,0),10)*N585+IF(P585&gt;0,O585/P585,0)+Q585)</f>
        <v>0.2</v>
      </c>
      <c r="AB585" s="5" t="s">
        <v>1346</v>
      </c>
    </row>
    <row r="586" customFormat="false" ht="15" hidden="false" customHeight="false" outlineLevel="0" collapsed="false">
      <c r="A586" s="4" t="s">
        <v>327</v>
      </c>
      <c r="B586" s="4" t="s">
        <v>1382</v>
      </c>
      <c r="C586" s="4" t="s">
        <v>1582</v>
      </c>
      <c r="D586" s="5" t="s">
        <v>1571</v>
      </c>
      <c r="E586" s="32" t="n">
        <v>1</v>
      </c>
      <c r="F586" s="32" t="s">
        <v>73</v>
      </c>
      <c r="G586" s="33" t="s">
        <v>1385</v>
      </c>
      <c r="H586" s="32"/>
      <c r="I586" s="32"/>
      <c r="J586" s="32"/>
      <c r="K586" s="32"/>
      <c r="L586" s="32" t="n">
        <v>0</v>
      </c>
      <c r="M586" s="32" t="n">
        <v>0</v>
      </c>
      <c r="N586" s="32" t="n">
        <v>0</v>
      </c>
      <c r="O586" s="32" t="n">
        <v>0</v>
      </c>
      <c r="P586" s="32" t="n">
        <v>0</v>
      </c>
      <c r="Q586" s="32" t="n">
        <v>0</v>
      </c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5" t="s">
        <v>1386</v>
      </c>
    </row>
    <row r="587" customFormat="false" ht="15" hidden="false" customHeight="false" outlineLevel="0" collapsed="false">
      <c r="A587" s="4" t="s">
        <v>330</v>
      </c>
      <c r="B587" s="4" t="s">
        <v>1341</v>
      </c>
      <c r="C587" s="4" t="s">
        <v>1583</v>
      </c>
      <c r="D587" s="5" t="s">
        <v>1343</v>
      </c>
      <c r="E587" s="32" t="n">
        <v>1</v>
      </c>
      <c r="F587" s="32" t="s">
        <v>82</v>
      </c>
      <c r="G587" s="33" t="s">
        <v>1344</v>
      </c>
      <c r="H587" s="32" t="s">
        <v>1345</v>
      </c>
      <c r="I587" s="32" t="n">
        <v>1</v>
      </c>
      <c r="J587" s="32" t="n">
        <f aca="false">E587*I587</f>
        <v>1</v>
      </c>
      <c r="K587" s="32"/>
      <c r="L587" s="32" t="n">
        <v>1</v>
      </c>
      <c r="M587" s="32" t="n">
        <v>0</v>
      </c>
      <c r="N587" s="32" t="n">
        <v>0</v>
      </c>
      <c r="O587" s="32" t="n">
        <v>0</v>
      </c>
      <c r="P587" s="32" t="n">
        <v>5</v>
      </c>
      <c r="Q587" s="32" t="n">
        <v>0</v>
      </c>
      <c r="R587" s="32" t="n">
        <f aca="false">J587*(INDEX(P_VAL,MATCH("CTRL_AÑO",P_ID,0))*L587+(1-INDEX(PY_VAL,MATCH("P_USADOS",PY_ID,0),1))*M587+INDEX(PY_VAL,MATCH("P_USADOS",PY_ID,0),1)*N587+IF(P587&gt;0,O587/P587,0)+Q587)</f>
        <v>4</v>
      </c>
      <c r="S587" s="32" t="n">
        <f aca="false">J587*(INDEX(P_VAL,MATCH("CTRL_AÑO",P_ID,0))*L587+(1-INDEX(PY_VAL,MATCH("P_USADOS",PY_ID,0),2))*M587+INDEX(PY_VAL,MATCH("P_USADOS",PY_ID,0),2)*N587+IF(P587&gt;0,O587/P587,0)+Q587)</f>
        <v>4</v>
      </c>
      <c r="T587" s="32" t="n">
        <f aca="false">J587*(INDEX(P_VAL,MATCH("CTRL_AÑO",P_ID,0))*L587+(1-INDEX(PY_VAL,MATCH("P_USADOS",PY_ID,0),3))*M587+INDEX(PY_VAL,MATCH("P_USADOS",PY_ID,0),3)*N587+IF(P587&gt;0,O587/P587,0)+Q587)</f>
        <v>4</v>
      </c>
      <c r="U587" s="32" t="n">
        <f aca="false">J587*(INDEX(P_VAL,MATCH("CTRL_AÑO",P_ID,0))*L587+(1-INDEX(PY_VAL,MATCH("P_USADOS",PY_ID,0),4))*M587+INDEX(PY_VAL,MATCH("P_USADOS",PY_ID,0),4)*N587+IF(P587&gt;0,O587/P587,0)+Q587)</f>
        <v>4</v>
      </c>
      <c r="V587" s="32" t="n">
        <f aca="false">J587*(INDEX(P_VAL,MATCH("CTRL_AÑO",P_ID,0))*L587+(1-INDEX(PY_VAL,MATCH("P_USADOS",PY_ID,0),5))*M587+INDEX(PY_VAL,MATCH("P_USADOS",PY_ID,0),5)*N587+IF(P587&gt;0,O587/P587,0)+Q587)</f>
        <v>4</v>
      </c>
      <c r="W587" s="32" t="n">
        <f aca="false">J587*(INDEX(P_VAL,MATCH("CTRL_AÑO",P_ID,0))*L587+(1-INDEX(PY_VAL,MATCH("P_USADOS",PY_ID,0),6))*M587+INDEX(PY_VAL,MATCH("P_USADOS",PY_ID,0),6)*N587+IF(P587&gt;0,O587/P587,0)+Q587)</f>
        <v>4</v>
      </c>
      <c r="X587" s="32" t="n">
        <f aca="false">J587*(INDEX(P_VAL,MATCH("CTRL_AÑO",P_ID,0))*L587+(1-INDEX(PY_VAL,MATCH("P_USADOS",PY_ID,0),7))*M587+INDEX(PY_VAL,MATCH("P_USADOS",PY_ID,0),7)*N587+IF(P587&gt;0,O587/P587,0)+Q587)</f>
        <v>4</v>
      </c>
      <c r="Y587" s="32" t="n">
        <f aca="false">J587*(INDEX(P_VAL,MATCH("CTRL_AÑO",P_ID,0))*L587+(1-INDEX(PY_VAL,MATCH("P_USADOS",PY_ID,0),8))*M587+INDEX(PY_VAL,MATCH("P_USADOS",PY_ID,0),8)*N587+IF(P587&gt;0,O587/P587,0)+Q587)</f>
        <v>4</v>
      </c>
      <c r="Z587" s="32" t="n">
        <f aca="false">J587*(INDEX(P_VAL,MATCH("CTRL_AÑO",P_ID,0))*L587+(1-INDEX(PY_VAL,MATCH("P_USADOS",PY_ID,0),9))*M587+INDEX(PY_VAL,MATCH("P_USADOS",PY_ID,0),9)*N587+IF(P587&gt;0,O587/P587,0)+Q587)</f>
        <v>4</v>
      </c>
      <c r="AA587" s="32" t="n">
        <f aca="false">J587*(INDEX(P_VAL,MATCH("CTRL_AÑO",P_ID,0))*L587+(1-INDEX(PY_VAL,MATCH("P_USADOS",PY_ID,0),10))*M587+INDEX(PY_VAL,MATCH("P_USADOS",PY_ID,0),10)*N587+IF(P587&gt;0,O587/P587,0)+Q587)</f>
        <v>4</v>
      </c>
      <c r="AB587" s="5" t="s">
        <v>1346</v>
      </c>
    </row>
    <row r="588" customFormat="false" ht="15" hidden="false" customHeight="false" outlineLevel="0" collapsed="false">
      <c r="A588" s="4" t="s">
        <v>330</v>
      </c>
      <c r="B588" s="4" t="s">
        <v>1347</v>
      </c>
      <c r="C588" s="4" t="s">
        <v>1584</v>
      </c>
      <c r="D588" s="5" t="s">
        <v>1585</v>
      </c>
      <c r="E588" s="32" t="n">
        <v>1</v>
      </c>
      <c r="F588" s="32" t="s">
        <v>73</v>
      </c>
      <c r="G588" s="33" t="s">
        <v>1344</v>
      </c>
      <c r="H588" s="32" t="s">
        <v>1586</v>
      </c>
      <c r="I588" s="32" t="n">
        <v>1</v>
      </c>
      <c r="J588" s="32" t="n">
        <f aca="false">E588*I588</f>
        <v>1</v>
      </c>
      <c r="K588" s="32"/>
      <c r="L588" s="32" t="n">
        <v>0</v>
      </c>
      <c r="M588" s="32" t="n">
        <v>0.15</v>
      </c>
      <c r="N588" s="32" t="n">
        <v>5</v>
      </c>
      <c r="O588" s="32" t="n">
        <v>0</v>
      </c>
      <c r="P588" s="32" t="n">
        <v>5</v>
      </c>
      <c r="Q588" s="32" t="n">
        <v>0</v>
      </c>
      <c r="R588" s="32" t="n">
        <f aca="false">J588*(INDEX(P_VAL,MATCH("CTRL_AÑO",P_ID,0))*L588+(1-INDEX(PY_VAL,MATCH("P_USADOS",PY_ID,0),1))*M588+INDEX(PY_VAL,MATCH("P_USADOS",PY_ID,0),1)*N588+IF(P588&gt;0,O588/P588,0)+Q588)</f>
        <v>0.381054</v>
      </c>
      <c r="S588" s="32" t="n">
        <f aca="false">J588*(INDEX(P_VAL,MATCH("CTRL_AÑO",P_ID,0))*L588+(1-INDEX(PY_VAL,MATCH("P_USADOS",PY_ID,0),2))*M588+INDEX(PY_VAL,MATCH("P_USADOS",PY_ID,0),2)*N588+IF(P588&gt;0,O588/P588,0)+Q588)</f>
        <v>0.3810346</v>
      </c>
      <c r="T588" s="32" t="n">
        <f aca="false">J588*(INDEX(P_VAL,MATCH("CTRL_AÑO",P_ID,0))*L588+(1-INDEX(PY_VAL,MATCH("P_USADOS",PY_ID,0),3))*M588+INDEX(PY_VAL,MATCH("P_USADOS",PY_ID,0),3)*N588+IF(P588&gt;0,O588/P588,0)+Q588)</f>
        <v>0.38103945</v>
      </c>
      <c r="U588" s="32" t="n">
        <f aca="false">J588*(INDEX(P_VAL,MATCH("CTRL_AÑO",P_ID,0))*L588+(1-INDEX(PY_VAL,MATCH("P_USADOS",PY_ID,0),4))*M588+INDEX(PY_VAL,MATCH("P_USADOS",PY_ID,0),4)*N588+IF(P588&gt;0,O588/P588,0)+Q588)</f>
        <v>0.38104915</v>
      </c>
      <c r="V588" s="32" t="n">
        <f aca="false">J588*(INDEX(P_VAL,MATCH("CTRL_AÑO",P_ID,0))*L588+(1-INDEX(PY_VAL,MATCH("P_USADOS",PY_ID,0),5))*M588+INDEX(PY_VAL,MATCH("P_USADOS",PY_ID,0),5)*N588+IF(P588&gt;0,O588/P588,0)+Q588)</f>
        <v>0.3810346</v>
      </c>
      <c r="W588" s="32" t="n">
        <f aca="false">J588*(INDEX(P_VAL,MATCH("CTRL_AÑO",P_ID,0))*L588+(1-INDEX(PY_VAL,MATCH("P_USADOS",PY_ID,0),6))*M588+INDEX(PY_VAL,MATCH("P_USADOS",PY_ID,0),6)*N588+IF(P588&gt;0,O588/P588,0)+Q588)</f>
        <v>0.38103945</v>
      </c>
      <c r="X588" s="32" t="n">
        <f aca="false">J588*(INDEX(P_VAL,MATCH("CTRL_AÑO",P_ID,0))*L588+(1-INDEX(PY_VAL,MATCH("P_USADOS",PY_ID,0),7))*M588+INDEX(PY_VAL,MATCH("P_USADOS",PY_ID,0),7)*N588+IF(P588&gt;0,O588/P588,0)+Q588)</f>
        <v>0.3810346</v>
      </c>
      <c r="Y588" s="32" t="n">
        <f aca="false">J588*(INDEX(P_VAL,MATCH("CTRL_AÑO",P_ID,0))*L588+(1-INDEX(PY_VAL,MATCH("P_USADOS",PY_ID,0),8))*M588+INDEX(PY_VAL,MATCH("P_USADOS",PY_ID,0),8)*N588+IF(P588&gt;0,O588/P588,0)+Q588)</f>
        <v>0.3810443</v>
      </c>
      <c r="Z588" s="32" t="n">
        <f aca="false">J588*(INDEX(P_VAL,MATCH("CTRL_AÑO",P_ID,0))*L588+(1-INDEX(PY_VAL,MATCH("P_USADOS",PY_ID,0),9))*M588+INDEX(PY_VAL,MATCH("P_USADOS",PY_ID,0),9)*N588+IF(P588&gt;0,O588/P588,0)+Q588)</f>
        <v>0.3810346</v>
      </c>
      <c r="AA588" s="32" t="n">
        <f aca="false">J588*(INDEX(P_VAL,MATCH("CTRL_AÑO",P_ID,0))*L588+(1-INDEX(PY_VAL,MATCH("P_USADOS",PY_ID,0),10))*M588+INDEX(PY_VAL,MATCH("P_USADOS",PY_ID,0),10)*N588+IF(P588&gt;0,O588/P588,0)+Q588)</f>
        <v>0.38102005</v>
      </c>
      <c r="AB588" s="5" t="s">
        <v>1346</v>
      </c>
    </row>
    <row r="589" customFormat="false" ht="15" hidden="false" customHeight="false" outlineLevel="0" collapsed="false">
      <c r="A589" s="4" t="s">
        <v>330</v>
      </c>
      <c r="B589" s="4" t="s">
        <v>1350</v>
      </c>
      <c r="C589" s="4" t="s">
        <v>1587</v>
      </c>
      <c r="D589" s="5" t="s">
        <v>1588</v>
      </c>
      <c r="E589" s="32" t="n">
        <v>1</v>
      </c>
      <c r="F589" s="32" t="s">
        <v>73</v>
      </c>
      <c r="G589" s="33" t="s">
        <v>1344</v>
      </c>
      <c r="H589" s="32" t="s">
        <v>1589</v>
      </c>
      <c r="I589" s="32" t="n">
        <f aca="false">(1+INDEX(P_VAL,MATCH("N2_PERD",P_ID,0)))/INDEX(P_VAL,MATCH("RHO_AR",P_ID,0))</f>
        <v>0.728454555642721</v>
      </c>
      <c r="J589" s="32" t="n">
        <f aca="false">E589*I589</f>
        <v>0.728454555642721</v>
      </c>
      <c r="K589" s="32"/>
      <c r="L589" s="32" t="n">
        <v>0</v>
      </c>
      <c r="M589" s="32" t="n">
        <v>0.0387803299729701</v>
      </c>
      <c r="N589" s="32" t="n">
        <v>0.0387803299729701</v>
      </c>
      <c r="O589" s="32" t="n">
        <v>0</v>
      </c>
      <c r="P589" s="32" t="n">
        <v>5</v>
      </c>
      <c r="Q589" s="32" t="n">
        <v>0</v>
      </c>
      <c r="R589" s="32" t="n">
        <f aca="false">J589*(INDEX(P_VAL,MATCH("CTRL_AÑO",P_ID,0))*L589+(1-INDEX(PY_VAL,MATCH("P_USADOS",PY_ID,0),1))*M589+INDEX(PY_VAL,MATCH("P_USADOS",PY_ID,0),1)*N589+IF(P589&gt;0,O589/P589,0)+Q589)</f>
        <v>0.028249708038138</v>
      </c>
      <c r="S589" s="32" t="n">
        <f aca="false">J589*(INDEX(P_VAL,MATCH("CTRL_AÑO",P_ID,0))*L589+(1-INDEX(PY_VAL,MATCH("P_USADOS",PY_ID,0),2))*M589+INDEX(PY_VAL,MATCH("P_USADOS",PY_ID,0),2)*N589+IF(P589&gt;0,O589/P589,0)+Q589)</f>
        <v>0.028249708038138</v>
      </c>
      <c r="T589" s="32" t="n">
        <f aca="false">J589*(INDEX(P_VAL,MATCH("CTRL_AÑO",P_ID,0))*L589+(1-INDEX(PY_VAL,MATCH("P_USADOS",PY_ID,0),3))*M589+INDEX(PY_VAL,MATCH("P_USADOS",PY_ID,0),3)*N589+IF(P589&gt;0,O589/P589,0)+Q589)</f>
        <v>0.028249708038138</v>
      </c>
      <c r="U589" s="32" t="n">
        <f aca="false">J589*(INDEX(P_VAL,MATCH("CTRL_AÑO",P_ID,0))*L589+(1-INDEX(PY_VAL,MATCH("P_USADOS",PY_ID,0),4))*M589+INDEX(PY_VAL,MATCH("P_USADOS",PY_ID,0),4)*N589+IF(P589&gt;0,O589/P589,0)+Q589)</f>
        <v>0.028249708038138</v>
      </c>
      <c r="V589" s="32" t="n">
        <f aca="false">J589*(INDEX(P_VAL,MATCH("CTRL_AÑO",P_ID,0))*L589+(1-INDEX(PY_VAL,MATCH("P_USADOS",PY_ID,0),5))*M589+INDEX(PY_VAL,MATCH("P_USADOS",PY_ID,0),5)*N589+IF(P589&gt;0,O589/P589,0)+Q589)</f>
        <v>0.028249708038138</v>
      </c>
      <c r="W589" s="32" t="n">
        <f aca="false">J589*(INDEX(P_VAL,MATCH("CTRL_AÑO",P_ID,0))*L589+(1-INDEX(PY_VAL,MATCH("P_USADOS",PY_ID,0),6))*M589+INDEX(PY_VAL,MATCH("P_USADOS",PY_ID,0),6)*N589+IF(P589&gt;0,O589/P589,0)+Q589)</f>
        <v>0.028249708038138</v>
      </c>
      <c r="X589" s="32" t="n">
        <f aca="false">J589*(INDEX(P_VAL,MATCH("CTRL_AÑO",P_ID,0))*L589+(1-INDEX(PY_VAL,MATCH("P_USADOS",PY_ID,0),7))*M589+INDEX(PY_VAL,MATCH("P_USADOS",PY_ID,0),7)*N589+IF(P589&gt;0,O589/P589,0)+Q589)</f>
        <v>0.028249708038138</v>
      </c>
      <c r="Y589" s="32" t="n">
        <f aca="false">J589*(INDEX(P_VAL,MATCH("CTRL_AÑO",P_ID,0))*L589+(1-INDEX(PY_VAL,MATCH("P_USADOS",PY_ID,0),8))*M589+INDEX(PY_VAL,MATCH("P_USADOS",PY_ID,0),8)*N589+IF(P589&gt;0,O589/P589,0)+Q589)</f>
        <v>0.028249708038138</v>
      </c>
      <c r="Z589" s="32" t="n">
        <f aca="false">J589*(INDEX(P_VAL,MATCH("CTRL_AÑO",P_ID,0))*L589+(1-INDEX(PY_VAL,MATCH("P_USADOS",PY_ID,0),9))*M589+INDEX(PY_VAL,MATCH("P_USADOS",PY_ID,0),9)*N589+IF(P589&gt;0,O589/P589,0)+Q589)</f>
        <v>0.028249708038138</v>
      </c>
      <c r="AA589" s="32" t="n">
        <f aca="false">J589*(INDEX(P_VAL,MATCH("CTRL_AÑO",P_ID,0))*L589+(1-INDEX(PY_VAL,MATCH("P_USADOS",PY_ID,0),10))*M589+INDEX(PY_VAL,MATCH("P_USADOS",PY_ID,0),10)*N589+IF(P589&gt;0,O589/P589,0)+Q589)</f>
        <v>0.028249708038138</v>
      </c>
      <c r="AB589" s="5" t="s">
        <v>1346</v>
      </c>
    </row>
    <row r="590" customFormat="false" ht="15" hidden="false" customHeight="false" outlineLevel="0" collapsed="false">
      <c r="A590" s="4" t="s">
        <v>330</v>
      </c>
      <c r="B590" s="4" t="s">
        <v>1352</v>
      </c>
      <c r="C590" s="4" t="s">
        <v>1590</v>
      </c>
      <c r="D590" s="5" t="s">
        <v>1354</v>
      </c>
      <c r="E590" s="32" t="n">
        <v>1</v>
      </c>
      <c r="F590" s="32" t="s">
        <v>82</v>
      </c>
      <c r="G590" s="33" t="s">
        <v>1344</v>
      </c>
      <c r="H590" s="32" t="s">
        <v>1355</v>
      </c>
      <c r="I590" s="32" t="n">
        <v>1</v>
      </c>
      <c r="J590" s="32" t="n">
        <f aca="false">E590*I590</f>
        <v>1</v>
      </c>
      <c r="K590" s="32"/>
      <c r="L590" s="32" t="n">
        <v>0</v>
      </c>
      <c r="M590" s="32" t="n">
        <v>1</v>
      </c>
      <c r="N590" s="32" t="n">
        <v>1</v>
      </c>
      <c r="O590" s="32" t="n">
        <v>0</v>
      </c>
      <c r="P590" s="32" t="n">
        <v>5</v>
      </c>
      <c r="Q590" s="32" t="n">
        <v>0</v>
      </c>
      <c r="R590" s="32" t="n">
        <f aca="false">J590*(INDEX(P_VAL,MATCH("CTRL_AÑO",P_ID,0))*L590+(1-INDEX(PY_VAL,MATCH("P_USADOS",PY_ID,0),1))*M590+INDEX(PY_VAL,MATCH("P_USADOS",PY_ID,0),1)*N590+IF(P590&gt;0,O590/P590,0)+Q590)</f>
        <v>1</v>
      </c>
      <c r="S590" s="32" t="n">
        <f aca="false">J590*(INDEX(P_VAL,MATCH("CTRL_AÑO",P_ID,0))*L590+(1-INDEX(PY_VAL,MATCH("P_USADOS",PY_ID,0),2))*M590+INDEX(PY_VAL,MATCH("P_USADOS",PY_ID,0),2)*N590+IF(P590&gt;0,O590/P590,0)+Q590)</f>
        <v>1</v>
      </c>
      <c r="T590" s="32" t="n">
        <f aca="false">J590*(INDEX(P_VAL,MATCH("CTRL_AÑO",P_ID,0))*L590+(1-INDEX(PY_VAL,MATCH("P_USADOS",PY_ID,0),3))*M590+INDEX(PY_VAL,MATCH("P_USADOS",PY_ID,0),3)*N590+IF(P590&gt;0,O590/P590,0)+Q590)</f>
        <v>1</v>
      </c>
      <c r="U590" s="32" t="n">
        <f aca="false">J590*(INDEX(P_VAL,MATCH("CTRL_AÑO",P_ID,0))*L590+(1-INDEX(PY_VAL,MATCH("P_USADOS",PY_ID,0),4))*M590+INDEX(PY_VAL,MATCH("P_USADOS",PY_ID,0),4)*N590+IF(P590&gt;0,O590/P590,0)+Q590)</f>
        <v>1</v>
      </c>
      <c r="V590" s="32" t="n">
        <f aca="false">J590*(INDEX(P_VAL,MATCH("CTRL_AÑO",P_ID,0))*L590+(1-INDEX(PY_VAL,MATCH("P_USADOS",PY_ID,0),5))*M590+INDEX(PY_VAL,MATCH("P_USADOS",PY_ID,0),5)*N590+IF(P590&gt;0,O590/P590,0)+Q590)</f>
        <v>1</v>
      </c>
      <c r="W590" s="32" t="n">
        <f aca="false">J590*(INDEX(P_VAL,MATCH("CTRL_AÑO",P_ID,0))*L590+(1-INDEX(PY_VAL,MATCH("P_USADOS",PY_ID,0),6))*M590+INDEX(PY_VAL,MATCH("P_USADOS",PY_ID,0),6)*N590+IF(P590&gt;0,O590/P590,0)+Q590)</f>
        <v>1</v>
      </c>
      <c r="X590" s="32" t="n">
        <f aca="false">J590*(INDEX(P_VAL,MATCH("CTRL_AÑO",P_ID,0))*L590+(1-INDEX(PY_VAL,MATCH("P_USADOS",PY_ID,0),7))*M590+INDEX(PY_VAL,MATCH("P_USADOS",PY_ID,0),7)*N590+IF(P590&gt;0,O590/P590,0)+Q590)</f>
        <v>1</v>
      </c>
      <c r="Y590" s="32" t="n">
        <f aca="false">J590*(INDEX(P_VAL,MATCH("CTRL_AÑO",P_ID,0))*L590+(1-INDEX(PY_VAL,MATCH("P_USADOS",PY_ID,0),8))*M590+INDEX(PY_VAL,MATCH("P_USADOS",PY_ID,0),8)*N590+IF(P590&gt;0,O590/P590,0)+Q590)</f>
        <v>1</v>
      </c>
      <c r="Z590" s="32" t="n">
        <f aca="false">J590*(INDEX(P_VAL,MATCH("CTRL_AÑO",P_ID,0))*L590+(1-INDEX(PY_VAL,MATCH("P_USADOS",PY_ID,0),9))*M590+INDEX(PY_VAL,MATCH("P_USADOS",PY_ID,0),9)*N590+IF(P590&gt;0,O590/P590,0)+Q590)</f>
        <v>1</v>
      </c>
      <c r="AA590" s="32" t="n">
        <f aca="false">J590*(INDEX(P_VAL,MATCH("CTRL_AÑO",P_ID,0))*L590+(1-INDEX(PY_VAL,MATCH("P_USADOS",PY_ID,0),10))*M590+INDEX(PY_VAL,MATCH("P_USADOS",PY_ID,0),10)*N590+IF(P590&gt;0,O590/P590,0)+Q590)</f>
        <v>1</v>
      </c>
      <c r="AB590" s="5" t="s">
        <v>1346</v>
      </c>
    </row>
    <row r="591" customFormat="false" ht="15" hidden="false" customHeight="false" outlineLevel="0" collapsed="false">
      <c r="A591" s="4" t="s">
        <v>330</v>
      </c>
      <c r="B591" s="4" t="s">
        <v>1356</v>
      </c>
      <c r="C591" s="4" t="s">
        <v>1591</v>
      </c>
      <c r="D591" s="5" t="s">
        <v>1358</v>
      </c>
      <c r="E591" s="32" t="n">
        <v>1</v>
      </c>
      <c r="F591" s="32" t="s">
        <v>82</v>
      </c>
      <c r="G591" s="33" t="s">
        <v>1344</v>
      </c>
      <c r="H591" s="32" t="s">
        <v>1359</v>
      </c>
      <c r="I591" s="32" t="n">
        <v>1</v>
      </c>
      <c r="J591" s="32" t="n">
        <f aca="false">E591*I591</f>
        <v>1</v>
      </c>
      <c r="K591" s="32"/>
      <c r="L591" s="32" t="n">
        <v>0</v>
      </c>
      <c r="M591" s="32" t="n">
        <v>1</v>
      </c>
      <c r="N591" s="32" t="n">
        <v>1</v>
      </c>
      <c r="O591" s="32" t="n">
        <v>0</v>
      </c>
      <c r="P591" s="32" t="n">
        <v>5</v>
      </c>
      <c r="Q591" s="32" t="n">
        <v>0</v>
      </c>
      <c r="R591" s="32" t="n">
        <f aca="false">J591*(INDEX(P_VAL,MATCH("CTRL_AÑO",P_ID,0))*L591+(1-INDEX(PY_VAL,MATCH("P_USADOS",PY_ID,0),1))*M591+INDEX(PY_VAL,MATCH("P_USADOS",PY_ID,0),1)*N591+IF(P591&gt;0,O591/P591,0)+Q591)</f>
        <v>1</v>
      </c>
      <c r="S591" s="32" t="n">
        <f aca="false">J591*(INDEX(P_VAL,MATCH("CTRL_AÑO",P_ID,0))*L591+(1-INDEX(PY_VAL,MATCH("P_USADOS",PY_ID,0),2))*M591+INDEX(PY_VAL,MATCH("P_USADOS",PY_ID,0),2)*N591+IF(P591&gt;0,O591/P591,0)+Q591)</f>
        <v>1</v>
      </c>
      <c r="T591" s="32" t="n">
        <f aca="false">J591*(INDEX(P_VAL,MATCH("CTRL_AÑO",P_ID,0))*L591+(1-INDEX(PY_VAL,MATCH("P_USADOS",PY_ID,0),3))*M591+INDEX(PY_VAL,MATCH("P_USADOS",PY_ID,0),3)*N591+IF(P591&gt;0,O591/P591,0)+Q591)</f>
        <v>1</v>
      </c>
      <c r="U591" s="32" t="n">
        <f aca="false">J591*(INDEX(P_VAL,MATCH("CTRL_AÑO",P_ID,0))*L591+(1-INDEX(PY_VAL,MATCH("P_USADOS",PY_ID,0),4))*M591+INDEX(PY_VAL,MATCH("P_USADOS",PY_ID,0),4)*N591+IF(P591&gt;0,O591/P591,0)+Q591)</f>
        <v>1</v>
      </c>
      <c r="V591" s="32" t="n">
        <f aca="false">J591*(INDEX(P_VAL,MATCH("CTRL_AÑO",P_ID,0))*L591+(1-INDEX(PY_VAL,MATCH("P_USADOS",PY_ID,0),5))*M591+INDEX(PY_VAL,MATCH("P_USADOS",PY_ID,0),5)*N591+IF(P591&gt;0,O591/P591,0)+Q591)</f>
        <v>1</v>
      </c>
      <c r="W591" s="32" t="n">
        <f aca="false">J591*(INDEX(P_VAL,MATCH("CTRL_AÑO",P_ID,0))*L591+(1-INDEX(PY_VAL,MATCH("P_USADOS",PY_ID,0),6))*M591+INDEX(PY_VAL,MATCH("P_USADOS",PY_ID,0),6)*N591+IF(P591&gt;0,O591/P591,0)+Q591)</f>
        <v>1</v>
      </c>
      <c r="X591" s="32" t="n">
        <f aca="false">J591*(INDEX(P_VAL,MATCH("CTRL_AÑO",P_ID,0))*L591+(1-INDEX(PY_VAL,MATCH("P_USADOS",PY_ID,0),7))*M591+INDEX(PY_VAL,MATCH("P_USADOS",PY_ID,0),7)*N591+IF(P591&gt;0,O591/P591,0)+Q591)</f>
        <v>1</v>
      </c>
      <c r="Y591" s="32" t="n">
        <f aca="false">J591*(INDEX(P_VAL,MATCH("CTRL_AÑO",P_ID,0))*L591+(1-INDEX(PY_VAL,MATCH("P_USADOS",PY_ID,0),8))*M591+INDEX(PY_VAL,MATCH("P_USADOS",PY_ID,0),8)*N591+IF(P591&gt;0,O591/P591,0)+Q591)</f>
        <v>1</v>
      </c>
      <c r="Z591" s="32" t="n">
        <f aca="false">J591*(INDEX(P_VAL,MATCH("CTRL_AÑO",P_ID,0))*L591+(1-INDEX(PY_VAL,MATCH("P_USADOS",PY_ID,0),9))*M591+INDEX(PY_VAL,MATCH("P_USADOS",PY_ID,0),9)*N591+IF(P591&gt;0,O591/P591,0)+Q591)</f>
        <v>1</v>
      </c>
      <c r="AA591" s="32" t="n">
        <f aca="false">J591*(INDEX(P_VAL,MATCH("CTRL_AÑO",P_ID,0))*L591+(1-INDEX(PY_VAL,MATCH("P_USADOS",PY_ID,0),10))*M591+INDEX(PY_VAL,MATCH("P_USADOS",PY_ID,0),10)*N591+IF(P591&gt;0,O591/P591,0)+Q591)</f>
        <v>1</v>
      </c>
      <c r="AB591" s="5" t="s">
        <v>1346</v>
      </c>
    </row>
    <row r="592" customFormat="false" ht="15" hidden="false" customHeight="false" outlineLevel="0" collapsed="false">
      <c r="A592" s="4" t="s">
        <v>330</v>
      </c>
      <c r="B592" s="4" t="s">
        <v>1360</v>
      </c>
      <c r="C592" s="4" t="s">
        <v>1592</v>
      </c>
      <c r="D592" s="5" t="s">
        <v>1362</v>
      </c>
      <c r="E592" s="32" t="n">
        <v>1</v>
      </c>
      <c r="F592" s="32" t="s">
        <v>82</v>
      </c>
      <c r="G592" s="33" t="s">
        <v>1344</v>
      </c>
      <c r="H592" s="32" t="s">
        <v>1363</v>
      </c>
      <c r="I592" s="32" t="n">
        <v>1</v>
      </c>
      <c r="J592" s="32" t="n">
        <f aca="false">E592*I592</f>
        <v>1</v>
      </c>
      <c r="K592" s="32"/>
      <c r="L592" s="32" t="n">
        <v>0</v>
      </c>
      <c r="M592" s="32" t="n">
        <v>1</v>
      </c>
      <c r="N592" s="32" t="n">
        <v>1</v>
      </c>
      <c r="O592" s="32" t="n">
        <v>0</v>
      </c>
      <c r="P592" s="32" t="n">
        <v>5</v>
      </c>
      <c r="Q592" s="32" t="n">
        <v>0</v>
      </c>
      <c r="R592" s="32" t="n">
        <f aca="false">J592*(INDEX(P_VAL,MATCH("CTRL_AÑO",P_ID,0))*L592+(1-INDEX(PY_VAL,MATCH("P_USADOS",PY_ID,0),1))*M592+INDEX(PY_VAL,MATCH("P_USADOS",PY_ID,0),1)*N592+IF(P592&gt;0,O592/P592,0)+Q592)</f>
        <v>1</v>
      </c>
      <c r="S592" s="32" t="n">
        <f aca="false">J592*(INDEX(P_VAL,MATCH("CTRL_AÑO",P_ID,0))*L592+(1-INDEX(PY_VAL,MATCH("P_USADOS",PY_ID,0),2))*M592+INDEX(PY_VAL,MATCH("P_USADOS",PY_ID,0),2)*N592+IF(P592&gt;0,O592/P592,0)+Q592)</f>
        <v>1</v>
      </c>
      <c r="T592" s="32" t="n">
        <f aca="false">J592*(INDEX(P_VAL,MATCH("CTRL_AÑO",P_ID,0))*L592+(1-INDEX(PY_VAL,MATCH("P_USADOS",PY_ID,0),3))*M592+INDEX(PY_VAL,MATCH("P_USADOS",PY_ID,0),3)*N592+IF(P592&gt;0,O592/P592,0)+Q592)</f>
        <v>1</v>
      </c>
      <c r="U592" s="32" t="n">
        <f aca="false">J592*(INDEX(P_VAL,MATCH("CTRL_AÑO",P_ID,0))*L592+(1-INDEX(PY_VAL,MATCH("P_USADOS",PY_ID,0),4))*M592+INDEX(PY_VAL,MATCH("P_USADOS",PY_ID,0),4)*N592+IF(P592&gt;0,O592/P592,0)+Q592)</f>
        <v>1</v>
      </c>
      <c r="V592" s="32" t="n">
        <f aca="false">J592*(INDEX(P_VAL,MATCH("CTRL_AÑO",P_ID,0))*L592+(1-INDEX(PY_VAL,MATCH("P_USADOS",PY_ID,0),5))*M592+INDEX(PY_VAL,MATCH("P_USADOS",PY_ID,0),5)*N592+IF(P592&gt;0,O592/P592,0)+Q592)</f>
        <v>1</v>
      </c>
      <c r="W592" s="32" t="n">
        <f aca="false">J592*(INDEX(P_VAL,MATCH("CTRL_AÑO",P_ID,0))*L592+(1-INDEX(PY_VAL,MATCH("P_USADOS",PY_ID,0),6))*M592+INDEX(PY_VAL,MATCH("P_USADOS",PY_ID,0),6)*N592+IF(P592&gt;0,O592/P592,0)+Q592)</f>
        <v>1</v>
      </c>
      <c r="X592" s="32" t="n">
        <f aca="false">J592*(INDEX(P_VAL,MATCH("CTRL_AÑO",P_ID,0))*L592+(1-INDEX(PY_VAL,MATCH("P_USADOS",PY_ID,0),7))*M592+INDEX(PY_VAL,MATCH("P_USADOS",PY_ID,0),7)*N592+IF(P592&gt;0,O592/P592,0)+Q592)</f>
        <v>1</v>
      </c>
      <c r="Y592" s="32" t="n">
        <f aca="false">J592*(INDEX(P_VAL,MATCH("CTRL_AÑO",P_ID,0))*L592+(1-INDEX(PY_VAL,MATCH("P_USADOS",PY_ID,0),8))*M592+INDEX(PY_VAL,MATCH("P_USADOS",PY_ID,0),8)*N592+IF(P592&gt;0,O592/P592,0)+Q592)</f>
        <v>1</v>
      </c>
      <c r="Z592" s="32" t="n">
        <f aca="false">J592*(INDEX(P_VAL,MATCH("CTRL_AÑO",P_ID,0))*L592+(1-INDEX(PY_VAL,MATCH("P_USADOS",PY_ID,0),9))*M592+INDEX(PY_VAL,MATCH("P_USADOS",PY_ID,0),9)*N592+IF(P592&gt;0,O592/P592,0)+Q592)</f>
        <v>1</v>
      </c>
      <c r="AA592" s="32" t="n">
        <f aca="false">J592*(INDEX(P_VAL,MATCH("CTRL_AÑO",P_ID,0))*L592+(1-INDEX(PY_VAL,MATCH("P_USADOS",PY_ID,0),10))*M592+INDEX(PY_VAL,MATCH("P_USADOS",PY_ID,0),10)*N592+IF(P592&gt;0,O592/P592,0)+Q592)</f>
        <v>1</v>
      </c>
      <c r="AB592" s="5" t="s">
        <v>1346</v>
      </c>
    </row>
    <row r="593" customFormat="false" ht="15" hidden="false" customHeight="false" outlineLevel="0" collapsed="false">
      <c r="A593" s="4" t="s">
        <v>330</v>
      </c>
      <c r="B593" s="4" t="s">
        <v>1364</v>
      </c>
      <c r="C593" s="4" t="s">
        <v>1593</v>
      </c>
      <c r="D593" s="5" t="s">
        <v>1366</v>
      </c>
      <c r="E593" s="32" t="n">
        <v>1</v>
      </c>
      <c r="F593" s="32" t="s">
        <v>82</v>
      </c>
      <c r="G593" s="33" t="s">
        <v>1344</v>
      </c>
      <c r="H593" s="32" t="s">
        <v>1367</v>
      </c>
      <c r="I593" s="32" t="n">
        <v>1</v>
      </c>
      <c r="J593" s="32" t="n">
        <f aca="false">E593*I593</f>
        <v>1</v>
      </c>
      <c r="K593" s="32" t="s">
        <v>582</v>
      </c>
      <c r="L593" s="32" t="n">
        <v>0</v>
      </c>
      <c r="M593" s="32" t="n">
        <v>1</v>
      </c>
      <c r="N593" s="32" t="n">
        <v>1</v>
      </c>
      <c r="O593" s="32" t="n">
        <v>0</v>
      </c>
      <c r="P593" s="32" t="n">
        <v>5</v>
      </c>
      <c r="Q593" s="32" t="n">
        <v>0</v>
      </c>
      <c r="R593" s="32" t="n">
        <f aca="false">J593*(INDEX(P_VAL,MATCH("CTRL_AÑO",P_ID,0))*L593+(1-INDEX(PY_VAL,MATCH("P_USADOS",PY_ID,0),1))*M593+INDEX(PY_VAL,MATCH("P_USADOS",PY_ID,0),1)*N593+IF(P593&gt;0,O593/P593,0)+Q593)</f>
        <v>1</v>
      </c>
      <c r="S593" s="32" t="n">
        <f aca="false">J593*(INDEX(P_VAL,MATCH("CTRL_AÑO",P_ID,0))*L593+(1-INDEX(PY_VAL,MATCH("P_USADOS",PY_ID,0),2))*M593+INDEX(PY_VAL,MATCH("P_USADOS",PY_ID,0),2)*N593+IF(P593&gt;0,O593/P593,0)+Q593)</f>
        <v>1</v>
      </c>
      <c r="T593" s="32" t="n">
        <f aca="false">J593*(INDEX(P_VAL,MATCH("CTRL_AÑO",P_ID,0))*L593+(1-INDEX(PY_VAL,MATCH("P_USADOS",PY_ID,0),3))*M593+INDEX(PY_VAL,MATCH("P_USADOS",PY_ID,0),3)*N593+IF(P593&gt;0,O593/P593,0)+Q593)</f>
        <v>1</v>
      </c>
      <c r="U593" s="32" t="n">
        <f aca="false">J593*(INDEX(P_VAL,MATCH("CTRL_AÑO",P_ID,0))*L593+(1-INDEX(PY_VAL,MATCH("P_USADOS",PY_ID,0),4))*M593+INDEX(PY_VAL,MATCH("P_USADOS",PY_ID,0),4)*N593+IF(P593&gt;0,O593/P593,0)+Q593)</f>
        <v>1</v>
      </c>
      <c r="V593" s="32" t="n">
        <f aca="false">J593*(INDEX(P_VAL,MATCH("CTRL_AÑO",P_ID,0))*L593+(1-INDEX(PY_VAL,MATCH("P_USADOS",PY_ID,0),5))*M593+INDEX(PY_VAL,MATCH("P_USADOS",PY_ID,0),5)*N593+IF(P593&gt;0,O593/P593,0)+Q593)</f>
        <v>1</v>
      </c>
      <c r="W593" s="32" t="n">
        <f aca="false">J593*(INDEX(P_VAL,MATCH("CTRL_AÑO",P_ID,0))*L593+(1-INDEX(PY_VAL,MATCH("P_USADOS",PY_ID,0),6))*M593+INDEX(PY_VAL,MATCH("P_USADOS",PY_ID,0),6)*N593+IF(P593&gt;0,O593/P593,0)+Q593)</f>
        <v>1</v>
      </c>
      <c r="X593" s="32" t="n">
        <f aca="false">J593*(INDEX(P_VAL,MATCH("CTRL_AÑO",P_ID,0))*L593+(1-INDEX(PY_VAL,MATCH("P_USADOS",PY_ID,0),7))*M593+INDEX(PY_VAL,MATCH("P_USADOS",PY_ID,0),7)*N593+IF(P593&gt;0,O593/P593,0)+Q593)</f>
        <v>1</v>
      </c>
      <c r="Y593" s="32" t="n">
        <f aca="false">J593*(INDEX(P_VAL,MATCH("CTRL_AÑO",P_ID,0))*L593+(1-INDEX(PY_VAL,MATCH("P_USADOS",PY_ID,0),8))*M593+INDEX(PY_VAL,MATCH("P_USADOS",PY_ID,0),8)*N593+IF(P593&gt;0,O593/P593,0)+Q593)</f>
        <v>1</v>
      </c>
      <c r="Z593" s="32" t="n">
        <f aca="false">J593*(INDEX(P_VAL,MATCH("CTRL_AÑO",P_ID,0))*L593+(1-INDEX(PY_VAL,MATCH("P_USADOS",PY_ID,0),9))*M593+INDEX(PY_VAL,MATCH("P_USADOS",PY_ID,0),9)*N593+IF(P593&gt;0,O593/P593,0)+Q593)</f>
        <v>1</v>
      </c>
      <c r="AA593" s="32" t="n">
        <f aca="false">J593*(INDEX(P_VAL,MATCH("CTRL_AÑO",P_ID,0))*L593+(1-INDEX(PY_VAL,MATCH("P_USADOS",PY_ID,0),10))*M593+INDEX(PY_VAL,MATCH("P_USADOS",PY_ID,0),10)*N593+IF(P593&gt;0,O593/P593,0)+Q593)</f>
        <v>1</v>
      </c>
      <c r="AB593" s="5" t="s">
        <v>1346</v>
      </c>
    </row>
    <row r="594" customFormat="false" ht="15" hidden="false" customHeight="false" outlineLevel="0" collapsed="false">
      <c r="A594" s="4" t="s">
        <v>330</v>
      </c>
      <c r="B594" s="4" t="s">
        <v>1368</v>
      </c>
      <c r="C594" s="4" t="s">
        <v>1594</v>
      </c>
      <c r="D594" s="5" t="s">
        <v>1370</v>
      </c>
      <c r="E594" s="32" t="n">
        <v>1</v>
      </c>
      <c r="F594" s="32" t="s">
        <v>82</v>
      </c>
      <c r="G594" s="33" t="s">
        <v>1344</v>
      </c>
      <c r="H594" s="32" t="s">
        <v>1371</v>
      </c>
      <c r="I594" s="32" t="n">
        <v>1</v>
      </c>
      <c r="J594" s="32" t="n">
        <f aca="false">E594*I594</f>
        <v>1</v>
      </c>
      <c r="K594" s="32" t="s">
        <v>582</v>
      </c>
      <c r="L594" s="32" t="n">
        <v>0</v>
      </c>
      <c r="M594" s="32" t="n">
        <v>1</v>
      </c>
      <c r="N594" s="32" t="n">
        <v>1</v>
      </c>
      <c r="O594" s="32" t="n">
        <v>0</v>
      </c>
      <c r="P594" s="32" t="n">
        <v>5</v>
      </c>
      <c r="Q594" s="32" t="n">
        <v>0</v>
      </c>
      <c r="R594" s="32" t="n">
        <f aca="false">J594*(INDEX(P_VAL,MATCH("CTRL_AÑO",P_ID,0))*L594+(1-INDEX(PY_VAL,MATCH("P_USADOS",PY_ID,0),1))*M594+INDEX(PY_VAL,MATCH("P_USADOS",PY_ID,0),1)*N594+IF(P594&gt;0,O594/P594,0)+Q594)</f>
        <v>1</v>
      </c>
      <c r="S594" s="32" t="n">
        <f aca="false">J594*(INDEX(P_VAL,MATCH("CTRL_AÑO",P_ID,0))*L594+(1-INDEX(PY_VAL,MATCH("P_USADOS",PY_ID,0),2))*M594+INDEX(PY_VAL,MATCH("P_USADOS",PY_ID,0),2)*N594+IF(P594&gt;0,O594/P594,0)+Q594)</f>
        <v>1</v>
      </c>
      <c r="T594" s="32" t="n">
        <f aca="false">J594*(INDEX(P_VAL,MATCH("CTRL_AÑO",P_ID,0))*L594+(1-INDEX(PY_VAL,MATCH("P_USADOS",PY_ID,0),3))*M594+INDEX(PY_VAL,MATCH("P_USADOS",PY_ID,0),3)*N594+IF(P594&gt;0,O594/P594,0)+Q594)</f>
        <v>1</v>
      </c>
      <c r="U594" s="32" t="n">
        <f aca="false">J594*(INDEX(P_VAL,MATCH("CTRL_AÑO",P_ID,0))*L594+(1-INDEX(PY_VAL,MATCH("P_USADOS",PY_ID,0),4))*M594+INDEX(PY_VAL,MATCH("P_USADOS",PY_ID,0),4)*N594+IF(P594&gt;0,O594/P594,0)+Q594)</f>
        <v>1</v>
      </c>
      <c r="V594" s="32" t="n">
        <f aca="false">J594*(INDEX(P_VAL,MATCH("CTRL_AÑO",P_ID,0))*L594+(1-INDEX(PY_VAL,MATCH("P_USADOS",PY_ID,0),5))*M594+INDEX(PY_VAL,MATCH("P_USADOS",PY_ID,0),5)*N594+IF(P594&gt;0,O594/P594,0)+Q594)</f>
        <v>1</v>
      </c>
      <c r="W594" s="32" t="n">
        <f aca="false">J594*(INDEX(P_VAL,MATCH("CTRL_AÑO",P_ID,0))*L594+(1-INDEX(PY_VAL,MATCH("P_USADOS",PY_ID,0),6))*M594+INDEX(PY_VAL,MATCH("P_USADOS",PY_ID,0),6)*N594+IF(P594&gt;0,O594/P594,0)+Q594)</f>
        <v>1</v>
      </c>
      <c r="X594" s="32" t="n">
        <f aca="false">J594*(INDEX(P_VAL,MATCH("CTRL_AÑO",P_ID,0))*L594+(1-INDEX(PY_VAL,MATCH("P_USADOS",PY_ID,0),7))*M594+INDEX(PY_VAL,MATCH("P_USADOS",PY_ID,0),7)*N594+IF(P594&gt;0,O594/P594,0)+Q594)</f>
        <v>1</v>
      </c>
      <c r="Y594" s="32" t="n">
        <f aca="false">J594*(INDEX(P_VAL,MATCH("CTRL_AÑO",P_ID,0))*L594+(1-INDEX(PY_VAL,MATCH("P_USADOS",PY_ID,0),8))*M594+INDEX(PY_VAL,MATCH("P_USADOS",PY_ID,0),8)*N594+IF(P594&gt;0,O594/P594,0)+Q594)</f>
        <v>1</v>
      </c>
      <c r="Z594" s="32" t="n">
        <f aca="false">J594*(INDEX(P_VAL,MATCH("CTRL_AÑO",P_ID,0))*L594+(1-INDEX(PY_VAL,MATCH("P_USADOS",PY_ID,0),9))*M594+INDEX(PY_VAL,MATCH("P_USADOS",PY_ID,0),9)*N594+IF(P594&gt;0,O594/P594,0)+Q594)</f>
        <v>1</v>
      </c>
      <c r="AA594" s="32" t="n">
        <f aca="false">J594*(INDEX(P_VAL,MATCH("CTRL_AÑO",P_ID,0))*L594+(1-INDEX(PY_VAL,MATCH("P_USADOS",PY_ID,0),10))*M594+INDEX(PY_VAL,MATCH("P_USADOS",PY_ID,0),10)*N594+IF(P594&gt;0,O594/P594,0)+Q594)</f>
        <v>1</v>
      </c>
      <c r="AB594" s="5" t="s">
        <v>1346</v>
      </c>
    </row>
    <row r="595" customFormat="false" ht="15" hidden="false" customHeight="false" outlineLevel="0" collapsed="false">
      <c r="A595" s="4" t="s">
        <v>330</v>
      </c>
      <c r="B595" s="4" t="s">
        <v>1372</v>
      </c>
      <c r="C595" s="4" t="s">
        <v>1595</v>
      </c>
      <c r="D595" s="5" t="s">
        <v>1374</v>
      </c>
      <c r="E595" s="32" t="n">
        <v>1</v>
      </c>
      <c r="F595" s="32" t="s">
        <v>82</v>
      </c>
      <c r="G595" s="33" t="s">
        <v>1344</v>
      </c>
      <c r="H595" s="32" t="s">
        <v>688</v>
      </c>
      <c r="I595" s="32" t="n">
        <v>1</v>
      </c>
      <c r="J595" s="32" t="n">
        <f aca="false">E595*I595</f>
        <v>1</v>
      </c>
      <c r="K595" s="32" t="s">
        <v>689</v>
      </c>
      <c r="L595" s="32" t="n">
        <v>0</v>
      </c>
      <c r="M595" s="32" t="n">
        <v>1</v>
      </c>
      <c r="N595" s="32" t="n">
        <v>1</v>
      </c>
      <c r="O595" s="32" t="n">
        <v>0</v>
      </c>
      <c r="P595" s="32" t="n">
        <v>5</v>
      </c>
      <c r="Q595" s="32" t="n">
        <v>0</v>
      </c>
      <c r="R595" s="32" t="n">
        <f aca="false">J595*(INDEX(P_VAL,MATCH("CTRL_AÑO",P_ID,0))*L595+(1-INDEX(PY_VAL,MATCH("P_USADOS",PY_ID,0),1))*M595+INDEX(PY_VAL,MATCH("P_USADOS",PY_ID,0),1)*N595+IF(P595&gt;0,O595/P595,0)+Q595)</f>
        <v>1</v>
      </c>
      <c r="S595" s="32" t="n">
        <f aca="false">J595*(INDEX(P_VAL,MATCH("CTRL_AÑO",P_ID,0))*L595+(1-INDEX(PY_VAL,MATCH("P_USADOS",PY_ID,0),2))*M595+INDEX(PY_VAL,MATCH("P_USADOS",PY_ID,0),2)*N595+IF(P595&gt;0,O595/P595,0)+Q595)</f>
        <v>1</v>
      </c>
      <c r="T595" s="32" t="n">
        <f aca="false">J595*(INDEX(P_VAL,MATCH("CTRL_AÑO",P_ID,0))*L595+(1-INDEX(PY_VAL,MATCH("P_USADOS",PY_ID,0),3))*M595+INDEX(PY_VAL,MATCH("P_USADOS",PY_ID,0),3)*N595+IF(P595&gt;0,O595/P595,0)+Q595)</f>
        <v>1</v>
      </c>
      <c r="U595" s="32" t="n">
        <f aca="false">J595*(INDEX(P_VAL,MATCH("CTRL_AÑO",P_ID,0))*L595+(1-INDEX(PY_VAL,MATCH("P_USADOS",PY_ID,0),4))*M595+INDEX(PY_VAL,MATCH("P_USADOS",PY_ID,0),4)*N595+IF(P595&gt;0,O595/P595,0)+Q595)</f>
        <v>1</v>
      </c>
      <c r="V595" s="32" t="n">
        <f aca="false">J595*(INDEX(P_VAL,MATCH("CTRL_AÑO",P_ID,0))*L595+(1-INDEX(PY_VAL,MATCH("P_USADOS",PY_ID,0),5))*M595+INDEX(PY_VAL,MATCH("P_USADOS",PY_ID,0),5)*N595+IF(P595&gt;0,O595/P595,0)+Q595)</f>
        <v>1</v>
      </c>
      <c r="W595" s="32" t="n">
        <f aca="false">J595*(INDEX(P_VAL,MATCH("CTRL_AÑO",P_ID,0))*L595+(1-INDEX(PY_VAL,MATCH("P_USADOS",PY_ID,0),6))*M595+INDEX(PY_VAL,MATCH("P_USADOS",PY_ID,0),6)*N595+IF(P595&gt;0,O595/P595,0)+Q595)</f>
        <v>1</v>
      </c>
      <c r="X595" s="32" t="n">
        <f aca="false">J595*(INDEX(P_VAL,MATCH("CTRL_AÑO",P_ID,0))*L595+(1-INDEX(PY_VAL,MATCH("P_USADOS",PY_ID,0),7))*M595+INDEX(PY_VAL,MATCH("P_USADOS",PY_ID,0),7)*N595+IF(P595&gt;0,O595/P595,0)+Q595)</f>
        <v>1</v>
      </c>
      <c r="Y595" s="32" t="n">
        <f aca="false">J595*(INDEX(P_VAL,MATCH("CTRL_AÑO",P_ID,0))*L595+(1-INDEX(PY_VAL,MATCH("P_USADOS",PY_ID,0),8))*M595+INDEX(PY_VAL,MATCH("P_USADOS",PY_ID,0),8)*N595+IF(P595&gt;0,O595/P595,0)+Q595)</f>
        <v>1</v>
      </c>
      <c r="Z595" s="32" t="n">
        <f aca="false">J595*(INDEX(P_VAL,MATCH("CTRL_AÑO",P_ID,0))*L595+(1-INDEX(PY_VAL,MATCH("P_USADOS",PY_ID,0),9))*M595+INDEX(PY_VAL,MATCH("P_USADOS",PY_ID,0),9)*N595+IF(P595&gt;0,O595/P595,0)+Q595)</f>
        <v>1</v>
      </c>
      <c r="AA595" s="32" t="n">
        <f aca="false">J595*(INDEX(P_VAL,MATCH("CTRL_AÑO",P_ID,0))*L595+(1-INDEX(PY_VAL,MATCH("P_USADOS",PY_ID,0),10))*M595+INDEX(PY_VAL,MATCH("P_USADOS",PY_ID,0),10)*N595+IF(P595&gt;0,O595/P595,0)+Q595)</f>
        <v>1</v>
      </c>
      <c r="AB595" s="5" t="s">
        <v>1346</v>
      </c>
    </row>
    <row r="596" customFormat="false" ht="15" hidden="false" customHeight="false" outlineLevel="0" collapsed="false">
      <c r="A596" s="4" t="s">
        <v>330</v>
      </c>
      <c r="B596" s="4" t="s">
        <v>1375</v>
      </c>
      <c r="C596" s="4" t="s">
        <v>1596</v>
      </c>
      <c r="D596" s="5" t="s">
        <v>1377</v>
      </c>
      <c r="E596" s="32" t="n">
        <v>1</v>
      </c>
      <c r="F596" s="32" t="s">
        <v>82</v>
      </c>
      <c r="G596" s="33" t="s">
        <v>1344</v>
      </c>
      <c r="H596" s="32" t="s">
        <v>1485</v>
      </c>
      <c r="I596" s="32" t="n">
        <v>1</v>
      </c>
      <c r="J596" s="32" t="n">
        <f aca="false">E596*I596</f>
        <v>1</v>
      </c>
      <c r="K596" s="32"/>
      <c r="L596" s="32" t="n">
        <v>0</v>
      </c>
      <c r="M596" s="32" t="n">
        <v>1</v>
      </c>
      <c r="N596" s="32" t="n">
        <v>1</v>
      </c>
      <c r="O596" s="32" t="n">
        <v>0</v>
      </c>
      <c r="P596" s="32" t="n">
        <v>5</v>
      </c>
      <c r="Q596" s="32" t="n">
        <v>0</v>
      </c>
      <c r="R596" s="32" t="n">
        <f aca="false">J596*(INDEX(P_VAL,MATCH("CTRL_AÑO",P_ID,0))*L596+(1-INDEX(PY_VAL,MATCH("P_USADOS",PY_ID,0),1))*M596+INDEX(PY_VAL,MATCH("P_USADOS",PY_ID,0),1)*N596+IF(P596&gt;0,O596/P596,0)+Q596)</f>
        <v>1</v>
      </c>
      <c r="S596" s="32" t="n">
        <f aca="false">J596*(INDEX(P_VAL,MATCH("CTRL_AÑO",P_ID,0))*L596+(1-INDEX(PY_VAL,MATCH("P_USADOS",PY_ID,0),2))*M596+INDEX(PY_VAL,MATCH("P_USADOS",PY_ID,0),2)*N596+IF(P596&gt;0,O596/P596,0)+Q596)</f>
        <v>1</v>
      </c>
      <c r="T596" s="32" t="n">
        <f aca="false">J596*(INDEX(P_VAL,MATCH("CTRL_AÑO",P_ID,0))*L596+(1-INDEX(PY_VAL,MATCH("P_USADOS",PY_ID,0),3))*M596+INDEX(PY_VAL,MATCH("P_USADOS",PY_ID,0),3)*N596+IF(P596&gt;0,O596/P596,0)+Q596)</f>
        <v>1</v>
      </c>
      <c r="U596" s="32" t="n">
        <f aca="false">J596*(INDEX(P_VAL,MATCH("CTRL_AÑO",P_ID,0))*L596+(1-INDEX(PY_VAL,MATCH("P_USADOS",PY_ID,0),4))*M596+INDEX(PY_VAL,MATCH("P_USADOS",PY_ID,0),4)*N596+IF(P596&gt;0,O596/P596,0)+Q596)</f>
        <v>1</v>
      </c>
      <c r="V596" s="32" t="n">
        <f aca="false">J596*(INDEX(P_VAL,MATCH("CTRL_AÑO",P_ID,0))*L596+(1-INDEX(PY_VAL,MATCH("P_USADOS",PY_ID,0),5))*M596+INDEX(PY_VAL,MATCH("P_USADOS",PY_ID,0),5)*N596+IF(P596&gt;0,O596/P596,0)+Q596)</f>
        <v>1</v>
      </c>
      <c r="W596" s="32" t="n">
        <f aca="false">J596*(INDEX(P_VAL,MATCH("CTRL_AÑO",P_ID,0))*L596+(1-INDEX(PY_VAL,MATCH("P_USADOS",PY_ID,0),6))*M596+INDEX(PY_VAL,MATCH("P_USADOS",PY_ID,0),6)*N596+IF(P596&gt;0,O596/P596,0)+Q596)</f>
        <v>1</v>
      </c>
      <c r="X596" s="32" t="n">
        <f aca="false">J596*(INDEX(P_VAL,MATCH("CTRL_AÑO",P_ID,0))*L596+(1-INDEX(PY_VAL,MATCH("P_USADOS",PY_ID,0),7))*M596+INDEX(PY_VAL,MATCH("P_USADOS",PY_ID,0),7)*N596+IF(P596&gt;0,O596/P596,0)+Q596)</f>
        <v>1</v>
      </c>
      <c r="Y596" s="32" t="n">
        <f aca="false">J596*(INDEX(P_VAL,MATCH("CTRL_AÑO",P_ID,0))*L596+(1-INDEX(PY_VAL,MATCH("P_USADOS",PY_ID,0),8))*M596+INDEX(PY_VAL,MATCH("P_USADOS",PY_ID,0),8)*N596+IF(P596&gt;0,O596/P596,0)+Q596)</f>
        <v>1</v>
      </c>
      <c r="Z596" s="32" t="n">
        <f aca="false">J596*(INDEX(P_VAL,MATCH("CTRL_AÑO",P_ID,0))*L596+(1-INDEX(PY_VAL,MATCH("P_USADOS",PY_ID,0),9))*M596+INDEX(PY_VAL,MATCH("P_USADOS",PY_ID,0),9)*N596+IF(P596&gt;0,O596/P596,0)+Q596)</f>
        <v>1</v>
      </c>
      <c r="AA596" s="32" t="n">
        <f aca="false">J596*(INDEX(P_VAL,MATCH("CTRL_AÑO",P_ID,0))*L596+(1-INDEX(PY_VAL,MATCH("P_USADOS",PY_ID,0),10))*M596+INDEX(PY_VAL,MATCH("P_USADOS",PY_ID,0),10)*N596+IF(P596&gt;0,O596/P596,0)+Q596)</f>
        <v>1</v>
      </c>
      <c r="AB596" s="5" t="s">
        <v>1346</v>
      </c>
    </row>
    <row r="597" customFormat="false" ht="15" hidden="false" customHeight="false" outlineLevel="0" collapsed="false">
      <c r="A597" s="4" t="s">
        <v>330</v>
      </c>
      <c r="B597" s="4" t="s">
        <v>1378</v>
      </c>
      <c r="C597" s="4" t="s">
        <v>1597</v>
      </c>
      <c r="D597" s="5" t="s">
        <v>1380</v>
      </c>
      <c r="E597" s="32" t="n">
        <v>1</v>
      </c>
      <c r="F597" s="32" t="s">
        <v>82</v>
      </c>
      <c r="G597" s="33" t="s">
        <v>1344</v>
      </c>
      <c r="H597" s="32" t="s">
        <v>1381</v>
      </c>
      <c r="I597" s="32" t="n">
        <v>1</v>
      </c>
      <c r="J597" s="32" t="n">
        <f aca="false">E597*I597</f>
        <v>1</v>
      </c>
      <c r="K597" s="32"/>
      <c r="L597" s="32" t="n">
        <v>0</v>
      </c>
      <c r="M597" s="32" t="n">
        <v>0</v>
      </c>
      <c r="N597" s="32" t="n">
        <v>0</v>
      </c>
      <c r="O597" s="32" t="n">
        <v>1</v>
      </c>
      <c r="P597" s="32" t="n">
        <v>5</v>
      </c>
      <c r="Q597" s="32" t="n">
        <v>0</v>
      </c>
      <c r="R597" s="32" t="n">
        <f aca="false">J597*(INDEX(P_VAL,MATCH("CTRL_AÑO",P_ID,0))*L597+(1-INDEX(PY_VAL,MATCH("P_USADOS",PY_ID,0),1))*M597+INDEX(PY_VAL,MATCH("P_USADOS",PY_ID,0),1)*N597+IF(P597&gt;0,O597/P597,0)+Q597)</f>
        <v>0.2</v>
      </c>
      <c r="S597" s="32" t="n">
        <f aca="false">J597*(INDEX(P_VAL,MATCH("CTRL_AÑO",P_ID,0))*L597+(1-INDEX(PY_VAL,MATCH("P_USADOS",PY_ID,0),2))*M597+INDEX(PY_VAL,MATCH("P_USADOS",PY_ID,0),2)*N597+IF(P597&gt;0,O597/P597,0)+Q597)</f>
        <v>0.2</v>
      </c>
      <c r="T597" s="32" t="n">
        <f aca="false">J597*(INDEX(P_VAL,MATCH("CTRL_AÑO",P_ID,0))*L597+(1-INDEX(PY_VAL,MATCH("P_USADOS",PY_ID,0),3))*M597+INDEX(PY_VAL,MATCH("P_USADOS",PY_ID,0),3)*N597+IF(P597&gt;0,O597/P597,0)+Q597)</f>
        <v>0.2</v>
      </c>
      <c r="U597" s="32" t="n">
        <f aca="false">J597*(INDEX(P_VAL,MATCH("CTRL_AÑO",P_ID,0))*L597+(1-INDEX(PY_VAL,MATCH("P_USADOS",PY_ID,0),4))*M597+INDEX(PY_VAL,MATCH("P_USADOS",PY_ID,0),4)*N597+IF(P597&gt;0,O597/P597,0)+Q597)</f>
        <v>0.2</v>
      </c>
      <c r="V597" s="32" t="n">
        <f aca="false">J597*(INDEX(P_VAL,MATCH("CTRL_AÑO",P_ID,0))*L597+(1-INDEX(PY_VAL,MATCH("P_USADOS",PY_ID,0),5))*M597+INDEX(PY_VAL,MATCH("P_USADOS",PY_ID,0),5)*N597+IF(P597&gt;0,O597/P597,0)+Q597)</f>
        <v>0.2</v>
      </c>
      <c r="W597" s="32" t="n">
        <f aca="false">J597*(INDEX(P_VAL,MATCH("CTRL_AÑO",P_ID,0))*L597+(1-INDEX(PY_VAL,MATCH("P_USADOS",PY_ID,0),6))*M597+INDEX(PY_VAL,MATCH("P_USADOS",PY_ID,0),6)*N597+IF(P597&gt;0,O597/P597,0)+Q597)</f>
        <v>0.2</v>
      </c>
      <c r="X597" s="32" t="n">
        <f aca="false">J597*(INDEX(P_VAL,MATCH("CTRL_AÑO",P_ID,0))*L597+(1-INDEX(PY_VAL,MATCH("P_USADOS",PY_ID,0),7))*M597+INDEX(PY_VAL,MATCH("P_USADOS",PY_ID,0),7)*N597+IF(P597&gt;0,O597/P597,0)+Q597)</f>
        <v>0.2</v>
      </c>
      <c r="Y597" s="32" t="n">
        <f aca="false">J597*(INDEX(P_VAL,MATCH("CTRL_AÑO",P_ID,0))*L597+(1-INDEX(PY_VAL,MATCH("P_USADOS",PY_ID,0),8))*M597+INDEX(PY_VAL,MATCH("P_USADOS",PY_ID,0),8)*N597+IF(P597&gt;0,O597/P597,0)+Q597)</f>
        <v>0.2</v>
      </c>
      <c r="Z597" s="32" t="n">
        <f aca="false">J597*(INDEX(P_VAL,MATCH("CTRL_AÑO",P_ID,0))*L597+(1-INDEX(PY_VAL,MATCH("P_USADOS",PY_ID,0),9))*M597+INDEX(PY_VAL,MATCH("P_USADOS",PY_ID,0),9)*N597+IF(P597&gt;0,O597/P597,0)+Q597)</f>
        <v>0.2</v>
      </c>
      <c r="AA597" s="32" t="n">
        <f aca="false">J597*(INDEX(P_VAL,MATCH("CTRL_AÑO",P_ID,0))*L597+(1-INDEX(PY_VAL,MATCH("P_USADOS",PY_ID,0),10))*M597+INDEX(PY_VAL,MATCH("P_USADOS",PY_ID,0),10)*N597+IF(P597&gt;0,O597/P597,0)+Q597)</f>
        <v>0.2</v>
      </c>
      <c r="AB597" s="5" t="s">
        <v>1346</v>
      </c>
    </row>
    <row r="598" customFormat="false" ht="15" hidden="false" customHeight="false" outlineLevel="0" collapsed="false">
      <c r="A598" s="4" t="s">
        <v>330</v>
      </c>
      <c r="B598" s="4" t="s">
        <v>1382</v>
      </c>
      <c r="C598" s="4" t="s">
        <v>1598</v>
      </c>
      <c r="D598" s="5" t="s">
        <v>1599</v>
      </c>
      <c r="E598" s="32" t="n">
        <v>1</v>
      </c>
      <c r="F598" s="32" t="s">
        <v>73</v>
      </c>
      <c r="G598" s="33" t="s">
        <v>1385</v>
      </c>
      <c r="H598" s="32"/>
      <c r="I598" s="32"/>
      <c r="J598" s="32"/>
      <c r="K598" s="32"/>
      <c r="L598" s="32" t="n">
        <v>0</v>
      </c>
      <c r="M598" s="32" t="n">
        <v>0</v>
      </c>
      <c r="N598" s="32" t="n">
        <v>0</v>
      </c>
      <c r="O598" s="32" t="n">
        <v>0</v>
      </c>
      <c r="P598" s="32" t="n">
        <v>0</v>
      </c>
      <c r="Q598" s="32" t="n">
        <v>0</v>
      </c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5" t="s">
        <v>1386</v>
      </c>
    </row>
    <row r="599" customFormat="false" ht="15" hidden="false" customHeight="false" outlineLevel="0" collapsed="false">
      <c r="A599" s="4" t="s">
        <v>333</v>
      </c>
      <c r="B599" s="4" t="s">
        <v>1341</v>
      </c>
      <c r="C599" s="4" t="s">
        <v>1600</v>
      </c>
      <c r="D599" s="5" t="s">
        <v>1343</v>
      </c>
      <c r="E599" s="32" t="n">
        <v>1</v>
      </c>
      <c r="F599" s="32" t="s">
        <v>82</v>
      </c>
      <c r="G599" s="33" t="s">
        <v>1344</v>
      </c>
      <c r="H599" s="32" t="s">
        <v>1345</v>
      </c>
      <c r="I599" s="32" t="n">
        <v>1</v>
      </c>
      <c r="J599" s="32" t="n">
        <f aca="false">E599*I599</f>
        <v>1</v>
      </c>
      <c r="K599" s="32"/>
      <c r="L599" s="32" t="n">
        <v>1</v>
      </c>
      <c r="M599" s="32" t="n">
        <v>0</v>
      </c>
      <c r="N599" s="32" t="n">
        <v>0</v>
      </c>
      <c r="O599" s="32" t="n">
        <v>0</v>
      </c>
      <c r="P599" s="32" t="n">
        <v>5</v>
      </c>
      <c r="Q599" s="32" t="n">
        <v>0</v>
      </c>
      <c r="R599" s="32" t="n">
        <f aca="false">J599*(INDEX(P_VAL,MATCH("CTRL_AÑO",P_ID,0))*L599+(1-INDEX(PY_VAL,MATCH("P_USADOS",PY_ID,0),1))*M599+INDEX(PY_VAL,MATCH("P_USADOS",PY_ID,0),1)*N599+IF(P599&gt;0,O599/P599,0)+Q599)</f>
        <v>4</v>
      </c>
      <c r="S599" s="32" t="n">
        <f aca="false">J599*(INDEX(P_VAL,MATCH("CTRL_AÑO",P_ID,0))*L599+(1-INDEX(PY_VAL,MATCH("P_USADOS",PY_ID,0),2))*M599+INDEX(PY_VAL,MATCH("P_USADOS",PY_ID,0),2)*N599+IF(P599&gt;0,O599/P599,0)+Q599)</f>
        <v>4</v>
      </c>
      <c r="T599" s="32" t="n">
        <f aca="false">J599*(INDEX(P_VAL,MATCH("CTRL_AÑO",P_ID,0))*L599+(1-INDEX(PY_VAL,MATCH("P_USADOS",PY_ID,0),3))*M599+INDEX(PY_VAL,MATCH("P_USADOS",PY_ID,0),3)*N599+IF(P599&gt;0,O599/P599,0)+Q599)</f>
        <v>4</v>
      </c>
      <c r="U599" s="32" t="n">
        <f aca="false">J599*(INDEX(P_VAL,MATCH("CTRL_AÑO",P_ID,0))*L599+(1-INDEX(PY_VAL,MATCH("P_USADOS",PY_ID,0),4))*M599+INDEX(PY_VAL,MATCH("P_USADOS",PY_ID,0),4)*N599+IF(P599&gt;0,O599/P599,0)+Q599)</f>
        <v>4</v>
      </c>
      <c r="V599" s="32" t="n">
        <f aca="false">J599*(INDEX(P_VAL,MATCH("CTRL_AÑO",P_ID,0))*L599+(1-INDEX(PY_VAL,MATCH("P_USADOS",PY_ID,0),5))*M599+INDEX(PY_VAL,MATCH("P_USADOS",PY_ID,0),5)*N599+IF(P599&gt;0,O599/P599,0)+Q599)</f>
        <v>4</v>
      </c>
      <c r="W599" s="32" t="n">
        <f aca="false">J599*(INDEX(P_VAL,MATCH("CTRL_AÑO",P_ID,0))*L599+(1-INDEX(PY_VAL,MATCH("P_USADOS",PY_ID,0),6))*M599+INDEX(PY_VAL,MATCH("P_USADOS",PY_ID,0),6)*N599+IF(P599&gt;0,O599/P599,0)+Q599)</f>
        <v>4</v>
      </c>
      <c r="X599" s="32" t="n">
        <f aca="false">J599*(INDEX(P_VAL,MATCH("CTRL_AÑO",P_ID,0))*L599+(1-INDEX(PY_VAL,MATCH("P_USADOS",PY_ID,0),7))*M599+INDEX(PY_VAL,MATCH("P_USADOS",PY_ID,0),7)*N599+IF(P599&gt;0,O599/P599,0)+Q599)</f>
        <v>4</v>
      </c>
      <c r="Y599" s="32" t="n">
        <f aca="false">J599*(INDEX(P_VAL,MATCH("CTRL_AÑO",P_ID,0))*L599+(1-INDEX(PY_VAL,MATCH("P_USADOS",PY_ID,0),8))*M599+INDEX(PY_VAL,MATCH("P_USADOS",PY_ID,0),8)*N599+IF(P599&gt;0,O599/P599,0)+Q599)</f>
        <v>4</v>
      </c>
      <c r="Z599" s="32" t="n">
        <f aca="false">J599*(INDEX(P_VAL,MATCH("CTRL_AÑO",P_ID,0))*L599+(1-INDEX(PY_VAL,MATCH("P_USADOS",PY_ID,0),9))*M599+INDEX(PY_VAL,MATCH("P_USADOS",PY_ID,0),9)*N599+IF(P599&gt;0,O599/P599,0)+Q599)</f>
        <v>4</v>
      </c>
      <c r="AA599" s="32" t="n">
        <f aca="false">J599*(INDEX(P_VAL,MATCH("CTRL_AÑO",P_ID,0))*L599+(1-INDEX(PY_VAL,MATCH("P_USADOS",PY_ID,0),10))*M599+INDEX(PY_VAL,MATCH("P_USADOS",PY_ID,0),10)*N599+IF(P599&gt;0,O599/P599,0)+Q599)</f>
        <v>4</v>
      </c>
      <c r="AB599" s="5" t="s">
        <v>1346</v>
      </c>
    </row>
    <row r="600" customFormat="false" ht="23.85" hidden="false" customHeight="false" outlineLevel="0" collapsed="false">
      <c r="A600" s="4" t="s">
        <v>333</v>
      </c>
      <c r="B600" s="4" t="s">
        <v>1347</v>
      </c>
      <c r="C600" s="4" t="s">
        <v>1601</v>
      </c>
      <c r="D600" s="5" t="s">
        <v>1602</v>
      </c>
      <c r="E600" s="32" t="n">
        <v>1</v>
      </c>
      <c r="F600" s="32" t="s">
        <v>73</v>
      </c>
      <c r="G600" s="33" t="s">
        <v>1344</v>
      </c>
      <c r="H600" s="32" t="s">
        <v>1603</v>
      </c>
      <c r="I600" s="32" t="n">
        <v>1</v>
      </c>
      <c r="J600" s="32" t="n">
        <f aca="false">E600*I600</f>
        <v>1</v>
      </c>
      <c r="K600" s="32"/>
      <c r="L600" s="32" t="n">
        <v>0</v>
      </c>
      <c r="M600" s="32" t="n">
        <v>0.15</v>
      </c>
      <c r="N600" s="32" t="n">
        <v>9.15</v>
      </c>
      <c r="O600" s="32" t="n">
        <v>0</v>
      </c>
      <c r="P600" s="32" t="n">
        <v>5</v>
      </c>
      <c r="Q600" s="32" t="n">
        <v>0</v>
      </c>
      <c r="R600" s="32" t="n">
        <f aca="false">J600*(INDEX(P_VAL,MATCH("CTRL_AÑO",P_ID,0))*L600+(1-INDEX(PY_VAL,MATCH("P_USADOS",PY_ID,0),1))*M600+INDEX(PY_VAL,MATCH("P_USADOS",PY_ID,0),1)*N600+IF(P600&gt;0,O600/P600,0)+Q600)</f>
        <v>0.57876</v>
      </c>
      <c r="S600" s="32" t="n">
        <f aca="false">J600*(INDEX(P_VAL,MATCH("CTRL_AÑO",P_ID,0))*L600+(1-INDEX(PY_VAL,MATCH("P_USADOS",PY_ID,0),2))*M600+INDEX(PY_VAL,MATCH("P_USADOS",PY_ID,0),2)*N600+IF(P600&gt;0,O600/P600,0)+Q600)</f>
        <v>0.578724</v>
      </c>
      <c r="T600" s="32" t="n">
        <f aca="false">J600*(INDEX(P_VAL,MATCH("CTRL_AÑO",P_ID,0))*L600+(1-INDEX(PY_VAL,MATCH("P_USADOS",PY_ID,0),3))*M600+INDEX(PY_VAL,MATCH("P_USADOS",PY_ID,0),3)*N600+IF(P600&gt;0,O600/P600,0)+Q600)</f>
        <v>0.578733</v>
      </c>
      <c r="U600" s="32" t="n">
        <f aca="false">J600*(INDEX(P_VAL,MATCH("CTRL_AÑO",P_ID,0))*L600+(1-INDEX(PY_VAL,MATCH("P_USADOS",PY_ID,0),4))*M600+INDEX(PY_VAL,MATCH("P_USADOS",PY_ID,0),4)*N600+IF(P600&gt;0,O600/P600,0)+Q600)</f>
        <v>0.578751</v>
      </c>
      <c r="V600" s="32" t="n">
        <f aca="false">J600*(INDEX(P_VAL,MATCH("CTRL_AÑO",P_ID,0))*L600+(1-INDEX(PY_VAL,MATCH("P_USADOS",PY_ID,0),5))*M600+INDEX(PY_VAL,MATCH("P_USADOS",PY_ID,0),5)*N600+IF(P600&gt;0,O600/P600,0)+Q600)</f>
        <v>0.578724</v>
      </c>
      <c r="W600" s="32" t="n">
        <f aca="false">J600*(INDEX(P_VAL,MATCH("CTRL_AÑO",P_ID,0))*L600+(1-INDEX(PY_VAL,MATCH("P_USADOS",PY_ID,0),6))*M600+INDEX(PY_VAL,MATCH("P_USADOS",PY_ID,0),6)*N600+IF(P600&gt;0,O600/P600,0)+Q600)</f>
        <v>0.578733</v>
      </c>
      <c r="X600" s="32" t="n">
        <f aca="false">J600*(INDEX(P_VAL,MATCH("CTRL_AÑO",P_ID,0))*L600+(1-INDEX(PY_VAL,MATCH("P_USADOS",PY_ID,0),7))*M600+INDEX(PY_VAL,MATCH("P_USADOS",PY_ID,0),7)*N600+IF(P600&gt;0,O600/P600,0)+Q600)</f>
        <v>0.578724</v>
      </c>
      <c r="Y600" s="32" t="n">
        <f aca="false">J600*(INDEX(P_VAL,MATCH("CTRL_AÑO",P_ID,0))*L600+(1-INDEX(PY_VAL,MATCH("P_USADOS",PY_ID,0),8))*M600+INDEX(PY_VAL,MATCH("P_USADOS",PY_ID,0),8)*N600+IF(P600&gt;0,O600/P600,0)+Q600)</f>
        <v>0.578742</v>
      </c>
      <c r="Z600" s="32" t="n">
        <f aca="false">J600*(INDEX(P_VAL,MATCH("CTRL_AÑO",P_ID,0))*L600+(1-INDEX(PY_VAL,MATCH("P_USADOS",PY_ID,0),9))*M600+INDEX(PY_VAL,MATCH("P_USADOS",PY_ID,0),9)*N600+IF(P600&gt;0,O600/P600,0)+Q600)</f>
        <v>0.578724</v>
      </c>
      <c r="AA600" s="32" t="n">
        <f aca="false">J600*(INDEX(P_VAL,MATCH("CTRL_AÑO",P_ID,0))*L600+(1-INDEX(PY_VAL,MATCH("P_USADOS",PY_ID,0),10))*M600+INDEX(PY_VAL,MATCH("P_USADOS",PY_ID,0),10)*N600+IF(P600&gt;0,O600/P600,0)+Q600)</f>
        <v>0.578697</v>
      </c>
      <c r="AB600" s="5" t="s">
        <v>1346</v>
      </c>
    </row>
    <row r="601" customFormat="false" ht="15" hidden="false" customHeight="false" outlineLevel="0" collapsed="false">
      <c r="A601" s="4" t="s">
        <v>333</v>
      </c>
      <c r="B601" s="4" t="s">
        <v>1350</v>
      </c>
      <c r="C601" s="4" t="s">
        <v>1604</v>
      </c>
      <c r="D601" s="5" t="s">
        <v>571</v>
      </c>
      <c r="E601" s="32" t="n">
        <v>1</v>
      </c>
      <c r="F601" s="32" t="s">
        <v>73</v>
      </c>
      <c r="G601" s="33" t="s">
        <v>1344</v>
      </c>
      <c r="H601" s="32" t="s">
        <v>573</v>
      </c>
      <c r="I601" s="32" t="n">
        <f aca="false">(1+INDEX(P_VAL,MATCH("N2_PERD",P_ID,0)))/INDEX(P_VAL,MATCH("RHO_N2",P_ID,0))</f>
        <v>1.0406660262568</v>
      </c>
      <c r="J601" s="32" t="n">
        <f aca="false">E601*I601</f>
        <v>1.0406660262568</v>
      </c>
      <c r="K601" s="32"/>
      <c r="L601" s="32" t="n">
        <v>0</v>
      </c>
      <c r="M601" s="32" t="n">
        <v>0.0577800131303772</v>
      </c>
      <c r="N601" s="32" t="n">
        <v>0.0577800131303772</v>
      </c>
      <c r="O601" s="32" t="n">
        <v>0</v>
      </c>
      <c r="P601" s="32" t="n">
        <v>5</v>
      </c>
      <c r="Q601" s="32" t="n">
        <v>0</v>
      </c>
      <c r="R601" s="32" t="n">
        <f aca="false">J601*(INDEX(P_VAL,MATCH("CTRL_AÑO",P_ID,0))*L601+(1-INDEX(PY_VAL,MATCH("P_USADOS",PY_ID,0),1))*M601+INDEX(PY_VAL,MATCH("P_USADOS",PY_ID,0),1)*N601+IF(P601&gt;0,O601/P601,0)+Q601)</f>
        <v>0.0601296966614556</v>
      </c>
      <c r="S601" s="32" t="n">
        <f aca="false">J601*(INDEX(P_VAL,MATCH("CTRL_AÑO",P_ID,0))*L601+(1-INDEX(PY_VAL,MATCH("P_USADOS",PY_ID,0),2))*M601+INDEX(PY_VAL,MATCH("P_USADOS",PY_ID,0),2)*N601+IF(P601&gt;0,O601/P601,0)+Q601)</f>
        <v>0.0601296966614556</v>
      </c>
      <c r="T601" s="32" t="n">
        <f aca="false">J601*(INDEX(P_VAL,MATCH("CTRL_AÑO",P_ID,0))*L601+(1-INDEX(PY_VAL,MATCH("P_USADOS",PY_ID,0),3))*M601+INDEX(PY_VAL,MATCH("P_USADOS",PY_ID,0),3)*N601+IF(P601&gt;0,O601/P601,0)+Q601)</f>
        <v>0.0601296966614556</v>
      </c>
      <c r="U601" s="32" t="n">
        <f aca="false">J601*(INDEX(P_VAL,MATCH("CTRL_AÑO",P_ID,0))*L601+(1-INDEX(PY_VAL,MATCH("P_USADOS",PY_ID,0),4))*M601+INDEX(PY_VAL,MATCH("P_USADOS",PY_ID,0),4)*N601+IF(P601&gt;0,O601/P601,0)+Q601)</f>
        <v>0.0601296966614556</v>
      </c>
      <c r="V601" s="32" t="n">
        <f aca="false">J601*(INDEX(P_VAL,MATCH("CTRL_AÑO",P_ID,0))*L601+(1-INDEX(PY_VAL,MATCH("P_USADOS",PY_ID,0),5))*M601+INDEX(PY_VAL,MATCH("P_USADOS",PY_ID,0),5)*N601+IF(P601&gt;0,O601/P601,0)+Q601)</f>
        <v>0.0601296966614556</v>
      </c>
      <c r="W601" s="32" t="n">
        <f aca="false">J601*(INDEX(P_VAL,MATCH("CTRL_AÑO",P_ID,0))*L601+(1-INDEX(PY_VAL,MATCH("P_USADOS",PY_ID,0),6))*M601+INDEX(PY_VAL,MATCH("P_USADOS",PY_ID,0),6)*N601+IF(P601&gt;0,O601/P601,0)+Q601)</f>
        <v>0.0601296966614556</v>
      </c>
      <c r="X601" s="32" t="n">
        <f aca="false">J601*(INDEX(P_VAL,MATCH("CTRL_AÑO",P_ID,0))*L601+(1-INDEX(PY_VAL,MATCH("P_USADOS",PY_ID,0),7))*M601+INDEX(PY_VAL,MATCH("P_USADOS",PY_ID,0),7)*N601+IF(P601&gt;0,O601/P601,0)+Q601)</f>
        <v>0.0601296966614556</v>
      </c>
      <c r="Y601" s="32" t="n">
        <f aca="false">J601*(INDEX(P_VAL,MATCH("CTRL_AÑO",P_ID,0))*L601+(1-INDEX(PY_VAL,MATCH("P_USADOS",PY_ID,0),8))*M601+INDEX(PY_VAL,MATCH("P_USADOS",PY_ID,0),8)*N601+IF(P601&gt;0,O601/P601,0)+Q601)</f>
        <v>0.0601296966614556</v>
      </c>
      <c r="Z601" s="32" t="n">
        <f aca="false">J601*(INDEX(P_VAL,MATCH("CTRL_AÑO",P_ID,0))*L601+(1-INDEX(PY_VAL,MATCH("P_USADOS",PY_ID,0),9))*M601+INDEX(PY_VAL,MATCH("P_USADOS",PY_ID,0),9)*N601+IF(P601&gt;0,O601/P601,0)+Q601)</f>
        <v>0.0601296966614556</v>
      </c>
      <c r="AA601" s="32" t="n">
        <f aca="false">J601*(INDEX(P_VAL,MATCH("CTRL_AÑO",P_ID,0))*L601+(1-INDEX(PY_VAL,MATCH("P_USADOS",PY_ID,0),10))*M601+INDEX(PY_VAL,MATCH("P_USADOS",PY_ID,0),10)*N601+IF(P601&gt;0,O601/P601,0)+Q601)</f>
        <v>0.0601296966614556</v>
      </c>
      <c r="AB601" s="5" t="s">
        <v>1346</v>
      </c>
    </row>
    <row r="602" customFormat="false" ht="15" hidden="false" customHeight="false" outlineLevel="0" collapsed="false">
      <c r="A602" s="4" t="s">
        <v>333</v>
      </c>
      <c r="B602" s="4" t="s">
        <v>1352</v>
      </c>
      <c r="C602" s="4" t="s">
        <v>1605</v>
      </c>
      <c r="D602" s="5" t="s">
        <v>1354</v>
      </c>
      <c r="E602" s="32" t="n">
        <v>1</v>
      </c>
      <c r="F602" s="32" t="s">
        <v>82</v>
      </c>
      <c r="G602" s="33" t="s">
        <v>1344</v>
      </c>
      <c r="H602" s="32" t="s">
        <v>1355</v>
      </c>
      <c r="I602" s="32" t="n">
        <v>1</v>
      </c>
      <c r="J602" s="32" t="n">
        <f aca="false">E602*I602</f>
        <v>1</v>
      </c>
      <c r="K602" s="32"/>
      <c r="L602" s="32" t="n">
        <v>0</v>
      </c>
      <c r="M602" s="32" t="n">
        <v>1</v>
      </c>
      <c r="N602" s="32" t="n">
        <v>1</v>
      </c>
      <c r="O602" s="32" t="n">
        <v>0</v>
      </c>
      <c r="P602" s="32" t="n">
        <v>5</v>
      </c>
      <c r="Q602" s="32" t="n">
        <v>0</v>
      </c>
      <c r="R602" s="32" t="n">
        <f aca="false">J602*(INDEX(P_VAL,MATCH("CTRL_AÑO",P_ID,0))*L602+(1-INDEX(PY_VAL,MATCH("P_USADOS",PY_ID,0),1))*M602+INDEX(PY_VAL,MATCH("P_USADOS",PY_ID,0),1)*N602+IF(P602&gt;0,O602/P602,0)+Q602)</f>
        <v>1</v>
      </c>
      <c r="S602" s="32" t="n">
        <f aca="false">J602*(INDEX(P_VAL,MATCH("CTRL_AÑO",P_ID,0))*L602+(1-INDEX(PY_VAL,MATCH("P_USADOS",PY_ID,0),2))*M602+INDEX(PY_VAL,MATCH("P_USADOS",PY_ID,0),2)*N602+IF(P602&gt;0,O602/P602,0)+Q602)</f>
        <v>1</v>
      </c>
      <c r="T602" s="32" t="n">
        <f aca="false">J602*(INDEX(P_VAL,MATCH("CTRL_AÑO",P_ID,0))*L602+(1-INDEX(PY_VAL,MATCH("P_USADOS",PY_ID,0),3))*M602+INDEX(PY_VAL,MATCH("P_USADOS",PY_ID,0),3)*N602+IF(P602&gt;0,O602/P602,0)+Q602)</f>
        <v>1</v>
      </c>
      <c r="U602" s="32" t="n">
        <f aca="false">J602*(INDEX(P_VAL,MATCH("CTRL_AÑO",P_ID,0))*L602+(1-INDEX(PY_VAL,MATCH("P_USADOS",PY_ID,0),4))*M602+INDEX(PY_VAL,MATCH("P_USADOS",PY_ID,0),4)*N602+IF(P602&gt;0,O602/P602,0)+Q602)</f>
        <v>1</v>
      </c>
      <c r="V602" s="32" t="n">
        <f aca="false">J602*(INDEX(P_VAL,MATCH("CTRL_AÑO",P_ID,0))*L602+(1-INDEX(PY_VAL,MATCH("P_USADOS",PY_ID,0),5))*M602+INDEX(PY_VAL,MATCH("P_USADOS",PY_ID,0),5)*N602+IF(P602&gt;0,O602/P602,0)+Q602)</f>
        <v>1</v>
      </c>
      <c r="W602" s="32" t="n">
        <f aca="false">J602*(INDEX(P_VAL,MATCH("CTRL_AÑO",P_ID,0))*L602+(1-INDEX(PY_VAL,MATCH("P_USADOS",PY_ID,0),6))*M602+INDEX(PY_VAL,MATCH("P_USADOS",PY_ID,0),6)*N602+IF(P602&gt;0,O602/P602,0)+Q602)</f>
        <v>1</v>
      </c>
      <c r="X602" s="32" t="n">
        <f aca="false">J602*(INDEX(P_VAL,MATCH("CTRL_AÑO",P_ID,0))*L602+(1-INDEX(PY_VAL,MATCH("P_USADOS",PY_ID,0),7))*M602+INDEX(PY_VAL,MATCH("P_USADOS",PY_ID,0),7)*N602+IF(P602&gt;0,O602/P602,0)+Q602)</f>
        <v>1</v>
      </c>
      <c r="Y602" s="32" t="n">
        <f aca="false">J602*(INDEX(P_VAL,MATCH("CTRL_AÑO",P_ID,0))*L602+(1-INDEX(PY_VAL,MATCH("P_USADOS",PY_ID,0),8))*M602+INDEX(PY_VAL,MATCH("P_USADOS",PY_ID,0),8)*N602+IF(P602&gt;0,O602/P602,0)+Q602)</f>
        <v>1</v>
      </c>
      <c r="Z602" s="32" t="n">
        <f aca="false">J602*(INDEX(P_VAL,MATCH("CTRL_AÑO",P_ID,0))*L602+(1-INDEX(PY_VAL,MATCH("P_USADOS",PY_ID,0),9))*M602+INDEX(PY_VAL,MATCH("P_USADOS",PY_ID,0),9)*N602+IF(P602&gt;0,O602/P602,0)+Q602)</f>
        <v>1</v>
      </c>
      <c r="AA602" s="32" t="n">
        <f aca="false">J602*(INDEX(P_VAL,MATCH("CTRL_AÑO",P_ID,0))*L602+(1-INDEX(PY_VAL,MATCH("P_USADOS",PY_ID,0),10))*M602+INDEX(PY_VAL,MATCH("P_USADOS",PY_ID,0),10)*N602+IF(P602&gt;0,O602/P602,0)+Q602)</f>
        <v>1</v>
      </c>
      <c r="AB602" s="5" t="s">
        <v>1346</v>
      </c>
    </row>
    <row r="603" customFormat="false" ht="15" hidden="false" customHeight="false" outlineLevel="0" collapsed="false">
      <c r="A603" s="4" t="s">
        <v>333</v>
      </c>
      <c r="B603" s="4" t="s">
        <v>1356</v>
      </c>
      <c r="C603" s="4" t="s">
        <v>1606</v>
      </c>
      <c r="D603" s="5" t="s">
        <v>1358</v>
      </c>
      <c r="E603" s="32" t="n">
        <v>1</v>
      </c>
      <c r="F603" s="32" t="s">
        <v>82</v>
      </c>
      <c r="G603" s="33" t="s">
        <v>1344</v>
      </c>
      <c r="H603" s="32" t="s">
        <v>1359</v>
      </c>
      <c r="I603" s="32" t="n">
        <v>1</v>
      </c>
      <c r="J603" s="32" t="n">
        <f aca="false">E603*I603</f>
        <v>1</v>
      </c>
      <c r="K603" s="32"/>
      <c r="L603" s="32" t="n">
        <v>0</v>
      </c>
      <c r="M603" s="32" t="n">
        <v>1</v>
      </c>
      <c r="N603" s="32" t="n">
        <v>1</v>
      </c>
      <c r="O603" s="32" t="n">
        <v>0</v>
      </c>
      <c r="P603" s="32" t="n">
        <v>5</v>
      </c>
      <c r="Q603" s="32" t="n">
        <v>0</v>
      </c>
      <c r="R603" s="32" t="n">
        <f aca="false">J603*(INDEX(P_VAL,MATCH("CTRL_AÑO",P_ID,0))*L603+(1-INDEX(PY_VAL,MATCH("P_USADOS",PY_ID,0),1))*M603+INDEX(PY_VAL,MATCH("P_USADOS",PY_ID,0),1)*N603+IF(P603&gt;0,O603/P603,0)+Q603)</f>
        <v>1</v>
      </c>
      <c r="S603" s="32" t="n">
        <f aca="false">J603*(INDEX(P_VAL,MATCH("CTRL_AÑO",P_ID,0))*L603+(1-INDEX(PY_VAL,MATCH("P_USADOS",PY_ID,0),2))*M603+INDEX(PY_VAL,MATCH("P_USADOS",PY_ID,0),2)*N603+IF(P603&gt;0,O603/P603,0)+Q603)</f>
        <v>1</v>
      </c>
      <c r="T603" s="32" t="n">
        <f aca="false">J603*(INDEX(P_VAL,MATCH("CTRL_AÑO",P_ID,0))*L603+(1-INDEX(PY_VAL,MATCH("P_USADOS",PY_ID,0),3))*M603+INDEX(PY_VAL,MATCH("P_USADOS",PY_ID,0),3)*N603+IF(P603&gt;0,O603/P603,0)+Q603)</f>
        <v>1</v>
      </c>
      <c r="U603" s="32" t="n">
        <f aca="false">J603*(INDEX(P_VAL,MATCH("CTRL_AÑO",P_ID,0))*L603+(1-INDEX(PY_VAL,MATCH("P_USADOS",PY_ID,0),4))*M603+INDEX(PY_VAL,MATCH("P_USADOS",PY_ID,0),4)*N603+IF(P603&gt;0,O603/P603,0)+Q603)</f>
        <v>1</v>
      </c>
      <c r="V603" s="32" t="n">
        <f aca="false">J603*(INDEX(P_VAL,MATCH("CTRL_AÑO",P_ID,0))*L603+(1-INDEX(PY_VAL,MATCH("P_USADOS",PY_ID,0),5))*M603+INDEX(PY_VAL,MATCH("P_USADOS",PY_ID,0),5)*N603+IF(P603&gt;0,O603/P603,0)+Q603)</f>
        <v>1</v>
      </c>
      <c r="W603" s="32" t="n">
        <f aca="false">J603*(INDEX(P_VAL,MATCH("CTRL_AÑO",P_ID,0))*L603+(1-INDEX(PY_VAL,MATCH("P_USADOS",PY_ID,0),6))*M603+INDEX(PY_VAL,MATCH("P_USADOS",PY_ID,0),6)*N603+IF(P603&gt;0,O603/P603,0)+Q603)</f>
        <v>1</v>
      </c>
      <c r="X603" s="32" t="n">
        <f aca="false">J603*(INDEX(P_VAL,MATCH("CTRL_AÑO",P_ID,0))*L603+(1-INDEX(PY_VAL,MATCH("P_USADOS",PY_ID,0),7))*M603+INDEX(PY_VAL,MATCH("P_USADOS",PY_ID,0),7)*N603+IF(P603&gt;0,O603/P603,0)+Q603)</f>
        <v>1</v>
      </c>
      <c r="Y603" s="32" t="n">
        <f aca="false">J603*(INDEX(P_VAL,MATCH("CTRL_AÑO",P_ID,0))*L603+(1-INDEX(PY_VAL,MATCH("P_USADOS",PY_ID,0),8))*M603+INDEX(PY_VAL,MATCH("P_USADOS",PY_ID,0),8)*N603+IF(P603&gt;0,O603/P603,0)+Q603)</f>
        <v>1</v>
      </c>
      <c r="Z603" s="32" t="n">
        <f aca="false">J603*(INDEX(P_VAL,MATCH("CTRL_AÑO",P_ID,0))*L603+(1-INDEX(PY_VAL,MATCH("P_USADOS",PY_ID,0),9))*M603+INDEX(PY_VAL,MATCH("P_USADOS",PY_ID,0),9)*N603+IF(P603&gt;0,O603/P603,0)+Q603)</f>
        <v>1</v>
      </c>
      <c r="AA603" s="32" t="n">
        <f aca="false">J603*(INDEX(P_VAL,MATCH("CTRL_AÑO",P_ID,0))*L603+(1-INDEX(PY_VAL,MATCH("P_USADOS",PY_ID,0),10))*M603+INDEX(PY_VAL,MATCH("P_USADOS",PY_ID,0),10)*N603+IF(P603&gt;0,O603/P603,0)+Q603)</f>
        <v>1</v>
      </c>
      <c r="AB603" s="5" t="s">
        <v>1346</v>
      </c>
    </row>
    <row r="604" customFormat="false" ht="15" hidden="false" customHeight="false" outlineLevel="0" collapsed="false">
      <c r="A604" s="4" t="s">
        <v>333</v>
      </c>
      <c r="B604" s="4" t="s">
        <v>1360</v>
      </c>
      <c r="C604" s="4" t="s">
        <v>1607</v>
      </c>
      <c r="D604" s="5" t="s">
        <v>1362</v>
      </c>
      <c r="E604" s="32" t="n">
        <v>1</v>
      </c>
      <c r="F604" s="32" t="s">
        <v>82</v>
      </c>
      <c r="G604" s="33" t="s">
        <v>1344</v>
      </c>
      <c r="H604" s="32" t="s">
        <v>1363</v>
      </c>
      <c r="I604" s="32" t="n">
        <v>1</v>
      </c>
      <c r="J604" s="32" t="n">
        <f aca="false">E604*I604</f>
        <v>1</v>
      </c>
      <c r="K604" s="32"/>
      <c r="L604" s="32" t="n">
        <v>0</v>
      </c>
      <c r="M604" s="32" t="n">
        <v>1</v>
      </c>
      <c r="N604" s="32" t="n">
        <v>1</v>
      </c>
      <c r="O604" s="32" t="n">
        <v>0</v>
      </c>
      <c r="P604" s="32" t="n">
        <v>5</v>
      </c>
      <c r="Q604" s="32" t="n">
        <v>0</v>
      </c>
      <c r="R604" s="32" t="n">
        <f aca="false">J604*(INDEX(P_VAL,MATCH("CTRL_AÑO",P_ID,0))*L604+(1-INDEX(PY_VAL,MATCH("P_USADOS",PY_ID,0),1))*M604+INDEX(PY_VAL,MATCH("P_USADOS",PY_ID,0),1)*N604+IF(P604&gt;0,O604/P604,0)+Q604)</f>
        <v>1</v>
      </c>
      <c r="S604" s="32" t="n">
        <f aca="false">J604*(INDEX(P_VAL,MATCH("CTRL_AÑO",P_ID,0))*L604+(1-INDEX(PY_VAL,MATCH("P_USADOS",PY_ID,0),2))*M604+INDEX(PY_VAL,MATCH("P_USADOS",PY_ID,0),2)*N604+IF(P604&gt;0,O604/P604,0)+Q604)</f>
        <v>1</v>
      </c>
      <c r="T604" s="32" t="n">
        <f aca="false">J604*(INDEX(P_VAL,MATCH("CTRL_AÑO",P_ID,0))*L604+(1-INDEX(PY_VAL,MATCH("P_USADOS",PY_ID,0),3))*M604+INDEX(PY_VAL,MATCH("P_USADOS",PY_ID,0),3)*N604+IF(P604&gt;0,O604/P604,0)+Q604)</f>
        <v>1</v>
      </c>
      <c r="U604" s="32" t="n">
        <f aca="false">J604*(INDEX(P_VAL,MATCH("CTRL_AÑO",P_ID,0))*L604+(1-INDEX(PY_VAL,MATCH("P_USADOS",PY_ID,0),4))*M604+INDEX(PY_VAL,MATCH("P_USADOS",PY_ID,0),4)*N604+IF(P604&gt;0,O604/P604,0)+Q604)</f>
        <v>1</v>
      </c>
      <c r="V604" s="32" t="n">
        <f aca="false">J604*(INDEX(P_VAL,MATCH("CTRL_AÑO",P_ID,0))*L604+(1-INDEX(PY_VAL,MATCH("P_USADOS",PY_ID,0),5))*M604+INDEX(PY_VAL,MATCH("P_USADOS",PY_ID,0),5)*N604+IF(P604&gt;0,O604/P604,0)+Q604)</f>
        <v>1</v>
      </c>
      <c r="W604" s="32" t="n">
        <f aca="false">J604*(INDEX(P_VAL,MATCH("CTRL_AÑO",P_ID,0))*L604+(1-INDEX(PY_VAL,MATCH("P_USADOS",PY_ID,0),6))*M604+INDEX(PY_VAL,MATCH("P_USADOS",PY_ID,0),6)*N604+IF(P604&gt;0,O604/P604,0)+Q604)</f>
        <v>1</v>
      </c>
      <c r="X604" s="32" t="n">
        <f aca="false">J604*(INDEX(P_VAL,MATCH("CTRL_AÑO",P_ID,0))*L604+(1-INDEX(PY_VAL,MATCH("P_USADOS",PY_ID,0),7))*M604+INDEX(PY_VAL,MATCH("P_USADOS",PY_ID,0),7)*N604+IF(P604&gt;0,O604/P604,0)+Q604)</f>
        <v>1</v>
      </c>
      <c r="Y604" s="32" t="n">
        <f aca="false">J604*(INDEX(P_VAL,MATCH("CTRL_AÑO",P_ID,0))*L604+(1-INDEX(PY_VAL,MATCH("P_USADOS",PY_ID,0),8))*M604+INDEX(PY_VAL,MATCH("P_USADOS",PY_ID,0),8)*N604+IF(P604&gt;0,O604/P604,0)+Q604)</f>
        <v>1</v>
      </c>
      <c r="Z604" s="32" t="n">
        <f aca="false">J604*(INDEX(P_VAL,MATCH("CTRL_AÑO",P_ID,0))*L604+(1-INDEX(PY_VAL,MATCH("P_USADOS",PY_ID,0),9))*M604+INDEX(PY_VAL,MATCH("P_USADOS",PY_ID,0),9)*N604+IF(P604&gt;0,O604/P604,0)+Q604)</f>
        <v>1</v>
      </c>
      <c r="AA604" s="32" t="n">
        <f aca="false">J604*(INDEX(P_VAL,MATCH("CTRL_AÑO",P_ID,0))*L604+(1-INDEX(PY_VAL,MATCH("P_USADOS",PY_ID,0),10))*M604+INDEX(PY_VAL,MATCH("P_USADOS",PY_ID,0),10)*N604+IF(P604&gt;0,O604/P604,0)+Q604)</f>
        <v>1</v>
      </c>
      <c r="AB604" s="5" t="s">
        <v>1346</v>
      </c>
    </row>
    <row r="605" customFormat="false" ht="15" hidden="false" customHeight="false" outlineLevel="0" collapsed="false">
      <c r="A605" s="4" t="s">
        <v>333</v>
      </c>
      <c r="B605" s="4" t="s">
        <v>1364</v>
      </c>
      <c r="C605" s="4" t="s">
        <v>1608</v>
      </c>
      <c r="D605" s="5" t="s">
        <v>1366</v>
      </c>
      <c r="E605" s="32" t="n">
        <v>1</v>
      </c>
      <c r="F605" s="32" t="s">
        <v>82</v>
      </c>
      <c r="G605" s="33" t="s">
        <v>1344</v>
      </c>
      <c r="H605" s="32" t="s">
        <v>1367</v>
      </c>
      <c r="I605" s="32" t="n">
        <v>1</v>
      </c>
      <c r="J605" s="32" t="n">
        <f aca="false">E605*I605</f>
        <v>1</v>
      </c>
      <c r="K605" s="32" t="s">
        <v>582</v>
      </c>
      <c r="L605" s="32" t="n">
        <v>0</v>
      </c>
      <c r="M605" s="32" t="n">
        <v>1</v>
      </c>
      <c r="N605" s="32" t="n">
        <v>1</v>
      </c>
      <c r="O605" s="32" t="n">
        <v>0</v>
      </c>
      <c r="P605" s="32" t="n">
        <v>5</v>
      </c>
      <c r="Q605" s="32" t="n">
        <v>0</v>
      </c>
      <c r="R605" s="32" t="n">
        <f aca="false">J605*(INDEX(P_VAL,MATCH("CTRL_AÑO",P_ID,0))*L605+(1-INDEX(PY_VAL,MATCH("P_USADOS",PY_ID,0),1))*M605+INDEX(PY_VAL,MATCH("P_USADOS",PY_ID,0),1)*N605+IF(P605&gt;0,O605/P605,0)+Q605)</f>
        <v>1</v>
      </c>
      <c r="S605" s="32" t="n">
        <f aca="false">J605*(INDEX(P_VAL,MATCH("CTRL_AÑO",P_ID,0))*L605+(1-INDEX(PY_VAL,MATCH("P_USADOS",PY_ID,0),2))*M605+INDEX(PY_VAL,MATCH("P_USADOS",PY_ID,0),2)*N605+IF(P605&gt;0,O605/P605,0)+Q605)</f>
        <v>1</v>
      </c>
      <c r="T605" s="32" t="n">
        <f aca="false">J605*(INDEX(P_VAL,MATCH("CTRL_AÑO",P_ID,0))*L605+(1-INDEX(PY_VAL,MATCH("P_USADOS",PY_ID,0),3))*M605+INDEX(PY_VAL,MATCH("P_USADOS",PY_ID,0),3)*N605+IF(P605&gt;0,O605/P605,0)+Q605)</f>
        <v>1</v>
      </c>
      <c r="U605" s="32" t="n">
        <f aca="false">J605*(INDEX(P_VAL,MATCH("CTRL_AÑO",P_ID,0))*L605+(1-INDEX(PY_VAL,MATCH("P_USADOS",PY_ID,0),4))*M605+INDEX(PY_VAL,MATCH("P_USADOS",PY_ID,0),4)*N605+IF(P605&gt;0,O605/P605,0)+Q605)</f>
        <v>1</v>
      </c>
      <c r="V605" s="32" t="n">
        <f aca="false">J605*(INDEX(P_VAL,MATCH("CTRL_AÑO",P_ID,0))*L605+(1-INDEX(PY_VAL,MATCH("P_USADOS",PY_ID,0),5))*M605+INDEX(PY_VAL,MATCH("P_USADOS",PY_ID,0),5)*N605+IF(P605&gt;0,O605/P605,0)+Q605)</f>
        <v>1</v>
      </c>
      <c r="W605" s="32" t="n">
        <f aca="false">J605*(INDEX(P_VAL,MATCH("CTRL_AÑO",P_ID,0))*L605+(1-INDEX(PY_VAL,MATCH("P_USADOS",PY_ID,0),6))*M605+INDEX(PY_VAL,MATCH("P_USADOS",PY_ID,0),6)*N605+IF(P605&gt;0,O605/P605,0)+Q605)</f>
        <v>1</v>
      </c>
      <c r="X605" s="32" t="n">
        <f aca="false">J605*(INDEX(P_VAL,MATCH("CTRL_AÑO",P_ID,0))*L605+(1-INDEX(PY_VAL,MATCH("P_USADOS",PY_ID,0),7))*M605+INDEX(PY_VAL,MATCH("P_USADOS",PY_ID,0),7)*N605+IF(P605&gt;0,O605/P605,0)+Q605)</f>
        <v>1</v>
      </c>
      <c r="Y605" s="32" t="n">
        <f aca="false">J605*(INDEX(P_VAL,MATCH("CTRL_AÑO",P_ID,0))*L605+(1-INDEX(PY_VAL,MATCH("P_USADOS",PY_ID,0),8))*M605+INDEX(PY_VAL,MATCH("P_USADOS",PY_ID,0),8)*N605+IF(P605&gt;0,O605/P605,0)+Q605)</f>
        <v>1</v>
      </c>
      <c r="Z605" s="32" t="n">
        <f aca="false">J605*(INDEX(P_VAL,MATCH("CTRL_AÑO",P_ID,0))*L605+(1-INDEX(PY_VAL,MATCH("P_USADOS",PY_ID,0),9))*M605+INDEX(PY_VAL,MATCH("P_USADOS",PY_ID,0),9)*N605+IF(P605&gt;0,O605/P605,0)+Q605)</f>
        <v>1</v>
      </c>
      <c r="AA605" s="32" t="n">
        <f aca="false">J605*(INDEX(P_VAL,MATCH("CTRL_AÑO",P_ID,0))*L605+(1-INDEX(PY_VAL,MATCH("P_USADOS",PY_ID,0),10))*M605+INDEX(PY_VAL,MATCH("P_USADOS",PY_ID,0),10)*N605+IF(P605&gt;0,O605/P605,0)+Q605)</f>
        <v>1</v>
      </c>
      <c r="AB605" s="5" t="s">
        <v>1346</v>
      </c>
    </row>
    <row r="606" customFormat="false" ht="15" hidden="false" customHeight="false" outlineLevel="0" collapsed="false">
      <c r="A606" s="4" t="s">
        <v>333</v>
      </c>
      <c r="B606" s="4" t="s">
        <v>1368</v>
      </c>
      <c r="C606" s="4" t="s">
        <v>1609</v>
      </c>
      <c r="D606" s="5" t="s">
        <v>1370</v>
      </c>
      <c r="E606" s="32" t="n">
        <v>1</v>
      </c>
      <c r="F606" s="32" t="s">
        <v>82</v>
      </c>
      <c r="G606" s="33" t="s">
        <v>1344</v>
      </c>
      <c r="H606" s="32" t="s">
        <v>1371</v>
      </c>
      <c r="I606" s="32" t="n">
        <v>1</v>
      </c>
      <c r="J606" s="32" t="n">
        <f aca="false">E606*I606</f>
        <v>1</v>
      </c>
      <c r="K606" s="32" t="s">
        <v>582</v>
      </c>
      <c r="L606" s="32" t="n">
        <v>0</v>
      </c>
      <c r="M606" s="32" t="n">
        <v>1</v>
      </c>
      <c r="N606" s="32" t="n">
        <v>1</v>
      </c>
      <c r="O606" s="32" t="n">
        <v>0</v>
      </c>
      <c r="P606" s="32" t="n">
        <v>5</v>
      </c>
      <c r="Q606" s="32" t="n">
        <v>0</v>
      </c>
      <c r="R606" s="32" t="n">
        <f aca="false">J606*(INDEX(P_VAL,MATCH("CTRL_AÑO",P_ID,0))*L606+(1-INDEX(PY_VAL,MATCH("P_USADOS",PY_ID,0),1))*M606+INDEX(PY_VAL,MATCH("P_USADOS",PY_ID,0),1)*N606+IF(P606&gt;0,O606/P606,0)+Q606)</f>
        <v>1</v>
      </c>
      <c r="S606" s="32" t="n">
        <f aca="false">J606*(INDEX(P_VAL,MATCH("CTRL_AÑO",P_ID,0))*L606+(1-INDEX(PY_VAL,MATCH("P_USADOS",PY_ID,0),2))*M606+INDEX(PY_VAL,MATCH("P_USADOS",PY_ID,0),2)*N606+IF(P606&gt;0,O606/P606,0)+Q606)</f>
        <v>1</v>
      </c>
      <c r="T606" s="32" t="n">
        <f aca="false">J606*(INDEX(P_VAL,MATCH("CTRL_AÑO",P_ID,0))*L606+(1-INDEX(PY_VAL,MATCH("P_USADOS",PY_ID,0),3))*M606+INDEX(PY_VAL,MATCH("P_USADOS",PY_ID,0),3)*N606+IF(P606&gt;0,O606/P606,0)+Q606)</f>
        <v>1</v>
      </c>
      <c r="U606" s="32" t="n">
        <f aca="false">J606*(INDEX(P_VAL,MATCH("CTRL_AÑO",P_ID,0))*L606+(1-INDEX(PY_VAL,MATCH("P_USADOS",PY_ID,0),4))*M606+INDEX(PY_VAL,MATCH("P_USADOS",PY_ID,0),4)*N606+IF(P606&gt;0,O606/P606,0)+Q606)</f>
        <v>1</v>
      </c>
      <c r="V606" s="32" t="n">
        <f aca="false">J606*(INDEX(P_VAL,MATCH("CTRL_AÑO",P_ID,0))*L606+(1-INDEX(PY_VAL,MATCH("P_USADOS",PY_ID,0),5))*M606+INDEX(PY_VAL,MATCH("P_USADOS",PY_ID,0),5)*N606+IF(P606&gt;0,O606/P606,0)+Q606)</f>
        <v>1</v>
      </c>
      <c r="W606" s="32" t="n">
        <f aca="false">J606*(INDEX(P_VAL,MATCH("CTRL_AÑO",P_ID,0))*L606+(1-INDEX(PY_VAL,MATCH("P_USADOS",PY_ID,0),6))*M606+INDEX(PY_VAL,MATCH("P_USADOS",PY_ID,0),6)*N606+IF(P606&gt;0,O606/P606,0)+Q606)</f>
        <v>1</v>
      </c>
      <c r="X606" s="32" t="n">
        <f aca="false">J606*(INDEX(P_VAL,MATCH("CTRL_AÑO",P_ID,0))*L606+(1-INDEX(PY_VAL,MATCH("P_USADOS",PY_ID,0),7))*M606+INDEX(PY_VAL,MATCH("P_USADOS",PY_ID,0),7)*N606+IF(P606&gt;0,O606/P606,0)+Q606)</f>
        <v>1</v>
      </c>
      <c r="Y606" s="32" t="n">
        <f aca="false">J606*(INDEX(P_VAL,MATCH("CTRL_AÑO",P_ID,0))*L606+(1-INDEX(PY_VAL,MATCH("P_USADOS",PY_ID,0),8))*M606+INDEX(PY_VAL,MATCH("P_USADOS",PY_ID,0),8)*N606+IF(P606&gt;0,O606/P606,0)+Q606)</f>
        <v>1</v>
      </c>
      <c r="Z606" s="32" t="n">
        <f aca="false">J606*(INDEX(P_VAL,MATCH("CTRL_AÑO",P_ID,0))*L606+(1-INDEX(PY_VAL,MATCH("P_USADOS",PY_ID,0),9))*M606+INDEX(PY_VAL,MATCH("P_USADOS",PY_ID,0),9)*N606+IF(P606&gt;0,O606/P606,0)+Q606)</f>
        <v>1</v>
      </c>
      <c r="AA606" s="32" t="n">
        <f aca="false">J606*(INDEX(P_VAL,MATCH("CTRL_AÑO",P_ID,0))*L606+(1-INDEX(PY_VAL,MATCH("P_USADOS",PY_ID,0),10))*M606+INDEX(PY_VAL,MATCH("P_USADOS",PY_ID,0),10)*N606+IF(P606&gt;0,O606/P606,0)+Q606)</f>
        <v>1</v>
      </c>
      <c r="AB606" s="5" t="s">
        <v>1346</v>
      </c>
    </row>
    <row r="607" customFormat="false" ht="15" hidden="false" customHeight="false" outlineLevel="0" collapsed="false">
      <c r="A607" s="4" t="s">
        <v>333</v>
      </c>
      <c r="B607" s="4" t="s">
        <v>1372</v>
      </c>
      <c r="C607" s="4" t="s">
        <v>1610</v>
      </c>
      <c r="D607" s="5" t="s">
        <v>1374</v>
      </c>
      <c r="E607" s="32" t="n">
        <v>1</v>
      </c>
      <c r="F607" s="32" t="s">
        <v>82</v>
      </c>
      <c r="G607" s="33" t="s">
        <v>1344</v>
      </c>
      <c r="H607" s="32" t="s">
        <v>688</v>
      </c>
      <c r="I607" s="32" t="n">
        <v>1</v>
      </c>
      <c r="J607" s="32" t="n">
        <f aca="false">E607*I607</f>
        <v>1</v>
      </c>
      <c r="K607" s="32" t="s">
        <v>689</v>
      </c>
      <c r="L607" s="32" t="n">
        <v>0</v>
      </c>
      <c r="M607" s="32" t="n">
        <v>1</v>
      </c>
      <c r="N607" s="32" t="n">
        <v>1</v>
      </c>
      <c r="O607" s="32" t="n">
        <v>0</v>
      </c>
      <c r="P607" s="32" t="n">
        <v>5</v>
      </c>
      <c r="Q607" s="32" t="n">
        <v>0</v>
      </c>
      <c r="R607" s="32" t="n">
        <f aca="false">J607*(INDEX(P_VAL,MATCH("CTRL_AÑO",P_ID,0))*L607+(1-INDEX(PY_VAL,MATCH("P_USADOS",PY_ID,0),1))*M607+INDEX(PY_VAL,MATCH("P_USADOS",PY_ID,0),1)*N607+IF(P607&gt;0,O607/P607,0)+Q607)</f>
        <v>1</v>
      </c>
      <c r="S607" s="32" t="n">
        <f aca="false">J607*(INDEX(P_VAL,MATCH("CTRL_AÑO",P_ID,0))*L607+(1-INDEX(PY_VAL,MATCH("P_USADOS",PY_ID,0),2))*M607+INDEX(PY_VAL,MATCH("P_USADOS",PY_ID,0),2)*N607+IF(P607&gt;0,O607/P607,0)+Q607)</f>
        <v>1</v>
      </c>
      <c r="T607" s="32" t="n">
        <f aca="false">J607*(INDEX(P_VAL,MATCH("CTRL_AÑO",P_ID,0))*L607+(1-INDEX(PY_VAL,MATCH("P_USADOS",PY_ID,0),3))*M607+INDEX(PY_VAL,MATCH("P_USADOS",PY_ID,0),3)*N607+IF(P607&gt;0,O607/P607,0)+Q607)</f>
        <v>1</v>
      </c>
      <c r="U607" s="32" t="n">
        <f aca="false">J607*(INDEX(P_VAL,MATCH("CTRL_AÑO",P_ID,0))*L607+(1-INDEX(PY_VAL,MATCH("P_USADOS",PY_ID,0),4))*M607+INDEX(PY_VAL,MATCH("P_USADOS",PY_ID,0),4)*N607+IF(P607&gt;0,O607/P607,0)+Q607)</f>
        <v>1</v>
      </c>
      <c r="V607" s="32" t="n">
        <f aca="false">J607*(INDEX(P_VAL,MATCH("CTRL_AÑO",P_ID,0))*L607+(1-INDEX(PY_VAL,MATCH("P_USADOS",PY_ID,0),5))*M607+INDEX(PY_VAL,MATCH("P_USADOS",PY_ID,0),5)*N607+IF(P607&gt;0,O607/P607,0)+Q607)</f>
        <v>1</v>
      </c>
      <c r="W607" s="32" t="n">
        <f aca="false">J607*(INDEX(P_VAL,MATCH("CTRL_AÑO",P_ID,0))*L607+(1-INDEX(PY_VAL,MATCH("P_USADOS",PY_ID,0),6))*M607+INDEX(PY_VAL,MATCH("P_USADOS",PY_ID,0),6)*N607+IF(P607&gt;0,O607/P607,0)+Q607)</f>
        <v>1</v>
      </c>
      <c r="X607" s="32" t="n">
        <f aca="false">J607*(INDEX(P_VAL,MATCH("CTRL_AÑO",P_ID,0))*L607+(1-INDEX(PY_VAL,MATCH("P_USADOS",PY_ID,0),7))*M607+INDEX(PY_VAL,MATCH("P_USADOS",PY_ID,0),7)*N607+IF(P607&gt;0,O607/P607,0)+Q607)</f>
        <v>1</v>
      </c>
      <c r="Y607" s="32" t="n">
        <f aca="false">J607*(INDEX(P_VAL,MATCH("CTRL_AÑO",P_ID,0))*L607+(1-INDEX(PY_VAL,MATCH("P_USADOS",PY_ID,0),8))*M607+INDEX(PY_VAL,MATCH("P_USADOS",PY_ID,0),8)*N607+IF(P607&gt;0,O607/P607,0)+Q607)</f>
        <v>1</v>
      </c>
      <c r="Z607" s="32" t="n">
        <f aca="false">J607*(INDEX(P_VAL,MATCH("CTRL_AÑO",P_ID,0))*L607+(1-INDEX(PY_VAL,MATCH("P_USADOS",PY_ID,0),9))*M607+INDEX(PY_VAL,MATCH("P_USADOS",PY_ID,0),9)*N607+IF(P607&gt;0,O607/P607,0)+Q607)</f>
        <v>1</v>
      </c>
      <c r="AA607" s="32" t="n">
        <f aca="false">J607*(INDEX(P_VAL,MATCH("CTRL_AÑO",P_ID,0))*L607+(1-INDEX(PY_VAL,MATCH("P_USADOS",PY_ID,0),10))*M607+INDEX(PY_VAL,MATCH("P_USADOS",PY_ID,0),10)*N607+IF(P607&gt;0,O607/P607,0)+Q607)</f>
        <v>1</v>
      </c>
      <c r="AB607" s="5" t="s">
        <v>1346</v>
      </c>
    </row>
    <row r="608" customFormat="false" ht="15" hidden="false" customHeight="false" outlineLevel="0" collapsed="false">
      <c r="A608" s="4" t="s">
        <v>333</v>
      </c>
      <c r="B608" s="4" t="s">
        <v>1375</v>
      </c>
      <c r="C608" s="4" t="s">
        <v>1611</v>
      </c>
      <c r="D608" s="5" t="s">
        <v>1377</v>
      </c>
      <c r="E608" s="32" t="n">
        <v>1</v>
      </c>
      <c r="F608" s="32" t="s">
        <v>82</v>
      </c>
      <c r="G608" s="33" t="s">
        <v>1344</v>
      </c>
      <c r="H608" s="32" t="s">
        <v>1485</v>
      </c>
      <c r="I608" s="32" t="n">
        <v>1</v>
      </c>
      <c r="J608" s="32" t="n">
        <f aca="false">E608*I608</f>
        <v>1</v>
      </c>
      <c r="K608" s="32"/>
      <c r="L608" s="32" t="n">
        <v>0</v>
      </c>
      <c r="M608" s="32" t="n">
        <v>1</v>
      </c>
      <c r="N608" s="32" t="n">
        <v>1</v>
      </c>
      <c r="O608" s="32" t="n">
        <v>0</v>
      </c>
      <c r="P608" s="32" t="n">
        <v>5</v>
      </c>
      <c r="Q608" s="32" t="n">
        <v>0</v>
      </c>
      <c r="R608" s="32" t="n">
        <f aca="false">J608*(INDEX(P_VAL,MATCH("CTRL_AÑO",P_ID,0))*L608+(1-INDEX(PY_VAL,MATCH("P_USADOS",PY_ID,0),1))*M608+INDEX(PY_VAL,MATCH("P_USADOS",PY_ID,0),1)*N608+IF(P608&gt;0,O608/P608,0)+Q608)</f>
        <v>1</v>
      </c>
      <c r="S608" s="32" t="n">
        <f aca="false">J608*(INDEX(P_VAL,MATCH("CTRL_AÑO",P_ID,0))*L608+(1-INDEX(PY_VAL,MATCH("P_USADOS",PY_ID,0),2))*M608+INDEX(PY_VAL,MATCH("P_USADOS",PY_ID,0),2)*N608+IF(P608&gt;0,O608/P608,0)+Q608)</f>
        <v>1</v>
      </c>
      <c r="T608" s="32" t="n">
        <f aca="false">J608*(INDEX(P_VAL,MATCH("CTRL_AÑO",P_ID,0))*L608+(1-INDEX(PY_VAL,MATCH("P_USADOS",PY_ID,0),3))*M608+INDEX(PY_VAL,MATCH("P_USADOS",PY_ID,0),3)*N608+IF(P608&gt;0,O608/P608,0)+Q608)</f>
        <v>1</v>
      </c>
      <c r="U608" s="32" t="n">
        <f aca="false">J608*(INDEX(P_VAL,MATCH("CTRL_AÑO",P_ID,0))*L608+(1-INDEX(PY_VAL,MATCH("P_USADOS",PY_ID,0),4))*M608+INDEX(PY_VAL,MATCH("P_USADOS",PY_ID,0),4)*N608+IF(P608&gt;0,O608/P608,0)+Q608)</f>
        <v>1</v>
      </c>
      <c r="V608" s="32" t="n">
        <f aca="false">J608*(INDEX(P_VAL,MATCH("CTRL_AÑO",P_ID,0))*L608+(1-INDEX(PY_VAL,MATCH("P_USADOS",PY_ID,0),5))*M608+INDEX(PY_VAL,MATCH("P_USADOS",PY_ID,0),5)*N608+IF(P608&gt;0,O608/P608,0)+Q608)</f>
        <v>1</v>
      </c>
      <c r="W608" s="32" t="n">
        <f aca="false">J608*(INDEX(P_VAL,MATCH("CTRL_AÑO",P_ID,0))*L608+(1-INDEX(PY_VAL,MATCH("P_USADOS",PY_ID,0),6))*M608+INDEX(PY_VAL,MATCH("P_USADOS",PY_ID,0),6)*N608+IF(P608&gt;0,O608/P608,0)+Q608)</f>
        <v>1</v>
      </c>
      <c r="X608" s="32" t="n">
        <f aca="false">J608*(INDEX(P_VAL,MATCH("CTRL_AÑO",P_ID,0))*L608+(1-INDEX(PY_VAL,MATCH("P_USADOS",PY_ID,0),7))*M608+INDEX(PY_VAL,MATCH("P_USADOS",PY_ID,0),7)*N608+IF(P608&gt;0,O608/P608,0)+Q608)</f>
        <v>1</v>
      </c>
      <c r="Y608" s="32" t="n">
        <f aca="false">J608*(INDEX(P_VAL,MATCH("CTRL_AÑO",P_ID,0))*L608+(1-INDEX(PY_VAL,MATCH("P_USADOS",PY_ID,0),8))*M608+INDEX(PY_VAL,MATCH("P_USADOS",PY_ID,0),8)*N608+IF(P608&gt;0,O608/P608,0)+Q608)</f>
        <v>1</v>
      </c>
      <c r="Z608" s="32" t="n">
        <f aca="false">J608*(INDEX(P_VAL,MATCH("CTRL_AÑO",P_ID,0))*L608+(1-INDEX(PY_VAL,MATCH("P_USADOS",PY_ID,0),9))*M608+INDEX(PY_VAL,MATCH("P_USADOS",PY_ID,0),9)*N608+IF(P608&gt;0,O608/P608,0)+Q608)</f>
        <v>1</v>
      </c>
      <c r="AA608" s="32" t="n">
        <f aca="false">J608*(INDEX(P_VAL,MATCH("CTRL_AÑO",P_ID,0))*L608+(1-INDEX(PY_VAL,MATCH("P_USADOS",PY_ID,0),10))*M608+INDEX(PY_VAL,MATCH("P_USADOS",PY_ID,0),10)*N608+IF(P608&gt;0,O608/P608,0)+Q608)</f>
        <v>1</v>
      </c>
      <c r="AB608" s="5" t="s">
        <v>1346</v>
      </c>
    </row>
    <row r="609" customFormat="false" ht="15" hidden="false" customHeight="false" outlineLevel="0" collapsed="false">
      <c r="A609" s="4" t="s">
        <v>333</v>
      </c>
      <c r="B609" s="4" t="s">
        <v>1378</v>
      </c>
      <c r="C609" s="4" t="s">
        <v>1612</v>
      </c>
      <c r="D609" s="5" t="s">
        <v>1380</v>
      </c>
      <c r="E609" s="32" t="n">
        <v>1</v>
      </c>
      <c r="F609" s="32" t="s">
        <v>82</v>
      </c>
      <c r="G609" s="33" t="s">
        <v>1344</v>
      </c>
      <c r="H609" s="32" t="s">
        <v>1381</v>
      </c>
      <c r="I609" s="32" t="n">
        <v>1</v>
      </c>
      <c r="J609" s="32" t="n">
        <f aca="false">E609*I609</f>
        <v>1</v>
      </c>
      <c r="K609" s="32"/>
      <c r="L609" s="32" t="n">
        <v>0</v>
      </c>
      <c r="M609" s="32" t="n">
        <v>0</v>
      </c>
      <c r="N609" s="32" t="n">
        <v>0</v>
      </c>
      <c r="O609" s="32" t="n">
        <v>1</v>
      </c>
      <c r="P609" s="32" t="n">
        <v>5</v>
      </c>
      <c r="Q609" s="32" t="n">
        <v>0</v>
      </c>
      <c r="R609" s="32" t="n">
        <f aca="false">J609*(INDEX(P_VAL,MATCH("CTRL_AÑO",P_ID,0))*L609+(1-INDEX(PY_VAL,MATCH("P_USADOS",PY_ID,0),1))*M609+INDEX(PY_VAL,MATCH("P_USADOS",PY_ID,0),1)*N609+IF(P609&gt;0,O609/P609,0)+Q609)</f>
        <v>0.2</v>
      </c>
      <c r="S609" s="32" t="n">
        <f aca="false">J609*(INDEX(P_VAL,MATCH("CTRL_AÑO",P_ID,0))*L609+(1-INDEX(PY_VAL,MATCH("P_USADOS",PY_ID,0),2))*M609+INDEX(PY_VAL,MATCH("P_USADOS",PY_ID,0),2)*N609+IF(P609&gt;0,O609/P609,0)+Q609)</f>
        <v>0.2</v>
      </c>
      <c r="T609" s="32" t="n">
        <f aca="false">J609*(INDEX(P_VAL,MATCH("CTRL_AÑO",P_ID,0))*L609+(1-INDEX(PY_VAL,MATCH("P_USADOS",PY_ID,0),3))*M609+INDEX(PY_VAL,MATCH("P_USADOS",PY_ID,0),3)*N609+IF(P609&gt;0,O609/P609,0)+Q609)</f>
        <v>0.2</v>
      </c>
      <c r="U609" s="32" t="n">
        <f aca="false">J609*(INDEX(P_VAL,MATCH("CTRL_AÑO",P_ID,0))*L609+(1-INDEX(PY_VAL,MATCH("P_USADOS",PY_ID,0),4))*M609+INDEX(PY_VAL,MATCH("P_USADOS",PY_ID,0),4)*N609+IF(P609&gt;0,O609/P609,0)+Q609)</f>
        <v>0.2</v>
      </c>
      <c r="V609" s="32" t="n">
        <f aca="false">J609*(INDEX(P_VAL,MATCH("CTRL_AÑO",P_ID,0))*L609+(1-INDEX(PY_VAL,MATCH("P_USADOS",PY_ID,0),5))*M609+INDEX(PY_VAL,MATCH("P_USADOS",PY_ID,0),5)*N609+IF(P609&gt;0,O609/P609,0)+Q609)</f>
        <v>0.2</v>
      </c>
      <c r="W609" s="32" t="n">
        <f aca="false">J609*(INDEX(P_VAL,MATCH("CTRL_AÑO",P_ID,0))*L609+(1-INDEX(PY_VAL,MATCH("P_USADOS",PY_ID,0),6))*M609+INDEX(PY_VAL,MATCH("P_USADOS",PY_ID,0),6)*N609+IF(P609&gt;0,O609/P609,0)+Q609)</f>
        <v>0.2</v>
      </c>
      <c r="X609" s="32" t="n">
        <f aca="false">J609*(INDEX(P_VAL,MATCH("CTRL_AÑO",P_ID,0))*L609+(1-INDEX(PY_VAL,MATCH("P_USADOS",PY_ID,0),7))*M609+INDEX(PY_VAL,MATCH("P_USADOS",PY_ID,0),7)*N609+IF(P609&gt;0,O609/P609,0)+Q609)</f>
        <v>0.2</v>
      </c>
      <c r="Y609" s="32" t="n">
        <f aca="false">J609*(INDEX(P_VAL,MATCH("CTRL_AÑO",P_ID,0))*L609+(1-INDEX(PY_VAL,MATCH("P_USADOS",PY_ID,0),8))*M609+INDEX(PY_VAL,MATCH("P_USADOS",PY_ID,0),8)*N609+IF(P609&gt;0,O609/P609,0)+Q609)</f>
        <v>0.2</v>
      </c>
      <c r="Z609" s="32" t="n">
        <f aca="false">J609*(INDEX(P_VAL,MATCH("CTRL_AÑO",P_ID,0))*L609+(1-INDEX(PY_VAL,MATCH("P_USADOS",PY_ID,0),9))*M609+INDEX(PY_VAL,MATCH("P_USADOS",PY_ID,0),9)*N609+IF(P609&gt;0,O609/P609,0)+Q609)</f>
        <v>0.2</v>
      </c>
      <c r="AA609" s="32" t="n">
        <f aca="false">J609*(INDEX(P_VAL,MATCH("CTRL_AÑO",P_ID,0))*L609+(1-INDEX(PY_VAL,MATCH("P_USADOS",PY_ID,0),10))*M609+INDEX(PY_VAL,MATCH("P_USADOS",PY_ID,0),10)*N609+IF(P609&gt;0,O609/P609,0)+Q609)</f>
        <v>0.2</v>
      </c>
      <c r="AB609" s="5" t="s">
        <v>1346</v>
      </c>
    </row>
    <row r="610" customFormat="false" ht="15" hidden="false" customHeight="false" outlineLevel="0" collapsed="false">
      <c r="A610" s="4" t="s">
        <v>333</v>
      </c>
      <c r="B610" s="4" t="s">
        <v>1382</v>
      </c>
      <c r="C610" s="4" t="s">
        <v>1613</v>
      </c>
      <c r="D610" s="5" t="s">
        <v>1614</v>
      </c>
      <c r="E610" s="32" t="n">
        <v>1</v>
      </c>
      <c r="F610" s="32" t="s">
        <v>73</v>
      </c>
      <c r="G610" s="33" t="s">
        <v>1385</v>
      </c>
      <c r="H610" s="32"/>
      <c r="I610" s="32"/>
      <c r="J610" s="32"/>
      <c r="K610" s="32"/>
      <c r="L610" s="32" t="n">
        <v>0</v>
      </c>
      <c r="M610" s="32" t="n">
        <v>0</v>
      </c>
      <c r="N610" s="32" t="n">
        <v>0</v>
      </c>
      <c r="O610" s="32" t="n">
        <v>0</v>
      </c>
      <c r="P610" s="32" t="n">
        <v>0</v>
      </c>
      <c r="Q610" s="32" t="n">
        <v>0</v>
      </c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5" t="s">
        <v>1386</v>
      </c>
    </row>
    <row r="611" customFormat="false" ht="15" hidden="false" customHeight="false" outlineLevel="0" collapsed="false">
      <c r="A611" s="4" t="s">
        <v>372</v>
      </c>
      <c r="B611" s="4" t="s">
        <v>1615</v>
      </c>
      <c r="C611" s="4" t="s">
        <v>1616</v>
      </c>
      <c r="D611" s="5" t="s">
        <v>1617</v>
      </c>
      <c r="E611" s="32" t="n">
        <v>1</v>
      </c>
      <c r="F611" s="4" t="s">
        <v>82</v>
      </c>
      <c r="G611" s="5" t="s">
        <v>1618</v>
      </c>
      <c r="H611" s="4" t="s">
        <v>1619</v>
      </c>
      <c r="I611" s="32" t="n">
        <v>1</v>
      </c>
      <c r="J611" s="32" t="n">
        <f aca="false">E611*I611</f>
        <v>1</v>
      </c>
      <c r="K611" s="4"/>
      <c r="L611" s="32"/>
      <c r="M611" s="32"/>
      <c r="N611" s="32"/>
      <c r="O611" s="32"/>
      <c r="P611" s="4"/>
      <c r="Q611" s="32"/>
      <c r="R611" s="32" t="n">
        <f aca="false">$J611</f>
        <v>1</v>
      </c>
      <c r="S611" s="32" t="n">
        <f aca="false">$J611</f>
        <v>1</v>
      </c>
      <c r="T611" s="32" t="n">
        <f aca="false">$J611</f>
        <v>1</v>
      </c>
      <c r="U611" s="32" t="n">
        <f aca="false">$J611</f>
        <v>1</v>
      </c>
      <c r="V611" s="32" t="n">
        <f aca="false">$J611</f>
        <v>1</v>
      </c>
      <c r="W611" s="32" t="n">
        <f aca="false">$J611</f>
        <v>1</v>
      </c>
      <c r="X611" s="32" t="n">
        <f aca="false">$J611</f>
        <v>1</v>
      </c>
      <c r="Y611" s="32" t="n">
        <f aca="false">$J611</f>
        <v>1</v>
      </c>
      <c r="Z611" s="32" t="n">
        <f aca="false">$J611</f>
        <v>1</v>
      </c>
      <c r="AA611" s="32" t="n">
        <f aca="false">$J611</f>
        <v>1</v>
      </c>
      <c r="AB611" s="5" t="s">
        <v>1620</v>
      </c>
    </row>
    <row r="612" customFormat="false" ht="15" hidden="false" customHeight="false" outlineLevel="0" collapsed="false">
      <c r="A612" s="4" t="s">
        <v>372</v>
      </c>
      <c r="B612" s="4" t="s">
        <v>1621</v>
      </c>
      <c r="C612" s="4" t="s">
        <v>1622</v>
      </c>
      <c r="D612" s="5" t="s">
        <v>1623</v>
      </c>
      <c r="E612" s="32" t="n">
        <v>1</v>
      </c>
      <c r="F612" s="4" t="s">
        <v>82</v>
      </c>
      <c r="G612" s="5" t="s">
        <v>1618</v>
      </c>
      <c r="H612" s="4" t="s">
        <v>1624</v>
      </c>
      <c r="I612" s="32" t="n">
        <v>1</v>
      </c>
      <c r="J612" s="32" t="n">
        <f aca="false">E612*I612</f>
        <v>1</v>
      </c>
      <c r="K612" s="4"/>
      <c r="L612" s="32"/>
      <c r="M612" s="32"/>
      <c r="N612" s="32"/>
      <c r="O612" s="32"/>
      <c r="P612" s="4"/>
      <c r="Q612" s="32"/>
      <c r="R612" s="32" t="n">
        <f aca="false">$J612</f>
        <v>1</v>
      </c>
      <c r="S612" s="32" t="n">
        <f aca="false">$J612</f>
        <v>1</v>
      </c>
      <c r="T612" s="32" t="n">
        <f aca="false">$J612</f>
        <v>1</v>
      </c>
      <c r="U612" s="32" t="n">
        <f aca="false">$J612</f>
        <v>1</v>
      </c>
      <c r="V612" s="32" t="n">
        <f aca="false">$J612</f>
        <v>1</v>
      </c>
      <c r="W612" s="32" t="n">
        <f aca="false">$J612</f>
        <v>1</v>
      </c>
      <c r="X612" s="32" t="n">
        <f aca="false">$J612</f>
        <v>1</v>
      </c>
      <c r="Y612" s="32" t="n">
        <f aca="false">$J612</f>
        <v>1</v>
      </c>
      <c r="Z612" s="32" t="n">
        <f aca="false">$J612</f>
        <v>1</v>
      </c>
      <c r="AA612" s="32" t="n">
        <f aca="false">$J612</f>
        <v>1</v>
      </c>
      <c r="AB612" s="5" t="s">
        <v>1620</v>
      </c>
    </row>
    <row r="613" customFormat="false" ht="15" hidden="false" customHeight="false" outlineLevel="0" collapsed="false">
      <c r="A613" s="4" t="s">
        <v>372</v>
      </c>
      <c r="B613" s="4" t="s">
        <v>1625</v>
      </c>
      <c r="C613" s="4" t="s">
        <v>1626</v>
      </c>
      <c r="D613" s="5" t="s">
        <v>1627</v>
      </c>
      <c r="E613" s="32" t="n">
        <v>1</v>
      </c>
      <c r="F613" s="4" t="s">
        <v>82</v>
      </c>
      <c r="G613" s="5" t="s">
        <v>1618</v>
      </c>
      <c r="H613" s="4" t="s">
        <v>1628</v>
      </c>
      <c r="I613" s="32" t="n">
        <v>1</v>
      </c>
      <c r="J613" s="32" t="n">
        <f aca="false">E613*I613</f>
        <v>1</v>
      </c>
      <c r="K613" s="4"/>
      <c r="L613" s="32"/>
      <c r="M613" s="32"/>
      <c r="N613" s="32"/>
      <c r="O613" s="32"/>
      <c r="P613" s="4"/>
      <c r="Q613" s="32"/>
      <c r="R613" s="32" t="n">
        <f aca="false">$J613</f>
        <v>1</v>
      </c>
      <c r="S613" s="32" t="n">
        <f aca="false">$J613</f>
        <v>1</v>
      </c>
      <c r="T613" s="32" t="n">
        <f aca="false">$J613</f>
        <v>1</v>
      </c>
      <c r="U613" s="32" t="n">
        <f aca="false">$J613</f>
        <v>1</v>
      </c>
      <c r="V613" s="32" t="n">
        <f aca="false">$J613</f>
        <v>1</v>
      </c>
      <c r="W613" s="32" t="n">
        <f aca="false">$J613</f>
        <v>1</v>
      </c>
      <c r="X613" s="32" t="n">
        <f aca="false">$J613</f>
        <v>1</v>
      </c>
      <c r="Y613" s="32" t="n">
        <f aca="false">$J613</f>
        <v>1</v>
      </c>
      <c r="Z613" s="32" t="n">
        <f aca="false">$J613</f>
        <v>1</v>
      </c>
      <c r="AA613" s="32" t="n">
        <f aca="false">$J613</f>
        <v>1</v>
      </c>
      <c r="AB613" s="5" t="s">
        <v>1620</v>
      </c>
    </row>
    <row r="614" customFormat="false" ht="15" hidden="false" customHeight="false" outlineLevel="0" collapsed="false">
      <c r="A614" s="4" t="s">
        <v>372</v>
      </c>
      <c r="B614" s="4" t="s">
        <v>1629</v>
      </c>
      <c r="C614" s="4" t="s">
        <v>1630</v>
      </c>
      <c r="D614" s="5" t="s">
        <v>1631</v>
      </c>
      <c r="E614" s="32" t="n">
        <v>1</v>
      </c>
      <c r="F614" s="4" t="s">
        <v>82</v>
      </c>
      <c r="G614" s="5" t="s">
        <v>1618</v>
      </c>
      <c r="H614" s="4" t="s">
        <v>1632</v>
      </c>
      <c r="I614" s="32" t="n">
        <v>1</v>
      </c>
      <c r="J614" s="32" t="n">
        <f aca="false">E614*I614</f>
        <v>1</v>
      </c>
      <c r="K614" s="4"/>
      <c r="L614" s="32"/>
      <c r="M614" s="32"/>
      <c r="N614" s="32"/>
      <c r="O614" s="32"/>
      <c r="P614" s="4"/>
      <c r="Q614" s="32"/>
      <c r="R614" s="32" t="n">
        <f aca="false">$J614</f>
        <v>1</v>
      </c>
      <c r="S614" s="32" t="n">
        <f aca="false">$J614</f>
        <v>1</v>
      </c>
      <c r="T614" s="32" t="n">
        <f aca="false">$J614</f>
        <v>1</v>
      </c>
      <c r="U614" s="32" t="n">
        <f aca="false">$J614</f>
        <v>1</v>
      </c>
      <c r="V614" s="32" t="n">
        <f aca="false">$J614</f>
        <v>1</v>
      </c>
      <c r="W614" s="32" t="n">
        <f aca="false">$J614</f>
        <v>1</v>
      </c>
      <c r="X614" s="32" t="n">
        <f aca="false">$J614</f>
        <v>1</v>
      </c>
      <c r="Y614" s="32" t="n">
        <f aca="false">$J614</f>
        <v>1</v>
      </c>
      <c r="Z614" s="32" t="n">
        <f aca="false">$J614</f>
        <v>1</v>
      </c>
      <c r="AA614" s="32" t="n">
        <f aca="false">$J614</f>
        <v>1</v>
      </c>
      <c r="AB614" s="5" t="s">
        <v>1620</v>
      </c>
    </row>
    <row r="615" customFormat="false" ht="15" hidden="false" customHeight="false" outlineLevel="0" collapsed="false">
      <c r="A615" s="4" t="s">
        <v>375</v>
      </c>
      <c r="B615" s="4" t="s">
        <v>1633</v>
      </c>
      <c r="C615" s="4" t="s">
        <v>1634</v>
      </c>
      <c r="D615" s="5" t="s">
        <v>1617</v>
      </c>
      <c r="E615" s="32" t="n">
        <v>1</v>
      </c>
      <c r="F615" s="4" t="s">
        <v>82</v>
      </c>
      <c r="G615" s="5" t="s">
        <v>1618</v>
      </c>
      <c r="H615" s="4" t="s">
        <v>1619</v>
      </c>
      <c r="I615" s="32" t="n">
        <v>1</v>
      </c>
      <c r="J615" s="32" t="n">
        <f aca="false">E615*I615</f>
        <v>1</v>
      </c>
      <c r="K615" s="4"/>
      <c r="L615" s="32"/>
      <c r="M615" s="32"/>
      <c r="N615" s="32"/>
      <c r="O615" s="32"/>
      <c r="P615" s="4"/>
      <c r="Q615" s="32"/>
      <c r="R615" s="32" t="n">
        <f aca="false">$J615</f>
        <v>1</v>
      </c>
      <c r="S615" s="32" t="n">
        <f aca="false">$J615</f>
        <v>1</v>
      </c>
      <c r="T615" s="32" t="n">
        <f aca="false">$J615</f>
        <v>1</v>
      </c>
      <c r="U615" s="32" t="n">
        <f aca="false">$J615</f>
        <v>1</v>
      </c>
      <c r="V615" s="32" t="n">
        <f aca="false">$J615</f>
        <v>1</v>
      </c>
      <c r="W615" s="32" t="n">
        <f aca="false">$J615</f>
        <v>1</v>
      </c>
      <c r="X615" s="32" t="n">
        <f aca="false">$J615</f>
        <v>1</v>
      </c>
      <c r="Y615" s="32" t="n">
        <f aca="false">$J615</f>
        <v>1</v>
      </c>
      <c r="Z615" s="32" t="n">
        <f aca="false">$J615</f>
        <v>1</v>
      </c>
      <c r="AA615" s="32" t="n">
        <f aca="false">$J615</f>
        <v>1</v>
      </c>
      <c r="AB615" s="5" t="s">
        <v>1620</v>
      </c>
    </row>
    <row r="616" customFormat="false" ht="15" hidden="false" customHeight="false" outlineLevel="0" collapsed="false">
      <c r="A616" s="4" t="s">
        <v>375</v>
      </c>
      <c r="B616" s="4" t="s">
        <v>1635</v>
      </c>
      <c r="C616" s="4" t="s">
        <v>1636</v>
      </c>
      <c r="D616" s="5" t="s">
        <v>1623</v>
      </c>
      <c r="E616" s="32" t="n">
        <v>1</v>
      </c>
      <c r="F616" s="4" t="s">
        <v>82</v>
      </c>
      <c r="G616" s="5" t="s">
        <v>1618</v>
      </c>
      <c r="H616" s="4" t="s">
        <v>1624</v>
      </c>
      <c r="I616" s="32" t="n">
        <v>1</v>
      </c>
      <c r="J616" s="32" t="n">
        <f aca="false">E616*I616</f>
        <v>1</v>
      </c>
      <c r="K616" s="4"/>
      <c r="L616" s="32"/>
      <c r="M616" s="32"/>
      <c r="N616" s="32"/>
      <c r="O616" s="32"/>
      <c r="P616" s="4"/>
      <c r="Q616" s="32"/>
      <c r="R616" s="32" t="n">
        <f aca="false">$J616</f>
        <v>1</v>
      </c>
      <c r="S616" s="32" t="n">
        <f aca="false">$J616</f>
        <v>1</v>
      </c>
      <c r="T616" s="32" t="n">
        <f aca="false">$J616</f>
        <v>1</v>
      </c>
      <c r="U616" s="32" t="n">
        <f aca="false">$J616</f>
        <v>1</v>
      </c>
      <c r="V616" s="32" t="n">
        <f aca="false">$J616</f>
        <v>1</v>
      </c>
      <c r="W616" s="32" t="n">
        <f aca="false">$J616</f>
        <v>1</v>
      </c>
      <c r="X616" s="32" t="n">
        <f aca="false">$J616</f>
        <v>1</v>
      </c>
      <c r="Y616" s="32" t="n">
        <f aca="false">$J616</f>
        <v>1</v>
      </c>
      <c r="Z616" s="32" t="n">
        <f aca="false">$J616</f>
        <v>1</v>
      </c>
      <c r="AA616" s="32" t="n">
        <f aca="false">$J616</f>
        <v>1</v>
      </c>
      <c r="AB616" s="5" t="s">
        <v>1620</v>
      </c>
    </row>
    <row r="617" customFormat="false" ht="15" hidden="false" customHeight="false" outlineLevel="0" collapsed="false">
      <c r="A617" s="4" t="s">
        <v>375</v>
      </c>
      <c r="B617" s="4" t="s">
        <v>1637</v>
      </c>
      <c r="C617" s="4" t="s">
        <v>1638</v>
      </c>
      <c r="D617" s="5" t="s">
        <v>1627</v>
      </c>
      <c r="E617" s="32" t="n">
        <v>1</v>
      </c>
      <c r="F617" s="4" t="s">
        <v>82</v>
      </c>
      <c r="G617" s="5" t="s">
        <v>1618</v>
      </c>
      <c r="H617" s="4" t="s">
        <v>1628</v>
      </c>
      <c r="I617" s="32" t="n">
        <v>1</v>
      </c>
      <c r="J617" s="32" t="n">
        <f aca="false">E617*I617</f>
        <v>1</v>
      </c>
      <c r="K617" s="4"/>
      <c r="L617" s="32"/>
      <c r="M617" s="32"/>
      <c r="N617" s="32"/>
      <c r="O617" s="32"/>
      <c r="P617" s="4"/>
      <c r="Q617" s="32"/>
      <c r="R617" s="32" t="n">
        <f aca="false">$J617</f>
        <v>1</v>
      </c>
      <c r="S617" s="32" t="n">
        <f aca="false">$J617</f>
        <v>1</v>
      </c>
      <c r="T617" s="32" t="n">
        <f aca="false">$J617</f>
        <v>1</v>
      </c>
      <c r="U617" s="32" t="n">
        <f aca="false">$J617</f>
        <v>1</v>
      </c>
      <c r="V617" s="32" t="n">
        <f aca="false">$J617</f>
        <v>1</v>
      </c>
      <c r="W617" s="32" t="n">
        <f aca="false">$J617</f>
        <v>1</v>
      </c>
      <c r="X617" s="32" t="n">
        <f aca="false">$J617</f>
        <v>1</v>
      </c>
      <c r="Y617" s="32" t="n">
        <f aca="false">$J617</f>
        <v>1</v>
      </c>
      <c r="Z617" s="32" t="n">
        <f aca="false">$J617</f>
        <v>1</v>
      </c>
      <c r="AA617" s="32" t="n">
        <f aca="false">$J617</f>
        <v>1</v>
      </c>
      <c r="AB617" s="5" t="s">
        <v>1620</v>
      </c>
    </row>
    <row r="618" customFormat="false" ht="15" hidden="false" customHeight="false" outlineLevel="0" collapsed="false">
      <c r="A618" s="4" t="s">
        <v>375</v>
      </c>
      <c r="B618" s="4" t="s">
        <v>1639</v>
      </c>
      <c r="C618" s="4" t="s">
        <v>1640</v>
      </c>
      <c r="D618" s="5" t="s">
        <v>1631</v>
      </c>
      <c r="E618" s="32" t="n">
        <v>1</v>
      </c>
      <c r="F618" s="4" t="s">
        <v>82</v>
      </c>
      <c r="G618" s="5" t="s">
        <v>1618</v>
      </c>
      <c r="H618" s="4" t="s">
        <v>1632</v>
      </c>
      <c r="I618" s="32" t="n">
        <v>1</v>
      </c>
      <c r="J618" s="32" t="n">
        <f aca="false">E618*I618</f>
        <v>1</v>
      </c>
      <c r="K618" s="4"/>
      <c r="L618" s="32"/>
      <c r="M618" s="32"/>
      <c r="N618" s="32"/>
      <c r="O618" s="32"/>
      <c r="P618" s="4"/>
      <c r="Q618" s="32"/>
      <c r="R618" s="32" t="n">
        <f aca="false">$J618</f>
        <v>1</v>
      </c>
      <c r="S618" s="32" t="n">
        <f aca="false">$J618</f>
        <v>1</v>
      </c>
      <c r="T618" s="32" t="n">
        <f aca="false">$J618</f>
        <v>1</v>
      </c>
      <c r="U618" s="32" t="n">
        <f aca="false">$J618</f>
        <v>1</v>
      </c>
      <c r="V618" s="32" t="n">
        <f aca="false">$J618</f>
        <v>1</v>
      </c>
      <c r="W618" s="32" t="n">
        <f aca="false">$J618</f>
        <v>1</v>
      </c>
      <c r="X618" s="32" t="n">
        <f aca="false">$J618</f>
        <v>1</v>
      </c>
      <c r="Y618" s="32" t="n">
        <f aca="false">$J618</f>
        <v>1</v>
      </c>
      <c r="Z618" s="32" t="n">
        <f aca="false">$J618</f>
        <v>1</v>
      </c>
      <c r="AA618" s="32" t="n">
        <f aca="false">$J618</f>
        <v>1</v>
      </c>
      <c r="AB618" s="5" t="s">
        <v>1620</v>
      </c>
    </row>
    <row r="619" customFormat="false" ht="15" hidden="false" customHeight="false" outlineLevel="0" collapsed="false">
      <c r="A619" s="4" t="s">
        <v>378</v>
      </c>
      <c r="B619" s="4"/>
      <c r="C619" s="4"/>
      <c r="D619" s="5" t="s">
        <v>1641</v>
      </c>
      <c r="E619" s="4" t="n">
        <v>1</v>
      </c>
      <c r="F619" s="4" t="s">
        <v>82</v>
      </c>
      <c r="G619" s="5" t="s">
        <v>509</v>
      </c>
      <c r="H619" s="4" t="s">
        <v>1329</v>
      </c>
      <c r="I619" s="4" t="n">
        <v>1</v>
      </c>
      <c r="J619" s="4" t="n">
        <f aca="false">E619*I619</f>
        <v>1</v>
      </c>
      <c r="K619" s="4"/>
      <c r="L619" s="4"/>
      <c r="M619" s="4"/>
      <c r="N619" s="4"/>
      <c r="O619" s="4"/>
      <c r="P619" s="4"/>
      <c r="Q619" s="4"/>
      <c r="R619" s="4" t="n">
        <f aca="false">$J619</f>
        <v>1</v>
      </c>
      <c r="S619" s="4" t="n">
        <f aca="false">$J619</f>
        <v>1</v>
      </c>
      <c r="T619" s="4" t="n">
        <f aca="false">$J619</f>
        <v>1</v>
      </c>
      <c r="U619" s="4" t="n">
        <f aca="false">$J619</f>
        <v>1</v>
      </c>
      <c r="V619" s="4" t="n">
        <f aca="false">$J619</f>
        <v>1</v>
      </c>
      <c r="W619" s="4" t="n">
        <f aca="false">$J619</f>
        <v>1</v>
      </c>
      <c r="X619" s="4" t="n">
        <f aca="false">$J619</f>
        <v>1</v>
      </c>
      <c r="Y619" s="4" t="n">
        <f aca="false">$J619</f>
        <v>1</v>
      </c>
      <c r="Z619" s="4" t="n">
        <f aca="false">$J619</f>
        <v>1</v>
      </c>
      <c r="AA619" s="4" t="n">
        <f aca="false">$J619</f>
        <v>1</v>
      </c>
      <c r="AB619" s="5" t="s">
        <v>1642</v>
      </c>
    </row>
    <row r="620" customFormat="false" ht="15" hidden="false" customHeight="false" outlineLevel="0" collapsed="false">
      <c r="A620" s="4" t="s">
        <v>378</v>
      </c>
      <c r="B620" s="4" t="s">
        <v>1643</v>
      </c>
      <c r="C620" s="4" t="s">
        <v>1644</v>
      </c>
      <c r="D620" s="5" t="s">
        <v>1617</v>
      </c>
      <c r="E620" s="32" t="n">
        <v>1</v>
      </c>
      <c r="F620" s="4" t="s">
        <v>82</v>
      </c>
      <c r="G620" s="5" t="s">
        <v>1618</v>
      </c>
      <c r="H620" s="4" t="s">
        <v>1619</v>
      </c>
      <c r="I620" s="32" t="n">
        <v>1</v>
      </c>
      <c r="J620" s="32" t="n">
        <f aca="false">E620*I620</f>
        <v>1</v>
      </c>
      <c r="K620" s="4"/>
      <c r="L620" s="32"/>
      <c r="M620" s="32"/>
      <c r="N620" s="32"/>
      <c r="O620" s="32"/>
      <c r="P620" s="4"/>
      <c r="Q620" s="32"/>
      <c r="R620" s="32" t="n">
        <f aca="false">$J620</f>
        <v>1</v>
      </c>
      <c r="S620" s="32" t="n">
        <f aca="false">$J620</f>
        <v>1</v>
      </c>
      <c r="T620" s="32" t="n">
        <f aca="false">$J620</f>
        <v>1</v>
      </c>
      <c r="U620" s="32" t="n">
        <f aca="false">$J620</f>
        <v>1</v>
      </c>
      <c r="V620" s="32" t="n">
        <f aca="false">$J620</f>
        <v>1</v>
      </c>
      <c r="W620" s="32" t="n">
        <f aca="false">$J620</f>
        <v>1</v>
      </c>
      <c r="X620" s="32" t="n">
        <f aca="false">$J620</f>
        <v>1</v>
      </c>
      <c r="Y620" s="32" t="n">
        <f aca="false">$J620</f>
        <v>1</v>
      </c>
      <c r="Z620" s="32" t="n">
        <f aca="false">$J620</f>
        <v>1</v>
      </c>
      <c r="AA620" s="32" t="n">
        <f aca="false">$J620</f>
        <v>1</v>
      </c>
      <c r="AB620" s="5" t="s">
        <v>1620</v>
      </c>
    </row>
    <row r="621" customFormat="false" ht="15" hidden="false" customHeight="false" outlineLevel="0" collapsed="false">
      <c r="A621" s="4" t="s">
        <v>378</v>
      </c>
      <c r="B621" s="4" t="s">
        <v>1645</v>
      </c>
      <c r="C621" s="4" t="s">
        <v>1646</v>
      </c>
      <c r="D621" s="5" t="s">
        <v>1623</v>
      </c>
      <c r="E621" s="32" t="n">
        <v>1</v>
      </c>
      <c r="F621" s="4" t="s">
        <v>82</v>
      </c>
      <c r="G621" s="5" t="s">
        <v>1618</v>
      </c>
      <c r="H621" s="4" t="s">
        <v>1624</v>
      </c>
      <c r="I621" s="32" t="n">
        <v>1</v>
      </c>
      <c r="J621" s="32" t="n">
        <f aca="false">E621*I621</f>
        <v>1</v>
      </c>
      <c r="K621" s="4"/>
      <c r="L621" s="32"/>
      <c r="M621" s="32"/>
      <c r="N621" s="32"/>
      <c r="O621" s="32"/>
      <c r="P621" s="4"/>
      <c r="Q621" s="32"/>
      <c r="R621" s="32" t="n">
        <f aca="false">$J621</f>
        <v>1</v>
      </c>
      <c r="S621" s="32" t="n">
        <f aca="false">$J621</f>
        <v>1</v>
      </c>
      <c r="T621" s="32" t="n">
        <f aca="false">$J621</f>
        <v>1</v>
      </c>
      <c r="U621" s="32" t="n">
        <f aca="false">$J621</f>
        <v>1</v>
      </c>
      <c r="V621" s="32" t="n">
        <f aca="false">$J621</f>
        <v>1</v>
      </c>
      <c r="W621" s="32" t="n">
        <f aca="false">$J621</f>
        <v>1</v>
      </c>
      <c r="X621" s="32" t="n">
        <f aca="false">$J621</f>
        <v>1</v>
      </c>
      <c r="Y621" s="32" t="n">
        <f aca="false">$J621</f>
        <v>1</v>
      </c>
      <c r="Z621" s="32" t="n">
        <f aca="false">$J621</f>
        <v>1</v>
      </c>
      <c r="AA621" s="32" t="n">
        <f aca="false">$J621</f>
        <v>1</v>
      </c>
      <c r="AB621" s="5" t="s">
        <v>1620</v>
      </c>
    </row>
    <row r="622" customFormat="false" ht="15" hidden="false" customHeight="false" outlineLevel="0" collapsed="false">
      <c r="A622" s="4" t="s">
        <v>378</v>
      </c>
      <c r="B622" s="4" t="s">
        <v>1647</v>
      </c>
      <c r="C622" s="4" t="s">
        <v>1648</v>
      </c>
      <c r="D622" s="5" t="s">
        <v>1627</v>
      </c>
      <c r="E622" s="32" t="n">
        <v>1</v>
      </c>
      <c r="F622" s="4" t="s">
        <v>82</v>
      </c>
      <c r="G622" s="5" t="s">
        <v>1618</v>
      </c>
      <c r="H622" s="4" t="s">
        <v>1628</v>
      </c>
      <c r="I622" s="32" t="n">
        <v>1</v>
      </c>
      <c r="J622" s="32" t="n">
        <f aca="false">E622*I622</f>
        <v>1</v>
      </c>
      <c r="K622" s="4"/>
      <c r="L622" s="32"/>
      <c r="M622" s="32"/>
      <c r="N622" s="32"/>
      <c r="O622" s="32"/>
      <c r="P622" s="4"/>
      <c r="Q622" s="32"/>
      <c r="R622" s="32" t="n">
        <f aca="false">$J622</f>
        <v>1</v>
      </c>
      <c r="S622" s="32" t="n">
        <f aca="false">$J622</f>
        <v>1</v>
      </c>
      <c r="T622" s="32" t="n">
        <f aca="false">$J622</f>
        <v>1</v>
      </c>
      <c r="U622" s="32" t="n">
        <f aca="false">$J622</f>
        <v>1</v>
      </c>
      <c r="V622" s="32" t="n">
        <f aca="false">$J622</f>
        <v>1</v>
      </c>
      <c r="W622" s="32" t="n">
        <f aca="false">$J622</f>
        <v>1</v>
      </c>
      <c r="X622" s="32" t="n">
        <f aca="false">$J622</f>
        <v>1</v>
      </c>
      <c r="Y622" s="32" t="n">
        <f aca="false">$J622</f>
        <v>1</v>
      </c>
      <c r="Z622" s="32" t="n">
        <f aca="false">$J622</f>
        <v>1</v>
      </c>
      <c r="AA622" s="32" t="n">
        <f aca="false">$J622</f>
        <v>1</v>
      </c>
      <c r="AB622" s="5" t="s">
        <v>1620</v>
      </c>
    </row>
    <row r="623" customFormat="false" ht="15" hidden="false" customHeight="false" outlineLevel="0" collapsed="false">
      <c r="A623" s="4" t="s">
        <v>378</v>
      </c>
      <c r="B623" s="4" t="s">
        <v>1649</v>
      </c>
      <c r="C623" s="4" t="s">
        <v>1650</v>
      </c>
      <c r="D623" s="5" t="s">
        <v>1631</v>
      </c>
      <c r="E623" s="32" t="n">
        <v>1</v>
      </c>
      <c r="F623" s="4" t="s">
        <v>82</v>
      </c>
      <c r="G623" s="5" t="s">
        <v>1618</v>
      </c>
      <c r="H623" s="4" t="s">
        <v>1632</v>
      </c>
      <c r="I623" s="32" t="n">
        <v>1</v>
      </c>
      <c r="J623" s="32" t="n">
        <f aca="false">E623*I623</f>
        <v>1</v>
      </c>
      <c r="K623" s="4"/>
      <c r="L623" s="32"/>
      <c r="M623" s="32"/>
      <c r="N623" s="32"/>
      <c r="O623" s="32"/>
      <c r="P623" s="4"/>
      <c r="Q623" s="32"/>
      <c r="R623" s="32" t="n">
        <f aca="false">$J623</f>
        <v>1</v>
      </c>
      <c r="S623" s="32" t="n">
        <f aca="false">$J623</f>
        <v>1</v>
      </c>
      <c r="T623" s="32" t="n">
        <f aca="false">$J623</f>
        <v>1</v>
      </c>
      <c r="U623" s="32" t="n">
        <f aca="false">$J623</f>
        <v>1</v>
      </c>
      <c r="V623" s="32" t="n">
        <f aca="false">$J623</f>
        <v>1</v>
      </c>
      <c r="W623" s="32" t="n">
        <f aca="false">$J623</f>
        <v>1</v>
      </c>
      <c r="X623" s="32" t="n">
        <f aca="false">$J623</f>
        <v>1</v>
      </c>
      <c r="Y623" s="32" t="n">
        <f aca="false">$J623</f>
        <v>1</v>
      </c>
      <c r="Z623" s="32" t="n">
        <f aca="false">$J623</f>
        <v>1</v>
      </c>
      <c r="AA623" s="32" t="n">
        <f aca="false">$J623</f>
        <v>1</v>
      </c>
      <c r="AB623" s="5" t="s">
        <v>1620</v>
      </c>
    </row>
    <row r="624" customFormat="false" ht="15" hidden="false" customHeight="false" outlineLevel="0" collapsed="false">
      <c r="A624" s="4" t="s">
        <v>381</v>
      </c>
      <c r="B624" s="4"/>
      <c r="C624" s="4"/>
      <c r="D624" s="5" t="s">
        <v>1641</v>
      </c>
      <c r="E624" s="4" t="n">
        <v>1</v>
      </c>
      <c r="F624" s="4" t="s">
        <v>82</v>
      </c>
      <c r="G624" s="5" t="s">
        <v>509</v>
      </c>
      <c r="H624" s="4" t="s">
        <v>1333</v>
      </c>
      <c r="I624" s="4" t="n">
        <v>1</v>
      </c>
      <c r="J624" s="4" t="n">
        <f aca="false">E624*I624</f>
        <v>1</v>
      </c>
      <c r="K624" s="4"/>
      <c r="L624" s="4"/>
      <c r="M624" s="4"/>
      <c r="N624" s="4"/>
      <c r="O624" s="4"/>
      <c r="P624" s="4"/>
      <c r="Q624" s="4"/>
      <c r="R624" s="4" t="n">
        <f aca="false">$J624</f>
        <v>1</v>
      </c>
      <c r="S624" s="4" t="n">
        <f aca="false">$J624</f>
        <v>1</v>
      </c>
      <c r="T624" s="4" t="n">
        <f aca="false">$J624</f>
        <v>1</v>
      </c>
      <c r="U624" s="4" t="n">
        <f aca="false">$J624</f>
        <v>1</v>
      </c>
      <c r="V624" s="4" t="n">
        <f aca="false">$J624</f>
        <v>1</v>
      </c>
      <c r="W624" s="4" t="n">
        <f aca="false">$J624</f>
        <v>1</v>
      </c>
      <c r="X624" s="4" t="n">
        <f aca="false">$J624</f>
        <v>1</v>
      </c>
      <c r="Y624" s="4" t="n">
        <f aca="false">$J624</f>
        <v>1</v>
      </c>
      <c r="Z624" s="4" t="n">
        <f aca="false">$J624</f>
        <v>1</v>
      </c>
      <c r="AA624" s="4" t="n">
        <f aca="false">$J624</f>
        <v>1</v>
      </c>
      <c r="AB624" s="5" t="s">
        <v>1642</v>
      </c>
    </row>
    <row r="625" customFormat="false" ht="15" hidden="false" customHeight="false" outlineLevel="0" collapsed="false">
      <c r="A625" s="4" t="s">
        <v>381</v>
      </c>
      <c r="B625" s="4" t="s">
        <v>1651</v>
      </c>
      <c r="C625" s="4" t="s">
        <v>1652</v>
      </c>
      <c r="D625" s="5" t="s">
        <v>1617</v>
      </c>
      <c r="E625" s="32" t="n">
        <v>1</v>
      </c>
      <c r="F625" s="4" t="s">
        <v>82</v>
      </c>
      <c r="G625" s="5" t="s">
        <v>1618</v>
      </c>
      <c r="H625" s="4" t="s">
        <v>1619</v>
      </c>
      <c r="I625" s="32" t="n">
        <v>1</v>
      </c>
      <c r="J625" s="32" t="n">
        <f aca="false">E625*I625</f>
        <v>1</v>
      </c>
      <c r="K625" s="4"/>
      <c r="L625" s="32"/>
      <c r="M625" s="32"/>
      <c r="N625" s="32"/>
      <c r="O625" s="32"/>
      <c r="P625" s="4"/>
      <c r="Q625" s="32"/>
      <c r="R625" s="32" t="n">
        <f aca="false">$J625</f>
        <v>1</v>
      </c>
      <c r="S625" s="32" t="n">
        <f aca="false">$J625</f>
        <v>1</v>
      </c>
      <c r="T625" s="32" t="n">
        <f aca="false">$J625</f>
        <v>1</v>
      </c>
      <c r="U625" s="32" t="n">
        <f aca="false">$J625</f>
        <v>1</v>
      </c>
      <c r="V625" s="32" t="n">
        <f aca="false">$J625</f>
        <v>1</v>
      </c>
      <c r="W625" s="32" t="n">
        <f aca="false">$J625</f>
        <v>1</v>
      </c>
      <c r="X625" s="32" t="n">
        <f aca="false">$J625</f>
        <v>1</v>
      </c>
      <c r="Y625" s="32" t="n">
        <f aca="false">$J625</f>
        <v>1</v>
      </c>
      <c r="Z625" s="32" t="n">
        <f aca="false">$J625</f>
        <v>1</v>
      </c>
      <c r="AA625" s="32" t="n">
        <f aca="false">$J625</f>
        <v>1</v>
      </c>
      <c r="AB625" s="5" t="s">
        <v>1620</v>
      </c>
    </row>
    <row r="626" customFormat="false" ht="15" hidden="false" customHeight="false" outlineLevel="0" collapsed="false">
      <c r="A626" s="4" t="s">
        <v>381</v>
      </c>
      <c r="B626" s="4" t="s">
        <v>1653</v>
      </c>
      <c r="C626" s="4" t="s">
        <v>1654</v>
      </c>
      <c r="D626" s="5" t="s">
        <v>1623</v>
      </c>
      <c r="E626" s="32" t="n">
        <v>1</v>
      </c>
      <c r="F626" s="4" t="s">
        <v>82</v>
      </c>
      <c r="G626" s="5" t="s">
        <v>1618</v>
      </c>
      <c r="H626" s="4" t="s">
        <v>1624</v>
      </c>
      <c r="I626" s="32" t="n">
        <v>1</v>
      </c>
      <c r="J626" s="32" t="n">
        <f aca="false">E626*I626</f>
        <v>1</v>
      </c>
      <c r="K626" s="4"/>
      <c r="L626" s="32"/>
      <c r="M626" s="32"/>
      <c r="N626" s="32"/>
      <c r="O626" s="32"/>
      <c r="P626" s="4"/>
      <c r="Q626" s="32"/>
      <c r="R626" s="32" t="n">
        <f aca="false">$J626</f>
        <v>1</v>
      </c>
      <c r="S626" s="32" t="n">
        <f aca="false">$J626</f>
        <v>1</v>
      </c>
      <c r="T626" s="32" t="n">
        <f aca="false">$J626</f>
        <v>1</v>
      </c>
      <c r="U626" s="32" t="n">
        <f aca="false">$J626</f>
        <v>1</v>
      </c>
      <c r="V626" s="32" t="n">
        <f aca="false">$J626</f>
        <v>1</v>
      </c>
      <c r="W626" s="32" t="n">
        <f aca="false">$J626</f>
        <v>1</v>
      </c>
      <c r="X626" s="32" t="n">
        <f aca="false">$J626</f>
        <v>1</v>
      </c>
      <c r="Y626" s="32" t="n">
        <f aca="false">$J626</f>
        <v>1</v>
      </c>
      <c r="Z626" s="32" t="n">
        <f aca="false">$J626</f>
        <v>1</v>
      </c>
      <c r="AA626" s="32" t="n">
        <f aca="false">$J626</f>
        <v>1</v>
      </c>
      <c r="AB626" s="5" t="s">
        <v>1620</v>
      </c>
    </row>
    <row r="627" customFormat="false" ht="15" hidden="false" customHeight="false" outlineLevel="0" collapsed="false">
      <c r="A627" s="4" t="s">
        <v>381</v>
      </c>
      <c r="B627" s="4" t="s">
        <v>1655</v>
      </c>
      <c r="C627" s="4" t="s">
        <v>1656</v>
      </c>
      <c r="D627" s="5" t="s">
        <v>1627</v>
      </c>
      <c r="E627" s="32" t="n">
        <v>1</v>
      </c>
      <c r="F627" s="4" t="s">
        <v>82</v>
      </c>
      <c r="G627" s="5" t="s">
        <v>1618</v>
      </c>
      <c r="H627" s="4" t="s">
        <v>1628</v>
      </c>
      <c r="I627" s="32" t="n">
        <v>1</v>
      </c>
      <c r="J627" s="32" t="n">
        <f aca="false">E627*I627</f>
        <v>1</v>
      </c>
      <c r="K627" s="4"/>
      <c r="L627" s="32"/>
      <c r="M627" s="32"/>
      <c r="N627" s="32"/>
      <c r="O627" s="32"/>
      <c r="P627" s="4"/>
      <c r="Q627" s="32"/>
      <c r="R627" s="32" t="n">
        <f aca="false">$J627</f>
        <v>1</v>
      </c>
      <c r="S627" s="32" t="n">
        <f aca="false">$J627</f>
        <v>1</v>
      </c>
      <c r="T627" s="32" t="n">
        <f aca="false">$J627</f>
        <v>1</v>
      </c>
      <c r="U627" s="32" t="n">
        <f aca="false">$J627</f>
        <v>1</v>
      </c>
      <c r="V627" s="32" t="n">
        <f aca="false">$J627</f>
        <v>1</v>
      </c>
      <c r="W627" s="32" t="n">
        <f aca="false">$J627</f>
        <v>1</v>
      </c>
      <c r="X627" s="32" t="n">
        <f aca="false">$J627</f>
        <v>1</v>
      </c>
      <c r="Y627" s="32" t="n">
        <f aca="false">$J627</f>
        <v>1</v>
      </c>
      <c r="Z627" s="32" t="n">
        <f aca="false">$J627</f>
        <v>1</v>
      </c>
      <c r="AA627" s="32" t="n">
        <f aca="false">$J627</f>
        <v>1</v>
      </c>
      <c r="AB627" s="5" t="s">
        <v>1620</v>
      </c>
    </row>
    <row r="628" customFormat="false" ht="15" hidden="false" customHeight="false" outlineLevel="0" collapsed="false">
      <c r="A628" s="4" t="s">
        <v>381</v>
      </c>
      <c r="B628" s="4" t="s">
        <v>1657</v>
      </c>
      <c r="C628" s="4" t="s">
        <v>1658</v>
      </c>
      <c r="D628" s="5" t="s">
        <v>1631</v>
      </c>
      <c r="E628" s="32" t="n">
        <v>1</v>
      </c>
      <c r="F628" s="4" t="s">
        <v>82</v>
      </c>
      <c r="G628" s="5" t="s">
        <v>1618</v>
      </c>
      <c r="H628" s="4" t="s">
        <v>1632</v>
      </c>
      <c r="I628" s="32" t="n">
        <v>1</v>
      </c>
      <c r="J628" s="32" t="n">
        <f aca="false">E628*I628</f>
        <v>1</v>
      </c>
      <c r="K628" s="4"/>
      <c r="L628" s="32"/>
      <c r="M628" s="32"/>
      <c r="N628" s="32"/>
      <c r="O628" s="32"/>
      <c r="P628" s="4"/>
      <c r="Q628" s="32"/>
      <c r="R628" s="32" t="n">
        <f aca="false">$J628</f>
        <v>1</v>
      </c>
      <c r="S628" s="32" t="n">
        <f aca="false">$J628</f>
        <v>1</v>
      </c>
      <c r="T628" s="32" t="n">
        <f aca="false">$J628</f>
        <v>1</v>
      </c>
      <c r="U628" s="32" t="n">
        <f aca="false">$J628</f>
        <v>1</v>
      </c>
      <c r="V628" s="32" t="n">
        <f aca="false">$J628</f>
        <v>1</v>
      </c>
      <c r="W628" s="32" t="n">
        <f aca="false">$J628</f>
        <v>1</v>
      </c>
      <c r="X628" s="32" t="n">
        <f aca="false">$J628</f>
        <v>1</v>
      </c>
      <c r="Y628" s="32" t="n">
        <f aca="false">$J628</f>
        <v>1</v>
      </c>
      <c r="Z628" s="32" t="n">
        <f aca="false">$J628</f>
        <v>1</v>
      </c>
      <c r="AA628" s="32" t="n">
        <f aca="false">$J628</f>
        <v>1</v>
      </c>
      <c r="AB628" s="5" t="s">
        <v>1620</v>
      </c>
    </row>
    <row r="629" customFormat="false" ht="15" hidden="false" customHeight="false" outlineLevel="0" collapsed="false">
      <c r="A629" s="4" t="s">
        <v>384</v>
      </c>
      <c r="B629" s="4"/>
      <c r="C629" s="4"/>
      <c r="D629" s="5" t="s">
        <v>1641</v>
      </c>
      <c r="E629" s="4" t="n">
        <v>1</v>
      </c>
      <c r="F629" s="4" t="s">
        <v>82</v>
      </c>
      <c r="G629" s="5" t="s">
        <v>509</v>
      </c>
      <c r="H629" s="4" t="s">
        <v>1334</v>
      </c>
      <c r="I629" s="4" t="n">
        <v>1</v>
      </c>
      <c r="J629" s="4" t="n">
        <f aca="false">E629*I629</f>
        <v>1</v>
      </c>
      <c r="K629" s="4"/>
      <c r="L629" s="4"/>
      <c r="M629" s="4"/>
      <c r="N629" s="4"/>
      <c r="O629" s="4"/>
      <c r="P629" s="4"/>
      <c r="Q629" s="4"/>
      <c r="R629" s="4" t="n">
        <f aca="false">$J629</f>
        <v>1</v>
      </c>
      <c r="S629" s="4" t="n">
        <f aca="false">$J629</f>
        <v>1</v>
      </c>
      <c r="T629" s="4" t="n">
        <f aca="false">$J629</f>
        <v>1</v>
      </c>
      <c r="U629" s="4" t="n">
        <f aca="false">$J629</f>
        <v>1</v>
      </c>
      <c r="V629" s="4" t="n">
        <f aca="false">$J629</f>
        <v>1</v>
      </c>
      <c r="W629" s="4" t="n">
        <f aca="false">$J629</f>
        <v>1</v>
      </c>
      <c r="X629" s="4" t="n">
        <f aca="false">$J629</f>
        <v>1</v>
      </c>
      <c r="Y629" s="4" t="n">
        <f aca="false">$J629</f>
        <v>1</v>
      </c>
      <c r="Z629" s="4" t="n">
        <f aca="false">$J629</f>
        <v>1</v>
      </c>
      <c r="AA629" s="4" t="n">
        <f aca="false">$J629</f>
        <v>1</v>
      </c>
      <c r="AB629" s="5" t="s">
        <v>1642</v>
      </c>
    </row>
    <row r="630" customFormat="false" ht="15" hidden="false" customHeight="false" outlineLevel="0" collapsed="false">
      <c r="A630" s="4" t="s">
        <v>384</v>
      </c>
      <c r="B630" s="4" t="s">
        <v>1659</v>
      </c>
      <c r="C630" s="4" t="s">
        <v>1660</v>
      </c>
      <c r="D630" s="5" t="s">
        <v>1617</v>
      </c>
      <c r="E630" s="32" t="n">
        <v>1</v>
      </c>
      <c r="F630" s="4" t="s">
        <v>82</v>
      </c>
      <c r="G630" s="5" t="s">
        <v>1618</v>
      </c>
      <c r="H630" s="4" t="s">
        <v>1619</v>
      </c>
      <c r="I630" s="32" t="n">
        <v>1</v>
      </c>
      <c r="J630" s="32" t="n">
        <f aca="false">E630*I630</f>
        <v>1</v>
      </c>
      <c r="K630" s="4"/>
      <c r="L630" s="32"/>
      <c r="M630" s="32"/>
      <c r="N630" s="32"/>
      <c r="O630" s="32"/>
      <c r="P630" s="4"/>
      <c r="Q630" s="32"/>
      <c r="R630" s="32" t="n">
        <f aca="false">$J630</f>
        <v>1</v>
      </c>
      <c r="S630" s="32" t="n">
        <f aca="false">$J630</f>
        <v>1</v>
      </c>
      <c r="T630" s="32" t="n">
        <f aca="false">$J630</f>
        <v>1</v>
      </c>
      <c r="U630" s="32" t="n">
        <f aca="false">$J630</f>
        <v>1</v>
      </c>
      <c r="V630" s="32" t="n">
        <f aca="false">$J630</f>
        <v>1</v>
      </c>
      <c r="W630" s="32" t="n">
        <f aca="false">$J630</f>
        <v>1</v>
      </c>
      <c r="X630" s="32" t="n">
        <f aca="false">$J630</f>
        <v>1</v>
      </c>
      <c r="Y630" s="32" t="n">
        <f aca="false">$J630</f>
        <v>1</v>
      </c>
      <c r="Z630" s="32" t="n">
        <f aca="false">$J630</f>
        <v>1</v>
      </c>
      <c r="AA630" s="32" t="n">
        <f aca="false">$J630</f>
        <v>1</v>
      </c>
      <c r="AB630" s="5" t="s">
        <v>1620</v>
      </c>
    </row>
    <row r="631" customFormat="false" ht="15" hidden="false" customHeight="false" outlineLevel="0" collapsed="false">
      <c r="A631" s="4" t="s">
        <v>384</v>
      </c>
      <c r="B631" s="4" t="s">
        <v>1661</v>
      </c>
      <c r="C631" s="4" t="s">
        <v>1662</v>
      </c>
      <c r="D631" s="5" t="s">
        <v>1623</v>
      </c>
      <c r="E631" s="32" t="n">
        <v>1</v>
      </c>
      <c r="F631" s="4" t="s">
        <v>82</v>
      </c>
      <c r="G631" s="5" t="s">
        <v>1618</v>
      </c>
      <c r="H631" s="4" t="s">
        <v>1624</v>
      </c>
      <c r="I631" s="32" t="n">
        <v>1</v>
      </c>
      <c r="J631" s="32" t="n">
        <f aca="false">E631*I631</f>
        <v>1</v>
      </c>
      <c r="K631" s="4"/>
      <c r="L631" s="32"/>
      <c r="M631" s="32"/>
      <c r="N631" s="32"/>
      <c r="O631" s="32"/>
      <c r="P631" s="4"/>
      <c r="Q631" s="32"/>
      <c r="R631" s="32" t="n">
        <f aca="false">$J631</f>
        <v>1</v>
      </c>
      <c r="S631" s="32" t="n">
        <f aca="false">$J631</f>
        <v>1</v>
      </c>
      <c r="T631" s="32" t="n">
        <f aca="false">$J631</f>
        <v>1</v>
      </c>
      <c r="U631" s="32" t="n">
        <f aca="false">$J631</f>
        <v>1</v>
      </c>
      <c r="V631" s="32" t="n">
        <f aca="false">$J631</f>
        <v>1</v>
      </c>
      <c r="W631" s="32" t="n">
        <f aca="false">$J631</f>
        <v>1</v>
      </c>
      <c r="X631" s="32" t="n">
        <f aca="false">$J631</f>
        <v>1</v>
      </c>
      <c r="Y631" s="32" t="n">
        <f aca="false">$J631</f>
        <v>1</v>
      </c>
      <c r="Z631" s="32" t="n">
        <f aca="false">$J631</f>
        <v>1</v>
      </c>
      <c r="AA631" s="32" t="n">
        <f aca="false">$J631</f>
        <v>1</v>
      </c>
      <c r="AB631" s="5" t="s">
        <v>1620</v>
      </c>
    </row>
    <row r="632" customFormat="false" ht="15" hidden="false" customHeight="false" outlineLevel="0" collapsed="false">
      <c r="A632" s="4" t="s">
        <v>384</v>
      </c>
      <c r="B632" s="4" t="s">
        <v>1663</v>
      </c>
      <c r="C632" s="4" t="s">
        <v>1664</v>
      </c>
      <c r="D632" s="5" t="s">
        <v>1627</v>
      </c>
      <c r="E632" s="32" t="n">
        <v>1</v>
      </c>
      <c r="F632" s="4" t="s">
        <v>82</v>
      </c>
      <c r="G632" s="5" t="s">
        <v>1618</v>
      </c>
      <c r="H632" s="4" t="s">
        <v>1628</v>
      </c>
      <c r="I632" s="32" t="n">
        <v>1</v>
      </c>
      <c r="J632" s="32" t="n">
        <f aca="false">E632*I632</f>
        <v>1</v>
      </c>
      <c r="K632" s="4"/>
      <c r="L632" s="32"/>
      <c r="M632" s="32"/>
      <c r="N632" s="32"/>
      <c r="O632" s="32"/>
      <c r="P632" s="4"/>
      <c r="Q632" s="32"/>
      <c r="R632" s="32" t="n">
        <f aca="false">$J632</f>
        <v>1</v>
      </c>
      <c r="S632" s="32" t="n">
        <f aca="false">$J632</f>
        <v>1</v>
      </c>
      <c r="T632" s="32" t="n">
        <f aca="false">$J632</f>
        <v>1</v>
      </c>
      <c r="U632" s="32" t="n">
        <f aca="false">$J632</f>
        <v>1</v>
      </c>
      <c r="V632" s="32" t="n">
        <f aca="false">$J632</f>
        <v>1</v>
      </c>
      <c r="W632" s="32" t="n">
        <f aca="false">$J632</f>
        <v>1</v>
      </c>
      <c r="X632" s="32" t="n">
        <f aca="false">$J632</f>
        <v>1</v>
      </c>
      <c r="Y632" s="32" t="n">
        <f aca="false">$J632</f>
        <v>1</v>
      </c>
      <c r="Z632" s="32" t="n">
        <f aca="false">$J632</f>
        <v>1</v>
      </c>
      <c r="AA632" s="32" t="n">
        <f aca="false">$J632</f>
        <v>1</v>
      </c>
      <c r="AB632" s="5" t="s">
        <v>1620</v>
      </c>
    </row>
    <row r="633" customFormat="false" ht="15" hidden="false" customHeight="false" outlineLevel="0" collapsed="false">
      <c r="A633" s="4" t="s">
        <v>384</v>
      </c>
      <c r="B633" s="4" t="s">
        <v>1665</v>
      </c>
      <c r="C633" s="4" t="s">
        <v>1666</v>
      </c>
      <c r="D633" s="5" t="s">
        <v>1631</v>
      </c>
      <c r="E633" s="32" t="n">
        <v>1</v>
      </c>
      <c r="F633" s="4" t="s">
        <v>82</v>
      </c>
      <c r="G633" s="5" t="s">
        <v>1618</v>
      </c>
      <c r="H633" s="4" t="s">
        <v>1632</v>
      </c>
      <c r="I633" s="32" t="n">
        <v>1</v>
      </c>
      <c r="J633" s="32" t="n">
        <f aca="false">E633*I633</f>
        <v>1</v>
      </c>
      <c r="K633" s="4"/>
      <c r="L633" s="32"/>
      <c r="M633" s="32"/>
      <c r="N633" s="32"/>
      <c r="O633" s="32"/>
      <c r="P633" s="4"/>
      <c r="Q633" s="32"/>
      <c r="R633" s="32" t="n">
        <f aca="false">$J633</f>
        <v>1</v>
      </c>
      <c r="S633" s="32" t="n">
        <f aca="false">$J633</f>
        <v>1</v>
      </c>
      <c r="T633" s="32" t="n">
        <f aca="false">$J633</f>
        <v>1</v>
      </c>
      <c r="U633" s="32" t="n">
        <f aca="false">$J633</f>
        <v>1</v>
      </c>
      <c r="V633" s="32" t="n">
        <f aca="false">$J633</f>
        <v>1</v>
      </c>
      <c r="W633" s="32" t="n">
        <f aca="false">$J633</f>
        <v>1</v>
      </c>
      <c r="X633" s="32" t="n">
        <f aca="false">$J633</f>
        <v>1</v>
      </c>
      <c r="Y633" s="32" t="n">
        <f aca="false">$J633</f>
        <v>1</v>
      </c>
      <c r="Z633" s="32" t="n">
        <f aca="false">$J633</f>
        <v>1</v>
      </c>
      <c r="AA633" s="32" t="n">
        <f aca="false">$J633</f>
        <v>1</v>
      </c>
      <c r="AB633" s="5" t="s">
        <v>1620</v>
      </c>
    </row>
    <row r="634" customFormat="false" ht="15" hidden="false" customHeight="false" outlineLevel="0" collapsed="false">
      <c r="A634" s="4" t="s">
        <v>387</v>
      </c>
      <c r="B634" s="4"/>
      <c r="C634" s="4"/>
      <c r="D634" s="5" t="s">
        <v>1641</v>
      </c>
      <c r="E634" s="4" t="n">
        <v>1</v>
      </c>
      <c r="F634" s="4" t="s">
        <v>82</v>
      </c>
      <c r="G634" s="5" t="s">
        <v>509</v>
      </c>
      <c r="H634" s="4" t="s">
        <v>1335</v>
      </c>
      <c r="I634" s="4" t="n">
        <v>1</v>
      </c>
      <c r="J634" s="4" t="n">
        <f aca="false">E634*I634</f>
        <v>1</v>
      </c>
      <c r="K634" s="4"/>
      <c r="L634" s="4"/>
      <c r="M634" s="4"/>
      <c r="N634" s="4"/>
      <c r="O634" s="4"/>
      <c r="P634" s="4"/>
      <c r="Q634" s="4"/>
      <c r="R634" s="4" t="n">
        <f aca="false">$J634</f>
        <v>1</v>
      </c>
      <c r="S634" s="4" t="n">
        <f aca="false">$J634</f>
        <v>1</v>
      </c>
      <c r="T634" s="4" t="n">
        <f aca="false">$J634</f>
        <v>1</v>
      </c>
      <c r="U634" s="4" t="n">
        <f aca="false">$J634</f>
        <v>1</v>
      </c>
      <c r="V634" s="4" t="n">
        <f aca="false">$J634</f>
        <v>1</v>
      </c>
      <c r="W634" s="4" t="n">
        <f aca="false">$J634</f>
        <v>1</v>
      </c>
      <c r="X634" s="4" t="n">
        <f aca="false">$J634</f>
        <v>1</v>
      </c>
      <c r="Y634" s="4" t="n">
        <f aca="false">$J634</f>
        <v>1</v>
      </c>
      <c r="Z634" s="4" t="n">
        <f aca="false">$J634</f>
        <v>1</v>
      </c>
      <c r="AA634" s="4" t="n">
        <f aca="false">$J634</f>
        <v>1</v>
      </c>
      <c r="AB634" s="5" t="s">
        <v>1642</v>
      </c>
    </row>
    <row r="635" customFormat="false" ht="15" hidden="false" customHeight="false" outlineLevel="0" collapsed="false">
      <c r="A635" s="4" t="s">
        <v>387</v>
      </c>
      <c r="B635" s="4" t="s">
        <v>1667</v>
      </c>
      <c r="C635" s="4" t="s">
        <v>1668</v>
      </c>
      <c r="D635" s="5" t="s">
        <v>1617</v>
      </c>
      <c r="E635" s="32" t="n">
        <v>1</v>
      </c>
      <c r="F635" s="4" t="s">
        <v>82</v>
      </c>
      <c r="G635" s="5" t="s">
        <v>1618</v>
      </c>
      <c r="H635" s="4" t="s">
        <v>1619</v>
      </c>
      <c r="I635" s="32" t="n">
        <v>1</v>
      </c>
      <c r="J635" s="32" t="n">
        <f aca="false">E635*I635</f>
        <v>1</v>
      </c>
      <c r="K635" s="4"/>
      <c r="L635" s="32"/>
      <c r="M635" s="32"/>
      <c r="N635" s="32"/>
      <c r="O635" s="32"/>
      <c r="P635" s="4"/>
      <c r="Q635" s="32"/>
      <c r="R635" s="32" t="n">
        <f aca="false">$J635</f>
        <v>1</v>
      </c>
      <c r="S635" s="32" t="n">
        <f aca="false">$J635</f>
        <v>1</v>
      </c>
      <c r="T635" s="32" t="n">
        <f aca="false">$J635</f>
        <v>1</v>
      </c>
      <c r="U635" s="32" t="n">
        <f aca="false">$J635</f>
        <v>1</v>
      </c>
      <c r="V635" s="32" t="n">
        <f aca="false">$J635</f>
        <v>1</v>
      </c>
      <c r="W635" s="32" t="n">
        <f aca="false">$J635</f>
        <v>1</v>
      </c>
      <c r="X635" s="32" t="n">
        <f aca="false">$J635</f>
        <v>1</v>
      </c>
      <c r="Y635" s="32" t="n">
        <f aca="false">$J635</f>
        <v>1</v>
      </c>
      <c r="Z635" s="32" t="n">
        <f aca="false">$J635</f>
        <v>1</v>
      </c>
      <c r="AA635" s="32" t="n">
        <f aca="false">$J635</f>
        <v>1</v>
      </c>
      <c r="AB635" s="5" t="s">
        <v>1620</v>
      </c>
    </row>
    <row r="636" customFormat="false" ht="15" hidden="false" customHeight="false" outlineLevel="0" collapsed="false">
      <c r="A636" s="4" t="s">
        <v>387</v>
      </c>
      <c r="B636" s="4" t="s">
        <v>1669</v>
      </c>
      <c r="C636" s="4" t="s">
        <v>1670</v>
      </c>
      <c r="D636" s="5" t="s">
        <v>1623</v>
      </c>
      <c r="E636" s="32" t="n">
        <v>1</v>
      </c>
      <c r="F636" s="4" t="s">
        <v>82</v>
      </c>
      <c r="G636" s="5" t="s">
        <v>1618</v>
      </c>
      <c r="H636" s="4" t="s">
        <v>1624</v>
      </c>
      <c r="I636" s="32" t="n">
        <v>1</v>
      </c>
      <c r="J636" s="32" t="n">
        <f aca="false">E636*I636</f>
        <v>1</v>
      </c>
      <c r="K636" s="4"/>
      <c r="L636" s="32"/>
      <c r="M636" s="32"/>
      <c r="N636" s="32"/>
      <c r="O636" s="32"/>
      <c r="P636" s="4"/>
      <c r="Q636" s="32"/>
      <c r="R636" s="32" t="n">
        <f aca="false">$J636</f>
        <v>1</v>
      </c>
      <c r="S636" s="32" t="n">
        <f aca="false">$J636</f>
        <v>1</v>
      </c>
      <c r="T636" s="32" t="n">
        <f aca="false">$J636</f>
        <v>1</v>
      </c>
      <c r="U636" s="32" t="n">
        <f aca="false">$J636</f>
        <v>1</v>
      </c>
      <c r="V636" s="32" t="n">
        <f aca="false">$J636</f>
        <v>1</v>
      </c>
      <c r="W636" s="32" t="n">
        <f aca="false">$J636</f>
        <v>1</v>
      </c>
      <c r="X636" s="32" t="n">
        <f aca="false">$J636</f>
        <v>1</v>
      </c>
      <c r="Y636" s="32" t="n">
        <f aca="false">$J636</f>
        <v>1</v>
      </c>
      <c r="Z636" s="32" t="n">
        <f aca="false">$J636</f>
        <v>1</v>
      </c>
      <c r="AA636" s="32" t="n">
        <f aca="false">$J636</f>
        <v>1</v>
      </c>
      <c r="AB636" s="5" t="s">
        <v>1620</v>
      </c>
    </row>
    <row r="637" customFormat="false" ht="15" hidden="false" customHeight="false" outlineLevel="0" collapsed="false">
      <c r="A637" s="4" t="s">
        <v>387</v>
      </c>
      <c r="B637" s="4" t="s">
        <v>1671</v>
      </c>
      <c r="C637" s="4" t="s">
        <v>1672</v>
      </c>
      <c r="D637" s="5" t="s">
        <v>1627</v>
      </c>
      <c r="E637" s="32" t="n">
        <v>1</v>
      </c>
      <c r="F637" s="4" t="s">
        <v>82</v>
      </c>
      <c r="G637" s="5" t="s">
        <v>1618</v>
      </c>
      <c r="H637" s="4" t="s">
        <v>1628</v>
      </c>
      <c r="I637" s="32" t="n">
        <v>1</v>
      </c>
      <c r="J637" s="32" t="n">
        <f aca="false">E637*I637</f>
        <v>1</v>
      </c>
      <c r="K637" s="4"/>
      <c r="L637" s="32"/>
      <c r="M637" s="32"/>
      <c r="N637" s="32"/>
      <c r="O637" s="32"/>
      <c r="P637" s="4"/>
      <c r="Q637" s="32"/>
      <c r="R637" s="32" t="n">
        <f aca="false">$J637</f>
        <v>1</v>
      </c>
      <c r="S637" s="32" t="n">
        <f aca="false">$J637</f>
        <v>1</v>
      </c>
      <c r="T637" s="32" t="n">
        <f aca="false">$J637</f>
        <v>1</v>
      </c>
      <c r="U637" s="32" t="n">
        <f aca="false">$J637</f>
        <v>1</v>
      </c>
      <c r="V637" s="32" t="n">
        <f aca="false">$J637</f>
        <v>1</v>
      </c>
      <c r="W637" s="32" t="n">
        <f aca="false">$J637</f>
        <v>1</v>
      </c>
      <c r="X637" s="32" t="n">
        <f aca="false">$J637</f>
        <v>1</v>
      </c>
      <c r="Y637" s="32" t="n">
        <f aca="false">$J637</f>
        <v>1</v>
      </c>
      <c r="Z637" s="32" t="n">
        <f aca="false">$J637</f>
        <v>1</v>
      </c>
      <c r="AA637" s="32" t="n">
        <f aca="false">$J637</f>
        <v>1</v>
      </c>
      <c r="AB637" s="5" t="s">
        <v>1620</v>
      </c>
    </row>
    <row r="638" customFormat="false" ht="15" hidden="false" customHeight="false" outlineLevel="0" collapsed="false">
      <c r="A638" s="4" t="s">
        <v>387</v>
      </c>
      <c r="B638" s="4" t="s">
        <v>1673</v>
      </c>
      <c r="C638" s="4" t="s">
        <v>1674</v>
      </c>
      <c r="D638" s="5" t="s">
        <v>1631</v>
      </c>
      <c r="E638" s="32" t="n">
        <v>1</v>
      </c>
      <c r="F638" s="4" t="s">
        <v>82</v>
      </c>
      <c r="G638" s="5" t="s">
        <v>1618</v>
      </c>
      <c r="H638" s="4" t="s">
        <v>1632</v>
      </c>
      <c r="I638" s="32" t="n">
        <v>1</v>
      </c>
      <c r="J638" s="32" t="n">
        <f aca="false">E638*I638</f>
        <v>1</v>
      </c>
      <c r="K638" s="4"/>
      <c r="L638" s="32"/>
      <c r="M638" s="32"/>
      <c r="N638" s="32"/>
      <c r="O638" s="32"/>
      <c r="P638" s="4"/>
      <c r="Q638" s="32"/>
      <c r="R638" s="32" t="n">
        <f aca="false">$J638</f>
        <v>1</v>
      </c>
      <c r="S638" s="32" t="n">
        <f aca="false">$J638</f>
        <v>1</v>
      </c>
      <c r="T638" s="32" t="n">
        <f aca="false">$J638</f>
        <v>1</v>
      </c>
      <c r="U638" s="32" t="n">
        <f aca="false">$J638</f>
        <v>1</v>
      </c>
      <c r="V638" s="32" t="n">
        <f aca="false">$J638</f>
        <v>1</v>
      </c>
      <c r="W638" s="32" t="n">
        <f aca="false">$J638</f>
        <v>1</v>
      </c>
      <c r="X638" s="32" t="n">
        <f aca="false">$J638</f>
        <v>1</v>
      </c>
      <c r="Y638" s="32" t="n">
        <f aca="false">$J638</f>
        <v>1</v>
      </c>
      <c r="Z638" s="32" t="n">
        <f aca="false">$J638</f>
        <v>1</v>
      </c>
      <c r="AA638" s="32" t="n">
        <f aca="false">$J638</f>
        <v>1</v>
      </c>
      <c r="AB638" s="5" t="s">
        <v>1620</v>
      </c>
    </row>
    <row r="639" customFormat="false" ht="15" hidden="false" customHeight="false" outlineLevel="0" collapsed="false">
      <c r="A639" s="4" t="s">
        <v>390</v>
      </c>
      <c r="B639" s="4"/>
      <c r="C639" s="4"/>
      <c r="D639" s="5" t="s">
        <v>1641</v>
      </c>
      <c r="E639" s="4" t="n">
        <v>1</v>
      </c>
      <c r="F639" s="4" t="s">
        <v>82</v>
      </c>
      <c r="G639" s="5" t="s">
        <v>509</v>
      </c>
      <c r="H639" s="4" t="s">
        <v>1336</v>
      </c>
      <c r="I639" s="4" t="n">
        <v>1</v>
      </c>
      <c r="J639" s="4" t="n">
        <f aca="false">E639*I639</f>
        <v>1</v>
      </c>
      <c r="K639" s="4"/>
      <c r="L639" s="4"/>
      <c r="M639" s="4"/>
      <c r="N639" s="4"/>
      <c r="O639" s="4"/>
      <c r="P639" s="4"/>
      <c r="Q639" s="4"/>
      <c r="R639" s="4" t="n">
        <f aca="false">$J639</f>
        <v>1</v>
      </c>
      <c r="S639" s="4" t="n">
        <f aca="false">$J639</f>
        <v>1</v>
      </c>
      <c r="T639" s="4" t="n">
        <f aca="false">$J639</f>
        <v>1</v>
      </c>
      <c r="U639" s="4" t="n">
        <f aca="false">$J639</f>
        <v>1</v>
      </c>
      <c r="V639" s="4" t="n">
        <f aca="false">$J639</f>
        <v>1</v>
      </c>
      <c r="W639" s="4" t="n">
        <f aca="false">$J639</f>
        <v>1</v>
      </c>
      <c r="X639" s="4" t="n">
        <f aca="false">$J639</f>
        <v>1</v>
      </c>
      <c r="Y639" s="4" t="n">
        <f aca="false">$J639</f>
        <v>1</v>
      </c>
      <c r="Z639" s="4" t="n">
        <f aca="false">$J639</f>
        <v>1</v>
      </c>
      <c r="AA639" s="4" t="n">
        <f aca="false">$J639</f>
        <v>1</v>
      </c>
      <c r="AB639" s="5" t="s">
        <v>1642</v>
      </c>
    </row>
    <row r="640" customFormat="false" ht="15" hidden="false" customHeight="false" outlineLevel="0" collapsed="false">
      <c r="A640" s="4" t="s">
        <v>390</v>
      </c>
      <c r="B640" s="4" t="s">
        <v>1675</v>
      </c>
      <c r="C640" s="4" t="s">
        <v>1676</v>
      </c>
      <c r="D640" s="5" t="s">
        <v>1617</v>
      </c>
      <c r="E640" s="32" t="n">
        <v>1</v>
      </c>
      <c r="F640" s="4" t="s">
        <v>82</v>
      </c>
      <c r="G640" s="5" t="s">
        <v>1618</v>
      </c>
      <c r="H640" s="4" t="s">
        <v>1619</v>
      </c>
      <c r="I640" s="32" t="n">
        <v>1</v>
      </c>
      <c r="J640" s="32" t="n">
        <f aca="false">E640*I640</f>
        <v>1</v>
      </c>
      <c r="K640" s="4"/>
      <c r="L640" s="32"/>
      <c r="M640" s="32"/>
      <c r="N640" s="32"/>
      <c r="O640" s="32"/>
      <c r="P640" s="4"/>
      <c r="Q640" s="32"/>
      <c r="R640" s="32" t="n">
        <f aca="false">$J640</f>
        <v>1</v>
      </c>
      <c r="S640" s="32" t="n">
        <f aca="false">$J640</f>
        <v>1</v>
      </c>
      <c r="T640" s="32" t="n">
        <f aca="false">$J640</f>
        <v>1</v>
      </c>
      <c r="U640" s="32" t="n">
        <f aca="false">$J640</f>
        <v>1</v>
      </c>
      <c r="V640" s="32" t="n">
        <f aca="false">$J640</f>
        <v>1</v>
      </c>
      <c r="W640" s="32" t="n">
        <f aca="false">$J640</f>
        <v>1</v>
      </c>
      <c r="X640" s="32" t="n">
        <f aca="false">$J640</f>
        <v>1</v>
      </c>
      <c r="Y640" s="32" t="n">
        <f aca="false">$J640</f>
        <v>1</v>
      </c>
      <c r="Z640" s="32" t="n">
        <f aca="false">$J640</f>
        <v>1</v>
      </c>
      <c r="AA640" s="32" t="n">
        <f aca="false">$J640</f>
        <v>1</v>
      </c>
      <c r="AB640" s="5" t="s">
        <v>1620</v>
      </c>
    </row>
    <row r="641" customFormat="false" ht="15" hidden="false" customHeight="false" outlineLevel="0" collapsed="false">
      <c r="A641" s="4" t="s">
        <v>390</v>
      </c>
      <c r="B641" s="4" t="s">
        <v>1677</v>
      </c>
      <c r="C641" s="4" t="s">
        <v>1678</v>
      </c>
      <c r="D641" s="5" t="s">
        <v>1623</v>
      </c>
      <c r="E641" s="32" t="n">
        <v>1</v>
      </c>
      <c r="F641" s="4" t="s">
        <v>82</v>
      </c>
      <c r="G641" s="5" t="s">
        <v>1618</v>
      </c>
      <c r="H641" s="4" t="s">
        <v>1624</v>
      </c>
      <c r="I641" s="32" t="n">
        <v>1</v>
      </c>
      <c r="J641" s="32" t="n">
        <f aca="false">E641*I641</f>
        <v>1</v>
      </c>
      <c r="K641" s="4"/>
      <c r="L641" s="32"/>
      <c r="M641" s="32"/>
      <c r="N641" s="32"/>
      <c r="O641" s="32"/>
      <c r="P641" s="4"/>
      <c r="Q641" s="32"/>
      <c r="R641" s="32" t="n">
        <f aca="false">$J641</f>
        <v>1</v>
      </c>
      <c r="S641" s="32" t="n">
        <f aca="false">$J641</f>
        <v>1</v>
      </c>
      <c r="T641" s="32" t="n">
        <f aca="false">$J641</f>
        <v>1</v>
      </c>
      <c r="U641" s="32" t="n">
        <f aca="false">$J641</f>
        <v>1</v>
      </c>
      <c r="V641" s="32" t="n">
        <f aca="false">$J641</f>
        <v>1</v>
      </c>
      <c r="W641" s="32" t="n">
        <f aca="false">$J641</f>
        <v>1</v>
      </c>
      <c r="X641" s="32" t="n">
        <f aca="false">$J641</f>
        <v>1</v>
      </c>
      <c r="Y641" s="32" t="n">
        <f aca="false">$J641</f>
        <v>1</v>
      </c>
      <c r="Z641" s="32" t="n">
        <f aca="false">$J641</f>
        <v>1</v>
      </c>
      <c r="AA641" s="32" t="n">
        <f aca="false">$J641</f>
        <v>1</v>
      </c>
      <c r="AB641" s="5" t="s">
        <v>1620</v>
      </c>
    </row>
    <row r="642" customFormat="false" ht="15" hidden="false" customHeight="false" outlineLevel="0" collapsed="false">
      <c r="A642" s="4" t="s">
        <v>390</v>
      </c>
      <c r="B642" s="4" t="s">
        <v>1679</v>
      </c>
      <c r="C642" s="4" t="s">
        <v>1680</v>
      </c>
      <c r="D642" s="5" t="s">
        <v>1627</v>
      </c>
      <c r="E642" s="32" t="n">
        <v>1</v>
      </c>
      <c r="F642" s="4" t="s">
        <v>82</v>
      </c>
      <c r="G642" s="5" t="s">
        <v>1618</v>
      </c>
      <c r="H642" s="4" t="s">
        <v>1628</v>
      </c>
      <c r="I642" s="32" t="n">
        <v>1</v>
      </c>
      <c r="J642" s="32" t="n">
        <f aca="false">E642*I642</f>
        <v>1</v>
      </c>
      <c r="K642" s="4"/>
      <c r="L642" s="32"/>
      <c r="M642" s="32"/>
      <c r="N642" s="32"/>
      <c r="O642" s="32"/>
      <c r="P642" s="4"/>
      <c r="Q642" s="32"/>
      <c r="R642" s="32" t="n">
        <f aca="false">$J642</f>
        <v>1</v>
      </c>
      <c r="S642" s="32" t="n">
        <f aca="false">$J642</f>
        <v>1</v>
      </c>
      <c r="T642" s="32" t="n">
        <f aca="false">$J642</f>
        <v>1</v>
      </c>
      <c r="U642" s="32" t="n">
        <f aca="false">$J642</f>
        <v>1</v>
      </c>
      <c r="V642" s="32" t="n">
        <f aca="false">$J642</f>
        <v>1</v>
      </c>
      <c r="W642" s="32" t="n">
        <f aca="false">$J642</f>
        <v>1</v>
      </c>
      <c r="X642" s="32" t="n">
        <f aca="false">$J642</f>
        <v>1</v>
      </c>
      <c r="Y642" s="32" t="n">
        <f aca="false">$J642</f>
        <v>1</v>
      </c>
      <c r="Z642" s="32" t="n">
        <f aca="false">$J642</f>
        <v>1</v>
      </c>
      <c r="AA642" s="32" t="n">
        <f aca="false">$J642</f>
        <v>1</v>
      </c>
      <c r="AB642" s="5" t="s">
        <v>1620</v>
      </c>
    </row>
    <row r="643" customFormat="false" ht="15" hidden="false" customHeight="false" outlineLevel="0" collapsed="false">
      <c r="A643" s="4" t="s">
        <v>390</v>
      </c>
      <c r="B643" s="4" t="s">
        <v>1681</v>
      </c>
      <c r="C643" s="4" t="s">
        <v>1682</v>
      </c>
      <c r="D643" s="5" t="s">
        <v>1631</v>
      </c>
      <c r="E643" s="32" t="n">
        <v>1</v>
      </c>
      <c r="F643" s="4" t="s">
        <v>82</v>
      </c>
      <c r="G643" s="5" t="s">
        <v>1618</v>
      </c>
      <c r="H643" s="4" t="s">
        <v>1632</v>
      </c>
      <c r="I643" s="32" t="n">
        <v>1</v>
      </c>
      <c r="J643" s="32" t="n">
        <f aca="false">E643*I643</f>
        <v>1</v>
      </c>
      <c r="K643" s="4"/>
      <c r="L643" s="32"/>
      <c r="M643" s="32"/>
      <c r="N643" s="32"/>
      <c r="O643" s="32"/>
      <c r="P643" s="4"/>
      <c r="Q643" s="32"/>
      <c r="R643" s="32" t="n">
        <f aca="false">$J643</f>
        <v>1</v>
      </c>
      <c r="S643" s="32" t="n">
        <f aca="false">$J643</f>
        <v>1</v>
      </c>
      <c r="T643" s="32" t="n">
        <f aca="false">$J643</f>
        <v>1</v>
      </c>
      <c r="U643" s="32" t="n">
        <f aca="false">$J643</f>
        <v>1</v>
      </c>
      <c r="V643" s="32" t="n">
        <f aca="false">$J643</f>
        <v>1</v>
      </c>
      <c r="W643" s="32" t="n">
        <f aca="false">$J643</f>
        <v>1</v>
      </c>
      <c r="X643" s="32" t="n">
        <f aca="false">$J643</f>
        <v>1</v>
      </c>
      <c r="Y643" s="32" t="n">
        <f aca="false">$J643</f>
        <v>1</v>
      </c>
      <c r="Z643" s="32" t="n">
        <f aca="false">$J643</f>
        <v>1</v>
      </c>
      <c r="AA643" s="32" t="n">
        <f aca="false">$J643</f>
        <v>1</v>
      </c>
      <c r="AB643" s="5" t="s">
        <v>1620</v>
      </c>
    </row>
    <row r="644" customFormat="false" ht="15" hidden="false" customHeight="false" outlineLevel="0" collapsed="false">
      <c r="A644" s="4" t="s">
        <v>393</v>
      </c>
      <c r="B644" s="4"/>
      <c r="C644" s="4"/>
      <c r="D644" s="5" t="s">
        <v>1641</v>
      </c>
      <c r="E644" s="4" t="n">
        <v>1</v>
      </c>
      <c r="F644" s="4" t="s">
        <v>82</v>
      </c>
      <c r="G644" s="5" t="s">
        <v>509</v>
      </c>
      <c r="H644" s="4" t="s">
        <v>1338</v>
      </c>
      <c r="I644" s="4" t="n">
        <v>1</v>
      </c>
      <c r="J644" s="4" t="n">
        <f aca="false">E644*I644</f>
        <v>1</v>
      </c>
      <c r="K644" s="4"/>
      <c r="L644" s="4"/>
      <c r="M644" s="4"/>
      <c r="N644" s="4"/>
      <c r="O644" s="4"/>
      <c r="P644" s="4"/>
      <c r="Q644" s="4"/>
      <c r="R644" s="4" t="n">
        <f aca="false">$J644</f>
        <v>1</v>
      </c>
      <c r="S644" s="4" t="n">
        <f aca="false">$J644</f>
        <v>1</v>
      </c>
      <c r="T644" s="4" t="n">
        <f aca="false">$J644</f>
        <v>1</v>
      </c>
      <c r="U644" s="4" t="n">
        <f aca="false">$J644</f>
        <v>1</v>
      </c>
      <c r="V644" s="4" t="n">
        <f aca="false">$J644</f>
        <v>1</v>
      </c>
      <c r="W644" s="4" t="n">
        <f aca="false">$J644</f>
        <v>1</v>
      </c>
      <c r="X644" s="4" t="n">
        <f aca="false">$J644</f>
        <v>1</v>
      </c>
      <c r="Y644" s="4" t="n">
        <f aca="false">$J644</f>
        <v>1</v>
      </c>
      <c r="Z644" s="4" t="n">
        <f aca="false">$J644</f>
        <v>1</v>
      </c>
      <c r="AA644" s="4" t="n">
        <f aca="false">$J644</f>
        <v>1</v>
      </c>
      <c r="AB644" s="5" t="s">
        <v>1642</v>
      </c>
    </row>
    <row r="645" customFormat="false" ht="15" hidden="false" customHeight="false" outlineLevel="0" collapsed="false">
      <c r="A645" s="4" t="s">
        <v>393</v>
      </c>
      <c r="B645" s="4" t="s">
        <v>1683</v>
      </c>
      <c r="C645" s="4" t="s">
        <v>1684</v>
      </c>
      <c r="D645" s="5" t="s">
        <v>1617</v>
      </c>
      <c r="E645" s="32" t="n">
        <v>1</v>
      </c>
      <c r="F645" s="4" t="s">
        <v>82</v>
      </c>
      <c r="G645" s="5" t="s">
        <v>1618</v>
      </c>
      <c r="H645" s="4" t="s">
        <v>1619</v>
      </c>
      <c r="I645" s="32" t="n">
        <v>1</v>
      </c>
      <c r="J645" s="32" t="n">
        <f aca="false">E645*I645</f>
        <v>1</v>
      </c>
      <c r="K645" s="4"/>
      <c r="L645" s="32"/>
      <c r="M645" s="32"/>
      <c r="N645" s="32"/>
      <c r="O645" s="32"/>
      <c r="P645" s="4"/>
      <c r="Q645" s="32"/>
      <c r="R645" s="32" t="n">
        <f aca="false">$J645</f>
        <v>1</v>
      </c>
      <c r="S645" s="32" t="n">
        <f aca="false">$J645</f>
        <v>1</v>
      </c>
      <c r="T645" s="32" t="n">
        <f aca="false">$J645</f>
        <v>1</v>
      </c>
      <c r="U645" s="32" t="n">
        <f aca="false">$J645</f>
        <v>1</v>
      </c>
      <c r="V645" s="32" t="n">
        <f aca="false">$J645</f>
        <v>1</v>
      </c>
      <c r="W645" s="32" t="n">
        <f aca="false">$J645</f>
        <v>1</v>
      </c>
      <c r="X645" s="32" t="n">
        <f aca="false">$J645</f>
        <v>1</v>
      </c>
      <c r="Y645" s="32" t="n">
        <f aca="false">$J645</f>
        <v>1</v>
      </c>
      <c r="Z645" s="32" t="n">
        <f aca="false">$J645</f>
        <v>1</v>
      </c>
      <c r="AA645" s="32" t="n">
        <f aca="false">$J645</f>
        <v>1</v>
      </c>
      <c r="AB645" s="5" t="s">
        <v>1620</v>
      </c>
    </row>
    <row r="646" customFormat="false" ht="15" hidden="false" customHeight="false" outlineLevel="0" collapsed="false">
      <c r="A646" s="4" t="s">
        <v>393</v>
      </c>
      <c r="B646" s="4" t="s">
        <v>1685</v>
      </c>
      <c r="C646" s="4" t="s">
        <v>1686</v>
      </c>
      <c r="D646" s="5" t="s">
        <v>1623</v>
      </c>
      <c r="E646" s="32" t="n">
        <v>1</v>
      </c>
      <c r="F646" s="4" t="s">
        <v>82</v>
      </c>
      <c r="G646" s="5" t="s">
        <v>1618</v>
      </c>
      <c r="H646" s="4" t="s">
        <v>1624</v>
      </c>
      <c r="I646" s="32" t="n">
        <v>1</v>
      </c>
      <c r="J646" s="32" t="n">
        <f aca="false">E646*I646</f>
        <v>1</v>
      </c>
      <c r="K646" s="4"/>
      <c r="L646" s="32"/>
      <c r="M646" s="32"/>
      <c r="N646" s="32"/>
      <c r="O646" s="32"/>
      <c r="P646" s="4"/>
      <c r="Q646" s="32"/>
      <c r="R646" s="32" t="n">
        <f aca="false">$J646</f>
        <v>1</v>
      </c>
      <c r="S646" s="32" t="n">
        <f aca="false">$J646</f>
        <v>1</v>
      </c>
      <c r="T646" s="32" t="n">
        <f aca="false">$J646</f>
        <v>1</v>
      </c>
      <c r="U646" s="32" t="n">
        <f aca="false">$J646</f>
        <v>1</v>
      </c>
      <c r="V646" s="32" t="n">
        <f aca="false">$J646</f>
        <v>1</v>
      </c>
      <c r="W646" s="32" t="n">
        <f aca="false">$J646</f>
        <v>1</v>
      </c>
      <c r="X646" s="32" t="n">
        <f aca="false">$J646</f>
        <v>1</v>
      </c>
      <c r="Y646" s="32" t="n">
        <f aca="false">$J646</f>
        <v>1</v>
      </c>
      <c r="Z646" s="32" t="n">
        <f aca="false">$J646</f>
        <v>1</v>
      </c>
      <c r="AA646" s="32" t="n">
        <f aca="false">$J646</f>
        <v>1</v>
      </c>
      <c r="AB646" s="5" t="s">
        <v>1620</v>
      </c>
    </row>
    <row r="647" customFormat="false" ht="15" hidden="false" customHeight="false" outlineLevel="0" collapsed="false">
      <c r="A647" s="4" t="s">
        <v>393</v>
      </c>
      <c r="B647" s="4" t="s">
        <v>1687</v>
      </c>
      <c r="C647" s="4" t="s">
        <v>1688</v>
      </c>
      <c r="D647" s="5" t="s">
        <v>1627</v>
      </c>
      <c r="E647" s="32" t="n">
        <v>1</v>
      </c>
      <c r="F647" s="4" t="s">
        <v>82</v>
      </c>
      <c r="G647" s="5" t="s">
        <v>1618</v>
      </c>
      <c r="H647" s="4" t="s">
        <v>1628</v>
      </c>
      <c r="I647" s="32" t="n">
        <v>1</v>
      </c>
      <c r="J647" s="32" t="n">
        <f aca="false">E647*I647</f>
        <v>1</v>
      </c>
      <c r="K647" s="4"/>
      <c r="L647" s="32"/>
      <c r="M647" s="32"/>
      <c r="N647" s="32"/>
      <c r="O647" s="32"/>
      <c r="P647" s="4"/>
      <c r="Q647" s="32"/>
      <c r="R647" s="32" t="n">
        <f aca="false">$J647</f>
        <v>1</v>
      </c>
      <c r="S647" s="32" t="n">
        <f aca="false">$J647</f>
        <v>1</v>
      </c>
      <c r="T647" s="32" t="n">
        <f aca="false">$J647</f>
        <v>1</v>
      </c>
      <c r="U647" s="32" t="n">
        <f aca="false">$J647</f>
        <v>1</v>
      </c>
      <c r="V647" s="32" t="n">
        <f aca="false">$J647</f>
        <v>1</v>
      </c>
      <c r="W647" s="32" t="n">
        <f aca="false">$J647</f>
        <v>1</v>
      </c>
      <c r="X647" s="32" t="n">
        <f aca="false">$J647</f>
        <v>1</v>
      </c>
      <c r="Y647" s="32" t="n">
        <f aca="false">$J647</f>
        <v>1</v>
      </c>
      <c r="Z647" s="32" t="n">
        <f aca="false">$J647</f>
        <v>1</v>
      </c>
      <c r="AA647" s="32" t="n">
        <f aca="false">$J647</f>
        <v>1</v>
      </c>
      <c r="AB647" s="5" t="s">
        <v>1620</v>
      </c>
    </row>
    <row r="648" customFormat="false" ht="15" hidden="false" customHeight="false" outlineLevel="0" collapsed="false">
      <c r="A648" s="4" t="s">
        <v>393</v>
      </c>
      <c r="B648" s="4" t="s">
        <v>1689</v>
      </c>
      <c r="C648" s="4" t="s">
        <v>1690</v>
      </c>
      <c r="D648" s="5" t="s">
        <v>1631</v>
      </c>
      <c r="E648" s="32" t="n">
        <v>1</v>
      </c>
      <c r="F648" s="4" t="s">
        <v>82</v>
      </c>
      <c r="G648" s="5" t="s">
        <v>1618</v>
      </c>
      <c r="H648" s="4" t="s">
        <v>1632</v>
      </c>
      <c r="I648" s="32" t="n">
        <v>1</v>
      </c>
      <c r="J648" s="32" t="n">
        <f aca="false">E648*I648</f>
        <v>1</v>
      </c>
      <c r="K648" s="4"/>
      <c r="L648" s="32"/>
      <c r="M648" s="32"/>
      <c r="N648" s="32"/>
      <c r="O648" s="32"/>
      <c r="P648" s="4"/>
      <c r="Q648" s="32"/>
      <c r="R648" s="32" t="n">
        <f aca="false">$J648</f>
        <v>1</v>
      </c>
      <c r="S648" s="32" t="n">
        <f aca="false">$J648</f>
        <v>1</v>
      </c>
      <c r="T648" s="32" t="n">
        <f aca="false">$J648</f>
        <v>1</v>
      </c>
      <c r="U648" s="32" t="n">
        <f aca="false">$J648</f>
        <v>1</v>
      </c>
      <c r="V648" s="32" t="n">
        <f aca="false">$J648</f>
        <v>1</v>
      </c>
      <c r="W648" s="32" t="n">
        <f aca="false">$J648</f>
        <v>1</v>
      </c>
      <c r="X648" s="32" t="n">
        <f aca="false">$J648</f>
        <v>1</v>
      </c>
      <c r="Y648" s="32" t="n">
        <f aca="false">$J648</f>
        <v>1</v>
      </c>
      <c r="Z648" s="32" t="n">
        <f aca="false">$J648</f>
        <v>1</v>
      </c>
      <c r="AA648" s="32" t="n">
        <f aca="false">$J648</f>
        <v>1</v>
      </c>
      <c r="AB648" s="5" t="s">
        <v>1620</v>
      </c>
    </row>
    <row r="649" customFormat="false" ht="15" hidden="false" customHeight="false" outlineLevel="0" collapsed="false">
      <c r="A649" s="4" t="s">
        <v>396</v>
      </c>
      <c r="B649" s="4"/>
      <c r="C649" s="4"/>
      <c r="D649" s="5" t="s">
        <v>1641</v>
      </c>
      <c r="E649" s="4" t="n">
        <v>1</v>
      </c>
      <c r="F649" s="4" t="s">
        <v>82</v>
      </c>
      <c r="G649" s="5" t="s">
        <v>509</v>
      </c>
      <c r="H649" s="4" t="s">
        <v>1339</v>
      </c>
      <c r="I649" s="4" t="n">
        <v>1</v>
      </c>
      <c r="J649" s="4" t="n">
        <f aca="false">E649*I649</f>
        <v>1</v>
      </c>
      <c r="K649" s="4"/>
      <c r="L649" s="4"/>
      <c r="M649" s="4"/>
      <c r="N649" s="4"/>
      <c r="O649" s="4"/>
      <c r="P649" s="4"/>
      <c r="Q649" s="4"/>
      <c r="R649" s="4" t="n">
        <f aca="false">$J649</f>
        <v>1</v>
      </c>
      <c r="S649" s="4" t="n">
        <f aca="false">$J649</f>
        <v>1</v>
      </c>
      <c r="T649" s="4" t="n">
        <f aca="false">$J649</f>
        <v>1</v>
      </c>
      <c r="U649" s="4" t="n">
        <f aca="false">$J649</f>
        <v>1</v>
      </c>
      <c r="V649" s="4" t="n">
        <f aca="false">$J649</f>
        <v>1</v>
      </c>
      <c r="W649" s="4" t="n">
        <f aca="false">$J649</f>
        <v>1</v>
      </c>
      <c r="X649" s="4" t="n">
        <f aca="false">$J649</f>
        <v>1</v>
      </c>
      <c r="Y649" s="4" t="n">
        <f aca="false">$J649</f>
        <v>1</v>
      </c>
      <c r="Z649" s="4" t="n">
        <f aca="false">$J649</f>
        <v>1</v>
      </c>
      <c r="AA649" s="4" t="n">
        <f aca="false">$J649</f>
        <v>1</v>
      </c>
      <c r="AB649" s="5" t="s">
        <v>1642</v>
      </c>
    </row>
    <row r="650" customFormat="false" ht="15" hidden="false" customHeight="false" outlineLevel="0" collapsed="false">
      <c r="A650" s="4" t="s">
        <v>396</v>
      </c>
      <c r="B650" s="4" t="s">
        <v>1691</v>
      </c>
      <c r="C650" s="4" t="s">
        <v>1692</v>
      </c>
      <c r="D650" s="5" t="s">
        <v>1617</v>
      </c>
      <c r="E650" s="32" t="n">
        <v>1</v>
      </c>
      <c r="F650" s="4" t="s">
        <v>82</v>
      </c>
      <c r="G650" s="5" t="s">
        <v>1618</v>
      </c>
      <c r="H650" s="4" t="s">
        <v>1619</v>
      </c>
      <c r="I650" s="32" t="n">
        <v>1</v>
      </c>
      <c r="J650" s="32" t="n">
        <f aca="false">E650*I650</f>
        <v>1</v>
      </c>
      <c r="K650" s="4"/>
      <c r="L650" s="32"/>
      <c r="M650" s="32"/>
      <c r="N650" s="32"/>
      <c r="O650" s="32"/>
      <c r="P650" s="4"/>
      <c r="Q650" s="32"/>
      <c r="R650" s="32" t="n">
        <f aca="false">$J650</f>
        <v>1</v>
      </c>
      <c r="S650" s="32" t="n">
        <f aca="false">$J650</f>
        <v>1</v>
      </c>
      <c r="T650" s="32" t="n">
        <f aca="false">$J650</f>
        <v>1</v>
      </c>
      <c r="U650" s="32" t="n">
        <f aca="false">$J650</f>
        <v>1</v>
      </c>
      <c r="V650" s="32" t="n">
        <f aca="false">$J650</f>
        <v>1</v>
      </c>
      <c r="W650" s="32" t="n">
        <f aca="false">$J650</f>
        <v>1</v>
      </c>
      <c r="X650" s="32" t="n">
        <f aca="false">$J650</f>
        <v>1</v>
      </c>
      <c r="Y650" s="32" t="n">
        <f aca="false">$J650</f>
        <v>1</v>
      </c>
      <c r="Z650" s="32" t="n">
        <f aca="false">$J650</f>
        <v>1</v>
      </c>
      <c r="AA650" s="32" t="n">
        <f aca="false">$J650</f>
        <v>1</v>
      </c>
      <c r="AB650" s="5" t="s">
        <v>1620</v>
      </c>
    </row>
    <row r="651" customFormat="false" ht="15" hidden="false" customHeight="false" outlineLevel="0" collapsed="false">
      <c r="A651" s="4" t="s">
        <v>396</v>
      </c>
      <c r="B651" s="4" t="s">
        <v>1693</v>
      </c>
      <c r="C651" s="4" t="s">
        <v>1694</v>
      </c>
      <c r="D651" s="5" t="s">
        <v>1623</v>
      </c>
      <c r="E651" s="32" t="n">
        <v>1</v>
      </c>
      <c r="F651" s="4" t="s">
        <v>82</v>
      </c>
      <c r="G651" s="5" t="s">
        <v>1618</v>
      </c>
      <c r="H651" s="4" t="s">
        <v>1624</v>
      </c>
      <c r="I651" s="32" t="n">
        <v>1</v>
      </c>
      <c r="J651" s="32" t="n">
        <f aca="false">E651*I651</f>
        <v>1</v>
      </c>
      <c r="K651" s="4"/>
      <c r="L651" s="32"/>
      <c r="M651" s="32"/>
      <c r="N651" s="32"/>
      <c r="O651" s="32"/>
      <c r="P651" s="4"/>
      <c r="Q651" s="32"/>
      <c r="R651" s="32" t="n">
        <f aca="false">$J651</f>
        <v>1</v>
      </c>
      <c r="S651" s="32" t="n">
        <f aca="false">$J651</f>
        <v>1</v>
      </c>
      <c r="T651" s="32" t="n">
        <f aca="false">$J651</f>
        <v>1</v>
      </c>
      <c r="U651" s="32" t="n">
        <f aca="false">$J651</f>
        <v>1</v>
      </c>
      <c r="V651" s="32" t="n">
        <f aca="false">$J651</f>
        <v>1</v>
      </c>
      <c r="W651" s="32" t="n">
        <f aca="false">$J651</f>
        <v>1</v>
      </c>
      <c r="X651" s="32" t="n">
        <f aca="false">$J651</f>
        <v>1</v>
      </c>
      <c r="Y651" s="32" t="n">
        <f aca="false">$J651</f>
        <v>1</v>
      </c>
      <c r="Z651" s="32" t="n">
        <f aca="false">$J651</f>
        <v>1</v>
      </c>
      <c r="AA651" s="32" t="n">
        <f aca="false">$J651</f>
        <v>1</v>
      </c>
      <c r="AB651" s="5" t="s">
        <v>1620</v>
      </c>
    </row>
    <row r="652" customFormat="false" ht="15" hidden="false" customHeight="false" outlineLevel="0" collapsed="false">
      <c r="A652" s="4" t="s">
        <v>396</v>
      </c>
      <c r="B652" s="4" t="s">
        <v>1695</v>
      </c>
      <c r="C652" s="4" t="s">
        <v>1696</v>
      </c>
      <c r="D652" s="5" t="s">
        <v>1627</v>
      </c>
      <c r="E652" s="32" t="n">
        <v>1</v>
      </c>
      <c r="F652" s="4" t="s">
        <v>82</v>
      </c>
      <c r="G652" s="5" t="s">
        <v>1618</v>
      </c>
      <c r="H652" s="4" t="s">
        <v>1628</v>
      </c>
      <c r="I652" s="32" t="n">
        <v>1</v>
      </c>
      <c r="J652" s="32" t="n">
        <f aca="false">E652*I652</f>
        <v>1</v>
      </c>
      <c r="K652" s="4"/>
      <c r="L652" s="32"/>
      <c r="M652" s="32"/>
      <c r="N652" s="32"/>
      <c r="O652" s="32"/>
      <c r="P652" s="4"/>
      <c r="Q652" s="32"/>
      <c r="R652" s="32" t="n">
        <f aca="false">$J652</f>
        <v>1</v>
      </c>
      <c r="S652" s="32" t="n">
        <f aca="false">$J652</f>
        <v>1</v>
      </c>
      <c r="T652" s="32" t="n">
        <f aca="false">$J652</f>
        <v>1</v>
      </c>
      <c r="U652" s="32" t="n">
        <f aca="false">$J652</f>
        <v>1</v>
      </c>
      <c r="V652" s="32" t="n">
        <f aca="false">$J652</f>
        <v>1</v>
      </c>
      <c r="W652" s="32" t="n">
        <f aca="false">$J652</f>
        <v>1</v>
      </c>
      <c r="X652" s="32" t="n">
        <f aca="false">$J652</f>
        <v>1</v>
      </c>
      <c r="Y652" s="32" t="n">
        <f aca="false">$J652</f>
        <v>1</v>
      </c>
      <c r="Z652" s="32" t="n">
        <f aca="false">$J652</f>
        <v>1</v>
      </c>
      <c r="AA652" s="32" t="n">
        <f aca="false">$J652</f>
        <v>1</v>
      </c>
      <c r="AB652" s="5" t="s">
        <v>1620</v>
      </c>
    </row>
    <row r="653" customFormat="false" ht="15" hidden="false" customHeight="false" outlineLevel="0" collapsed="false">
      <c r="A653" s="4" t="s">
        <v>396</v>
      </c>
      <c r="B653" s="4" t="s">
        <v>1697</v>
      </c>
      <c r="C653" s="4" t="s">
        <v>1698</v>
      </c>
      <c r="D653" s="5" t="s">
        <v>1631</v>
      </c>
      <c r="E653" s="32" t="n">
        <v>1</v>
      </c>
      <c r="F653" s="4" t="s">
        <v>82</v>
      </c>
      <c r="G653" s="5" t="s">
        <v>1618</v>
      </c>
      <c r="H653" s="4" t="s">
        <v>1632</v>
      </c>
      <c r="I653" s="32" t="n">
        <v>1</v>
      </c>
      <c r="J653" s="32" t="n">
        <f aca="false">E653*I653</f>
        <v>1</v>
      </c>
      <c r="K653" s="4"/>
      <c r="L653" s="32"/>
      <c r="M653" s="32"/>
      <c r="N653" s="32"/>
      <c r="O653" s="32"/>
      <c r="P653" s="4"/>
      <c r="Q653" s="32"/>
      <c r="R653" s="32" t="n">
        <f aca="false">$J653</f>
        <v>1</v>
      </c>
      <c r="S653" s="32" t="n">
        <f aca="false">$J653</f>
        <v>1</v>
      </c>
      <c r="T653" s="32" t="n">
        <f aca="false">$J653</f>
        <v>1</v>
      </c>
      <c r="U653" s="32" t="n">
        <f aca="false">$J653</f>
        <v>1</v>
      </c>
      <c r="V653" s="32" t="n">
        <f aca="false">$J653</f>
        <v>1</v>
      </c>
      <c r="W653" s="32" t="n">
        <f aca="false">$J653</f>
        <v>1</v>
      </c>
      <c r="X653" s="32" t="n">
        <f aca="false">$J653</f>
        <v>1</v>
      </c>
      <c r="Y653" s="32" t="n">
        <f aca="false">$J653</f>
        <v>1</v>
      </c>
      <c r="Z653" s="32" t="n">
        <f aca="false">$J653</f>
        <v>1</v>
      </c>
      <c r="AA653" s="32" t="n">
        <f aca="false">$J653</f>
        <v>1</v>
      </c>
      <c r="AB653" s="5" t="s">
        <v>1620</v>
      </c>
    </row>
    <row r="654" customFormat="false" ht="15" hidden="false" customHeight="false" outlineLevel="0" collapsed="false">
      <c r="A654" s="4" t="s">
        <v>399</v>
      </c>
      <c r="B654" s="4"/>
      <c r="C654" s="4"/>
      <c r="D654" s="5" t="s">
        <v>1641</v>
      </c>
      <c r="E654" s="4" t="n">
        <v>1</v>
      </c>
      <c r="F654" s="4" t="s">
        <v>82</v>
      </c>
      <c r="G654" s="5" t="s">
        <v>509</v>
      </c>
      <c r="H654" s="4" t="s">
        <v>1340</v>
      </c>
      <c r="I654" s="4" t="n">
        <v>1</v>
      </c>
      <c r="J654" s="4" t="n">
        <f aca="false">E654*I654</f>
        <v>1</v>
      </c>
      <c r="K654" s="4"/>
      <c r="L654" s="4"/>
      <c r="M654" s="4"/>
      <c r="N654" s="4"/>
      <c r="O654" s="4"/>
      <c r="P654" s="4"/>
      <c r="Q654" s="4"/>
      <c r="R654" s="4" t="n">
        <f aca="false">$J654</f>
        <v>1</v>
      </c>
      <c r="S654" s="4" t="n">
        <f aca="false">$J654</f>
        <v>1</v>
      </c>
      <c r="T654" s="4" t="n">
        <f aca="false">$J654</f>
        <v>1</v>
      </c>
      <c r="U654" s="4" t="n">
        <f aca="false">$J654</f>
        <v>1</v>
      </c>
      <c r="V654" s="4" t="n">
        <f aca="false">$J654</f>
        <v>1</v>
      </c>
      <c r="W654" s="4" t="n">
        <f aca="false">$J654</f>
        <v>1</v>
      </c>
      <c r="X654" s="4" t="n">
        <f aca="false">$J654</f>
        <v>1</v>
      </c>
      <c r="Y654" s="4" t="n">
        <f aca="false">$J654</f>
        <v>1</v>
      </c>
      <c r="Z654" s="4" t="n">
        <f aca="false">$J654</f>
        <v>1</v>
      </c>
      <c r="AA654" s="4" t="n">
        <f aca="false">$J654</f>
        <v>1</v>
      </c>
      <c r="AB654" s="5" t="s">
        <v>1642</v>
      </c>
    </row>
    <row r="655" customFormat="false" ht="15" hidden="false" customHeight="false" outlineLevel="0" collapsed="false">
      <c r="A655" s="4" t="s">
        <v>399</v>
      </c>
      <c r="B655" s="4" t="s">
        <v>1699</v>
      </c>
      <c r="C655" s="4" t="s">
        <v>1700</v>
      </c>
      <c r="D655" s="5" t="s">
        <v>1617</v>
      </c>
      <c r="E655" s="32" t="n">
        <v>1</v>
      </c>
      <c r="F655" s="4" t="s">
        <v>82</v>
      </c>
      <c r="G655" s="5" t="s">
        <v>1618</v>
      </c>
      <c r="H655" s="4" t="s">
        <v>1619</v>
      </c>
      <c r="I655" s="32" t="n">
        <v>1</v>
      </c>
      <c r="J655" s="32" t="n">
        <f aca="false">E655*I655</f>
        <v>1</v>
      </c>
      <c r="K655" s="4"/>
      <c r="L655" s="32"/>
      <c r="M655" s="32"/>
      <c r="N655" s="32"/>
      <c r="O655" s="32"/>
      <c r="P655" s="4"/>
      <c r="Q655" s="32"/>
      <c r="R655" s="32" t="n">
        <f aca="false">$J655</f>
        <v>1</v>
      </c>
      <c r="S655" s="32" t="n">
        <f aca="false">$J655</f>
        <v>1</v>
      </c>
      <c r="T655" s="32" t="n">
        <f aca="false">$J655</f>
        <v>1</v>
      </c>
      <c r="U655" s="32" t="n">
        <f aca="false">$J655</f>
        <v>1</v>
      </c>
      <c r="V655" s="32" t="n">
        <f aca="false">$J655</f>
        <v>1</v>
      </c>
      <c r="W655" s="32" t="n">
        <f aca="false">$J655</f>
        <v>1</v>
      </c>
      <c r="X655" s="32" t="n">
        <f aca="false">$J655</f>
        <v>1</v>
      </c>
      <c r="Y655" s="32" t="n">
        <f aca="false">$J655</f>
        <v>1</v>
      </c>
      <c r="Z655" s="32" t="n">
        <f aca="false">$J655</f>
        <v>1</v>
      </c>
      <c r="AA655" s="32" t="n">
        <f aca="false">$J655</f>
        <v>1</v>
      </c>
      <c r="AB655" s="5" t="s">
        <v>1620</v>
      </c>
    </row>
    <row r="656" customFormat="false" ht="15" hidden="false" customHeight="false" outlineLevel="0" collapsed="false">
      <c r="A656" s="4" t="s">
        <v>399</v>
      </c>
      <c r="B656" s="4" t="s">
        <v>1701</v>
      </c>
      <c r="C656" s="4" t="s">
        <v>1702</v>
      </c>
      <c r="D656" s="5" t="s">
        <v>1623</v>
      </c>
      <c r="E656" s="32" t="n">
        <v>1</v>
      </c>
      <c r="F656" s="4" t="s">
        <v>82</v>
      </c>
      <c r="G656" s="5" t="s">
        <v>1618</v>
      </c>
      <c r="H656" s="4" t="s">
        <v>1624</v>
      </c>
      <c r="I656" s="32" t="n">
        <v>1</v>
      </c>
      <c r="J656" s="32" t="n">
        <f aca="false">E656*I656</f>
        <v>1</v>
      </c>
      <c r="K656" s="4"/>
      <c r="L656" s="32"/>
      <c r="M656" s="32"/>
      <c r="N656" s="32"/>
      <c r="O656" s="32"/>
      <c r="P656" s="4"/>
      <c r="Q656" s="32"/>
      <c r="R656" s="32" t="n">
        <f aca="false">$J656</f>
        <v>1</v>
      </c>
      <c r="S656" s="32" t="n">
        <f aca="false">$J656</f>
        <v>1</v>
      </c>
      <c r="T656" s="32" t="n">
        <f aca="false">$J656</f>
        <v>1</v>
      </c>
      <c r="U656" s="32" t="n">
        <f aca="false">$J656</f>
        <v>1</v>
      </c>
      <c r="V656" s="32" t="n">
        <f aca="false">$J656</f>
        <v>1</v>
      </c>
      <c r="W656" s="32" t="n">
        <f aca="false">$J656</f>
        <v>1</v>
      </c>
      <c r="X656" s="32" t="n">
        <f aca="false">$J656</f>
        <v>1</v>
      </c>
      <c r="Y656" s="32" t="n">
        <f aca="false">$J656</f>
        <v>1</v>
      </c>
      <c r="Z656" s="32" t="n">
        <f aca="false">$J656</f>
        <v>1</v>
      </c>
      <c r="AA656" s="32" t="n">
        <f aca="false">$J656</f>
        <v>1</v>
      </c>
      <c r="AB656" s="5" t="s">
        <v>1620</v>
      </c>
    </row>
    <row r="657" customFormat="false" ht="15" hidden="false" customHeight="false" outlineLevel="0" collapsed="false">
      <c r="A657" s="4" t="s">
        <v>399</v>
      </c>
      <c r="B657" s="4" t="s">
        <v>1703</v>
      </c>
      <c r="C657" s="4" t="s">
        <v>1704</v>
      </c>
      <c r="D657" s="5" t="s">
        <v>1627</v>
      </c>
      <c r="E657" s="32" t="n">
        <v>1</v>
      </c>
      <c r="F657" s="4" t="s">
        <v>82</v>
      </c>
      <c r="G657" s="5" t="s">
        <v>1618</v>
      </c>
      <c r="H657" s="4" t="s">
        <v>1628</v>
      </c>
      <c r="I657" s="32" t="n">
        <v>1</v>
      </c>
      <c r="J657" s="32" t="n">
        <f aca="false">E657*I657</f>
        <v>1</v>
      </c>
      <c r="K657" s="4"/>
      <c r="L657" s="32"/>
      <c r="M657" s="32"/>
      <c r="N657" s="32"/>
      <c r="O657" s="32"/>
      <c r="P657" s="4"/>
      <c r="Q657" s="32"/>
      <c r="R657" s="32" t="n">
        <f aca="false">$J657</f>
        <v>1</v>
      </c>
      <c r="S657" s="32" t="n">
        <f aca="false">$J657</f>
        <v>1</v>
      </c>
      <c r="T657" s="32" t="n">
        <f aca="false">$J657</f>
        <v>1</v>
      </c>
      <c r="U657" s="32" t="n">
        <f aca="false">$J657</f>
        <v>1</v>
      </c>
      <c r="V657" s="32" t="n">
        <f aca="false">$J657</f>
        <v>1</v>
      </c>
      <c r="W657" s="32" t="n">
        <f aca="false">$J657</f>
        <v>1</v>
      </c>
      <c r="X657" s="32" t="n">
        <f aca="false">$J657</f>
        <v>1</v>
      </c>
      <c r="Y657" s="32" t="n">
        <f aca="false">$J657</f>
        <v>1</v>
      </c>
      <c r="Z657" s="32" t="n">
        <f aca="false">$J657</f>
        <v>1</v>
      </c>
      <c r="AA657" s="32" t="n">
        <f aca="false">$J657</f>
        <v>1</v>
      </c>
      <c r="AB657" s="5" t="s">
        <v>1620</v>
      </c>
    </row>
    <row r="658" customFormat="false" ht="15" hidden="false" customHeight="false" outlineLevel="0" collapsed="false">
      <c r="A658" s="4" t="s">
        <v>399</v>
      </c>
      <c r="B658" s="4" t="s">
        <v>1705</v>
      </c>
      <c r="C658" s="4" t="s">
        <v>1706</v>
      </c>
      <c r="D658" s="5" t="s">
        <v>1631</v>
      </c>
      <c r="E658" s="32" t="n">
        <v>1</v>
      </c>
      <c r="F658" s="4" t="s">
        <v>82</v>
      </c>
      <c r="G658" s="5" t="s">
        <v>1618</v>
      </c>
      <c r="H658" s="4" t="s">
        <v>1632</v>
      </c>
      <c r="I658" s="32" t="n">
        <v>1</v>
      </c>
      <c r="J658" s="32" t="n">
        <f aca="false">E658*I658</f>
        <v>1</v>
      </c>
      <c r="K658" s="4"/>
      <c r="L658" s="32"/>
      <c r="M658" s="32"/>
      <c r="N658" s="32"/>
      <c r="O658" s="32"/>
      <c r="P658" s="4"/>
      <c r="Q658" s="32"/>
      <c r="R658" s="32" t="n">
        <f aca="false">$J658</f>
        <v>1</v>
      </c>
      <c r="S658" s="32" t="n">
        <f aca="false">$J658</f>
        <v>1</v>
      </c>
      <c r="T658" s="32" t="n">
        <f aca="false">$J658</f>
        <v>1</v>
      </c>
      <c r="U658" s="32" t="n">
        <f aca="false">$J658</f>
        <v>1</v>
      </c>
      <c r="V658" s="32" t="n">
        <f aca="false">$J658</f>
        <v>1</v>
      </c>
      <c r="W658" s="32" t="n">
        <f aca="false">$J658</f>
        <v>1</v>
      </c>
      <c r="X658" s="32" t="n">
        <f aca="false">$J658</f>
        <v>1</v>
      </c>
      <c r="Y658" s="32" t="n">
        <f aca="false">$J658</f>
        <v>1</v>
      </c>
      <c r="Z658" s="32" t="n">
        <f aca="false">$J658</f>
        <v>1</v>
      </c>
      <c r="AA658" s="32" t="n">
        <f aca="false">$J658</f>
        <v>1</v>
      </c>
      <c r="AB658" s="5" t="s">
        <v>1620</v>
      </c>
    </row>
    <row r="659" customFormat="false" ht="15" hidden="false" customHeight="false" outlineLevel="0" collapsed="false">
      <c r="A659" s="4" t="s">
        <v>402</v>
      </c>
      <c r="B659" s="4" t="s">
        <v>1707</v>
      </c>
      <c r="C659" s="4" t="s">
        <v>1708</v>
      </c>
      <c r="D659" s="5" t="s">
        <v>1617</v>
      </c>
      <c r="E659" s="32" t="n">
        <v>1</v>
      </c>
      <c r="F659" s="4" t="s">
        <v>82</v>
      </c>
      <c r="G659" s="5" t="s">
        <v>1618</v>
      </c>
      <c r="H659" s="4" t="s">
        <v>1619</v>
      </c>
      <c r="I659" s="32" t="n">
        <v>1</v>
      </c>
      <c r="J659" s="32" t="n">
        <f aca="false">E659*I659</f>
        <v>1</v>
      </c>
      <c r="K659" s="4"/>
      <c r="L659" s="32"/>
      <c r="M659" s="32"/>
      <c r="N659" s="32"/>
      <c r="O659" s="32"/>
      <c r="P659" s="4"/>
      <c r="Q659" s="32"/>
      <c r="R659" s="32" t="n">
        <f aca="false">$J659</f>
        <v>1</v>
      </c>
      <c r="S659" s="32" t="n">
        <f aca="false">$J659</f>
        <v>1</v>
      </c>
      <c r="T659" s="32" t="n">
        <f aca="false">$J659</f>
        <v>1</v>
      </c>
      <c r="U659" s="32" t="n">
        <f aca="false">$J659</f>
        <v>1</v>
      </c>
      <c r="V659" s="32" t="n">
        <f aca="false">$J659</f>
        <v>1</v>
      </c>
      <c r="W659" s="32" t="n">
        <f aca="false">$J659</f>
        <v>1</v>
      </c>
      <c r="X659" s="32" t="n">
        <f aca="false">$J659</f>
        <v>1</v>
      </c>
      <c r="Y659" s="32" t="n">
        <f aca="false">$J659</f>
        <v>1</v>
      </c>
      <c r="Z659" s="32" t="n">
        <f aca="false">$J659</f>
        <v>1</v>
      </c>
      <c r="AA659" s="32" t="n">
        <f aca="false">$J659</f>
        <v>1</v>
      </c>
      <c r="AB659" s="5" t="s">
        <v>1620</v>
      </c>
    </row>
    <row r="660" customFormat="false" ht="15" hidden="false" customHeight="false" outlineLevel="0" collapsed="false">
      <c r="A660" s="4" t="s">
        <v>402</v>
      </c>
      <c r="B660" s="4" t="s">
        <v>1709</v>
      </c>
      <c r="C660" s="4" t="s">
        <v>1710</v>
      </c>
      <c r="D660" s="5" t="s">
        <v>1623</v>
      </c>
      <c r="E660" s="32" t="n">
        <v>1</v>
      </c>
      <c r="F660" s="4" t="s">
        <v>82</v>
      </c>
      <c r="G660" s="5" t="s">
        <v>1618</v>
      </c>
      <c r="H660" s="4" t="s">
        <v>1624</v>
      </c>
      <c r="I660" s="32" t="n">
        <v>1</v>
      </c>
      <c r="J660" s="32" t="n">
        <f aca="false">E660*I660</f>
        <v>1</v>
      </c>
      <c r="K660" s="4"/>
      <c r="L660" s="32"/>
      <c r="M660" s="32"/>
      <c r="N660" s="32"/>
      <c r="O660" s="32"/>
      <c r="P660" s="4"/>
      <c r="Q660" s="32"/>
      <c r="R660" s="32" t="n">
        <f aca="false">$J660</f>
        <v>1</v>
      </c>
      <c r="S660" s="32" t="n">
        <f aca="false">$J660</f>
        <v>1</v>
      </c>
      <c r="T660" s="32" t="n">
        <f aca="false">$J660</f>
        <v>1</v>
      </c>
      <c r="U660" s="32" t="n">
        <f aca="false">$J660</f>
        <v>1</v>
      </c>
      <c r="V660" s="32" t="n">
        <f aca="false">$J660</f>
        <v>1</v>
      </c>
      <c r="W660" s="32" t="n">
        <f aca="false">$J660</f>
        <v>1</v>
      </c>
      <c r="X660" s="32" t="n">
        <f aca="false">$J660</f>
        <v>1</v>
      </c>
      <c r="Y660" s="32" t="n">
        <f aca="false">$J660</f>
        <v>1</v>
      </c>
      <c r="Z660" s="32" t="n">
        <f aca="false">$J660</f>
        <v>1</v>
      </c>
      <c r="AA660" s="32" t="n">
        <f aca="false">$J660</f>
        <v>1</v>
      </c>
      <c r="AB660" s="5" t="s">
        <v>1620</v>
      </c>
    </row>
    <row r="661" customFormat="false" ht="15" hidden="false" customHeight="false" outlineLevel="0" collapsed="false">
      <c r="A661" s="4" t="s">
        <v>402</v>
      </c>
      <c r="B661" s="4" t="s">
        <v>1711</v>
      </c>
      <c r="C661" s="4" t="s">
        <v>1712</v>
      </c>
      <c r="D661" s="5" t="s">
        <v>1627</v>
      </c>
      <c r="E661" s="32" t="n">
        <v>1</v>
      </c>
      <c r="F661" s="4" t="s">
        <v>82</v>
      </c>
      <c r="G661" s="5" t="s">
        <v>1618</v>
      </c>
      <c r="H661" s="4" t="s">
        <v>1628</v>
      </c>
      <c r="I661" s="32" t="n">
        <v>1</v>
      </c>
      <c r="J661" s="32" t="n">
        <f aca="false">E661*I661</f>
        <v>1</v>
      </c>
      <c r="K661" s="4"/>
      <c r="L661" s="32"/>
      <c r="M661" s="32"/>
      <c r="N661" s="32"/>
      <c r="O661" s="32"/>
      <c r="P661" s="4"/>
      <c r="Q661" s="32"/>
      <c r="R661" s="32" t="n">
        <f aca="false">$J661</f>
        <v>1</v>
      </c>
      <c r="S661" s="32" t="n">
        <f aca="false">$J661</f>
        <v>1</v>
      </c>
      <c r="T661" s="32" t="n">
        <f aca="false">$J661</f>
        <v>1</v>
      </c>
      <c r="U661" s="32" t="n">
        <f aca="false">$J661</f>
        <v>1</v>
      </c>
      <c r="V661" s="32" t="n">
        <f aca="false">$J661</f>
        <v>1</v>
      </c>
      <c r="W661" s="32" t="n">
        <f aca="false">$J661</f>
        <v>1</v>
      </c>
      <c r="X661" s="32" t="n">
        <f aca="false">$J661</f>
        <v>1</v>
      </c>
      <c r="Y661" s="32" t="n">
        <f aca="false">$J661</f>
        <v>1</v>
      </c>
      <c r="Z661" s="32" t="n">
        <f aca="false">$J661</f>
        <v>1</v>
      </c>
      <c r="AA661" s="32" t="n">
        <f aca="false">$J661</f>
        <v>1</v>
      </c>
      <c r="AB661" s="5" t="s">
        <v>1620</v>
      </c>
    </row>
    <row r="662" customFormat="false" ht="15" hidden="false" customHeight="false" outlineLevel="0" collapsed="false">
      <c r="A662" s="4" t="s">
        <v>402</v>
      </c>
      <c r="B662" s="4" t="s">
        <v>1713</v>
      </c>
      <c r="C662" s="4" t="s">
        <v>1714</v>
      </c>
      <c r="D662" s="5" t="s">
        <v>1631</v>
      </c>
      <c r="E662" s="32" t="n">
        <v>1</v>
      </c>
      <c r="F662" s="4" t="s">
        <v>82</v>
      </c>
      <c r="G662" s="5" t="s">
        <v>1618</v>
      </c>
      <c r="H662" s="4" t="s">
        <v>1632</v>
      </c>
      <c r="I662" s="32" t="n">
        <v>1</v>
      </c>
      <c r="J662" s="32" t="n">
        <f aca="false">E662*I662</f>
        <v>1</v>
      </c>
      <c r="K662" s="4"/>
      <c r="L662" s="32"/>
      <c r="M662" s="32"/>
      <c r="N662" s="32"/>
      <c r="O662" s="32"/>
      <c r="P662" s="4"/>
      <c r="Q662" s="32"/>
      <c r="R662" s="32" t="n">
        <f aca="false">$J662</f>
        <v>1</v>
      </c>
      <c r="S662" s="32" t="n">
        <f aca="false">$J662</f>
        <v>1</v>
      </c>
      <c r="T662" s="32" t="n">
        <f aca="false">$J662</f>
        <v>1</v>
      </c>
      <c r="U662" s="32" t="n">
        <f aca="false">$J662</f>
        <v>1</v>
      </c>
      <c r="V662" s="32" t="n">
        <f aca="false">$J662</f>
        <v>1</v>
      </c>
      <c r="W662" s="32" t="n">
        <f aca="false">$J662</f>
        <v>1</v>
      </c>
      <c r="X662" s="32" t="n">
        <f aca="false">$J662</f>
        <v>1</v>
      </c>
      <c r="Y662" s="32" t="n">
        <f aca="false">$J662</f>
        <v>1</v>
      </c>
      <c r="Z662" s="32" t="n">
        <f aca="false">$J662</f>
        <v>1</v>
      </c>
      <c r="AA662" s="32" t="n">
        <f aca="false">$J662</f>
        <v>1</v>
      </c>
      <c r="AB662" s="5" t="s">
        <v>1620</v>
      </c>
    </row>
    <row r="663" customFormat="false" ht="15" hidden="false" customHeight="false" outlineLevel="0" collapsed="false">
      <c r="A663" s="4" t="s">
        <v>405</v>
      </c>
      <c r="B663" s="4" t="s">
        <v>1715</v>
      </c>
      <c r="C663" s="4" t="s">
        <v>1716</v>
      </c>
      <c r="D663" s="5" t="s">
        <v>1617</v>
      </c>
      <c r="E663" s="32" t="n">
        <v>1</v>
      </c>
      <c r="F663" s="4" t="s">
        <v>82</v>
      </c>
      <c r="G663" s="5" t="s">
        <v>1618</v>
      </c>
      <c r="H663" s="4" t="s">
        <v>1619</v>
      </c>
      <c r="I663" s="32" t="n">
        <v>1</v>
      </c>
      <c r="J663" s="32" t="n">
        <f aca="false">E663*I663</f>
        <v>1</v>
      </c>
      <c r="K663" s="4"/>
      <c r="L663" s="32"/>
      <c r="M663" s="32"/>
      <c r="N663" s="32"/>
      <c r="O663" s="32"/>
      <c r="P663" s="4"/>
      <c r="Q663" s="32"/>
      <c r="R663" s="32" t="n">
        <f aca="false">$J663</f>
        <v>1</v>
      </c>
      <c r="S663" s="32" t="n">
        <f aca="false">$J663</f>
        <v>1</v>
      </c>
      <c r="T663" s="32" t="n">
        <f aca="false">$J663</f>
        <v>1</v>
      </c>
      <c r="U663" s="32" t="n">
        <f aca="false">$J663</f>
        <v>1</v>
      </c>
      <c r="V663" s="32" t="n">
        <f aca="false">$J663</f>
        <v>1</v>
      </c>
      <c r="W663" s="32" t="n">
        <f aca="false">$J663</f>
        <v>1</v>
      </c>
      <c r="X663" s="32" t="n">
        <f aca="false">$J663</f>
        <v>1</v>
      </c>
      <c r="Y663" s="32" t="n">
        <f aca="false">$J663</f>
        <v>1</v>
      </c>
      <c r="Z663" s="32" t="n">
        <f aca="false">$J663</f>
        <v>1</v>
      </c>
      <c r="AA663" s="32" t="n">
        <f aca="false">$J663</f>
        <v>1</v>
      </c>
      <c r="AB663" s="5" t="s">
        <v>1620</v>
      </c>
    </row>
    <row r="664" customFormat="false" ht="15" hidden="false" customHeight="false" outlineLevel="0" collapsed="false">
      <c r="A664" s="4" t="s">
        <v>405</v>
      </c>
      <c r="B664" s="4" t="s">
        <v>1717</v>
      </c>
      <c r="C664" s="4" t="s">
        <v>1718</v>
      </c>
      <c r="D664" s="5" t="s">
        <v>1623</v>
      </c>
      <c r="E664" s="32" t="n">
        <v>1</v>
      </c>
      <c r="F664" s="4" t="s">
        <v>82</v>
      </c>
      <c r="G664" s="5" t="s">
        <v>1618</v>
      </c>
      <c r="H664" s="4" t="s">
        <v>1624</v>
      </c>
      <c r="I664" s="32" t="n">
        <v>1</v>
      </c>
      <c r="J664" s="32" t="n">
        <f aca="false">E664*I664</f>
        <v>1</v>
      </c>
      <c r="K664" s="4"/>
      <c r="L664" s="32"/>
      <c r="M664" s="32"/>
      <c r="N664" s="32"/>
      <c r="O664" s="32"/>
      <c r="P664" s="4"/>
      <c r="Q664" s="32"/>
      <c r="R664" s="32" t="n">
        <f aca="false">$J664</f>
        <v>1</v>
      </c>
      <c r="S664" s="32" t="n">
        <f aca="false">$J664</f>
        <v>1</v>
      </c>
      <c r="T664" s="32" t="n">
        <f aca="false">$J664</f>
        <v>1</v>
      </c>
      <c r="U664" s="32" t="n">
        <f aca="false">$J664</f>
        <v>1</v>
      </c>
      <c r="V664" s="32" t="n">
        <f aca="false">$J664</f>
        <v>1</v>
      </c>
      <c r="W664" s="32" t="n">
        <f aca="false">$J664</f>
        <v>1</v>
      </c>
      <c r="X664" s="32" t="n">
        <f aca="false">$J664</f>
        <v>1</v>
      </c>
      <c r="Y664" s="32" t="n">
        <f aca="false">$J664</f>
        <v>1</v>
      </c>
      <c r="Z664" s="32" t="n">
        <f aca="false">$J664</f>
        <v>1</v>
      </c>
      <c r="AA664" s="32" t="n">
        <f aca="false">$J664</f>
        <v>1</v>
      </c>
      <c r="AB664" s="5" t="s">
        <v>1620</v>
      </c>
    </row>
    <row r="665" customFormat="false" ht="15" hidden="false" customHeight="false" outlineLevel="0" collapsed="false">
      <c r="A665" s="4" t="s">
        <v>405</v>
      </c>
      <c r="B665" s="4" t="s">
        <v>1719</v>
      </c>
      <c r="C665" s="4" t="s">
        <v>1720</v>
      </c>
      <c r="D665" s="5" t="s">
        <v>1627</v>
      </c>
      <c r="E665" s="32" t="n">
        <v>1</v>
      </c>
      <c r="F665" s="4" t="s">
        <v>82</v>
      </c>
      <c r="G665" s="5" t="s">
        <v>1618</v>
      </c>
      <c r="H665" s="4" t="s">
        <v>1628</v>
      </c>
      <c r="I665" s="32" t="n">
        <v>1</v>
      </c>
      <c r="J665" s="32" t="n">
        <f aca="false">E665*I665</f>
        <v>1</v>
      </c>
      <c r="K665" s="4"/>
      <c r="L665" s="32"/>
      <c r="M665" s="32"/>
      <c r="N665" s="32"/>
      <c r="O665" s="32"/>
      <c r="P665" s="4"/>
      <c r="Q665" s="32"/>
      <c r="R665" s="32" t="n">
        <f aca="false">$J665</f>
        <v>1</v>
      </c>
      <c r="S665" s="32" t="n">
        <f aca="false">$J665</f>
        <v>1</v>
      </c>
      <c r="T665" s="32" t="n">
        <f aca="false">$J665</f>
        <v>1</v>
      </c>
      <c r="U665" s="32" t="n">
        <f aca="false">$J665</f>
        <v>1</v>
      </c>
      <c r="V665" s="32" t="n">
        <f aca="false">$J665</f>
        <v>1</v>
      </c>
      <c r="W665" s="32" t="n">
        <f aca="false">$J665</f>
        <v>1</v>
      </c>
      <c r="X665" s="32" t="n">
        <f aca="false">$J665</f>
        <v>1</v>
      </c>
      <c r="Y665" s="32" t="n">
        <f aca="false">$J665</f>
        <v>1</v>
      </c>
      <c r="Z665" s="32" t="n">
        <f aca="false">$J665</f>
        <v>1</v>
      </c>
      <c r="AA665" s="32" t="n">
        <f aca="false">$J665</f>
        <v>1</v>
      </c>
      <c r="AB665" s="5" t="s">
        <v>1620</v>
      </c>
    </row>
    <row r="666" customFormat="false" ht="15" hidden="false" customHeight="false" outlineLevel="0" collapsed="false">
      <c r="A666" s="4" t="s">
        <v>405</v>
      </c>
      <c r="B666" s="4" t="s">
        <v>1721</v>
      </c>
      <c r="C666" s="4" t="s">
        <v>1722</v>
      </c>
      <c r="D666" s="5" t="s">
        <v>1631</v>
      </c>
      <c r="E666" s="32" t="n">
        <v>1</v>
      </c>
      <c r="F666" s="4" t="s">
        <v>82</v>
      </c>
      <c r="G666" s="5" t="s">
        <v>1618</v>
      </c>
      <c r="H666" s="4" t="s">
        <v>1632</v>
      </c>
      <c r="I666" s="32" t="n">
        <v>1</v>
      </c>
      <c r="J666" s="32" t="n">
        <f aca="false">E666*I666</f>
        <v>1</v>
      </c>
      <c r="K666" s="4"/>
      <c r="L666" s="32"/>
      <c r="M666" s="32"/>
      <c r="N666" s="32"/>
      <c r="O666" s="32"/>
      <c r="P666" s="4"/>
      <c r="Q666" s="32"/>
      <c r="R666" s="32" t="n">
        <f aca="false">$J666</f>
        <v>1</v>
      </c>
      <c r="S666" s="32" t="n">
        <f aca="false">$J666</f>
        <v>1</v>
      </c>
      <c r="T666" s="32" t="n">
        <f aca="false">$J666</f>
        <v>1</v>
      </c>
      <c r="U666" s="32" t="n">
        <f aca="false">$J666</f>
        <v>1</v>
      </c>
      <c r="V666" s="32" t="n">
        <f aca="false">$J666</f>
        <v>1</v>
      </c>
      <c r="W666" s="32" t="n">
        <f aca="false">$J666</f>
        <v>1</v>
      </c>
      <c r="X666" s="32" t="n">
        <f aca="false">$J666</f>
        <v>1</v>
      </c>
      <c r="Y666" s="32" t="n">
        <f aca="false">$J666</f>
        <v>1</v>
      </c>
      <c r="Z666" s="32" t="n">
        <f aca="false">$J666</f>
        <v>1</v>
      </c>
      <c r="AA666" s="32" t="n">
        <f aca="false">$J666</f>
        <v>1</v>
      </c>
      <c r="AB666" s="5" t="s">
        <v>1620</v>
      </c>
    </row>
    <row r="667" customFormat="false" ht="15" hidden="false" customHeight="false" outlineLevel="0" collapsed="false">
      <c r="A667" s="6"/>
      <c r="B667" s="6"/>
      <c r="C667" s="6"/>
      <c r="D667" s="7"/>
      <c r="E667" s="6"/>
      <c r="F667" s="6"/>
      <c r="G667" s="7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7"/>
    </row>
  </sheetData>
  <autoFilter ref="A3:AB66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L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40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1" t="s">
        <v>1723</v>
      </c>
    </row>
    <row r="2" customFormat="false" ht="15" hidden="false" customHeight="false" outlineLevel="0" collapsed="false">
      <c r="A2" s="2" t="s">
        <v>1724</v>
      </c>
    </row>
    <row r="3" customFormat="false" ht="31.5" hidden="false" customHeight="true" outlineLevel="0" collapsed="false">
      <c r="A3" s="3" t="s">
        <v>1725</v>
      </c>
      <c r="B3" s="3" t="s">
        <v>1726</v>
      </c>
      <c r="C3" s="3" t="s">
        <v>1727</v>
      </c>
      <c r="D3" s="3" t="s">
        <v>468</v>
      </c>
      <c r="E3" s="3" t="s">
        <v>1728</v>
      </c>
      <c r="F3" s="3" t="s">
        <v>1729</v>
      </c>
      <c r="G3" s="3" t="s">
        <v>1730</v>
      </c>
      <c r="H3" s="3" t="s">
        <v>1731</v>
      </c>
      <c r="I3" s="3" t="s">
        <v>1732</v>
      </c>
      <c r="J3" s="3" t="s">
        <v>1733</v>
      </c>
      <c r="K3" s="3" t="s">
        <v>1734</v>
      </c>
      <c r="L3" s="3" t="s">
        <v>6</v>
      </c>
    </row>
    <row r="4" customFormat="false" ht="15" hidden="false" customHeight="false" outlineLevel="0" collapsed="false">
      <c r="A4" s="4" t="s">
        <v>1735</v>
      </c>
      <c r="B4" s="4" t="s">
        <v>490</v>
      </c>
      <c r="C4" s="4" t="s">
        <v>1736</v>
      </c>
      <c r="D4" s="4" t="s">
        <v>492</v>
      </c>
      <c r="E4" s="4" t="s">
        <v>1737</v>
      </c>
      <c r="F4" s="5" t="s">
        <v>1738</v>
      </c>
      <c r="G4" s="34"/>
      <c r="H4" s="34"/>
      <c r="I4" s="34"/>
      <c r="J4" s="34" t="n">
        <v>23</v>
      </c>
      <c r="K4" s="35" t="n">
        <f aca="false">1/J4</f>
        <v>0.0434782608695652</v>
      </c>
      <c r="L4" s="5" t="s">
        <v>1739</v>
      </c>
    </row>
    <row r="5" customFormat="false" ht="23.85" hidden="false" customHeight="false" outlineLevel="0" collapsed="false">
      <c r="A5" s="4" t="s">
        <v>1735</v>
      </c>
      <c r="B5" s="4" t="s">
        <v>496</v>
      </c>
      <c r="C5" s="4" t="s">
        <v>1740</v>
      </c>
      <c r="D5" s="4" t="s">
        <v>497</v>
      </c>
      <c r="E5" s="4" t="s">
        <v>73</v>
      </c>
      <c r="F5" s="5" t="s">
        <v>1741</v>
      </c>
      <c r="G5" s="34" t="n">
        <v>114</v>
      </c>
      <c r="H5" s="34" t="n">
        <v>95</v>
      </c>
      <c r="I5" s="34" t="n">
        <v>0.9</v>
      </c>
      <c r="J5" s="34"/>
      <c r="K5" s="35" t="n">
        <f aca="false">G5*(H5+I5)*I5*7.85/1000000</f>
        <v>0.077238819</v>
      </c>
      <c r="L5" s="5" t="s">
        <v>1742</v>
      </c>
    </row>
    <row r="6" customFormat="false" ht="23.85" hidden="false" customHeight="false" outlineLevel="0" collapsed="false">
      <c r="A6" s="4" t="s">
        <v>1735</v>
      </c>
      <c r="B6" s="4" t="s">
        <v>500</v>
      </c>
      <c r="C6" s="4" t="s">
        <v>1740</v>
      </c>
      <c r="D6" s="4" t="s">
        <v>501</v>
      </c>
      <c r="E6" s="4" t="s">
        <v>73</v>
      </c>
      <c r="F6" s="5" t="s">
        <v>1741</v>
      </c>
      <c r="G6" s="34" t="n">
        <v>135</v>
      </c>
      <c r="H6" s="34" t="n">
        <v>112</v>
      </c>
      <c r="I6" s="34" t="n">
        <v>1.25</v>
      </c>
      <c r="J6" s="34"/>
      <c r="K6" s="35" t="n">
        <f aca="false">G6*(H6+I6)*I6*7.85/1000000</f>
        <v>0.150020859375</v>
      </c>
      <c r="L6" s="5" t="s">
        <v>1742</v>
      </c>
    </row>
    <row r="7" customFormat="false" ht="15" hidden="false" customHeight="false" outlineLevel="0" collapsed="false">
      <c r="A7" s="4" t="s">
        <v>1735</v>
      </c>
      <c r="B7" s="4" t="s">
        <v>504</v>
      </c>
      <c r="C7" s="4" t="s">
        <v>1743</v>
      </c>
      <c r="D7" s="4" t="s">
        <v>505</v>
      </c>
      <c r="E7" s="4" t="s">
        <v>82</v>
      </c>
      <c r="F7" s="5" t="s">
        <v>1744</v>
      </c>
      <c r="G7" s="34"/>
      <c r="H7" s="34"/>
      <c r="I7" s="34"/>
      <c r="J7" s="34" t="n">
        <v>1</v>
      </c>
      <c r="K7" s="35" t="n">
        <f aca="false">1/J7</f>
        <v>1</v>
      </c>
      <c r="L7" s="5" t="s">
        <v>1745</v>
      </c>
    </row>
    <row r="8" customFormat="false" ht="15" hidden="false" customHeight="false" outlineLevel="0" collapsed="false">
      <c r="A8" s="4" t="s">
        <v>1746</v>
      </c>
      <c r="B8" s="4" t="s">
        <v>490</v>
      </c>
      <c r="C8" s="4" t="s">
        <v>1747</v>
      </c>
      <c r="D8" s="4" t="s">
        <v>617</v>
      </c>
      <c r="E8" s="4" t="s">
        <v>1748</v>
      </c>
      <c r="F8" s="5" t="s">
        <v>1749</v>
      </c>
      <c r="G8" s="34"/>
      <c r="H8" s="34"/>
      <c r="I8" s="34"/>
      <c r="J8" s="34" t="n">
        <v>27</v>
      </c>
      <c r="K8" s="35" t="n">
        <f aca="false">1/J8</f>
        <v>0.037037037037037</v>
      </c>
      <c r="L8" s="5" t="s">
        <v>1750</v>
      </c>
    </row>
    <row r="9" customFormat="false" ht="23.85" hidden="false" customHeight="false" outlineLevel="0" collapsed="false">
      <c r="A9" s="4" t="s">
        <v>1746</v>
      </c>
      <c r="B9" s="4" t="s">
        <v>496</v>
      </c>
      <c r="C9" s="4" t="s">
        <v>1740</v>
      </c>
      <c r="D9" s="4" t="s">
        <v>620</v>
      </c>
      <c r="E9" s="4" t="s">
        <v>73</v>
      </c>
      <c r="F9" s="5" t="s">
        <v>1741</v>
      </c>
      <c r="G9" s="34" t="n">
        <v>200</v>
      </c>
      <c r="H9" s="34" t="n">
        <v>179</v>
      </c>
      <c r="I9" s="34" t="n">
        <v>1.25</v>
      </c>
      <c r="J9" s="34"/>
      <c r="K9" s="35" t="n">
        <f aca="false">G9*(H9+I9)*I9*7.85/1000000</f>
        <v>0.353740625</v>
      </c>
      <c r="L9" s="5" t="s">
        <v>1742</v>
      </c>
    </row>
    <row r="10" customFormat="false" ht="23.85" hidden="false" customHeight="false" outlineLevel="0" collapsed="false">
      <c r="A10" s="4" t="s">
        <v>1746</v>
      </c>
      <c r="B10" s="4" t="s">
        <v>500</v>
      </c>
      <c r="C10" s="4" t="s">
        <v>1740</v>
      </c>
      <c r="D10" s="4" t="s">
        <v>620</v>
      </c>
      <c r="E10" s="4" t="s">
        <v>73</v>
      </c>
      <c r="F10" s="5" t="s">
        <v>1741</v>
      </c>
      <c r="G10" s="34" t="n">
        <v>200</v>
      </c>
      <c r="H10" s="34" t="n">
        <v>148</v>
      </c>
      <c r="I10" s="34" t="n">
        <v>1.25</v>
      </c>
      <c r="J10" s="34"/>
      <c r="K10" s="35" t="n">
        <f aca="false">G10*(H10+I10)*I10*7.85/1000000</f>
        <v>0.292903125</v>
      </c>
      <c r="L10" s="5" t="s">
        <v>1742</v>
      </c>
    </row>
    <row r="11" customFormat="false" ht="15" hidden="false" customHeight="false" outlineLevel="0" collapsed="false">
      <c r="A11" s="4" t="s">
        <v>1746</v>
      </c>
      <c r="B11" s="4" t="s">
        <v>504</v>
      </c>
      <c r="C11" s="4" t="s">
        <v>1743</v>
      </c>
      <c r="D11" s="4" t="s">
        <v>625</v>
      </c>
      <c r="E11" s="4" t="s">
        <v>82</v>
      </c>
      <c r="F11" s="5" t="s">
        <v>1744</v>
      </c>
      <c r="G11" s="34"/>
      <c r="H11" s="34"/>
      <c r="I11" s="34"/>
      <c r="J11" s="34" t="n">
        <v>1</v>
      </c>
      <c r="K11" s="35" t="n">
        <f aca="false">1/J11</f>
        <v>1</v>
      </c>
      <c r="L11" s="5" t="s">
        <v>1745</v>
      </c>
    </row>
    <row r="12" customFormat="false" ht="15" hidden="false" customHeight="false" outlineLevel="0" collapsed="false">
      <c r="A12" s="4" t="s">
        <v>1751</v>
      </c>
      <c r="B12" s="4" t="s">
        <v>490</v>
      </c>
      <c r="C12" s="4" t="s">
        <v>1747</v>
      </c>
      <c r="D12" s="4" t="s">
        <v>715</v>
      </c>
      <c r="E12" s="4" t="s">
        <v>1748</v>
      </c>
      <c r="F12" s="5" t="s">
        <v>1752</v>
      </c>
      <c r="G12" s="34"/>
      <c r="H12" s="34"/>
      <c r="I12" s="34"/>
      <c r="J12" s="34" t="n">
        <v>12</v>
      </c>
      <c r="K12" s="35" t="n">
        <f aca="false">1/J12</f>
        <v>0.0833333333333333</v>
      </c>
      <c r="L12" s="5" t="s">
        <v>1753</v>
      </c>
    </row>
    <row r="13" customFormat="false" ht="23.85" hidden="false" customHeight="false" outlineLevel="0" collapsed="false">
      <c r="A13" s="4" t="s">
        <v>1751</v>
      </c>
      <c r="B13" s="4" t="s">
        <v>496</v>
      </c>
      <c r="C13" s="4" t="s">
        <v>1740</v>
      </c>
      <c r="D13" s="4" t="s">
        <v>718</v>
      </c>
      <c r="E13" s="4" t="s">
        <v>73</v>
      </c>
      <c r="F13" s="5" t="s">
        <v>1741</v>
      </c>
      <c r="G13" s="34" t="n">
        <v>250</v>
      </c>
      <c r="H13" s="34" t="n">
        <v>221</v>
      </c>
      <c r="I13" s="34" t="n">
        <v>1.6</v>
      </c>
      <c r="J13" s="34"/>
      <c r="K13" s="35" t="n">
        <f aca="false">G13*(H13+I13)*I13*7.85/1000000</f>
        <v>0.698964</v>
      </c>
      <c r="L13" s="5" t="s">
        <v>1742</v>
      </c>
    </row>
    <row r="14" customFormat="false" ht="23.85" hidden="false" customHeight="false" outlineLevel="0" collapsed="false">
      <c r="A14" s="4" t="s">
        <v>1751</v>
      </c>
      <c r="B14" s="4" t="s">
        <v>500</v>
      </c>
      <c r="C14" s="4" t="s">
        <v>1740</v>
      </c>
      <c r="D14" s="4" t="s">
        <v>721</v>
      </c>
      <c r="E14" s="4" t="s">
        <v>73</v>
      </c>
      <c r="F14" s="5" t="s">
        <v>1741</v>
      </c>
      <c r="G14" s="34" t="n">
        <v>200</v>
      </c>
      <c r="H14" s="34" t="n">
        <v>177</v>
      </c>
      <c r="I14" s="34" t="n">
        <v>1.6</v>
      </c>
      <c r="J14" s="34"/>
      <c r="K14" s="35" t="n">
        <f aca="false">G14*(H14+I14)*I14*7.85/1000000</f>
        <v>0.4486432</v>
      </c>
      <c r="L14" s="5" t="s">
        <v>1742</v>
      </c>
    </row>
    <row r="15" customFormat="false" ht="15" hidden="false" customHeight="false" outlineLevel="0" collapsed="false">
      <c r="A15" s="4" t="s">
        <v>1751</v>
      </c>
      <c r="B15" s="4" t="s">
        <v>504</v>
      </c>
      <c r="C15" s="4" t="s">
        <v>1743</v>
      </c>
      <c r="D15" s="4" t="s">
        <v>625</v>
      </c>
      <c r="E15" s="4" t="s">
        <v>82</v>
      </c>
      <c r="F15" s="5" t="s">
        <v>1744</v>
      </c>
      <c r="G15" s="34"/>
      <c r="H15" s="34"/>
      <c r="I15" s="34"/>
      <c r="J15" s="34" t="n">
        <v>1</v>
      </c>
      <c r="K15" s="35" t="n">
        <f aca="false">1/J15</f>
        <v>1</v>
      </c>
      <c r="L15" s="5" t="s">
        <v>1745</v>
      </c>
    </row>
    <row r="16" customFormat="false" ht="15" hidden="false" customHeight="false" outlineLevel="0" collapsed="false">
      <c r="A16" s="4" t="s">
        <v>1754</v>
      </c>
      <c r="B16" s="4" t="s">
        <v>490</v>
      </c>
      <c r="C16" s="4" t="s">
        <v>1747</v>
      </c>
      <c r="D16" s="4" t="s">
        <v>799</v>
      </c>
      <c r="E16" s="4" t="s">
        <v>1748</v>
      </c>
      <c r="F16" s="5" t="s">
        <v>1755</v>
      </c>
      <c r="G16" s="34"/>
      <c r="H16" s="34"/>
      <c r="I16" s="34"/>
      <c r="J16" s="34" t="n">
        <v>15</v>
      </c>
      <c r="K16" s="35" t="n">
        <f aca="false">1/J16</f>
        <v>0.0666666666666667</v>
      </c>
      <c r="L16" s="5" t="s">
        <v>1756</v>
      </c>
    </row>
    <row r="17" customFormat="false" ht="23.85" hidden="false" customHeight="false" outlineLevel="0" collapsed="false">
      <c r="A17" s="4" t="s">
        <v>1754</v>
      </c>
      <c r="B17" s="4" t="s">
        <v>496</v>
      </c>
      <c r="C17" s="4" t="s">
        <v>1740</v>
      </c>
      <c r="D17" s="4" t="s">
        <v>802</v>
      </c>
      <c r="E17" s="4" t="s">
        <v>73</v>
      </c>
      <c r="F17" s="5" t="s">
        <v>1741</v>
      </c>
      <c r="G17" s="34" t="n">
        <v>300</v>
      </c>
      <c r="H17" s="34" t="n">
        <v>258</v>
      </c>
      <c r="I17" s="34" t="n">
        <v>1.6</v>
      </c>
      <c r="J17" s="34"/>
      <c r="K17" s="35" t="n">
        <f aca="false">G17*(H17+I17)*I17*7.85/1000000</f>
        <v>0.9781728</v>
      </c>
      <c r="L17" s="5" t="s">
        <v>1742</v>
      </c>
    </row>
    <row r="18" customFormat="false" ht="23.85" hidden="false" customHeight="false" outlineLevel="0" collapsed="false">
      <c r="A18" s="4" t="s">
        <v>1754</v>
      </c>
      <c r="B18" s="4" t="s">
        <v>500</v>
      </c>
      <c r="C18" s="4" t="s">
        <v>1740</v>
      </c>
      <c r="D18" s="4" t="s">
        <v>805</v>
      </c>
      <c r="E18" s="4" t="s">
        <v>73</v>
      </c>
      <c r="F18" s="5" t="s">
        <v>1741</v>
      </c>
      <c r="G18" s="34" t="n">
        <v>249</v>
      </c>
      <c r="H18" s="34" t="n">
        <v>205</v>
      </c>
      <c r="I18" s="34" t="n">
        <v>2</v>
      </c>
      <c r="J18" s="34"/>
      <c r="K18" s="35" t="n">
        <f aca="false">G18*(H18+I18)*I18*7.85/1000000</f>
        <v>0.8092251</v>
      </c>
      <c r="L18" s="5" t="s">
        <v>1742</v>
      </c>
    </row>
    <row r="19" customFormat="false" ht="15" hidden="false" customHeight="false" outlineLevel="0" collapsed="false">
      <c r="A19" s="4" t="s">
        <v>1754</v>
      </c>
      <c r="B19" s="4" t="s">
        <v>504</v>
      </c>
      <c r="C19" s="4" t="s">
        <v>1743</v>
      </c>
      <c r="D19" s="4" t="s">
        <v>625</v>
      </c>
      <c r="E19" s="4" t="s">
        <v>82</v>
      </c>
      <c r="F19" s="5" t="s">
        <v>1744</v>
      </c>
      <c r="G19" s="34"/>
      <c r="H19" s="34"/>
      <c r="I19" s="34"/>
      <c r="J19" s="34" t="n">
        <v>1</v>
      </c>
      <c r="K19" s="35" t="n">
        <f aca="false">1/J19</f>
        <v>1</v>
      </c>
      <c r="L19" s="5" t="s">
        <v>1745</v>
      </c>
    </row>
    <row r="20" customFormat="false" ht="15" hidden="false" customHeight="false" outlineLevel="0" collapsed="false">
      <c r="A20" s="4" t="s">
        <v>1757</v>
      </c>
      <c r="B20" s="4" t="s">
        <v>490</v>
      </c>
      <c r="C20" s="4" t="s">
        <v>1747</v>
      </c>
      <c r="D20" s="4" t="s">
        <v>883</v>
      </c>
      <c r="E20" s="4" t="s">
        <v>1748</v>
      </c>
      <c r="F20" s="5" t="s">
        <v>1755</v>
      </c>
      <c r="G20" s="34"/>
      <c r="H20" s="34"/>
      <c r="I20" s="34"/>
      <c r="J20" s="34" t="n">
        <v>9</v>
      </c>
      <c r="K20" s="35" t="n">
        <f aca="false">1/J20</f>
        <v>0.111111111111111</v>
      </c>
      <c r="L20" s="5" t="s">
        <v>1758</v>
      </c>
    </row>
    <row r="21" customFormat="false" ht="15" hidden="false" customHeight="false" outlineLevel="0" collapsed="false">
      <c r="A21" s="4" t="s">
        <v>1757</v>
      </c>
      <c r="B21" s="4" t="s">
        <v>496</v>
      </c>
      <c r="C21" s="4" t="s">
        <v>1759</v>
      </c>
      <c r="D21" s="4" t="s">
        <v>886</v>
      </c>
      <c r="E21" s="4" t="s">
        <v>82</v>
      </c>
      <c r="F21" s="5" t="s">
        <v>1760</v>
      </c>
      <c r="G21" s="34"/>
      <c r="H21" s="34"/>
      <c r="I21" s="34"/>
      <c r="J21" s="34" t="n">
        <v>1</v>
      </c>
      <c r="K21" s="35" t="n">
        <f aca="false">1/J21</f>
        <v>1</v>
      </c>
      <c r="L21" s="5" t="s">
        <v>1761</v>
      </c>
    </row>
    <row r="22" customFormat="false" ht="15" hidden="false" customHeight="false" outlineLevel="0" collapsed="false">
      <c r="A22" s="4" t="s">
        <v>1757</v>
      </c>
      <c r="B22" s="4" t="s">
        <v>500</v>
      </c>
      <c r="C22" s="4" t="s">
        <v>1759</v>
      </c>
      <c r="D22" s="4" t="s">
        <v>886</v>
      </c>
      <c r="E22" s="4" t="s">
        <v>82</v>
      </c>
      <c r="F22" s="5" t="s">
        <v>1760</v>
      </c>
      <c r="G22" s="34"/>
      <c r="H22" s="34"/>
      <c r="I22" s="34"/>
      <c r="J22" s="34" t="n">
        <v>1</v>
      </c>
      <c r="K22" s="35" t="n">
        <f aca="false">1/J22</f>
        <v>1</v>
      </c>
      <c r="L22" s="5" t="s">
        <v>1761</v>
      </c>
    </row>
    <row r="23" customFormat="false" ht="15" hidden="false" customHeight="false" outlineLevel="0" collapsed="false">
      <c r="A23" s="4" t="s">
        <v>1757</v>
      </c>
      <c r="B23" s="4" t="s">
        <v>504</v>
      </c>
      <c r="C23" s="4" t="s">
        <v>1743</v>
      </c>
      <c r="D23" s="4" t="s">
        <v>891</v>
      </c>
      <c r="E23" s="4" t="s">
        <v>82</v>
      </c>
      <c r="F23" s="5" t="s">
        <v>1744</v>
      </c>
      <c r="G23" s="34"/>
      <c r="H23" s="34"/>
      <c r="I23" s="34"/>
      <c r="J23" s="34" t="n">
        <v>1</v>
      </c>
      <c r="K23" s="35" t="n">
        <f aca="false">1/J23</f>
        <v>1</v>
      </c>
      <c r="L23" s="5" t="s">
        <v>1745</v>
      </c>
    </row>
    <row r="24" customFormat="false" ht="15" hidden="false" customHeight="false" outlineLevel="0" collapsed="false">
      <c r="A24" s="4" t="s">
        <v>1762</v>
      </c>
      <c r="B24" s="4" t="s">
        <v>490</v>
      </c>
      <c r="C24" s="4" t="s">
        <v>1747</v>
      </c>
      <c r="D24" s="4" t="s">
        <v>883</v>
      </c>
      <c r="E24" s="4" t="s">
        <v>1748</v>
      </c>
      <c r="F24" s="5" t="s">
        <v>1755</v>
      </c>
      <c r="G24" s="34"/>
      <c r="H24" s="34"/>
      <c r="I24" s="34"/>
      <c r="J24" s="34" t="n">
        <v>6</v>
      </c>
      <c r="K24" s="35" t="n">
        <f aca="false">1/J24</f>
        <v>0.166666666666667</v>
      </c>
      <c r="L24" s="5" t="s">
        <v>1763</v>
      </c>
    </row>
    <row r="25" customFormat="false" ht="15" hidden="false" customHeight="false" outlineLevel="0" collapsed="false">
      <c r="A25" s="4" t="s">
        <v>1762</v>
      </c>
      <c r="B25" s="4" t="s">
        <v>496</v>
      </c>
      <c r="C25" s="4" t="s">
        <v>1759</v>
      </c>
      <c r="D25" s="4" t="s">
        <v>1018</v>
      </c>
      <c r="E25" s="4" t="s">
        <v>82</v>
      </c>
      <c r="F25" s="5" t="s">
        <v>1760</v>
      </c>
      <c r="G25" s="34"/>
      <c r="H25" s="34"/>
      <c r="I25" s="34"/>
      <c r="J25" s="34" t="n">
        <v>1</v>
      </c>
      <c r="K25" s="35" t="n">
        <f aca="false">1/J25</f>
        <v>1</v>
      </c>
      <c r="L25" s="5" t="s">
        <v>1761</v>
      </c>
    </row>
    <row r="26" customFormat="false" ht="15" hidden="false" customHeight="false" outlineLevel="0" collapsed="false">
      <c r="A26" s="4" t="s">
        <v>1762</v>
      </c>
      <c r="B26" s="4" t="s">
        <v>500</v>
      </c>
      <c r="C26" s="4" t="s">
        <v>1759</v>
      </c>
      <c r="D26" s="4" t="s">
        <v>1018</v>
      </c>
      <c r="E26" s="4" t="s">
        <v>82</v>
      </c>
      <c r="F26" s="5" t="s">
        <v>1760</v>
      </c>
      <c r="G26" s="34"/>
      <c r="H26" s="34"/>
      <c r="I26" s="34"/>
      <c r="J26" s="34" t="n">
        <v>1</v>
      </c>
      <c r="K26" s="35" t="n">
        <f aca="false">1/J26</f>
        <v>1</v>
      </c>
      <c r="L26" s="5" t="s">
        <v>1761</v>
      </c>
    </row>
    <row r="27" customFormat="false" ht="15" hidden="false" customHeight="false" outlineLevel="0" collapsed="false">
      <c r="A27" s="4" t="s">
        <v>1762</v>
      </c>
      <c r="B27" s="4" t="s">
        <v>504</v>
      </c>
      <c r="C27" s="4" t="s">
        <v>1743</v>
      </c>
      <c r="D27" s="4" t="s">
        <v>891</v>
      </c>
      <c r="E27" s="4" t="s">
        <v>82</v>
      </c>
      <c r="F27" s="5" t="s">
        <v>1744</v>
      </c>
      <c r="G27" s="34"/>
      <c r="H27" s="34"/>
      <c r="I27" s="34"/>
      <c r="J27" s="34" t="n">
        <v>1</v>
      </c>
      <c r="K27" s="35" t="n">
        <f aca="false">1/J27</f>
        <v>1</v>
      </c>
      <c r="L27" s="5" t="s">
        <v>1745</v>
      </c>
    </row>
    <row r="28" customFormat="false" ht="23.85" hidden="false" customHeight="false" outlineLevel="0" collapsed="false">
      <c r="A28" s="4" t="s">
        <v>1764</v>
      </c>
      <c r="B28" s="4" t="s">
        <v>490</v>
      </c>
      <c r="C28" s="4" t="s">
        <v>1747</v>
      </c>
      <c r="D28" s="4" t="s">
        <v>1121</v>
      </c>
      <c r="E28" s="4" t="s">
        <v>1748</v>
      </c>
      <c r="F28" s="5" t="s">
        <v>1765</v>
      </c>
      <c r="G28" s="34"/>
      <c r="H28" s="34"/>
      <c r="I28" s="34"/>
      <c r="J28" s="34" t="n">
        <v>4</v>
      </c>
      <c r="K28" s="35" t="n">
        <f aca="false">1/J28</f>
        <v>0.25</v>
      </c>
      <c r="L28" s="5" t="s">
        <v>1766</v>
      </c>
    </row>
    <row r="29" customFormat="false" ht="15" hidden="false" customHeight="false" outlineLevel="0" collapsed="false">
      <c r="A29" s="4" t="s">
        <v>1764</v>
      </c>
      <c r="B29" s="4" t="s">
        <v>496</v>
      </c>
      <c r="C29" s="4" t="s">
        <v>1759</v>
      </c>
      <c r="D29" s="4" t="s">
        <v>1124</v>
      </c>
      <c r="E29" s="4" t="s">
        <v>82</v>
      </c>
      <c r="F29" s="5" t="s">
        <v>1760</v>
      </c>
      <c r="G29" s="34"/>
      <c r="H29" s="34"/>
      <c r="I29" s="34"/>
      <c r="J29" s="34" t="n">
        <v>1</v>
      </c>
      <c r="K29" s="35" t="n">
        <f aca="false">1/J29</f>
        <v>1</v>
      </c>
      <c r="L29" s="5" t="s">
        <v>1761</v>
      </c>
    </row>
    <row r="30" customFormat="false" ht="15" hidden="false" customHeight="false" outlineLevel="0" collapsed="false">
      <c r="A30" s="4" t="s">
        <v>1764</v>
      </c>
      <c r="B30" s="4" t="s">
        <v>500</v>
      </c>
      <c r="C30" s="4" t="s">
        <v>1759</v>
      </c>
      <c r="D30" s="4" t="s">
        <v>1124</v>
      </c>
      <c r="E30" s="4" t="s">
        <v>82</v>
      </c>
      <c r="F30" s="5" t="s">
        <v>1760</v>
      </c>
      <c r="G30" s="34"/>
      <c r="H30" s="34"/>
      <c r="I30" s="34"/>
      <c r="J30" s="34" t="n">
        <v>1</v>
      </c>
      <c r="K30" s="35" t="n">
        <f aca="false">1/J30</f>
        <v>1</v>
      </c>
      <c r="L30" s="5" t="s">
        <v>1761</v>
      </c>
    </row>
    <row r="31" customFormat="false" ht="15" hidden="false" customHeight="false" outlineLevel="0" collapsed="false">
      <c r="A31" s="4" t="s">
        <v>1764</v>
      </c>
      <c r="B31" s="4" t="s">
        <v>504</v>
      </c>
      <c r="C31" s="4" t="s">
        <v>1743</v>
      </c>
      <c r="D31" s="4" t="s">
        <v>1129</v>
      </c>
      <c r="E31" s="4" t="s">
        <v>82</v>
      </c>
      <c r="F31" s="5" t="s">
        <v>1744</v>
      </c>
      <c r="G31" s="34"/>
      <c r="H31" s="34"/>
      <c r="I31" s="34"/>
      <c r="J31" s="34" t="n">
        <v>1</v>
      </c>
      <c r="K31" s="35" t="n">
        <f aca="false">1/J31</f>
        <v>1</v>
      </c>
      <c r="L31" s="5" t="s">
        <v>1745</v>
      </c>
    </row>
    <row r="32" customFormat="false" ht="23.85" hidden="false" customHeight="false" outlineLevel="0" collapsed="false">
      <c r="A32" s="4" t="s">
        <v>1767</v>
      </c>
      <c r="B32" s="4" t="s">
        <v>490</v>
      </c>
      <c r="C32" s="4" t="s">
        <v>1747</v>
      </c>
      <c r="D32" s="4" t="s">
        <v>1121</v>
      </c>
      <c r="E32" s="4" t="s">
        <v>1748</v>
      </c>
      <c r="F32" s="5" t="s">
        <v>1765</v>
      </c>
      <c r="G32" s="34"/>
      <c r="H32" s="34"/>
      <c r="I32" s="34"/>
      <c r="J32" s="34" t="n">
        <v>3</v>
      </c>
      <c r="K32" s="35" t="n">
        <f aca="false">1/J32</f>
        <v>0.333333333333333</v>
      </c>
      <c r="L32" s="5" t="s">
        <v>1768</v>
      </c>
    </row>
    <row r="33" customFormat="false" ht="15" hidden="false" customHeight="false" outlineLevel="0" collapsed="false">
      <c r="A33" s="4" t="s">
        <v>1767</v>
      </c>
      <c r="B33" s="4" t="s">
        <v>496</v>
      </c>
      <c r="C33" s="4" t="s">
        <v>1759</v>
      </c>
      <c r="D33" s="4" t="s">
        <v>1124</v>
      </c>
      <c r="E33" s="4" t="s">
        <v>82</v>
      </c>
      <c r="F33" s="5" t="s">
        <v>1760</v>
      </c>
      <c r="G33" s="34"/>
      <c r="H33" s="34"/>
      <c r="I33" s="34"/>
      <c r="J33" s="34" t="n">
        <v>1</v>
      </c>
      <c r="K33" s="35" t="n">
        <f aca="false">1/J33</f>
        <v>1</v>
      </c>
      <c r="L33" s="5" t="s">
        <v>1761</v>
      </c>
    </row>
    <row r="34" customFormat="false" ht="15" hidden="false" customHeight="false" outlineLevel="0" collapsed="false">
      <c r="A34" s="4" t="s">
        <v>1767</v>
      </c>
      <c r="B34" s="4" t="s">
        <v>500</v>
      </c>
      <c r="C34" s="4" t="s">
        <v>1759</v>
      </c>
      <c r="D34" s="4" t="s">
        <v>1124</v>
      </c>
      <c r="E34" s="4" t="s">
        <v>82</v>
      </c>
      <c r="F34" s="5" t="s">
        <v>1760</v>
      </c>
      <c r="G34" s="34"/>
      <c r="H34" s="34"/>
      <c r="I34" s="34"/>
      <c r="J34" s="34" t="n">
        <v>1</v>
      </c>
      <c r="K34" s="35" t="n">
        <f aca="false">1/J34</f>
        <v>1</v>
      </c>
      <c r="L34" s="5" t="s">
        <v>1761</v>
      </c>
    </row>
    <row r="35" customFormat="false" ht="15" hidden="false" customHeight="false" outlineLevel="0" collapsed="false">
      <c r="A35" s="4" t="s">
        <v>1767</v>
      </c>
      <c r="B35" s="4" t="s">
        <v>504</v>
      </c>
      <c r="C35" s="4" t="s">
        <v>1743</v>
      </c>
      <c r="D35" s="4" t="s">
        <v>1129</v>
      </c>
      <c r="E35" s="4" t="s">
        <v>82</v>
      </c>
      <c r="F35" s="5" t="s">
        <v>1744</v>
      </c>
      <c r="G35" s="34"/>
      <c r="H35" s="34"/>
      <c r="I35" s="34"/>
      <c r="J35" s="34" t="n">
        <v>1</v>
      </c>
      <c r="K35" s="35" t="n">
        <f aca="false">1/J35</f>
        <v>1</v>
      </c>
      <c r="L35" s="5" t="s">
        <v>1745</v>
      </c>
    </row>
    <row r="36" customFormat="false" ht="15" hidden="false" customHeight="false" outlineLevel="0" collapsed="false">
      <c r="A36" s="6"/>
      <c r="B36" s="6"/>
      <c r="C36" s="6"/>
      <c r="D36" s="6"/>
      <c r="E36" s="6"/>
      <c r="F36" s="7"/>
      <c r="G36" s="36"/>
      <c r="H36" s="36"/>
      <c r="I36" s="36"/>
      <c r="J36" s="36"/>
      <c r="K36" s="37"/>
      <c r="L36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J16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22"/>
    <col collapsed="false" customWidth="true" hidden="false" outlineLevel="0" max="8" min="8" style="0" width="46"/>
    <col collapsed="false" customWidth="true" hidden="false" outlineLevel="0" max="9" min="9" style="0" width="12"/>
    <col collapsed="false" customWidth="true" hidden="false" outlineLevel="0" max="10" min="10" style="0" width="70"/>
  </cols>
  <sheetData>
    <row r="1" customFormat="false" ht="15" hidden="false" customHeight="false" outlineLevel="0" collapsed="false">
      <c r="A1" s="1" t="s">
        <v>1769</v>
      </c>
    </row>
    <row r="2" customFormat="false" ht="15" hidden="false" customHeight="false" outlineLevel="0" collapsed="false">
      <c r="A2" s="2" t="s">
        <v>1770</v>
      </c>
    </row>
    <row r="3" customFormat="false" ht="31.5" hidden="false" customHeight="true" outlineLevel="0" collapsed="false">
      <c r="A3" s="3" t="s">
        <v>224</v>
      </c>
      <c r="B3" s="3" t="s">
        <v>1771</v>
      </c>
      <c r="C3" s="3" t="s">
        <v>1772</v>
      </c>
      <c r="D3" s="3" t="s">
        <v>466</v>
      </c>
      <c r="E3" s="3" t="s">
        <v>1773</v>
      </c>
      <c r="F3" s="3" t="s">
        <v>1725</v>
      </c>
      <c r="G3" s="3" t="s">
        <v>1774</v>
      </c>
      <c r="H3" s="3" t="s">
        <v>1729</v>
      </c>
      <c r="I3" s="3" t="s">
        <v>1775</v>
      </c>
      <c r="J3" s="3" t="s">
        <v>6</v>
      </c>
    </row>
    <row r="4" customFormat="false" ht="23.85" hidden="false" customHeight="false" outlineLevel="0" collapsed="false">
      <c r="A4" s="4" t="s">
        <v>229</v>
      </c>
      <c r="B4" s="5" t="s">
        <v>1776</v>
      </c>
      <c r="C4" s="4" t="s">
        <v>1777</v>
      </c>
      <c r="D4" s="4" t="s">
        <v>1778</v>
      </c>
      <c r="E4" s="4" t="s">
        <v>1779</v>
      </c>
      <c r="F4" s="4" t="s">
        <v>1735</v>
      </c>
      <c r="G4" s="4" t="s">
        <v>1780</v>
      </c>
      <c r="H4" s="5" t="s">
        <v>1781</v>
      </c>
      <c r="I4" s="35" t="n">
        <f aca="false">0.01671*INDEX(P_VAL,MATCH("GAS_MAN_AJ",P_ID,0))</f>
        <v>0.0185158167477095</v>
      </c>
      <c r="J4" s="5" t="s">
        <v>1782</v>
      </c>
    </row>
    <row r="5" customFormat="false" ht="15" hidden="false" customHeight="false" outlineLevel="0" collapsed="false">
      <c r="A5" s="4" t="s">
        <v>229</v>
      </c>
      <c r="B5" s="5" t="s">
        <v>1783</v>
      </c>
      <c r="C5" s="4" t="s">
        <v>1784</v>
      </c>
      <c r="D5" s="4" t="s">
        <v>73</v>
      </c>
      <c r="E5" s="4" t="s">
        <v>1785</v>
      </c>
      <c r="F5" s="4" t="s">
        <v>1735</v>
      </c>
      <c r="G5" s="4" t="s">
        <v>1780</v>
      </c>
      <c r="H5" s="5" t="s">
        <v>1786</v>
      </c>
      <c r="I5" s="35" t="n">
        <v>0.01499</v>
      </c>
      <c r="J5" s="5" t="s">
        <v>1787</v>
      </c>
    </row>
    <row r="6" customFormat="false" ht="15" hidden="false" customHeight="false" outlineLevel="0" collapsed="false">
      <c r="A6" s="4" t="s">
        <v>229</v>
      </c>
      <c r="B6" s="5" t="s">
        <v>1783</v>
      </c>
      <c r="C6" s="4" t="s">
        <v>1788</v>
      </c>
      <c r="D6" s="4" t="s">
        <v>82</v>
      </c>
      <c r="E6" s="4" t="s">
        <v>1779</v>
      </c>
      <c r="F6" s="4" t="s">
        <v>1735</v>
      </c>
      <c r="G6" s="4" t="s">
        <v>1780</v>
      </c>
      <c r="H6" s="5" t="s">
        <v>1789</v>
      </c>
      <c r="I6" s="35" t="n">
        <f aca="false">0.01499/INDEX(P_VAL,MATCH("ALAMBRE_PUNTA",P_ID,0))</f>
        <v>0.0037475</v>
      </c>
      <c r="J6" s="5" t="s">
        <v>99</v>
      </c>
    </row>
    <row r="7" customFormat="false" ht="23.85" hidden="false" customHeight="false" outlineLevel="0" collapsed="false">
      <c r="A7" s="4" t="s">
        <v>229</v>
      </c>
      <c r="B7" s="5" t="s">
        <v>1790</v>
      </c>
      <c r="C7" s="4" t="s">
        <v>1791</v>
      </c>
      <c r="D7" s="4" t="s">
        <v>82</v>
      </c>
      <c r="E7" s="4" t="s">
        <v>1779</v>
      </c>
      <c r="F7" s="4" t="s">
        <v>1735</v>
      </c>
      <c r="G7" s="4" t="s">
        <v>1780</v>
      </c>
      <c r="H7" s="5" t="s">
        <v>1792</v>
      </c>
      <c r="I7" s="35" t="n">
        <f aca="false">1/INDEX(P_VAL,MATCH("DISCO_MAN",P_ID,0))</f>
        <v>0.00666666666666667</v>
      </c>
      <c r="J7" s="5" t="s">
        <v>1793</v>
      </c>
    </row>
    <row r="8" customFormat="false" ht="15" hidden="false" customHeight="false" outlineLevel="0" collapsed="false">
      <c r="A8" s="4" t="s">
        <v>229</v>
      </c>
      <c r="B8" s="5" t="s">
        <v>1794</v>
      </c>
      <c r="C8" s="4" t="s">
        <v>1795</v>
      </c>
      <c r="D8" s="4" t="s">
        <v>73</v>
      </c>
      <c r="E8" s="4" t="s">
        <v>1779</v>
      </c>
      <c r="F8" s="4" t="s">
        <v>1735</v>
      </c>
      <c r="G8" s="4" t="s">
        <v>1780</v>
      </c>
      <c r="H8" s="5" t="s">
        <v>1796</v>
      </c>
      <c r="I8" s="35" t="n">
        <f aca="false">INDEX(P_VAL,MATCH("GRANALLA",P_ID,0))</f>
        <v>0.08</v>
      </c>
      <c r="J8" s="5" t="s">
        <v>1797</v>
      </c>
    </row>
    <row r="9" customFormat="false" ht="15" hidden="false" customHeight="false" outlineLevel="0" collapsed="false">
      <c r="A9" s="4" t="s">
        <v>229</v>
      </c>
      <c r="B9" s="5" t="s">
        <v>1798</v>
      </c>
      <c r="C9" s="4" t="s">
        <v>1799</v>
      </c>
      <c r="D9" s="4" t="s">
        <v>82</v>
      </c>
      <c r="E9" s="4" t="s">
        <v>1779</v>
      </c>
      <c r="F9" s="4" t="s">
        <v>1735</v>
      </c>
      <c r="G9" s="4" t="s">
        <v>1780</v>
      </c>
      <c r="H9" s="5" t="s">
        <v>1800</v>
      </c>
      <c r="I9" s="35" t="n">
        <f aca="false">1/INDEX(P_VAL,MATCH("TAPON_CICLOS",P_ID,0))</f>
        <v>0.02</v>
      </c>
      <c r="J9" s="5" t="s">
        <v>1801</v>
      </c>
    </row>
    <row r="10" customFormat="false" ht="23.85" hidden="false" customHeight="false" outlineLevel="0" collapsed="false">
      <c r="A10" s="4" t="s">
        <v>229</v>
      </c>
      <c r="B10" s="5" t="s">
        <v>1802</v>
      </c>
      <c r="C10" s="4" t="s">
        <v>1803</v>
      </c>
      <c r="D10" s="4" t="s">
        <v>73</v>
      </c>
      <c r="E10" s="4" t="s">
        <v>1785</v>
      </c>
      <c r="F10" s="4" t="s">
        <v>1735</v>
      </c>
      <c r="G10" s="4" t="s">
        <v>1780</v>
      </c>
      <c r="H10" s="5" t="s">
        <v>1804</v>
      </c>
      <c r="I10" s="35" t="n">
        <f aca="false">0.07644*INDEX(P_VAL,MATCH("PINT_RHO",P_ID,0))*INDEX(P_VAL,MATCH("PINT_ESP",P_ID,0))/1000/INDEX(P_VAL,MATCH("PINT_APROV",P_ID,0))</f>
        <v>0.00918084631578947</v>
      </c>
      <c r="J10" s="5" t="s">
        <v>1805</v>
      </c>
    </row>
    <row r="11" customFormat="false" ht="23.85" hidden="false" customHeight="false" outlineLevel="0" collapsed="false">
      <c r="A11" s="4" t="s">
        <v>229</v>
      </c>
      <c r="B11" s="5" t="s">
        <v>1806</v>
      </c>
      <c r="C11" s="4" t="s">
        <v>1807</v>
      </c>
      <c r="D11" s="4" t="s">
        <v>82</v>
      </c>
      <c r="E11" s="4" t="s">
        <v>1785</v>
      </c>
      <c r="F11" s="4" t="s">
        <v>1735</v>
      </c>
      <c r="G11" s="4" t="s">
        <v>1780</v>
      </c>
      <c r="H11" s="5" t="s">
        <v>1808</v>
      </c>
      <c r="I11" s="35" t="n">
        <v>1</v>
      </c>
      <c r="J11" s="5" t="s">
        <v>1809</v>
      </c>
    </row>
    <row r="12" customFormat="false" ht="15" hidden="false" customHeight="false" outlineLevel="0" collapsed="false">
      <c r="A12" s="4" t="s">
        <v>229</v>
      </c>
      <c r="B12" s="5" t="s">
        <v>1806</v>
      </c>
      <c r="C12" s="4" t="s">
        <v>1810</v>
      </c>
      <c r="D12" s="4" t="s">
        <v>82</v>
      </c>
      <c r="E12" s="4" t="s">
        <v>1785</v>
      </c>
      <c r="F12" s="4" t="s">
        <v>1735</v>
      </c>
      <c r="G12" s="4" t="s">
        <v>1780</v>
      </c>
      <c r="H12" s="5" t="s">
        <v>1811</v>
      </c>
      <c r="I12" s="35" t="n">
        <v>1</v>
      </c>
      <c r="J12" s="5" t="s">
        <v>1812</v>
      </c>
    </row>
    <row r="13" customFormat="false" ht="15" hidden="false" customHeight="false" outlineLevel="0" collapsed="false">
      <c r="A13" s="4" t="s">
        <v>229</v>
      </c>
      <c r="B13" s="5" t="s">
        <v>1806</v>
      </c>
      <c r="C13" s="4" t="s">
        <v>1813</v>
      </c>
      <c r="D13" s="4" t="s">
        <v>82</v>
      </c>
      <c r="E13" s="4" t="s">
        <v>1785</v>
      </c>
      <c r="F13" s="4" t="s">
        <v>1735</v>
      </c>
      <c r="G13" s="4" t="s">
        <v>1780</v>
      </c>
      <c r="H13" s="5" t="s">
        <v>1814</v>
      </c>
      <c r="I13" s="35" t="n">
        <f aca="false">1/400</f>
        <v>0.0025</v>
      </c>
      <c r="J13" s="5" t="s">
        <v>1815</v>
      </c>
    </row>
    <row r="14" customFormat="false" ht="15" hidden="false" customHeight="false" outlineLevel="0" collapsed="false">
      <c r="A14" s="4" t="s">
        <v>229</v>
      </c>
      <c r="B14" s="5" t="s">
        <v>1806</v>
      </c>
      <c r="C14" s="4" t="s">
        <v>1816</v>
      </c>
      <c r="D14" s="4" t="s">
        <v>73</v>
      </c>
      <c r="E14" s="4" t="s">
        <v>1785</v>
      </c>
      <c r="F14" s="4" t="s">
        <v>1735</v>
      </c>
      <c r="G14" s="4" t="s">
        <v>1780</v>
      </c>
      <c r="H14" s="5" t="s">
        <v>1817</v>
      </c>
      <c r="I14" s="35" t="n">
        <f aca="false">INDEX(P_VAL,MATCH("FILM_PALLET",P_ID,0))/400</f>
        <v>0.000875</v>
      </c>
      <c r="J14" s="5" t="s">
        <v>99</v>
      </c>
    </row>
    <row r="15" customFormat="false" ht="15" hidden="false" customHeight="false" outlineLevel="0" collapsed="false">
      <c r="A15" s="4" t="s">
        <v>229</v>
      </c>
      <c r="B15" s="5" t="s">
        <v>1806</v>
      </c>
      <c r="C15" s="4" t="s">
        <v>1818</v>
      </c>
      <c r="D15" s="4" t="s">
        <v>82</v>
      </c>
      <c r="E15" s="4" t="s">
        <v>1785</v>
      </c>
      <c r="F15" s="4" t="s">
        <v>1735</v>
      </c>
      <c r="G15" s="4" t="s">
        <v>1780</v>
      </c>
      <c r="H15" s="5" t="s">
        <v>1819</v>
      </c>
      <c r="I15" s="35" t="n">
        <f aca="false">1/400</f>
        <v>0.0025</v>
      </c>
      <c r="J15" s="5" t="s">
        <v>1812</v>
      </c>
    </row>
    <row r="16" customFormat="false" ht="23.85" hidden="false" customHeight="false" outlineLevel="0" collapsed="false">
      <c r="A16" s="4" t="s">
        <v>229</v>
      </c>
      <c r="B16" s="5" t="s">
        <v>1820</v>
      </c>
      <c r="C16" s="4" t="s">
        <v>1632</v>
      </c>
      <c r="D16" s="4" t="s">
        <v>82</v>
      </c>
      <c r="E16" s="4" t="s">
        <v>1785</v>
      </c>
      <c r="F16" s="4" t="s">
        <v>1735</v>
      </c>
      <c r="G16" s="4" t="s">
        <v>1821</v>
      </c>
      <c r="H16" s="5" t="s">
        <v>1822</v>
      </c>
      <c r="I16" s="35" t="n">
        <v>1</v>
      </c>
      <c r="J16" s="5" t="s">
        <v>1823</v>
      </c>
    </row>
    <row r="17" customFormat="false" ht="23.85" hidden="false" customHeight="false" outlineLevel="0" collapsed="false">
      <c r="A17" s="4" t="s">
        <v>229</v>
      </c>
      <c r="B17" s="5" t="s">
        <v>1776</v>
      </c>
      <c r="C17" s="4" t="s">
        <v>1777</v>
      </c>
      <c r="D17" s="4" t="s">
        <v>1778</v>
      </c>
      <c r="E17" s="4" t="s">
        <v>1779</v>
      </c>
      <c r="F17" s="4" t="s">
        <v>1746</v>
      </c>
      <c r="G17" s="4" t="s">
        <v>1780</v>
      </c>
      <c r="H17" s="5" t="s">
        <v>1781</v>
      </c>
      <c r="I17" s="35" t="n">
        <f aca="false">0.03388*INDEX(P_VAL,MATCH("GAS_MAN_AJ",P_ID,0))</f>
        <v>0.0375413447882944</v>
      </c>
      <c r="J17" s="5" t="s">
        <v>1782</v>
      </c>
    </row>
    <row r="18" customFormat="false" ht="15" hidden="false" customHeight="false" outlineLevel="0" collapsed="false">
      <c r="A18" s="4" t="s">
        <v>229</v>
      </c>
      <c r="B18" s="5" t="s">
        <v>1783</v>
      </c>
      <c r="C18" s="4" t="s">
        <v>1784</v>
      </c>
      <c r="D18" s="4" t="s">
        <v>73</v>
      </c>
      <c r="E18" s="4" t="s">
        <v>1785</v>
      </c>
      <c r="F18" s="4" t="s">
        <v>1746</v>
      </c>
      <c r="G18" s="4" t="s">
        <v>1780</v>
      </c>
      <c r="H18" s="5" t="s">
        <v>1786</v>
      </c>
      <c r="I18" s="35" t="n">
        <v>0.0304</v>
      </c>
      <c r="J18" s="5" t="s">
        <v>1787</v>
      </c>
    </row>
    <row r="19" customFormat="false" ht="15" hidden="false" customHeight="false" outlineLevel="0" collapsed="false">
      <c r="A19" s="4" t="s">
        <v>229</v>
      </c>
      <c r="B19" s="5" t="s">
        <v>1783</v>
      </c>
      <c r="C19" s="4" t="s">
        <v>1788</v>
      </c>
      <c r="D19" s="4" t="s">
        <v>82</v>
      </c>
      <c r="E19" s="4" t="s">
        <v>1779</v>
      </c>
      <c r="F19" s="4" t="s">
        <v>1746</v>
      </c>
      <c r="G19" s="4" t="s">
        <v>1780</v>
      </c>
      <c r="H19" s="5" t="s">
        <v>1789</v>
      </c>
      <c r="I19" s="35" t="n">
        <f aca="false">0.0304/INDEX(P_VAL,MATCH("ALAMBRE_PUNTA",P_ID,0))</f>
        <v>0.0076</v>
      </c>
      <c r="J19" s="5" t="s">
        <v>99</v>
      </c>
    </row>
    <row r="20" customFormat="false" ht="23.85" hidden="false" customHeight="false" outlineLevel="0" collapsed="false">
      <c r="A20" s="4" t="s">
        <v>229</v>
      </c>
      <c r="B20" s="5" t="s">
        <v>1790</v>
      </c>
      <c r="C20" s="4" t="s">
        <v>1791</v>
      </c>
      <c r="D20" s="4" t="s">
        <v>82</v>
      </c>
      <c r="E20" s="4" t="s">
        <v>1779</v>
      </c>
      <c r="F20" s="4" t="s">
        <v>1746</v>
      </c>
      <c r="G20" s="4" t="s">
        <v>1780</v>
      </c>
      <c r="H20" s="5" t="s">
        <v>1792</v>
      </c>
      <c r="I20" s="35" t="n">
        <f aca="false">1/INDEX(P_VAL,MATCH("DISCO_MAN",P_ID,0))</f>
        <v>0.00666666666666667</v>
      </c>
      <c r="J20" s="5" t="s">
        <v>1793</v>
      </c>
    </row>
    <row r="21" customFormat="false" ht="15" hidden="false" customHeight="false" outlineLevel="0" collapsed="false">
      <c r="A21" s="4" t="s">
        <v>229</v>
      </c>
      <c r="B21" s="5" t="s">
        <v>1794</v>
      </c>
      <c r="C21" s="4" t="s">
        <v>1795</v>
      </c>
      <c r="D21" s="4" t="s">
        <v>73</v>
      </c>
      <c r="E21" s="4" t="s">
        <v>1779</v>
      </c>
      <c r="F21" s="4" t="s">
        <v>1746</v>
      </c>
      <c r="G21" s="4" t="s">
        <v>1780</v>
      </c>
      <c r="H21" s="5" t="s">
        <v>1796</v>
      </c>
      <c r="I21" s="35" t="n">
        <f aca="false">INDEX(P_VAL,MATCH("GRANALLA",P_ID,0))</f>
        <v>0.08</v>
      </c>
      <c r="J21" s="5" t="s">
        <v>1797</v>
      </c>
    </row>
    <row r="22" customFormat="false" ht="15" hidden="false" customHeight="false" outlineLevel="0" collapsed="false">
      <c r="A22" s="4" t="s">
        <v>229</v>
      </c>
      <c r="B22" s="5" t="s">
        <v>1798</v>
      </c>
      <c r="C22" s="4" t="s">
        <v>1799</v>
      </c>
      <c r="D22" s="4" t="s">
        <v>82</v>
      </c>
      <c r="E22" s="4" t="s">
        <v>1779</v>
      </c>
      <c r="F22" s="4" t="s">
        <v>1746</v>
      </c>
      <c r="G22" s="4" t="s">
        <v>1780</v>
      </c>
      <c r="H22" s="5" t="s">
        <v>1800</v>
      </c>
      <c r="I22" s="35" t="n">
        <f aca="false">1/INDEX(P_VAL,MATCH("TAPON_CICLOS",P_ID,0))</f>
        <v>0.02</v>
      </c>
      <c r="J22" s="5" t="s">
        <v>1801</v>
      </c>
    </row>
    <row r="23" customFormat="false" ht="23.85" hidden="false" customHeight="false" outlineLevel="0" collapsed="false">
      <c r="A23" s="4" t="s">
        <v>229</v>
      </c>
      <c r="B23" s="5" t="s">
        <v>1802</v>
      </c>
      <c r="C23" s="4" t="s">
        <v>1803</v>
      </c>
      <c r="D23" s="4" t="s">
        <v>73</v>
      </c>
      <c r="E23" s="4" t="s">
        <v>1785</v>
      </c>
      <c r="F23" s="4" t="s">
        <v>1746</v>
      </c>
      <c r="G23" s="4" t="s">
        <v>1780</v>
      </c>
      <c r="H23" s="5" t="s">
        <v>1824</v>
      </c>
      <c r="I23" s="35" t="n">
        <f aca="false">0.13753*INDEX(P_VAL,MATCH("PINT_RHO",P_ID,0))*INDEX(P_VAL,MATCH("PINT_ESP",P_ID,0))/1000/INDEX(P_VAL,MATCH("PINT_APROV",P_ID,0))</f>
        <v>0.0165180768421053</v>
      </c>
      <c r="J23" s="5" t="s">
        <v>1825</v>
      </c>
    </row>
    <row r="24" customFormat="false" ht="23.85" hidden="false" customHeight="false" outlineLevel="0" collapsed="false">
      <c r="A24" s="4" t="s">
        <v>229</v>
      </c>
      <c r="B24" s="5" t="s">
        <v>1806</v>
      </c>
      <c r="C24" s="4" t="s">
        <v>1826</v>
      </c>
      <c r="D24" s="4" t="s">
        <v>82</v>
      </c>
      <c r="E24" s="4" t="s">
        <v>1785</v>
      </c>
      <c r="F24" s="4" t="s">
        <v>1746</v>
      </c>
      <c r="G24" s="4" t="s">
        <v>1780</v>
      </c>
      <c r="H24" s="5" t="s">
        <v>1808</v>
      </c>
      <c r="I24" s="35" t="n">
        <v>1</v>
      </c>
      <c r="J24" s="5" t="s">
        <v>1809</v>
      </c>
    </row>
    <row r="25" customFormat="false" ht="15" hidden="false" customHeight="false" outlineLevel="0" collapsed="false">
      <c r="A25" s="4" t="s">
        <v>229</v>
      </c>
      <c r="B25" s="5" t="s">
        <v>1806</v>
      </c>
      <c r="C25" s="4" t="s">
        <v>1810</v>
      </c>
      <c r="D25" s="4" t="s">
        <v>82</v>
      </c>
      <c r="E25" s="4" t="s">
        <v>1785</v>
      </c>
      <c r="F25" s="4" t="s">
        <v>1746</v>
      </c>
      <c r="G25" s="4" t="s">
        <v>1780</v>
      </c>
      <c r="H25" s="5" t="s">
        <v>1811</v>
      </c>
      <c r="I25" s="35" t="n">
        <v>1</v>
      </c>
      <c r="J25" s="5" t="s">
        <v>1812</v>
      </c>
    </row>
    <row r="26" customFormat="false" ht="15" hidden="false" customHeight="false" outlineLevel="0" collapsed="false">
      <c r="A26" s="4" t="s">
        <v>229</v>
      </c>
      <c r="B26" s="5" t="s">
        <v>1806</v>
      </c>
      <c r="C26" s="4" t="s">
        <v>1813</v>
      </c>
      <c r="D26" s="4" t="s">
        <v>82</v>
      </c>
      <c r="E26" s="4" t="s">
        <v>1785</v>
      </c>
      <c r="F26" s="4" t="s">
        <v>1746</v>
      </c>
      <c r="G26" s="4" t="s">
        <v>1780</v>
      </c>
      <c r="H26" s="5" t="s">
        <v>1827</v>
      </c>
      <c r="I26" s="35" t="n">
        <f aca="false">1/167</f>
        <v>0.00598802395209581</v>
      </c>
      <c r="J26" s="5" t="s">
        <v>1815</v>
      </c>
    </row>
    <row r="27" customFormat="false" ht="15" hidden="false" customHeight="false" outlineLevel="0" collapsed="false">
      <c r="A27" s="4" t="s">
        <v>229</v>
      </c>
      <c r="B27" s="5" t="s">
        <v>1806</v>
      </c>
      <c r="C27" s="4" t="s">
        <v>1816</v>
      </c>
      <c r="D27" s="4" t="s">
        <v>73</v>
      </c>
      <c r="E27" s="4" t="s">
        <v>1785</v>
      </c>
      <c r="F27" s="4" t="s">
        <v>1746</v>
      </c>
      <c r="G27" s="4" t="s">
        <v>1780</v>
      </c>
      <c r="H27" s="5" t="s">
        <v>1817</v>
      </c>
      <c r="I27" s="35" t="n">
        <f aca="false">INDEX(P_VAL,MATCH("FILM_PALLET",P_ID,0))/167</f>
        <v>0.00209580838323353</v>
      </c>
      <c r="J27" s="5" t="s">
        <v>99</v>
      </c>
    </row>
    <row r="28" customFormat="false" ht="15" hidden="false" customHeight="false" outlineLevel="0" collapsed="false">
      <c r="A28" s="4" t="s">
        <v>229</v>
      </c>
      <c r="B28" s="5" t="s">
        <v>1806</v>
      </c>
      <c r="C28" s="4" t="s">
        <v>1818</v>
      </c>
      <c r="D28" s="4" t="s">
        <v>82</v>
      </c>
      <c r="E28" s="4" t="s">
        <v>1785</v>
      </c>
      <c r="F28" s="4" t="s">
        <v>1746</v>
      </c>
      <c r="G28" s="4" t="s">
        <v>1780</v>
      </c>
      <c r="H28" s="5" t="s">
        <v>1819</v>
      </c>
      <c r="I28" s="35" t="n">
        <f aca="false">1/167</f>
        <v>0.00598802395209581</v>
      </c>
      <c r="J28" s="5" t="s">
        <v>1812</v>
      </c>
    </row>
    <row r="29" customFormat="false" ht="23.85" hidden="false" customHeight="false" outlineLevel="0" collapsed="false">
      <c r="A29" s="4" t="s">
        <v>229</v>
      </c>
      <c r="B29" s="5" t="s">
        <v>1820</v>
      </c>
      <c r="C29" s="4" t="s">
        <v>1632</v>
      </c>
      <c r="D29" s="4" t="s">
        <v>82</v>
      </c>
      <c r="E29" s="4" t="s">
        <v>1785</v>
      </c>
      <c r="F29" s="4" t="s">
        <v>1746</v>
      </c>
      <c r="G29" s="4" t="s">
        <v>1821</v>
      </c>
      <c r="H29" s="5" t="s">
        <v>1822</v>
      </c>
      <c r="I29" s="35" t="n">
        <v>1</v>
      </c>
      <c r="J29" s="5" t="s">
        <v>1823</v>
      </c>
    </row>
    <row r="30" customFormat="false" ht="23.85" hidden="false" customHeight="false" outlineLevel="0" collapsed="false">
      <c r="A30" s="4" t="s">
        <v>229</v>
      </c>
      <c r="B30" s="5" t="s">
        <v>1776</v>
      </c>
      <c r="C30" s="4" t="s">
        <v>1777</v>
      </c>
      <c r="D30" s="4" t="s">
        <v>1778</v>
      </c>
      <c r="E30" s="4" t="s">
        <v>1779</v>
      </c>
      <c r="F30" s="4" t="s">
        <v>1751</v>
      </c>
      <c r="G30" s="4" t="s">
        <v>1780</v>
      </c>
      <c r="H30" s="5" t="s">
        <v>1781</v>
      </c>
      <c r="I30" s="35" t="n">
        <f aca="false">0.04096*INDEX(P_VAL,MATCH("GAS_MAN_AJ",P_ID,0))</f>
        <v>0.0453864664264621</v>
      </c>
      <c r="J30" s="5" t="s">
        <v>1782</v>
      </c>
    </row>
    <row r="31" customFormat="false" ht="15" hidden="false" customHeight="false" outlineLevel="0" collapsed="false">
      <c r="A31" s="4" t="s">
        <v>229</v>
      </c>
      <c r="B31" s="5" t="s">
        <v>1783</v>
      </c>
      <c r="C31" s="4" t="s">
        <v>1784</v>
      </c>
      <c r="D31" s="4" t="s">
        <v>73</v>
      </c>
      <c r="E31" s="4" t="s">
        <v>1785</v>
      </c>
      <c r="F31" s="4" t="s">
        <v>1751</v>
      </c>
      <c r="G31" s="4" t="s">
        <v>1780</v>
      </c>
      <c r="H31" s="5" t="s">
        <v>1786</v>
      </c>
      <c r="I31" s="35" t="n">
        <v>0.03675</v>
      </c>
      <c r="J31" s="5" t="s">
        <v>1787</v>
      </c>
    </row>
    <row r="32" customFormat="false" ht="15" hidden="false" customHeight="false" outlineLevel="0" collapsed="false">
      <c r="A32" s="4" t="s">
        <v>229</v>
      </c>
      <c r="B32" s="5" t="s">
        <v>1783</v>
      </c>
      <c r="C32" s="4" t="s">
        <v>1788</v>
      </c>
      <c r="D32" s="4" t="s">
        <v>82</v>
      </c>
      <c r="E32" s="4" t="s">
        <v>1779</v>
      </c>
      <c r="F32" s="4" t="s">
        <v>1751</v>
      </c>
      <c r="G32" s="4" t="s">
        <v>1780</v>
      </c>
      <c r="H32" s="5" t="s">
        <v>1789</v>
      </c>
      <c r="I32" s="35" t="n">
        <f aca="false">0.03675/INDEX(P_VAL,MATCH("ALAMBRE_PUNTA",P_ID,0))</f>
        <v>0.0091875</v>
      </c>
      <c r="J32" s="5" t="s">
        <v>99</v>
      </c>
    </row>
    <row r="33" customFormat="false" ht="23.85" hidden="false" customHeight="false" outlineLevel="0" collapsed="false">
      <c r="A33" s="4" t="s">
        <v>229</v>
      </c>
      <c r="B33" s="5" t="s">
        <v>1790</v>
      </c>
      <c r="C33" s="4" t="s">
        <v>1791</v>
      </c>
      <c r="D33" s="4" t="s">
        <v>82</v>
      </c>
      <c r="E33" s="4" t="s">
        <v>1779</v>
      </c>
      <c r="F33" s="4" t="s">
        <v>1751</v>
      </c>
      <c r="G33" s="4" t="s">
        <v>1780</v>
      </c>
      <c r="H33" s="5" t="s">
        <v>1792</v>
      </c>
      <c r="I33" s="35" t="n">
        <f aca="false">1/INDEX(P_VAL,MATCH("DISCO_MAN",P_ID,0))</f>
        <v>0.00666666666666667</v>
      </c>
      <c r="J33" s="5" t="s">
        <v>1793</v>
      </c>
    </row>
    <row r="34" customFormat="false" ht="15" hidden="false" customHeight="false" outlineLevel="0" collapsed="false">
      <c r="A34" s="4" t="s">
        <v>229</v>
      </c>
      <c r="B34" s="5" t="s">
        <v>1794</v>
      </c>
      <c r="C34" s="4" t="s">
        <v>1795</v>
      </c>
      <c r="D34" s="4" t="s">
        <v>73</v>
      </c>
      <c r="E34" s="4" t="s">
        <v>1779</v>
      </c>
      <c r="F34" s="4" t="s">
        <v>1751</v>
      </c>
      <c r="G34" s="4" t="s">
        <v>1780</v>
      </c>
      <c r="H34" s="5" t="s">
        <v>1796</v>
      </c>
      <c r="I34" s="35" t="n">
        <f aca="false">INDEX(P_VAL,MATCH("GRANALLA",P_ID,0))</f>
        <v>0.08</v>
      </c>
      <c r="J34" s="5" t="s">
        <v>1797</v>
      </c>
    </row>
    <row r="35" customFormat="false" ht="15" hidden="false" customHeight="false" outlineLevel="0" collapsed="false">
      <c r="A35" s="4" t="s">
        <v>229</v>
      </c>
      <c r="B35" s="5" t="s">
        <v>1798</v>
      </c>
      <c r="C35" s="4" t="s">
        <v>1799</v>
      </c>
      <c r="D35" s="4" t="s">
        <v>82</v>
      </c>
      <c r="E35" s="4" t="s">
        <v>1779</v>
      </c>
      <c r="F35" s="4" t="s">
        <v>1751</v>
      </c>
      <c r="G35" s="4" t="s">
        <v>1780</v>
      </c>
      <c r="H35" s="5" t="s">
        <v>1800</v>
      </c>
      <c r="I35" s="35" t="n">
        <f aca="false">1/INDEX(P_VAL,MATCH("TAPON_CICLOS",P_ID,0))</f>
        <v>0.02</v>
      </c>
      <c r="J35" s="5" t="s">
        <v>1801</v>
      </c>
    </row>
    <row r="36" customFormat="false" ht="23.85" hidden="false" customHeight="false" outlineLevel="0" collapsed="false">
      <c r="A36" s="4" t="s">
        <v>229</v>
      </c>
      <c r="B36" s="5" t="s">
        <v>1802</v>
      </c>
      <c r="C36" s="4" t="s">
        <v>1803</v>
      </c>
      <c r="D36" s="4" t="s">
        <v>73</v>
      </c>
      <c r="E36" s="4" t="s">
        <v>1785</v>
      </c>
      <c r="F36" s="4" t="s">
        <v>1751</v>
      </c>
      <c r="G36" s="4" t="s">
        <v>1780</v>
      </c>
      <c r="H36" s="5" t="s">
        <v>1828</v>
      </c>
      <c r="I36" s="35" t="n">
        <f aca="false">0.20906*INDEX(P_VAL,MATCH("PINT_RHO",P_ID,0))*INDEX(P_VAL,MATCH("PINT_ESP",P_ID,0))/1000/INDEX(P_VAL,MATCH("PINT_APROV",P_ID,0))</f>
        <v>0.0251092063157895</v>
      </c>
      <c r="J36" s="5" t="s">
        <v>1829</v>
      </c>
    </row>
    <row r="37" customFormat="false" ht="23.85" hidden="false" customHeight="false" outlineLevel="0" collapsed="false">
      <c r="A37" s="4" t="s">
        <v>229</v>
      </c>
      <c r="B37" s="5" t="s">
        <v>1806</v>
      </c>
      <c r="C37" s="4" t="s">
        <v>1830</v>
      </c>
      <c r="D37" s="4" t="s">
        <v>82</v>
      </c>
      <c r="E37" s="4" t="s">
        <v>1785</v>
      </c>
      <c r="F37" s="4" t="s">
        <v>1751</v>
      </c>
      <c r="G37" s="4" t="s">
        <v>1780</v>
      </c>
      <c r="H37" s="5" t="s">
        <v>1808</v>
      </c>
      <c r="I37" s="35" t="n">
        <v>1</v>
      </c>
      <c r="J37" s="5" t="s">
        <v>1809</v>
      </c>
    </row>
    <row r="38" customFormat="false" ht="15" hidden="false" customHeight="false" outlineLevel="0" collapsed="false">
      <c r="A38" s="4" t="s">
        <v>229</v>
      </c>
      <c r="B38" s="5" t="s">
        <v>1806</v>
      </c>
      <c r="C38" s="4" t="s">
        <v>1810</v>
      </c>
      <c r="D38" s="4" t="s">
        <v>82</v>
      </c>
      <c r="E38" s="4" t="s">
        <v>1785</v>
      </c>
      <c r="F38" s="4" t="s">
        <v>1751</v>
      </c>
      <c r="G38" s="4" t="s">
        <v>1780</v>
      </c>
      <c r="H38" s="5" t="s">
        <v>1811</v>
      </c>
      <c r="I38" s="35" t="n">
        <v>1</v>
      </c>
      <c r="J38" s="5" t="s">
        <v>1812</v>
      </c>
    </row>
    <row r="39" customFormat="false" ht="15" hidden="false" customHeight="false" outlineLevel="0" collapsed="false">
      <c r="A39" s="4" t="s">
        <v>229</v>
      </c>
      <c r="B39" s="5" t="s">
        <v>1806</v>
      </c>
      <c r="C39" s="4" t="s">
        <v>1813</v>
      </c>
      <c r="D39" s="4" t="s">
        <v>82</v>
      </c>
      <c r="E39" s="4" t="s">
        <v>1785</v>
      </c>
      <c r="F39" s="4" t="s">
        <v>1751</v>
      </c>
      <c r="G39" s="4" t="s">
        <v>1780</v>
      </c>
      <c r="H39" s="5" t="s">
        <v>1831</v>
      </c>
      <c r="I39" s="35" t="n">
        <f aca="false">1/90</f>
        <v>0.0111111111111111</v>
      </c>
      <c r="J39" s="5" t="s">
        <v>1815</v>
      </c>
    </row>
    <row r="40" customFormat="false" ht="15" hidden="false" customHeight="false" outlineLevel="0" collapsed="false">
      <c r="A40" s="4" t="s">
        <v>229</v>
      </c>
      <c r="B40" s="5" t="s">
        <v>1806</v>
      </c>
      <c r="C40" s="4" t="s">
        <v>1816</v>
      </c>
      <c r="D40" s="4" t="s">
        <v>73</v>
      </c>
      <c r="E40" s="4" t="s">
        <v>1785</v>
      </c>
      <c r="F40" s="4" t="s">
        <v>1751</v>
      </c>
      <c r="G40" s="4" t="s">
        <v>1780</v>
      </c>
      <c r="H40" s="5" t="s">
        <v>1817</v>
      </c>
      <c r="I40" s="35" t="n">
        <f aca="false">INDEX(P_VAL,MATCH("FILM_PALLET",P_ID,0))/90</f>
        <v>0.00388888888888889</v>
      </c>
      <c r="J40" s="5" t="s">
        <v>99</v>
      </c>
    </row>
    <row r="41" customFormat="false" ht="15" hidden="false" customHeight="false" outlineLevel="0" collapsed="false">
      <c r="A41" s="4" t="s">
        <v>229</v>
      </c>
      <c r="B41" s="5" t="s">
        <v>1806</v>
      </c>
      <c r="C41" s="4" t="s">
        <v>1818</v>
      </c>
      <c r="D41" s="4" t="s">
        <v>82</v>
      </c>
      <c r="E41" s="4" t="s">
        <v>1785</v>
      </c>
      <c r="F41" s="4" t="s">
        <v>1751</v>
      </c>
      <c r="G41" s="4" t="s">
        <v>1780</v>
      </c>
      <c r="H41" s="5" t="s">
        <v>1819</v>
      </c>
      <c r="I41" s="35" t="n">
        <f aca="false">1/90</f>
        <v>0.0111111111111111</v>
      </c>
      <c r="J41" s="5" t="s">
        <v>1812</v>
      </c>
    </row>
    <row r="42" customFormat="false" ht="23.85" hidden="false" customHeight="false" outlineLevel="0" collapsed="false">
      <c r="A42" s="4" t="s">
        <v>229</v>
      </c>
      <c r="B42" s="5" t="s">
        <v>1820</v>
      </c>
      <c r="C42" s="4" t="s">
        <v>1632</v>
      </c>
      <c r="D42" s="4" t="s">
        <v>82</v>
      </c>
      <c r="E42" s="4" t="s">
        <v>1785</v>
      </c>
      <c r="F42" s="4" t="s">
        <v>1751</v>
      </c>
      <c r="G42" s="4" t="s">
        <v>1821</v>
      </c>
      <c r="H42" s="5" t="s">
        <v>1822</v>
      </c>
      <c r="I42" s="35" t="n">
        <v>1</v>
      </c>
      <c r="J42" s="5" t="s">
        <v>1823</v>
      </c>
    </row>
    <row r="43" customFormat="false" ht="23.85" hidden="false" customHeight="false" outlineLevel="0" collapsed="false">
      <c r="A43" s="4" t="s">
        <v>229</v>
      </c>
      <c r="B43" s="5" t="s">
        <v>1776</v>
      </c>
      <c r="C43" s="4" t="s">
        <v>1777</v>
      </c>
      <c r="D43" s="4" t="s">
        <v>1778</v>
      </c>
      <c r="E43" s="4" t="s">
        <v>1779</v>
      </c>
      <c r="F43" s="4" t="s">
        <v>1754</v>
      </c>
      <c r="G43" s="4" t="s">
        <v>1780</v>
      </c>
      <c r="H43" s="5" t="s">
        <v>1781</v>
      </c>
      <c r="I43" s="35" t="n">
        <f aca="false">0.051*INDEX(P_VAL,MATCH("GAS_MAN_AJ",P_ID,0))</f>
        <v>0.0565114694274797</v>
      </c>
      <c r="J43" s="5" t="s">
        <v>1782</v>
      </c>
    </row>
    <row r="44" customFormat="false" ht="15" hidden="false" customHeight="false" outlineLevel="0" collapsed="false">
      <c r="A44" s="4" t="s">
        <v>229</v>
      </c>
      <c r="B44" s="5" t="s">
        <v>1783</v>
      </c>
      <c r="C44" s="4" t="s">
        <v>1784</v>
      </c>
      <c r="D44" s="4" t="s">
        <v>73</v>
      </c>
      <c r="E44" s="4" t="s">
        <v>1785</v>
      </c>
      <c r="F44" s="4" t="s">
        <v>1754</v>
      </c>
      <c r="G44" s="4" t="s">
        <v>1780</v>
      </c>
      <c r="H44" s="5" t="s">
        <v>1786</v>
      </c>
      <c r="I44" s="35" t="n">
        <v>0.04575</v>
      </c>
      <c r="J44" s="5" t="s">
        <v>1787</v>
      </c>
    </row>
    <row r="45" customFormat="false" ht="15" hidden="false" customHeight="false" outlineLevel="0" collapsed="false">
      <c r="A45" s="4" t="s">
        <v>229</v>
      </c>
      <c r="B45" s="5" t="s">
        <v>1783</v>
      </c>
      <c r="C45" s="4" t="s">
        <v>1788</v>
      </c>
      <c r="D45" s="4" t="s">
        <v>82</v>
      </c>
      <c r="E45" s="4" t="s">
        <v>1779</v>
      </c>
      <c r="F45" s="4" t="s">
        <v>1754</v>
      </c>
      <c r="G45" s="4" t="s">
        <v>1780</v>
      </c>
      <c r="H45" s="5" t="s">
        <v>1789</v>
      </c>
      <c r="I45" s="35" t="n">
        <f aca="false">0.04575/INDEX(P_VAL,MATCH("ALAMBRE_PUNTA",P_ID,0))</f>
        <v>0.0114375</v>
      </c>
      <c r="J45" s="5" t="s">
        <v>99</v>
      </c>
    </row>
    <row r="46" customFormat="false" ht="23.85" hidden="false" customHeight="false" outlineLevel="0" collapsed="false">
      <c r="A46" s="4" t="s">
        <v>229</v>
      </c>
      <c r="B46" s="5" t="s">
        <v>1790</v>
      </c>
      <c r="C46" s="4" t="s">
        <v>1791</v>
      </c>
      <c r="D46" s="4" t="s">
        <v>82</v>
      </c>
      <c r="E46" s="4" t="s">
        <v>1779</v>
      </c>
      <c r="F46" s="4" t="s">
        <v>1754</v>
      </c>
      <c r="G46" s="4" t="s">
        <v>1780</v>
      </c>
      <c r="H46" s="5" t="s">
        <v>1792</v>
      </c>
      <c r="I46" s="35" t="n">
        <f aca="false">1/INDEX(P_VAL,MATCH("DISCO_MAN",P_ID,0))</f>
        <v>0.00666666666666667</v>
      </c>
      <c r="J46" s="5" t="s">
        <v>1793</v>
      </c>
    </row>
    <row r="47" customFormat="false" ht="15" hidden="false" customHeight="false" outlineLevel="0" collapsed="false">
      <c r="A47" s="4" t="s">
        <v>229</v>
      </c>
      <c r="B47" s="5" t="s">
        <v>1794</v>
      </c>
      <c r="C47" s="4" t="s">
        <v>1795</v>
      </c>
      <c r="D47" s="4" t="s">
        <v>73</v>
      </c>
      <c r="E47" s="4" t="s">
        <v>1779</v>
      </c>
      <c r="F47" s="4" t="s">
        <v>1754</v>
      </c>
      <c r="G47" s="4" t="s">
        <v>1780</v>
      </c>
      <c r="H47" s="5" t="s">
        <v>1796</v>
      </c>
      <c r="I47" s="35" t="n">
        <f aca="false">INDEX(P_VAL,MATCH("GRANALLA",P_ID,0))</f>
        <v>0.08</v>
      </c>
      <c r="J47" s="5" t="s">
        <v>1797</v>
      </c>
    </row>
    <row r="48" customFormat="false" ht="15" hidden="false" customHeight="false" outlineLevel="0" collapsed="false">
      <c r="A48" s="4" t="s">
        <v>229</v>
      </c>
      <c r="B48" s="5" t="s">
        <v>1798</v>
      </c>
      <c r="C48" s="4" t="s">
        <v>1799</v>
      </c>
      <c r="D48" s="4" t="s">
        <v>82</v>
      </c>
      <c r="E48" s="4" t="s">
        <v>1779</v>
      </c>
      <c r="F48" s="4" t="s">
        <v>1754</v>
      </c>
      <c r="G48" s="4" t="s">
        <v>1780</v>
      </c>
      <c r="H48" s="5" t="s">
        <v>1800</v>
      </c>
      <c r="I48" s="35" t="n">
        <f aca="false">1/INDEX(P_VAL,MATCH("TAPON_CICLOS",P_ID,0))</f>
        <v>0.02</v>
      </c>
      <c r="J48" s="5" t="s">
        <v>1801</v>
      </c>
    </row>
    <row r="49" customFormat="false" ht="23.85" hidden="false" customHeight="false" outlineLevel="0" collapsed="false">
      <c r="A49" s="4" t="s">
        <v>229</v>
      </c>
      <c r="B49" s="5" t="s">
        <v>1802</v>
      </c>
      <c r="C49" s="4" t="s">
        <v>1803</v>
      </c>
      <c r="D49" s="4" t="s">
        <v>73</v>
      </c>
      <c r="E49" s="4" t="s">
        <v>1785</v>
      </c>
      <c r="F49" s="4" t="s">
        <v>1754</v>
      </c>
      <c r="G49" s="4" t="s">
        <v>1780</v>
      </c>
      <c r="H49" s="5" t="s">
        <v>1832</v>
      </c>
      <c r="I49" s="35" t="n">
        <f aca="false">0.35096*INDEX(P_VAL,MATCH("PINT_RHO",P_ID,0))*INDEX(P_VAL,MATCH("PINT_ESP",P_ID,0))/1000/INDEX(P_VAL,MATCH("PINT_APROV",P_ID,0))</f>
        <v>0.0421521431578947</v>
      </c>
      <c r="J49" s="5" t="s">
        <v>1833</v>
      </c>
    </row>
    <row r="50" customFormat="false" ht="23.85" hidden="false" customHeight="false" outlineLevel="0" collapsed="false">
      <c r="A50" s="4" t="s">
        <v>229</v>
      </c>
      <c r="B50" s="5" t="s">
        <v>1806</v>
      </c>
      <c r="C50" s="4" t="s">
        <v>1834</v>
      </c>
      <c r="D50" s="4" t="s">
        <v>82</v>
      </c>
      <c r="E50" s="4" t="s">
        <v>1785</v>
      </c>
      <c r="F50" s="4" t="s">
        <v>1754</v>
      </c>
      <c r="G50" s="4" t="s">
        <v>1780</v>
      </c>
      <c r="H50" s="5" t="s">
        <v>1808</v>
      </c>
      <c r="I50" s="35" t="n">
        <v>1</v>
      </c>
      <c r="J50" s="5" t="s">
        <v>1809</v>
      </c>
    </row>
    <row r="51" customFormat="false" ht="15" hidden="false" customHeight="false" outlineLevel="0" collapsed="false">
      <c r="A51" s="4" t="s">
        <v>229</v>
      </c>
      <c r="B51" s="5" t="s">
        <v>1806</v>
      </c>
      <c r="C51" s="4" t="s">
        <v>1810</v>
      </c>
      <c r="D51" s="4" t="s">
        <v>82</v>
      </c>
      <c r="E51" s="4" t="s">
        <v>1785</v>
      </c>
      <c r="F51" s="4" t="s">
        <v>1754</v>
      </c>
      <c r="G51" s="4" t="s">
        <v>1780</v>
      </c>
      <c r="H51" s="5" t="s">
        <v>1811</v>
      </c>
      <c r="I51" s="35" t="n">
        <v>1</v>
      </c>
      <c r="J51" s="5" t="s">
        <v>1812</v>
      </c>
    </row>
    <row r="52" customFormat="false" ht="15" hidden="false" customHeight="false" outlineLevel="0" collapsed="false">
      <c r="A52" s="4" t="s">
        <v>229</v>
      </c>
      <c r="B52" s="5" t="s">
        <v>1806</v>
      </c>
      <c r="C52" s="4" t="s">
        <v>1813</v>
      </c>
      <c r="D52" s="4" t="s">
        <v>82</v>
      </c>
      <c r="E52" s="4" t="s">
        <v>1785</v>
      </c>
      <c r="F52" s="4" t="s">
        <v>1754</v>
      </c>
      <c r="G52" s="4" t="s">
        <v>1780</v>
      </c>
      <c r="H52" s="5" t="s">
        <v>1835</v>
      </c>
      <c r="I52" s="35" t="n">
        <f aca="false">1/40</f>
        <v>0.025</v>
      </c>
      <c r="J52" s="5" t="s">
        <v>1815</v>
      </c>
    </row>
    <row r="53" customFormat="false" ht="15" hidden="false" customHeight="false" outlineLevel="0" collapsed="false">
      <c r="A53" s="4" t="s">
        <v>229</v>
      </c>
      <c r="B53" s="5" t="s">
        <v>1806</v>
      </c>
      <c r="C53" s="4" t="s">
        <v>1816</v>
      </c>
      <c r="D53" s="4" t="s">
        <v>73</v>
      </c>
      <c r="E53" s="4" t="s">
        <v>1785</v>
      </c>
      <c r="F53" s="4" t="s">
        <v>1754</v>
      </c>
      <c r="G53" s="4" t="s">
        <v>1780</v>
      </c>
      <c r="H53" s="5" t="s">
        <v>1817</v>
      </c>
      <c r="I53" s="35" t="n">
        <f aca="false">INDEX(P_VAL,MATCH("FILM_PALLET",P_ID,0))/40</f>
        <v>0.00875</v>
      </c>
      <c r="J53" s="5" t="s">
        <v>99</v>
      </c>
    </row>
    <row r="54" customFormat="false" ht="15" hidden="false" customHeight="false" outlineLevel="0" collapsed="false">
      <c r="A54" s="4" t="s">
        <v>229</v>
      </c>
      <c r="B54" s="5" t="s">
        <v>1806</v>
      </c>
      <c r="C54" s="4" t="s">
        <v>1818</v>
      </c>
      <c r="D54" s="4" t="s">
        <v>82</v>
      </c>
      <c r="E54" s="4" t="s">
        <v>1785</v>
      </c>
      <c r="F54" s="4" t="s">
        <v>1754</v>
      </c>
      <c r="G54" s="4" t="s">
        <v>1780</v>
      </c>
      <c r="H54" s="5" t="s">
        <v>1819</v>
      </c>
      <c r="I54" s="35" t="n">
        <f aca="false">1/40</f>
        <v>0.025</v>
      </c>
      <c r="J54" s="5" t="s">
        <v>1812</v>
      </c>
    </row>
    <row r="55" customFormat="false" ht="23.85" hidden="false" customHeight="false" outlineLevel="0" collapsed="false">
      <c r="A55" s="4" t="s">
        <v>229</v>
      </c>
      <c r="B55" s="5" t="s">
        <v>1820</v>
      </c>
      <c r="C55" s="4" t="s">
        <v>1632</v>
      </c>
      <c r="D55" s="4" t="s">
        <v>82</v>
      </c>
      <c r="E55" s="4" t="s">
        <v>1785</v>
      </c>
      <c r="F55" s="4" t="s">
        <v>1754</v>
      </c>
      <c r="G55" s="4" t="s">
        <v>1821</v>
      </c>
      <c r="H55" s="5" t="s">
        <v>1822</v>
      </c>
      <c r="I55" s="35" t="n">
        <v>1</v>
      </c>
      <c r="J55" s="5" t="s">
        <v>1823</v>
      </c>
    </row>
    <row r="56" customFormat="false" ht="15" hidden="false" customHeight="false" outlineLevel="0" collapsed="false">
      <c r="A56" s="4" t="s">
        <v>244</v>
      </c>
      <c r="B56" s="5" t="s">
        <v>1836</v>
      </c>
      <c r="C56" s="4" t="s">
        <v>1777</v>
      </c>
      <c r="D56" s="4" t="s">
        <v>1778</v>
      </c>
      <c r="E56" s="4" t="s">
        <v>1779</v>
      </c>
      <c r="F56" s="4" t="s">
        <v>1757</v>
      </c>
      <c r="G56" s="4" t="s">
        <v>1780</v>
      </c>
      <c r="H56" s="5" t="s">
        <v>1837</v>
      </c>
      <c r="I56" s="35" t="n">
        <f aca="false">3.4/1000</f>
        <v>0.0034</v>
      </c>
      <c r="J56" s="5" t="s">
        <v>1838</v>
      </c>
    </row>
    <row r="57" customFormat="false" ht="15" hidden="false" customHeight="false" outlineLevel="0" collapsed="false">
      <c r="A57" s="4" t="s">
        <v>244</v>
      </c>
      <c r="B57" s="5" t="s">
        <v>1836</v>
      </c>
      <c r="C57" s="4" t="s">
        <v>1839</v>
      </c>
      <c r="D57" s="4" t="s">
        <v>73</v>
      </c>
      <c r="E57" s="4" t="s">
        <v>1785</v>
      </c>
      <c r="F57" s="4" t="s">
        <v>1757</v>
      </c>
      <c r="G57" s="4" t="s">
        <v>1780</v>
      </c>
      <c r="H57" s="5" t="s">
        <v>1840</v>
      </c>
      <c r="I57" s="35" t="n">
        <f aca="false">6/1000</f>
        <v>0.006</v>
      </c>
      <c r="J57" s="5" t="s">
        <v>1841</v>
      </c>
    </row>
    <row r="58" customFormat="false" ht="15" hidden="false" customHeight="false" outlineLevel="0" collapsed="false">
      <c r="A58" s="4" t="s">
        <v>244</v>
      </c>
      <c r="B58" s="5" t="s">
        <v>1842</v>
      </c>
      <c r="C58" s="4" t="s">
        <v>1777</v>
      </c>
      <c r="D58" s="4" t="s">
        <v>1778</v>
      </c>
      <c r="E58" s="4" t="s">
        <v>1779</v>
      </c>
      <c r="F58" s="4" t="s">
        <v>1757</v>
      </c>
      <c r="G58" s="4" t="s">
        <v>1780</v>
      </c>
      <c r="H58" s="5" t="s">
        <v>1843</v>
      </c>
      <c r="I58" s="35" t="n">
        <f aca="false">18/1000</f>
        <v>0.018</v>
      </c>
      <c r="J58" s="5" t="s">
        <v>1844</v>
      </c>
    </row>
    <row r="59" customFormat="false" ht="15" hidden="false" customHeight="false" outlineLevel="0" collapsed="false">
      <c r="A59" s="4" t="s">
        <v>244</v>
      </c>
      <c r="B59" s="5" t="s">
        <v>1842</v>
      </c>
      <c r="C59" s="4" t="s">
        <v>1839</v>
      </c>
      <c r="D59" s="4" t="s">
        <v>73</v>
      </c>
      <c r="E59" s="4" t="s">
        <v>1785</v>
      </c>
      <c r="F59" s="4" t="s">
        <v>1757</v>
      </c>
      <c r="G59" s="4" t="s">
        <v>1780</v>
      </c>
      <c r="H59" s="5" t="s">
        <v>1845</v>
      </c>
      <c r="I59" s="35" t="n">
        <f aca="false">48/1000</f>
        <v>0.048</v>
      </c>
      <c r="J59" s="5" t="s">
        <v>1846</v>
      </c>
    </row>
    <row r="60" customFormat="false" ht="15" hidden="false" customHeight="false" outlineLevel="0" collapsed="false">
      <c r="A60" s="4" t="s">
        <v>244</v>
      </c>
      <c r="B60" s="5" t="s">
        <v>1847</v>
      </c>
      <c r="C60" s="4" t="s">
        <v>1777</v>
      </c>
      <c r="D60" s="4" t="s">
        <v>1778</v>
      </c>
      <c r="E60" s="4" t="s">
        <v>1779</v>
      </c>
      <c r="F60" s="4" t="s">
        <v>1757</v>
      </c>
      <c r="G60" s="4" t="s">
        <v>1780</v>
      </c>
      <c r="H60" s="5" t="s">
        <v>1848</v>
      </c>
      <c r="I60" s="35" t="n">
        <f aca="false">10/1000</f>
        <v>0.01</v>
      </c>
      <c r="J60" s="5" t="s">
        <v>1849</v>
      </c>
    </row>
    <row r="61" customFormat="false" ht="15" hidden="false" customHeight="false" outlineLevel="0" collapsed="false">
      <c r="A61" s="4" t="s">
        <v>244</v>
      </c>
      <c r="B61" s="5" t="s">
        <v>1847</v>
      </c>
      <c r="C61" s="4" t="s">
        <v>1839</v>
      </c>
      <c r="D61" s="4" t="s">
        <v>73</v>
      </c>
      <c r="E61" s="4" t="s">
        <v>1785</v>
      </c>
      <c r="F61" s="4" t="s">
        <v>1757</v>
      </c>
      <c r="G61" s="4" t="s">
        <v>1780</v>
      </c>
      <c r="H61" s="5" t="s">
        <v>1850</v>
      </c>
      <c r="I61" s="35" t="n">
        <f aca="false">10.5/1000</f>
        <v>0.0105</v>
      </c>
      <c r="J61" s="5" t="s">
        <v>1851</v>
      </c>
    </row>
    <row r="62" customFormat="false" ht="15" hidden="false" customHeight="false" outlineLevel="0" collapsed="false">
      <c r="A62" s="4" t="s">
        <v>244</v>
      </c>
      <c r="B62" s="5" t="s">
        <v>1852</v>
      </c>
      <c r="C62" s="4" t="s">
        <v>1777</v>
      </c>
      <c r="D62" s="4" t="s">
        <v>1778</v>
      </c>
      <c r="E62" s="4" t="s">
        <v>1779</v>
      </c>
      <c r="F62" s="4" t="s">
        <v>1757</v>
      </c>
      <c r="G62" s="4" t="s">
        <v>1780</v>
      </c>
      <c r="H62" s="5" t="s">
        <v>1853</v>
      </c>
      <c r="I62" s="35" t="n">
        <f aca="false">66/1000</f>
        <v>0.066</v>
      </c>
      <c r="J62" s="5" t="s">
        <v>1854</v>
      </c>
    </row>
    <row r="63" customFormat="false" ht="15" hidden="false" customHeight="false" outlineLevel="0" collapsed="false">
      <c r="A63" s="4" t="s">
        <v>244</v>
      </c>
      <c r="B63" s="5" t="s">
        <v>1852</v>
      </c>
      <c r="C63" s="4" t="s">
        <v>1839</v>
      </c>
      <c r="D63" s="4" t="s">
        <v>73</v>
      </c>
      <c r="E63" s="4" t="s">
        <v>1785</v>
      </c>
      <c r="F63" s="4" t="s">
        <v>1757</v>
      </c>
      <c r="G63" s="4" t="s">
        <v>1780</v>
      </c>
      <c r="H63" s="5" t="s">
        <v>1855</v>
      </c>
      <c r="I63" s="35" t="n">
        <f aca="false">190/1000</f>
        <v>0.19</v>
      </c>
      <c r="J63" s="5" t="s">
        <v>1856</v>
      </c>
    </row>
    <row r="64" customFormat="false" ht="15" hidden="false" customHeight="false" outlineLevel="0" collapsed="false">
      <c r="A64" s="4" t="s">
        <v>244</v>
      </c>
      <c r="B64" s="5" t="s">
        <v>1857</v>
      </c>
      <c r="C64" s="4" t="s">
        <v>1777</v>
      </c>
      <c r="D64" s="4" t="s">
        <v>1778</v>
      </c>
      <c r="E64" s="4" t="s">
        <v>1779</v>
      </c>
      <c r="F64" s="4" t="s">
        <v>1757</v>
      </c>
      <c r="G64" s="4" t="s">
        <v>1858</v>
      </c>
      <c r="H64" s="5" t="s">
        <v>1859</v>
      </c>
      <c r="I64" s="35" t="n">
        <f aca="false">96/1000</f>
        <v>0.096</v>
      </c>
      <c r="J64" s="5" t="s">
        <v>1860</v>
      </c>
    </row>
    <row r="65" customFormat="false" ht="15" hidden="false" customHeight="false" outlineLevel="0" collapsed="false">
      <c r="A65" s="4" t="s">
        <v>244</v>
      </c>
      <c r="B65" s="5" t="s">
        <v>1857</v>
      </c>
      <c r="C65" s="4" t="s">
        <v>1839</v>
      </c>
      <c r="D65" s="4" t="s">
        <v>73</v>
      </c>
      <c r="E65" s="4" t="s">
        <v>1785</v>
      </c>
      <c r="F65" s="4" t="s">
        <v>1757</v>
      </c>
      <c r="G65" s="4" t="s">
        <v>1858</v>
      </c>
      <c r="H65" s="5" t="s">
        <v>1861</v>
      </c>
      <c r="I65" s="35" t="n">
        <f aca="false">141/1000</f>
        <v>0.141</v>
      </c>
      <c r="J65" s="5" t="s">
        <v>1862</v>
      </c>
    </row>
    <row r="66" customFormat="false" ht="15" hidden="false" customHeight="false" outlineLevel="0" collapsed="false">
      <c r="A66" s="4" t="s">
        <v>244</v>
      </c>
      <c r="B66" s="5" t="s">
        <v>1863</v>
      </c>
      <c r="C66" s="4" t="s">
        <v>1788</v>
      </c>
      <c r="D66" s="4" t="s">
        <v>82</v>
      </c>
      <c r="E66" s="4" t="s">
        <v>1779</v>
      </c>
      <c r="F66" s="4" t="s">
        <v>1757</v>
      </c>
      <c r="G66" s="4" t="s">
        <v>1780</v>
      </c>
      <c r="H66" s="5" t="s">
        <v>1789</v>
      </c>
      <c r="I66" s="35" t="n">
        <f aca="false">(6+48+10.5+190+141)/1000/INDEX(P_VAL,MATCH("ALAMBRE_PUNTA",P_ID,0))</f>
        <v>0.098875</v>
      </c>
      <c r="J66" s="5" t="s">
        <v>1864</v>
      </c>
    </row>
    <row r="67" customFormat="false" ht="15" hidden="false" customHeight="false" outlineLevel="0" collapsed="false">
      <c r="A67" s="4" t="s">
        <v>244</v>
      </c>
      <c r="B67" s="5" t="s">
        <v>1847</v>
      </c>
      <c r="C67" s="4" t="s">
        <v>1865</v>
      </c>
      <c r="D67" s="4" t="s">
        <v>82</v>
      </c>
      <c r="E67" s="4" t="s">
        <v>1779</v>
      </c>
      <c r="F67" s="4" t="s">
        <v>1757</v>
      </c>
      <c r="G67" s="4" t="s">
        <v>1780</v>
      </c>
      <c r="H67" s="5" t="s">
        <v>1866</v>
      </c>
      <c r="I67" s="35" t="n">
        <f aca="false">1/400</f>
        <v>0.0025</v>
      </c>
      <c r="J67" s="5" t="s">
        <v>1867</v>
      </c>
    </row>
    <row r="68" customFormat="false" ht="15" hidden="false" customHeight="false" outlineLevel="0" collapsed="false">
      <c r="A68" s="4" t="s">
        <v>244</v>
      </c>
      <c r="B68" s="5" t="s">
        <v>1868</v>
      </c>
      <c r="C68" s="4" t="s">
        <v>1869</v>
      </c>
      <c r="D68" s="4" t="s">
        <v>82</v>
      </c>
      <c r="E68" s="4" t="s">
        <v>1779</v>
      </c>
      <c r="F68" s="4" t="s">
        <v>1757</v>
      </c>
      <c r="G68" s="4" t="s">
        <v>1858</v>
      </c>
      <c r="H68" s="5" t="s">
        <v>1870</v>
      </c>
      <c r="I68" s="35" t="n">
        <f aca="false">3/200</f>
        <v>0.015</v>
      </c>
      <c r="J68" s="5" t="s">
        <v>1871</v>
      </c>
    </row>
    <row r="69" customFormat="false" ht="15" hidden="false" customHeight="false" outlineLevel="0" collapsed="false">
      <c r="A69" s="4" t="s">
        <v>244</v>
      </c>
      <c r="B69" s="5" t="s">
        <v>1868</v>
      </c>
      <c r="C69" s="4" t="s">
        <v>1872</v>
      </c>
      <c r="D69" s="4" t="s">
        <v>82</v>
      </c>
      <c r="E69" s="4" t="s">
        <v>1779</v>
      </c>
      <c r="F69" s="4" t="s">
        <v>1757</v>
      </c>
      <c r="G69" s="4" t="s">
        <v>1858</v>
      </c>
      <c r="H69" s="5" t="s">
        <v>1873</v>
      </c>
      <c r="I69" s="35" t="n">
        <f aca="false">1/40</f>
        <v>0.025</v>
      </c>
      <c r="J69" s="5" t="s">
        <v>1874</v>
      </c>
    </row>
    <row r="70" customFormat="false" ht="15" hidden="false" customHeight="false" outlineLevel="0" collapsed="false">
      <c r="A70" s="4" t="s">
        <v>244</v>
      </c>
      <c r="B70" s="5" t="s">
        <v>1868</v>
      </c>
      <c r="C70" s="4" t="s">
        <v>1791</v>
      </c>
      <c r="D70" s="4" t="s">
        <v>82</v>
      </c>
      <c r="E70" s="4" t="s">
        <v>1779</v>
      </c>
      <c r="F70" s="4" t="s">
        <v>1757</v>
      </c>
      <c r="G70" s="4" t="s">
        <v>1858</v>
      </c>
      <c r="H70" s="5" t="s">
        <v>1875</v>
      </c>
      <c r="I70" s="35" t="n">
        <f aca="false">2/400</f>
        <v>0.005</v>
      </c>
      <c r="J70" s="5" t="s">
        <v>1876</v>
      </c>
    </row>
    <row r="71" customFormat="false" ht="15" hidden="false" customHeight="false" outlineLevel="0" collapsed="false">
      <c r="A71" s="4" t="s">
        <v>244</v>
      </c>
      <c r="B71" s="5" t="s">
        <v>1868</v>
      </c>
      <c r="C71" s="4" t="s">
        <v>1877</v>
      </c>
      <c r="D71" s="4" t="s">
        <v>82</v>
      </c>
      <c r="E71" s="4" t="s">
        <v>1779</v>
      </c>
      <c r="F71" s="4" t="s">
        <v>1757</v>
      </c>
      <c r="G71" s="4" t="s">
        <v>1858</v>
      </c>
      <c r="H71" s="5" t="s">
        <v>1878</v>
      </c>
      <c r="I71" s="35" t="n">
        <f aca="false">2/200</f>
        <v>0.01</v>
      </c>
      <c r="J71" s="5" t="s">
        <v>1879</v>
      </c>
    </row>
    <row r="72" customFormat="false" ht="15" hidden="false" customHeight="false" outlineLevel="0" collapsed="false">
      <c r="A72" s="4" t="s">
        <v>244</v>
      </c>
      <c r="B72" s="5" t="s">
        <v>1880</v>
      </c>
      <c r="C72" s="4" t="s">
        <v>1881</v>
      </c>
      <c r="D72" s="4" t="s">
        <v>82</v>
      </c>
      <c r="E72" s="4" t="s">
        <v>1785</v>
      </c>
      <c r="F72" s="4" t="s">
        <v>1757</v>
      </c>
      <c r="G72" s="4" t="s">
        <v>1780</v>
      </c>
      <c r="H72" s="5" t="s">
        <v>1882</v>
      </c>
      <c r="I72" s="35" t="n">
        <v>1</v>
      </c>
      <c r="J72" s="5" t="s">
        <v>1883</v>
      </c>
    </row>
    <row r="73" customFormat="false" ht="23.85" hidden="false" customHeight="false" outlineLevel="0" collapsed="false">
      <c r="A73" s="4" t="s">
        <v>244</v>
      </c>
      <c r="B73" s="5" t="s">
        <v>1884</v>
      </c>
      <c r="C73" s="4" t="s">
        <v>1885</v>
      </c>
      <c r="D73" s="4" t="s">
        <v>82</v>
      </c>
      <c r="E73" s="4" t="s">
        <v>1785</v>
      </c>
      <c r="F73" s="4" t="s">
        <v>1757</v>
      </c>
      <c r="G73" s="4" t="s">
        <v>1858</v>
      </c>
      <c r="H73" s="5" t="s">
        <v>1886</v>
      </c>
      <c r="I73" s="35" t="n">
        <v>1</v>
      </c>
      <c r="J73" s="5" t="s">
        <v>1887</v>
      </c>
    </row>
    <row r="74" customFormat="false" ht="15" hidden="false" customHeight="false" outlineLevel="0" collapsed="false">
      <c r="A74" s="4" t="s">
        <v>244</v>
      </c>
      <c r="B74" s="5" t="s">
        <v>1820</v>
      </c>
      <c r="C74" s="4" t="s">
        <v>1813</v>
      </c>
      <c r="D74" s="4" t="s">
        <v>82</v>
      </c>
      <c r="E74" s="4" t="s">
        <v>1785</v>
      </c>
      <c r="F74" s="4" t="s">
        <v>1757</v>
      </c>
      <c r="G74" s="4" t="s">
        <v>1821</v>
      </c>
      <c r="H74" s="5" t="s">
        <v>1888</v>
      </c>
      <c r="I74" s="35" t="n">
        <f aca="false">1/24</f>
        <v>0.0416666666666667</v>
      </c>
      <c r="J74" s="5" t="s">
        <v>1889</v>
      </c>
    </row>
    <row r="75" customFormat="false" ht="15" hidden="false" customHeight="false" outlineLevel="0" collapsed="false">
      <c r="A75" s="4" t="s">
        <v>244</v>
      </c>
      <c r="B75" s="5" t="s">
        <v>1820</v>
      </c>
      <c r="C75" s="4" t="s">
        <v>1816</v>
      </c>
      <c r="D75" s="4" t="s">
        <v>73</v>
      </c>
      <c r="E75" s="4" t="s">
        <v>1785</v>
      </c>
      <c r="F75" s="4" t="s">
        <v>1757</v>
      </c>
      <c r="G75" s="4" t="s">
        <v>1821</v>
      </c>
      <c r="H75" s="5" t="s">
        <v>1817</v>
      </c>
      <c r="I75" s="35" t="n">
        <f aca="false">INDEX(P_VAL,MATCH("FILM_PALLET",P_ID,0))/24</f>
        <v>0.0145833333333333</v>
      </c>
      <c r="J75" s="5" t="s">
        <v>99</v>
      </c>
    </row>
    <row r="76" customFormat="false" ht="15" hidden="false" customHeight="false" outlineLevel="0" collapsed="false">
      <c r="A76" s="4" t="s">
        <v>244</v>
      </c>
      <c r="B76" s="5" t="s">
        <v>1820</v>
      </c>
      <c r="C76" s="4" t="s">
        <v>1890</v>
      </c>
      <c r="D76" s="4" t="s">
        <v>82</v>
      </c>
      <c r="E76" s="4" t="s">
        <v>1785</v>
      </c>
      <c r="F76" s="4" t="s">
        <v>1757</v>
      </c>
      <c r="G76" s="4" t="s">
        <v>1821</v>
      </c>
      <c r="H76" s="5" t="s">
        <v>1891</v>
      </c>
      <c r="I76" s="35" t="n">
        <f aca="false">INDEX(P_VAL,MATCH("ESQ_PALLET",P_ID,0))/24</f>
        <v>0.166666666666667</v>
      </c>
      <c r="J76" s="5" t="s">
        <v>99</v>
      </c>
    </row>
    <row r="77" customFormat="false" ht="15" hidden="false" customHeight="false" outlineLevel="0" collapsed="false">
      <c r="A77" s="4" t="s">
        <v>244</v>
      </c>
      <c r="B77" s="5" t="s">
        <v>1820</v>
      </c>
      <c r="C77" s="4" t="s">
        <v>1818</v>
      </c>
      <c r="D77" s="4" t="s">
        <v>82</v>
      </c>
      <c r="E77" s="4" t="s">
        <v>1785</v>
      </c>
      <c r="F77" s="4" t="s">
        <v>1757</v>
      </c>
      <c r="G77" s="4" t="s">
        <v>1821</v>
      </c>
      <c r="H77" s="5" t="s">
        <v>1819</v>
      </c>
      <c r="I77" s="35" t="n">
        <f aca="false">1/24</f>
        <v>0.0416666666666667</v>
      </c>
      <c r="J77" s="5" t="s">
        <v>1892</v>
      </c>
    </row>
    <row r="78" customFormat="false" ht="15" hidden="false" customHeight="false" outlineLevel="0" collapsed="false">
      <c r="A78" s="4" t="s">
        <v>244</v>
      </c>
      <c r="B78" s="5" t="s">
        <v>1820</v>
      </c>
      <c r="C78" s="4" t="s">
        <v>1632</v>
      </c>
      <c r="D78" s="4" t="s">
        <v>82</v>
      </c>
      <c r="E78" s="4" t="s">
        <v>1785</v>
      </c>
      <c r="F78" s="4" t="s">
        <v>1757</v>
      </c>
      <c r="G78" s="4" t="s">
        <v>1821</v>
      </c>
      <c r="H78" s="5" t="s">
        <v>1822</v>
      </c>
      <c r="I78" s="35" t="n">
        <v>1</v>
      </c>
      <c r="J78" s="5" t="s">
        <v>1892</v>
      </c>
    </row>
    <row r="79" customFormat="false" ht="15" hidden="false" customHeight="false" outlineLevel="0" collapsed="false">
      <c r="A79" s="4" t="s">
        <v>244</v>
      </c>
      <c r="B79" s="5" t="s">
        <v>1836</v>
      </c>
      <c r="C79" s="4" t="s">
        <v>1777</v>
      </c>
      <c r="D79" s="4" t="s">
        <v>1778</v>
      </c>
      <c r="E79" s="4" t="s">
        <v>1779</v>
      </c>
      <c r="F79" s="4" t="s">
        <v>1762</v>
      </c>
      <c r="G79" s="4" t="s">
        <v>1780</v>
      </c>
      <c r="H79" s="5" t="s">
        <v>1893</v>
      </c>
      <c r="I79" s="35" t="n">
        <f aca="false">4.1/1000</f>
        <v>0.0041</v>
      </c>
      <c r="J79" s="5" t="s">
        <v>1838</v>
      </c>
    </row>
    <row r="80" customFormat="false" ht="15" hidden="false" customHeight="false" outlineLevel="0" collapsed="false">
      <c r="A80" s="4" t="s">
        <v>244</v>
      </c>
      <c r="B80" s="5" t="s">
        <v>1836</v>
      </c>
      <c r="C80" s="4" t="s">
        <v>1839</v>
      </c>
      <c r="D80" s="4" t="s">
        <v>73</v>
      </c>
      <c r="E80" s="4" t="s">
        <v>1785</v>
      </c>
      <c r="F80" s="4" t="s">
        <v>1762</v>
      </c>
      <c r="G80" s="4" t="s">
        <v>1780</v>
      </c>
      <c r="H80" s="5" t="s">
        <v>1894</v>
      </c>
      <c r="I80" s="35" t="n">
        <f aca="false">7.2/1000</f>
        <v>0.0072</v>
      </c>
      <c r="J80" s="5" t="s">
        <v>1841</v>
      </c>
    </row>
    <row r="81" customFormat="false" ht="15" hidden="false" customHeight="false" outlineLevel="0" collapsed="false">
      <c r="A81" s="4" t="s">
        <v>244</v>
      </c>
      <c r="B81" s="5" t="s">
        <v>1842</v>
      </c>
      <c r="C81" s="4" t="s">
        <v>1777</v>
      </c>
      <c r="D81" s="4" t="s">
        <v>1778</v>
      </c>
      <c r="E81" s="4" t="s">
        <v>1779</v>
      </c>
      <c r="F81" s="4" t="s">
        <v>1762</v>
      </c>
      <c r="G81" s="4" t="s">
        <v>1780</v>
      </c>
      <c r="H81" s="5" t="s">
        <v>1895</v>
      </c>
      <c r="I81" s="35" t="n">
        <f aca="false">22/1000</f>
        <v>0.022</v>
      </c>
      <c r="J81" s="5" t="s">
        <v>1844</v>
      </c>
    </row>
    <row r="82" customFormat="false" ht="15" hidden="false" customHeight="false" outlineLevel="0" collapsed="false">
      <c r="A82" s="4" t="s">
        <v>244</v>
      </c>
      <c r="B82" s="5" t="s">
        <v>1842</v>
      </c>
      <c r="C82" s="4" t="s">
        <v>1839</v>
      </c>
      <c r="D82" s="4" t="s">
        <v>73</v>
      </c>
      <c r="E82" s="4" t="s">
        <v>1785</v>
      </c>
      <c r="F82" s="4" t="s">
        <v>1762</v>
      </c>
      <c r="G82" s="4" t="s">
        <v>1780</v>
      </c>
      <c r="H82" s="5" t="s">
        <v>1896</v>
      </c>
      <c r="I82" s="35" t="n">
        <f aca="false">63/1000</f>
        <v>0.063</v>
      </c>
      <c r="J82" s="5" t="s">
        <v>1846</v>
      </c>
    </row>
    <row r="83" customFormat="false" ht="15" hidden="false" customHeight="false" outlineLevel="0" collapsed="false">
      <c r="A83" s="4" t="s">
        <v>244</v>
      </c>
      <c r="B83" s="5" t="s">
        <v>1847</v>
      </c>
      <c r="C83" s="4" t="s">
        <v>1777</v>
      </c>
      <c r="D83" s="4" t="s">
        <v>1778</v>
      </c>
      <c r="E83" s="4" t="s">
        <v>1779</v>
      </c>
      <c r="F83" s="4" t="s">
        <v>1762</v>
      </c>
      <c r="G83" s="4" t="s">
        <v>1780</v>
      </c>
      <c r="H83" s="5" t="s">
        <v>1848</v>
      </c>
      <c r="I83" s="35" t="n">
        <f aca="false">10/1000</f>
        <v>0.01</v>
      </c>
      <c r="J83" s="5" t="s">
        <v>1849</v>
      </c>
    </row>
    <row r="84" customFormat="false" ht="15" hidden="false" customHeight="false" outlineLevel="0" collapsed="false">
      <c r="A84" s="4" t="s">
        <v>244</v>
      </c>
      <c r="B84" s="5" t="s">
        <v>1847</v>
      </c>
      <c r="C84" s="4" t="s">
        <v>1839</v>
      </c>
      <c r="D84" s="4" t="s">
        <v>73</v>
      </c>
      <c r="E84" s="4" t="s">
        <v>1785</v>
      </c>
      <c r="F84" s="4" t="s">
        <v>1762</v>
      </c>
      <c r="G84" s="4" t="s">
        <v>1780</v>
      </c>
      <c r="H84" s="5" t="s">
        <v>1850</v>
      </c>
      <c r="I84" s="35" t="n">
        <f aca="false">10.5/1000</f>
        <v>0.0105</v>
      </c>
      <c r="J84" s="5" t="s">
        <v>1851</v>
      </c>
    </row>
    <row r="85" customFormat="false" ht="15" hidden="false" customHeight="false" outlineLevel="0" collapsed="false">
      <c r="A85" s="4" t="s">
        <v>244</v>
      </c>
      <c r="B85" s="5" t="s">
        <v>1852</v>
      </c>
      <c r="C85" s="4" t="s">
        <v>1777</v>
      </c>
      <c r="D85" s="4" t="s">
        <v>1778</v>
      </c>
      <c r="E85" s="4" t="s">
        <v>1779</v>
      </c>
      <c r="F85" s="4" t="s">
        <v>1762</v>
      </c>
      <c r="G85" s="4" t="s">
        <v>1780</v>
      </c>
      <c r="H85" s="5" t="s">
        <v>1897</v>
      </c>
      <c r="I85" s="35" t="n">
        <f aca="false">75/1000</f>
        <v>0.075</v>
      </c>
      <c r="J85" s="5" t="s">
        <v>1854</v>
      </c>
    </row>
    <row r="86" customFormat="false" ht="15" hidden="false" customHeight="false" outlineLevel="0" collapsed="false">
      <c r="A86" s="4" t="s">
        <v>244</v>
      </c>
      <c r="B86" s="5" t="s">
        <v>1852</v>
      </c>
      <c r="C86" s="4" t="s">
        <v>1839</v>
      </c>
      <c r="D86" s="4" t="s">
        <v>73</v>
      </c>
      <c r="E86" s="4" t="s">
        <v>1785</v>
      </c>
      <c r="F86" s="4" t="s">
        <v>1762</v>
      </c>
      <c r="G86" s="4" t="s">
        <v>1780</v>
      </c>
      <c r="H86" s="5" t="s">
        <v>1898</v>
      </c>
      <c r="I86" s="35" t="n">
        <f aca="false">218/1000</f>
        <v>0.218</v>
      </c>
      <c r="J86" s="5" t="s">
        <v>1856</v>
      </c>
    </row>
    <row r="87" customFormat="false" ht="15" hidden="false" customHeight="false" outlineLevel="0" collapsed="false">
      <c r="A87" s="4" t="s">
        <v>244</v>
      </c>
      <c r="B87" s="5" t="s">
        <v>1857</v>
      </c>
      <c r="C87" s="4" t="s">
        <v>1777</v>
      </c>
      <c r="D87" s="4" t="s">
        <v>1778</v>
      </c>
      <c r="E87" s="4" t="s">
        <v>1779</v>
      </c>
      <c r="F87" s="4" t="s">
        <v>1762</v>
      </c>
      <c r="G87" s="4" t="s">
        <v>1858</v>
      </c>
      <c r="H87" s="5" t="s">
        <v>1899</v>
      </c>
      <c r="I87" s="35" t="n">
        <f aca="false">98/1000</f>
        <v>0.098</v>
      </c>
      <c r="J87" s="5" t="s">
        <v>1860</v>
      </c>
    </row>
    <row r="88" customFormat="false" ht="15" hidden="false" customHeight="false" outlineLevel="0" collapsed="false">
      <c r="A88" s="4" t="s">
        <v>244</v>
      </c>
      <c r="B88" s="5" t="s">
        <v>1857</v>
      </c>
      <c r="C88" s="4" t="s">
        <v>1839</v>
      </c>
      <c r="D88" s="4" t="s">
        <v>73</v>
      </c>
      <c r="E88" s="4" t="s">
        <v>1785</v>
      </c>
      <c r="F88" s="4" t="s">
        <v>1762</v>
      </c>
      <c r="G88" s="4" t="s">
        <v>1858</v>
      </c>
      <c r="H88" s="5" t="s">
        <v>1900</v>
      </c>
      <c r="I88" s="35" t="n">
        <f aca="false">146/1000</f>
        <v>0.146</v>
      </c>
      <c r="J88" s="5" t="s">
        <v>1862</v>
      </c>
    </row>
    <row r="89" customFormat="false" ht="15" hidden="false" customHeight="false" outlineLevel="0" collapsed="false">
      <c r="A89" s="4" t="s">
        <v>244</v>
      </c>
      <c r="B89" s="5" t="s">
        <v>1863</v>
      </c>
      <c r="C89" s="4" t="s">
        <v>1788</v>
      </c>
      <c r="D89" s="4" t="s">
        <v>82</v>
      </c>
      <c r="E89" s="4" t="s">
        <v>1779</v>
      </c>
      <c r="F89" s="4" t="s">
        <v>1762</v>
      </c>
      <c r="G89" s="4" t="s">
        <v>1780</v>
      </c>
      <c r="H89" s="5" t="s">
        <v>1789</v>
      </c>
      <c r="I89" s="35" t="n">
        <f aca="false">(7.2+63+10.5+218+146)/1000/INDEX(P_VAL,MATCH("ALAMBRE_PUNTA",P_ID,0))</f>
        <v>0.111175</v>
      </c>
      <c r="J89" s="5" t="s">
        <v>1864</v>
      </c>
    </row>
    <row r="90" customFormat="false" ht="15" hidden="false" customHeight="false" outlineLevel="0" collapsed="false">
      <c r="A90" s="4" t="s">
        <v>244</v>
      </c>
      <c r="B90" s="5" t="s">
        <v>1847</v>
      </c>
      <c r="C90" s="4" t="s">
        <v>1865</v>
      </c>
      <c r="D90" s="4" t="s">
        <v>82</v>
      </c>
      <c r="E90" s="4" t="s">
        <v>1779</v>
      </c>
      <c r="F90" s="4" t="s">
        <v>1762</v>
      </c>
      <c r="G90" s="4" t="s">
        <v>1780</v>
      </c>
      <c r="H90" s="5" t="s">
        <v>1866</v>
      </c>
      <c r="I90" s="35" t="n">
        <f aca="false">1/400</f>
        <v>0.0025</v>
      </c>
      <c r="J90" s="5" t="s">
        <v>1867</v>
      </c>
    </row>
    <row r="91" customFormat="false" ht="15" hidden="false" customHeight="false" outlineLevel="0" collapsed="false">
      <c r="A91" s="4" t="s">
        <v>244</v>
      </c>
      <c r="B91" s="5" t="s">
        <v>1868</v>
      </c>
      <c r="C91" s="4" t="s">
        <v>1869</v>
      </c>
      <c r="D91" s="4" t="s">
        <v>82</v>
      </c>
      <c r="E91" s="4" t="s">
        <v>1779</v>
      </c>
      <c r="F91" s="4" t="s">
        <v>1762</v>
      </c>
      <c r="G91" s="4" t="s">
        <v>1858</v>
      </c>
      <c r="H91" s="5" t="s">
        <v>1870</v>
      </c>
      <c r="I91" s="35" t="n">
        <f aca="false">3/200</f>
        <v>0.015</v>
      </c>
      <c r="J91" s="5" t="s">
        <v>1871</v>
      </c>
    </row>
    <row r="92" customFormat="false" ht="15" hidden="false" customHeight="false" outlineLevel="0" collapsed="false">
      <c r="A92" s="4" t="s">
        <v>244</v>
      </c>
      <c r="B92" s="5" t="s">
        <v>1868</v>
      </c>
      <c r="C92" s="4" t="s">
        <v>1872</v>
      </c>
      <c r="D92" s="4" t="s">
        <v>82</v>
      </c>
      <c r="E92" s="4" t="s">
        <v>1779</v>
      </c>
      <c r="F92" s="4" t="s">
        <v>1762</v>
      </c>
      <c r="G92" s="4" t="s">
        <v>1858</v>
      </c>
      <c r="H92" s="5" t="s">
        <v>1873</v>
      </c>
      <c r="I92" s="35" t="n">
        <f aca="false">1/40</f>
        <v>0.025</v>
      </c>
      <c r="J92" s="5" t="s">
        <v>1874</v>
      </c>
    </row>
    <row r="93" customFormat="false" ht="15" hidden="false" customHeight="false" outlineLevel="0" collapsed="false">
      <c r="A93" s="4" t="s">
        <v>244</v>
      </c>
      <c r="B93" s="5" t="s">
        <v>1868</v>
      </c>
      <c r="C93" s="4" t="s">
        <v>1791</v>
      </c>
      <c r="D93" s="4" t="s">
        <v>82</v>
      </c>
      <c r="E93" s="4" t="s">
        <v>1779</v>
      </c>
      <c r="F93" s="4" t="s">
        <v>1762</v>
      </c>
      <c r="G93" s="4" t="s">
        <v>1858</v>
      </c>
      <c r="H93" s="5" t="s">
        <v>1875</v>
      </c>
      <c r="I93" s="35" t="n">
        <f aca="false">2/400</f>
        <v>0.005</v>
      </c>
      <c r="J93" s="5" t="s">
        <v>1876</v>
      </c>
    </row>
    <row r="94" customFormat="false" ht="15" hidden="false" customHeight="false" outlineLevel="0" collapsed="false">
      <c r="A94" s="4" t="s">
        <v>244</v>
      </c>
      <c r="B94" s="5" t="s">
        <v>1868</v>
      </c>
      <c r="C94" s="4" t="s">
        <v>1877</v>
      </c>
      <c r="D94" s="4" t="s">
        <v>82</v>
      </c>
      <c r="E94" s="4" t="s">
        <v>1779</v>
      </c>
      <c r="F94" s="4" t="s">
        <v>1762</v>
      </c>
      <c r="G94" s="4" t="s">
        <v>1858</v>
      </c>
      <c r="H94" s="5" t="s">
        <v>1878</v>
      </c>
      <c r="I94" s="35" t="n">
        <f aca="false">2/200</f>
        <v>0.01</v>
      </c>
      <c r="J94" s="5" t="s">
        <v>1879</v>
      </c>
    </row>
    <row r="95" customFormat="false" ht="15" hidden="false" customHeight="false" outlineLevel="0" collapsed="false">
      <c r="A95" s="4" t="s">
        <v>244</v>
      </c>
      <c r="B95" s="5" t="s">
        <v>1880</v>
      </c>
      <c r="C95" s="4" t="s">
        <v>1901</v>
      </c>
      <c r="D95" s="4" t="s">
        <v>82</v>
      </c>
      <c r="E95" s="4" t="s">
        <v>1785</v>
      </c>
      <c r="F95" s="4" t="s">
        <v>1762</v>
      </c>
      <c r="G95" s="4" t="s">
        <v>1780</v>
      </c>
      <c r="H95" s="5" t="s">
        <v>1882</v>
      </c>
      <c r="I95" s="35" t="n">
        <v>1</v>
      </c>
      <c r="J95" s="5" t="s">
        <v>1883</v>
      </c>
    </row>
    <row r="96" customFormat="false" ht="23.85" hidden="false" customHeight="false" outlineLevel="0" collapsed="false">
      <c r="A96" s="4" t="s">
        <v>244</v>
      </c>
      <c r="B96" s="5" t="s">
        <v>1884</v>
      </c>
      <c r="C96" s="4" t="s">
        <v>1885</v>
      </c>
      <c r="D96" s="4" t="s">
        <v>82</v>
      </c>
      <c r="E96" s="4" t="s">
        <v>1785</v>
      </c>
      <c r="F96" s="4" t="s">
        <v>1762</v>
      </c>
      <c r="G96" s="4" t="s">
        <v>1858</v>
      </c>
      <c r="H96" s="5" t="s">
        <v>1886</v>
      </c>
      <c r="I96" s="35" t="n">
        <v>1</v>
      </c>
      <c r="J96" s="5" t="s">
        <v>1887</v>
      </c>
    </row>
    <row r="97" customFormat="false" ht="15" hidden="false" customHeight="false" outlineLevel="0" collapsed="false">
      <c r="A97" s="4" t="s">
        <v>244</v>
      </c>
      <c r="B97" s="5" t="s">
        <v>1820</v>
      </c>
      <c r="C97" s="4" t="s">
        <v>1813</v>
      </c>
      <c r="D97" s="4" t="s">
        <v>82</v>
      </c>
      <c r="E97" s="4" t="s">
        <v>1785</v>
      </c>
      <c r="F97" s="4" t="s">
        <v>1762</v>
      </c>
      <c r="G97" s="4" t="s">
        <v>1821</v>
      </c>
      <c r="H97" s="5" t="s">
        <v>1902</v>
      </c>
      <c r="I97" s="35" t="n">
        <f aca="false">1/9</f>
        <v>0.111111111111111</v>
      </c>
      <c r="J97" s="5" t="s">
        <v>1889</v>
      </c>
    </row>
    <row r="98" customFormat="false" ht="15" hidden="false" customHeight="false" outlineLevel="0" collapsed="false">
      <c r="A98" s="4" t="s">
        <v>244</v>
      </c>
      <c r="B98" s="5" t="s">
        <v>1820</v>
      </c>
      <c r="C98" s="4" t="s">
        <v>1816</v>
      </c>
      <c r="D98" s="4" t="s">
        <v>73</v>
      </c>
      <c r="E98" s="4" t="s">
        <v>1785</v>
      </c>
      <c r="F98" s="4" t="s">
        <v>1762</v>
      </c>
      <c r="G98" s="4" t="s">
        <v>1821</v>
      </c>
      <c r="H98" s="5" t="s">
        <v>1817</v>
      </c>
      <c r="I98" s="35" t="n">
        <f aca="false">INDEX(P_VAL,MATCH("FILM_PALLET",P_ID,0))/9</f>
        <v>0.0388888888888889</v>
      </c>
      <c r="J98" s="5" t="s">
        <v>99</v>
      </c>
    </row>
    <row r="99" customFormat="false" ht="15" hidden="false" customHeight="false" outlineLevel="0" collapsed="false">
      <c r="A99" s="4" t="s">
        <v>244</v>
      </c>
      <c r="B99" s="5" t="s">
        <v>1820</v>
      </c>
      <c r="C99" s="4" t="s">
        <v>1890</v>
      </c>
      <c r="D99" s="4" t="s">
        <v>82</v>
      </c>
      <c r="E99" s="4" t="s">
        <v>1785</v>
      </c>
      <c r="F99" s="4" t="s">
        <v>1762</v>
      </c>
      <c r="G99" s="4" t="s">
        <v>1821</v>
      </c>
      <c r="H99" s="5" t="s">
        <v>1891</v>
      </c>
      <c r="I99" s="35" t="n">
        <f aca="false">INDEX(P_VAL,MATCH("ESQ_PALLET",P_ID,0))/9</f>
        <v>0.444444444444444</v>
      </c>
      <c r="J99" s="5" t="s">
        <v>99</v>
      </c>
    </row>
    <row r="100" customFormat="false" ht="15" hidden="false" customHeight="false" outlineLevel="0" collapsed="false">
      <c r="A100" s="4" t="s">
        <v>244</v>
      </c>
      <c r="B100" s="5" t="s">
        <v>1820</v>
      </c>
      <c r="C100" s="4" t="s">
        <v>1818</v>
      </c>
      <c r="D100" s="4" t="s">
        <v>82</v>
      </c>
      <c r="E100" s="4" t="s">
        <v>1785</v>
      </c>
      <c r="F100" s="4" t="s">
        <v>1762</v>
      </c>
      <c r="G100" s="4" t="s">
        <v>1821</v>
      </c>
      <c r="H100" s="5" t="s">
        <v>1819</v>
      </c>
      <c r="I100" s="35" t="n">
        <f aca="false">1/9</f>
        <v>0.111111111111111</v>
      </c>
      <c r="J100" s="5" t="s">
        <v>1892</v>
      </c>
    </row>
    <row r="101" customFormat="false" ht="15" hidden="false" customHeight="false" outlineLevel="0" collapsed="false">
      <c r="A101" s="4" t="s">
        <v>244</v>
      </c>
      <c r="B101" s="5" t="s">
        <v>1820</v>
      </c>
      <c r="C101" s="4" t="s">
        <v>1632</v>
      </c>
      <c r="D101" s="4" t="s">
        <v>82</v>
      </c>
      <c r="E101" s="4" t="s">
        <v>1785</v>
      </c>
      <c r="F101" s="4" t="s">
        <v>1762</v>
      </c>
      <c r="G101" s="4" t="s">
        <v>1821</v>
      </c>
      <c r="H101" s="5" t="s">
        <v>1822</v>
      </c>
      <c r="I101" s="35" t="n">
        <v>1</v>
      </c>
      <c r="J101" s="5" t="s">
        <v>1892</v>
      </c>
    </row>
    <row r="102" customFormat="false" ht="15" hidden="false" customHeight="false" outlineLevel="0" collapsed="false">
      <c r="A102" s="4" t="s">
        <v>244</v>
      </c>
      <c r="B102" s="5" t="s">
        <v>1836</v>
      </c>
      <c r="C102" s="4" t="s">
        <v>1777</v>
      </c>
      <c r="D102" s="4" t="s">
        <v>1778</v>
      </c>
      <c r="E102" s="4" t="s">
        <v>1779</v>
      </c>
      <c r="F102" s="4" t="s">
        <v>1764</v>
      </c>
      <c r="G102" s="4" t="s">
        <v>1780</v>
      </c>
      <c r="H102" s="5" t="s">
        <v>1903</v>
      </c>
      <c r="I102" s="35" t="n">
        <f aca="false">9.5/1000</f>
        <v>0.0095</v>
      </c>
      <c r="J102" s="5" t="s">
        <v>1838</v>
      </c>
    </row>
    <row r="103" customFormat="false" ht="15" hidden="false" customHeight="false" outlineLevel="0" collapsed="false">
      <c r="A103" s="4" t="s">
        <v>244</v>
      </c>
      <c r="B103" s="5" t="s">
        <v>1836</v>
      </c>
      <c r="C103" s="4" t="s">
        <v>1839</v>
      </c>
      <c r="D103" s="4" t="s">
        <v>73</v>
      </c>
      <c r="E103" s="4" t="s">
        <v>1785</v>
      </c>
      <c r="F103" s="4" t="s">
        <v>1764</v>
      </c>
      <c r="G103" s="4" t="s">
        <v>1780</v>
      </c>
      <c r="H103" s="5" t="s">
        <v>1904</v>
      </c>
      <c r="I103" s="35" t="n">
        <f aca="false">16.8/1000</f>
        <v>0.0168</v>
      </c>
      <c r="J103" s="5" t="s">
        <v>1841</v>
      </c>
    </row>
    <row r="104" customFormat="false" ht="15" hidden="false" customHeight="false" outlineLevel="0" collapsed="false">
      <c r="A104" s="4" t="s">
        <v>244</v>
      </c>
      <c r="B104" s="5" t="s">
        <v>1842</v>
      </c>
      <c r="C104" s="4" t="s">
        <v>1777</v>
      </c>
      <c r="D104" s="4" t="s">
        <v>1778</v>
      </c>
      <c r="E104" s="4" t="s">
        <v>1779</v>
      </c>
      <c r="F104" s="4" t="s">
        <v>1764</v>
      </c>
      <c r="G104" s="4" t="s">
        <v>1780</v>
      </c>
      <c r="H104" s="5" t="s">
        <v>1905</v>
      </c>
      <c r="I104" s="35" t="n">
        <f aca="false">32/1000</f>
        <v>0.032</v>
      </c>
      <c r="J104" s="5" t="s">
        <v>1844</v>
      </c>
    </row>
    <row r="105" customFormat="false" ht="15" hidden="false" customHeight="false" outlineLevel="0" collapsed="false">
      <c r="A105" s="4" t="s">
        <v>244</v>
      </c>
      <c r="B105" s="5" t="s">
        <v>1842</v>
      </c>
      <c r="C105" s="4" t="s">
        <v>1839</v>
      </c>
      <c r="D105" s="4" t="s">
        <v>73</v>
      </c>
      <c r="E105" s="4" t="s">
        <v>1785</v>
      </c>
      <c r="F105" s="4" t="s">
        <v>1764</v>
      </c>
      <c r="G105" s="4" t="s">
        <v>1780</v>
      </c>
      <c r="H105" s="5" t="s">
        <v>1906</v>
      </c>
      <c r="I105" s="35" t="n">
        <f aca="false">120/1000</f>
        <v>0.12</v>
      </c>
      <c r="J105" s="5" t="s">
        <v>1846</v>
      </c>
    </row>
    <row r="106" customFormat="false" ht="15" hidden="false" customHeight="false" outlineLevel="0" collapsed="false">
      <c r="A106" s="4" t="s">
        <v>244</v>
      </c>
      <c r="B106" s="5" t="s">
        <v>1847</v>
      </c>
      <c r="C106" s="4" t="s">
        <v>1777</v>
      </c>
      <c r="D106" s="4" t="s">
        <v>1778</v>
      </c>
      <c r="E106" s="4" t="s">
        <v>1779</v>
      </c>
      <c r="F106" s="4" t="s">
        <v>1764</v>
      </c>
      <c r="G106" s="4" t="s">
        <v>1780</v>
      </c>
      <c r="H106" s="5" t="s">
        <v>1907</v>
      </c>
      <c r="I106" s="35" t="n">
        <f aca="false">17/1000</f>
        <v>0.017</v>
      </c>
      <c r="J106" s="5" t="s">
        <v>1849</v>
      </c>
    </row>
    <row r="107" customFormat="false" ht="15" hidden="false" customHeight="false" outlineLevel="0" collapsed="false">
      <c r="A107" s="4" t="s">
        <v>244</v>
      </c>
      <c r="B107" s="5" t="s">
        <v>1847</v>
      </c>
      <c r="C107" s="4" t="s">
        <v>1839</v>
      </c>
      <c r="D107" s="4" t="s">
        <v>73</v>
      </c>
      <c r="E107" s="4" t="s">
        <v>1785</v>
      </c>
      <c r="F107" s="4" t="s">
        <v>1764</v>
      </c>
      <c r="G107" s="4" t="s">
        <v>1780</v>
      </c>
      <c r="H107" s="5" t="s">
        <v>1908</v>
      </c>
      <c r="I107" s="35" t="n">
        <f aca="false">29/1000</f>
        <v>0.029</v>
      </c>
      <c r="J107" s="5" t="s">
        <v>1851</v>
      </c>
    </row>
    <row r="108" customFormat="false" ht="15" hidden="false" customHeight="false" outlineLevel="0" collapsed="false">
      <c r="A108" s="4" t="s">
        <v>244</v>
      </c>
      <c r="B108" s="5" t="s">
        <v>1852</v>
      </c>
      <c r="C108" s="4" t="s">
        <v>1777</v>
      </c>
      <c r="D108" s="4" t="s">
        <v>1778</v>
      </c>
      <c r="E108" s="4" t="s">
        <v>1779</v>
      </c>
      <c r="F108" s="4" t="s">
        <v>1764</v>
      </c>
      <c r="G108" s="4" t="s">
        <v>1780</v>
      </c>
      <c r="H108" s="5" t="s">
        <v>1909</v>
      </c>
      <c r="I108" s="35" t="n">
        <f aca="false">122/1000</f>
        <v>0.122</v>
      </c>
      <c r="J108" s="5" t="s">
        <v>1854</v>
      </c>
    </row>
    <row r="109" customFormat="false" ht="15" hidden="false" customHeight="false" outlineLevel="0" collapsed="false">
      <c r="A109" s="4" t="s">
        <v>244</v>
      </c>
      <c r="B109" s="5" t="s">
        <v>1852</v>
      </c>
      <c r="C109" s="4" t="s">
        <v>1839</v>
      </c>
      <c r="D109" s="4" t="s">
        <v>73</v>
      </c>
      <c r="E109" s="4" t="s">
        <v>1785</v>
      </c>
      <c r="F109" s="4" t="s">
        <v>1764</v>
      </c>
      <c r="G109" s="4" t="s">
        <v>1780</v>
      </c>
      <c r="H109" s="5" t="s">
        <v>1910</v>
      </c>
      <c r="I109" s="35" t="n">
        <f aca="false">463/1000</f>
        <v>0.463</v>
      </c>
      <c r="J109" s="5" t="s">
        <v>1856</v>
      </c>
    </row>
    <row r="110" customFormat="false" ht="15" hidden="false" customHeight="false" outlineLevel="0" collapsed="false">
      <c r="A110" s="4" t="s">
        <v>244</v>
      </c>
      <c r="B110" s="5" t="s">
        <v>1857</v>
      </c>
      <c r="C110" s="4" t="s">
        <v>1777</v>
      </c>
      <c r="D110" s="4" t="s">
        <v>1778</v>
      </c>
      <c r="E110" s="4" t="s">
        <v>1779</v>
      </c>
      <c r="F110" s="4" t="s">
        <v>1764</v>
      </c>
      <c r="G110" s="4" t="s">
        <v>1858</v>
      </c>
      <c r="H110" s="5" t="s">
        <v>1911</v>
      </c>
      <c r="I110" s="35" t="n">
        <f aca="false">109/1000</f>
        <v>0.109</v>
      </c>
      <c r="J110" s="5" t="s">
        <v>1860</v>
      </c>
    </row>
    <row r="111" customFormat="false" ht="15" hidden="false" customHeight="false" outlineLevel="0" collapsed="false">
      <c r="A111" s="4" t="s">
        <v>244</v>
      </c>
      <c r="B111" s="5" t="s">
        <v>1857</v>
      </c>
      <c r="C111" s="4" t="s">
        <v>1839</v>
      </c>
      <c r="D111" s="4" t="s">
        <v>73</v>
      </c>
      <c r="E111" s="4" t="s">
        <v>1785</v>
      </c>
      <c r="F111" s="4" t="s">
        <v>1764</v>
      </c>
      <c r="G111" s="4" t="s">
        <v>1858</v>
      </c>
      <c r="H111" s="5" t="s">
        <v>1912</v>
      </c>
      <c r="I111" s="35" t="n">
        <f aca="false">199/1000</f>
        <v>0.199</v>
      </c>
      <c r="J111" s="5" t="s">
        <v>1862</v>
      </c>
    </row>
    <row r="112" customFormat="false" ht="15" hidden="false" customHeight="false" outlineLevel="0" collapsed="false">
      <c r="A112" s="4" t="s">
        <v>244</v>
      </c>
      <c r="B112" s="5" t="s">
        <v>1863</v>
      </c>
      <c r="C112" s="4" t="s">
        <v>1788</v>
      </c>
      <c r="D112" s="4" t="s">
        <v>82</v>
      </c>
      <c r="E112" s="4" t="s">
        <v>1779</v>
      </c>
      <c r="F112" s="4" t="s">
        <v>1764</v>
      </c>
      <c r="G112" s="4" t="s">
        <v>1780</v>
      </c>
      <c r="H112" s="5" t="s">
        <v>1789</v>
      </c>
      <c r="I112" s="35" t="n">
        <f aca="false">(16.8+120+29+463+199)/1000/INDEX(P_VAL,MATCH("ALAMBRE_PUNTA",P_ID,0))</f>
        <v>0.20695</v>
      </c>
      <c r="J112" s="5" t="s">
        <v>1864</v>
      </c>
    </row>
    <row r="113" customFormat="false" ht="15" hidden="false" customHeight="false" outlineLevel="0" collapsed="false">
      <c r="A113" s="4" t="s">
        <v>244</v>
      </c>
      <c r="B113" s="5" t="s">
        <v>1847</v>
      </c>
      <c r="C113" s="4" t="s">
        <v>1865</v>
      </c>
      <c r="D113" s="4" t="s">
        <v>82</v>
      </c>
      <c r="E113" s="4" t="s">
        <v>1779</v>
      </c>
      <c r="F113" s="4" t="s">
        <v>1764</v>
      </c>
      <c r="G113" s="4" t="s">
        <v>1780</v>
      </c>
      <c r="H113" s="5" t="s">
        <v>1866</v>
      </c>
      <c r="I113" s="35" t="n">
        <f aca="false">1/400</f>
        <v>0.0025</v>
      </c>
      <c r="J113" s="5" t="s">
        <v>1867</v>
      </c>
    </row>
    <row r="114" customFormat="false" ht="23.85" hidden="false" customHeight="false" outlineLevel="0" collapsed="false">
      <c r="A114" s="4" t="s">
        <v>244</v>
      </c>
      <c r="B114" s="5" t="s">
        <v>1913</v>
      </c>
      <c r="C114" s="4" t="s">
        <v>1872</v>
      </c>
      <c r="D114" s="4" t="s">
        <v>82</v>
      </c>
      <c r="E114" s="4" t="s">
        <v>1779</v>
      </c>
      <c r="F114" s="4" t="s">
        <v>1764</v>
      </c>
      <c r="G114" s="4" t="s">
        <v>1780</v>
      </c>
      <c r="H114" s="5" t="s">
        <v>1914</v>
      </c>
      <c r="I114" s="35" t="n">
        <f aca="false">7/80</f>
        <v>0.0875</v>
      </c>
      <c r="J114" s="5" t="s">
        <v>1915</v>
      </c>
    </row>
    <row r="115" customFormat="false" ht="15" hidden="false" customHeight="false" outlineLevel="0" collapsed="false">
      <c r="A115" s="4" t="s">
        <v>244</v>
      </c>
      <c r="B115" s="5" t="s">
        <v>1913</v>
      </c>
      <c r="C115" s="4" t="s">
        <v>1791</v>
      </c>
      <c r="D115" s="4" t="s">
        <v>82</v>
      </c>
      <c r="E115" s="4" t="s">
        <v>1779</v>
      </c>
      <c r="F115" s="4" t="s">
        <v>1764</v>
      </c>
      <c r="G115" s="4" t="s">
        <v>1780</v>
      </c>
      <c r="H115" s="5" t="s">
        <v>1916</v>
      </c>
      <c r="I115" s="35" t="n">
        <f aca="false">7/4/80</f>
        <v>0.021875</v>
      </c>
      <c r="J115" s="5" t="s">
        <v>1917</v>
      </c>
    </row>
    <row r="116" customFormat="false" ht="15" hidden="false" customHeight="false" outlineLevel="0" collapsed="false">
      <c r="A116" s="4" t="s">
        <v>244</v>
      </c>
      <c r="B116" s="5" t="s">
        <v>1868</v>
      </c>
      <c r="C116" s="4" t="s">
        <v>1869</v>
      </c>
      <c r="D116" s="4" t="s">
        <v>82</v>
      </c>
      <c r="E116" s="4" t="s">
        <v>1779</v>
      </c>
      <c r="F116" s="4" t="s">
        <v>1764</v>
      </c>
      <c r="G116" s="4" t="s">
        <v>1858</v>
      </c>
      <c r="H116" s="5" t="s">
        <v>1870</v>
      </c>
      <c r="I116" s="35" t="n">
        <f aca="false">3/200</f>
        <v>0.015</v>
      </c>
      <c r="J116" s="5" t="s">
        <v>1871</v>
      </c>
    </row>
    <row r="117" customFormat="false" ht="15" hidden="false" customHeight="false" outlineLevel="0" collapsed="false">
      <c r="A117" s="4" t="s">
        <v>244</v>
      </c>
      <c r="B117" s="5" t="s">
        <v>1868</v>
      </c>
      <c r="C117" s="4" t="s">
        <v>1872</v>
      </c>
      <c r="D117" s="4" t="s">
        <v>82</v>
      </c>
      <c r="E117" s="4" t="s">
        <v>1779</v>
      </c>
      <c r="F117" s="4" t="s">
        <v>1764</v>
      </c>
      <c r="G117" s="4" t="s">
        <v>1858</v>
      </c>
      <c r="H117" s="5" t="s">
        <v>1873</v>
      </c>
      <c r="I117" s="35" t="n">
        <f aca="false">1/40</f>
        <v>0.025</v>
      </c>
      <c r="J117" s="5" t="s">
        <v>1874</v>
      </c>
    </row>
    <row r="118" customFormat="false" ht="15" hidden="false" customHeight="false" outlineLevel="0" collapsed="false">
      <c r="A118" s="4" t="s">
        <v>244</v>
      </c>
      <c r="B118" s="5" t="s">
        <v>1868</v>
      </c>
      <c r="C118" s="4" t="s">
        <v>1791</v>
      </c>
      <c r="D118" s="4" t="s">
        <v>82</v>
      </c>
      <c r="E118" s="4" t="s">
        <v>1779</v>
      </c>
      <c r="F118" s="4" t="s">
        <v>1764</v>
      </c>
      <c r="G118" s="4" t="s">
        <v>1858</v>
      </c>
      <c r="H118" s="5" t="s">
        <v>1875</v>
      </c>
      <c r="I118" s="35" t="n">
        <f aca="false">2/400</f>
        <v>0.005</v>
      </c>
      <c r="J118" s="5" t="s">
        <v>1876</v>
      </c>
    </row>
    <row r="119" customFormat="false" ht="15" hidden="false" customHeight="false" outlineLevel="0" collapsed="false">
      <c r="A119" s="4" t="s">
        <v>244</v>
      </c>
      <c r="B119" s="5" t="s">
        <v>1868</v>
      </c>
      <c r="C119" s="4" t="s">
        <v>1877</v>
      </c>
      <c r="D119" s="4" t="s">
        <v>82</v>
      </c>
      <c r="E119" s="4" t="s">
        <v>1779</v>
      </c>
      <c r="F119" s="4" t="s">
        <v>1764</v>
      </c>
      <c r="G119" s="4" t="s">
        <v>1858</v>
      </c>
      <c r="H119" s="5" t="s">
        <v>1878</v>
      </c>
      <c r="I119" s="35" t="n">
        <f aca="false">2/200</f>
        <v>0.01</v>
      </c>
      <c r="J119" s="5" t="s">
        <v>1879</v>
      </c>
    </row>
    <row r="120" customFormat="false" ht="15" hidden="false" customHeight="false" outlineLevel="0" collapsed="false">
      <c r="A120" s="4" t="s">
        <v>244</v>
      </c>
      <c r="B120" s="5" t="s">
        <v>1880</v>
      </c>
      <c r="C120" s="4" t="s">
        <v>1918</v>
      </c>
      <c r="D120" s="4" t="s">
        <v>82</v>
      </c>
      <c r="E120" s="4" t="s">
        <v>1785</v>
      </c>
      <c r="F120" s="4" t="s">
        <v>1764</v>
      </c>
      <c r="G120" s="4" t="s">
        <v>1780</v>
      </c>
      <c r="H120" s="5" t="s">
        <v>1882</v>
      </c>
      <c r="I120" s="35" t="n">
        <v>1</v>
      </c>
      <c r="J120" s="5" t="s">
        <v>1883</v>
      </c>
    </row>
    <row r="121" customFormat="false" ht="23.85" hidden="false" customHeight="false" outlineLevel="0" collapsed="false">
      <c r="A121" s="4" t="s">
        <v>244</v>
      </c>
      <c r="B121" s="5" t="s">
        <v>1884</v>
      </c>
      <c r="C121" s="4" t="s">
        <v>1885</v>
      </c>
      <c r="D121" s="4" t="s">
        <v>82</v>
      </c>
      <c r="E121" s="4" t="s">
        <v>1785</v>
      </c>
      <c r="F121" s="4" t="s">
        <v>1764</v>
      </c>
      <c r="G121" s="4" t="s">
        <v>1858</v>
      </c>
      <c r="H121" s="5" t="s">
        <v>1886</v>
      </c>
      <c r="I121" s="35" t="n">
        <v>1</v>
      </c>
      <c r="J121" s="5" t="s">
        <v>1887</v>
      </c>
    </row>
    <row r="122" customFormat="false" ht="15" hidden="false" customHeight="false" outlineLevel="0" collapsed="false">
      <c r="A122" s="4" t="s">
        <v>244</v>
      </c>
      <c r="B122" s="5" t="s">
        <v>1820</v>
      </c>
      <c r="C122" s="4" t="s">
        <v>1813</v>
      </c>
      <c r="D122" s="4" t="s">
        <v>82</v>
      </c>
      <c r="E122" s="4" t="s">
        <v>1785</v>
      </c>
      <c r="F122" s="4" t="s">
        <v>1764</v>
      </c>
      <c r="G122" s="4" t="s">
        <v>1821</v>
      </c>
      <c r="H122" s="5" t="s">
        <v>1919</v>
      </c>
      <c r="I122" s="35" t="n">
        <f aca="false">1/6</f>
        <v>0.166666666666667</v>
      </c>
      <c r="J122" s="5" t="s">
        <v>1889</v>
      </c>
    </row>
    <row r="123" customFormat="false" ht="15" hidden="false" customHeight="false" outlineLevel="0" collapsed="false">
      <c r="A123" s="4" t="s">
        <v>244</v>
      </c>
      <c r="B123" s="5" t="s">
        <v>1820</v>
      </c>
      <c r="C123" s="4" t="s">
        <v>1816</v>
      </c>
      <c r="D123" s="4" t="s">
        <v>73</v>
      </c>
      <c r="E123" s="4" t="s">
        <v>1785</v>
      </c>
      <c r="F123" s="4" t="s">
        <v>1764</v>
      </c>
      <c r="G123" s="4" t="s">
        <v>1821</v>
      </c>
      <c r="H123" s="5" t="s">
        <v>1817</v>
      </c>
      <c r="I123" s="35" t="n">
        <f aca="false">INDEX(P_VAL,MATCH("FILM_PALLET",P_ID,0))/6</f>
        <v>0.0583333333333333</v>
      </c>
      <c r="J123" s="5" t="s">
        <v>99</v>
      </c>
    </row>
    <row r="124" customFormat="false" ht="15" hidden="false" customHeight="false" outlineLevel="0" collapsed="false">
      <c r="A124" s="4" t="s">
        <v>244</v>
      </c>
      <c r="B124" s="5" t="s">
        <v>1820</v>
      </c>
      <c r="C124" s="4" t="s">
        <v>1890</v>
      </c>
      <c r="D124" s="4" t="s">
        <v>82</v>
      </c>
      <c r="E124" s="4" t="s">
        <v>1785</v>
      </c>
      <c r="F124" s="4" t="s">
        <v>1764</v>
      </c>
      <c r="G124" s="4" t="s">
        <v>1821</v>
      </c>
      <c r="H124" s="5" t="s">
        <v>1891</v>
      </c>
      <c r="I124" s="35" t="n">
        <f aca="false">INDEX(P_VAL,MATCH("ESQ_PALLET",P_ID,0))/6</f>
        <v>0.666666666666667</v>
      </c>
      <c r="J124" s="5" t="s">
        <v>99</v>
      </c>
    </row>
    <row r="125" customFormat="false" ht="15" hidden="false" customHeight="false" outlineLevel="0" collapsed="false">
      <c r="A125" s="4" t="s">
        <v>244</v>
      </c>
      <c r="B125" s="5" t="s">
        <v>1820</v>
      </c>
      <c r="C125" s="4" t="s">
        <v>1818</v>
      </c>
      <c r="D125" s="4" t="s">
        <v>82</v>
      </c>
      <c r="E125" s="4" t="s">
        <v>1785</v>
      </c>
      <c r="F125" s="4" t="s">
        <v>1764</v>
      </c>
      <c r="G125" s="4" t="s">
        <v>1821</v>
      </c>
      <c r="H125" s="5" t="s">
        <v>1819</v>
      </c>
      <c r="I125" s="35" t="n">
        <f aca="false">1/6</f>
        <v>0.166666666666667</v>
      </c>
      <c r="J125" s="5" t="s">
        <v>1892</v>
      </c>
    </row>
    <row r="126" customFormat="false" ht="15" hidden="false" customHeight="false" outlineLevel="0" collapsed="false">
      <c r="A126" s="4" t="s">
        <v>244</v>
      </c>
      <c r="B126" s="5" t="s">
        <v>1820</v>
      </c>
      <c r="C126" s="4" t="s">
        <v>1632</v>
      </c>
      <c r="D126" s="4" t="s">
        <v>82</v>
      </c>
      <c r="E126" s="4" t="s">
        <v>1785</v>
      </c>
      <c r="F126" s="4" t="s">
        <v>1764</v>
      </c>
      <c r="G126" s="4" t="s">
        <v>1821</v>
      </c>
      <c r="H126" s="5" t="s">
        <v>1822</v>
      </c>
      <c r="I126" s="35" t="n">
        <v>1</v>
      </c>
      <c r="J126" s="5" t="s">
        <v>1892</v>
      </c>
    </row>
    <row r="127" customFormat="false" ht="15" hidden="false" customHeight="false" outlineLevel="0" collapsed="false">
      <c r="A127" s="4" t="s">
        <v>244</v>
      </c>
      <c r="B127" s="5" t="s">
        <v>1836</v>
      </c>
      <c r="C127" s="4" t="s">
        <v>1777</v>
      </c>
      <c r="D127" s="4" t="s">
        <v>1778</v>
      </c>
      <c r="E127" s="4" t="s">
        <v>1779</v>
      </c>
      <c r="F127" s="4" t="s">
        <v>1767</v>
      </c>
      <c r="G127" s="4" t="s">
        <v>1780</v>
      </c>
      <c r="H127" s="5" t="s">
        <v>1920</v>
      </c>
      <c r="I127" s="35" t="n">
        <f aca="false">10.2/1000</f>
        <v>0.0102</v>
      </c>
      <c r="J127" s="5" t="s">
        <v>1838</v>
      </c>
    </row>
    <row r="128" customFormat="false" ht="15" hidden="false" customHeight="false" outlineLevel="0" collapsed="false">
      <c r="A128" s="4" t="s">
        <v>244</v>
      </c>
      <c r="B128" s="5" t="s">
        <v>1836</v>
      </c>
      <c r="C128" s="4" t="s">
        <v>1839</v>
      </c>
      <c r="D128" s="4" t="s">
        <v>73</v>
      </c>
      <c r="E128" s="4" t="s">
        <v>1785</v>
      </c>
      <c r="F128" s="4" t="s">
        <v>1767</v>
      </c>
      <c r="G128" s="4" t="s">
        <v>1780</v>
      </c>
      <c r="H128" s="5" t="s">
        <v>1921</v>
      </c>
      <c r="I128" s="35" t="n">
        <f aca="false">18/1000</f>
        <v>0.018</v>
      </c>
      <c r="J128" s="5" t="s">
        <v>1841</v>
      </c>
    </row>
    <row r="129" customFormat="false" ht="15" hidden="false" customHeight="false" outlineLevel="0" collapsed="false">
      <c r="A129" s="4" t="s">
        <v>244</v>
      </c>
      <c r="B129" s="5" t="s">
        <v>1842</v>
      </c>
      <c r="C129" s="4" t="s">
        <v>1777</v>
      </c>
      <c r="D129" s="4" t="s">
        <v>1778</v>
      </c>
      <c r="E129" s="4" t="s">
        <v>1779</v>
      </c>
      <c r="F129" s="4" t="s">
        <v>1767</v>
      </c>
      <c r="G129" s="4" t="s">
        <v>1780</v>
      </c>
      <c r="H129" s="5" t="s">
        <v>1922</v>
      </c>
      <c r="I129" s="35" t="n">
        <f aca="false">42/1000</f>
        <v>0.042</v>
      </c>
      <c r="J129" s="5" t="s">
        <v>1844</v>
      </c>
    </row>
    <row r="130" customFormat="false" ht="15" hidden="false" customHeight="false" outlineLevel="0" collapsed="false">
      <c r="A130" s="4" t="s">
        <v>244</v>
      </c>
      <c r="B130" s="5" t="s">
        <v>1842</v>
      </c>
      <c r="C130" s="4" t="s">
        <v>1839</v>
      </c>
      <c r="D130" s="4" t="s">
        <v>73</v>
      </c>
      <c r="E130" s="4" t="s">
        <v>1785</v>
      </c>
      <c r="F130" s="4" t="s">
        <v>1767</v>
      </c>
      <c r="G130" s="4" t="s">
        <v>1780</v>
      </c>
      <c r="H130" s="5" t="s">
        <v>1923</v>
      </c>
      <c r="I130" s="35" t="n">
        <f aca="false">158/1000</f>
        <v>0.158</v>
      </c>
      <c r="J130" s="5" t="s">
        <v>1846</v>
      </c>
    </row>
    <row r="131" customFormat="false" ht="15" hidden="false" customHeight="false" outlineLevel="0" collapsed="false">
      <c r="A131" s="4" t="s">
        <v>244</v>
      </c>
      <c r="B131" s="5" t="s">
        <v>1847</v>
      </c>
      <c r="C131" s="4" t="s">
        <v>1777</v>
      </c>
      <c r="D131" s="4" t="s">
        <v>1778</v>
      </c>
      <c r="E131" s="4" t="s">
        <v>1779</v>
      </c>
      <c r="F131" s="4" t="s">
        <v>1767</v>
      </c>
      <c r="G131" s="4" t="s">
        <v>1780</v>
      </c>
      <c r="H131" s="5" t="s">
        <v>1907</v>
      </c>
      <c r="I131" s="35" t="n">
        <f aca="false">17/1000</f>
        <v>0.017</v>
      </c>
      <c r="J131" s="5" t="s">
        <v>1849</v>
      </c>
    </row>
    <row r="132" customFormat="false" ht="15" hidden="false" customHeight="false" outlineLevel="0" collapsed="false">
      <c r="A132" s="4" t="s">
        <v>244</v>
      </c>
      <c r="B132" s="5" t="s">
        <v>1847</v>
      </c>
      <c r="C132" s="4" t="s">
        <v>1839</v>
      </c>
      <c r="D132" s="4" t="s">
        <v>73</v>
      </c>
      <c r="E132" s="4" t="s">
        <v>1785</v>
      </c>
      <c r="F132" s="4" t="s">
        <v>1767</v>
      </c>
      <c r="G132" s="4" t="s">
        <v>1780</v>
      </c>
      <c r="H132" s="5" t="s">
        <v>1908</v>
      </c>
      <c r="I132" s="35" t="n">
        <f aca="false">29/1000</f>
        <v>0.029</v>
      </c>
      <c r="J132" s="5" t="s">
        <v>1851</v>
      </c>
    </row>
    <row r="133" customFormat="false" ht="15" hidden="false" customHeight="false" outlineLevel="0" collapsed="false">
      <c r="A133" s="4" t="s">
        <v>244</v>
      </c>
      <c r="B133" s="5" t="s">
        <v>1852</v>
      </c>
      <c r="C133" s="4" t="s">
        <v>1777</v>
      </c>
      <c r="D133" s="4" t="s">
        <v>1778</v>
      </c>
      <c r="E133" s="4" t="s">
        <v>1779</v>
      </c>
      <c r="F133" s="4" t="s">
        <v>1767</v>
      </c>
      <c r="G133" s="4" t="s">
        <v>1780</v>
      </c>
      <c r="H133" s="5" t="s">
        <v>1909</v>
      </c>
      <c r="I133" s="35" t="n">
        <f aca="false">122/1000</f>
        <v>0.122</v>
      </c>
      <c r="J133" s="5" t="s">
        <v>1854</v>
      </c>
    </row>
    <row r="134" customFormat="false" ht="15" hidden="false" customHeight="false" outlineLevel="0" collapsed="false">
      <c r="A134" s="4" t="s">
        <v>244</v>
      </c>
      <c r="B134" s="5" t="s">
        <v>1852</v>
      </c>
      <c r="C134" s="4" t="s">
        <v>1839</v>
      </c>
      <c r="D134" s="4" t="s">
        <v>73</v>
      </c>
      <c r="E134" s="4" t="s">
        <v>1785</v>
      </c>
      <c r="F134" s="4" t="s">
        <v>1767</v>
      </c>
      <c r="G134" s="4" t="s">
        <v>1780</v>
      </c>
      <c r="H134" s="5" t="s">
        <v>1910</v>
      </c>
      <c r="I134" s="35" t="n">
        <f aca="false">463/1000</f>
        <v>0.463</v>
      </c>
      <c r="J134" s="5" t="s">
        <v>1856</v>
      </c>
    </row>
    <row r="135" customFormat="false" ht="15" hidden="false" customHeight="false" outlineLevel="0" collapsed="false">
      <c r="A135" s="4" t="s">
        <v>244</v>
      </c>
      <c r="B135" s="5" t="s">
        <v>1857</v>
      </c>
      <c r="C135" s="4" t="s">
        <v>1777</v>
      </c>
      <c r="D135" s="4" t="s">
        <v>1778</v>
      </c>
      <c r="E135" s="4" t="s">
        <v>1779</v>
      </c>
      <c r="F135" s="4" t="s">
        <v>1767</v>
      </c>
      <c r="G135" s="4" t="s">
        <v>1858</v>
      </c>
      <c r="H135" s="5" t="s">
        <v>1911</v>
      </c>
      <c r="I135" s="35" t="n">
        <f aca="false">109/1000</f>
        <v>0.109</v>
      </c>
      <c r="J135" s="5" t="s">
        <v>1860</v>
      </c>
    </row>
    <row r="136" customFormat="false" ht="15" hidden="false" customHeight="false" outlineLevel="0" collapsed="false">
      <c r="A136" s="4" t="s">
        <v>244</v>
      </c>
      <c r="B136" s="5" t="s">
        <v>1857</v>
      </c>
      <c r="C136" s="4" t="s">
        <v>1839</v>
      </c>
      <c r="D136" s="4" t="s">
        <v>73</v>
      </c>
      <c r="E136" s="4" t="s">
        <v>1785</v>
      </c>
      <c r="F136" s="4" t="s">
        <v>1767</v>
      </c>
      <c r="G136" s="4" t="s">
        <v>1858</v>
      </c>
      <c r="H136" s="5" t="s">
        <v>1912</v>
      </c>
      <c r="I136" s="35" t="n">
        <f aca="false">199/1000</f>
        <v>0.199</v>
      </c>
      <c r="J136" s="5" t="s">
        <v>1862</v>
      </c>
    </row>
    <row r="137" customFormat="false" ht="15" hidden="false" customHeight="false" outlineLevel="0" collapsed="false">
      <c r="A137" s="4" t="s">
        <v>244</v>
      </c>
      <c r="B137" s="5" t="s">
        <v>1863</v>
      </c>
      <c r="C137" s="4" t="s">
        <v>1788</v>
      </c>
      <c r="D137" s="4" t="s">
        <v>82</v>
      </c>
      <c r="E137" s="4" t="s">
        <v>1779</v>
      </c>
      <c r="F137" s="4" t="s">
        <v>1767</v>
      </c>
      <c r="G137" s="4" t="s">
        <v>1780</v>
      </c>
      <c r="H137" s="5" t="s">
        <v>1789</v>
      </c>
      <c r="I137" s="35" t="n">
        <f aca="false">(18+158+29+463+199)/1000/INDEX(P_VAL,MATCH("ALAMBRE_PUNTA",P_ID,0))</f>
        <v>0.21675</v>
      </c>
      <c r="J137" s="5" t="s">
        <v>1864</v>
      </c>
    </row>
    <row r="138" customFormat="false" ht="15" hidden="false" customHeight="false" outlineLevel="0" collapsed="false">
      <c r="A138" s="4" t="s">
        <v>244</v>
      </c>
      <c r="B138" s="5" t="s">
        <v>1847</v>
      </c>
      <c r="C138" s="4" t="s">
        <v>1865</v>
      </c>
      <c r="D138" s="4" t="s">
        <v>82</v>
      </c>
      <c r="E138" s="4" t="s">
        <v>1779</v>
      </c>
      <c r="F138" s="4" t="s">
        <v>1767</v>
      </c>
      <c r="G138" s="4" t="s">
        <v>1780</v>
      </c>
      <c r="H138" s="5" t="s">
        <v>1866</v>
      </c>
      <c r="I138" s="35" t="n">
        <f aca="false">1/400</f>
        <v>0.0025</v>
      </c>
      <c r="J138" s="5" t="s">
        <v>1867</v>
      </c>
    </row>
    <row r="139" customFormat="false" ht="23.85" hidden="false" customHeight="false" outlineLevel="0" collapsed="false">
      <c r="A139" s="4" t="s">
        <v>244</v>
      </c>
      <c r="B139" s="5" t="s">
        <v>1913</v>
      </c>
      <c r="C139" s="4" t="s">
        <v>1872</v>
      </c>
      <c r="D139" s="4" t="s">
        <v>82</v>
      </c>
      <c r="E139" s="4" t="s">
        <v>1779</v>
      </c>
      <c r="F139" s="4" t="s">
        <v>1767</v>
      </c>
      <c r="G139" s="4" t="s">
        <v>1780</v>
      </c>
      <c r="H139" s="5" t="s">
        <v>1914</v>
      </c>
      <c r="I139" s="35" t="n">
        <f aca="false">7/80</f>
        <v>0.0875</v>
      </c>
      <c r="J139" s="5" t="s">
        <v>1915</v>
      </c>
    </row>
    <row r="140" customFormat="false" ht="15" hidden="false" customHeight="false" outlineLevel="0" collapsed="false">
      <c r="A140" s="4" t="s">
        <v>244</v>
      </c>
      <c r="B140" s="5" t="s">
        <v>1913</v>
      </c>
      <c r="C140" s="4" t="s">
        <v>1791</v>
      </c>
      <c r="D140" s="4" t="s">
        <v>82</v>
      </c>
      <c r="E140" s="4" t="s">
        <v>1779</v>
      </c>
      <c r="F140" s="4" t="s">
        <v>1767</v>
      </c>
      <c r="G140" s="4" t="s">
        <v>1780</v>
      </c>
      <c r="H140" s="5" t="s">
        <v>1916</v>
      </c>
      <c r="I140" s="35" t="n">
        <f aca="false">7/4/80</f>
        <v>0.021875</v>
      </c>
      <c r="J140" s="5" t="s">
        <v>1917</v>
      </c>
    </row>
    <row r="141" customFormat="false" ht="15" hidden="false" customHeight="false" outlineLevel="0" collapsed="false">
      <c r="A141" s="4" t="s">
        <v>244</v>
      </c>
      <c r="B141" s="5" t="s">
        <v>1868</v>
      </c>
      <c r="C141" s="4" t="s">
        <v>1869</v>
      </c>
      <c r="D141" s="4" t="s">
        <v>82</v>
      </c>
      <c r="E141" s="4" t="s">
        <v>1779</v>
      </c>
      <c r="F141" s="4" t="s">
        <v>1767</v>
      </c>
      <c r="G141" s="4" t="s">
        <v>1858</v>
      </c>
      <c r="H141" s="5" t="s">
        <v>1870</v>
      </c>
      <c r="I141" s="35" t="n">
        <f aca="false">3/200</f>
        <v>0.015</v>
      </c>
      <c r="J141" s="5" t="s">
        <v>1871</v>
      </c>
    </row>
    <row r="142" customFormat="false" ht="15" hidden="false" customHeight="false" outlineLevel="0" collapsed="false">
      <c r="A142" s="4" t="s">
        <v>244</v>
      </c>
      <c r="B142" s="5" t="s">
        <v>1868</v>
      </c>
      <c r="C142" s="4" t="s">
        <v>1872</v>
      </c>
      <c r="D142" s="4" t="s">
        <v>82</v>
      </c>
      <c r="E142" s="4" t="s">
        <v>1779</v>
      </c>
      <c r="F142" s="4" t="s">
        <v>1767</v>
      </c>
      <c r="G142" s="4" t="s">
        <v>1858</v>
      </c>
      <c r="H142" s="5" t="s">
        <v>1873</v>
      </c>
      <c r="I142" s="35" t="n">
        <f aca="false">1/40</f>
        <v>0.025</v>
      </c>
      <c r="J142" s="5" t="s">
        <v>1874</v>
      </c>
    </row>
    <row r="143" customFormat="false" ht="15" hidden="false" customHeight="false" outlineLevel="0" collapsed="false">
      <c r="A143" s="4" t="s">
        <v>244</v>
      </c>
      <c r="B143" s="5" t="s">
        <v>1868</v>
      </c>
      <c r="C143" s="4" t="s">
        <v>1791</v>
      </c>
      <c r="D143" s="4" t="s">
        <v>82</v>
      </c>
      <c r="E143" s="4" t="s">
        <v>1779</v>
      </c>
      <c r="F143" s="4" t="s">
        <v>1767</v>
      </c>
      <c r="G143" s="4" t="s">
        <v>1858</v>
      </c>
      <c r="H143" s="5" t="s">
        <v>1875</v>
      </c>
      <c r="I143" s="35" t="n">
        <f aca="false">2/400</f>
        <v>0.005</v>
      </c>
      <c r="J143" s="5" t="s">
        <v>1876</v>
      </c>
    </row>
    <row r="144" customFormat="false" ht="15" hidden="false" customHeight="false" outlineLevel="0" collapsed="false">
      <c r="A144" s="4" t="s">
        <v>244</v>
      </c>
      <c r="B144" s="5" t="s">
        <v>1868</v>
      </c>
      <c r="C144" s="4" t="s">
        <v>1877</v>
      </c>
      <c r="D144" s="4" t="s">
        <v>82</v>
      </c>
      <c r="E144" s="4" t="s">
        <v>1779</v>
      </c>
      <c r="F144" s="4" t="s">
        <v>1767</v>
      </c>
      <c r="G144" s="4" t="s">
        <v>1858</v>
      </c>
      <c r="H144" s="5" t="s">
        <v>1878</v>
      </c>
      <c r="I144" s="35" t="n">
        <f aca="false">2/200</f>
        <v>0.01</v>
      </c>
      <c r="J144" s="5" t="s">
        <v>1879</v>
      </c>
    </row>
    <row r="145" customFormat="false" ht="15" hidden="false" customHeight="false" outlineLevel="0" collapsed="false">
      <c r="A145" s="4" t="s">
        <v>244</v>
      </c>
      <c r="B145" s="5" t="s">
        <v>1880</v>
      </c>
      <c r="C145" s="4" t="s">
        <v>1924</v>
      </c>
      <c r="D145" s="4" t="s">
        <v>82</v>
      </c>
      <c r="E145" s="4" t="s">
        <v>1785</v>
      </c>
      <c r="F145" s="4" t="s">
        <v>1767</v>
      </c>
      <c r="G145" s="4" t="s">
        <v>1780</v>
      </c>
      <c r="H145" s="5" t="s">
        <v>1882</v>
      </c>
      <c r="I145" s="35" t="n">
        <v>1</v>
      </c>
      <c r="J145" s="5" t="s">
        <v>1883</v>
      </c>
    </row>
    <row r="146" customFormat="false" ht="23.85" hidden="false" customHeight="false" outlineLevel="0" collapsed="false">
      <c r="A146" s="4" t="s">
        <v>244</v>
      </c>
      <c r="B146" s="5" t="s">
        <v>1884</v>
      </c>
      <c r="C146" s="4" t="s">
        <v>1885</v>
      </c>
      <c r="D146" s="4" t="s">
        <v>82</v>
      </c>
      <c r="E146" s="4" t="s">
        <v>1785</v>
      </c>
      <c r="F146" s="4" t="s">
        <v>1767</v>
      </c>
      <c r="G146" s="4" t="s">
        <v>1858</v>
      </c>
      <c r="H146" s="5" t="s">
        <v>1886</v>
      </c>
      <c r="I146" s="35" t="n">
        <v>1</v>
      </c>
      <c r="J146" s="5" t="s">
        <v>1887</v>
      </c>
    </row>
    <row r="147" customFormat="false" ht="15" hidden="false" customHeight="false" outlineLevel="0" collapsed="false">
      <c r="A147" s="4" t="s">
        <v>244</v>
      </c>
      <c r="B147" s="5" t="s">
        <v>1820</v>
      </c>
      <c r="C147" s="4" t="s">
        <v>1813</v>
      </c>
      <c r="D147" s="4" t="s">
        <v>82</v>
      </c>
      <c r="E147" s="4" t="s">
        <v>1785</v>
      </c>
      <c r="F147" s="4" t="s">
        <v>1767</v>
      </c>
      <c r="G147" s="4" t="s">
        <v>1821</v>
      </c>
      <c r="H147" s="5" t="s">
        <v>1919</v>
      </c>
      <c r="I147" s="35" t="n">
        <f aca="false">1/6</f>
        <v>0.166666666666667</v>
      </c>
      <c r="J147" s="5" t="s">
        <v>1889</v>
      </c>
    </row>
    <row r="148" customFormat="false" ht="15" hidden="false" customHeight="false" outlineLevel="0" collapsed="false">
      <c r="A148" s="4" t="s">
        <v>244</v>
      </c>
      <c r="B148" s="5" t="s">
        <v>1820</v>
      </c>
      <c r="C148" s="4" t="s">
        <v>1816</v>
      </c>
      <c r="D148" s="4" t="s">
        <v>73</v>
      </c>
      <c r="E148" s="4" t="s">
        <v>1785</v>
      </c>
      <c r="F148" s="4" t="s">
        <v>1767</v>
      </c>
      <c r="G148" s="4" t="s">
        <v>1821</v>
      </c>
      <c r="H148" s="5" t="s">
        <v>1817</v>
      </c>
      <c r="I148" s="35" t="n">
        <f aca="false">INDEX(P_VAL,MATCH("FILM_PALLET",P_ID,0))/6</f>
        <v>0.0583333333333333</v>
      </c>
      <c r="J148" s="5" t="s">
        <v>99</v>
      </c>
    </row>
    <row r="149" customFormat="false" ht="15" hidden="false" customHeight="false" outlineLevel="0" collapsed="false">
      <c r="A149" s="4" t="s">
        <v>244</v>
      </c>
      <c r="B149" s="5" t="s">
        <v>1820</v>
      </c>
      <c r="C149" s="4" t="s">
        <v>1890</v>
      </c>
      <c r="D149" s="4" t="s">
        <v>82</v>
      </c>
      <c r="E149" s="4" t="s">
        <v>1785</v>
      </c>
      <c r="F149" s="4" t="s">
        <v>1767</v>
      </c>
      <c r="G149" s="4" t="s">
        <v>1821</v>
      </c>
      <c r="H149" s="5" t="s">
        <v>1891</v>
      </c>
      <c r="I149" s="35" t="n">
        <f aca="false">INDEX(P_VAL,MATCH("ESQ_PALLET",P_ID,0))/6</f>
        <v>0.666666666666667</v>
      </c>
      <c r="J149" s="5" t="s">
        <v>99</v>
      </c>
    </row>
    <row r="150" customFormat="false" ht="15" hidden="false" customHeight="false" outlineLevel="0" collapsed="false">
      <c r="A150" s="4" t="s">
        <v>244</v>
      </c>
      <c r="B150" s="5" t="s">
        <v>1820</v>
      </c>
      <c r="C150" s="4" t="s">
        <v>1818</v>
      </c>
      <c r="D150" s="4" t="s">
        <v>82</v>
      </c>
      <c r="E150" s="4" t="s">
        <v>1785</v>
      </c>
      <c r="F150" s="4" t="s">
        <v>1767</v>
      </c>
      <c r="G150" s="4" t="s">
        <v>1821</v>
      </c>
      <c r="H150" s="5" t="s">
        <v>1819</v>
      </c>
      <c r="I150" s="35" t="n">
        <f aca="false">1/6</f>
        <v>0.166666666666667</v>
      </c>
      <c r="J150" s="5" t="s">
        <v>1892</v>
      </c>
    </row>
    <row r="151" customFormat="false" ht="15" hidden="false" customHeight="false" outlineLevel="0" collapsed="false">
      <c r="A151" s="4" t="s">
        <v>244</v>
      </c>
      <c r="B151" s="5" t="s">
        <v>1820</v>
      </c>
      <c r="C151" s="4" t="s">
        <v>1632</v>
      </c>
      <c r="D151" s="4" t="s">
        <v>82</v>
      </c>
      <c r="E151" s="4" t="s">
        <v>1785</v>
      </c>
      <c r="F151" s="4" t="s">
        <v>1767</v>
      </c>
      <c r="G151" s="4" t="s">
        <v>1821</v>
      </c>
      <c r="H151" s="5" t="s">
        <v>1822</v>
      </c>
      <c r="I151" s="35" t="n">
        <v>1</v>
      </c>
      <c r="J151" s="5" t="s">
        <v>1892</v>
      </c>
    </row>
    <row r="152" customFormat="false" ht="15" hidden="false" customHeight="false" outlineLevel="0" collapsed="false">
      <c r="A152" s="4" t="s">
        <v>132</v>
      </c>
      <c r="B152" s="5" t="s">
        <v>1925</v>
      </c>
      <c r="C152" s="4" t="s">
        <v>1926</v>
      </c>
      <c r="D152" s="4" t="s">
        <v>1489</v>
      </c>
      <c r="E152" s="4" t="s">
        <v>1785</v>
      </c>
      <c r="F152" s="4" t="s">
        <v>1927</v>
      </c>
      <c r="G152" s="4" t="s">
        <v>474</v>
      </c>
      <c r="H152" s="5" t="s">
        <v>1928</v>
      </c>
      <c r="I152" s="35" t="n">
        <f aca="false">INDEX(P_VAL,MATCH("P_RETOQUE",P_ID,0))*INDEX(P_VAL,MATCH("RETOQUE_L",P_ID,0))</f>
        <v>0.0075</v>
      </c>
      <c r="J152" s="5" t="s">
        <v>1929</v>
      </c>
    </row>
    <row r="153" customFormat="false" ht="15" hidden="false" customHeight="false" outlineLevel="0" collapsed="false">
      <c r="A153" s="4" t="s">
        <v>132</v>
      </c>
      <c r="B153" s="5" t="s">
        <v>1925</v>
      </c>
      <c r="C153" s="4" t="s">
        <v>1926</v>
      </c>
      <c r="D153" s="4" t="s">
        <v>1489</v>
      </c>
      <c r="E153" s="4" t="s">
        <v>1785</v>
      </c>
      <c r="F153" s="4" t="s">
        <v>1930</v>
      </c>
      <c r="G153" s="4" t="s">
        <v>474</v>
      </c>
      <c r="H153" s="5" t="s">
        <v>1928</v>
      </c>
      <c r="I153" s="35" t="n">
        <f aca="false">INDEX(P_VAL,MATCH("P_RETOQUE",P_ID,0))*INDEX(P_VAL,MATCH("RETOQUE_L",P_ID,0))</f>
        <v>0.0075</v>
      </c>
      <c r="J153" s="5" t="s">
        <v>1929</v>
      </c>
    </row>
    <row r="154" customFormat="false" ht="15" hidden="false" customHeight="false" outlineLevel="0" collapsed="false">
      <c r="A154" s="4" t="s">
        <v>132</v>
      </c>
      <c r="B154" s="5" t="s">
        <v>1925</v>
      </c>
      <c r="C154" s="4" t="s">
        <v>1926</v>
      </c>
      <c r="D154" s="4" t="s">
        <v>1489</v>
      </c>
      <c r="E154" s="4" t="s">
        <v>1785</v>
      </c>
      <c r="F154" s="4" t="s">
        <v>1931</v>
      </c>
      <c r="G154" s="4" t="s">
        <v>474</v>
      </c>
      <c r="H154" s="5" t="s">
        <v>1928</v>
      </c>
      <c r="I154" s="35" t="n">
        <f aca="false">INDEX(P_VAL,MATCH("P_RETOQUE",P_ID,0))*INDEX(P_VAL,MATCH("RETOQUE_L",P_ID,0))</f>
        <v>0.0075</v>
      </c>
      <c r="J154" s="5" t="s">
        <v>1929</v>
      </c>
    </row>
    <row r="155" customFormat="false" ht="15" hidden="false" customHeight="false" outlineLevel="0" collapsed="false">
      <c r="A155" s="4" t="s">
        <v>132</v>
      </c>
      <c r="B155" s="5" t="s">
        <v>1925</v>
      </c>
      <c r="C155" s="4" t="s">
        <v>1926</v>
      </c>
      <c r="D155" s="4" t="s">
        <v>1489</v>
      </c>
      <c r="E155" s="4" t="s">
        <v>1785</v>
      </c>
      <c r="F155" s="4" t="s">
        <v>1932</v>
      </c>
      <c r="G155" s="4" t="s">
        <v>474</v>
      </c>
      <c r="H155" s="5" t="s">
        <v>1928</v>
      </c>
      <c r="I155" s="35" t="n">
        <f aca="false">INDEX(P_VAL,MATCH("P_RETOQUE",P_ID,0))*INDEX(P_VAL,MATCH("RETOQUE_L",P_ID,0))</f>
        <v>0.0075</v>
      </c>
      <c r="J155" s="5" t="s">
        <v>1929</v>
      </c>
    </row>
    <row r="156" customFormat="false" ht="15" hidden="false" customHeight="false" outlineLevel="0" collapsed="false">
      <c r="A156" s="4" t="s">
        <v>132</v>
      </c>
      <c r="B156" s="5" t="s">
        <v>1925</v>
      </c>
      <c r="C156" s="4" t="s">
        <v>1926</v>
      </c>
      <c r="D156" s="4" t="s">
        <v>1489</v>
      </c>
      <c r="E156" s="4" t="s">
        <v>1785</v>
      </c>
      <c r="F156" s="4" t="s">
        <v>1933</v>
      </c>
      <c r="G156" s="4" t="s">
        <v>474</v>
      </c>
      <c r="H156" s="5" t="s">
        <v>1928</v>
      </c>
      <c r="I156" s="35" t="n">
        <f aca="false">INDEX(P_VAL,MATCH("P_RETOQUE",P_ID,0))*INDEX(P_VAL,MATCH("RETOQUE_L",P_ID,0))</f>
        <v>0.0075</v>
      </c>
      <c r="J156" s="5" t="s">
        <v>1929</v>
      </c>
    </row>
    <row r="157" customFormat="false" ht="15" hidden="false" customHeight="false" outlineLevel="0" collapsed="false">
      <c r="A157" s="4" t="s">
        <v>132</v>
      </c>
      <c r="B157" s="5" t="s">
        <v>1925</v>
      </c>
      <c r="C157" s="4" t="s">
        <v>1926</v>
      </c>
      <c r="D157" s="4" t="s">
        <v>1489</v>
      </c>
      <c r="E157" s="4" t="s">
        <v>1785</v>
      </c>
      <c r="F157" s="4" t="s">
        <v>1934</v>
      </c>
      <c r="G157" s="4" t="s">
        <v>474</v>
      </c>
      <c r="H157" s="5" t="s">
        <v>1928</v>
      </c>
      <c r="I157" s="35" t="n">
        <f aca="false">INDEX(P_VAL,MATCH("P_RETOQUE",P_ID,0))*INDEX(P_VAL,MATCH("RETOQUE_L",P_ID,0))</f>
        <v>0.0075</v>
      </c>
      <c r="J157" s="5" t="s">
        <v>1929</v>
      </c>
    </row>
    <row r="158" customFormat="false" ht="15" hidden="false" customHeight="false" outlineLevel="0" collapsed="false">
      <c r="A158" s="4" t="s">
        <v>132</v>
      </c>
      <c r="B158" s="5" t="s">
        <v>1925</v>
      </c>
      <c r="C158" s="4" t="s">
        <v>1926</v>
      </c>
      <c r="D158" s="4" t="s">
        <v>1489</v>
      </c>
      <c r="E158" s="4" t="s">
        <v>1785</v>
      </c>
      <c r="F158" s="4" t="s">
        <v>1935</v>
      </c>
      <c r="G158" s="4" t="s">
        <v>474</v>
      </c>
      <c r="H158" s="5" t="s">
        <v>1928</v>
      </c>
      <c r="I158" s="35" t="n">
        <f aca="false">INDEX(P_VAL,MATCH("P_RETOQUE",P_ID,0))*INDEX(P_VAL,MATCH("RETOQUE_L",P_ID,0))</f>
        <v>0.0075</v>
      </c>
      <c r="J158" s="5" t="s">
        <v>1929</v>
      </c>
    </row>
    <row r="159" customFormat="false" ht="15" hidden="false" customHeight="false" outlineLevel="0" collapsed="false">
      <c r="A159" s="4" t="s">
        <v>132</v>
      </c>
      <c r="B159" s="5" t="s">
        <v>1925</v>
      </c>
      <c r="C159" s="4" t="s">
        <v>1926</v>
      </c>
      <c r="D159" s="4" t="s">
        <v>1489</v>
      </c>
      <c r="E159" s="4" t="s">
        <v>1785</v>
      </c>
      <c r="F159" s="4" t="s">
        <v>1936</v>
      </c>
      <c r="G159" s="4" t="s">
        <v>474</v>
      </c>
      <c r="H159" s="5" t="s">
        <v>1928</v>
      </c>
      <c r="I159" s="35" t="n">
        <f aca="false">INDEX(P_VAL,MATCH("P_RETOQUE",P_ID,0))*INDEX(P_VAL,MATCH("RETOQUE_L",P_ID,0))</f>
        <v>0.0075</v>
      </c>
      <c r="J159" s="5" t="s">
        <v>1929</v>
      </c>
    </row>
    <row r="160" customFormat="false" ht="15" hidden="false" customHeight="false" outlineLevel="0" collapsed="false">
      <c r="A160" s="4" t="s">
        <v>132</v>
      </c>
      <c r="B160" s="5" t="s">
        <v>1925</v>
      </c>
      <c r="C160" s="4" t="s">
        <v>1926</v>
      </c>
      <c r="D160" s="4" t="s">
        <v>1489</v>
      </c>
      <c r="E160" s="4" t="s">
        <v>1785</v>
      </c>
      <c r="F160" s="4" t="s">
        <v>1937</v>
      </c>
      <c r="G160" s="4" t="s">
        <v>474</v>
      </c>
      <c r="H160" s="5" t="s">
        <v>1928</v>
      </c>
      <c r="I160" s="35" t="n">
        <f aca="false">INDEX(P_VAL,MATCH("P_RETOQUE",P_ID,0))*INDEX(P_VAL,MATCH("RETOQUE_L",P_ID,0))</f>
        <v>0.0075</v>
      </c>
      <c r="J160" s="5" t="s">
        <v>1929</v>
      </c>
    </row>
    <row r="161" customFormat="false" ht="15" hidden="false" customHeight="false" outlineLevel="0" collapsed="false">
      <c r="A161" s="4" t="s">
        <v>132</v>
      </c>
      <c r="B161" s="5" t="s">
        <v>1925</v>
      </c>
      <c r="C161" s="4" t="s">
        <v>1926</v>
      </c>
      <c r="D161" s="4" t="s">
        <v>1489</v>
      </c>
      <c r="E161" s="4" t="s">
        <v>1785</v>
      </c>
      <c r="F161" s="4" t="s">
        <v>1938</v>
      </c>
      <c r="G161" s="4" t="s">
        <v>474</v>
      </c>
      <c r="H161" s="5" t="s">
        <v>1928</v>
      </c>
      <c r="I161" s="35" t="n">
        <f aca="false">INDEX(P_VAL,MATCH("P_RETOQUE",P_ID,0))*INDEX(P_VAL,MATCH("RETOQUE_L",P_ID,0))</f>
        <v>0.0075</v>
      </c>
      <c r="J161" s="5" t="s">
        <v>1929</v>
      </c>
    </row>
    <row r="162" customFormat="false" ht="15" hidden="false" customHeight="false" outlineLevel="0" collapsed="false">
      <c r="A162" s="4" t="s">
        <v>132</v>
      </c>
      <c r="B162" s="5" t="s">
        <v>1925</v>
      </c>
      <c r="C162" s="4" t="s">
        <v>1926</v>
      </c>
      <c r="D162" s="4" t="s">
        <v>1489</v>
      </c>
      <c r="E162" s="4" t="s">
        <v>1785</v>
      </c>
      <c r="F162" s="4" t="s">
        <v>1939</v>
      </c>
      <c r="G162" s="4" t="s">
        <v>474</v>
      </c>
      <c r="H162" s="5" t="s">
        <v>1928</v>
      </c>
      <c r="I162" s="35" t="n">
        <f aca="false">INDEX(P_VAL,MATCH("P_RETOQUE",P_ID,0))*INDEX(P_VAL,MATCH("RETOQUE_L",P_ID,0))</f>
        <v>0.0075</v>
      </c>
      <c r="J162" s="5" t="s">
        <v>1929</v>
      </c>
    </row>
    <row r="163" customFormat="false" ht="15" hidden="false" customHeight="false" outlineLevel="0" collapsed="false">
      <c r="A163" s="4" t="s">
        <v>132</v>
      </c>
      <c r="B163" s="5" t="s">
        <v>1925</v>
      </c>
      <c r="C163" s="4" t="s">
        <v>1926</v>
      </c>
      <c r="D163" s="4" t="s">
        <v>1489</v>
      </c>
      <c r="E163" s="4" t="s">
        <v>1785</v>
      </c>
      <c r="F163" s="4" t="s">
        <v>1940</v>
      </c>
      <c r="G163" s="4" t="s">
        <v>474</v>
      </c>
      <c r="H163" s="5" t="s">
        <v>1928</v>
      </c>
      <c r="I163" s="35" t="n">
        <f aca="false">INDEX(P_VAL,MATCH("P_RETOQUE",P_ID,0))*INDEX(P_VAL,MATCH("RETOQUE_L",P_ID,0))</f>
        <v>0.0075</v>
      </c>
      <c r="J163" s="5" t="s">
        <v>1929</v>
      </c>
    </row>
    <row r="164" customFormat="false" ht="15" hidden="false" customHeight="false" outlineLevel="0" collapsed="false">
      <c r="A164" s="4" t="s">
        <v>132</v>
      </c>
      <c r="B164" s="5" t="s">
        <v>1925</v>
      </c>
      <c r="C164" s="4" t="s">
        <v>1926</v>
      </c>
      <c r="D164" s="4" t="s">
        <v>1489</v>
      </c>
      <c r="E164" s="4" t="s">
        <v>1785</v>
      </c>
      <c r="F164" s="4" t="s">
        <v>1941</v>
      </c>
      <c r="G164" s="4" t="s">
        <v>474</v>
      </c>
      <c r="H164" s="5" t="s">
        <v>1928</v>
      </c>
      <c r="I164" s="35" t="n">
        <f aca="false">INDEX(P_VAL,MATCH("P_RETOQUE",P_ID,0))*INDEX(P_VAL,MATCH("RETOQUE_L",P_ID,0))</f>
        <v>0.0075</v>
      </c>
      <c r="J164" s="5" t="s">
        <v>1929</v>
      </c>
    </row>
    <row r="165" customFormat="false" ht="15" hidden="false" customHeight="false" outlineLevel="0" collapsed="false">
      <c r="A165" s="4" t="s">
        <v>132</v>
      </c>
      <c r="B165" s="5" t="s">
        <v>1925</v>
      </c>
      <c r="C165" s="4" t="s">
        <v>1926</v>
      </c>
      <c r="D165" s="4" t="s">
        <v>1489</v>
      </c>
      <c r="E165" s="4" t="s">
        <v>1785</v>
      </c>
      <c r="F165" s="4" t="s">
        <v>1942</v>
      </c>
      <c r="G165" s="4" t="s">
        <v>474</v>
      </c>
      <c r="H165" s="5" t="s">
        <v>1928</v>
      </c>
      <c r="I165" s="35" t="n">
        <f aca="false">INDEX(P_VAL,MATCH("P_RETOQUE",P_ID,0))*INDEX(P_VAL,MATCH("RETOQUE_L",P_ID,0))</f>
        <v>0.0075</v>
      </c>
      <c r="J165" s="5" t="s">
        <v>1929</v>
      </c>
    </row>
    <row r="166" customFormat="false" ht="15" hidden="false" customHeight="false" outlineLevel="0" collapsed="false">
      <c r="A166" s="4" t="s">
        <v>132</v>
      </c>
      <c r="B166" s="5" t="s">
        <v>1925</v>
      </c>
      <c r="C166" s="4" t="s">
        <v>1926</v>
      </c>
      <c r="D166" s="4" t="s">
        <v>1489</v>
      </c>
      <c r="E166" s="4" t="s">
        <v>1785</v>
      </c>
      <c r="F166" s="4" t="s">
        <v>1943</v>
      </c>
      <c r="G166" s="4" t="s">
        <v>474</v>
      </c>
      <c r="H166" s="5" t="s">
        <v>1928</v>
      </c>
      <c r="I166" s="35" t="n">
        <f aca="false">INDEX(P_VAL,MATCH("P_RETOQUE",P_ID,0))*INDEX(P_VAL,MATCH("RETOQUE_L",P_ID,0))</f>
        <v>0.0075</v>
      </c>
      <c r="J166" s="5" t="s">
        <v>1929</v>
      </c>
    </row>
    <row r="167" customFormat="false" ht="15" hidden="false" customHeight="false" outlineLevel="0" collapsed="false">
      <c r="A167" s="4" t="s">
        <v>132</v>
      </c>
      <c r="B167" s="5" t="s">
        <v>1925</v>
      </c>
      <c r="C167" s="4" t="s">
        <v>1926</v>
      </c>
      <c r="D167" s="4" t="s">
        <v>1489</v>
      </c>
      <c r="E167" s="4" t="s">
        <v>1785</v>
      </c>
      <c r="F167" s="4" t="s">
        <v>1944</v>
      </c>
      <c r="G167" s="4" t="s">
        <v>474</v>
      </c>
      <c r="H167" s="5" t="s">
        <v>1928</v>
      </c>
      <c r="I167" s="35" t="n">
        <f aca="false">INDEX(P_VAL,MATCH("P_RETOQUE",P_ID,0))*INDEX(P_VAL,MATCH("RETOQUE_L",P_ID,0))</f>
        <v>0.0075</v>
      </c>
      <c r="J167" s="5" t="s">
        <v>1929</v>
      </c>
    </row>
    <row r="168" customFormat="false" ht="15" hidden="false" customHeight="false" outlineLevel="0" collapsed="false">
      <c r="A168" s="4" t="s">
        <v>132</v>
      </c>
      <c r="B168" s="5" t="s">
        <v>1925</v>
      </c>
      <c r="C168" s="4" t="s">
        <v>1926</v>
      </c>
      <c r="D168" s="4" t="s">
        <v>1489</v>
      </c>
      <c r="E168" s="4" t="s">
        <v>1785</v>
      </c>
      <c r="F168" s="4" t="s">
        <v>1945</v>
      </c>
      <c r="G168" s="4" t="s">
        <v>474</v>
      </c>
      <c r="H168" s="5" t="s">
        <v>1928</v>
      </c>
      <c r="I168" s="35" t="n">
        <f aca="false">INDEX(P_VAL,MATCH("P_RETOQUE",P_ID,0))*INDEX(P_VAL,MATCH("RETOQUE_L",P_ID,0))</f>
        <v>0.0075</v>
      </c>
      <c r="J168" s="5" t="s">
        <v>1929</v>
      </c>
    </row>
  </sheetData>
  <autoFilter ref="A3:J16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0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28"/>
    <col collapsed="false" customWidth="true" hidden="false" outlineLevel="0" max="8" min="8" style="0" width="24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4"/>
    <col collapsed="false" customWidth="true" hidden="false" outlineLevel="0" max="14" min="14" style="0" width="60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18" min="18" style="0" width="50"/>
  </cols>
  <sheetData>
    <row r="1" customFormat="false" ht="15" hidden="false" customHeight="false" outlineLevel="0" collapsed="false">
      <c r="A1" s="1" t="s">
        <v>1946</v>
      </c>
    </row>
    <row r="2" customFormat="false" ht="15" hidden="false" customHeight="false" outlineLevel="0" collapsed="false">
      <c r="A2" s="2" t="s">
        <v>1947</v>
      </c>
    </row>
    <row r="3" customFormat="false" ht="31.5" hidden="false" customHeight="true" outlineLevel="0" collapsed="false">
      <c r="A3" s="3" t="s">
        <v>1948</v>
      </c>
      <c r="B3" s="3" t="s">
        <v>1772</v>
      </c>
      <c r="C3" s="3" t="s">
        <v>466</v>
      </c>
      <c r="D3" s="3" t="s">
        <v>1773</v>
      </c>
      <c r="E3" s="3" t="s">
        <v>1949</v>
      </c>
      <c r="F3" s="3" t="s">
        <v>1950</v>
      </c>
      <c r="G3" s="3" t="s">
        <v>1951</v>
      </c>
      <c r="H3" s="3" t="s">
        <v>1952</v>
      </c>
      <c r="I3" s="3" t="s">
        <v>1953</v>
      </c>
      <c r="J3" s="3" t="s">
        <v>1954</v>
      </c>
      <c r="K3" s="3" t="s">
        <v>1955</v>
      </c>
      <c r="L3" s="3" t="s">
        <v>1956</v>
      </c>
      <c r="M3" s="3" t="s">
        <v>1957</v>
      </c>
      <c r="N3" s="3" t="s">
        <v>1958</v>
      </c>
      <c r="O3" s="3" t="s">
        <v>1959</v>
      </c>
      <c r="P3" s="3" t="s">
        <v>1960</v>
      </c>
      <c r="Q3" s="3" t="s">
        <v>1961</v>
      </c>
      <c r="R3" s="3" t="s">
        <v>7</v>
      </c>
    </row>
    <row r="4" customFormat="false" ht="23.85" hidden="false" customHeight="false" outlineLevel="0" collapsed="false">
      <c r="A4" s="4" t="s">
        <v>492</v>
      </c>
      <c r="B4" s="5" t="s">
        <v>1962</v>
      </c>
      <c r="C4" s="4" t="s">
        <v>1737</v>
      </c>
      <c r="D4" s="4" t="s">
        <v>1785</v>
      </c>
      <c r="E4" s="4" t="s">
        <v>1963</v>
      </c>
      <c r="F4" s="5" t="s">
        <v>1964</v>
      </c>
      <c r="G4" s="5" t="s">
        <v>1965</v>
      </c>
      <c r="H4" s="4" t="s">
        <v>1966</v>
      </c>
      <c r="I4" s="4" t="s">
        <v>1967</v>
      </c>
      <c r="J4" s="5" t="s">
        <v>1968</v>
      </c>
      <c r="K4" s="4" t="n">
        <v>16</v>
      </c>
      <c r="L4" s="4" t="n">
        <v>5</v>
      </c>
      <c r="M4" s="4" t="s">
        <v>1969</v>
      </c>
      <c r="N4" s="5" t="s">
        <v>1970</v>
      </c>
      <c r="O4" s="4" t="n">
        <v>5</v>
      </c>
      <c r="P4" s="4" t="n">
        <v>2</v>
      </c>
      <c r="Q4" s="4" t="n">
        <v>1</v>
      </c>
      <c r="R4" s="5" t="s">
        <v>1971</v>
      </c>
    </row>
    <row r="5" customFormat="false" ht="23.85" hidden="false" customHeight="false" outlineLevel="0" collapsed="false">
      <c r="A5" s="4" t="s">
        <v>617</v>
      </c>
      <c r="B5" s="5" t="s">
        <v>1972</v>
      </c>
      <c r="C5" s="4" t="s">
        <v>1748</v>
      </c>
      <c r="D5" s="4" t="s">
        <v>1785</v>
      </c>
      <c r="E5" s="4" t="s">
        <v>1963</v>
      </c>
      <c r="F5" s="5" t="s">
        <v>1973</v>
      </c>
      <c r="G5" s="5" t="s">
        <v>1974</v>
      </c>
      <c r="H5" s="4" t="s">
        <v>1975</v>
      </c>
      <c r="I5" s="4" t="s">
        <v>1967</v>
      </c>
      <c r="J5" s="5" t="s">
        <v>1976</v>
      </c>
      <c r="K5" s="4" t="n">
        <v>50</v>
      </c>
      <c r="L5" s="4" t="n">
        <v>10</v>
      </c>
      <c r="M5" s="4" t="s">
        <v>1969</v>
      </c>
      <c r="N5" s="5" t="s">
        <v>1977</v>
      </c>
      <c r="O5" s="4" t="n">
        <v>5</v>
      </c>
      <c r="P5" s="4" t="n">
        <v>2</v>
      </c>
      <c r="Q5" s="4" t="n">
        <v>2.98</v>
      </c>
      <c r="R5" s="5" t="s">
        <v>1978</v>
      </c>
    </row>
    <row r="6" customFormat="false" ht="23.85" hidden="false" customHeight="false" outlineLevel="0" collapsed="false">
      <c r="A6" s="4" t="s">
        <v>715</v>
      </c>
      <c r="B6" s="5" t="s">
        <v>1979</v>
      </c>
      <c r="C6" s="4" t="s">
        <v>1748</v>
      </c>
      <c r="D6" s="4" t="s">
        <v>1785</v>
      </c>
      <c r="E6" s="4" t="s">
        <v>1963</v>
      </c>
      <c r="F6" s="5" t="s">
        <v>1973</v>
      </c>
      <c r="G6" s="5" t="s">
        <v>1974</v>
      </c>
      <c r="H6" s="4" t="s">
        <v>1975</v>
      </c>
      <c r="I6" s="4" t="s">
        <v>1967</v>
      </c>
      <c r="J6" s="5" t="s">
        <v>1980</v>
      </c>
      <c r="K6" s="4" t="n">
        <v>80</v>
      </c>
      <c r="L6" s="4" t="n">
        <v>10</v>
      </c>
      <c r="M6" s="4" t="s">
        <v>1969</v>
      </c>
      <c r="N6" s="5" t="s">
        <v>1977</v>
      </c>
      <c r="O6" s="4" t="n">
        <v>5</v>
      </c>
      <c r="P6" s="4" t="n">
        <v>2</v>
      </c>
      <c r="Q6" s="4" t="n">
        <v>2</v>
      </c>
      <c r="R6" s="5" t="s">
        <v>1981</v>
      </c>
    </row>
    <row r="7" customFormat="false" ht="23.85" hidden="false" customHeight="false" outlineLevel="0" collapsed="false">
      <c r="A7" s="4" t="s">
        <v>799</v>
      </c>
      <c r="B7" s="5" t="s">
        <v>1982</v>
      </c>
      <c r="C7" s="4" t="s">
        <v>1748</v>
      </c>
      <c r="D7" s="4" t="s">
        <v>1785</v>
      </c>
      <c r="E7" s="4" t="s">
        <v>1963</v>
      </c>
      <c r="F7" s="5" t="s">
        <v>1973</v>
      </c>
      <c r="G7" s="5" t="s">
        <v>1974</v>
      </c>
      <c r="H7" s="4" t="s">
        <v>1975</v>
      </c>
      <c r="I7" s="4" t="s">
        <v>1967</v>
      </c>
      <c r="J7" s="5" t="s">
        <v>1983</v>
      </c>
      <c r="K7" s="4" t="n">
        <v>20</v>
      </c>
      <c r="L7" s="4" t="n">
        <v>10</v>
      </c>
      <c r="M7" s="4" t="s">
        <v>1969</v>
      </c>
      <c r="N7" s="5" t="s">
        <v>1977</v>
      </c>
      <c r="O7" s="4" t="n">
        <v>5</v>
      </c>
      <c r="P7" s="4" t="n">
        <v>2</v>
      </c>
      <c r="Q7" s="4" t="n">
        <v>4.5</v>
      </c>
      <c r="R7" s="5" t="s">
        <v>1984</v>
      </c>
    </row>
    <row r="8" customFormat="false" ht="23.85" hidden="false" customHeight="false" outlineLevel="0" collapsed="false">
      <c r="A8" s="4" t="s">
        <v>497</v>
      </c>
      <c r="B8" s="5" t="s">
        <v>1985</v>
      </c>
      <c r="C8" s="4" t="s">
        <v>73</v>
      </c>
      <c r="D8" s="4" t="s">
        <v>1785</v>
      </c>
      <c r="E8" s="4" t="s">
        <v>1963</v>
      </c>
      <c r="F8" s="5" t="s">
        <v>1973</v>
      </c>
      <c r="G8" s="5" t="s">
        <v>1974</v>
      </c>
      <c r="H8" s="4" t="s">
        <v>1986</v>
      </c>
      <c r="I8" s="4" t="s">
        <v>1967</v>
      </c>
      <c r="J8" s="5" t="s">
        <v>1987</v>
      </c>
      <c r="K8" s="4" t="n">
        <v>1900</v>
      </c>
      <c r="L8" s="4" t="n">
        <v>10</v>
      </c>
      <c r="M8" s="4" t="s">
        <v>1969</v>
      </c>
      <c r="N8" s="5" t="s">
        <v>1977</v>
      </c>
      <c r="O8" s="4" t="n">
        <v>5</v>
      </c>
      <c r="P8" s="4" t="n">
        <v>1</v>
      </c>
      <c r="Q8" s="4" t="n">
        <v>1</v>
      </c>
      <c r="R8" s="5" t="s">
        <v>1988</v>
      </c>
    </row>
    <row r="9" customFormat="false" ht="23.85" hidden="false" customHeight="false" outlineLevel="0" collapsed="false">
      <c r="A9" s="4" t="s">
        <v>501</v>
      </c>
      <c r="B9" s="5" t="s">
        <v>1989</v>
      </c>
      <c r="C9" s="4" t="s">
        <v>73</v>
      </c>
      <c r="D9" s="4" t="s">
        <v>1785</v>
      </c>
      <c r="E9" s="4" t="s">
        <v>1963</v>
      </c>
      <c r="F9" s="5" t="s">
        <v>1973</v>
      </c>
      <c r="G9" s="5" t="s">
        <v>1974</v>
      </c>
      <c r="H9" s="4" t="s">
        <v>1986</v>
      </c>
      <c r="I9" s="4" t="s">
        <v>1990</v>
      </c>
      <c r="J9" s="5" t="s">
        <v>1987</v>
      </c>
      <c r="K9" s="4" t="n">
        <v>1900</v>
      </c>
      <c r="L9" s="4" t="n">
        <v>10</v>
      </c>
      <c r="M9" s="4" t="s">
        <v>1969</v>
      </c>
      <c r="N9" s="5" t="s">
        <v>1977</v>
      </c>
      <c r="O9" s="4" t="n">
        <v>5</v>
      </c>
      <c r="P9" s="4" t="n">
        <v>1</v>
      </c>
      <c r="Q9" s="4" t="n">
        <v>1</v>
      </c>
      <c r="R9" s="5" t="s">
        <v>1991</v>
      </c>
    </row>
    <row r="10" customFormat="false" ht="23.85" hidden="false" customHeight="false" outlineLevel="0" collapsed="false">
      <c r="A10" s="4" t="s">
        <v>620</v>
      </c>
      <c r="B10" s="5" t="s">
        <v>1992</v>
      </c>
      <c r="C10" s="4" t="s">
        <v>73</v>
      </c>
      <c r="D10" s="4" t="s">
        <v>1785</v>
      </c>
      <c r="E10" s="4" t="s">
        <v>1963</v>
      </c>
      <c r="F10" s="5" t="s">
        <v>1973</v>
      </c>
      <c r="G10" s="5" t="s">
        <v>1986</v>
      </c>
      <c r="H10" s="4" t="s">
        <v>1974</v>
      </c>
      <c r="I10" s="4" t="s">
        <v>1967</v>
      </c>
      <c r="J10" s="5" t="s">
        <v>1993</v>
      </c>
      <c r="K10" s="4" t="n">
        <v>492</v>
      </c>
      <c r="L10" s="4" t="n">
        <v>10</v>
      </c>
      <c r="M10" s="4" t="s">
        <v>1969</v>
      </c>
      <c r="N10" s="5" t="s">
        <v>1994</v>
      </c>
      <c r="O10" s="4" t="n">
        <v>5</v>
      </c>
      <c r="P10" s="4" t="n">
        <v>1</v>
      </c>
      <c r="Q10" s="4" t="n">
        <v>1</v>
      </c>
      <c r="R10" s="5" t="s">
        <v>1995</v>
      </c>
    </row>
    <row r="11" customFormat="false" ht="23.85" hidden="false" customHeight="false" outlineLevel="0" collapsed="false">
      <c r="A11" s="4" t="s">
        <v>718</v>
      </c>
      <c r="B11" s="5" t="s">
        <v>1996</v>
      </c>
      <c r="C11" s="4" t="s">
        <v>73</v>
      </c>
      <c r="D11" s="4" t="s">
        <v>1785</v>
      </c>
      <c r="E11" s="4" t="s">
        <v>1963</v>
      </c>
      <c r="F11" s="5" t="s">
        <v>1973</v>
      </c>
      <c r="G11" s="5" t="s">
        <v>1986</v>
      </c>
      <c r="H11" s="4" t="s">
        <v>1974</v>
      </c>
      <c r="I11" s="4" t="s">
        <v>1967</v>
      </c>
      <c r="J11" s="5" t="s">
        <v>1997</v>
      </c>
      <c r="K11" s="4" t="n">
        <v>615</v>
      </c>
      <c r="L11" s="4" t="n">
        <v>10</v>
      </c>
      <c r="M11" s="4" t="s">
        <v>1969</v>
      </c>
      <c r="N11" s="5" t="s">
        <v>1994</v>
      </c>
      <c r="O11" s="4" t="n">
        <v>5</v>
      </c>
      <c r="P11" s="4" t="n">
        <v>1</v>
      </c>
      <c r="Q11" s="4" t="n">
        <v>1</v>
      </c>
      <c r="R11" s="5" t="s">
        <v>1998</v>
      </c>
    </row>
    <row r="12" customFormat="false" ht="23.85" hidden="false" customHeight="false" outlineLevel="0" collapsed="false">
      <c r="A12" s="4" t="s">
        <v>721</v>
      </c>
      <c r="B12" s="5" t="s">
        <v>1999</v>
      </c>
      <c r="C12" s="4" t="s">
        <v>73</v>
      </c>
      <c r="D12" s="4" t="s">
        <v>1785</v>
      </c>
      <c r="E12" s="4" t="s">
        <v>1963</v>
      </c>
      <c r="F12" s="5" t="s">
        <v>1973</v>
      </c>
      <c r="G12" s="5" t="s">
        <v>1986</v>
      </c>
      <c r="H12" s="4" t="s">
        <v>1974</v>
      </c>
      <c r="I12" s="4" t="s">
        <v>1967</v>
      </c>
      <c r="J12" s="5" t="s">
        <v>1993</v>
      </c>
      <c r="K12" s="4" t="n">
        <v>492</v>
      </c>
      <c r="L12" s="4" t="n">
        <v>10</v>
      </c>
      <c r="M12" s="4" t="s">
        <v>1969</v>
      </c>
      <c r="N12" s="5" t="s">
        <v>1994</v>
      </c>
      <c r="O12" s="4" t="n">
        <v>5</v>
      </c>
      <c r="P12" s="4" t="n">
        <v>1</v>
      </c>
      <c r="Q12" s="4" t="n">
        <v>1</v>
      </c>
      <c r="R12" s="5" t="s">
        <v>1995</v>
      </c>
    </row>
    <row r="13" customFormat="false" ht="23.85" hidden="false" customHeight="false" outlineLevel="0" collapsed="false">
      <c r="A13" s="4" t="s">
        <v>802</v>
      </c>
      <c r="B13" s="5" t="s">
        <v>2000</v>
      </c>
      <c r="C13" s="4" t="s">
        <v>73</v>
      </c>
      <c r="D13" s="4" t="s">
        <v>1785</v>
      </c>
      <c r="E13" s="4" t="s">
        <v>1963</v>
      </c>
      <c r="F13" s="5" t="s">
        <v>1973</v>
      </c>
      <c r="G13" s="5" t="s">
        <v>1986</v>
      </c>
      <c r="H13" s="4" t="s">
        <v>1974</v>
      </c>
      <c r="I13" s="4" t="s">
        <v>2001</v>
      </c>
      <c r="J13" s="5" t="s">
        <v>2002</v>
      </c>
      <c r="K13" s="4" t="n">
        <v>590</v>
      </c>
      <c r="L13" s="4" t="n">
        <v>10</v>
      </c>
      <c r="M13" s="4" t="s">
        <v>1969</v>
      </c>
      <c r="N13" s="5" t="s">
        <v>1994</v>
      </c>
      <c r="O13" s="4" t="n">
        <v>5</v>
      </c>
      <c r="P13" s="4" t="n">
        <v>1</v>
      </c>
      <c r="Q13" s="4" t="n">
        <v>1</v>
      </c>
      <c r="R13" s="5" t="s">
        <v>2003</v>
      </c>
    </row>
    <row r="14" customFormat="false" ht="23.85" hidden="false" customHeight="false" outlineLevel="0" collapsed="false">
      <c r="A14" s="4" t="s">
        <v>805</v>
      </c>
      <c r="B14" s="5" t="s">
        <v>2004</v>
      </c>
      <c r="C14" s="4" t="s">
        <v>73</v>
      </c>
      <c r="D14" s="4" t="s">
        <v>1785</v>
      </c>
      <c r="E14" s="4" t="s">
        <v>1963</v>
      </c>
      <c r="F14" s="5" t="s">
        <v>1973</v>
      </c>
      <c r="G14" s="5" t="s">
        <v>1986</v>
      </c>
      <c r="H14" s="4" t="s">
        <v>1974</v>
      </c>
      <c r="I14" s="4" t="s">
        <v>1967</v>
      </c>
      <c r="J14" s="5" t="s">
        <v>2005</v>
      </c>
      <c r="K14" s="4" t="n">
        <v>498</v>
      </c>
      <c r="L14" s="4" t="n">
        <v>10</v>
      </c>
      <c r="M14" s="4" t="s">
        <v>1969</v>
      </c>
      <c r="N14" s="5" t="s">
        <v>1994</v>
      </c>
      <c r="O14" s="4" t="n">
        <v>5</v>
      </c>
      <c r="P14" s="4" t="n">
        <v>1</v>
      </c>
      <c r="Q14" s="4" t="n">
        <v>1</v>
      </c>
      <c r="R14" s="5" t="s">
        <v>2006</v>
      </c>
    </row>
    <row r="15" customFormat="false" ht="23.85" hidden="false" customHeight="false" outlineLevel="0" collapsed="false">
      <c r="A15" s="4" t="s">
        <v>883</v>
      </c>
      <c r="B15" s="5" t="s">
        <v>2007</v>
      </c>
      <c r="C15" s="4" t="s">
        <v>1748</v>
      </c>
      <c r="D15" s="4" t="s">
        <v>1785</v>
      </c>
      <c r="E15" s="4" t="s">
        <v>1963</v>
      </c>
      <c r="F15" s="5" t="s">
        <v>2008</v>
      </c>
      <c r="G15" s="5" t="s">
        <v>1974</v>
      </c>
      <c r="H15" s="4" t="s">
        <v>1986</v>
      </c>
      <c r="I15" s="4" t="s">
        <v>1967</v>
      </c>
      <c r="J15" s="5" t="s">
        <v>1983</v>
      </c>
      <c r="K15" s="4" t="n">
        <v>20</v>
      </c>
      <c r="L15" s="4" t="n">
        <v>10</v>
      </c>
      <c r="M15" s="4" t="s">
        <v>1969</v>
      </c>
      <c r="N15" s="5" t="s">
        <v>1977</v>
      </c>
      <c r="O15" s="4" t="n">
        <v>5</v>
      </c>
      <c r="P15" s="4" t="n">
        <v>2</v>
      </c>
      <c r="Q15" s="4" t="n">
        <v>4.5</v>
      </c>
      <c r="R15" s="5" t="s">
        <v>2009</v>
      </c>
    </row>
    <row r="16" customFormat="false" ht="23.85" hidden="false" customHeight="false" outlineLevel="0" collapsed="false">
      <c r="A16" s="4" t="s">
        <v>1121</v>
      </c>
      <c r="B16" s="5" t="s">
        <v>2010</v>
      </c>
      <c r="C16" s="4" t="s">
        <v>1748</v>
      </c>
      <c r="D16" s="4" t="s">
        <v>1785</v>
      </c>
      <c r="E16" s="4" t="s">
        <v>1963</v>
      </c>
      <c r="F16" s="5" t="s">
        <v>2008</v>
      </c>
      <c r="G16" s="5" t="s">
        <v>1974</v>
      </c>
      <c r="H16" s="4" t="s">
        <v>1986</v>
      </c>
      <c r="I16" s="4" t="s">
        <v>1967</v>
      </c>
      <c r="J16" s="5" t="s">
        <v>2011</v>
      </c>
      <c r="K16" s="4" t="n">
        <v>15</v>
      </c>
      <c r="L16" s="4" t="n">
        <v>10</v>
      </c>
      <c r="M16" s="4" t="s">
        <v>1969</v>
      </c>
      <c r="N16" s="5" t="s">
        <v>1977</v>
      </c>
      <c r="O16" s="4" t="n">
        <v>5</v>
      </c>
      <c r="P16" s="4" t="n">
        <v>2</v>
      </c>
      <c r="Q16" s="4" t="n">
        <v>4.5</v>
      </c>
      <c r="R16" s="5" t="s">
        <v>2012</v>
      </c>
    </row>
    <row r="17" customFormat="false" ht="35.05" hidden="false" customHeight="false" outlineLevel="0" collapsed="false">
      <c r="A17" s="4" t="s">
        <v>886</v>
      </c>
      <c r="B17" s="5" t="s">
        <v>2013</v>
      </c>
      <c r="C17" s="4" t="s">
        <v>82</v>
      </c>
      <c r="D17" s="4" t="s">
        <v>1785</v>
      </c>
      <c r="E17" s="4" t="s">
        <v>2014</v>
      </c>
      <c r="F17" s="5" t="s">
        <v>2015</v>
      </c>
      <c r="G17" s="5" t="s">
        <v>2016</v>
      </c>
      <c r="H17" s="4" t="s">
        <v>2017</v>
      </c>
      <c r="I17" s="4" t="s">
        <v>2018</v>
      </c>
      <c r="J17" s="5" t="s">
        <v>2019</v>
      </c>
      <c r="K17" s="4" t="n">
        <v>400</v>
      </c>
      <c r="L17" s="4" t="n">
        <v>60</v>
      </c>
      <c r="M17" s="4" t="s">
        <v>2020</v>
      </c>
      <c r="N17" s="5" t="s">
        <v>2021</v>
      </c>
      <c r="O17" s="4" t="n">
        <v>20</v>
      </c>
      <c r="P17" s="4" t="n">
        <v>1</v>
      </c>
      <c r="Q17" s="4" t="n">
        <v>0.73</v>
      </c>
      <c r="R17" s="5" t="s">
        <v>2022</v>
      </c>
    </row>
    <row r="18" customFormat="false" ht="35.05" hidden="false" customHeight="false" outlineLevel="0" collapsed="false">
      <c r="A18" s="4" t="s">
        <v>1018</v>
      </c>
      <c r="B18" s="5" t="s">
        <v>2023</v>
      </c>
      <c r="C18" s="4" t="s">
        <v>82</v>
      </c>
      <c r="D18" s="4" t="s">
        <v>1785</v>
      </c>
      <c r="E18" s="4" t="s">
        <v>2014</v>
      </c>
      <c r="F18" s="5" t="s">
        <v>2015</v>
      </c>
      <c r="G18" s="5" t="s">
        <v>2016</v>
      </c>
      <c r="H18" s="4" t="s">
        <v>2017</v>
      </c>
      <c r="I18" s="4" t="s">
        <v>2018</v>
      </c>
      <c r="J18" s="5" t="s">
        <v>2024</v>
      </c>
      <c r="K18" s="4" t="n">
        <v>300</v>
      </c>
      <c r="L18" s="4" t="n">
        <v>60</v>
      </c>
      <c r="M18" s="4" t="s">
        <v>2020</v>
      </c>
      <c r="N18" s="5" t="s">
        <v>2021</v>
      </c>
      <c r="O18" s="4" t="n">
        <v>20</v>
      </c>
      <c r="P18" s="4" t="n">
        <v>1</v>
      </c>
      <c r="Q18" s="4" t="n">
        <v>0.73</v>
      </c>
      <c r="R18" s="5" t="s">
        <v>2025</v>
      </c>
    </row>
    <row r="19" customFormat="false" ht="35.05" hidden="false" customHeight="false" outlineLevel="0" collapsed="false">
      <c r="A19" s="4" t="s">
        <v>1124</v>
      </c>
      <c r="B19" s="5" t="s">
        <v>2026</v>
      </c>
      <c r="C19" s="4" t="s">
        <v>82</v>
      </c>
      <c r="D19" s="4" t="s">
        <v>1785</v>
      </c>
      <c r="E19" s="4" t="s">
        <v>2014</v>
      </c>
      <c r="F19" s="5" t="s">
        <v>2015</v>
      </c>
      <c r="G19" s="5" t="s">
        <v>2016</v>
      </c>
      <c r="H19" s="4" t="s">
        <v>2017</v>
      </c>
      <c r="I19" s="4" t="s">
        <v>2018</v>
      </c>
      <c r="J19" s="5" t="s">
        <v>2027</v>
      </c>
      <c r="K19" s="4" t="n">
        <v>150</v>
      </c>
      <c r="L19" s="4" t="n">
        <v>60</v>
      </c>
      <c r="M19" s="4" t="s">
        <v>2020</v>
      </c>
      <c r="N19" s="5" t="s">
        <v>2021</v>
      </c>
      <c r="O19" s="4" t="n">
        <v>20</v>
      </c>
      <c r="P19" s="4" t="n">
        <v>1</v>
      </c>
      <c r="Q19" s="4" t="n">
        <v>0.73</v>
      </c>
      <c r="R19" s="5" t="s">
        <v>2028</v>
      </c>
    </row>
    <row r="20" customFormat="false" ht="23.85" hidden="false" customHeight="false" outlineLevel="0" collapsed="false">
      <c r="A20" s="4" t="s">
        <v>505</v>
      </c>
      <c r="B20" s="5" t="s">
        <v>2029</v>
      </c>
      <c r="C20" s="4" t="s">
        <v>82</v>
      </c>
      <c r="D20" s="4" t="s">
        <v>1785</v>
      </c>
      <c r="E20" s="4" t="s">
        <v>2014</v>
      </c>
      <c r="F20" s="5" t="s">
        <v>2030</v>
      </c>
      <c r="G20" s="5" t="s">
        <v>2031</v>
      </c>
      <c r="H20" s="4" t="s">
        <v>2032</v>
      </c>
      <c r="I20" s="4" t="s">
        <v>2018</v>
      </c>
      <c r="J20" s="5" t="s">
        <v>2033</v>
      </c>
      <c r="K20" s="4" t="n">
        <v>1000</v>
      </c>
      <c r="L20" s="4" t="n">
        <v>28</v>
      </c>
      <c r="M20" s="4" t="s">
        <v>1969</v>
      </c>
      <c r="N20" s="5" t="s">
        <v>2034</v>
      </c>
      <c r="O20" s="4" t="n">
        <v>10</v>
      </c>
      <c r="P20" s="4" t="n">
        <v>12</v>
      </c>
      <c r="Q20" s="4" t="n">
        <v>0.73</v>
      </c>
      <c r="R20" s="5" t="s">
        <v>2035</v>
      </c>
    </row>
    <row r="21" customFormat="false" ht="23.85" hidden="false" customHeight="false" outlineLevel="0" collapsed="false">
      <c r="A21" s="4" t="s">
        <v>625</v>
      </c>
      <c r="B21" s="5" t="s">
        <v>2036</v>
      </c>
      <c r="C21" s="4" t="s">
        <v>82</v>
      </c>
      <c r="D21" s="4" t="s">
        <v>1785</v>
      </c>
      <c r="E21" s="4" t="s">
        <v>2014</v>
      </c>
      <c r="F21" s="5" t="s">
        <v>2030</v>
      </c>
      <c r="G21" s="5" t="s">
        <v>2031</v>
      </c>
      <c r="H21" s="4" t="s">
        <v>2032</v>
      </c>
      <c r="I21" s="4" t="s">
        <v>2018</v>
      </c>
      <c r="J21" s="5" t="s">
        <v>2033</v>
      </c>
      <c r="K21" s="4" t="n">
        <v>1000</v>
      </c>
      <c r="L21" s="4" t="n">
        <v>28</v>
      </c>
      <c r="M21" s="4" t="s">
        <v>1969</v>
      </c>
      <c r="N21" s="5" t="s">
        <v>2034</v>
      </c>
      <c r="O21" s="4" t="n">
        <v>10</v>
      </c>
      <c r="P21" s="4" t="n">
        <v>8</v>
      </c>
      <c r="Q21" s="4" t="n">
        <v>0.73</v>
      </c>
      <c r="R21" s="5" t="s">
        <v>2035</v>
      </c>
    </row>
    <row r="22" customFormat="false" ht="23.85" hidden="false" customHeight="false" outlineLevel="0" collapsed="false">
      <c r="A22" s="4" t="s">
        <v>891</v>
      </c>
      <c r="B22" s="5" t="s">
        <v>2037</v>
      </c>
      <c r="C22" s="4" t="s">
        <v>82</v>
      </c>
      <c r="D22" s="4" t="s">
        <v>1785</v>
      </c>
      <c r="E22" s="4" t="s">
        <v>2014</v>
      </c>
      <c r="F22" s="5" t="s">
        <v>2015</v>
      </c>
      <c r="G22" s="5" t="s">
        <v>2031</v>
      </c>
      <c r="H22" s="4" t="s">
        <v>2032</v>
      </c>
      <c r="I22" s="4" t="s">
        <v>1967</v>
      </c>
      <c r="J22" s="5" t="s">
        <v>2038</v>
      </c>
      <c r="K22" s="4" t="n">
        <v>100</v>
      </c>
      <c r="L22" s="4" t="n">
        <v>28</v>
      </c>
      <c r="M22" s="4" t="s">
        <v>1969</v>
      </c>
      <c r="N22" s="5" t="s">
        <v>2039</v>
      </c>
      <c r="O22" s="4" t="n">
        <v>10</v>
      </c>
      <c r="P22" s="4" t="n">
        <v>12</v>
      </c>
      <c r="Q22" s="4" t="n">
        <v>0.73</v>
      </c>
      <c r="R22" s="5" t="s">
        <v>2040</v>
      </c>
    </row>
    <row r="23" customFormat="false" ht="23.85" hidden="false" customHeight="false" outlineLevel="0" collapsed="false">
      <c r="A23" s="4" t="s">
        <v>1129</v>
      </c>
      <c r="B23" s="5" t="s">
        <v>2041</v>
      </c>
      <c r="C23" s="4" t="s">
        <v>82</v>
      </c>
      <c r="D23" s="4" t="s">
        <v>1785</v>
      </c>
      <c r="E23" s="4" t="s">
        <v>2014</v>
      </c>
      <c r="F23" s="5" t="s">
        <v>2015</v>
      </c>
      <c r="G23" s="5" t="s">
        <v>2031</v>
      </c>
      <c r="H23" s="4" t="s">
        <v>2032</v>
      </c>
      <c r="I23" s="4" t="s">
        <v>1967</v>
      </c>
      <c r="J23" s="5" t="s">
        <v>2042</v>
      </c>
      <c r="K23" s="4" t="n">
        <v>40</v>
      </c>
      <c r="L23" s="4" t="n">
        <v>28</v>
      </c>
      <c r="M23" s="4" t="s">
        <v>1969</v>
      </c>
      <c r="N23" s="5" t="s">
        <v>2039</v>
      </c>
      <c r="O23" s="4" t="n">
        <v>10</v>
      </c>
      <c r="P23" s="4" t="n">
        <v>8</v>
      </c>
      <c r="Q23" s="4" t="n">
        <v>0.73</v>
      </c>
      <c r="R23" s="5" t="s">
        <v>2043</v>
      </c>
    </row>
    <row r="24" customFormat="false" ht="23.85" hidden="false" customHeight="false" outlineLevel="0" collapsed="false">
      <c r="A24" s="4" t="s">
        <v>951</v>
      </c>
      <c r="B24" s="5" t="s">
        <v>2044</v>
      </c>
      <c r="C24" s="4" t="s">
        <v>1737</v>
      </c>
      <c r="D24" s="4" t="s">
        <v>1785</v>
      </c>
      <c r="E24" s="4" t="s">
        <v>1963</v>
      </c>
      <c r="F24" s="5" t="s">
        <v>1964</v>
      </c>
      <c r="G24" s="5" t="s">
        <v>2045</v>
      </c>
      <c r="H24" s="4" t="s">
        <v>1965</v>
      </c>
      <c r="I24" s="4" t="s">
        <v>2018</v>
      </c>
      <c r="J24" s="5" t="s">
        <v>2046</v>
      </c>
      <c r="K24" s="4" t="n">
        <v>1</v>
      </c>
      <c r="L24" s="4" t="n">
        <v>5</v>
      </c>
      <c r="M24" s="4" t="s">
        <v>2047</v>
      </c>
      <c r="N24" s="5" t="s">
        <v>2048</v>
      </c>
      <c r="O24" s="4" t="n">
        <v>5</v>
      </c>
      <c r="P24" s="4" t="n">
        <v>40</v>
      </c>
      <c r="Q24" s="4" t="n">
        <v>1</v>
      </c>
      <c r="R24" s="5" t="s">
        <v>2049</v>
      </c>
    </row>
    <row r="25" customFormat="false" ht="23.85" hidden="false" customHeight="false" outlineLevel="0" collapsed="false">
      <c r="A25" s="4" t="s">
        <v>1073</v>
      </c>
      <c r="B25" s="5" t="s">
        <v>2050</v>
      </c>
      <c r="C25" s="4" t="s">
        <v>1737</v>
      </c>
      <c r="D25" s="4" t="s">
        <v>1785</v>
      </c>
      <c r="E25" s="4" t="s">
        <v>1963</v>
      </c>
      <c r="F25" s="5" t="s">
        <v>1964</v>
      </c>
      <c r="G25" s="5" t="s">
        <v>2045</v>
      </c>
      <c r="H25" s="4" t="s">
        <v>1965</v>
      </c>
      <c r="I25" s="4" t="s">
        <v>2018</v>
      </c>
      <c r="J25" s="5" t="s">
        <v>2046</v>
      </c>
      <c r="K25" s="4" t="n">
        <v>1</v>
      </c>
      <c r="L25" s="4" t="n">
        <v>5</v>
      </c>
      <c r="M25" s="4" t="s">
        <v>2047</v>
      </c>
      <c r="N25" s="5" t="s">
        <v>2048</v>
      </c>
      <c r="O25" s="4" t="n">
        <v>5</v>
      </c>
      <c r="P25" s="4" t="n">
        <v>40</v>
      </c>
      <c r="Q25" s="4" t="n">
        <v>1</v>
      </c>
      <c r="R25" s="5"/>
    </row>
    <row r="26" customFormat="false" ht="23.85" hidden="false" customHeight="false" outlineLevel="0" collapsed="false">
      <c r="A26" s="4" t="s">
        <v>966</v>
      </c>
      <c r="B26" s="5" t="s">
        <v>2051</v>
      </c>
      <c r="C26" s="4" t="s">
        <v>1737</v>
      </c>
      <c r="D26" s="4" t="s">
        <v>1785</v>
      </c>
      <c r="E26" s="4" t="s">
        <v>1963</v>
      </c>
      <c r="F26" s="5" t="s">
        <v>1964</v>
      </c>
      <c r="G26" s="5" t="s">
        <v>2052</v>
      </c>
      <c r="H26" s="4" t="s">
        <v>1975</v>
      </c>
      <c r="I26" s="4" t="s">
        <v>2018</v>
      </c>
      <c r="J26" s="5" t="s">
        <v>2053</v>
      </c>
      <c r="K26" s="4" t="n">
        <v>1</v>
      </c>
      <c r="L26" s="4" t="n">
        <v>5</v>
      </c>
      <c r="M26" s="4" t="s">
        <v>2047</v>
      </c>
      <c r="N26" s="5" t="s">
        <v>2048</v>
      </c>
      <c r="O26" s="4" t="n">
        <v>5</v>
      </c>
      <c r="P26" s="4" t="n">
        <v>40</v>
      </c>
      <c r="Q26" s="4" t="n">
        <v>1</v>
      </c>
      <c r="R26" s="5" t="s">
        <v>2054</v>
      </c>
    </row>
    <row r="27" customFormat="false" ht="23.85" hidden="false" customHeight="false" outlineLevel="0" collapsed="false">
      <c r="A27" s="4" t="s">
        <v>1081</v>
      </c>
      <c r="B27" s="5" t="s">
        <v>2055</v>
      </c>
      <c r="C27" s="4" t="s">
        <v>1737</v>
      </c>
      <c r="D27" s="4" t="s">
        <v>1785</v>
      </c>
      <c r="E27" s="4" t="s">
        <v>1963</v>
      </c>
      <c r="F27" s="5" t="s">
        <v>1964</v>
      </c>
      <c r="G27" s="5" t="s">
        <v>2052</v>
      </c>
      <c r="H27" s="4" t="s">
        <v>1975</v>
      </c>
      <c r="I27" s="4" t="s">
        <v>2018</v>
      </c>
      <c r="J27" s="5" t="s">
        <v>2046</v>
      </c>
      <c r="K27" s="4" t="n">
        <v>1</v>
      </c>
      <c r="L27" s="4" t="n">
        <v>5</v>
      </c>
      <c r="M27" s="4" t="s">
        <v>2047</v>
      </c>
      <c r="N27" s="5" t="s">
        <v>2048</v>
      </c>
      <c r="O27" s="4" t="n">
        <v>5</v>
      </c>
      <c r="P27" s="4" t="n">
        <v>40</v>
      </c>
      <c r="Q27" s="4" t="n">
        <v>1</v>
      </c>
      <c r="R27" s="5" t="s">
        <v>2056</v>
      </c>
    </row>
    <row r="28" customFormat="false" ht="23.85" hidden="false" customHeight="false" outlineLevel="0" collapsed="false">
      <c r="A28" s="4" t="s">
        <v>971</v>
      </c>
      <c r="B28" s="5" t="s">
        <v>2057</v>
      </c>
      <c r="C28" s="4" t="s">
        <v>82</v>
      </c>
      <c r="D28" s="4" t="s">
        <v>1785</v>
      </c>
      <c r="E28" s="4" t="s">
        <v>2014</v>
      </c>
      <c r="F28" s="5" t="s">
        <v>2058</v>
      </c>
      <c r="G28" s="5" t="s">
        <v>1975</v>
      </c>
      <c r="H28" s="4" t="s">
        <v>2032</v>
      </c>
      <c r="I28" s="4" t="s">
        <v>2018</v>
      </c>
      <c r="J28" s="5" t="s">
        <v>2059</v>
      </c>
      <c r="K28" s="4" t="n">
        <v>100</v>
      </c>
      <c r="L28" s="4" t="n">
        <v>5</v>
      </c>
      <c r="M28" s="4" t="s">
        <v>2047</v>
      </c>
      <c r="N28" s="5" t="s">
        <v>2048</v>
      </c>
      <c r="O28" s="4" t="n">
        <v>10</v>
      </c>
      <c r="P28" s="4" t="n">
        <v>20</v>
      </c>
      <c r="Q28" s="4" t="n">
        <v>0.73</v>
      </c>
      <c r="R28" s="5"/>
    </row>
    <row r="29" customFormat="false" ht="23.85" hidden="false" customHeight="false" outlineLevel="0" collapsed="false">
      <c r="A29" s="4" t="s">
        <v>976</v>
      </c>
      <c r="B29" s="5" t="s">
        <v>2060</v>
      </c>
      <c r="C29" s="4" t="s">
        <v>82</v>
      </c>
      <c r="D29" s="4" t="s">
        <v>1785</v>
      </c>
      <c r="E29" s="4" t="s">
        <v>2014</v>
      </c>
      <c r="F29" s="5" t="s">
        <v>2058</v>
      </c>
      <c r="G29" s="5" t="s">
        <v>1975</v>
      </c>
      <c r="H29" s="4" t="s">
        <v>2032</v>
      </c>
      <c r="I29" s="4" t="s">
        <v>2018</v>
      </c>
      <c r="J29" s="5" t="s">
        <v>2059</v>
      </c>
      <c r="K29" s="4" t="n">
        <v>100</v>
      </c>
      <c r="L29" s="4" t="n">
        <v>5</v>
      </c>
      <c r="M29" s="4" t="s">
        <v>2047</v>
      </c>
      <c r="N29" s="5" t="s">
        <v>2048</v>
      </c>
      <c r="O29" s="4" t="n">
        <v>10</v>
      </c>
      <c r="P29" s="4" t="n">
        <v>20</v>
      </c>
      <c r="Q29" s="4" t="n">
        <v>0.73</v>
      </c>
      <c r="R29" s="5"/>
    </row>
    <row r="30" customFormat="false" ht="15" hidden="false" customHeight="false" outlineLevel="0" collapsed="false">
      <c r="A30" s="4" t="s">
        <v>568</v>
      </c>
      <c r="B30" s="5" t="s">
        <v>2061</v>
      </c>
      <c r="C30" s="4" t="s">
        <v>73</v>
      </c>
      <c r="D30" s="4" t="s">
        <v>1785</v>
      </c>
      <c r="E30" s="4" t="s">
        <v>1963</v>
      </c>
      <c r="F30" s="5" t="s">
        <v>2062</v>
      </c>
      <c r="G30" s="5" t="s">
        <v>2063</v>
      </c>
      <c r="H30" s="4" t="s">
        <v>2064</v>
      </c>
      <c r="I30" s="4" t="s">
        <v>1967</v>
      </c>
      <c r="J30" s="5" t="s">
        <v>2065</v>
      </c>
      <c r="K30" s="4" t="n">
        <v>1000</v>
      </c>
      <c r="L30" s="4" t="n">
        <v>7</v>
      </c>
      <c r="M30" s="4" t="s">
        <v>2020</v>
      </c>
      <c r="N30" s="5" t="s">
        <v>2066</v>
      </c>
      <c r="O30" s="4" t="n">
        <v>5</v>
      </c>
      <c r="P30" s="4" t="n">
        <v>2</v>
      </c>
      <c r="Q30" s="4" t="n">
        <v>1</v>
      </c>
      <c r="R30" s="5" t="s">
        <v>2067</v>
      </c>
    </row>
    <row r="31" customFormat="false" ht="23.85" hidden="false" customHeight="false" outlineLevel="0" collapsed="false">
      <c r="A31" s="4" t="s">
        <v>988</v>
      </c>
      <c r="B31" s="5" t="s">
        <v>2068</v>
      </c>
      <c r="C31" s="4" t="s">
        <v>73</v>
      </c>
      <c r="D31" s="4" t="s">
        <v>1785</v>
      </c>
      <c r="E31" s="4" t="s">
        <v>1963</v>
      </c>
      <c r="F31" s="5" t="s">
        <v>2062</v>
      </c>
      <c r="G31" s="5" t="s">
        <v>2063</v>
      </c>
      <c r="H31" s="4" t="s">
        <v>2064</v>
      </c>
      <c r="I31" s="4" t="s">
        <v>1967</v>
      </c>
      <c r="J31" s="5" t="s">
        <v>2065</v>
      </c>
      <c r="K31" s="4" t="n">
        <v>1000</v>
      </c>
      <c r="L31" s="4" t="n">
        <v>7</v>
      </c>
      <c r="M31" s="4" t="s">
        <v>2020</v>
      </c>
      <c r="N31" s="5" t="s">
        <v>2066</v>
      </c>
      <c r="O31" s="4" t="n">
        <v>5</v>
      </c>
      <c r="P31" s="4" t="n">
        <v>2</v>
      </c>
      <c r="Q31" s="4" t="n">
        <v>1</v>
      </c>
      <c r="R31" s="5" t="s">
        <v>2069</v>
      </c>
    </row>
    <row r="32" customFormat="false" ht="15" hidden="false" customHeight="false" outlineLevel="0" collapsed="false">
      <c r="A32" s="4" t="s">
        <v>573</v>
      </c>
      <c r="B32" s="5" t="s">
        <v>2070</v>
      </c>
      <c r="C32" s="4" t="s">
        <v>1778</v>
      </c>
      <c r="D32" s="4" t="s">
        <v>1785</v>
      </c>
      <c r="E32" s="4" t="s">
        <v>1963</v>
      </c>
      <c r="F32" s="5" t="s">
        <v>2071</v>
      </c>
      <c r="G32" s="5" t="s">
        <v>2072</v>
      </c>
      <c r="H32" s="4" t="s">
        <v>2073</v>
      </c>
      <c r="I32" s="4" t="s">
        <v>1967</v>
      </c>
      <c r="J32" s="5" t="s">
        <v>2074</v>
      </c>
      <c r="K32" s="4" t="n">
        <v>110</v>
      </c>
      <c r="L32" s="4" t="n">
        <v>1</v>
      </c>
      <c r="M32" s="4" t="s">
        <v>1969</v>
      </c>
      <c r="N32" s="5" t="s">
        <v>2075</v>
      </c>
      <c r="O32" s="4" t="n">
        <v>5</v>
      </c>
      <c r="P32" s="4" t="n">
        <v>1</v>
      </c>
      <c r="Q32" s="4" t="n">
        <v>1.5</v>
      </c>
      <c r="R32" s="5" t="s">
        <v>2076</v>
      </c>
    </row>
    <row r="33" customFormat="false" ht="15" hidden="false" customHeight="false" outlineLevel="0" collapsed="false">
      <c r="A33" s="4" t="s">
        <v>1589</v>
      </c>
      <c r="B33" s="5" t="s">
        <v>2077</v>
      </c>
      <c r="C33" s="4" t="s">
        <v>1778</v>
      </c>
      <c r="D33" s="4" t="s">
        <v>1785</v>
      </c>
      <c r="E33" s="4" t="s">
        <v>1963</v>
      </c>
      <c r="F33" s="5" t="s">
        <v>2071</v>
      </c>
      <c r="G33" s="5" t="s">
        <v>2072</v>
      </c>
      <c r="H33" s="4" t="s">
        <v>2073</v>
      </c>
      <c r="I33" s="4" t="s">
        <v>2018</v>
      </c>
      <c r="J33" s="5" t="s">
        <v>2078</v>
      </c>
      <c r="K33" s="4" t="n">
        <v>9.5</v>
      </c>
      <c r="L33" s="4" t="n">
        <v>1</v>
      </c>
      <c r="M33" s="4" t="s">
        <v>1969</v>
      </c>
      <c r="N33" s="5" t="s">
        <v>2075</v>
      </c>
      <c r="O33" s="4" t="n">
        <v>5</v>
      </c>
      <c r="P33" s="4" t="n">
        <v>1</v>
      </c>
      <c r="Q33" s="4" t="n">
        <v>0.1</v>
      </c>
      <c r="R33" s="5"/>
    </row>
    <row r="34" customFormat="false" ht="15" hidden="false" customHeight="false" outlineLevel="0" collapsed="false">
      <c r="A34" s="4" t="s">
        <v>1784</v>
      </c>
      <c r="B34" s="5" t="s">
        <v>2079</v>
      </c>
      <c r="C34" s="4" t="s">
        <v>73</v>
      </c>
      <c r="D34" s="4" t="s">
        <v>1785</v>
      </c>
      <c r="E34" s="4" t="s">
        <v>1963</v>
      </c>
      <c r="F34" s="5" t="s">
        <v>2080</v>
      </c>
      <c r="G34" s="5" t="s">
        <v>2081</v>
      </c>
      <c r="H34" s="4" t="s">
        <v>2082</v>
      </c>
      <c r="I34" s="4" t="s">
        <v>2018</v>
      </c>
      <c r="J34" s="5" t="s">
        <v>2083</v>
      </c>
      <c r="K34" s="4" t="n">
        <v>15</v>
      </c>
      <c r="L34" s="4" t="n">
        <v>5</v>
      </c>
      <c r="M34" s="4" t="s">
        <v>2020</v>
      </c>
      <c r="N34" s="5" t="s">
        <v>2084</v>
      </c>
      <c r="O34" s="4" t="n">
        <v>10</v>
      </c>
      <c r="P34" s="4" t="n">
        <v>60</v>
      </c>
      <c r="Q34" s="4" t="n">
        <v>0.73</v>
      </c>
      <c r="R34" s="5" t="s">
        <v>2085</v>
      </c>
    </row>
    <row r="35" customFormat="false" ht="15" hidden="false" customHeight="false" outlineLevel="0" collapsed="false">
      <c r="A35" s="4" t="s">
        <v>1839</v>
      </c>
      <c r="B35" s="5" t="s">
        <v>2086</v>
      </c>
      <c r="C35" s="4" t="s">
        <v>73</v>
      </c>
      <c r="D35" s="4" t="s">
        <v>1785</v>
      </c>
      <c r="E35" s="4" t="s">
        <v>1963</v>
      </c>
      <c r="F35" s="5" t="s">
        <v>2058</v>
      </c>
      <c r="G35" s="5" t="s">
        <v>2081</v>
      </c>
      <c r="H35" s="4" t="s">
        <v>2082</v>
      </c>
      <c r="I35" s="4" t="s">
        <v>2018</v>
      </c>
      <c r="J35" s="5" t="s">
        <v>2083</v>
      </c>
      <c r="K35" s="4" t="n">
        <v>15</v>
      </c>
      <c r="L35" s="4" t="n">
        <v>5</v>
      </c>
      <c r="M35" s="4" t="s">
        <v>2020</v>
      </c>
      <c r="N35" s="5" t="s">
        <v>2084</v>
      </c>
      <c r="O35" s="4" t="n">
        <v>10</v>
      </c>
      <c r="P35" s="4" t="n">
        <v>60</v>
      </c>
      <c r="Q35" s="4" t="n">
        <v>0.73</v>
      </c>
      <c r="R35" s="5" t="s">
        <v>2087</v>
      </c>
    </row>
    <row r="36" customFormat="false" ht="15" hidden="false" customHeight="false" outlineLevel="0" collapsed="false">
      <c r="A36" s="4" t="s">
        <v>1777</v>
      </c>
      <c r="B36" s="5" t="s">
        <v>2088</v>
      </c>
      <c r="C36" s="4" t="s">
        <v>1778</v>
      </c>
      <c r="D36" s="4" t="s">
        <v>1779</v>
      </c>
      <c r="E36" s="4" t="s">
        <v>2089</v>
      </c>
      <c r="F36" s="5" t="s">
        <v>2071</v>
      </c>
      <c r="G36" s="5" t="s">
        <v>2072</v>
      </c>
      <c r="H36" s="4" t="s">
        <v>2073</v>
      </c>
      <c r="I36" s="4" t="s">
        <v>1967</v>
      </c>
      <c r="J36" s="5" t="s">
        <v>2090</v>
      </c>
      <c r="K36" s="4" t="n">
        <v>115.5</v>
      </c>
      <c r="L36" s="4" t="n">
        <v>1</v>
      </c>
      <c r="M36" s="4" t="s">
        <v>1969</v>
      </c>
      <c r="N36" s="5" t="s">
        <v>2075</v>
      </c>
      <c r="O36" s="4" t="n">
        <v>5</v>
      </c>
      <c r="P36" s="4" t="n">
        <v>1</v>
      </c>
      <c r="Q36" s="4" t="n">
        <v>1.5</v>
      </c>
      <c r="R36" s="5" t="s">
        <v>2091</v>
      </c>
    </row>
    <row r="37" customFormat="false" ht="23.85" hidden="false" customHeight="false" outlineLevel="0" collapsed="false">
      <c r="A37" s="4" t="s">
        <v>1788</v>
      </c>
      <c r="B37" s="5" t="s">
        <v>2092</v>
      </c>
      <c r="C37" s="4" t="s">
        <v>82</v>
      </c>
      <c r="D37" s="4" t="s">
        <v>1779</v>
      </c>
      <c r="E37" s="4" t="s">
        <v>2089</v>
      </c>
      <c r="F37" s="5" t="s">
        <v>2080</v>
      </c>
      <c r="G37" s="5" t="s">
        <v>2093</v>
      </c>
      <c r="H37" s="4" t="s">
        <v>2032</v>
      </c>
      <c r="I37" s="4" t="s">
        <v>2018</v>
      </c>
      <c r="J37" s="5" t="s">
        <v>2094</v>
      </c>
      <c r="K37" s="4" t="n">
        <v>25</v>
      </c>
      <c r="L37" s="4" t="n">
        <v>5</v>
      </c>
      <c r="M37" s="4" t="s">
        <v>2095</v>
      </c>
      <c r="N37" s="5" t="s">
        <v>2096</v>
      </c>
      <c r="O37" s="4" t="n">
        <v>10</v>
      </c>
      <c r="P37" s="4" t="n">
        <v>40</v>
      </c>
      <c r="Q37" s="4" t="n">
        <v>0.73</v>
      </c>
      <c r="R37" s="5"/>
    </row>
    <row r="38" customFormat="false" ht="23.85" hidden="false" customHeight="false" outlineLevel="0" collapsed="false">
      <c r="A38" s="4" t="s">
        <v>1872</v>
      </c>
      <c r="B38" s="5" t="s">
        <v>2097</v>
      </c>
      <c r="C38" s="4" t="s">
        <v>82</v>
      </c>
      <c r="D38" s="4" t="s">
        <v>1779</v>
      </c>
      <c r="E38" s="4" t="s">
        <v>2089</v>
      </c>
      <c r="F38" s="5" t="s">
        <v>2080</v>
      </c>
      <c r="G38" s="5" t="s">
        <v>2098</v>
      </c>
      <c r="H38" s="4" t="s">
        <v>2032</v>
      </c>
      <c r="I38" s="4" t="s">
        <v>2018</v>
      </c>
      <c r="J38" s="5" t="s">
        <v>2094</v>
      </c>
      <c r="K38" s="4" t="n">
        <v>25</v>
      </c>
      <c r="L38" s="4" t="n">
        <v>5</v>
      </c>
      <c r="M38" s="4" t="s">
        <v>2095</v>
      </c>
      <c r="N38" s="5" t="s">
        <v>2096</v>
      </c>
      <c r="O38" s="4" t="n">
        <v>10</v>
      </c>
      <c r="P38" s="4" t="n">
        <v>40</v>
      </c>
      <c r="Q38" s="4" t="n">
        <v>0.73</v>
      </c>
      <c r="R38" s="5"/>
    </row>
    <row r="39" customFormat="false" ht="23.85" hidden="false" customHeight="false" outlineLevel="0" collapsed="false">
      <c r="A39" s="4" t="s">
        <v>1791</v>
      </c>
      <c r="B39" s="5" t="s">
        <v>2099</v>
      </c>
      <c r="C39" s="4" t="s">
        <v>82</v>
      </c>
      <c r="D39" s="4" t="s">
        <v>1779</v>
      </c>
      <c r="E39" s="4" t="s">
        <v>2089</v>
      </c>
      <c r="F39" s="5" t="s">
        <v>2080</v>
      </c>
      <c r="G39" s="5" t="s">
        <v>2098</v>
      </c>
      <c r="H39" s="4" t="s">
        <v>2032</v>
      </c>
      <c r="I39" s="4" t="s">
        <v>2018</v>
      </c>
      <c r="J39" s="5" t="s">
        <v>2100</v>
      </c>
      <c r="K39" s="4" t="n">
        <v>10</v>
      </c>
      <c r="L39" s="4" t="n">
        <v>5</v>
      </c>
      <c r="M39" s="4" t="s">
        <v>2095</v>
      </c>
      <c r="N39" s="5" t="s">
        <v>2096</v>
      </c>
      <c r="O39" s="4" t="n">
        <v>10</v>
      </c>
      <c r="P39" s="4" t="n">
        <v>40</v>
      </c>
      <c r="Q39" s="4" t="n">
        <v>0.73</v>
      </c>
      <c r="R39" s="5"/>
    </row>
    <row r="40" customFormat="false" ht="23.85" hidden="false" customHeight="false" outlineLevel="0" collapsed="false">
      <c r="A40" s="4" t="s">
        <v>1869</v>
      </c>
      <c r="B40" s="5" t="s">
        <v>2101</v>
      </c>
      <c r="C40" s="4" t="s">
        <v>82</v>
      </c>
      <c r="D40" s="4" t="s">
        <v>1779</v>
      </c>
      <c r="E40" s="4" t="s">
        <v>2089</v>
      </c>
      <c r="F40" s="5" t="s">
        <v>2080</v>
      </c>
      <c r="G40" s="5" t="s">
        <v>2098</v>
      </c>
      <c r="H40" s="4" t="s">
        <v>2032</v>
      </c>
      <c r="I40" s="4" t="s">
        <v>2018</v>
      </c>
      <c r="J40" s="5" t="s">
        <v>2100</v>
      </c>
      <c r="K40" s="4" t="n">
        <v>10</v>
      </c>
      <c r="L40" s="4" t="n">
        <v>5</v>
      </c>
      <c r="M40" s="4" t="s">
        <v>2095</v>
      </c>
      <c r="N40" s="5" t="s">
        <v>2096</v>
      </c>
      <c r="O40" s="4" t="n">
        <v>10</v>
      </c>
      <c r="P40" s="4" t="n">
        <v>20</v>
      </c>
      <c r="Q40" s="4" t="n">
        <v>0.73</v>
      </c>
      <c r="R40" s="5"/>
    </row>
    <row r="41" customFormat="false" ht="23.85" hidden="false" customHeight="false" outlineLevel="0" collapsed="false">
      <c r="A41" s="4" t="s">
        <v>1877</v>
      </c>
      <c r="B41" s="5" t="s">
        <v>2102</v>
      </c>
      <c r="C41" s="4" t="s">
        <v>82</v>
      </c>
      <c r="D41" s="4" t="s">
        <v>1779</v>
      </c>
      <c r="E41" s="4" t="s">
        <v>2089</v>
      </c>
      <c r="F41" s="5" t="s">
        <v>2080</v>
      </c>
      <c r="G41" s="5" t="s">
        <v>2103</v>
      </c>
      <c r="H41" s="4" t="s">
        <v>2032</v>
      </c>
      <c r="I41" s="4" t="s">
        <v>2018</v>
      </c>
      <c r="J41" s="5" t="s">
        <v>2100</v>
      </c>
      <c r="K41" s="4" t="n">
        <v>10</v>
      </c>
      <c r="L41" s="4" t="n">
        <v>5</v>
      </c>
      <c r="M41" s="4" t="s">
        <v>2095</v>
      </c>
      <c r="N41" s="5" t="s">
        <v>2096</v>
      </c>
      <c r="O41" s="4" t="n">
        <v>10</v>
      </c>
      <c r="P41" s="4" t="n">
        <v>40</v>
      </c>
      <c r="Q41" s="4" t="n">
        <v>0.73</v>
      </c>
      <c r="R41" s="5"/>
    </row>
    <row r="42" customFormat="false" ht="23.85" hidden="false" customHeight="false" outlineLevel="0" collapsed="false">
      <c r="A42" s="4" t="s">
        <v>1865</v>
      </c>
      <c r="B42" s="5" t="s">
        <v>2104</v>
      </c>
      <c r="C42" s="4" t="s">
        <v>82</v>
      </c>
      <c r="D42" s="4" t="s">
        <v>1779</v>
      </c>
      <c r="E42" s="4" t="s">
        <v>2089</v>
      </c>
      <c r="F42" s="5" t="s">
        <v>2080</v>
      </c>
      <c r="G42" s="5" t="s">
        <v>2105</v>
      </c>
      <c r="H42" s="4" t="s">
        <v>2032</v>
      </c>
      <c r="I42" s="4" t="s">
        <v>2018</v>
      </c>
      <c r="J42" s="5" t="s">
        <v>2106</v>
      </c>
      <c r="K42" s="4" t="n">
        <v>1</v>
      </c>
      <c r="L42" s="4" t="n">
        <v>5</v>
      </c>
      <c r="M42" s="4" t="s">
        <v>2095</v>
      </c>
      <c r="N42" s="5" t="s">
        <v>2096</v>
      </c>
      <c r="O42" s="4" t="n">
        <v>10</v>
      </c>
      <c r="P42" s="4" t="n">
        <v>50</v>
      </c>
      <c r="Q42" s="4" t="n">
        <v>0.73</v>
      </c>
      <c r="R42" s="5"/>
    </row>
    <row r="43" customFormat="false" ht="23.85" hidden="false" customHeight="false" outlineLevel="0" collapsed="false">
      <c r="A43" s="4" t="s">
        <v>1795</v>
      </c>
      <c r="B43" s="5" t="s">
        <v>2107</v>
      </c>
      <c r="C43" s="4" t="s">
        <v>73</v>
      </c>
      <c r="D43" s="4" t="s">
        <v>1779</v>
      </c>
      <c r="E43" s="4" t="s">
        <v>2089</v>
      </c>
      <c r="F43" s="5" t="s">
        <v>2080</v>
      </c>
      <c r="G43" s="5" t="s">
        <v>2108</v>
      </c>
      <c r="H43" s="4" t="s">
        <v>2109</v>
      </c>
      <c r="I43" s="4" t="s">
        <v>1967</v>
      </c>
      <c r="J43" s="5" t="s">
        <v>2110</v>
      </c>
      <c r="K43" s="4" t="n">
        <v>1000</v>
      </c>
      <c r="L43" s="4" t="n">
        <v>7</v>
      </c>
      <c r="M43" s="4" t="s">
        <v>2095</v>
      </c>
      <c r="N43" s="5" t="s">
        <v>2096</v>
      </c>
      <c r="O43" s="4" t="n">
        <v>10</v>
      </c>
      <c r="P43" s="4" t="n">
        <v>1</v>
      </c>
      <c r="Q43" s="4" t="n">
        <v>1.2</v>
      </c>
      <c r="R43" s="5" t="s">
        <v>2111</v>
      </c>
    </row>
    <row r="44" customFormat="false" ht="23.85" hidden="false" customHeight="false" outlineLevel="0" collapsed="false">
      <c r="A44" s="4" t="s">
        <v>1803</v>
      </c>
      <c r="B44" s="5" t="s">
        <v>2112</v>
      </c>
      <c r="C44" s="4" t="s">
        <v>73</v>
      </c>
      <c r="D44" s="4" t="s">
        <v>1785</v>
      </c>
      <c r="E44" s="4" t="s">
        <v>1963</v>
      </c>
      <c r="F44" s="5" t="s">
        <v>2062</v>
      </c>
      <c r="G44" s="5" t="s">
        <v>2113</v>
      </c>
      <c r="H44" s="4" t="s">
        <v>2114</v>
      </c>
      <c r="I44" s="4" t="s">
        <v>2018</v>
      </c>
      <c r="J44" s="5" t="s">
        <v>2115</v>
      </c>
      <c r="K44" s="4" t="n">
        <v>20</v>
      </c>
      <c r="L44" s="4" t="n">
        <v>10</v>
      </c>
      <c r="M44" s="4" t="s">
        <v>2095</v>
      </c>
      <c r="N44" s="5" t="s">
        <v>2096</v>
      </c>
      <c r="O44" s="4" t="n">
        <v>10</v>
      </c>
      <c r="P44" s="4" t="n">
        <v>30</v>
      </c>
      <c r="Q44" s="4" t="n">
        <v>0.73</v>
      </c>
      <c r="R44" s="5" t="s">
        <v>2116</v>
      </c>
    </row>
    <row r="45" customFormat="false" ht="23.85" hidden="false" customHeight="false" outlineLevel="0" collapsed="false">
      <c r="A45" s="4" t="s">
        <v>1799</v>
      </c>
      <c r="B45" s="5" t="s">
        <v>2117</v>
      </c>
      <c r="C45" s="4" t="s">
        <v>82</v>
      </c>
      <c r="D45" s="4" t="s">
        <v>1779</v>
      </c>
      <c r="E45" s="4" t="s">
        <v>2089</v>
      </c>
      <c r="F45" s="5" t="s">
        <v>2080</v>
      </c>
      <c r="G45" s="5" t="s">
        <v>2118</v>
      </c>
      <c r="H45" s="4" t="s">
        <v>2032</v>
      </c>
      <c r="I45" s="4" t="s">
        <v>2018</v>
      </c>
      <c r="J45" s="5" t="s">
        <v>2119</v>
      </c>
      <c r="K45" s="4" t="n">
        <v>500</v>
      </c>
      <c r="L45" s="4" t="n">
        <v>10</v>
      </c>
      <c r="M45" s="4" t="s">
        <v>2095</v>
      </c>
      <c r="N45" s="5" t="s">
        <v>2096</v>
      </c>
      <c r="O45" s="4" t="n">
        <v>10</v>
      </c>
      <c r="P45" s="4" t="n">
        <v>10</v>
      </c>
      <c r="Q45" s="4" t="n">
        <v>0.73</v>
      </c>
      <c r="R45" s="5"/>
    </row>
    <row r="46" customFormat="false" ht="23.85" hidden="false" customHeight="false" outlineLevel="0" collapsed="false">
      <c r="A46" s="4" t="s">
        <v>519</v>
      </c>
      <c r="B46" s="5" t="s">
        <v>2120</v>
      </c>
      <c r="C46" s="4" t="s">
        <v>82</v>
      </c>
      <c r="D46" s="4" t="s">
        <v>1785</v>
      </c>
      <c r="E46" s="4" t="s">
        <v>2014</v>
      </c>
      <c r="F46" s="5" t="s">
        <v>2030</v>
      </c>
      <c r="G46" s="5" t="s">
        <v>2121</v>
      </c>
      <c r="H46" s="4" t="s">
        <v>2122</v>
      </c>
      <c r="I46" s="4" t="s">
        <v>1967</v>
      </c>
      <c r="J46" s="5" t="s">
        <v>2038</v>
      </c>
      <c r="K46" s="4" t="n">
        <v>100</v>
      </c>
      <c r="L46" s="4" t="n">
        <v>20</v>
      </c>
      <c r="M46" s="4" t="s">
        <v>2020</v>
      </c>
      <c r="N46" s="5" t="s">
        <v>2123</v>
      </c>
      <c r="O46" s="4" t="n">
        <v>10</v>
      </c>
      <c r="P46" s="4" t="n">
        <v>30</v>
      </c>
      <c r="Q46" s="4" t="n">
        <v>0.73</v>
      </c>
      <c r="R46" s="5" t="s">
        <v>2124</v>
      </c>
    </row>
    <row r="47" customFormat="false" ht="23.85" hidden="false" customHeight="false" outlineLevel="0" collapsed="false">
      <c r="A47" s="4" t="s">
        <v>634</v>
      </c>
      <c r="B47" s="5" t="s">
        <v>2125</v>
      </c>
      <c r="C47" s="4" t="s">
        <v>82</v>
      </c>
      <c r="D47" s="4" t="s">
        <v>1785</v>
      </c>
      <c r="E47" s="4" t="s">
        <v>2014</v>
      </c>
      <c r="F47" s="5" t="s">
        <v>2030</v>
      </c>
      <c r="G47" s="5" t="s">
        <v>2121</v>
      </c>
      <c r="H47" s="4" t="s">
        <v>2122</v>
      </c>
      <c r="I47" s="4" t="s">
        <v>1967</v>
      </c>
      <c r="J47" s="5" t="s">
        <v>2126</v>
      </c>
      <c r="K47" s="4" t="n">
        <v>50</v>
      </c>
      <c r="L47" s="4" t="n">
        <v>20</v>
      </c>
      <c r="M47" s="4" t="s">
        <v>2020</v>
      </c>
      <c r="N47" s="5" t="s">
        <v>2123</v>
      </c>
      <c r="O47" s="4" t="n">
        <v>10</v>
      </c>
      <c r="P47" s="4" t="n">
        <v>30</v>
      </c>
      <c r="Q47" s="4" t="n">
        <v>0.73</v>
      </c>
      <c r="R47" s="5" t="s">
        <v>2127</v>
      </c>
    </row>
    <row r="48" customFormat="false" ht="23.85" hidden="false" customHeight="false" outlineLevel="0" collapsed="false">
      <c r="A48" s="4" t="s">
        <v>899</v>
      </c>
      <c r="B48" s="5" t="s">
        <v>2128</v>
      </c>
      <c r="C48" s="4" t="s">
        <v>82</v>
      </c>
      <c r="D48" s="4" t="s">
        <v>1785</v>
      </c>
      <c r="E48" s="4" t="s">
        <v>2014</v>
      </c>
      <c r="F48" s="5" t="s">
        <v>2058</v>
      </c>
      <c r="G48" s="5" t="s">
        <v>2121</v>
      </c>
      <c r="H48" s="4" t="s">
        <v>2122</v>
      </c>
      <c r="I48" s="4" t="s">
        <v>1967</v>
      </c>
      <c r="J48" s="5" t="s">
        <v>2100</v>
      </c>
      <c r="K48" s="4" t="n">
        <v>10</v>
      </c>
      <c r="L48" s="4" t="n">
        <v>20</v>
      </c>
      <c r="M48" s="4" t="s">
        <v>2020</v>
      </c>
      <c r="N48" s="5" t="s">
        <v>2123</v>
      </c>
      <c r="O48" s="4" t="n">
        <v>10</v>
      </c>
      <c r="P48" s="4" t="n">
        <v>20</v>
      </c>
      <c r="Q48" s="4" t="n">
        <v>0.73</v>
      </c>
      <c r="R48" s="5" t="s">
        <v>2129</v>
      </c>
    </row>
    <row r="49" customFormat="false" ht="23.85" hidden="false" customHeight="false" outlineLevel="0" collapsed="false">
      <c r="A49" s="4" t="s">
        <v>1030</v>
      </c>
      <c r="B49" s="5" t="s">
        <v>2130</v>
      </c>
      <c r="C49" s="4" t="s">
        <v>82</v>
      </c>
      <c r="D49" s="4" t="s">
        <v>1785</v>
      </c>
      <c r="E49" s="4" t="s">
        <v>2014</v>
      </c>
      <c r="F49" s="5" t="s">
        <v>2058</v>
      </c>
      <c r="G49" s="5" t="s">
        <v>2121</v>
      </c>
      <c r="H49" s="4" t="s">
        <v>2122</v>
      </c>
      <c r="I49" s="4" t="s">
        <v>1967</v>
      </c>
      <c r="J49" s="5" t="s">
        <v>2100</v>
      </c>
      <c r="K49" s="4" t="n">
        <v>10</v>
      </c>
      <c r="L49" s="4" t="n">
        <v>20</v>
      </c>
      <c r="M49" s="4" t="s">
        <v>2020</v>
      </c>
      <c r="N49" s="5" t="s">
        <v>2123</v>
      </c>
      <c r="O49" s="4" t="n">
        <v>10</v>
      </c>
      <c r="P49" s="4" t="n">
        <v>20</v>
      </c>
      <c r="Q49" s="4" t="n">
        <v>0.73</v>
      </c>
      <c r="R49" s="5" t="s">
        <v>2129</v>
      </c>
    </row>
    <row r="50" customFormat="false" ht="23.85" hidden="false" customHeight="false" outlineLevel="0" collapsed="false">
      <c r="A50" s="4" t="s">
        <v>510</v>
      </c>
      <c r="B50" s="5" t="s">
        <v>2131</v>
      </c>
      <c r="C50" s="4" t="s">
        <v>82</v>
      </c>
      <c r="D50" s="4" t="s">
        <v>1785</v>
      </c>
      <c r="E50" s="4" t="s">
        <v>2014</v>
      </c>
      <c r="F50" s="5" t="s">
        <v>2030</v>
      </c>
      <c r="G50" s="5" t="s">
        <v>2132</v>
      </c>
      <c r="H50" s="4" t="s">
        <v>2133</v>
      </c>
      <c r="I50" s="4" t="s">
        <v>2134</v>
      </c>
      <c r="J50" s="5" t="s">
        <v>2038</v>
      </c>
      <c r="K50" s="4" t="n">
        <v>100</v>
      </c>
      <c r="L50" s="4" t="n">
        <v>20</v>
      </c>
      <c r="M50" s="4" t="s">
        <v>2020</v>
      </c>
      <c r="N50" s="5" t="s">
        <v>2123</v>
      </c>
      <c r="O50" s="4" t="n">
        <v>10</v>
      </c>
      <c r="P50" s="4" t="n">
        <v>20</v>
      </c>
      <c r="Q50" s="4" t="n">
        <v>0.73</v>
      </c>
      <c r="R50" s="5"/>
    </row>
    <row r="51" customFormat="false" ht="15" hidden="false" customHeight="false" outlineLevel="0" collapsed="false">
      <c r="A51" s="4" t="s">
        <v>560</v>
      </c>
      <c r="B51" s="5" t="s">
        <v>2135</v>
      </c>
      <c r="C51" s="4" t="s">
        <v>82</v>
      </c>
      <c r="D51" s="4" t="s">
        <v>1785</v>
      </c>
      <c r="E51" s="4" t="s">
        <v>2014</v>
      </c>
      <c r="F51" s="5" t="s">
        <v>2030</v>
      </c>
      <c r="G51" s="5" t="s">
        <v>2132</v>
      </c>
      <c r="H51" s="4" t="s">
        <v>2133</v>
      </c>
      <c r="I51" s="4" t="s">
        <v>2018</v>
      </c>
      <c r="J51" s="5" t="s">
        <v>2126</v>
      </c>
      <c r="K51" s="4" t="n">
        <v>50</v>
      </c>
      <c r="L51" s="4" t="n">
        <v>15</v>
      </c>
      <c r="M51" s="4" t="s">
        <v>2020</v>
      </c>
      <c r="N51" s="5" t="s">
        <v>2136</v>
      </c>
      <c r="O51" s="4" t="n">
        <v>10</v>
      </c>
      <c r="P51" s="4" t="n">
        <v>20</v>
      </c>
      <c r="Q51" s="4" t="n">
        <v>0.73</v>
      </c>
      <c r="R51" s="5"/>
    </row>
    <row r="52" customFormat="false" ht="15" hidden="false" customHeight="false" outlineLevel="0" collapsed="false">
      <c r="A52" s="4" t="s">
        <v>661</v>
      </c>
      <c r="B52" s="5" t="s">
        <v>2137</v>
      </c>
      <c r="C52" s="4" t="s">
        <v>82</v>
      </c>
      <c r="D52" s="4" t="s">
        <v>1785</v>
      </c>
      <c r="E52" s="4" t="s">
        <v>2014</v>
      </c>
      <c r="F52" s="5" t="s">
        <v>2030</v>
      </c>
      <c r="G52" s="5" t="s">
        <v>2132</v>
      </c>
      <c r="H52" s="4" t="s">
        <v>2133</v>
      </c>
      <c r="I52" s="4" t="s">
        <v>2018</v>
      </c>
      <c r="J52" s="5" t="s">
        <v>2126</v>
      </c>
      <c r="K52" s="4" t="n">
        <v>50</v>
      </c>
      <c r="L52" s="4" t="n">
        <v>15</v>
      </c>
      <c r="M52" s="4" t="s">
        <v>2020</v>
      </c>
      <c r="N52" s="5" t="s">
        <v>2136</v>
      </c>
      <c r="O52" s="4" t="n">
        <v>10</v>
      </c>
      <c r="P52" s="4" t="n">
        <v>20</v>
      </c>
      <c r="Q52" s="4" t="n">
        <v>0.73</v>
      </c>
      <c r="R52" s="5"/>
    </row>
    <row r="53" customFormat="false" ht="15" hidden="false" customHeight="false" outlineLevel="0" collapsed="false">
      <c r="A53" s="4" t="s">
        <v>756</v>
      </c>
      <c r="B53" s="5" t="s">
        <v>2138</v>
      </c>
      <c r="C53" s="4" t="s">
        <v>82</v>
      </c>
      <c r="D53" s="4" t="s">
        <v>1785</v>
      </c>
      <c r="E53" s="4" t="s">
        <v>2014</v>
      </c>
      <c r="F53" s="5" t="s">
        <v>2030</v>
      </c>
      <c r="G53" s="5" t="s">
        <v>2132</v>
      </c>
      <c r="H53" s="4" t="s">
        <v>2133</v>
      </c>
      <c r="I53" s="4" t="s">
        <v>2018</v>
      </c>
      <c r="J53" s="5" t="s">
        <v>2126</v>
      </c>
      <c r="K53" s="4" t="n">
        <v>50</v>
      </c>
      <c r="L53" s="4" t="n">
        <v>15</v>
      </c>
      <c r="M53" s="4" t="s">
        <v>2020</v>
      </c>
      <c r="N53" s="5" t="s">
        <v>2136</v>
      </c>
      <c r="O53" s="4" t="n">
        <v>10</v>
      </c>
      <c r="P53" s="4" t="n">
        <v>20</v>
      </c>
      <c r="Q53" s="4" t="n">
        <v>0.73</v>
      </c>
      <c r="R53" s="5"/>
    </row>
    <row r="54" customFormat="false" ht="15" hidden="false" customHeight="false" outlineLevel="0" collapsed="false">
      <c r="A54" s="4" t="s">
        <v>840</v>
      </c>
      <c r="B54" s="5" t="s">
        <v>2139</v>
      </c>
      <c r="C54" s="4" t="s">
        <v>82</v>
      </c>
      <c r="D54" s="4" t="s">
        <v>1785</v>
      </c>
      <c r="E54" s="4" t="s">
        <v>2014</v>
      </c>
      <c r="F54" s="5" t="s">
        <v>2030</v>
      </c>
      <c r="G54" s="5" t="s">
        <v>2132</v>
      </c>
      <c r="H54" s="4" t="s">
        <v>2133</v>
      </c>
      <c r="I54" s="4" t="s">
        <v>2018</v>
      </c>
      <c r="J54" s="5" t="s">
        <v>2126</v>
      </c>
      <c r="K54" s="4" t="n">
        <v>50</v>
      </c>
      <c r="L54" s="4" t="n">
        <v>15</v>
      </c>
      <c r="M54" s="4" t="s">
        <v>2020</v>
      </c>
      <c r="N54" s="5" t="s">
        <v>2136</v>
      </c>
      <c r="O54" s="4" t="n">
        <v>10</v>
      </c>
      <c r="P54" s="4" t="n">
        <v>20</v>
      </c>
      <c r="Q54" s="4" t="n">
        <v>0.73</v>
      </c>
      <c r="R54" s="5"/>
    </row>
    <row r="55" customFormat="false" ht="15" hidden="false" customHeight="false" outlineLevel="0" collapsed="false">
      <c r="A55" s="4" t="s">
        <v>926</v>
      </c>
      <c r="B55" s="5" t="s">
        <v>2140</v>
      </c>
      <c r="C55" s="4" t="s">
        <v>82</v>
      </c>
      <c r="D55" s="4" t="s">
        <v>1785</v>
      </c>
      <c r="E55" s="4" t="s">
        <v>2014</v>
      </c>
      <c r="F55" s="5" t="s">
        <v>2058</v>
      </c>
      <c r="G55" s="5" t="s">
        <v>2132</v>
      </c>
      <c r="H55" s="4" t="s">
        <v>2133</v>
      </c>
      <c r="I55" s="4" t="s">
        <v>2018</v>
      </c>
      <c r="J55" s="5" t="s">
        <v>2100</v>
      </c>
      <c r="K55" s="4" t="n">
        <v>10</v>
      </c>
      <c r="L55" s="4" t="n">
        <v>15</v>
      </c>
      <c r="M55" s="4" t="s">
        <v>2020</v>
      </c>
      <c r="N55" s="5" t="s">
        <v>2136</v>
      </c>
      <c r="O55" s="4" t="n">
        <v>10</v>
      </c>
      <c r="P55" s="4" t="n">
        <v>20</v>
      </c>
      <c r="Q55" s="4" t="n">
        <v>0.73</v>
      </c>
      <c r="R55" s="5"/>
    </row>
    <row r="56" customFormat="false" ht="15" hidden="false" customHeight="false" outlineLevel="0" collapsed="false">
      <c r="A56" s="4" t="s">
        <v>1056</v>
      </c>
      <c r="B56" s="5" t="s">
        <v>2141</v>
      </c>
      <c r="C56" s="4" t="s">
        <v>82</v>
      </c>
      <c r="D56" s="4" t="s">
        <v>1785</v>
      </c>
      <c r="E56" s="4" t="s">
        <v>2014</v>
      </c>
      <c r="F56" s="5" t="s">
        <v>2058</v>
      </c>
      <c r="G56" s="5" t="s">
        <v>2132</v>
      </c>
      <c r="H56" s="4" t="s">
        <v>2133</v>
      </c>
      <c r="I56" s="4" t="s">
        <v>2018</v>
      </c>
      <c r="J56" s="5" t="s">
        <v>2100</v>
      </c>
      <c r="K56" s="4" t="n">
        <v>10</v>
      </c>
      <c r="L56" s="4" t="n">
        <v>15</v>
      </c>
      <c r="M56" s="4" t="s">
        <v>2020</v>
      </c>
      <c r="N56" s="5" t="s">
        <v>2136</v>
      </c>
      <c r="O56" s="4" t="n">
        <v>10</v>
      </c>
      <c r="P56" s="4" t="n">
        <v>20</v>
      </c>
      <c r="Q56" s="4" t="n">
        <v>0.73</v>
      </c>
      <c r="R56" s="5"/>
    </row>
    <row r="57" customFormat="false" ht="15" hidden="false" customHeight="false" outlineLevel="0" collapsed="false">
      <c r="A57" s="4" t="s">
        <v>1164</v>
      </c>
      <c r="B57" s="5" t="s">
        <v>2142</v>
      </c>
      <c r="C57" s="4" t="s">
        <v>82</v>
      </c>
      <c r="D57" s="4" t="s">
        <v>1785</v>
      </c>
      <c r="E57" s="4" t="s">
        <v>2014</v>
      </c>
      <c r="F57" s="5" t="s">
        <v>2058</v>
      </c>
      <c r="G57" s="5" t="s">
        <v>2132</v>
      </c>
      <c r="H57" s="4" t="s">
        <v>2133</v>
      </c>
      <c r="I57" s="4" t="s">
        <v>2018</v>
      </c>
      <c r="J57" s="5" t="s">
        <v>2100</v>
      </c>
      <c r="K57" s="4" t="n">
        <v>10</v>
      </c>
      <c r="L57" s="4" t="n">
        <v>15</v>
      </c>
      <c r="M57" s="4" t="s">
        <v>2020</v>
      </c>
      <c r="N57" s="5" t="s">
        <v>2136</v>
      </c>
      <c r="O57" s="4" t="n">
        <v>10</v>
      </c>
      <c r="P57" s="4" t="n">
        <v>20</v>
      </c>
      <c r="Q57" s="4" t="n">
        <v>0.73</v>
      </c>
      <c r="R57" s="5"/>
    </row>
    <row r="58" customFormat="false" ht="15" hidden="false" customHeight="false" outlineLevel="0" collapsed="false">
      <c r="A58" s="4" t="s">
        <v>1268</v>
      </c>
      <c r="B58" s="5" t="s">
        <v>2143</v>
      </c>
      <c r="C58" s="4" t="s">
        <v>82</v>
      </c>
      <c r="D58" s="4" t="s">
        <v>1785</v>
      </c>
      <c r="E58" s="4" t="s">
        <v>2014</v>
      </c>
      <c r="F58" s="5" t="s">
        <v>2058</v>
      </c>
      <c r="G58" s="5" t="s">
        <v>2132</v>
      </c>
      <c r="H58" s="4" t="s">
        <v>2133</v>
      </c>
      <c r="I58" s="4" t="s">
        <v>2018</v>
      </c>
      <c r="J58" s="5" t="s">
        <v>2100</v>
      </c>
      <c r="K58" s="4" t="n">
        <v>10</v>
      </c>
      <c r="L58" s="4" t="n">
        <v>15</v>
      </c>
      <c r="M58" s="4" t="s">
        <v>2020</v>
      </c>
      <c r="N58" s="5" t="s">
        <v>2136</v>
      </c>
      <c r="O58" s="4" t="n">
        <v>10</v>
      </c>
      <c r="P58" s="4" t="n">
        <v>20</v>
      </c>
      <c r="Q58" s="4" t="n">
        <v>0.73</v>
      </c>
      <c r="R58" s="5"/>
    </row>
    <row r="59" customFormat="false" ht="23.85" hidden="false" customHeight="false" outlineLevel="0" collapsed="false">
      <c r="A59" s="4" t="s">
        <v>514</v>
      </c>
      <c r="B59" s="5" t="s">
        <v>2144</v>
      </c>
      <c r="C59" s="4" t="s">
        <v>82</v>
      </c>
      <c r="D59" s="4" t="s">
        <v>1785</v>
      </c>
      <c r="E59" s="4" t="s">
        <v>2014</v>
      </c>
      <c r="F59" s="5" t="s">
        <v>2030</v>
      </c>
      <c r="G59" s="5" t="s">
        <v>2145</v>
      </c>
      <c r="H59" s="4" t="s">
        <v>2133</v>
      </c>
      <c r="I59" s="4" t="s">
        <v>2018</v>
      </c>
      <c r="J59" s="5" t="s">
        <v>2146</v>
      </c>
      <c r="K59" s="4" t="n">
        <v>1000</v>
      </c>
      <c r="L59" s="4" t="n">
        <v>10</v>
      </c>
      <c r="M59" s="4" t="s">
        <v>2095</v>
      </c>
      <c r="N59" s="5" t="s">
        <v>2096</v>
      </c>
      <c r="O59" s="4" t="n">
        <v>10</v>
      </c>
      <c r="P59" s="4" t="n">
        <v>50</v>
      </c>
      <c r="Q59" s="4" t="n">
        <v>0.73</v>
      </c>
      <c r="R59" s="5"/>
    </row>
    <row r="60" customFormat="false" ht="23.85" hidden="false" customHeight="false" outlineLevel="0" collapsed="false">
      <c r="A60" s="4" t="s">
        <v>630</v>
      </c>
      <c r="B60" s="5" t="s">
        <v>2147</v>
      </c>
      <c r="C60" s="4" t="s">
        <v>82</v>
      </c>
      <c r="D60" s="4" t="s">
        <v>1785</v>
      </c>
      <c r="E60" s="4" t="s">
        <v>2014</v>
      </c>
      <c r="F60" s="5" t="s">
        <v>2030</v>
      </c>
      <c r="G60" s="5" t="s">
        <v>2145</v>
      </c>
      <c r="H60" s="4" t="s">
        <v>2133</v>
      </c>
      <c r="I60" s="4" t="s">
        <v>2018</v>
      </c>
      <c r="J60" s="5" t="s">
        <v>2146</v>
      </c>
      <c r="K60" s="4" t="n">
        <v>1000</v>
      </c>
      <c r="L60" s="4" t="n">
        <v>10</v>
      </c>
      <c r="M60" s="4" t="s">
        <v>2095</v>
      </c>
      <c r="N60" s="5" t="s">
        <v>2096</v>
      </c>
      <c r="O60" s="4" t="n">
        <v>10</v>
      </c>
      <c r="P60" s="4" t="n">
        <v>50</v>
      </c>
      <c r="Q60" s="4" t="n">
        <v>0.73</v>
      </c>
      <c r="R60" s="5"/>
    </row>
    <row r="61" customFormat="false" ht="23.85" hidden="false" customHeight="false" outlineLevel="0" collapsed="false">
      <c r="A61" s="4" t="s">
        <v>1137</v>
      </c>
      <c r="B61" s="5" t="s">
        <v>2148</v>
      </c>
      <c r="C61" s="4" t="s">
        <v>82</v>
      </c>
      <c r="D61" s="4" t="s">
        <v>1785</v>
      </c>
      <c r="E61" s="4" t="s">
        <v>2014</v>
      </c>
      <c r="F61" s="5" t="s">
        <v>2058</v>
      </c>
      <c r="G61" s="5" t="s">
        <v>2145</v>
      </c>
      <c r="H61" s="4" t="s">
        <v>2133</v>
      </c>
      <c r="I61" s="4" t="s">
        <v>2018</v>
      </c>
      <c r="J61" s="5" t="s">
        <v>2059</v>
      </c>
      <c r="K61" s="4" t="n">
        <v>100</v>
      </c>
      <c r="L61" s="4" t="n">
        <v>10</v>
      </c>
      <c r="M61" s="4" t="s">
        <v>2095</v>
      </c>
      <c r="N61" s="5" t="s">
        <v>2096</v>
      </c>
      <c r="O61" s="4" t="n">
        <v>10</v>
      </c>
      <c r="P61" s="4" t="n">
        <v>50</v>
      </c>
      <c r="Q61" s="4" t="n">
        <v>0.73</v>
      </c>
      <c r="R61" s="5"/>
    </row>
    <row r="62" customFormat="false" ht="23.85" hidden="false" customHeight="false" outlineLevel="0" collapsed="false">
      <c r="A62" s="4" t="s">
        <v>1485</v>
      </c>
      <c r="B62" s="5" t="s">
        <v>2149</v>
      </c>
      <c r="C62" s="4" t="s">
        <v>82</v>
      </c>
      <c r="D62" s="4" t="s">
        <v>1785</v>
      </c>
      <c r="E62" s="4" t="s">
        <v>2014</v>
      </c>
      <c r="F62" s="5" t="s">
        <v>2150</v>
      </c>
      <c r="G62" s="5" t="s">
        <v>2133</v>
      </c>
      <c r="H62" s="4" t="s">
        <v>2132</v>
      </c>
      <c r="I62" s="4" t="s">
        <v>2018</v>
      </c>
      <c r="J62" s="5" t="s">
        <v>2059</v>
      </c>
      <c r="K62" s="4" t="n">
        <v>100</v>
      </c>
      <c r="L62" s="4" t="n">
        <v>10</v>
      </c>
      <c r="M62" s="4" t="s">
        <v>2095</v>
      </c>
      <c r="N62" s="5" t="s">
        <v>2096</v>
      </c>
      <c r="O62" s="4" t="n">
        <v>10</v>
      </c>
      <c r="P62" s="4" t="n">
        <v>50</v>
      </c>
      <c r="Q62" s="4" t="n">
        <v>0.73</v>
      </c>
      <c r="R62" s="5" t="s">
        <v>2151</v>
      </c>
    </row>
    <row r="63" customFormat="false" ht="23.85" hidden="false" customHeight="false" outlineLevel="0" collapsed="false">
      <c r="A63" s="4" t="s">
        <v>699</v>
      </c>
      <c r="B63" s="5" t="s">
        <v>2152</v>
      </c>
      <c r="C63" s="4" t="s">
        <v>82</v>
      </c>
      <c r="D63" s="4" t="s">
        <v>1785</v>
      </c>
      <c r="E63" s="4" t="s">
        <v>2014</v>
      </c>
      <c r="F63" s="5" t="s">
        <v>2030</v>
      </c>
      <c r="G63" s="5" t="s">
        <v>2153</v>
      </c>
      <c r="H63" s="4" t="s">
        <v>2154</v>
      </c>
      <c r="I63" s="4" t="s">
        <v>2018</v>
      </c>
      <c r="J63" s="5" t="s">
        <v>2126</v>
      </c>
      <c r="K63" s="4" t="n">
        <v>50</v>
      </c>
      <c r="L63" s="4" t="n">
        <v>15</v>
      </c>
      <c r="M63" s="4" t="s">
        <v>2095</v>
      </c>
      <c r="N63" s="5" t="s">
        <v>2096</v>
      </c>
      <c r="O63" s="4" t="n">
        <v>10</v>
      </c>
      <c r="P63" s="4" t="n">
        <v>10</v>
      </c>
      <c r="Q63" s="4" t="n">
        <v>0.73</v>
      </c>
      <c r="R63" s="5"/>
    </row>
    <row r="64" customFormat="false" ht="23.85" hidden="false" customHeight="false" outlineLevel="0" collapsed="false">
      <c r="A64" s="4" t="s">
        <v>786</v>
      </c>
      <c r="B64" s="5" t="s">
        <v>2155</v>
      </c>
      <c r="C64" s="4" t="s">
        <v>82</v>
      </c>
      <c r="D64" s="4" t="s">
        <v>1785</v>
      </c>
      <c r="E64" s="4" t="s">
        <v>2014</v>
      </c>
      <c r="F64" s="5" t="s">
        <v>2030</v>
      </c>
      <c r="G64" s="5" t="s">
        <v>2153</v>
      </c>
      <c r="H64" s="4" t="s">
        <v>2154</v>
      </c>
      <c r="I64" s="4" t="s">
        <v>2018</v>
      </c>
      <c r="J64" s="5" t="s">
        <v>2126</v>
      </c>
      <c r="K64" s="4" t="n">
        <v>50</v>
      </c>
      <c r="L64" s="4" t="n">
        <v>15</v>
      </c>
      <c r="M64" s="4" t="s">
        <v>2095</v>
      </c>
      <c r="N64" s="5" t="s">
        <v>2096</v>
      </c>
      <c r="O64" s="4" t="n">
        <v>10</v>
      </c>
      <c r="P64" s="4" t="n">
        <v>10</v>
      </c>
      <c r="Q64" s="4" t="n">
        <v>0.73</v>
      </c>
      <c r="R64" s="5"/>
    </row>
    <row r="65" customFormat="false" ht="23.85" hidden="false" customHeight="false" outlineLevel="0" collapsed="false">
      <c r="A65" s="4" t="s">
        <v>870</v>
      </c>
      <c r="B65" s="5" t="s">
        <v>2156</v>
      </c>
      <c r="C65" s="4" t="s">
        <v>82</v>
      </c>
      <c r="D65" s="4" t="s">
        <v>1785</v>
      </c>
      <c r="E65" s="4" t="s">
        <v>2014</v>
      </c>
      <c r="F65" s="5" t="s">
        <v>2030</v>
      </c>
      <c r="G65" s="5" t="s">
        <v>2153</v>
      </c>
      <c r="H65" s="4" t="s">
        <v>2154</v>
      </c>
      <c r="I65" s="4" t="s">
        <v>2018</v>
      </c>
      <c r="J65" s="5" t="s">
        <v>2126</v>
      </c>
      <c r="K65" s="4" t="n">
        <v>50</v>
      </c>
      <c r="L65" s="4" t="n">
        <v>15</v>
      </c>
      <c r="M65" s="4" t="s">
        <v>2095</v>
      </c>
      <c r="N65" s="5" t="s">
        <v>2096</v>
      </c>
      <c r="O65" s="4" t="n">
        <v>10</v>
      </c>
      <c r="P65" s="4" t="n">
        <v>10</v>
      </c>
      <c r="Q65" s="4" t="n">
        <v>0.73</v>
      </c>
      <c r="R65" s="5"/>
    </row>
    <row r="66" customFormat="false" ht="23.85" hidden="false" customHeight="false" outlineLevel="0" collapsed="false">
      <c r="A66" s="4" t="s">
        <v>602</v>
      </c>
      <c r="B66" s="5" t="s">
        <v>2157</v>
      </c>
      <c r="C66" s="4" t="s">
        <v>82</v>
      </c>
      <c r="D66" s="4" t="s">
        <v>1785</v>
      </c>
      <c r="E66" s="4" t="s">
        <v>2014</v>
      </c>
      <c r="F66" s="5" t="s">
        <v>2030</v>
      </c>
      <c r="G66" s="5" t="s">
        <v>2153</v>
      </c>
      <c r="H66" s="4" t="s">
        <v>2032</v>
      </c>
      <c r="I66" s="4" t="s">
        <v>2018</v>
      </c>
      <c r="J66" s="5" t="s">
        <v>2126</v>
      </c>
      <c r="K66" s="4" t="n">
        <v>50</v>
      </c>
      <c r="L66" s="4" t="n">
        <v>15</v>
      </c>
      <c r="M66" s="4" t="s">
        <v>2095</v>
      </c>
      <c r="N66" s="5" t="s">
        <v>2096</v>
      </c>
      <c r="O66" s="4" t="n">
        <v>10</v>
      </c>
      <c r="P66" s="4" t="n">
        <v>10</v>
      </c>
      <c r="Q66" s="4" t="n">
        <v>0.73</v>
      </c>
      <c r="R66" s="5"/>
    </row>
    <row r="67" customFormat="false" ht="23.85" hidden="false" customHeight="false" outlineLevel="0" collapsed="false">
      <c r="A67" s="4" t="s">
        <v>703</v>
      </c>
      <c r="B67" s="5" t="s">
        <v>2158</v>
      </c>
      <c r="C67" s="4" t="s">
        <v>82</v>
      </c>
      <c r="D67" s="4" t="s">
        <v>1785</v>
      </c>
      <c r="E67" s="4" t="s">
        <v>2014</v>
      </c>
      <c r="F67" s="5" t="s">
        <v>2030</v>
      </c>
      <c r="G67" s="5" t="s">
        <v>2105</v>
      </c>
      <c r="H67" s="4" t="s">
        <v>2032</v>
      </c>
      <c r="I67" s="4" t="s">
        <v>2018</v>
      </c>
      <c r="J67" s="5" t="s">
        <v>2119</v>
      </c>
      <c r="K67" s="4" t="n">
        <v>500</v>
      </c>
      <c r="L67" s="4" t="n">
        <v>5</v>
      </c>
      <c r="M67" s="4" t="s">
        <v>2095</v>
      </c>
      <c r="N67" s="5" t="s">
        <v>2096</v>
      </c>
      <c r="O67" s="4" t="n">
        <v>10</v>
      </c>
      <c r="P67" s="4" t="n">
        <v>20</v>
      </c>
      <c r="Q67" s="4" t="n">
        <v>0.73</v>
      </c>
      <c r="R67" s="5"/>
    </row>
    <row r="68" customFormat="false" ht="15" hidden="false" customHeight="false" outlineLevel="0" collapsed="false">
      <c r="A68" s="4" t="s">
        <v>957</v>
      </c>
      <c r="B68" s="5" t="s">
        <v>2159</v>
      </c>
      <c r="C68" s="4" t="s">
        <v>82</v>
      </c>
      <c r="D68" s="4" t="s">
        <v>1785</v>
      </c>
      <c r="E68" s="4" t="s">
        <v>2014</v>
      </c>
      <c r="F68" s="5" t="s">
        <v>2058</v>
      </c>
      <c r="G68" s="5" t="s">
        <v>2160</v>
      </c>
      <c r="H68" s="4" t="s">
        <v>2032</v>
      </c>
      <c r="I68" s="4" t="s">
        <v>2134</v>
      </c>
      <c r="J68" s="5" t="s">
        <v>2161</v>
      </c>
      <c r="K68" s="4" t="n">
        <v>10</v>
      </c>
      <c r="L68" s="4" t="n">
        <v>15</v>
      </c>
      <c r="M68" s="4" t="s">
        <v>2020</v>
      </c>
      <c r="N68" s="5" t="s">
        <v>2162</v>
      </c>
      <c r="O68" s="4" t="n">
        <v>10</v>
      </c>
      <c r="P68" s="4" t="n">
        <v>4</v>
      </c>
      <c r="Q68" s="4" t="n">
        <v>0.73</v>
      </c>
      <c r="R68" s="5"/>
    </row>
    <row r="69" customFormat="false" ht="15" hidden="false" customHeight="false" outlineLevel="0" collapsed="false">
      <c r="A69" s="4" t="s">
        <v>1076</v>
      </c>
      <c r="B69" s="5" t="s">
        <v>2163</v>
      </c>
      <c r="C69" s="4" t="s">
        <v>82</v>
      </c>
      <c r="D69" s="4" t="s">
        <v>1785</v>
      </c>
      <c r="E69" s="4" t="s">
        <v>2014</v>
      </c>
      <c r="F69" s="5" t="s">
        <v>2058</v>
      </c>
      <c r="G69" s="5" t="s">
        <v>2160</v>
      </c>
      <c r="H69" s="4" t="s">
        <v>2164</v>
      </c>
      <c r="I69" s="4" t="s">
        <v>2018</v>
      </c>
      <c r="J69" s="5" t="s">
        <v>2161</v>
      </c>
      <c r="K69" s="4" t="n">
        <v>10</v>
      </c>
      <c r="L69" s="4" t="n">
        <v>15</v>
      </c>
      <c r="M69" s="4" t="s">
        <v>2020</v>
      </c>
      <c r="N69" s="5" t="s">
        <v>2162</v>
      </c>
      <c r="O69" s="4" t="n">
        <v>10</v>
      </c>
      <c r="P69" s="4" t="n">
        <v>3</v>
      </c>
      <c r="Q69" s="4" t="n">
        <v>0.73</v>
      </c>
      <c r="R69" s="5"/>
    </row>
    <row r="70" customFormat="false" ht="15" hidden="false" customHeight="false" outlineLevel="0" collapsed="false">
      <c r="A70" s="4" t="s">
        <v>1184</v>
      </c>
      <c r="B70" s="5" t="s">
        <v>2165</v>
      </c>
      <c r="C70" s="4" t="s">
        <v>82</v>
      </c>
      <c r="D70" s="4" t="s">
        <v>1785</v>
      </c>
      <c r="E70" s="4" t="s">
        <v>2014</v>
      </c>
      <c r="F70" s="5" t="s">
        <v>2058</v>
      </c>
      <c r="G70" s="5" t="s">
        <v>2164</v>
      </c>
      <c r="H70" s="4" t="s">
        <v>2160</v>
      </c>
      <c r="I70" s="4" t="s">
        <v>2018</v>
      </c>
      <c r="J70" s="5" t="s">
        <v>2161</v>
      </c>
      <c r="K70" s="4" t="n">
        <v>10</v>
      </c>
      <c r="L70" s="4" t="n">
        <v>15</v>
      </c>
      <c r="M70" s="4" t="s">
        <v>2020</v>
      </c>
      <c r="N70" s="5" t="s">
        <v>2162</v>
      </c>
      <c r="O70" s="4" t="n">
        <v>10</v>
      </c>
      <c r="P70" s="4" t="n">
        <v>3</v>
      </c>
      <c r="Q70" s="4" t="n">
        <v>0.73</v>
      </c>
      <c r="R70" s="5"/>
    </row>
    <row r="71" customFormat="false" ht="23.85" hidden="false" customHeight="false" outlineLevel="0" collapsed="false">
      <c r="A71" s="4" t="s">
        <v>577</v>
      </c>
      <c r="B71" s="5" t="s">
        <v>2166</v>
      </c>
      <c r="C71" s="4" t="s">
        <v>82</v>
      </c>
      <c r="D71" s="4" t="s">
        <v>1785</v>
      </c>
      <c r="E71" s="4" t="s">
        <v>2167</v>
      </c>
      <c r="F71" s="5" t="s">
        <v>2167</v>
      </c>
      <c r="G71" s="5" t="s">
        <v>2168</v>
      </c>
      <c r="H71" s="4" t="s">
        <v>2169</v>
      </c>
      <c r="I71" s="4" t="s">
        <v>2018</v>
      </c>
      <c r="J71" s="5" t="s">
        <v>2170</v>
      </c>
      <c r="K71" s="4" t="n">
        <v>1000</v>
      </c>
      <c r="L71" s="4" t="n">
        <v>10</v>
      </c>
      <c r="M71" s="4" t="s">
        <v>2095</v>
      </c>
      <c r="N71" s="5" t="s">
        <v>2096</v>
      </c>
      <c r="O71" s="4" t="n">
        <v>10</v>
      </c>
      <c r="P71" s="4" t="n">
        <v>30</v>
      </c>
      <c r="Q71" s="4" t="n">
        <v>0.73</v>
      </c>
      <c r="R71" s="5"/>
    </row>
    <row r="72" customFormat="false" ht="23.85" hidden="false" customHeight="false" outlineLevel="0" collapsed="false">
      <c r="A72" s="4" t="s">
        <v>680</v>
      </c>
      <c r="B72" s="5" t="s">
        <v>2171</v>
      </c>
      <c r="C72" s="4" t="s">
        <v>82</v>
      </c>
      <c r="D72" s="4" t="s">
        <v>1785</v>
      </c>
      <c r="E72" s="4" t="s">
        <v>2167</v>
      </c>
      <c r="F72" s="5" t="s">
        <v>2167</v>
      </c>
      <c r="G72" s="5" t="s">
        <v>2168</v>
      </c>
      <c r="H72" s="4" t="s">
        <v>2169</v>
      </c>
      <c r="I72" s="4" t="s">
        <v>2018</v>
      </c>
      <c r="J72" s="5" t="s">
        <v>2170</v>
      </c>
      <c r="K72" s="4" t="n">
        <v>1000</v>
      </c>
      <c r="L72" s="4" t="n">
        <v>10</v>
      </c>
      <c r="M72" s="4" t="s">
        <v>2095</v>
      </c>
      <c r="N72" s="5" t="s">
        <v>2096</v>
      </c>
      <c r="O72" s="4" t="n">
        <v>10</v>
      </c>
      <c r="P72" s="4" t="n">
        <v>30</v>
      </c>
      <c r="Q72" s="4" t="n">
        <v>0.73</v>
      </c>
      <c r="R72" s="5"/>
    </row>
    <row r="73" customFormat="false" ht="23.85" hidden="false" customHeight="false" outlineLevel="0" collapsed="false">
      <c r="A73" s="4" t="s">
        <v>771</v>
      </c>
      <c r="B73" s="5" t="s">
        <v>2172</v>
      </c>
      <c r="C73" s="4" t="s">
        <v>82</v>
      </c>
      <c r="D73" s="4" t="s">
        <v>1785</v>
      </c>
      <c r="E73" s="4" t="s">
        <v>2167</v>
      </c>
      <c r="F73" s="5" t="s">
        <v>2167</v>
      </c>
      <c r="G73" s="5" t="s">
        <v>2168</v>
      </c>
      <c r="H73" s="4" t="s">
        <v>2169</v>
      </c>
      <c r="I73" s="4" t="s">
        <v>2018</v>
      </c>
      <c r="J73" s="5" t="s">
        <v>2170</v>
      </c>
      <c r="K73" s="4" t="n">
        <v>1000</v>
      </c>
      <c r="L73" s="4" t="n">
        <v>10</v>
      </c>
      <c r="M73" s="4" t="s">
        <v>2095</v>
      </c>
      <c r="N73" s="5" t="s">
        <v>2096</v>
      </c>
      <c r="O73" s="4" t="n">
        <v>10</v>
      </c>
      <c r="P73" s="4" t="n">
        <v>30</v>
      </c>
      <c r="Q73" s="4" t="n">
        <v>0.73</v>
      </c>
      <c r="R73" s="5"/>
    </row>
    <row r="74" customFormat="false" ht="23.85" hidden="false" customHeight="false" outlineLevel="0" collapsed="false">
      <c r="A74" s="4" t="s">
        <v>855</v>
      </c>
      <c r="B74" s="5" t="s">
        <v>2173</v>
      </c>
      <c r="C74" s="4" t="s">
        <v>82</v>
      </c>
      <c r="D74" s="4" t="s">
        <v>1785</v>
      </c>
      <c r="E74" s="4" t="s">
        <v>2167</v>
      </c>
      <c r="F74" s="5" t="s">
        <v>2167</v>
      </c>
      <c r="G74" s="5" t="s">
        <v>2168</v>
      </c>
      <c r="H74" s="4" t="s">
        <v>2169</v>
      </c>
      <c r="I74" s="4" t="s">
        <v>2018</v>
      </c>
      <c r="J74" s="5" t="s">
        <v>2170</v>
      </c>
      <c r="K74" s="4" t="n">
        <v>1000</v>
      </c>
      <c r="L74" s="4" t="n">
        <v>10</v>
      </c>
      <c r="M74" s="4" t="s">
        <v>2095</v>
      </c>
      <c r="N74" s="5" t="s">
        <v>2096</v>
      </c>
      <c r="O74" s="4" t="n">
        <v>10</v>
      </c>
      <c r="P74" s="4" t="n">
        <v>30</v>
      </c>
      <c r="Q74" s="4" t="n">
        <v>0.73</v>
      </c>
      <c r="R74" s="5"/>
    </row>
    <row r="75" customFormat="false" ht="23.85" hidden="false" customHeight="false" outlineLevel="0" collapsed="false">
      <c r="A75" s="4" t="s">
        <v>993</v>
      </c>
      <c r="B75" s="5" t="s">
        <v>2174</v>
      </c>
      <c r="C75" s="4" t="s">
        <v>82</v>
      </c>
      <c r="D75" s="4" t="s">
        <v>1785</v>
      </c>
      <c r="E75" s="4" t="s">
        <v>2167</v>
      </c>
      <c r="F75" s="5" t="s">
        <v>2167</v>
      </c>
      <c r="G75" s="5" t="s">
        <v>2168</v>
      </c>
      <c r="H75" s="4" t="s">
        <v>2169</v>
      </c>
      <c r="I75" s="4" t="s">
        <v>2018</v>
      </c>
      <c r="J75" s="5" t="s">
        <v>2170</v>
      </c>
      <c r="K75" s="4" t="n">
        <v>1000</v>
      </c>
      <c r="L75" s="4" t="n">
        <v>10</v>
      </c>
      <c r="M75" s="4" t="s">
        <v>2095</v>
      </c>
      <c r="N75" s="5" t="s">
        <v>2096</v>
      </c>
      <c r="O75" s="4" t="n">
        <v>10</v>
      </c>
      <c r="P75" s="4" t="n">
        <v>30</v>
      </c>
      <c r="Q75" s="4" t="n">
        <v>0.73</v>
      </c>
      <c r="R75" s="5"/>
    </row>
    <row r="76" customFormat="false" ht="23.85" hidden="false" customHeight="false" outlineLevel="0" collapsed="false">
      <c r="A76" s="4" t="s">
        <v>1098</v>
      </c>
      <c r="B76" s="5" t="s">
        <v>2175</v>
      </c>
      <c r="C76" s="4" t="s">
        <v>82</v>
      </c>
      <c r="D76" s="4" t="s">
        <v>1785</v>
      </c>
      <c r="E76" s="4" t="s">
        <v>2167</v>
      </c>
      <c r="F76" s="5" t="s">
        <v>2167</v>
      </c>
      <c r="G76" s="5" t="s">
        <v>2168</v>
      </c>
      <c r="H76" s="4" t="s">
        <v>2169</v>
      </c>
      <c r="I76" s="4" t="s">
        <v>2018</v>
      </c>
      <c r="J76" s="5" t="s">
        <v>2170</v>
      </c>
      <c r="K76" s="4" t="n">
        <v>1000</v>
      </c>
      <c r="L76" s="4" t="n">
        <v>10</v>
      </c>
      <c r="M76" s="4" t="s">
        <v>2095</v>
      </c>
      <c r="N76" s="5" t="s">
        <v>2096</v>
      </c>
      <c r="O76" s="4" t="n">
        <v>10</v>
      </c>
      <c r="P76" s="4" t="n">
        <v>30</v>
      </c>
      <c r="Q76" s="4" t="n">
        <v>0.73</v>
      </c>
      <c r="R76" s="5"/>
    </row>
    <row r="77" customFormat="false" ht="23.85" hidden="false" customHeight="false" outlineLevel="0" collapsed="false">
      <c r="A77" s="4" t="s">
        <v>1205</v>
      </c>
      <c r="B77" s="5" t="s">
        <v>2176</v>
      </c>
      <c r="C77" s="4" t="s">
        <v>82</v>
      </c>
      <c r="D77" s="4" t="s">
        <v>1785</v>
      </c>
      <c r="E77" s="4" t="s">
        <v>2167</v>
      </c>
      <c r="F77" s="5" t="s">
        <v>2167</v>
      </c>
      <c r="G77" s="5" t="s">
        <v>2168</v>
      </c>
      <c r="H77" s="4" t="s">
        <v>2169</v>
      </c>
      <c r="I77" s="4" t="s">
        <v>2018</v>
      </c>
      <c r="J77" s="5" t="s">
        <v>2170</v>
      </c>
      <c r="K77" s="4" t="n">
        <v>1000</v>
      </c>
      <c r="L77" s="4" t="n">
        <v>10</v>
      </c>
      <c r="M77" s="4" t="s">
        <v>2095</v>
      </c>
      <c r="N77" s="5" t="s">
        <v>2096</v>
      </c>
      <c r="O77" s="4" t="n">
        <v>10</v>
      </c>
      <c r="P77" s="4" t="n">
        <v>30</v>
      </c>
      <c r="Q77" s="4" t="n">
        <v>0.73</v>
      </c>
      <c r="R77" s="5"/>
    </row>
    <row r="78" customFormat="false" ht="23.85" hidden="false" customHeight="false" outlineLevel="0" collapsed="false">
      <c r="A78" s="4" t="s">
        <v>1306</v>
      </c>
      <c r="B78" s="5" t="s">
        <v>2177</v>
      </c>
      <c r="C78" s="4" t="s">
        <v>82</v>
      </c>
      <c r="D78" s="4" t="s">
        <v>1785</v>
      </c>
      <c r="E78" s="4" t="s">
        <v>2167</v>
      </c>
      <c r="F78" s="5" t="s">
        <v>2167</v>
      </c>
      <c r="G78" s="5" t="s">
        <v>2168</v>
      </c>
      <c r="H78" s="4" t="s">
        <v>2169</v>
      </c>
      <c r="I78" s="4" t="s">
        <v>2018</v>
      </c>
      <c r="J78" s="5" t="s">
        <v>2170</v>
      </c>
      <c r="K78" s="4" t="n">
        <v>1000</v>
      </c>
      <c r="L78" s="4" t="n">
        <v>10</v>
      </c>
      <c r="M78" s="4" t="s">
        <v>2095</v>
      </c>
      <c r="N78" s="5" t="s">
        <v>2096</v>
      </c>
      <c r="O78" s="4" t="n">
        <v>10</v>
      </c>
      <c r="P78" s="4" t="n">
        <v>30</v>
      </c>
      <c r="Q78" s="4" t="n">
        <v>0.73</v>
      </c>
      <c r="R78" s="5"/>
    </row>
    <row r="79" customFormat="false" ht="15" hidden="false" customHeight="false" outlineLevel="0" collapsed="false">
      <c r="A79" s="4" t="s">
        <v>581</v>
      </c>
      <c r="B79" s="5" t="s">
        <v>2178</v>
      </c>
      <c r="C79" s="4" t="s">
        <v>82</v>
      </c>
      <c r="D79" s="4" t="s">
        <v>1785</v>
      </c>
      <c r="E79" s="4" t="s">
        <v>2167</v>
      </c>
      <c r="F79" s="5" t="s">
        <v>2167</v>
      </c>
      <c r="G79" s="5" t="s">
        <v>2179</v>
      </c>
      <c r="H79" s="4" t="s">
        <v>2032</v>
      </c>
      <c r="I79" s="4" t="s">
        <v>2180</v>
      </c>
      <c r="J79" s="5" t="s">
        <v>2181</v>
      </c>
      <c r="K79" s="4" t="n">
        <v>1000</v>
      </c>
      <c r="L79" s="4" t="n">
        <v>10</v>
      </c>
      <c r="M79" s="4" t="s">
        <v>2047</v>
      </c>
      <c r="N79" s="5" t="s">
        <v>2182</v>
      </c>
      <c r="O79" s="4" t="n">
        <v>10</v>
      </c>
      <c r="P79" s="4" t="n">
        <v>50</v>
      </c>
      <c r="Q79" s="4" t="n">
        <v>0.73</v>
      </c>
      <c r="R79" s="5" t="s">
        <v>2183</v>
      </c>
    </row>
    <row r="80" customFormat="false" ht="15" hidden="false" customHeight="false" outlineLevel="0" collapsed="false">
      <c r="A80" s="4" t="s">
        <v>586</v>
      </c>
      <c r="B80" s="5" t="s">
        <v>585</v>
      </c>
      <c r="C80" s="4" t="s">
        <v>82</v>
      </c>
      <c r="D80" s="4" t="s">
        <v>1785</v>
      </c>
      <c r="E80" s="4" t="s">
        <v>2167</v>
      </c>
      <c r="F80" s="5" t="s">
        <v>2167</v>
      </c>
      <c r="G80" s="5" t="s">
        <v>2184</v>
      </c>
      <c r="H80" s="4" t="s">
        <v>2032</v>
      </c>
      <c r="I80" s="4" t="s">
        <v>2185</v>
      </c>
      <c r="J80" s="5" t="s">
        <v>2181</v>
      </c>
      <c r="K80" s="4" t="n">
        <v>1000</v>
      </c>
      <c r="L80" s="4" t="n">
        <v>10</v>
      </c>
      <c r="M80" s="4" t="s">
        <v>2047</v>
      </c>
      <c r="N80" s="5" t="s">
        <v>2182</v>
      </c>
      <c r="O80" s="4" t="n">
        <v>10</v>
      </c>
      <c r="P80" s="4" t="n">
        <v>50</v>
      </c>
      <c r="Q80" s="4" t="n">
        <v>0.73</v>
      </c>
      <c r="R80" s="5"/>
    </row>
    <row r="81" customFormat="false" ht="15" hidden="false" customHeight="false" outlineLevel="0" collapsed="false">
      <c r="A81" s="4" t="s">
        <v>688</v>
      </c>
      <c r="B81" s="5" t="s">
        <v>1374</v>
      </c>
      <c r="C81" s="4" t="s">
        <v>82</v>
      </c>
      <c r="D81" s="4" t="s">
        <v>1785</v>
      </c>
      <c r="E81" s="4" t="s">
        <v>2167</v>
      </c>
      <c r="F81" s="5" t="s">
        <v>2167</v>
      </c>
      <c r="G81" s="5" t="s">
        <v>2186</v>
      </c>
      <c r="H81" s="4" t="s">
        <v>2032</v>
      </c>
      <c r="I81" s="4" t="s">
        <v>2180</v>
      </c>
      <c r="J81" s="5" t="s">
        <v>2187</v>
      </c>
      <c r="K81" s="4" t="n">
        <v>500</v>
      </c>
      <c r="L81" s="4" t="n">
        <v>10</v>
      </c>
      <c r="M81" s="4" t="s">
        <v>2047</v>
      </c>
      <c r="N81" s="5" t="s">
        <v>2182</v>
      </c>
      <c r="O81" s="4" t="n">
        <v>10</v>
      </c>
      <c r="P81" s="4" t="n">
        <v>50</v>
      </c>
      <c r="Q81" s="4" t="n">
        <v>0.73</v>
      </c>
      <c r="R81" s="5" t="s">
        <v>2188</v>
      </c>
    </row>
    <row r="82" customFormat="false" ht="15" hidden="false" customHeight="false" outlineLevel="0" collapsed="false">
      <c r="A82" s="4" t="s">
        <v>1371</v>
      </c>
      <c r="B82" s="5" t="s">
        <v>2189</v>
      </c>
      <c r="C82" s="4" t="s">
        <v>82</v>
      </c>
      <c r="D82" s="4" t="s">
        <v>1785</v>
      </c>
      <c r="E82" s="4" t="s">
        <v>2167</v>
      </c>
      <c r="F82" s="5" t="s">
        <v>2167</v>
      </c>
      <c r="G82" s="5" t="s">
        <v>2179</v>
      </c>
      <c r="H82" s="4" t="s">
        <v>2032</v>
      </c>
      <c r="I82" s="4" t="s">
        <v>2180</v>
      </c>
      <c r="J82" s="5" t="s">
        <v>2187</v>
      </c>
      <c r="K82" s="4" t="n">
        <v>500</v>
      </c>
      <c r="L82" s="4" t="n">
        <v>10</v>
      </c>
      <c r="M82" s="4" t="s">
        <v>2047</v>
      </c>
      <c r="N82" s="5" t="s">
        <v>2182</v>
      </c>
      <c r="O82" s="4" t="n">
        <v>10</v>
      </c>
      <c r="P82" s="4" t="n">
        <v>50</v>
      </c>
      <c r="Q82" s="4" t="n">
        <v>0.73</v>
      </c>
      <c r="R82" s="5" t="s">
        <v>2183</v>
      </c>
    </row>
    <row r="83" customFormat="false" ht="15" hidden="false" customHeight="false" outlineLevel="0" collapsed="false">
      <c r="A83" s="4" t="s">
        <v>1367</v>
      </c>
      <c r="B83" s="5" t="s">
        <v>1366</v>
      </c>
      <c r="C83" s="4" t="s">
        <v>82</v>
      </c>
      <c r="D83" s="4" t="s">
        <v>1785</v>
      </c>
      <c r="E83" s="4" t="s">
        <v>2167</v>
      </c>
      <c r="F83" s="5" t="s">
        <v>2167</v>
      </c>
      <c r="G83" s="5" t="s">
        <v>2179</v>
      </c>
      <c r="H83" s="4" t="s">
        <v>2032</v>
      </c>
      <c r="I83" s="4" t="s">
        <v>2180</v>
      </c>
      <c r="J83" s="5" t="s">
        <v>2181</v>
      </c>
      <c r="K83" s="4" t="n">
        <v>1000</v>
      </c>
      <c r="L83" s="4" t="n">
        <v>10</v>
      </c>
      <c r="M83" s="4" t="s">
        <v>2047</v>
      </c>
      <c r="N83" s="5" t="s">
        <v>2182</v>
      </c>
      <c r="O83" s="4" t="n">
        <v>10</v>
      </c>
      <c r="P83" s="4" t="n">
        <v>50</v>
      </c>
      <c r="Q83" s="4" t="n">
        <v>0.73</v>
      </c>
      <c r="R83" s="5" t="s">
        <v>2183</v>
      </c>
    </row>
    <row r="84" customFormat="false" ht="23.85" hidden="false" customHeight="false" outlineLevel="0" collapsed="false">
      <c r="A84" s="4" t="s">
        <v>590</v>
      </c>
      <c r="B84" s="5" t="s">
        <v>2190</v>
      </c>
      <c r="C84" s="4" t="s">
        <v>82</v>
      </c>
      <c r="D84" s="4" t="s">
        <v>1785</v>
      </c>
      <c r="E84" s="4" t="s">
        <v>2167</v>
      </c>
      <c r="F84" s="5" t="s">
        <v>2167</v>
      </c>
      <c r="G84" s="5" t="s">
        <v>2168</v>
      </c>
      <c r="H84" s="4" t="s">
        <v>2191</v>
      </c>
      <c r="I84" s="4" t="s">
        <v>2018</v>
      </c>
      <c r="J84" s="5" t="s">
        <v>2170</v>
      </c>
      <c r="K84" s="4" t="n">
        <v>1000</v>
      </c>
      <c r="L84" s="4" t="n">
        <v>10</v>
      </c>
      <c r="M84" s="4" t="s">
        <v>2095</v>
      </c>
      <c r="N84" s="5" t="s">
        <v>2096</v>
      </c>
      <c r="O84" s="4" t="n">
        <v>10</v>
      </c>
      <c r="P84" s="4" t="n">
        <v>50</v>
      </c>
      <c r="Q84" s="4" t="n">
        <v>0.73</v>
      </c>
      <c r="R84" s="5"/>
    </row>
    <row r="85" customFormat="false" ht="23.85" hidden="false" customHeight="false" outlineLevel="0" collapsed="false">
      <c r="A85" s="4" t="s">
        <v>594</v>
      </c>
      <c r="B85" s="5" t="s">
        <v>593</v>
      </c>
      <c r="C85" s="4" t="s">
        <v>82</v>
      </c>
      <c r="D85" s="4" t="s">
        <v>1785</v>
      </c>
      <c r="E85" s="4" t="s">
        <v>2167</v>
      </c>
      <c r="F85" s="5" t="s">
        <v>2167</v>
      </c>
      <c r="G85" s="5" t="s">
        <v>2168</v>
      </c>
      <c r="H85" s="4" t="s">
        <v>2169</v>
      </c>
      <c r="I85" s="4" t="s">
        <v>2018</v>
      </c>
      <c r="J85" s="5" t="s">
        <v>2170</v>
      </c>
      <c r="K85" s="4" t="n">
        <v>1000</v>
      </c>
      <c r="L85" s="4" t="n">
        <v>10</v>
      </c>
      <c r="M85" s="4" t="s">
        <v>2095</v>
      </c>
      <c r="N85" s="5" t="s">
        <v>2096</v>
      </c>
      <c r="O85" s="4" t="n">
        <v>10</v>
      </c>
      <c r="P85" s="4" t="n">
        <v>50</v>
      </c>
      <c r="Q85" s="4" t="n">
        <v>0.73</v>
      </c>
      <c r="R85" s="5"/>
    </row>
    <row r="86" customFormat="false" ht="23.85" hidden="false" customHeight="false" outlineLevel="0" collapsed="false">
      <c r="A86" s="4" t="s">
        <v>598</v>
      </c>
      <c r="B86" s="5" t="s">
        <v>2192</v>
      </c>
      <c r="C86" s="4" t="s">
        <v>82</v>
      </c>
      <c r="D86" s="4" t="s">
        <v>1785</v>
      </c>
      <c r="E86" s="4" t="s">
        <v>2167</v>
      </c>
      <c r="F86" s="5" t="s">
        <v>2167</v>
      </c>
      <c r="G86" s="5" t="s">
        <v>2193</v>
      </c>
      <c r="H86" s="4" t="s">
        <v>2194</v>
      </c>
      <c r="I86" s="4" t="s">
        <v>2018</v>
      </c>
      <c r="J86" s="5" t="s">
        <v>2146</v>
      </c>
      <c r="K86" s="4" t="n">
        <v>1000</v>
      </c>
      <c r="L86" s="4" t="n">
        <v>10</v>
      </c>
      <c r="M86" s="4" t="s">
        <v>2095</v>
      </c>
      <c r="N86" s="5" t="s">
        <v>2096</v>
      </c>
      <c r="O86" s="4" t="n">
        <v>10</v>
      </c>
      <c r="P86" s="4" t="n">
        <v>50</v>
      </c>
      <c r="Q86" s="4" t="n">
        <v>0.73</v>
      </c>
      <c r="R86" s="5"/>
    </row>
    <row r="87" customFormat="false" ht="23.85" hidden="false" customHeight="false" outlineLevel="0" collapsed="false">
      <c r="A87" s="4" t="s">
        <v>614</v>
      </c>
      <c r="B87" s="5" t="s">
        <v>613</v>
      </c>
      <c r="C87" s="4" t="s">
        <v>82</v>
      </c>
      <c r="D87" s="4" t="s">
        <v>1785</v>
      </c>
      <c r="E87" s="4" t="s">
        <v>2167</v>
      </c>
      <c r="F87" s="5" t="s">
        <v>2167</v>
      </c>
      <c r="G87" s="5" t="s">
        <v>2168</v>
      </c>
      <c r="H87" s="4" t="s">
        <v>2169</v>
      </c>
      <c r="I87" s="4" t="s">
        <v>2018</v>
      </c>
      <c r="J87" s="5" t="s">
        <v>2170</v>
      </c>
      <c r="K87" s="4" t="n">
        <v>1000</v>
      </c>
      <c r="L87" s="4" t="n">
        <v>10</v>
      </c>
      <c r="M87" s="4" t="s">
        <v>2095</v>
      </c>
      <c r="N87" s="5" t="s">
        <v>2096</v>
      </c>
      <c r="O87" s="4" t="n">
        <v>10</v>
      </c>
      <c r="P87" s="4" t="n">
        <v>50</v>
      </c>
      <c r="Q87" s="4" t="n">
        <v>0.73</v>
      </c>
      <c r="R87" s="5"/>
    </row>
    <row r="88" customFormat="false" ht="23.85" hidden="false" customHeight="false" outlineLevel="0" collapsed="false">
      <c r="A88" s="4" t="s">
        <v>1345</v>
      </c>
      <c r="B88" s="5" t="s">
        <v>2195</v>
      </c>
      <c r="C88" s="4" t="s">
        <v>82</v>
      </c>
      <c r="D88" s="4" t="s">
        <v>1785</v>
      </c>
      <c r="E88" s="4" t="s">
        <v>2167</v>
      </c>
      <c r="F88" s="5" t="s">
        <v>2150</v>
      </c>
      <c r="G88" s="5" t="s">
        <v>2168</v>
      </c>
      <c r="H88" s="4" t="s">
        <v>2169</v>
      </c>
      <c r="I88" s="4" t="s">
        <v>2018</v>
      </c>
      <c r="J88" s="5" t="s">
        <v>2170</v>
      </c>
      <c r="K88" s="4" t="n">
        <v>1000</v>
      </c>
      <c r="L88" s="4" t="n">
        <v>10</v>
      </c>
      <c r="M88" s="4" t="s">
        <v>2095</v>
      </c>
      <c r="N88" s="5" t="s">
        <v>2096</v>
      </c>
      <c r="O88" s="4" t="n">
        <v>10</v>
      </c>
      <c r="P88" s="4" t="n">
        <v>50</v>
      </c>
      <c r="Q88" s="4" t="n">
        <v>0.73</v>
      </c>
      <c r="R88" s="5"/>
    </row>
    <row r="89" customFormat="false" ht="23.85" hidden="false" customHeight="false" outlineLevel="0" collapsed="false">
      <c r="A89" s="4" t="s">
        <v>1363</v>
      </c>
      <c r="B89" s="5" t="s">
        <v>1362</v>
      </c>
      <c r="C89" s="4" t="s">
        <v>82</v>
      </c>
      <c r="D89" s="4" t="s">
        <v>1785</v>
      </c>
      <c r="E89" s="4" t="s">
        <v>2167</v>
      </c>
      <c r="F89" s="5" t="s">
        <v>2150</v>
      </c>
      <c r="G89" s="5" t="s">
        <v>2168</v>
      </c>
      <c r="H89" s="4" t="s">
        <v>2169</v>
      </c>
      <c r="I89" s="4" t="s">
        <v>2018</v>
      </c>
      <c r="J89" s="5" t="s">
        <v>2170</v>
      </c>
      <c r="K89" s="4" t="n">
        <v>1000</v>
      </c>
      <c r="L89" s="4" t="n">
        <v>10</v>
      </c>
      <c r="M89" s="4" t="s">
        <v>2095</v>
      </c>
      <c r="N89" s="5" t="s">
        <v>2096</v>
      </c>
      <c r="O89" s="4" t="n">
        <v>10</v>
      </c>
      <c r="P89" s="4" t="n">
        <v>50</v>
      </c>
      <c r="Q89" s="4" t="n">
        <v>0.73</v>
      </c>
      <c r="R89" s="5"/>
    </row>
    <row r="90" customFormat="false" ht="23.85" hidden="false" customHeight="false" outlineLevel="0" collapsed="false">
      <c r="A90" s="4" t="s">
        <v>1359</v>
      </c>
      <c r="B90" s="5" t="s">
        <v>2196</v>
      </c>
      <c r="C90" s="4" t="s">
        <v>82</v>
      </c>
      <c r="D90" s="4" t="s">
        <v>1785</v>
      </c>
      <c r="E90" s="4" t="s">
        <v>2167</v>
      </c>
      <c r="F90" s="5" t="s">
        <v>2150</v>
      </c>
      <c r="G90" s="5" t="s">
        <v>2168</v>
      </c>
      <c r="H90" s="4" t="s">
        <v>2169</v>
      </c>
      <c r="I90" s="4" t="s">
        <v>2018</v>
      </c>
      <c r="J90" s="5" t="s">
        <v>2181</v>
      </c>
      <c r="K90" s="4" t="n">
        <v>1000</v>
      </c>
      <c r="L90" s="4" t="n">
        <v>10</v>
      </c>
      <c r="M90" s="4" t="s">
        <v>2095</v>
      </c>
      <c r="N90" s="5" t="s">
        <v>2096</v>
      </c>
      <c r="O90" s="4" t="n">
        <v>10</v>
      </c>
      <c r="P90" s="4" t="n">
        <v>50</v>
      </c>
      <c r="Q90" s="4" t="n">
        <v>0.73</v>
      </c>
      <c r="R90" s="5"/>
    </row>
    <row r="91" customFormat="false" ht="23.85" hidden="false" customHeight="false" outlineLevel="0" collapsed="false">
      <c r="A91" s="4" t="s">
        <v>1381</v>
      </c>
      <c r="B91" s="5" t="s">
        <v>1380</v>
      </c>
      <c r="C91" s="4" t="s">
        <v>82</v>
      </c>
      <c r="D91" s="4" t="s">
        <v>1785</v>
      </c>
      <c r="E91" s="4" t="s">
        <v>2167</v>
      </c>
      <c r="F91" s="5" t="s">
        <v>2150</v>
      </c>
      <c r="G91" s="5" t="s">
        <v>2168</v>
      </c>
      <c r="H91" s="4" t="s">
        <v>2169</v>
      </c>
      <c r="I91" s="4" t="s">
        <v>2018</v>
      </c>
      <c r="J91" s="5" t="s">
        <v>2170</v>
      </c>
      <c r="K91" s="4" t="n">
        <v>1000</v>
      </c>
      <c r="L91" s="4" t="n">
        <v>10</v>
      </c>
      <c r="M91" s="4" t="s">
        <v>2095</v>
      </c>
      <c r="N91" s="5" t="s">
        <v>2096</v>
      </c>
      <c r="O91" s="4" t="n">
        <v>10</v>
      </c>
      <c r="P91" s="4" t="n">
        <v>50</v>
      </c>
      <c r="Q91" s="4" t="n">
        <v>0.73</v>
      </c>
      <c r="R91" s="5"/>
    </row>
    <row r="92" customFormat="false" ht="23.85" hidden="false" customHeight="false" outlineLevel="0" collapsed="false">
      <c r="A92" s="4" t="s">
        <v>1355</v>
      </c>
      <c r="B92" s="5" t="s">
        <v>1354</v>
      </c>
      <c r="C92" s="4" t="s">
        <v>82</v>
      </c>
      <c r="D92" s="4" t="s">
        <v>1785</v>
      </c>
      <c r="E92" s="4" t="s">
        <v>2167</v>
      </c>
      <c r="F92" s="5" t="s">
        <v>2150</v>
      </c>
      <c r="G92" s="5" t="s">
        <v>2193</v>
      </c>
      <c r="H92" s="4" t="s">
        <v>2194</v>
      </c>
      <c r="I92" s="4" t="s">
        <v>2018</v>
      </c>
      <c r="J92" s="5" t="s">
        <v>2146</v>
      </c>
      <c r="K92" s="4" t="n">
        <v>1000</v>
      </c>
      <c r="L92" s="4" t="n">
        <v>10</v>
      </c>
      <c r="M92" s="4" t="s">
        <v>2095</v>
      </c>
      <c r="N92" s="5" t="s">
        <v>2096</v>
      </c>
      <c r="O92" s="4" t="n">
        <v>10</v>
      </c>
      <c r="P92" s="4" t="n">
        <v>50</v>
      </c>
      <c r="Q92" s="4" t="n">
        <v>0.73</v>
      </c>
      <c r="R92" s="5"/>
    </row>
    <row r="93" customFormat="false" ht="23.85" hidden="false" customHeight="false" outlineLevel="0" collapsed="false">
      <c r="A93" s="4" t="s">
        <v>1567</v>
      </c>
      <c r="B93" s="5" t="s">
        <v>2197</v>
      </c>
      <c r="C93" s="4" t="s">
        <v>82</v>
      </c>
      <c r="D93" s="4" t="s">
        <v>1785</v>
      </c>
      <c r="E93" s="4" t="s">
        <v>2014</v>
      </c>
      <c r="F93" s="5" t="s">
        <v>2150</v>
      </c>
      <c r="G93" s="5" t="s">
        <v>2198</v>
      </c>
      <c r="H93" s="4" t="s">
        <v>2199</v>
      </c>
      <c r="I93" s="4" t="s">
        <v>2018</v>
      </c>
      <c r="J93" s="5" t="s">
        <v>2059</v>
      </c>
      <c r="K93" s="4" t="n">
        <v>100</v>
      </c>
      <c r="L93" s="4" t="n">
        <v>15</v>
      </c>
      <c r="M93" s="4" t="s">
        <v>2095</v>
      </c>
      <c r="N93" s="5" t="s">
        <v>2096</v>
      </c>
      <c r="O93" s="4" t="n">
        <v>10</v>
      </c>
      <c r="P93" s="4" t="n">
        <v>50</v>
      </c>
      <c r="Q93" s="4" t="n">
        <v>0.73</v>
      </c>
      <c r="R93" s="5"/>
    </row>
    <row r="94" customFormat="false" ht="23.85" hidden="false" customHeight="false" outlineLevel="0" collapsed="false">
      <c r="A94" s="4" t="s">
        <v>1619</v>
      </c>
      <c r="B94" s="5" t="s">
        <v>2200</v>
      </c>
      <c r="C94" s="4" t="s">
        <v>82</v>
      </c>
      <c r="D94" s="4" t="s">
        <v>1785</v>
      </c>
      <c r="E94" s="4" t="s">
        <v>2167</v>
      </c>
      <c r="F94" s="5" t="s">
        <v>2150</v>
      </c>
      <c r="G94" s="5" t="s">
        <v>2168</v>
      </c>
      <c r="H94" s="4" t="s">
        <v>2169</v>
      </c>
      <c r="I94" s="4" t="s">
        <v>2018</v>
      </c>
      <c r="J94" s="5" t="s">
        <v>2201</v>
      </c>
      <c r="K94" s="4" t="n">
        <v>500</v>
      </c>
      <c r="L94" s="4" t="n">
        <v>10</v>
      </c>
      <c r="M94" s="4" t="s">
        <v>2095</v>
      </c>
      <c r="N94" s="5" t="s">
        <v>2096</v>
      </c>
      <c r="O94" s="4" t="n">
        <v>10</v>
      </c>
      <c r="P94" s="4" t="n">
        <v>50</v>
      </c>
      <c r="Q94" s="4" t="n">
        <v>0.73</v>
      </c>
      <c r="R94" s="5"/>
    </row>
    <row r="95" customFormat="false" ht="15" hidden="false" customHeight="false" outlineLevel="0" collapsed="false">
      <c r="A95" s="4" t="s">
        <v>1624</v>
      </c>
      <c r="B95" s="5" t="s">
        <v>1623</v>
      </c>
      <c r="C95" s="4" t="s">
        <v>82</v>
      </c>
      <c r="D95" s="4" t="s">
        <v>1785</v>
      </c>
      <c r="E95" s="4" t="s">
        <v>2167</v>
      </c>
      <c r="F95" s="5" t="s">
        <v>2150</v>
      </c>
      <c r="G95" s="5" t="s">
        <v>2179</v>
      </c>
      <c r="H95" s="4" t="s">
        <v>2032</v>
      </c>
      <c r="I95" s="4" t="s">
        <v>2180</v>
      </c>
      <c r="J95" s="5" t="s">
        <v>2202</v>
      </c>
      <c r="K95" s="4" t="n">
        <v>100</v>
      </c>
      <c r="L95" s="4" t="n">
        <v>10</v>
      </c>
      <c r="M95" s="4" t="s">
        <v>2047</v>
      </c>
      <c r="N95" s="5" t="s">
        <v>2182</v>
      </c>
      <c r="O95" s="4" t="n">
        <v>10</v>
      </c>
      <c r="P95" s="4" t="n">
        <v>50</v>
      </c>
      <c r="Q95" s="4" t="n">
        <v>0.73</v>
      </c>
      <c r="R95" s="5"/>
    </row>
    <row r="96" customFormat="false" ht="15" hidden="false" customHeight="false" outlineLevel="0" collapsed="false">
      <c r="A96" s="4" t="s">
        <v>1628</v>
      </c>
      <c r="B96" s="5" t="s">
        <v>1627</v>
      </c>
      <c r="C96" s="4" t="s">
        <v>82</v>
      </c>
      <c r="D96" s="4" t="s">
        <v>1785</v>
      </c>
      <c r="E96" s="4" t="s">
        <v>2167</v>
      </c>
      <c r="F96" s="5" t="s">
        <v>2150</v>
      </c>
      <c r="G96" s="5" t="s">
        <v>2186</v>
      </c>
      <c r="H96" s="4" t="s">
        <v>2032</v>
      </c>
      <c r="I96" s="4" t="s">
        <v>2180</v>
      </c>
      <c r="J96" s="5" t="s">
        <v>2202</v>
      </c>
      <c r="K96" s="4" t="n">
        <v>100</v>
      </c>
      <c r="L96" s="4" t="n">
        <v>10</v>
      </c>
      <c r="M96" s="4" t="s">
        <v>2047</v>
      </c>
      <c r="N96" s="5" t="s">
        <v>2182</v>
      </c>
      <c r="O96" s="4" t="n">
        <v>10</v>
      </c>
      <c r="P96" s="4" t="n">
        <v>50</v>
      </c>
      <c r="Q96" s="4" t="n">
        <v>0.73</v>
      </c>
      <c r="R96" s="5"/>
    </row>
    <row r="97" customFormat="false" ht="23.85" hidden="false" customHeight="false" outlineLevel="0" collapsed="false">
      <c r="A97" s="4" t="s">
        <v>1632</v>
      </c>
      <c r="B97" s="5" t="s">
        <v>2203</v>
      </c>
      <c r="C97" s="4" t="s">
        <v>82</v>
      </c>
      <c r="D97" s="4" t="s">
        <v>1785</v>
      </c>
      <c r="E97" s="4" t="s">
        <v>2167</v>
      </c>
      <c r="F97" s="5" t="s">
        <v>2167</v>
      </c>
      <c r="G97" s="5" t="s">
        <v>2168</v>
      </c>
      <c r="H97" s="4" t="s">
        <v>2032</v>
      </c>
      <c r="I97" s="4" t="s">
        <v>2018</v>
      </c>
      <c r="J97" s="5" t="s">
        <v>2187</v>
      </c>
      <c r="K97" s="4" t="n">
        <v>500</v>
      </c>
      <c r="L97" s="4" t="n">
        <v>5</v>
      </c>
      <c r="M97" s="4" t="s">
        <v>2095</v>
      </c>
      <c r="N97" s="5" t="s">
        <v>2096</v>
      </c>
      <c r="O97" s="4" t="n">
        <v>10</v>
      </c>
      <c r="P97" s="4" t="n">
        <v>50</v>
      </c>
      <c r="Q97" s="4" t="n">
        <v>0.73</v>
      </c>
      <c r="R97" s="5"/>
    </row>
    <row r="98" customFormat="false" ht="23.85" hidden="false" customHeight="false" outlineLevel="0" collapsed="false">
      <c r="A98" s="4" t="s">
        <v>1530</v>
      </c>
      <c r="B98" s="5" t="s">
        <v>2204</v>
      </c>
      <c r="C98" s="4" t="s">
        <v>73</v>
      </c>
      <c r="D98" s="4" t="s">
        <v>1785</v>
      </c>
      <c r="E98" s="4" t="s">
        <v>1963</v>
      </c>
      <c r="F98" s="5" t="s">
        <v>2062</v>
      </c>
      <c r="G98" s="5" t="s">
        <v>2064</v>
      </c>
      <c r="H98" s="4" t="s">
        <v>2063</v>
      </c>
      <c r="I98" s="4" t="s">
        <v>1967</v>
      </c>
      <c r="J98" s="5" t="s">
        <v>2205</v>
      </c>
      <c r="K98" s="4" t="n">
        <v>25</v>
      </c>
      <c r="L98" s="4" t="n">
        <v>7</v>
      </c>
      <c r="M98" s="4" t="s">
        <v>2095</v>
      </c>
      <c r="N98" s="5" t="s">
        <v>2096</v>
      </c>
      <c r="O98" s="4" t="n">
        <v>10</v>
      </c>
      <c r="P98" s="4" t="n">
        <v>40</v>
      </c>
      <c r="Q98" s="4" t="n">
        <v>1.2</v>
      </c>
      <c r="R98" s="5"/>
    </row>
    <row r="99" customFormat="false" ht="23.85" hidden="false" customHeight="false" outlineLevel="0" collapsed="false">
      <c r="A99" s="4" t="s">
        <v>1603</v>
      </c>
      <c r="B99" s="5" t="s">
        <v>2206</v>
      </c>
      <c r="C99" s="4" t="s">
        <v>73</v>
      </c>
      <c r="D99" s="4" t="s">
        <v>1785</v>
      </c>
      <c r="E99" s="4" t="s">
        <v>1963</v>
      </c>
      <c r="F99" s="5" t="s">
        <v>2062</v>
      </c>
      <c r="G99" s="5" t="s">
        <v>2063</v>
      </c>
      <c r="H99" s="4" t="s">
        <v>2032</v>
      </c>
      <c r="I99" s="4" t="s">
        <v>2134</v>
      </c>
      <c r="J99" s="5" t="s">
        <v>2205</v>
      </c>
      <c r="K99" s="4" t="n">
        <v>25</v>
      </c>
      <c r="L99" s="4" t="n">
        <v>15</v>
      </c>
      <c r="M99" s="4" t="s">
        <v>2095</v>
      </c>
      <c r="N99" s="5" t="s">
        <v>2096</v>
      </c>
      <c r="O99" s="4" t="n">
        <v>10</v>
      </c>
      <c r="P99" s="4" t="n">
        <v>40</v>
      </c>
      <c r="Q99" s="4" t="n">
        <v>1.2</v>
      </c>
      <c r="R99" s="5"/>
    </row>
    <row r="100" customFormat="false" ht="15" hidden="false" customHeight="false" outlineLevel="0" collapsed="false">
      <c r="A100" s="4" t="s">
        <v>1558</v>
      </c>
      <c r="B100" s="5" t="s">
        <v>2207</v>
      </c>
      <c r="C100" s="4" t="s">
        <v>73</v>
      </c>
      <c r="D100" s="4" t="s">
        <v>1785</v>
      </c>
      <c r="E100" s="4" t="s">
        <v>1963</v>
      </c>
      <c r="F100" s="5" t="s">
        <v>2071</v>
      </c>
      <c r="G100" s="5" t="s">
        <v>2072</v>
      </c>
      <c r="H100" s="4" t="s">
        <v>2073</v>
      </c>
      <c r="I100" s="4" t="s">
        <v>2018</v>
      </c>
      <c r="J100" s="5" t="s">
        <v>2208</v>
      </c>
      <c r="K100" s="4" t="n">
        <v>25</v>
      </c>
      <c r="L100" s="4" t="n">
        <v>1</v>
      </c>
      <c r="M100" s="4" t="s">
        <v>1969</v>
      </c>
      <c r="N100" s="5" t="s">
        <v>2075</v>
      </c>
      <c r="O100" s="4" t="n">
        <v>5</v>
      </c>
      <c r="P100" s="4" t="n">
        <v>1</v>
      </c>
      <c r="Q100" s="4" t="n">
        <v>0.1</v>
      </c>
      <c r="R100" s="5"/>
    </row>
    <row r="101" customFormat="false" ht="23.85" hidden="false" customHeight="false" outlineLevel="0" collapsed="false">
      <c r="A101" s="4" t="s">
        <v>1586</v>
      </c>
      <c r="B101" s="5" t="s">
        <v>2209</v>
      </c>
      <c r="C101" s="4" t="s">
        <v>73</v>
      </c>
      <c r="D101" s="4" t="s">
        <v>1785</v>
      </c>
      <c r="E101" s="4" t="s">
        <v>1963</v>
      </c>
      <c r="F101" s="5" t="s">
        <v>2150</v>
      </c>
      <c r="G101" s="5" t="s">
        <v>2210</v>
      </c>
      <c r="H101" s="4" t="s">
        <v>2032</v>
      </c>
      <c r="I101" s="4" t="s">
        <v>2211</v>
      </c>
      <c r="J101" s="5" t="s">
        <v>2212</v>
      </c>
      <c r="K101" s="4" t="n">
        <v>50</v>
      </c>
      <c r="L101" s="4" t="n">
        <v>30</v>
      </c>
      <c r="M101" s="4" t="s">
        <v>2095</v>
      </c>
      <c r="N101" s="5" t="s">
        <v>2096</v>
      </c>
      <c r="O101" s="4" t="n">
        <v>20</v>
      </c>
      <c r="P101" s="4" t="n">
        <v>1</v>
      </c>
      <c r="Q101" s="4" t="n">
        <v>0.2</v>
      </c>
      <c r="R101" s="5"/>
    </row>
    <row r="102" customFormat="false" ht="23.85" hidden="false" customHeight="false" outlineLevel="0" collapsed="false">
      <c r="A102" s="4" t="s">
        <v>1499</v>
      </c>
      <c r="B102" s="5" t="s">
        <v>2213</v>
      </c>
      <c r="C102" s="4" t="s">
        <v>1489</v>
      </c>
      <c r="D102" s="4" t="s">
        <v>1785</v>
      </c>
      <c r="E102" s="4" t="s">
        <v>1963</v>
      </c>
      <c r="F102" s="5" t="s">
        <v>2150</v>
      </c>
      <c r="G102" s="5" t="s">
        <v>2063</v>
      </c>
      <c r="H102" s="4" t="s">
        <v>2064</v>
      </c>
      <c r="I102" s="4" t="s">
        <v>1967</v>
      </c>
      <c r="J102" s="5" t="s">
        <v>2214</v>
      </c>
      <c r="K102" s="4" t="n">
        <v>20</v>
      </c>
      <c r="L102" s="4" t="n">
        <v>7</v>
      </c>
      <c r="M102" s="4" t="s">
        <v>2095</v>
      </c>
      <c r="N102" s="5" t="s">
        <v>2096</v>
      </c>
      <c r="O102" s="4" t="n">
        <v>10</v>
      </c>
      <c r="P102" s="4" t="n">
        <v>32</v>
      </c>
      <c r="Q102" s="4" t="n">
        <v>0.73</v>
      </c>
      <c r="R102" s="5" t="s">
        <v>2215</v>
      </c>
    </row>
    <row r="103" customFormat="false" ht="23.85" hidden="false" customHeight="false" outlineLevel="0" collapsed="false">
      <c r="A103" s="4" t="s">
        <v>1545</v>
      </c>
      <c r="B103" s="5" t="s">
        <v>2216</v>
      </c>
      <c r="C103" s="4" t="s">
        <v>1489</v>
      </c>
      <c r="D103" s="4" t="s">
        <v>1785</v>
      </c>
      <c r="E103" s="4" t="s">
        <v>1963</v>
      </c>
      <c r="F103" s="5" t="s">
        <v>2150</v>
      </c>
      <c r="G103" s="5" t="s">
        <v>2217</v>
      </c>
      <c r="H103" s="4" t="s">
        <v>2063</v>
      </c>
      <c r="I103" s="4" t="s">
        <v>1967</v>
      </c>
      <c r="J103" s="5" t="s">
        <v>2214</v>
      </c>
      <c r="K103" s="4" t="n">
        <v>20</v>
      </c>
      <c r="L103" s="4" t="n">
        <v>7</v>
      </c>
      <c r="M103" s="4" t="s">
        <v>2095</v>
      </c>
      <c r="N103" s="5" t="s">
        <v>2096</v>
      </c>
      <c r="O103" s="4" t="n">
        <v>10</v>
      </c>
      <c r="P103" s="4" t="n">
        <v>32</v>
      </c>
      <c r="Q103" s="4" t="n">
        <v>0.73</v>
      </c>
      <c r="R103" s="5" t="s">
        <v>2218</v>
      </c>
    </row>
    <row r="104" customFormat="false" ht="23.85" hidden="false" customHeight="false" outlineLevel="0" collapsed="false">
      <c r="A104" s="4" t="s">
        <v>1926</v>
      </c>
      <c r="B104" s="5" t="s">
        <v>2219</v>
      </c>
      <c r="C104" s="4" t="s">
        <v>1489</v>
      </c>
      <c r="D104" s="4" t="s">
        <v>1785</v>
      </c>
      <c r="E104" s="4" t="s">
        <v>1963</v>
      </c>
      <c r="F104" s="5" t="s">
        <v>2150</v>
      </c>
      <c r="G104" s="5" t="s">
        <v>2220</v>
      </c>
      <c r="H104" s="4" t="s">
        <v>2114</v>
      </c>
      <c r="I104" s="4" t="s">
        <v>2018</v>
      </c>
      <c r="J104" s="5" t="s">
        <v>2221</v>
      </c>
      <c r="K104" s="4" t="n">
        <v>4</v>
      </c>
      <c r="L104" s="4" t="n">
        <v>5</v>
      </c>
      <c r="M104" s="4" t="s">
        <v>2095</v>
      </c>
      <c r="N104" s="5" t="s">
        <v>2096</v>
      </c>
      <c r="O104" s="4" t="n">
        <v>10</v>
      </c>
      <c r="P104" s="4" t="n">
        <v>40</v>
      </c>
      <c r="Q104" s="4" t="n">
        <v>0.73</v>
      </c>
      <c r="R104" s="5"/>
    </row>
    <row r="105" customFormat="false" ht="23.85" hidden="false" customHeight="false" outlineLevel="0" collapsed="false">
      <c r="A105" s="4" t="s">
        <v>1807</v>
      </c>
      <c r="B105" s="5" t="s">
        <v>2222</v>
      </c>
      <c r="C105" s="4" t="s">
        <v>82</v>
      </c>
      <c r="D105" s="4" t="s">
        <v>1785</v>
      </c>
      <c r="E105" s="4" t="s">
        <v>2223</v>
      </c>
      <c r="F105" s="5" t="s">
        <v>2223</v>
      </c>
      <c r="G105" s="5" t="s">
        <v>2224</v>
      </c>
      <c r="H105" s="4" t="s">
        <v>2225</v>
      </c>
      <c r="I105" s="4" t="s">
        <v>2018</v>
      </c>
      <c r="J105" s="5" t="s">
        <v>2226</v>
      </c>
      <c r="K105" s="4" t="n">
        <v>600</v>
      </c>
      <c r="L105" s="4" t="n">
        <v>10</v>
      </c>
      <c r="M105" s="4" t="s">
        <v>2095</v>
      </c>
      <c r="N105" s="5" t="s">
        <v>2096</v>
      </c>
      <c r="O105" s="4" t="n">
        <v>10</v>
      </c>
      <c r="P105" s="4" t="n">
        <v>1</v>
      </c>
      <c r="Q105" s="4" t="n">
        <v>1.2</v>
      </c>
      <c r="R105" s="5"/>
    </row>
    <row r="106" customFormat="false" ht="23.85" hidden="false" customHeight="false" outlineLevel="0" collapsed="false">
      <c r="A106" s="4" t="s">
        <v>1826</v>
      </c>
      <c r="B106" s="5" t="s">
        <v>2227</v>
      </c>
      <c r="C106" s="4" t="s">
        <v>82</v>
      </c>
      <c r="D106" s="4" t="s">
        <v>1785</v>
      </c>
      <c r="E106" s="4" t="s">
        <v>2223</v>
      </c>
      <c r="F106" s="5" t="s">
        <v>2223</v>
      </c>
      <c r="G106" s="5" t="s">
        <v>2224</v>
      </c>
      <c r="H106" s="4" t="s">
        <v>2225</v>
      </c>
      <c r="I106" s="4" t="s">
        <v>2018</v>
      </c>
      <c r="J106" s="5" t="s">
        <v>2226</v>
      </c>
      <c r="K106" s="4" t="n">
        <v>600</v>
      </c>
      <c r="L106" s="4" t="n">
        <v>10</v>
      </c>
      <c r="M106" s="4" t="s">
        <v>2095</v>
      </c>
      <c r="N106" s="5" t="s">
        <v>2096</v>
      </c>
      <c r="O106" s="4" t="n">
        <v>10</v>
      </c>
      <c r="P106" s="4" t="n">
        <v>1</v>
      </c>
      <c r="Q106" s="4" t="n">
        <v>1.2</v>
      </c>
      <c r="R106" s="5"/>
    </row>
    <row r="107" customFormat="false" ht="23.85" hidden="false" customHeight="false" outlineLevel="0" collapsed="false">
      <c r="A107" s="4" t="s">
        <v>1830</v>
      </c>
      <c r="B107" s="5" t="s">
        <v>2228</v>
      </c>
      <c r="C107" s="4" t="s">
        <v>82</v>
      </c>
      <c r="D107" s="4" t="s">
        <v>1785</v>
      </c>
      <c r="E107" s="4" t="s">
        <v>2223</v>
      </c>
      <c r="F107" s="5" t="s">
        <v>2223</v>
      </c>
      <c r="G107" s="5" t="s">
        <v>2224</v>
      </c>
      <c r="H107" s="4" t="s">
        <v>2225</v>
      </c>
      <c r="I107" s="4" t="s">
        <v>2018</v>
      </c>
      <c r="J107" s="5" t="s">
        <v>2226</v>
      </c>
      <c r="K107" s="4" t="n">
        <v>600</v>
      </c>
      <c r="L107" s="4" t="n">
        <v>10</v>
      </c>
      <c r="M107" s="4" t="s">
        <v>2095</v>
      </c>
      <c r="N107" s="5" t="s">
        <v>2096</v>
      </c>
      <c r="O107" s="4" t="n">
        <v>10</v>
      </c>
      <c r="P107" s="4" t="n">
        <v>1</v>
      </c>
      <c r="Q107" s="4" t="n">
        <v>1.2</v>
      </c>
      <c r="R107" s="5"/>
    </row>
    <row r="108" customFormat="false" ht="23.85" hidden="false" customHeight="false" outlineLevel="0" collapsed="false">
      <c r="A108" s="4" t="s">
        <v>1834</v>
      </c>
      <c r="B108" s="5" t="s">
        <v>2229</v>
      </c>
      <c r="C108" s="4" t="s">
        <v>82</v>
      </c>
      <c r="D108" s="4" t="s">
        <v>1785</v>
      </c>
      <c r="E108" s="4" t="s">
        <v>2223</v>
      </c>
      <c r="F108" s="5" t="s">
        <v>2223</v>
      </c>
      <c r="G108" s="5" t="s">
        <v>2224</v>
      </c>
      <c r="H108" s="4" t="s">
        <v>2225</v>
      </c>
      <c r="I108" s="4" t="s">
        <v>2018</v>
      </c>
      <c r="J108" s="5" t="s">
        <v>2226</v>
      </c>
      <c r="K108" s="4" t="n">
        <v>600</v>
      </c>
      <c r="L108" s="4" t="n">
        <v>10</v>
      </c>
      <c r="M108" s="4" t="s">
        <v>2095</v>
      </c>
      <c r="N108" s="5" t="s">
        <v>2096</v>
      </c>
      <c r="O108" s="4" t="n">
        <v>10</v>
      </c>
      <c r="P108" s="4" t="n">
        <v>1</v>
      </c>
      <c r="Q108" s="4" t="n">
        <v>1.2</v>
      </c>
      <c r="R108" s="5"/>
    </row>
    <row r="109" customFormat="false" ht="23.85" hidden="false" customHeight="false" outlineLevel="0" collapsed="false">
      <c r="A109" s="4" t="s">
        <v>1810</v>
      </c>
      <c r="B109" s="5" t="s">
        <v>2230</v>
      </c>
      <c r="C109" s="4" t="s">
        <v>82</v>
      </c>
      <c r="D109" s="4" t="s">
        <v>1785</v>
      </c>
      <c r="E109" s="4" t="s">
        <v>2223</v>
      </c>
      <c r="F109" s="5" t="s">
        <v>2223</v>
      </c>
      <c r="G109" s="5" t="s">
        <v>2168</v>
      </c>
      <c r="H109" s="4" t="s">
        <v>2169</v>
      </c>
      <c r="I109" s="4" t="s">
        <v>2018</v>
      </c>
      <c r="J109" s="5" t="s">
        <v>2170</v>
      </c>
      <c r="K109" s="4" t="n">
        <v>1000</v>
      </c>
      <c r="L109" s="4" t="n">
        <v>10</v>
      </c>
      <c r="M109" s="4" t="s">
        <v>2095</v>
      </c>
      <c r="N109" s="5" t="s">
        <v>2096</v>
      </c>
      <c r="O109" s="4" t="n">
        <v>10</v>
      </c>
      <c r="P109" s="4" t="n">
        <v>50</v>
      </c>
      <c r="Q109" s="4" t="n">
        <v>0.73</v>
      </c>
      <c r="R109" s="5"/>
    </row>
    <row r="110" customFormat="false" ht="23.85" hidden="false" customHeight="false" outlineLevel="0" collapsed="false">
      <c r="A110" s="4" t="s">
        <v>1813</v>
      </c>
      <c r="B110" s="5" t="s">
        <v>2231</v>
      </c>
      <c r="C110" s="4" t="s">
        <v>82</v>
      </c>
      <c r="D110" s="4" t="s">
        <v>1785</v>
      </c>
      <c r="E110" s="4" t="s">
        <v>2223</v>
      </c>
      <c r="F110" s="5" t="s">
        <v>2223</v>
      </c>
      <c r="G110" s="5" t="s">
        <v>2232</v>
      </c>
      <c r="H110" s="4" t="s">
        <v>2032</v>
      </c>
      <c r="I110" s="4" t="s">
        <v>2018</v>
      </c>
      <c r="J110" s="5" t="s">
        <v>2233</v>
      </c>
      <c r="K110" s="4" t="n">
        <v>15</v>
      </c>
      <c r="L110" s="4" t="n">
        <v>5</v>
      </c>
      <c r="M110" s="4" t="s">
        <v>2095</v>
      </c>
      <c r="N110" s="5" t="s">
        <v>2096</v>
      </c>
      <c r="O110" s="4" t="n">
        <v>10</v>
      </c>
      <c r="P110" s="4" t="n">
        <v>1</v>
      </c>
      <c r="Q110" s="4" t="n">
        <v>1.2</v>
      </c>
      <c r="R110" s="5"/>
    </row>
    <row r="111" customFormat="false" ht="23.85" hidden="false" customHeight="false" outlineLevel="0" collapsed="false">
      <c r="A111" s="4" t="s">
        <v>1816</v>
      </c>
      <c r="B111" s="5" t="s">
        <v>2234</v>
      </c>
      <c r="C111" s="4" t="s">
        <v>73</v>
      </c>
      <c r="D111" s="4" t="s">
        <v>1785</v>
      </c>
      <c r="E111" s="4" t="s">
        <v>2223</v>
      </c>
      <c r="F111" s="5" t="s">
        <v>2223</v>
      </c>
      <c r="G111" s="5" t="s">
        <v>2235</v>
      </c>
      <c r="H111" s="4" t="s">
        <v>2236</v>
      </c>
      <c r="I111" s="4" t="s">
        <v>2018</v>
      </c>
      <c r="J111" s="5" t="s">
        <v>2237</v>
      </c>
      <c r="K111" s="4" t="n">
        <v>16</v>
      </c>
      <c r="L111" s="4" t="n">
        <v>5</v>
      </c>
      <c r="M111" s="4" t="s">
        <v>2095</v>
      </c>
      <c r="N111" s="5" t="s">
        <v>2096</v>
      </c>
      <c r="O111" s="4" t="n">
        <v>10</v>
      </c>
      <c r="P111" s="4" t="n">
        <v>30</v>
      </c>
      <c r="Q111" s="4" t="n">
        <v>0.73</v>
      </c>
      <c r="R111" s="5"/>
    </row>
    <row r="112" customFormat="false" ht="23.85" hidden="false" customHeight="false" outlineLevel="0" collapsed="false">
      <c r="A112" s="4" t="s">
        <v>1818</v>
      </c>
      <c r="B112" s="5" t="s">
        <v>2238</v>
      </c>
      <c r="C112" s="4" t="s">
        <v>82</v>
      </c>
      <c r="D112" s="4" t="s">
        <v>1785</v>
      </c>
      <c r="E112" s="4" t="s">
        <v>2223</v>
      </c>
      <c r="F112" s="5" t="s">
        <v>2223</v>
      </c>
      <c r="G112" s="5" t="s">
        <v>2168</v>
      </c>
      <c r="H112" s="4" t="s">
        <v>2169</v>
      </c>
      <c r="I112" s="4" t="s">
        <v>2018</v>
      </c>
      <c r="J112" s="5" t="s">
        <v>2201</v>
      </c>
      <c r="K112" s="4" t="n">
        <v>500</v>
      </c>
      <c r="L112" s="4" t="n">
        <v>10</v>
      </c>
      <c r="M112" s="4" t="s">
        <v>2095</v>
      </c>
      <c r="N112" s="5" t="s">
        <v>2096</v>
      </c>
      <c r="O112" s="4" t="n">
        <v>10</v>
      </c>
      <c r="P112" s="4" t="n">
        <v>50</v>
      </c>
      <c r="Q112" s="4" t="n">
        <v>0.73</v>
      </c>
      <c r="R112" s="5"/>
    </row>
    <row r="113" customFormat="false" ht="23.85" hidden="false" customHeight="false" outlineLevel="0" collapsed="false">
      <c r="A113" s="4" t="s">
        <v>1890</v>
      </c>
      <c r="B113" s="5" t="s">
        <v>2239</v>
      </c>
      <c r="C113" s="4" t="s">
        <v>82</v>
      </c>
      <c r="D113" s="4" t="s">
        <v>1785</v>
      </c>
      <c r="E113" s="4" t="s">
        <v>2223</v>
      </c>
      <c r="F113" s="5" t="s">
        <v>2223</v>
      </c>
      <c r="G113" s="5" t="s">
        <v>2224</v>
      </c>
      <c r="H113" s="4" t="s">
        <v>2225</v>
      </c>
      <c r="I113" s="4" t="s">
        <v>2018</v>
      </c>
      <c r="J113" s="5" t="s">
        <v>2202</v>
      </c>
      <c r="K113" s="4" t="n">
        <v>100</v>
      </c>
      <c r="L113" s="4" t="n">
        <v>10</v>
      </c>
      <c r="M113" s="4" t="s">
        <v>2095</v>
      </c>
      <c r="N113" s="5" t="s">
        <v>2096</v>
      </c>
      <c r="O113" s="4" t="n">
        <v>10</v>
      </c>
      <c r="P113" s="4" t="n">
        <v>5</v>
      </c>
      <c r="Q113" s="4" t="n">
        <v>0.73</v>
      </c>
      <c r="R113" s="5"/>
    </row>
    <row r="114" customFormat="false" ht="23.85" hidden="false" customHeight="false" outlineLevel="0" collapsed="false">
      <c r="A114" s="4" t="s">
        <v>1885</v>
      </c>
      <c r="B114" s="5" t="s">
        <v>2240</v>
      </c>
      <c r="C114" s="4" t="s">
        <v>82</v>
      </c>
      <c r="D114" s="4" t="s">
        <v>1785</v>
      </c>
      <c r="E114" s="4" t="s">
        <v>2223</v>
      </c>
      <c r="F114" s="5" t="s">
        <v>2223</v>
      </c>
      <c r="G114" s="5" t="s">
        <v>2235</v>
      </c>
      <c r="H114" s="4" t="s">
        <v>2236</v>
      </c>
      <c r="I114" s="4" t="s">
        <v>2018</v>
      </c>
      <c r="J114" s="5" t="s">
        <v>2241</v>
      </c>
      <c r="K114" s="4" t="n">
        <v>100</v>
      </c>
      <c r="L114" s="4" t="n">
        <v>5</v>
      </c>
      <c r="M114" s="4" t="s">
        <v>2095</v>
      </c>
      <c r="N114" s="5" t="s">
        <v>2096</v>
      </c>
      <c r="O114" s="4" t="n">
        <v>10</v>
      </c>
      <c r="P114" s="4" t="n">
        <v>10</v>
      </c>
      <c r="Q114" s="4" t="n">
        <v>0.73</v>
      </c>
      <c r="R114" s="5"/>
    </row>
    <row r="115" customFormat="false" ht="23.85" hidden="false" customHeight="false" outlineLevel="0" collapsed="false">
      <c r="A115" s="4" t="s">
        <v>610</v>
      </c>
      <c r="B115" s="5" t="s">
        <v>2242</v>
      </c>
      <c r="C115" s="4" t="s">
        <v>82</v>
      </c>
      <c r="D115" s="4" t="s">
        <v>1785</v>
      </c>
      <c r="E115" s="4" t="s">
        <v>2223</v>
      </c>
      <c r="F115" s="5" t="s">
        <v>2223</v>
      </c>
      <c r="G115" s="5" t="s">
        <v>2243</v>
      </c>
      <c r="H115" s="4" t="s">
        <v>2032</v>
      </c>
      <c r="I115" s="4" t="s">
        <v>2244</v>
      </c>
      <c r="J115" s="5" t="s">
        <v>2245</v>
      </c>
      <c r="K115" s="4" t="n">
        <v>5000</v>
      </c>
      <c r="L115" s="4" t="n">
        <v>10</v>
      </c>
      <c r="M115" s="4" t="s">
        <v>2095</v>
      </c>
      <c r="N115" s="5" t="s">
        <v>2096</v>
      </c>
      <c r="O115" s="4" t="n">
        <v>10</v>
      </c>
      <c r="P115" s="4" t="n">
        <v>4</v>
      </c>
      <c r="Q115" s="4" t="n">
        <v>0.73</v>
      </c>
      <c r="R115" s="5"/>
    </row>
    <row r="116" customFormat="false" ht="23.85" hidden="false" customHeight="false" outlineLevel="0" collapsed="false">
      <c r="A116" s="4" t="s">
        <v>710</v>
      </c>
      <c r="B116" s="5" t="s">
        <v>2246</v>
      </c>
      <c r="C116" s="4" t="s">
        <v>82</v>
      </c>
      <c r="D116" s="4" t="s">
        <v>1785</v>
      </c>
      <c r="E116" s="4" t="s">
        <v>2223</v>
      </c>
      <c r="F116" s="5" t="s">
        <v>2223</v>
      </c>
      <c r="G116" s="5" t="s">
        <v>2243</v>
      </c>
      <c r="H116" s="4" t="s">
        <v>2032</v>
      </c>
      <c r="I116" s="4" t="s">
        <v>2244</v>
      </c>
      <c r="J116" s="5" t="s">
        <v>2245</v>
      </c>
      <c r="K116" s="4" t="n">
        <v>5000</v>
      </c>
      <c r="L116" s="4" t="n">
        <v>10</v>
      </c>
      <c r="M116" s="4" t="s">
        <v>2095</v>
      </c>
      <c r="N116" s="5" t="s">
        <v>2096</v>
      </c>
      <c r="O116" s="4" t="n">
        <v>10</v>
      </c>
      <c r="P116" s="4" t="n">
        <v>4</v>
      </c>
      <c r="Q116" s="4" t="n">
        <v>0.73</v>
      </c>
      <c r="R116" s="5"/>
    </row>
    <row r="117" customFormat="false" ht="23.85" hidden="false" customHeight="false" outlineLevel="0" collapsed="false">
      <c r="A117" s="4" t="s">
        <v>1225</v>
      </c>
      <c r="B117" s="5" t="s">
        <v>2247</v>
      </c>
      <c r="C117" s="4" t="s">
        <v>82</v>
      </c>
      <c r="D117" s="4" t="s">
        <v>1785</v>
      </c>
      <c r="E117" s="4" t="s">
        <v>2223</v>
      </c>
      <c r="F117" s="5" t="s">
        <v>2223</v>
      </c>
      <c r="G117" s="5" t="s">
        <v>2243</v>
      </c>
      <c r="H117" s="4" t="s">
        <v>2032</v>
      </c>
      <c r="I117" s="4" t="s">
        <v>2244</v>
      </c>
      <c r="J117" s="5" t="s">
        <v>2119</v>
      </c>
      <c r="K117" s="4" t="n">
        <v>500</v>
      </c>
      <c r="L117" s="4" t="n">
        <v>10</v>
      </c>
      <c r="M117" s="4" t="s">
        <v>2095</v>
      </c>
      <c r="N117" s="5" t="s">
        <v>2096</v>
      </c>
      <c r="O117" s="4" t="n">
        <v>10</v>
      </c>
      <c r="P117" s="4" t="n">
        <v>4</v>
      </c>
      <c r="Q117" s="4" t="n">
        <v>0.73</v>
      </c>
      <c r="R117" s="5"/>
    </row>
    <row r="118" customFormat="false" ht="15" hidden="false" customHeight="false" outlineLevel="0" collapsed="false">
      <c r="A118" s="4" t="s">
        <v>1881</v>
      </c>
      <c r="B118" s="5" t="s">
        <v>2248</v>
      </c>
      <c r="C118" s="4" t="s">
        <v>82</v>
      </c>
      <c r="D118" s="4" t="s">
        <v>1785</v>
      </c>
      <c r="E118" s="4" t="s">
        <v>2249</v>
      </c>
      <c r="F118" s="5" t="s">
        <v>2250</v>
      </c>
      <c r="G118" s="5" t="s">
        <v>2251</v>
      </c>
      <c r="H118" s="4" t="s">
        <v>2252</v>
      </c>
      <c r="I118" s="4" t="s">
        <v>1967</v>
      </c>
      <c r="J118" s="5" t="s">
        <v>5</v>
      </c>
      <c r="K118" s="4" t="n">
        <v>1</v>
      </c>
      <c r="L118" s="4" t="n">
        <v>5</v>
      </c>
      <c r="M118" s="4" t="s">
        <v>2047</v>
      </c>
      <c r="N118" s="5" t="s">
        <v>2253</v>
      </c>
      <c r="O118" s="4" t="n">
        <v>5</v>
      </c>
      <c r="P118" s="4" t="n">
        <v>0</v>
      </c>
      <c r="Q118" s="4" t="n">
        <v>0</v>
      </c>
      <c r="R118" s="5" t="s">
        <v>2254</v>
      </c>
    </row>
    <row r="119" customFormat="false" ht="15" hidden="false" customHeight="false" outlineLevel="0" collapsed="false">
      <c r="A119" s="4" t="s">
        <v>1901</v>
      </c>
      <c r="B119" s="5" t="s">
        <v>2255</v>
      </c>
      <c r="C119" s="4" t="s">
        <v>82</v>
      </c>
      <c r="D119" s="4" t="s">
        <v>1785</v>
      </c>
      <c r="E119" s="4" t="s">
        <v>2249</v>
      </c>
      <c r="F119" s="5" t="s">
        <v>2250</v>
      </c>
      <c r="G119" s="5" t="s">
        <v>2251</v>
      </c>
      <c r="H119" s="4" t="s">
        <v>2252</v>
      </c>
      <c r="I119" s="4" t="s">
        <v>1967</v>
      </c>
      <c r="J119" s="5" t="s">
        <v>5</v>
      </c>
      <c r="K119" s="4" t="n">
        <v>1</v>
      </c>
      <c r="L119" s="4" t="n">
        <v>5</v>
      </c>
      <c r="M119" s="4" t="s">
        <v>2047</v>
      </c>
      <c r="N119" s="5" t="s">
        <v>2253</v>
      </c>
      <c r="O119" s="4" t="n">
        <v>5</v>
      </c>
      <c r="P119" s="4" t="n">
        <v>0</v>
      </c>
      <c r="Q119" s="4" t="n">
        <v>0</v>
      </c>
      <c r="R119" s="5" t="s">
        <v>2254</v>
      </c>
    </row>
    <row r="120" customFormat="false" ht="15" hidden="false" customHeight="false" outlineLevel="0" collapsed="false">
      <c r="A120" s="4" t="s">
        <v>1918</v>
      </c>
      <c r="B120" s="5" t="s">
        <v>2256</v>
      </c>
      <c r="C120" s="4" t="s">
        <v>82</v>
      </c>
      <c r="D120" s="4" t="s">
        <v>1785</v>
      </c>
      <c r="E120" s="4" t="s">
        <v>2249</v>
      </c>
      <c r="F120" s="5" t="s">
        <v>2250</v>
      </c>
      <c r="G120" s="5" t="s">
        <v>2251</v>
      </c>
      <c r="H120" s="4" t="s">
        <v>2252</v>
      </c>
      <c r="I120" s="4" t="s">
        <v>1967</v>
      </c>
      <c r="J120" s="5" t="s">
        <v>5</v>
      </c>
      <c r="K120" s="4" t="n">
        <v>1</v>
      </c>
      <c r="L120" s="4" t="n">
        <v>5</v>
      </c>
      <c r="M120" s="4" t="s">
        <v>2047</v>
      </c>
      <c r="N120" s="5" t="s">
        <v>2253</v>
      </c>
      <c r="O120" s="4" t="n">
        <v>5</v>
      </c>
      <c r="P120" s="4" t="n">
        <v>0</v>
      </c>
      <c r="Q120" s="4" t="n">
        <v>0</v>
      </c>
      <c r="R120" s="5" t="s">
        <v>2254</v>
      </c>
    </row>
    <row r="121" customFormat="false" ht="15" hidden="false" customHeight="false" outlineLevel="0" collapsed="false">
      <c r="A121" s="4" t="s">
        <v>1924</v>
      </c>
      <c r="B121" s="5" t="s">
        <v>2257</v>
      </c>
      <c r="C121" s="4" t="s">
        <v>82</v>
      </c>
      <c r="D121" s="4" t="s">
        <v>1785</v>
      </c>
      <c r="E121" s="4" t="s">
        <v>2249</v>
      </c>
      <c r="F121" s="5" t="s">
        <v>2250</v>
      </c>
      <c r="G121" s="5" t="s">
        <v>2251</v>
      </c>
      <c r="H121" s="4" t="s">
        <v>2252</v>
      </c>
      <c r="I121" s="4" t="s">
        <v>1967</v>
      </c>
      <c r="J121" s="5" t="s">
        <v>5</v>
      </c>
      <c r="K121" s="4" t="n">
        <v>1</v>
      </c>
      <c r="L121" s="4" t="n">
        <v>5</v>
      </c>
      <c r="M121" s="4" t="s">
        <v>2047</v>
      </c>
      <c r="N121" s="5" t="s">
        <v>2253</v>
      </c>
      <c r="O121" s="4" t="n">
        <v>5</v>
      </c>
      <c r="P121" s="4" t="n">
        <v>0</v>
      </c>
      <c r="Q121" s="4" t="n">
        <v>0</v>
      </c>
      <c r="R121" s="5" t="s">
        <v>2254</v>
      </c>
    </row>
    <row r="122" customFormat="false" ht="23.85" hidden="false" customHeight="false" outlineLevel="0" collapsed="false">
      <c r="A122" s="4" t="s">
        <v>1329</v>
      </c>
      <c r="B122" s="5" t="s">
        <v>2258</v>
      </c>
      <c r="C122" s="4" t="s">
        <v>82</v>
      </c>
      <c r="D122" s="4" t="s">
        <v>1785</v>
      </c>
      <c r="E122" s="4" t="s">
        <v>2259</v>
      </c>
      <c r="F122" s="5" t="s">
        <v>2260</v>
      </c>
      <c r="G122" s="5" t="s">
        <v>2198</v>
      </c>
      <c r="H122" s="4" t="s">
        <v>2261</v>
      </c>
      <c r="I122" s="4" t="s">
        <v>2018</v>
      </c>
      <c r="J122" s="5" t="s">
        <v>5</v>
      </c>
      <c r="K122" s="4" t="n">
        <v>1</v>
      </c>
      <c r="L122" s="4" t="n">
        <v>15</v>
      </c>
      <c r="M122" s="4" t="s">
        <v>2047</v>
      </c>
      <c r="N122" s="5" t="s">
        <v>2262</v>
      </c>
      <c r="O122" s="4" t="n">
        <v>10</v>
      </c>
      <c r="P122" s="4" t="n">
        <v>24</v>
      </c>
      <c r="Q122" s="4" t="n">
        <v>0.73</v>
      </c>
      <c r="R122" s="5" t="s">
        <v>2263</v>
      </c>
    </row>
    <row r="123" customFormat="false" ht="23.85" hidden="false" customHeight="false" outlineLevel="0" collapsed="false">
      <c r="A123" s="4" t="s">
        <v>1333</v>
      </c>
      <c r="B123" s="5" t="s">
        <v>2264</v>
      </c>
      <c r="C123" s="4" t="s">
        <v>82</v>
      </c>
      <c r="D123" s="4" t="s">
        <v>1785</v>
      </c>
      <c r="E123" s="4" t="s">
        <v>2259</v>
      </c>
      <c r="F123" s="5" t="s">
        <v>2260</v>
      </c>
      <c r="G123" s="5" t="s">
        <v>2198</v>
      </c>
      <c r="H123" s="4" t="s">
        <v>2261</v>
      </c>
      <c r="I123" s="4" t="s">
        <v>2018</v>
      </c>
      <c r="J123" s="5" t="s">
        <v>5</v>
      </c>
      <c r="K123" s="4" t="n">
        <v>1</v>
      </c>
      <c r="L123" s="4" t="n">
        <v>15</v>
      </c>
      <c r="M123" s="4" t="s">
        <v>2047</v>
      </c>
      <c r="N123" s="5" t="s">
        <v>2262</v>
      </c>
      <c r="O123" s="4" t="n">
        <v>10</v>
      </c>
      <c r="P123" s="4" t="n">
        <v>24</v>
      </c>
      <c r="Q123" s="4" t="n">
        <v>0.73</v>
      </c>
      <c r="R123" s="5" t="s">
        <v>2263</v>
      </c>
    </row>
    <row r="124" customFormat="false" ht="23.85" hidden="false" customHeight="false" outlineLevel="0" collapsed="false">
      <c r="A124" s="4" t="s">
        <v>1334</v>
      </c>
      <c r="B124" s="5" t="s">
        <v>2265</v>
      </c>
      <c r="C124" s="4" t="s">
        <v>82</v>
      </c>
      <c r="D124" s="4" t="s">
        <v>1785</v>
      </c>
      <c r="E124" s="4" t="s">
        <v>2259</v>
      </c>
      <c r="F124" s="5" t="s">
        <v>2260</v>
      </c>
      <c r="G124" s="5" t="s">
        <v>2198</v>
      </c>
      <c r="H124" s="4" t="s">
        <v>2261</v>
      </c>
      <c r="I124" s="4" t="s">
        <v>2018</v>
      </c>
      <c r="J124" s="5" t="s">
        <v>5</v>
      </c>
      <c r="K124" s="4" t="n">
        <v>1</v>
      </c>
      <c r="L124" s="4" t="n">
        <v>15</v>
      </c>
      <c r="M124" s="4" t="s">
        <v>2047</v>
      </c>
      <c r="N124" s="5" t="s">
        <v>2262</v>
      </c>
      <c r="O124" s="4" t="n">
        <v>10</v>
      </c>
      <c r="P124" s="4" t="n">
        <v>2</v>
      </c>
      <c r="Q124" s="4" t="n">
        <v>0.73</v>
      </c>
      <c r="R124" s="5" t="s">
        <v>2263</v>
      </c>
    </row>
    <row r="125" customFormat="false" ht="23.85" hidden="false" customHeight="false" outlineLevel="0" collapsed="false">
      <c r="A125" s="4" t="s">
        <v>1335</v>
      </c>
      <c r="B125" s="5" t="s">
        <v>2266</v>
      </c>
      <c r="C125" s="4" t="s">
        <v>82</v>
      </c>
      <c r="D125" s="4" t="s">
        <v>1785</v>
      </c>
      <c r="E125" s="4" t="s">
        <v>2259</v>
      </c>
      <c r="F125" s="5" t="s">
        <v>2260</v>
      </c>
      <c r="G125" s="5" t="s">
        <v>2198</v>
      </c>
      <c r="H125" s="4" t="s">
        <v>2267</v>
      </c>
      <c r="I125" s="4" t="s">
        <v>2018</v>
      </c>
      <c r="J125" s="5" t="s">
        <v>5</v>
      </c>
      <c r="K125" s="4" t="n">
        <v>1</v>
      </c>
      <c r="L125" s="4" t="n">
        <v>15</v>
      </c>
      <c r="M125" s="4" t="s">
        <v>2047</v>
      </c>
      <c r="N125" s="5" t="s">
        <v>2262</v>
      </c>
      <c r="O125" s="4" t="n">
        <v>10</v>
      </c>
      <c r="P125" s="4" t="n">
        <v>40</v>
      </c>
      <c r="Q125" s="4" t="n">
        <v>0.73</v>
      </c>
      <c r="R125" s="5" t="s">
        <v>2263</v>
      </c>
    </row>
    <row r="126" customFormat="false" ht="23.85" hidden="false" customHeight="false" outlineLevel="0" collapsed="false">
      <c r="A126" s="4" t="s">
        <v>1336</v>
      </c>
      <c r="B126" s="5" t="s">
        <v>2268</v>
      </c>
      <c r="C126" s="4" t="s">
        <v>82</v>
      </c>
      <c r="D126" s="4" t="s">
        <v>1785</v>
      </c>
      <c r="E126" s="4" t="s">
        <v>2259</v>
      </c>
      <c r="F126" s="5" t="s">
        <v>2260</v>
      </c>
      <c r="G126" s="5" t="s">
        <v>2198</v>
      </c>
      <c r="H126" s="4" t="s">
        <v>2261</v>
      </c>
      <c r="I126" s="4" t="s">
        <v>2018</v>
      </c>
      <c r="J126" s="5" t="s">
        <v>5</v>
      </c>
      <c r="K126" s="4" t="n">
        <v>1</v>
      </c>
      <c r="L126" s="4" t="n">
        <v>15</v>
      </c>
      <c r="M126" s="4" t="s">
        <v>2047</v>
      </c>
      <c r="N126" s="5" t="s">
        <v>2262</v>
      </c>
      <c r="O126" s="4" t="n">
        <v>10</v>
      </c>
      <c r="P126" s="4" t="n">
        <v>30</v>
      </c>
      <c r="Q126" s="4" t="n">
        <v>0.73</v>
      </c>
      <c r="R126" s="5" t="s">
        <v>2263</v>
      </c>
    </row>
    <row r="127" customFormat="false" ht="23.85" hidden="false" customHeight="false" outlineLevel="0" collapsed="false">
      <c r="A127" s="4" t="s">
        <v>1337</v>
      </c>
      <c r="B127" s="5" t="s">
        <v>2269</v>
      </c>
      <c r="C127" s="4" t="s">
        <v>82</v>
      </c>
      <c r="D127" s="4" t="s">
        <v>1785</v>
      </c>
      <c r="E127" s="4" t="s">
        <v>2259</v>
      </c>
      <c r="F127" s="5" t="s">
        <v>2260</v>
      </c>
      <c r="G127" s="5" t="s">
        <v>2122</v>
      </c>
      <c r="H127" s="4" t="s">
        <v>2198</v>
      </c>
      <c r="I127" s="4" t="s">
        <v>2018</v>
      </c>
      <c r="J127" s="5" t="s">
        <v>5</v>
      </c>
      <c r="K127" s="4" t="n">
        <v>1</v>
      </c>
      <c r="L127" s="4" t="n">
        <v>15</v>
      </c>
      <c r="M127" s="4" t="s">
        <v>2047</v>
      </c>
      <c r="N127" s="5" t="s">
        <v>2262</v>
      </c>
      <c r="O127" s="4" t="n">
        <v>10</v>
      </c>
      <c r="P127" s="4" t="n">
        <v>48</v>
      </c>
      <c r="Q127" s="4" t="n">
        <v>0.73</v>
      </c>
      <c r="R127" s="5" t="s">
        <v>2263</v>
      </c>
    </row>
    <row r="128" customFormat="false" ht="23.85" hidden="false" customHeight="false" outlineLevel="0" collapsed="false">
      <c r="A128" s="4" t="s">
        <v>1338</v>
      </c>
      <c r="B128" s="5" t="s">
        <v>2270</v>
      </c>
      <c r="C128" s="4" t="s">
        <v>82</v>
      </c>
      <c r="D128" s="4" t="s">
        <v>1785</v>
      </c>
      <c r="E128" s="4" t="s">
        <v>2259</v>
      </c>
      <c r="F128" s="5" t="s">
        <v>2260</v>
      </c>
      <c r="G128" s="5" t="s">
        <v>2122</v>
      </c>
      <c r="H128" s="4" t="s">
        <v>2198</v>
      </c>
      <c r="I128" s="4" t="s">
        <v>2018</v>
      </c>
      <c r="J128" s="5" t="s">
        <v>5</v>
      </c>
      <c r="K128" s="4" t="n">
        <v>1</v>
      </c>
      <c r="L128" s="4" t="n">
        <v>15</v>
      </c>
      <c r="M128" s="4" t="s">
        <v>2047</v>
      </c>
      <c r="N128" s="5" t="s">
        <v>2262</v>
      </c>
      <c r="O128" s="4" t="n">
        <v>10</v>
      </c>
      <c r="P128" s="4" t="n">
        <v>24</v>
      </c>
      <c r="Q128" s="4" t="n">
        <v>0.73</v>
      </c>
      <c r="R128" s="5" t="s">
        <v>2263</v>
      </c>
    </row>
    <row r="129" customFormat="false" ht="23.85" hidden="false" customHeight="false" outlineLevel="0" collapsed="false">
      <c r="A129" s="4" t="s">
        <v>1339</v>
      </c>
      <c r="B129" s="5" t="s">
        <v>2271</v>
      </c>
      <c r="C129" s="4" t="s">
        <v>82</v>
      </c>
      <c r="D129" s="4" t="s">
        <v>1785</v>
      </c>
      <c r="E129" s="4" t="s">
        <v>2259</v>
      </c>
      <c r="F129" s="5" t="s">
        <v>2260</v>
      </c>
      <c r="G129" s="5" t="s">
        <v>2198</v>
      </c>
      <c r="H129" s="4" t="s">
        <v>2267</v>
      </c>
      <c r="I129" s="4" t="s">
        <v>2018</v>
      </c>
      <c r="J129" s="5" t="s">
        <v>5</v>
      </c>
      <c r="K129" s="4" t="n">
        <v>1</v>
      </c>
      <c r="L129" s="4" t="n">
        <v>15</v>
      </c>
      <c r="M129" s="4" t="s">
        <v>2047</v>
      </c>
      <c r="N129" s="5" t="s">
        <v>2262</v>
      </c>
      <c r="O129" s="4" t="n">
        <v>10</v>
      </c>
      <c r="P129" s="4" t="n">
        <v>40</v>
      </c>
      <c r="Q129" s="4" t="n">
        <v>0.73</v>
      </c>
      <c r="R129" s="5" t="s">
        <v>2263</v>
      </c>
    </row>
    <row r="130" customFormat="false" ht="23.85" hidden="false" customHeight="false" outlineLevel="0" collapsed="false">
      <c r="A130" s="4" t="s">
        <v>1340</v>
      </c>
      <c r="B130" s="5" t="s">
        <v>2272</v>
      </c>
      <c r="C130" s="4" t="s">
        <v>82</v>
      </c>
      <c r="D130" s="4" t="s">
        <v>1785</v>
      </c>
      <c r="E130" s="4" t="s">
        <v>2259</v>
      </c>
      <c r="F130" s="5" t="s">
        <v>2260</v>
      </c>
      <c r="G130" s="5" t="s">
        <v>2198</v>
      </c>
      <c r="H130" s="4" t="s">
        <v>2267</v>
      </c>
      <c r="I130" s="4" t="s">
        <v>2018</v>
      </c>
      <c r="J130" s="5" t="s">
        <v>5</v>
      </c>
      <c r="K130" s="4" t="n">
        <v>1</v>
      </c>
      <c r="L130" s="4" t="n">
        <v>15</v>
      </c>
      <c r="M130" s="4" t="s">
        <v>2047</v>
      </c>
      <c r="N130" s="5" t="s">
        <v>2262</v>
      </c>
      <c r="O130" s="4" t="n">
        <v>10</v>
      </c>
      <c r="P130" s="4" t="n">
        <v>24</v>
      </c>
      <c r="Q130" s="4" t="n">
        <v>0.73</v>
      </c>
      <c r="R130" s="5" t="s">
        <v>2263</v>
      </c>
    </row>
  </sheetData>
  <autoFilter ref="A3:R13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2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2273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8" t="n">
        <v>0</v>
      </c>
      <c r="B4" s="38" t="s">
        <v>492</v>
      </c>
      <c r="C4" s="38" t="s">
        <v>1962</v>
      </c>
      <c r="D4" s="38" t="s">
        <v>1737</v>
      </c>
      <c r="E4" s="38"/>
      <c r="F4" s="38"/>
      <c r="G4" s="38"/>
      <c r="H4" s="39" t="n">
        <f aca="false">SUM(H5:H6)</f>
        <v>181.684197521739</v>
      </c>
      <c r="I4" s="39" t="n">
        <f aca="false">SUM(I5:I6)</f>
        <v>260.752346826087</v>
      </c>
      <c r="J4" s="39" t="n">
        <f aca="false">SUM(J5:J6)</f>
        <v>631.049902521739</v>
      </c>
      <c r="K4" s="39" t="n">
        <f aca="false">SUM(K5:K6)</f>
        <v>1528.77980647826</v>
      </c>
      <c r="L4" s="39" t="n">
        <f aca="false">SUM(L5:L6)</f>
        <v>2700.6709873913</v>
      </c>
      <c r="M4" s="39" t="n">
        <f aca="false">SUM(M5:M6)</f>
        <v>3795.6718726087</v>
      </c>
      <c r="N4" s="39" t="n">
        <f aca="false">SUM(N5:N6)</f>
        <v>5290.13709826087</v>
      </c>
      <c r="O4" s="39" t="n">
        <f aca="false">SUM(O5:O6)</f>
        <v>6788.39471652174</v>
      </c>
      <c r="P4" s="39" t="n">
        <f aca="false">SUM(P5:P6)</f>
        <v>7625.78852782609</v>
      </c>
      <c r="Q4" s="39" t="n">
        <f aca="false">SUM(Q5:Q6)</f>
        <v>8809.59300565217</v>
      </c>
      <c r="R4" s="38"/>
    </row>
    <row r="5" customFormat="false" ht="15" hidden="false" customHeight="false" outlineLevel="1" collapsed="false">
      <c r="A5" s="24" t="n">
        <v>1</v>
      </c>
      <c r="B5" s="24" t="s">
        <v>492</v>
      </c>
      <c r="C5" s="40" t="s">
        <v>2280</v>
      </c>
      <c r="D5" s="24" t="s">
        <v>1737</v>
      </c>
      <c r="E5" s="24" t="s">
        <v>230</v>
      </c>
      <c r="F5" s="41" t="n">
        <f aca="false">INDEX((BOM_COEF!R4~BOM_COEF!S4~BOM_COEF!T4~BOM_COEF!U4~BOM_COEF!V4~BOM_COEF!W4~BOM_COEF!X4~BOM_COEF!Y4~BOM_COEF!Z4~BOM_COEF!AA4),1,1,INDEX(P_VAL,MATCH("AÑO_DIS",P_ID,0))-2025)</f>
        <v>0.0434782608695652</v>
      </c>
      <c r="G5" s="24" t="s">
        <v>2281</v>
      </c>
      <c r="H5" s="42" t="n">
        <f aca="false">BOM_COEF!R4*DEMANDA!F4</f>
        <v>181.684197521739</v>
      </c>
      <c r="I5" s="42" t="n">
        <f aca="false">BOM_COEF!S4*DEMANDA!G4</f>
        <v>260.752346826087</v>
      </c>
      <c r="J5" s="42" t="n">
        <f aca="false">BOM_COEF!T4*DEMANDA!H4</f>
        <v>297.902076434783</v>
      </c>
      <c r="K5" s="42" t="n">
        <f aca="false">BOM_COEF!U4*DEMANDA!I4</f>
        <v>368.136328217391</v>
      </c>
      <c r="L5" s="42" t="n">
        <f aca="false">BOM_COEF!V4*DEMANDA!J4</f>
        <v>551.331856956522</v>
      </c>
      <c r="M5" s="42" t="n">
        <f aca="false">BOM_COEF!W4*DEMANDA!K4</f>
        <v>679.141437826087</v>
      </c>
      <c r="N5" s="42" t="n">
        <f aca="false">BOM_COEF!X4*DEMANDA!L4</f>
        <v>884.024054782609</v>
      </c>
      <c r="O5" s="42" t="n">
        <f aca="false">BOM_COEF!Y4*DEMANDA!M4</f>
        <v>1092.69906434783</v>
      </c>
      <c r="P5" s="42" t="n">
        <f aca="false">BOM_COEF!Z4*DEMANDA!N4</f>
        <v>1242.3189626087</v>
      </c>
      <c r="Q5" s="42" t="n">
        <f aca="false">BOM_COEF!AA4*DEMANDA!O4</f>
        <v>1394.46257086957</v>
      </c>
      <c r="R5" s="24" t="s">
        <v>2282</v>
      </c>
    </row>
    <row r="6" customFormat="false" ht="15" hidden="false" customHeight="false" outlineLevel="1" collapsed="false">
      <c r="A6" s="24" t="n">
        <v>1</v>
      </c>
      <c r="B6" s="24" t="s">
        <v>492</v>
      </c>
      <c r="C6" s="40" t="s">
        <v>2283</v>
      </c>
      <c r="D6" s="24" t="s">
        <v>1737</v>
      </c>
      <c r="E6" s="24" t="s">
        <v>258</v>
      </c>
      <c r="F6" s="41" t="n">
        <f aca="false">INDEX((BOM_COEF!R34~BOM_COEF!S34~BOM_COEF!T34~BOM_COEF!U34~BOM_COEF!V34~BOM_COEF!W34~BOM_COEF!X34~BOM_COEF!Y34~BOM_COEF!Z34~BOM_COEF!AA34),1,1,INDEX(P_VAL,MATCH("AÑO_DIS",P_ID,0))-2025)</f>
        <v>0.0434782608695652</v>
      </c>
      <c r="G6" s="24" t="s">
        <v>2281</v>
      </c>
      <c r="H6" s="42" t="n">
        <f aca="false">BOM_COEF!R34*DEMANDA!F12</f>
        <v>0</v>
      </c>
      <c r="I6" s="42" t="n">
        <f aca="false">BOM_COEF!S34*DEMANDA!G12</f>
        <v>0</v>
      </c>
      <c r="J6" s="42" t="n">
        <f aca="false">BOM_COEF!T34*DEMANDA!H12</f>
        <v>333.147826086957</v>
      </c>
      <c r="K6" s="42" t="n">
        <f aca="false">BOM_COEF!U34*DEMANDA!I12</f>
        <v>1160.64347826087</v>
      </c>
      <c r="L6" s="42" t="n">
        <f aca="false">BOM_COEF!V34*DEMANDA!J12</f>
        <v>2149.33913043478</v>
      </c>
      <c r="M6" s="42" t="n">
        <f aca="false">BOM_COEF!W34*DEMANDA!K12</f>
        <v>3116.53043478261</v>
      </c>
      <c r="N6" s="42" t="n">
        <f aca="false">BOM_COEF!X34*DEMANDA!L12</f>
        <v>4406.11304347826</v>
      </c>
      <c r="O6" s="42" t="n">
        <f aca="false">BOM_COEF!Y34*DEMANDA!M12</f>
        <v>5695.69565217391</v>
      </c>
      <c r="P6" s="42" t="n">
        <f aca="false">BOM_COEF!Z34*DEMANDA!N12</f>
        <v>6383.46956521739</v>
      </c>
      <c r="Q6" s="42" t="n">
        <f aca="false">BOM_COEF!AA34*DEMANDA!O12</f>
        <v>7415.13043478261</v>
      </c>
      <c r="R6" s="24" t="s">
        <v>2284</v>
      </c>
    </row>
    <row r="7" customFormat="false" ht="15" hidden="false" customHeight="false" outlineLevel="0" collapsed="false">
      <c r="A7" s="38" t="n">
        <v>0</v>
      </c>
      <c r="B7" s="38" t="s">
        <v>617</v>
      </c>
      <c r="C7" s="38" t="s">
        <v>1972</v>
      </c>
      <c r="D7" s="38" t="s">
        <v>1748</v>
      </c>
      <c r="E7" s="38"/>
      <c r="F7" s="38"/>
      <c r="G7" s="38"/>
      <c r="H7" s="39" t="n">
        <f aca="false">SUM(H8:H9)</f>
        <v>10.9270502666667</v>
      </c>
      <c r="I7" s="39" t="n">
        <f aca="false">SUM(I8:I9)</f>
        <v>26.286201862963</v>
      </c>
      <c r="J7" s="39" t="n">
        <f aca="false">SUM(J8:J9)</f>
        <v>47.6469650962963</v>
      </c>
      <c r="K7" s="39" t="n">
        <f aca="false">SUM(K8:K9)</f>
        <v>94.2384508888889</v>
      </c>
      <c r="L7" s="39" t="n">
        <f aca="false">SUM(L8:L9)</f>
        <v>157.245471333333</v>
      </c>
      <c r="M7" s="39" t="n">
        <f aca="false">SUM(M8:M9)</f>
        <v>224.291477296296</v>
      </c>
      <c r="N7" s="39" t="n">
        <f aca="false">SUM(N8:N9)</f>
        <v>298.715389777778</v>
      </c>
      <c r="O7" s="39" t="n">
        <f aca="false">SUM(O8:O9)</f>
        <v>378.789132851852</v>
      </c>
      <c r="P7" s="39" t="n">
        <f aca="false">SUM(P8:P9)</f>
        <v>442.095786777778</v>
      </c>
      <c r="Q7" s="39" t="n">
        <f aca="false">SUM(Q8:Q9)</f>
        <v>521.994757185185</v>
      </c>
      <c r="R7" s="38"/>
    </row>
    <row r="8" customFormat="false" ht="15" hidden="false" customHeight="false" outlineLevel="1" collapsed="false">
      <c r="A8" s="24" t="n">
        <v>1</v>
      </c>
      <c r="B8" s="24" t="s">
        <v>617</v>
      </c>
      <c r="C8" s="40" t="s">
        <v>2285</v>
      </c>
      <c r="D8" s="24" t="s">
        <v>1748</v>
      </c>
      <c r="E8" s="24" t="s">
        <v>234</v>
      </c>
      <c r="F8" s="41" t="n">
        <f aca="false">INDEX((BOM_COEF!R40~BOM_COEF!S40~BOM_COEF!T40~BOM_COEF!U40~BOM_COEF!V40~BOM_COEF!W40~BOM_COEF!X40~BOM_COEF!Y40~BOM_COEF!Z40~BOM_COEF!AA40),1,1,INDEX(P_VAL,MATCH("AÑO_DIS",P_ID,0))-2025)</f>
        <v>0.037037037037037</v>
      </c>
      <c r="G8" s="24" t="s">
        <v>2281</v>
      </c>
      <c r="H8" s="42" t="n">
        <f aca="false">BOM_COEF!R40*DEMANDA!F5</f>
        <v>10.9270502666667</v>
      </c>
      <c r="I8" s="42" t="n">
        <f aca="false">BOM_COEF!S40*DEMANDA!G5</f>
        <v>26.286201862963</v>
      </c>
      <c r="J8" s="42" t="n">
        <f aca="false">BOM_COEF!T40*DEMANDA!H5</f>
        <v>36.5506688</v>
      </c>
      <c r="K8" s="42" t="n">
        <f aca="false">BOM_COEF!U40*DEMANDA!I5</f>
        <v>55.5791916296296</v>
      </c>
      <c r="L8" s="42" t="n">
        <f aca="false">BOM_COEF!V40*DEMANDA!J5</f>
        <v>85.6528787407408</v>
      </c>
      <c r="M8" s="42" t="n">
        <f aca="false">BOM_COEF!W40*DEMANDA!K5</f>
        <v>120.476662481481</v>
      </c>
      <c r="N8" s="42" t="n">
        <f aca="false">BOM_COEF!X40*DEMANDA!L5</f>
        <v>151.937612</v>
      </c>
      <c r="O8" s="42" t="n">
        <f aca="false">BOM_COEF!Y40*DEMANDA!M5</f>
        <v>189.048392111111</v>
      </c>
      <c r="P8" s="42" t="n">
        <f aca="false">BOM_COEF!Z40*DEMANDA!N5</f>
        <v>229.451342333333</v>
      </c>
      <c r="Q8" s="42" t="n">
        <f aca="false">BOM_COEF!AA40*DEMANDA!O5</f>
        <v>274.994757185185</v>
      </c>
      <c r="R8" s="24" t="s">
        <v>2286</v>
      </c>
    </row>
    <row r="9" customFormat="false" ht="15" hidden="false" customHeight="false" outlineLevel="1" collapsed="false">
      <c r="A9" s="24" t="n">
        <v>1</v>
      </c>
      <c r="B9" s="24" t="s">
        <v>617</v>
      </c>
      <c r="C9" s="40" t="s">
        <v>2287</v>
      </c>
      <c r="D9" s="24" t="s">
        <v>1748</v>
      </c>
      <c r="E9" s="24" t="s">
        <v>261</v>
      </c>
      <c r="F9" s="41" t="n">
        <f aca="false">INDEX((BOM_COEF!R75~BOM_COEF!S75~BOM_COEF!T75~BOM_COEF!U75~BOM_COEF!V75~BOM_COEF!W75~BOM_COEF!X75~BOM_COEF!Y75~BOM_COEF!Z75~BOM_COEF!AA75),1,1,INDEX(P_VAL,MATCH("AÑO_DIS",P_ID,0))-2025)</f>
        <v>0.037037037037037</v>
      </c>
      <c r="G9" s="24" t="s">
        <v>2281</v>
      </c>
      <c r="H9" s="42" t="n">
        <f aca="false">BOM_COEF!R75*DEMANDA!F13</f>
        <v>0</v>
      </c>
      <c r="I9" s="42" t="n">
        <f aca="false">BOM_COEF!S75*DEMANDA!G13</f>
        <v>0</v>
      </c>
      <c r="J9" s="42" t="n">
        <f aca="false">BOM_COEF!T75*DEMANDA!H13</f>
        <v>11.0962962962963</v>
      </c>
      <c r="K9" s="42" t="n">
        <f aca="false">BOM_COEF!U75*DEMANDA!I13</f>
        <v>38.6592592592593</v>
      </c>
      <c r="L9" s="42" t="n">
        <f aca="false">BOM_COEF!V75*DEMANDA!J13</f>
        <v>71.5925925925926</v>
      </c>
      <c r="M9" s="42" t="n">
        <f aca="false">BOM_COEF!W75*DEMANDA!K13</f>
        <v>103.814814814815</v>
      </c>
      <c r="N9" s="42" t="n">
        <f aca="false">BOM_COEF!X75*DEMANDA!L13</f>
        <v>146.777777777778</v>
      </c>
      <c r="O9" s="42" t="n">
        <f aca="false">BOM_COEF!Y75*DEMANDA!M13</f>
        <v>189.740740740741</v>
      </c>
      <c r="P9" s="42" t="n">
        <f aca="false">BOM_COEF!Z75*DEMANDA!N13</f>
        <v>212.644444444444</v>
      </c>
      <c r="Q9" s="42" t="n">
        <f aca="false">BOM_COEF!AA75*DEMANDA!O13</f>
        <v>247</v>
      </c>
      <c r="R9" s="24" t="s">
        <v>2288</v>
      </c>
    </row>
    <row r="10" customFormat="false" ht="15" hidden="false" customHeight="false" outlineLevel="0" collapsed="false">
      <c r="A10" s="38" t="n">
        <v>0</v>
      </c>
      <c r="B10" s="38" t="s">
        <v>715</v>
      </c>
      <c r="C10" s="38" t="s">
        <v>1979</v>
      </c>
      <c r="D10" s="38" t="s">
        <v>1748</v>
      </c>
      <c r="E10" s="38"/>
      <c r="F10" s="38"/>
      <c r="G10" s="38"/>
      <c r="H10" s="39" t="n">
        <f aca="false">SUM(H11:H12)</f>
        <v>225.81441875</v>
      </c>
      <c r="I10" s="39" t="n">
        <f aca="false">SUM(I11:I12)</f>
        <v>452.081573416667</v>
      </c>
      <c r="J10" s="39" t="n">
        <f aca="false">SUM(J11:J12)</f>
        <v>716.94479925</v>
      </c>
      <c r="K10" s="39" t="n">
        <f aca="false">SUM(K11:K12)</f>
        <v>1285.75960941667</v>
      </c>
      <c r="L10" s="39" t="n">
        <f aca="false">SUM(L11:L12)</f>
        <v>1990.00891166667</v>
      </c>
      <c r="M10" s="39" t="n">
        <f aca="false">SUM(M11:M12)</f>
        <v>2699.09700916667</v>
      </c>
      <c r="N10" s="39" t="n">
        <f aca="false">SUM(N11:N12)</f>
        <v>3501.44665333333</v>
      </c>
      <c r="O10" s="39" t="n">
        <f aca="false">SUM(O11:O12)</f>
        <v>4261.9321975</v>
      </c>
      <c r="P10" s="39" t="n">
        <f aca="false">SUM(P11:P12)</f>
        <v>4736.96037916667</v>
      </c>
      <c r="Q10" s="39" t="n">
        <f aca="false">SUM(Q11:Q12)</f>
        <v>5436.14822666667</v>
      </c>
      <c r="R10" s="38"/>
    </row>
    <row r="11" customFormat="false" ht="15" hidden="false" customHeight="false" outlineLevel="1" collapsed="false">
      <c r="A11" s="24" t="n">
        <v>1</v>
      </c>
      <c r="B11" s="24" t="s">
        <v>715</v>
      </c>
      <c r="C11" s="40" t="s">
        <v>2289</v>
      </c>
      <c r="D11" s="24" t="s">
        <v>1748</v>
      </c>
      <c r="E11" s="24" t="s">
        <v>238</v>
      </c>
      <c r="F11" s="41" t="n">
        <f aca="false">INDEX((BOM_COEF!R81~BOM_COEF!S81~BOM_COEF!T81~BOM_COEF!U81~BOM_COEF!V81~BOM_COEF!W81~BOM_COEF!X81~BOM_COEF!Y81~BOM_COEF!Z81~BOM_COEF!AA81),1,1,INDEX(P_VAL,MATCH("AÑO_DIS",P_ID,0))-2025)</f>
        <v>0.0833333333333333</v>
      </c>
      <c r="G11" s="24" t="s">
        <v>2281</v>
      </c>
      <c r="H11" s="42" t="n">
        <f aca="false">BOM_COEF!R81*DEMANDA!F6</f>
        <v>225.81441875</v>
      </c>
      <c r="I11" s="42" t="n">
        <f aca="false">BOM_COEF!S81*DEMANDA!G6</f>
        <v>452.081573416667</v>
      </c>
      <c r="J11" s="42" t="n">
        <f aca="false">BOM_COEF!T81*DEMANDA!H6</f>
        <v>593.711465916667</v>
      </c>
      <c r="K11" s="42" t="n">
        <f aca="false">BOM_COEF!U81*DEMANDA!I6</f>
        <v>856.426276083333</v>
      </c>
      <c r="L11" s="42" t="n">
        <f aca="false">BOM_COEF!V81*DEMANDA!J6</f>
        <v>1194.942245</v>
      </c>
      <c r="M11" s="42" t="n">
        <f aca="false">BOM_COEF!W81*DEMANDA!K6</f>
        <v>1546.24700916667</v>
      </c>
      <c r="N11" s="42" t="n">
        <f aca="false">BOM_COEF!X81*DEMANDA!L6</f>
        <v>1871.56332</v>
      </c>
      <c r="O11" s="42" t="n">
        <f aca="false">BOM_COEF!Y81*DEMANDA!M6</f>
        <v>2155.01553083333</v>
      </c>
      <c r="P11" s="42" t="n">
        <f aca="false">BOM_COEF!Z81*DEMANDA!N6</f>
        <v>2375.6437125</v>
      </c>
      <c r="Q11" s="42" t="n">
        <f aca="false">BOM_COEF!AA81*DEMANDA!O6</f>
        <v>2693.23156</v>
      </c>
      <c r="R11" s="24" t="s">
        <v>2290</v>
      </c>
    </row>
    <row r="12" customFormat="false" ht="15" hidden="false" customHeight="false" outlineLevel="1" collapsed="false">
      <c r="A12" s="24" t="n">
        <v>1</v>
      </c>
      <c r="B12" s="24" t="s">
        <v>715</v>
      </c>
      <c r="C12" s="40" t="s">
        <v>2291</v>
      </c>
      <c r="D12" s="24" t="s">
        <v>1748</v>
      </c>
      <c r="E12" s="24" t="s">
        <v>264</v>
      </c>
      <c r="F12" s="41" t="n">
        <f aca="false">INDEX((BOM_COEF!R116~BOM_COEF!S116~BOM_COEF!T116~BOM_COEF!U116~BOM_COEF!V116~BOM_COEF!W116~BOM_COEF!X116~BOM_COEF!Y116~BOM_COEF!Z116~BOM_COEF!AA116),1,1,INDEX(P_VAL,MATCH("AÑO_DIS",P_ID,0))-2025)</f>
        <v>0.0833333333333333</v>
      </c>
      <c r="G12" s="24" t="s">
        <v>2281</v>
      </c>
      <c r="H12" s="42" t="n">
        <f aca="false">BOM_COEF!R116*DEMANDA!F14</f>
        <v>0</v>
      </c>
      <c r="I12" s="42" t="n">
        <f aca="false">BOM_COEF!S116*DEMANDA!G14</f>
        <v>0</v>
      </c>
      <c r="J12" s="42" t="n">
        <f aca="false">BOM_COEF!T116*DEMANDA!H14</f>
        <v>123.233333333333</v>
      </c>
      <c r="K12" s="42" t="n">
        <f aca="false">BOM_COEF!U116*DEMANDA!I14</f>
        <v>429.333333333333</v>
      </c>
      <c r="L12" s="42" t="n">
        <f aca="false">BOM_COEF!V116*DEMANDA!J14</f>
        <v>795.066666666667</v>
      </c>
      <c r="M12" s="42" t="n">
        <f aca="false">BOM_COEF!W116*DEMANDA!K14</f>
        <v>1152.85</v>
      </c>
      <c r="N12" s="42" t="n">
        <f aca="false">BOM_COEF!X116*DEMANDA!L14</f>
        <v>1629.88333333333</v>
      </c>
      <c r="O12" s="42" t="n">
        <f aca="false">BOM_COEF!Y116*DEMANDA!M14</f>
        <v>2106.91666666667</v>
      </c>
      <c r="P12" s="42" t="n">
        <f aca="false">BOM_COEF!Z116*DEMANDA!N14</f>
        <v>2361.31666666667</v>
      </c>
      <c r="Q12" s="42" t="n">
        <f aca="false">BOM_COEF!AA116*DEMANDA!O14</f>
        <v>2742.91666666667</v>
      </c>
      <c r="R12" s="24" t="s">
        <v>2292</v>
      </c>
    </row>
    <row r="13" customFormat="false" ht="15" hidden="false" customHeight="false" outlineLevel="0" collapsed="false">
      <c r="A13" s="38" t="n">
        <v>0</v>
      </c>
      <c r="B13" s="38" t="s">
        <v>799</v>
      </c>
      <c r="C13" s="38" t="s">
        <v>1982</v>
      </c>
      <c r="D13" s="38" t="s">
        <v>1748</v>
      </c>
      <c r="E13" s="38"/>
      <c r="F13" s="38"/>
      <c r="G13" s="38"/>
      <c r="H13" s="39" t="n">
        <f aca="false">SUM(H14:H15)</f>
        <v>6.122212102</v>
      </c>
      <c r="I13" s="39" t="n">
        <f aca="false">SUM(I14:I15)</f>
        <v>11.8164864466667</v>
      </c>
      <c r="J13" s="39" t="n">
        <f aca="false">SUM(J14:J15)</f>
        <v>22.8919186533333</v>
      </c>
      <c r="K13" s="39" t="n">
        <f aca="false">SUM(K14:K15)</f>
        <v>44.86803294</v>
      </c>
      <c r="L13" s="39" t="n">
        <f aca="false">SUM(L14:L15)</f>
        <v>79.07454346</v>
      </c>
      <c r="M13" s="39" t="n">
        <f aca="false">SUM(M14:M15)</f>
        <v>114.560335466667</v>
      </c>
      <c r="N13" s="39" t="n">
        <f aca="false">SUM(N14:N15)</f>
        <v>154.837369666667</v>
      </c>
      <c r="O13" s="39" t="n">
        <f aca="false">SUM(O14:O15)</f>
        <v>196.029654133333</v>
      </c>
      <c r="P13" s="39" t="n">
        <f aca="false">SUM(P14:P15)</f>
        <v>222.916670266667</v>
      </c>
      <c r="Q13" s="39" t="n">
        <f aca="false">SUM(Q14:Q15)</f>
        <v>256.789871933333</v>
      </c>
      <c r="R13" s="38"/>
    </row>
    <row r="14" customFormat="false" ht="15" hidden="false" customHeight="false" outlineLevel="1" collapsed="false">
      <c r="A14" s="24" t="n">
        <v>1</v>
      </c>
      <c r="B14" s="24" t="s">
        <v>799</v>
      </c>
      <c r="C14" s="40" t="s">
        <v>2293</v>
      </c>
      <c r="D14" s="24" t="s">
        <v>1748</v>
      </c>
      <c r="E14" s="24" t="s">
        <v>241</v>
      </c>
      <c r="F14" s="41" t="n">
        <f aca="false">INDEX((BOM_COEF!R122~BOM_COEF!S122~BOM_COEF!T122~BOM_COEF!U122~BOM_COEF!V122~BOM_COEF!W122~BOM_COEF!X122~BOM_COEF!Y122~BOM_COEF!Z122~BOM_COEF!AA122),1,1,INDEX(P_VAL,MATCH("AÑO_DIS",P_ID,0))-2025)</f>
        <v>0.0666666666666667</v>
      </c>
      <c r="G14" s="24" t="s">
        <v>2281</v>
      </c>
      <c r="H14" s="42" t="n">
        <f aca="false">BOM_COEF!R122*DEMANDA!F7</f>
        <v>6.122212102</v>
      </c>
      <c r="I14" s="42" t="n">
        <f aca="false">BOM_COEF!S122*DEMANDA!G7</f>
        <v>11.8164864466667</v>
      </c>
      <c r="J14" s="42" t="n">
        <f aca="false">BOM_COEF!T122*DEMANDA!H7</f>
        <v>16.8652519866667</v>
      </c>
      <c r="K14" s="42" t="n">
        <f aca="false">BOM_COEF!U122*DEMANDA!I7</f>
        <v>23.86803294</v>
      </c>
      <c r="L14" s="42" t="n">
        <f aca="false">BOM_COEF!V122*DEMANDA!J7</f>
        <v>40.1812101266667</v>
      </c>
      <c r="M14" s="42" t="n">
        <f aca="false">BOM_COEF!W122*DEMANDA!K7</f>
        <v>58.1736688</v>
      </c>
      <c r="N14" s="42" t="n">
        <f aca="false">BOM_COEF!X122*DEMANDA!L7</f>
        <v>75.1440363333333</v>
      </c>
      <c r="O14" s="42" t="n">
        <f aca="false">BOM_COEF!Y122*DEMANDA!M7</f>
        <v>93.0296541333333</v>
      </c>
      <c r="P14" s="42" t="n">
        <f aca="false">BOM_COEF!Z122*DEMANDA!N7</f>
        <v>107.4900036</v>
      </c>
      <c r="Q14" s="42" t="n">
        <f aca="false">BOM_COEF!AA122*DEMANDA!O7</f>
        <v>122.723205266667</v>
      </c>
      <c r="R14" s="24" t="s">
        <v>2294</v>
      </c>
    </row>
    <row r="15" customFormat="false" ht="15" hidden="false" customHeight="false" outlineLevel="1" collapsed="false">
      <c r="A15" s="24" t="n">
        <v>1</v>
      </c>
      <c r="B15" s="24" t="s">
        <v>799</v>
      </c>
      <c r="C15" s="40" t="s">
        <v>2295</v>
      </c>
      <c r="D15" s="24" t="s">
        <v>1748</v>
      </c>
      <c r="E15" s="24" t="s">
        <v>267</v>
      </c>
      <c r="F15" s="41" t="n">
        <f aca="false">INDEX((BOM_COEF!R157~BOM_COEF!S157~BOM_COEF!T157~BOM_COEF!U157~BOM_COEF!V157~BOM_COEF!W157~BOM_COEF!X157~BOM_COEF!Y157~BOM_COEF!Z157~BOM_COEF!AA157),1,1,INDEX(P_VAL,MATCH("AÑO_DIS",P_ID,0))-2025)</f>
        <v>0.0666666666666667</v>
      </c>
      <c r="G15" s="24" t="s">
        <v>2281</v>
      </c>
      <c r="H15" s="42" t="n">
        <f aca="false">BOM_COEF!R157*DEMANDA!F15</f>
        <v>0</v>
      </c>
      <c r="I15" s="42" t="n">
        <f aca="false">BOM_COEF!S157*DEMANDA!G15</f>
        <v>0</v>
      </c>
      <c r="J15" s="42" t="n">
        <f aca="false">BOM_COEF!T157*DEMANDA!H15</f>
        <v>6.02666666666667</v>
      </c>
      <c r="K15" s="42" t="n">
        <f aca="false">BOM_COEF!U157*DEMANDA!I15</f>
        <v>21</v>
      </c>
      <c r="L15" s="42" t="n">
        <f aca="false">BOM_COEF!V157*DEMANDA!J15</f>
        <v>38.8933333333333</v>
      </c>
      <c r="M15" s="42" t="n">
        <f aca="false">BOM_COEF!W157*DEMANDA!K15</f>
        <v>56.3866666666667</v>
      </c>
      <c r="N15" s="42" t="n">
        <f aca="false">BOM_COEF!X157*DEMANDA!L15</f>
        <v>79.6933333333333</v>
      </c>
      <c r="O15" s="42" t="n">
        <f aca="false">BOM_COEF!Y157*DEMANDA!M15</f>
        <v>103</v>
      </c>
      <c r="P15" s="42" t="n">
        <f aca="false">BOM_COEF!Z157*DEMANDA!N15</f>
        <v>115.426666666667</v>
      </c>
      <c r="Q15" s="42" t="n">
        <f aca="false">BOM_COEF!AA157*DEMANDA!O15</f>
        <v>134.066666666667</v>
      </c>
      <c r="R15" s="24" t="s">
        <v>2296</v>
      </c>
    </row>
    <row r="16" customFormat="false" ht="15" hidden="false" customHeight="false" outlineLevel="0" collapsed="false">
      <c r="A16" s="38" t="n">
        <v>0</v>
      </c>
      <c r="B16" s="38" t="s">
        <v>497</v>
      </c>
      <c r="C16" s="38" t="s">
        <v>1985</v>
      </c>
      <c r="D16" s="38" t="s">
        <v>73</v>
      </c>
      <c r="E16" s="38"/>
      <c r="F16" s="38"/>
      <c r="G16" s="38"/>
      <c r="H16" s="39" t="n">
        <f aca="false">SUM(H17:H18)</f>
        <v>322.760675493463</v>
      </c>
      <c r="I16" s="39" t="n">
        <f aca="false">SUM(I17:I18)</f>
        <v>463.224676367483</v>
      </c>
      <c r="J16" s="39" t="n">
        <f aca="false">SUM(J17:J18)</f>
        <v>1121.05563161942</v>
      </c>
      <c r="K16" s="39" t="n">
        <f aca="false">SUM(K17:K18)</f>
        <v>2715.86637555888</v>
      </c>
      <c r="L16" s="39" t="n">
        <f aca="false">SUM(L17:L18)</f>
        <v>4797.72266419437</v>
      </c>
      <c r="M16" s="39" t="n">
        <f aca="false">SUM(M17:M18)</f>
        <v>6742.98389329173</v>
      </c>
      <c r="N16" s="39" t="n">
        <f aca="false">SUM(N17:N18)</f>
        <v>9397.8906618084</v>
      </c>
      <c r="O16" s="39" t="n">
        <f aca="false">SUM(O17:O18)</f>
        <v>12059.5345886295</v>
      </c>
      <c r="P16" s="39" t="n">
        <f aca="false">SUM(P17:P18)</f>
        <v>13547.1586961598</v>
      </c>
      <c r="Q16" s="39" t="n">
        <f aca="false">SUM(Q17:Q18)</f>
        <v>15650.1788714264</v>
      </c>
      <c r="R16" s="38"/>
    </row>
    <row r="17" customFormat="false" ht="15" hidden="false" customHeight="false" outlineLevel="1" collapsed="false">
      <c r="A17" s="24" t="n">
        <v>1</v>
      </c>
      <c r="B17" s="24" t="s">
        <v>497</v>
      </c>
      <c r="C17" s="40" t="s">
        <v>2297</v>
      </c>
      <c r="D17" s="24" t="s">
        <v>73</v>
      </c>
      <c r="E17" s="24" t="s">
        <v>230</v>
      </c>
      <c r="F17" s="41" t="n">
        <f aca="false">INDEX((BOM_COEF!R5~BOM_COEF!S5~BOM_COEF!T5~BOM_COEF!U5~BOM_COEF!V5~BOM_COEF!W5~BOM_COEF!X5~BOM_COEF!Y5~BOM_COEF!Z5~BOM_COEF!AA5),1,1,INDEX(P_VAL,MATCH("AÑO_DIS",P_ID,0))-2025)</f>
        <v>0.077238819</v>
      </c>
      <c r="G17" s="24" t="s">
        <v>2281</v>
      </c>
      <c r="H17" s="42" t="n">
        <f aca="false">BOM_COEF!R5*DEMANDA!F4</f>
        <v>322.760675493463</v>
      </c>
      <c r="I17" s="42" t="n">
        <f aca="false">BOM_COEF!S5*DEMANDA!G4</f>
        <v>463.224676367483</v>
      </c>
      <c r="J17" s="42" t="n">
        <f aca="false">BOM_COEF!T5*DEMANDA!H4</f>
        <v>529.220904913818</v>
      </c>
      <c r="K17" s="42" t="n">
        <f aca="false">BOM_COEF!U5*DEMANDA!I4</f>
        <v>653.991550117677</v>
      </c>
      <c r="L17" s="42" t="n">
        <f aca="false">BOM_COEF!V5*DEMANDA!J4</f>
        <v>979.43709469317</v>
      </c>
      <c r="M17" s="42" t="n">
        <f aca="false">BOM_COEF!W5*DEMANDA!K4</f>
        <v>1206.48989960792</v>
      </c>
      <c r="N17" s="42" t="n">
        <f aca="false">BOM_COEF!X5*DEMANDA!L4</f>
        <v>1570.462401057</v>
      </c>
      <c r="O17" s="42" t="n">
        <f aca="false">BOM_COEF!Y5*DEMANDA!M4</f>
        <v>1941.17206081052</v>
      </c>
      <c r="P17" s="42" t="n">
        <f aca="false">BOM_COEF!Z5*DEMANDA!N4</f>
        <v>2206.97073834362</v>
      </c>
      <c r="Q17" s="42" t="n">
        <f aca="false">BOM_COEF!AA5*DEMANDA!O4</f>
        <v>2477.25276861439</v>
      </c>
      <c r="R17" s="24" t="s">
        <v>2298</v>
      </c>
    </row>
    <row r="18" customFormat="false" ht="15" hidden="false" customHeight="false" outlineLevel="1" collapsed="false">
      <c r="A18" s="24" t="n">
        <v>1</v>
      </c>
      <c r="B18" s="24" t="s">
        <v>497</v>
      </c>
      <c r="C18" s="40" t="s">
        <v>2299</v>
      </c>
      <c r="D18" s="24" t="s">
        <v>73</v>
      </c>
      <c r="E18" s="24" t="s">
        <v>258</v>
      </c>
      <c r="F18" s="41" t="n">
        <f aca="false">INDEX((BOM_COEF!R35~BOM_COEF!S35~BOM_COEF!T35~BOM_COEF!U35~BOM_COEF!V35~BOM_COEF!W35~BOM_COEF!X35~BOM_COEF!Y35~BOM_COEF!Z35~BOM_COEF!AA35),1,1,INDEX(P_VAL,MATCH("AÑO_DIS",P_ID,0))-2025)</f>
        <v>0.077238819</v>
      </c>
      <c r="G18" s="24" t="s">
        <v>2281</v>
      </c>
      <c r="H18" s="42" t="n">
        <f aca="false">BOM_COEF!R35*DEMANDA!F12</f>
        <v>0</v>
      </c>
      <c r="I18" s="42" t="n">
        <f aca="false">BOM_COEF!S35*DEMANDA!G12</f>
        <v>0</v>
      </c>
      <c r="J18" s="42" t="n">
        <f aca="false">BOM_COEF!T35*DEMANDA!H12</f>
        <v>591.8347267056</v>
      </c>
      <c r="K18" s="42" t="n">
        <f aca="false">BOM_COEF!U35*DEMANDA!I12</f>
        <v>2061.8748254412</v>
      </c>
      <c r="L18" s="42" t="n">
        <f aca="false">BOM_COEF!V35*DEMANDA!J12</f>
        <v>3818.2855695012</v>
      </c>
      <c r="M18" s="42" t="n">
        <f aca="false">BOM_COEF!W35*DEMANDA!K12</f>
        <v>5536.4939936838</v>
      </c>
      <c r="N18" s="42" t="n">
        <f aca="false">BOM_COEF!X35*DEMANDA!L12</f>
        <v>7827.4282607514</v>
      </c>
      <c r="O18" s="42" t="n">
        <f aca="false">BOM_COEF!Y35*DEMANDA!M12</f>
        <v>10118.362527819</v>
      </c>
      <c r="P18" s="42" t="n">
        <f aca="false">BOM_COEF!Z35*DEMANDA!N12</f>
        <v>11340.1879578162</v>
      </c>
      <c r="Q18" s="42" t="n">
        <f aca="false">BOM_COEF!AA35*DEMANDA!O12</f>
        <v>13172.926102812</v>
      </c>
      <c r="R18" s="24" t="s">
        <v>2300</v>
      </c>
    </row>
    <row r="19" customFormat="false" ht="15" hidden="false" customHeight="false" outlineLevel="0" collapsed="false">
      <c r="A19" s="38" t="n">
        <v>0</v>
      </c>
      <c r="B19" s="38" t="s">
        <v>501</v>
      </c>
      <c r="C19" s="38" t="s">
        <v>1989</v>
      </c>
      <c r="D19" s="38" t="s">
        <v>73</v>
      </c>
      <c r="E19" s="38"/>
      <c r="F19" s="38"/>
      <c r="G19" s="38"/>
      <c r="H19" s="39" t="n">
        <f aca="false">SUM(H20:H21)</f>
        <v>626.897647282577</v>
      </c>
      <c r="I19" s="39" t="n">
        <f aca="false">SUM(I20:I21)</f>
        <v>899.720696562645</v>
      </c>
      <c r="J19" s="39" t="n">
        <f aca="false">SUM(J20:J21)</f>
        <v>2177.42491975089</v>
      </c>
      <c r="K19" s="39" t="n">
        <f aca="false">SUM(K20:K21)</f>
        <v>5275.02378834934</v>
      </c>
      <c r="L19" s="39" t="n">
        <f aca="false">SUM(L20:L21)</f>
        <v>9318.61059560419</v>
      </c>
      <c r="M19" s="39" t="n">
        <f aca="false">SUM(M20:M21)</f>
        <v>13096.8889933883</v>
      </c>
      <c r="N19" s="39" t="n">
        <f aca="false">SUM(N20:N21)</f>
        <v>18253.5110149313</v>
      </c>
      <c r="O19" s="39" t="n">
        <f aca="false">SUM(O20:O21)</f>
        <v>23423.2186104339</v>
      </c>
      <c r="P19" s="39" t="n">
        <f aca="false">SUM(P20:P21)</f>
        <v>26312.6290121992</v>
      </c>
      <c r="Q19" s="39" t="n">
        <f aca="false">SUM(Q20:Q21)</f>
        <v>30397.3224093944</v>
      </c>
      <c r="R19" s="38"/>
    </row>
    <row r="20" customFormat="false" ht="15" hidden="false" customHeight="false" outlineLevel="1" collapsed="false">
      <c r="A20" s="24" t="n">
        <v>1</v>
      </c>
      <c r="B20" s="24" t="s">
        <v>501</v>
      </c>
      <c r="C20" s="40" t="s">
        <v>2301</v>
      </c>
      <c r="D20" s="24" t="s">
        <v>73</v>
      </c>
      <c r="E20" s="24" t="s">
        <v>230</v>
      </c>
      <c r="F20" s="41" t="n">
        <f aca="false">INDEX((BOM_COEF!R6~BOM_COEF!S6~BOM_COEF!T6~BOM_COEF!U6~BOM_COEF!V6~BOM_COEF!W6~BOM_COEF!X6~BOM_COEF!Y6~BOM_COEF!Z6~BOM_COEF!AA6),1,1,INDEX(P_VAL,MATCH("AÑO_DIS",P_ID,0))-2025)</f>
        <v>0.150020859375</v>
      </c>
      <c r="G20" s="24" t="s">
        <v>2281</v>
      </c>
      <c r="H20" s="42" t="n">
        <f aca="false">BOM_COEF!R6*DEMANDA!F4</f>
        <v>626.897647282577</v>
      </c>
      <c r="I20" s="42" t="n">
        <f aca="false">BOM_COEF!S6*DEMANDA!G4</f>
        <v>899.720696562645</v>
      </c>
      <c r="J20" s="42" t="n">
        <f aca="false">BOM_COEF!T6*DEMANDA!H4</f>
        <v>1027.90508687589</v>
      </c>
      <c r="K20" s="42" t="n">
        <f aca="false">BOM_COEF!U6*DEMANDA!I4</f>
        <v>1270.24695150559</v>
      </c>
      <c r="L20" s="42" t="n">
        <f aca="false">BOM_COEF!V6*DEMANDA!J4</f>
        <v>1902.35941657294</v>
      </c>
      <c r="M20" s="42" t="n">
        <f aca="false">BOM_COEF!W6*DEMANDA!K4</f>
        <v>2343.36378921638</v>
      </c>
      <c r="N20" s="42" t="n">
        <f aca="false">BOM_COEF!X6*DEMANDA!L4</f>
        <v>3050.30711335316</v>
      </c>
      <c r="O20" s="42" t="n">
        <f aca="false">BOM_COEF!Y6*DEMANDA!M4</f>
        <v>3770.33601144954</v>
      </c>
      <c r="P20" s="42" t="n">
        <f aca="false">BOM_COEF!Z6*DEMANDA!N4</f>
        <v>4286.59644293355</v>
      </c>
      <c r="Q20" s="42" t="n">
        <f aca="false">BOM_COEF!AA6*DEMANDA!O4</f>
        <v>4811.56488470685</v>
      </c>
      <c r="R20" s="24" t="s">
        <v>2302</v>
      </c>
    </row>
    <row r="21" customFormat="false" ht="15" hidden="false" customHeight="false" outlineLevel="1" collapsed="false">
      <c r="A21" s="24" t="n">
        <v>1</v>
      </c>
      <c r="B21" s="24" t="s">
        <v>501</v>
      </c>
      <c r="C21" s="40" t="s">
        <v>2303</v>
      </c>
      <c r="D21" s="24" t="s">
        <v>73</v>
      </c>
      <c r="E21" s="24" t="s">
        <v>258</v>
      </c>
      <c r="F21" s="41" t="n">
        <f aca="false">INDEX((BOM_COEF!R36~BOM_COEF!S36~BOM_COEF!T36~BOM_COEF!U36~BOM_COEF!V36~BOM_COEF!W36~BOM_COEF!X36~BOM_COEF!Y36~BOM_COEF!Z36~BOM_COEF!AA36),1,1,INDEX(P_VAL,MATCH("AÑO_DIS",P_ID,0))-2025)</f>
        <v>0.150020859375</v>
      </c>
      <c r="G21" s="24" t="s">
        <v>2281</v>
      </c>
      <c r="H21" s="42" t="n">
        <f aca="false">BOM_COEF!R36*DEMANDA!F12</f>
        <v>0</v>
      </c>
      <c r="I21" s="42" t="n">
        <f aca="false">BOM_COEF!S36*DEMANDA!G12</f>
        <v>0</v>
      </c>
      <c r="J21" s="42" t="n">
        <f aca="false">BOM_COEF!T36*DEMANDA!H12</f>
        <v>1149.519832875</v>
      </c>
      <c r="K21" s="42" t="n">
        <f aca="false">BOM_COEF!U36*DEMANDA!I12</f>
        <v>4004.77683684375</v>
      </c>
      <c r="L21" s="42" t="n">
        <f aca="false">BOM_COEF!V36*DEMANDA!J12</f>
        <v>7416.25117903125</v>
      </c>
      <c r="M21" s="42" t="n">
        <f aca="false">BOM_COEF!W36*DEMANDA!K12</f>
        <v>10753.5252041719</v>
      </c>
      <c r="N21" s="42" t="n">
        <f aca="false">BOM_COEF!X36*DEMANDA!L12</f>
        <v>15203.2039015781</v>
      </c>
      <c r="O21" s="42" t="n">
        <f aca="false">BOM_COEF!Y36*DEMANDA!M12</f>
        <v>19652.8825989844</v>
      </c>
      <c r="P21" s="42" t="n">
        <f aca="false">BOM_COEF!Z36*DEMANDA!N12</f>
        <v>22026.0325692656</v>
      </c>
      <c r="Q21" s="42" t="n">
        <f aca="false">BOM_COEF!AA36*DEMANDA!O12</f>
        <v>25585.7575246875</v>
      </c>
      <c r="R21" s="24" t="s">
        <v>2304</v>
      </c>
    </row>
    <row r="22" customFormat="false" ht="15" hidden="false" customHeight="false" outlineLevel="0" collapsed="false">
      <c r="A22" s="38" t="n">
        <v>0</v>
      </c>
      <c r="B22" s="38" t="s">
        <v>620</v>
      </c>
      <c r="C22" s="38" t="s">
        <v>1992</v>
      </c>
      <c r="D22" s="38" t="s">
        <v>73</v>
      </c>
      <c r="E22" s="38"/>
      <c r="F22" s="38"/>
      <c r="G22" s="38"/>
      <c r="H22" s="39" t="n">
        <f aca="false">SUM(H23:H26)</f>
        <v>190.779536543648</v>
      </c>
      <c r="I22" s="39" t="n">
        <f aca="false">SUM(I23:I26)</f>
        <v>458.940819939931</v>
      </c>
      <c r="J22" s="39" t="n">
        <f aca="false">SUM(J23:J26)</f>
        <v>831.88652902168</v>
      </c>
      <c r="K22" s="39" t="n">
        <f aca="false">SUM(K23:K26)</f>
        <v>1645.34504247851</v>
      </c>
      <c r="L22" s="39" t="n">
        <f aca="false">SUM(L23:L26)</f>
        <v>2745.40863384461</v>
      </c>
      <c r="M22" s="39" t="n">
        <f aca="false">SUM(M23:M26)</f>
        <v>3915.99041324176</v>
      </c>
      <c r="N22" s="39" t="n">
        <f aca="false">SUM(N23:N26)</f>
        <v>5215.38587537257</v>
      </c>
      <c r="O22" s="39" t="n">
        <f aca="false">SUM(O23:O26)</f>
        <v>6613.42388381738</v>
      </c>
      <c r="P22" s="39" t="n">
        <f aca="false">SUM(P23:P26)</f>
        <v>7718.71889037193</v>
      </c>
      <c r="Q22" s="39" t="n">
        <f aca="false">SUM(Q23:Q26)</f>
        <v>9113.70547619733</v>
      </c>
      <c r="R22" s="38"/>
    </row>
    <row r="23" customFormat="false" ht="15" hidden="false" customHeight="false" outlineLevel="1" collapsed="false">
      <c r="A23" s="24" t="n">
        <v>1</v>
      </c>
      <c r="B23" s="24" t="s">
        <v>620</v>
      </c>
      <c r="C23" s="40" t="s">
        <v>2305</v>
      </c>
      <c r="D23" s="24" t="s">
        <v>73</v>
      </c>
      <c r="E23" s="24" t="s">
        <v>234</v>
      </c>
      <c r="F23" s="41" t="n">
        <f aca="false">INDEX((BOM_COEF!R41~BOM_COEF!S41~BOM_COEF!T41~BOM_COEF!U41~BOM_COEF!V41~BOM_COEF!W41~BOM_COEF!X41~BOM_COEF!Y41~BOM_COEF!Z41~BOM_COEF!AA41),1,1,INDEX(P_VAL,MATCH("AÑO_DIS",P_ID,0))-2025)</f>
        <v>0.353740625</v>
      </c>
      <c r="G23" s="24" t="s">
        <v>2281</v>
      </c>
      <c r="H23" s="42" t="n">
        <f aca="false">BOM_COEF!R41*DEMANDA!F5</f>
        <v>104.364222949901</v>
      </c>
      <c r="I23" s="42" t="n">
        <f aca="false">BOM_COEF!S41*DEMANDA!G5</f>
        <v>251.059431848778</v>
      </c>
      <c r="J23" s="42" t="n">
        <f aca="false">BOM_COEF!T41*DEMANDA!H5</f>
        <v>349.09532348796</v>
      </c>
      <c r="K23" s="42" t="n">
        <f aca="false">BOM_COEF!U41*DEMANDA!I5</f>
        <v>530.836685569619</v>
      </c>
      <c r="L23" s="42" t="n">
        <f aca="false">BOM_COEF!V41*DEMANDA!J5</f>
        <v>818.070377187569</v>
      </c>
      <c r="M23" s="42" t="n">
        <f aca="false">BOM_COEF!W41*DEMANDA!K5</f>
        <v>1150.67222687106</v>
      </c>
      <c r="N23" s="42" t="n">
        <f aca="false">BOM_COEF!X41*DEMANDA!L5</f>
        <v>1451.15565740696</v>
      </c>
      <c r="O23" s="42" t="n">
        <f aca="false">BOM_COEF!Y41*DEMANDA!M5</f>
        <v>1805.600602277</v>
      </c>
      <c r="P23" s="42" t="n">
        <f aca="false">BOM_COEF!Z41*DEMANDA!N5</f>
        <v>2191.48905359022</v>
      </c>
      <c r="Q23" s="42" t="n">
        <f aca="false">BOM_COEF!AA41*DEMANDA!O5</f>
        <v>2626.47406651709</v>
      </c>
      <c r="R23" s="24" t="s">
        <v>2306</v>
      </c>
    </row>
    <row r="24" customFormat="false" ht="15" hidden="false" customHeight="false" outlineLevel="1" collapsed="false">
      <c r="A24" s="24" t="n">
        <v>1</v>
      </c>
      <c r="B24" s="24" t="s">
        <v>620</v>
      </c>
      <c r="C24" s="40" t="s">
        <v>2307</v>
      </c>
      <c r="D24" s="24" t="s">
        <v>73</v>
      </c>
      <c r="E24" s="24" t="s">
        <v>234</v>
      </c>
      <c r="F24" s="41" t="n">
        <f aca="false">INDEX((BOM_COEF!R42~BOM_COEF!S42~BOM_COEF!T42~BOM_COEF!U42~BOM_COEF!V42~BOM_COEF!W42~BOM_COEF!X42~BOM_COEF!Y42~BOM_COEF!Z42~BOM_COEF!AA42),1,1,INDEX(P_VAL,MATCH("AÑO_DIS",P_ID,0))-2025)</f>
        <v>0.292903125</v>
      </c>
      <c r="G24" s="24" t="s">
        <v>2281</v>
      </c>
      <c r="H24" s="42" t="n">
        <f aca="false">BOM_COEF!R42*DEMANDA!F5</f>
        <v>86.4153135937463</v>
      </c>
      <c r="I24" s="42" t="n">
        <f aca="false">BOM_COEF!S42*DEMANDA!G5</f>
        <v>207.881388091152</v>
      </c>
      <c r="J24" s="42" t="n">
        <f aca="false">BOM_COEF!T42*DEMANDA!H5</f>
        <v>289.05673803372</v>
      </c>
      <c r="K24" s="42" t="n">
        <f aca="false">BOM_COEF!U42*DEMANDA!I5</f>
        <v>439.541610658894</v>
      </c>
      <c r="L24" s="42" t="n">
        <f aca="false">BOM_COEF!V42*DEMANDA!J5</f>
        <v>677.375887907044</v>
      </c>
      <c r="M24" s="42" t="n">
        <f aca="false">BOM_COEF!W42*DEMANDA!K5</f>
        <v>952.775755120697</v>
      </c>
      <c r="N24" s="42" t="n">
        <f aca="false">BOM_COEF!X42*DEMANDA!L5</f>
        <v>1201.58103671561</v>
      </c>
      <c r="O24" s="42" t="n">
        <f aca="false">BOM_COEF!Y42*DEMANDA!M5</f>
        <v>1495.06735029038</v>
      </c>
      <c r="P24" s="42" t="n">
        <f aca="false">BOM_COEF!Z42*DEMANDA!N5</f>
        <v>1814.58941053171</v>
      </c>
      <c r="Q24" s="42" t="n">
        <f aca="false">BOM_COEF!AA42*DEMANDA!O5</f>
        <v>2174.76424093024</v>
      </c>
      <c r="R24" s="24" t="s">
        <v>2308</v>
      </c>
    </row>
    <row r="25" customFormat="false" ht="15" hidden="false" customHeight="false" outlineLevel="1" collapsed="false">
      <c r="A25" s="24" t="n">
        <v>1</v>
      </c>
      <c r="B25" s="24" t="s">
        <v>620</v>
      </c>
      <c r="C25" s="40" t="s">
        <v>2309</v>
      </c>
      <c r="D25" s="24" t="s">
        <v>73</v>
      </c>
      <c r="E25" s="24" t="s">
        <v>261</v>
      </c>
      <c r="F25" s="41" t="n">
        <f aca="false">INDEX((BOM_COEF!R76~BOM_COEF!S76~BOM_COEF!T76~BOM_COEF!U76~BOM_COEF!V76~BOM_COEF!W76~BOM_COEF!X76~BOM_COEF!Y76~BOM_COEF!Z76~BOM_COEF!AA76),1,1,INDEX(P_VAL,MATCH("AÑO_DIS",P_ID,0))-2025)</f>
        <v>0.353740625</v>
      </c>
      <c r="G25" s="24" t="s">
        <v>2281</v>
      </c>
      <c r="H25" s="42" t="n">
        <f aca="false">BOM_COEF!R76*DEMANDA!F13</f>
        <v>0</v>
      </c>
      <c r="I25" s="42" t="n">
        <f aca="false">BOM_COEF!S76*DEMANDA!G13</f>
        <v>0</v>
      </c>
      <c r="J25" s="42" t="n">
        <f aca="false">BOM_COEF!T76*DEMANDA!H13</f>
        <v>105.98069125</v>
      </c>
      <c r="K25" s="42" t="n">
        <f aca="false">BOM_COEF!U76*DEMANDA!I13</f>
        <v>369.234464375</v>
      </c>
      <c r="L25" s="42" t="n">
        <f aca="false">BOM_COEF!V76*DEMANDA!J13</f>
        <v>683.780628125</v>
      </c>
      <c r="M25" s="42" t="n">
        <f aca="false">BOM_COEF!W76*DEMANDA!K13</f>
        <v>991.534971875</v>
      </c>
      <c r="N25" s="42" t="n">
        <f aca="false">BOM_COEF!X76*DEMANDA!L13</f>
        <v>1401.874096875</v>
      </c>
      <c r="O25" s="42" t="n">
        <f aca="false">BOM_COEF!Y76*DEMANDA!M13</f>
        <v>1812.213221875</v>
      </c>
      <c r="P25" s="42" t="n">
        <f aca="false">BOM_COEF!Z76*DEMANDA!N13</f>
        <v>2030.966424375</v>
      </c>
      <c r="Q25" s="42" t="n">
        <f aca="false">BOM_COEF!AA76*DEMANDA!O13</f>
        <v>2359.096228125</v>
      </c>
      <c r="R25" s="24" t="s">
        <v>2310</v>
      </c>
    </row>
    <row r="26" customFormat="false" ht="15" hidden="false" customHeight="false" outlineLevel="1" collapsed="false">
      <c r="A26" s="24" t="n">
        <v>1</v>
      </c>
      <c r="B26" s="24" t="s">
        <v>620</v>
      </c>
      <c r="C26" s="40" t="s">
        <v>2311</v>
      </c>
      <c r="D26" s="24" t="s">
        <v>73</v>
      </c>
      <c r="E26" s="24" t="s">
        <v>261</v>
      </c>
      <c r="F26" s="41" t="n">
        <f aca="false">INDEX((BOM_COEF!R77~BOM_COEF!S77~BOM_COEF!T77~BOM_COEF!U77~BOM_COEF!V77~BOM_COEF!W77~BOM_COEF!X77~BOM_COEF!Y77~BOM_COEF!Z77~BOM_COEF!AA77),1,1,INDEX(P_VAL,MATCH("AÑO_DIS",P_ID,0))-2025)</f>
        <v>0.292903125</v>
      </c>
      <c r="G26" s="24" t="s">
        <v>2281</v>
      </c>
      <c r="H26" s="42" t="n">
        <f aca="false">BOM_COEF!R77*DEMANDA!F13</f>
        <v>0</v>
      </c>
      <c r="I26" s="42" t="n">
        <f aca="false">BOM_COEF!S77*DEMANDA!G13</f>
        <v>0</v>
      </c>
      <c r="J26" s="42" t="n">
        <f aca="false">BOM_COEF!T77*DEMANDA!H13</f>
        <v>87.75377625</v>
      </c>
      <c r="K26" s="42" t="n">
        <f aca="false">BOM_COEF!U77*DEMANDA!I13</f>
        <v>305.732281875</v>
      </c>
      <c r="L26" s="42" t="n">
        <f aca="false">BOM_COEF!V77*DEMANDA!J13</f>
        <v>566.181740625</v>
      </c>
      <c r="M26" s="42" t="n">
        <f aca="false">BOM_COEF!W77*DEMANDA!K13</f>
        <v>821.007459375</v>
      </c>
      <c r="N26" s="42" t="n">
        <f aca="false">BOM_COEF!X77*DEMANDA!L13</f>
        <v>1160.775084375</v>
      </c>
      <c r="O26" s="42" t="n">
        <f aca="false">BOM_COEF!Y77*DEMANDA!M13</f>
        <v>1500.542709375</v>
      </c>
      <c r="P26" s="42" t="n">
        <f aca="false">BOM_COEF!Z77*DEMANDA!N13</f>
        <v>1681.674001875</v>
      </c>
      <c r="Q26" s="42" t="n">
        <f aca="false">BOM_COEF!AA77*DEMANDA!O13</f>
        <v>1953.370940625</v>
      </c>
      <c r="R26" s="24" t="s">
        <v>2312</v>
      </c>
    </row>
    <row r="27" customFormat="false" ht="15" hidden="false" customHeight="false" outlineLevel="0" collapsed="false">
      <c r="A27" s="38" t="n">
        <v>0</v>
      </c>
      <c r="B27" s="38" t="s">
        <v>718</v>
      </c>
      <c r="C27" s="38" t="s">
        <v>1996</v>
      </c>
      <c r="D27" s="38" t="s">
        <v>73</v>
      </c>
      <c r="E27" s="38"/>
      <c r="F27" s="38"/>
      <c r="G27" s="38"/>
      <c r="H27" s="39" t="n">
        <f aca="false">SUM(H28:H29)</f>
        <v>1894.0337926461</v>
      </c>
      <c r="I27" s="39" t="n">
        <f aca="false">SUM(I28:I29)</f>
        <v>3791.86493857928</v>
      </c>
      <c r="J27" s="39" t="n">
        <f aca="false">SUM(J28:J29)</f>
        <v>6013.42325595572</v>
      </c>
      <c r="K27" s="39" t="n">
        <f aca="false">SUM(K28:K29)</f>
        <v>10784.3961556357</v>
      </c>
      <c r="L27" s="39" t="n">
        <f aca="false">SUM(L28:L29)</f>
        <v>16691.3350672102</v>
      </c>
      <c r="M27" s="39" t="n">
        <f aca="false">SUM(M28:M29)</f>
        <v>22638.859702982</v>
      </c>
      <c r="N27" s="39" t="n">
        <f aca="false">SUM(N28:N29)</f>
        <v>29368.6219032058</v>
      </c>
      <c r="O27" s="39" t="n">
        <f aca="false">SUM(O28:O29)</f>
        <v>35747.2461179207</v>
      </c>
      <c r="P27" s="39" t="n">
        <f aca="false">SUM(P28:P29)</f>
        <v>39731.5772935662</v>
      </c>
      <c r="Q27" s="39" t="n">
        <f aca="false">SUM(Q28:Q29)</f>
        <v>45596.0629092461</v>
      </c>
      <c r="R27" s="38"/>
    </row>
    <row r="28" customFormat="false" ht="15" hidden="false" customHeight="false" outlineLevel="1" collapsed="false">
      <c r="A28" s="24" t="n">
        <v>1</v>
      </c>
      <c r="B28" s="24" t="s">
        <v>718</v>
      </c>
      <c r="C28" s="40" t="s">
        <v>2313</v>
      </c>
      <c r="D28" s="24" t="s">
        <v>73</v>
      </c>
      <c r="E28" s="24" t="s">
        <v>238</v>
      </c>
      <c r="F28" s="41" t="n">
        <f aca="false">INDEX((BOM_COEF!R82~BOM_COEF!S82~BOM_COEF!T82~BOM_COEF!U82~BOM_COEF!V82~BOM_COEF!W82~BOM_COEF!X82~BOM_COEF!Y82~BOM_COEF!Z82~BOM_COEF!AA82),1,1,INDEX(P_VAL,MATCH("AÑO_DIS",P_ID,0))-2025)</f>
        <v>0.698964</v>
      </c>
      <c r="G28" s="24" t="s">
        <v>2281</v>
      </c>
      <c r="H28" s="42" t="n">
        <f aca="false">BOM_COEF!R82*DEMANDA!F6</f>
        <v>1894.0337926461</v>
      </c>
      <c r="I28" s="42" t="n">
        <f aca="false">BOM_COEF!S82*DEMANDA!G6</f>
        <v>3791.86493857928</v>
      </c>
      <c r="J28" s="42" t="n">
        <f aca="false">BOM_COEF!T82*DEMANDA!H6</f>
        <v>4979.79529275572</v>
      </c>
      <c r="K28" s="42" t="n">
        <f aca="false">BOM_COEF!U82*DEMANDA!I6</f>
        <v>7183.33362763573</v>
      </c>
      <c r="L28" s="42" t="n">
        <f aca="false">BOM_COEF!V82*DEMANDA!J6</f>
        <v>10022.6593360102</v>
      </c>
      <c r="M28" s="42" t="n">
        <f aca="false">BOM_COEF!W82*DEMANDA!K6</f>
        <v>12969.251934182</v>
      </c>
      <c r="N28" s="42" t="n">
        <f aca="false">BOM_COEF!X82*DEMANDA!L6</f>
        <v>15697.8646128058</v>
      </c>
      <c r="O28" s="42" t="n">
        <f aca="false">BOM_COEF!Y82*DEMANDA!M6</f>
        <v>18075.3393059207</v>
      </c>
      <c r="P28" s="42" t="n">
        <f aca="false">BOM_COEF!Z82*DEMANDA!N6</f>
        <v>19925.8731823662</v>
      </c>
      <c r="Q28" s="42" t="n">
        <f aca="false">BOM_COEF!AA82*DEMANDA!O6</f>
        <v>22589.6628492461</v>
      </c>
      <c r="R28" s="24" t="s">
        <v>2314</v>
      </c>
    </row>
    <row r="29" customFormat="false" ht="15" hidden="false" customHeight="false" outlineLevel="1" collapsed="false">
      <c r="A29" s="24" t="n">
        <v>1</v>
      </c>
      <c r="B29" s="24" t="s">
        <v>718</v>
      </c>
      <c r="C29" s="40" t="s">
        <v>2315</v>
      </c>
      <c r="D29" s="24" t="s">
        <v>73</v>
      </c>
      <c r="E29" s="24" t="s">
        <v>264</v>
      </c>
      <c r="F29" s="41" t="n">
        <f aca="false">INDEX((BOM_COEF!R117~BOM_COEF!S117~BOM_COEF!T117~BOM_COEF!U117~BOM_COEF!V117~BOM_COEF!W117~BOM_COEF!X117~BOM_COEF!Y117~BOM_COEF!Z117~BOM_COEF!AA117),1,1,INDEX(P_VAL,MATCH("AÑO_DIS",P_ID,0))-2025)</f>
        <v>0.698964</v>
      </c>
      <c r="G29" s="24" t="s">
        <v>2281</v>
      </c>
      <c r="H29" s="42" t="n">
        <f aca="false">BOM_COEF!R117*DEMANDA!F14</f>
        <v>0</v>
      </c>
      <c r="I29" s="42" t="n">
        <f aca="false">BOM_COEF!S117*DEMANDA!G14</f>
        <v>0</v>
      </c>
      <c r="J29" s="42" t="n">
        <f aca="false">BOM_COEF!T117*DEMANDA!H14</f>
        <v>1033.6279632</v>
      </c>
      <c r="K29" s="42" t="n">
        <f aca="false">BOM_COEF!U117*DEMANDA!I14</f>
        <v>3601.062528</v>
      </c>
      <c r="L29" s="42" t="n">
        <f aca="false">BOM_COEF!V117*DEMANDA!J14</f>
        <v>6668.6757312</v>
      </c>
      <c r="M29" s="42" t="n">
        <f aca="false">BOM_COEF!W117*DEMANDA!K14</f>
        <v>9669.6077688</v>
      </c>
      <c r="N29" s="42" t="n">
        <f aca="false">BOM_COEF!X117*DEMANDA!L14</f>
        <v>13670.7572904</v>
      </c>
      <c r="O29" s="42" t="n">
        <f aca="false">BOM_COEF!Y117*DEMANDA!M14</f>
        <v>17671.906812</v>
      </c>
      <c r="P29" s="42" t="n">
        <f aca="false">BOM_COEF!Z117*DEMANDA!N14</f>
        <v>19805.7041112</v>
      </c>
      <c r="Q29" s="42" t="n">
        <f aca="false">BOM_COEF!AA117*DEMANDA!O14</f>
        <v>23006.40006</v>
      </c>
      <c r="R29" s="24" t="s">
        <v>2316</v>
      </c>
    </row>
    <row r="30" customFormat="false" ht="15" hidden="false" customHeight="false" outlineLevel="0" collapsed="false">
      <c r="A30" s="38" t="n">
        <v>0</v>
      </c>
      <c r="B30" s="38" t="s">
        <v>721</v>
      </c>
      <c r="C30" s="38" t="s">
        <v>1999</v>
      </c>
      <c r="D30" s="38" t="s">
        <v>73</v>
      </c>
      <c r="E30" s="38"/>
      <c r="F30" s="38"/>
      <c r="G30" s="38"/>
      <c r="H30" s="39" t="n">
        <f aca="false">SUM(H31:H32)</f>
        <v>1215.72124120968</v>
      </c>
      <c r="I30" s="39" t="n">
        <f aca="false">SUM(I31:I32)</f>
        <v>2433.87988510426</v>
      </c>
      <c r="J30" s="39" t="n">
        <f aca="false">SUM(J31:J32)</f>
        <v>3859.82890750653</v>
      </c>
      <c r="K30" s="39" t="n">
        <f aca="false">SUM(K31:K32)</f>
        <v>6922.16766719332</v>
      </c>
      <c r="L30" s="39" t="n">
        <f aca="false">SUM(L31:L32)</f>
        <v>10713.6475939038</v>
      </c>
      <c r="M30" s="39" t="n">
        <f aca="false">SUM(M31:M32)</f>
        <v>14531.1782316356</v>
      </c>
      <c r="N30" s="39" t="n">
        <f aca="false">SUM(N31:N32)</f>
        <v>18850.8027741691</v>
      </c>
      <c r="O30" s="39" t="n">
        <f aca="false">SUM(O31:O32)</f>
        <v>22945.0427912332</v>
      </c>
      <c r="P30" s="39" t="n">
        <f aca="false">SUM(P31:P32)</f>
        <v>25502.4607533906</v>
      </c>
      <c r="Q30" s="39" t="n">
        <f aca="false">SUM(Q31:Q32)</f>
        <v>29266.6912330327</v>
      </c>
      <c r="R30" s="38"/>
    </row>
    <row r="31" customFormat="false" ht="15" hidden="false" customHeight="false" outlineLevel="1" collapsed="false">
      <c r="A31" s="24" t="n">
        <v>1</v>
      </c>
      <c r="B31" s="24" t="s">
        <v>721</v>
      </c>
      <c r="C31" s="40" t="s">
        <v>2317</v>
      </c>
      <c r="D31" s="24" t="s">
        <v>73</v>
      </c>
      <c r="E31" s="24" t="s">
        <v>238</v>
      </c>
      <c r="F31" s="41" t="n">
        <f aca="false">INDEX((BOM_COEF!R83~BOM_COEF!S83~BOM_COEF!T83~BOM_COEF!U83~BOM_COEF!V83~BOM_COEF!W83~BOM_COEF!X83~BOM_COEF!Y83~BOM_COEF!Z83~BOM_COEF!AA83),1,1,INDEX(P_VAL,MATCH("AÑO_DIS",P_ID,0))-2025)</f>
        <v>0.4486432</v>
      </c>
      <c r="G31" s="24" t="s">
        <v>2281</v>
      </c>
      <c r="H31" s="42" t="n">
        <f aca="false">BOM_COEF!R83*DEMANDA!F6</f>
        <v>1215.72124120968</v>
      </c>
      <c r="I31" s="42" t="n">
        <f aca="false">BOM_COEF!S83*DEMANDA!G6</f>
        <v>2433.87988510426</v>
      </c>
      <c r="J31" s="42" t="n">
        <f aca="false">BOM_COEF!T83*DEMANDA!H6</f>
        <v>3196.37534334653</v>
      </c>
      <c r="K31" s="42" t="n">
        <f aca="false">BOM_COEF!U83*DEMANDA!I6</f>
        <v>4610.75790079332</v>
      </c>
      <c r="L31" s="42" t="n">
        <f aca="false">BOM_COEF!V83*DEMANDA!J6</f>
        <v>6433.23255134381</v>
      </c>
      <c r="M31" s="42" t="n">
        <f aca="false">BOM_COEF!W83*DEMANDA!K6</f>
        <v>8324.55847419555</v>
      </c>
      <c r="N31" s="42" t="n">
        <f aca="false">BOM_COEF!X83*DEMANDA!L6</f>
        <v>10075.9698826491</v>
      </c>
      <c r="O31" s="42" t="n">
        <f aca="false">BOM_COEF!Y83*DEMANDA!M6</f>
        <v>11601.9967656332</v>
      </c>
      <c r="P31" s="42" t="n">
        <f aca="false">BOM_COEF!Z83*DEMANDA!N6</f>
        <v>12789.7967668306</v>
      </c>
      <c r="Q31" s="42" t="n">
        <f aca="false">BOM_COEF!AA83*DEMANDA!O6</f>
        <v>14499.6003050327</v>
      </c>
      <c r="R31" s="24" t="s">
        <v>2318</v>
      </c>
    </row>
    <row r="32" customFormat="false" ht="15" hidden="false" customHeight="false" outlineLevel="1" collapsed="false">
      <c r="A32" s="24" t="n">
        <v>1</v>
      </c>
      <c r="B32" s="24" t="s">
        <v>721</v>
      </c>
      <c r="C32" s="40" t="s">
        <v>2319</v>
      </c>
      <c r="D32" s="24" t="s">
        <v>73</v>
      </c>
      <c r="E32" s="24" t="s">
        <v>264</v>
      </c>
      <c r="F32" s="41" t="n">
        <f aca="false">INDEX((BOM_COEF!R118~BOM_COEF!S118~BOM_COEF!T118~BOM_COEF!U118~BOM_COEF!V118~BOM_COEF!W118~BOM_COEF!X118~BOM_COEF!Y118~BOM_COEF!Z118~BOM_COEF!AA118),1,1,INDEX(P_VAL,MATCH("AÑO_DIS",P_ID,0))-2025)</f>
        <v>0.4486432</v>
      </c>
      <c r="G32" s="24" t="s">
        <v>2281</v>
      </c>
      <c r="H32" s="42" t="n">
        <f aca="false">BOM_COEF!R118*DEMANDA!F14</f>
        <v>0</v>
      </c>
      <c r="I32" s="42" t="n">
        <f aca="false">BOM_COEF!S118*DEMANDA!G14</f>
        <v>0</v>
      </c>
      <c r="J32" s="42" t="n">
        <f aca="false">BOM_COEF!T118*DEMANDA!H14</f>
        <v>663.45356416</v>
      </c>
      <c r="K32" s="42" t="n">
        <f aca="false">BOM_COEF!U118*DEMANDA!I14</f>
        <v>2311.4097664</v>
      </c>
      <c r="L32" s="42" t="n">
        <f aca="false">BOM_COEF!V118*DEMANDA!J14</f>
        <v>4280.41504256</v>
      </c>
      <c r="M32" s="42" t="n">
        <f aca="false">BOM_COEF!W118*DEMANDA!K14</f>
        <v>6206.61975744</v>
      </c>
      <c r="N32" s="42" t="n">
        <f aca="false">BOM_COEF!X118*DEMANDA!L14</f>
        <v>8774.83289152</v>
      </c>
      <c r="O32" s="42" t="n">
        <f aca="false">BOM_COEF!Y118*DEMANDA!M14</f>
        <v>11343.0460256</v>
      </c>
      <c r="P32" s="42" t="n">
        <f aca="false">BOM_COEF!Z118*DEMANDA!N14</f>
        <v>12712.66398656</v>
      </c>
      <c r="Q32" s="42" t="n">
        <f aca="false">BOM_COEF!AA118*DEMANDA!O14</f>
        <v>14767.090928</v>
      </c>
      <c r="R32" s="24" t="s">
        <v>2320</v>
      </c>
    </row>
    <row r="33" customFormat="false" ht="15" hidden="false" customHeight="false" outlineLevel="0" collapsed="false">
      <c r="A33" s="38" t="n">
        <v>0</v>
      </c>
      <c r="B33" s="38" t="s">
        <v>802</v>
      </c>
      <c r="C33" s="38" t="s">
        <v>2000</v>
      </c>
      <c r="D33" s="38" t="s">
        <v>73</v>
      </c>
      <c r="E33" s="38"/>
      <c r="F33" s="38"/>
      <c r="G33" s="38"/>
      <c r="H33" s="39" t="n">
        <f aca="false">SUM(H34:H35)</f>
        <v>89.8287203101084</v>
      </c>
      <c r="I33" s="39" t="n">
        <f aca="false">SUM(I34:I35)</f>
        <v>173.37848450547</v>
      </c>
      <c r="J33" s="39" t="n">
        <f aca="false">SUM(J34:J35)</f>
        <v>335.883782497549</v>
      </c>
      <c r="K33" s="39" t="n">
        <f aca="false">SUM(K34:K35)</f>
        <v>658.33034117118</v>
      </c>
      <c r="L33" s="39" t="n">
        <f aca="false">SUM(L34:L35)</f>
        <v>1160.22851377485</v>
      </c>
      <c r="M33" s="39" t="n">
        <f aca="false">SUM(M34:M35)</f>
        <v>1680.89706168553</v>
      </c>
      <c r="N33" s="39" t="n">
        <f aca="false">SUM(N34:N35)</f>
        <v>2271.86555147218</v>
      </c>
      <c r="O33" s="39" t="n">
        <f aca="false">SUM(O34:O35)</f>
        <v>2876.26313499951</v>
      </c>
      <c r="P33" s="39" t="n">
        <f aca="false">SUM(P34:P35)</f>
        <v>3270.76535282133</v>
      </c>
      <c r="Q33" s="39" t="n">
        <f aca="false">SUM(Q34:Q35)</f>
        <v>3767.77302061005</v>
      </c>
      <c r="R33" s="38"/>
    </row>
    <row r="34" customFormat="false" ht="15" hidden="false" customHeight="false" outlineLevel="1" collapsed="false">
      <c r="A34" s="24" t="n">
        <v>1</v>
      </c>
      <c r="B34" s="24" t="s">
        <v>802</v>
      </c>
      <c r="C34" s="40" t="s">
        <v>2321</v>
      </c>
      <c r="D34" s="24" t="s">
        <v>73</v>
      </c>
      <c r="E34" s="24" t="s">
        <v>241</v>
      </c>
      <c r="F34" s="41" t="n">
        <f aca="false">INDEX((BOM_COEF!R123~BOM_COEF!S123~BOM_COEF!T123~BOM_COEF!U123~BOM_COEF!V123~BOM_COEF!W123~BOM_COEF!X123~BOM_COEF!Y123~BOM_COEF!Z123~BOM_COEF!AA123),1,1,INDEX(P_VAL,MATCH("AÑO_DIS",P_ID,0))-2025)</f>
        <v>0.9781728</v>
      </c>
      <c r="G34" s="24" t="s">
        <v>2281</v>
      </c>
      <c r="H34" s="42" t="n">
        <f aca="false">BOM_COEF!R123*DEMANDA!F7</f>
        <v>89.8287203101084</v>
      </c>
      <c r="I34" s="42" t="n">
        <f aca="false">BOM_COEF!S123*DEMANDA!G7</f>
        <v>173.37848450547</v>
      </c>
      <c r="J34" s="42" t="n">
        <f aca="false">BOM_COEF!T123*DEMANDA!H7</f>
        <v>247.456961377549</v>
      </c>
      <c r="K34" s="42" t="n">
        <f aca="false">BOM_COEF!U123*DEMANDA!I7</f>
        <v>350.20590917118</v>
      </c>
      <c r="L34" s="42" t="n">
        <f aca="false">BOM_COEF!V123*DEMANDA!J7</f>
        <v>589.562502254848</v>
      </c>
      <c r="M34" s="42" t="n">
        <f aca="false">BOM_COEF!W123*DEMANDA!K7</f>
        <v>853.55850744553</v>
      </c>
      <c r="N34" s="42" t="n">
        <f aca="false">BOM_COEF!X123*DEMANDA!L7</f>
        <v>1102.55778635218</v>
      </c>
      <c r="O34" s="42" t="n">
        <f aca="false">BOM_COEF!Y123*DEMANDA!M7</f>
        <v>1364.98615899951</v>
      </c>
      <c r="P34" s="42" t="n">
        <f aca="false">BOM_COEF!Z123*DEMANDA!N7</f>
        <v>1577.15696690133</v>
      </c>
      <c r="Q34" s="42" t="n">
        <f aca="false">BOM_COEF!AA123*DEMANDA!O7</f>
        <v>1800.66751981005</v>
      </c>
      <c r="R34" s="24" t="s">
        <v>2322</v>
      </c>
    </row>
    <row r="35" customFormat="false" ht="15" hidden="false" customHeight="false" outlineLevel="1" collapsed="false">
      <c r="A35" s="24" t="n">
        <v>1</v>
      </c>
      <c r="B35" s="24" t="s">
        <v>802</v>
      </c>
      <c r="C35" s="40" t="s">
        <v>2323</v>
      </c>
      <c r="D35" s="24" t="s">
        <v>73</v>
      </c>
      <c r="E35" s="24" t="s">
        <v>267</v>
      </c>
      <c r="F35" s="41" t="n">
        <f aca="false">INDEX((BOM_COEF!R158~BOM_COEF!S158~BOM_COEF!T158~BOM_COEF!U158~BOM_COEF!V158~BOM_COEF!W158~BOM_COEF!X158~BOM_COEF!Y158~BOM_COEF!Z158~BOM_COEF!AA158),1,1,INDEX(P_VAL,MATCH("AÑO_DIS",P_ID,0))-2025)</f>
        <v>0.9781728</v>
      </c>
      <c r="G35" s="24" t="s">
        <v>2281</v>
      </c>
      <c r="H35" s="42" t="n">
        <f aca="false">BOM_COEF!R158*DEMANDA!F15</f>
        <v>0</v>
      </c>
      <c r="I35" s="42" t="n">
        <f aca="false">BOM_COEF!S158*DEMANDA!G15</f>
        <v>0</v>
      </c>
      <c r="J35" s="42" t="n">
        <f aca="false">BOM_COEF!T158*DEMANDA!H15</f>
        <v>88.42682112</v>
      </c>
      <c r="K35" s="42" t="n">
        <f aca="false">BOM_COEF!U158*DEMANDA!I15</f>
        <v>308.124432</v>
      </c>
      <c r="L35" s="42" t="n">
        <f aca="false">BOM_COEF!V158*DEMANDA!J15</f>
        <v>570.66601152</v>
      </c>
      <c r="M35" s="42" t="n">
        <f aca="false">BOM_COEF!W158*DEMANDA!K15</f>
        <v>827.33855424</v>
      </c>
      <c r="N35" s="42" t="n">
        <f aca="false">BOM_COEF!X158*DEMANDA!L15</f>
        <v>1169.30776512</v>
      </c>
      <c r="O35" s="42" t="n">
        <f aca="false">BOM_COEF!Y158*DEMANDA!M15</f>
        <v>1511.276976</v>
      </c>
      <c r="P35" s="42" t="n">
        <f aca="false">BOM_COEF!Z158*DEMANDA!N15</f>
        <v>1693.60838592</v>
      </c>
      <c r="Q35" s="42" t="n">
        <f aca="false">BOM_COEF!AA158*DEMANDA!O15</f>
        <v>1967.1055008</v>
      </c>
      <c r="R35" s="24" t="s">
        <v>2324</v>
      </c>
    </row>
    <row r="36" customFormat="false" ht="15" hidden="false" customHeight="false" outlineLevel="0" collapsed="false">
      <c r="A36" s="38" t="n">
        <v>0</v>
      </c>
      <c r="B36" s="38" t="s">
        <v>805</v>
      </c>
      <c r="C36" s="38" t="s">
        <v>2004</v>
      </c>
      <c r="D36" s="38" t="s">
        <v>73</v>
      </c>
      <c r="E36" s="38"/>
      <c r="F36" s="38"/>
      <c r="G36" s="38"/>
      <c r="H36" s="39" t="n">
        <f aca="false">SUM(H37:H38)</f>
        <v>74.3137155069324</v>
      </c>
      <c r="I36" s="39" t="n">
        <f aca="false">SUM(I37:I38)</f>
        <v>143.432961396787</v>
      </c>
      <c r="J36" s="39" t="n">
        <f aca="false">SUM(J37:J38)</f>
        <v>277.870727421533</v>
      </c>
      <c r="K36" s="39" t="n">
        <f aca="false">SUM(K37:K38)</f>
        <v>544.625076640122</v>
      </c>
      <c r="L36" s="39" t="n">
        <f aca="false">SUM(L37:L38)</f>
        <v>959.836580083093</v>
      </c>
      <c r="M36" s="39" t="n">
        <f aca="false">SUM(M37:M38)</f>
        <v>1390.5764838607</v>
      </c>
      <c r="N36" s="39" t="n">
        <f aca="false">SUM(N37:N38)</f>
        <v>1879.47428928368</v>
      </c>
      <c r="O36" s="39" t="n">
        <f aca="false">SUM(O37:O38)</f>
        <v>2379.48174703518</v>
      </c>
      <c r="P36" s="39" t="n">
        <f aca="false">SUM(P37:P38)</f>
        <v>2705.84647182316</v>
      </c>
      <c r="Q36" s="39" t="n">
        <f aca="false">SUM(Q37:Q38)</f>
        <v>3117.01214691358</v>
      </c>
      <c r="R36" s="38"/>
    </row>
    <row r="37" customFormat="false" ht="15" hidden="false" customHeight="false" outlineLevel="1" collapsed="false">
      <c r="A37" s="24" t="n">
        <v>1</v>
      </c>
      <c r="B37" s="24" t="s">
        <v>805</v>
      </c>
      <c r="C37" s="40" t="s">
        <v>2325</v>
      </c>
      <c r="D37" s="24" t="s">
        <v>73</v>
      </c>
      <c r="E37" s="24" t="s">
        <v>241</v>
      </c>
      <c r="F37" s="41" t="n">
        <f aca="false">INDEX((BOM_COEF!R124~BOM_COEF!S124~BOM_COEF!T124~BOM_COEF!U124~BOM_COEF!V124~BOM_COEF!W124~BOM_COEF!X124~BOM_COEF!Y124~BOM_COEF!Z124~BOM_COEF!AA124),1,1,INDEX(P_VAL,MATCH("AÑO_DIS",P_ID,0))-2025)</f>
        <v>0.8092251</v>
      </c>
      <c r="G37" s="24" t="s">
        <v>2281</v>
      </c>
      <c r="H37" s="42" t="n">
        <f aca="false">BOM_COEF!R124*DEMANDA!F7</f>
        <v>74.3137155069324</v>
      </c>
      <c r="I37" s="42" t="n">
        <f aca="false">BOM_COEF!S124*DEMANDA!G7</f>
        <v>143.432961396787</v>
      </c>
      <c r="J37" s="42" t="n">
        <f aca="false">BOM_COEF!T124*DEMANDA!H7</f>
        <v>204.716778381533</v>
      </c>
      <c r="K37" s="42" t="n">
        <f aca="false">BOM_COEF!U124*DEMANDA!I7</f>
        <v>289.719170140122</v>
      </c>
      <c r="L37" s="42" t="n">
        <f aca="false">BOM_COEF!V124*DEMANDA!J7</f>
        <v>487.734656743093</v>
      </c>
      <c r="M37" s="42" t="n">
        <f aca="false">BOM_COEF!W124*DEMANDA!K7</f>
        <v>706.133894280703</v>
      </c>
      <c r="N37" s="42" t="n">
        <f aca="false">BOM_COEF!X124*DEMANDA!L7</f>
        <v>912.12660474368</v>
      </c>
      <c r="O37" s="42" t="n">
        <f aca="false">BOM_COEF!Y124*DEMANDA!M7</f>
        <v>1129.22896753518</v>
      </c>
      <c r="P37" s="42" t="n">
        <f aca="false">BOM_COEF!Z124*DEMANDA!N7</f>
        <v>1304.75413368316</v>
      </c>
      <c r="Q37" s="42" t="n">
        <f aca="false">BOM_COEF!AA124*DEMANDA!O7</f>
        <v>1489.66047081358</v>
      </c>
      <c r="R37" s="24" t="s">
        <v>2326</v>
      </c>
    </row>
    <row r="38" customFormat="false" ht="15" hidden="false" customHeight="false" outlineLevel="1" collapsed="false">
      <c r="A38" s="24" t="n">
        <v>1</v>
      </c>
      <c r="B38" s="24" t="s">
        <v>805</v>
      </c>
      <c r="C38" s="40" t="s">
        <v>2327</v>
      </c>
      <c r="D38" s="24" t="s">
        <v>73</v>
      </c>
      <c r="E38" s="24" t="s">
        <v>267</v>
      </c>
      <c r="F38" s="41" t="n">
        <f aca="false">INDEX((BOM_COEF!R159~BOM_COEF!S159~BOM_COEF!T159~BOM_COEF!U159~BOM_COEF!V159~BOM_COEF!W159~BOM_COEF!X159~BOM_COEF!Y159~BOM_COEF!Z159~BOM_COEF!AA159),1,1,INDEX(P_VAL,MATCH("AÑO_DIS",P_ID,0))-2025)</f>
        <v>0.8092251</v>
      </c>
      <c r="G38" s="24" t="s">
        <v>2281</v>
      </c>
      <c r="H38" s="42" t="n">
        <f aca="false">BOM_COEF!R159*DEMANDA!F15</f>
        <v>0</v>
      </c>
      <c r="I38" s="42" t="n">
        <f aca="false">BOM_COEF!S159*DEMANDA!G15</f>
        <v>0</v>
      </c>
      <c r="J38" s="42" t="n">
        <f aca="false">BOM_COEF!T159*DEMANDA!H15</f>
        <v>73.15394904</v>
      </c>
      <c r="K38" s="42" t="n">
        <f aca="false">BOM_COEF!U159*DEMANDA!I15</f>
        <v>254.9059065</v>
      </c>
      <c r="L38" s="42" t="n">
        <f aca="false">BOM_COEF!V159*DEMANDA!J15</f>
        <v>472.10192334</v>
      </c>
      <c r="M38" s="42" t="n">
        <f aca="false">BOM_COEF!W159*DEMANDA!K15</f>
        <v>684.44258958</v>
      </c>
      <c r="N38" s="42" t="n">
        <f aca="false">BOM_COEF!X159*DEMANDA!L15</f>
        <v>967.34768454</v>
      </c>
      <c r="O38" s="42" t="n">
        <f aca="false">BOM_COEF!Y159*DEMANDA!M15</f>
        <v>1250.2527795</v>
      </c>
      <c r="P38" s="42" t="n">
        <f aca="false">BOM_COEF!Z159*DEMANDA!N15</f>
        <v>1401.09233814</v>
      </c>
      <c r="Q38" s="42" t="n">
        <f aca="false">BOM_COEF!AA159*DEMANDA!O15</f>
        <v>1627.3516761</v>
      </c>
      <c r="R38" s="24" t="s">
        <v>2328</v>
      </c>
    </row>
    <row r="39" customFormat="false" ht="15" hidden="false" customHeight="false" outlineLevel="0" collapsed="false">
      <c r="A39" s="38" t="n">
        <v>0</v>
      </c>
      <c r="B39" s="38" t="s">
        <v>505</v>
      </c>
      <c r="C39" s="38" t="s">
        <v>2029</v>
      </c>
      <c r="D39" s="38" t="s">
        <v>82</v>
      </c>
      <c r="E39" s="38"/>
      <c r="F39" s="38"/>
      <c r="G39" s="38"/>
      <c r="H39" s="39" t="n">
        <f aca="false">SUM(H40:H41)</f>
        <v>4178.736543</v>
      </c>
      <c r="I39" s="39" t="n">
        <f aca="false">SUM(I40:I41)</f>
        <v>5997.303977</v>
      </c>
      <c r="J39" s="39" t="n">
        <f aca="false">SUM(J40:J41)</f>
        <v>14514.147758</v>
      </c>
      <c r="K39" s="39" t="n">
        <f aca="false">SUM(K40:K41)</f>
        <v>35161.935549</v>
      </c>
      <c r="L39" s="39" t="n">
        <f aca="false">SUM(L40:L41)</f>
        <v>62115.43271</v>
      </c>
      <c r="M39" s="39" t="n">
        <f aca="false">SUM(M40:M41)</f>
        <v>87300.45307</v>
      </c>
      <c r="N39" s="39" t="n">
        <f aca="false">SUM(N40:N41)</f>
        <v>121673.15326</v>
      </c>
      <c r="O39" s="39" t="n">
        <f aca="false">SUM(O40:O41)</f>
        <v>156133.07848</v>
      </c>
      <c r="P39" s="39" t="n">
        <f aca="false">SUM(P40:P41)</f>
        <v>175393.13614</v>
      </c>
      <c r="Q39" s="39" t="n">
        <f aca="false">SUM(Q40:Q41)</f>
        <v>202620.63913</v>
      </c>
      <c r="R39" s="38"/>
    </row>
    <row r="40" customFormat="false" ht="15" hidden="false" customHeight="false" outlineLevel="1" collapsed="false">
      <c r="A40" s="24" t="n">
        <v>1</v>
      </c>
      <c r="B40" s="24" t="s">
        <v>505</v>
      </c>
      <c r="C40" s="40" t="s">
        <v>2329</v>
      </c>
      <c r="D40" s="24" t="s">
        <v>82</v>
      </c>
      <c r="E40" s="24" t="s">
        <v>230</v>
      </c>
      <c r="F40" s="41" t="n">
        <f aca="false">INDEX((BOM_COEF!R7~BOM_COEF!S7~BOM_COEF!T7~BOM_COEF!U7~BOM_COEF!V7~BOM_COEF!W7~BOM_COEF!X7~BOM_COEF!Y7~BOM_COEF!Z7~BOM_COEF!AA7),1,1,INDEX(P_VAL,MATCH("AÑO_DIS",P_ID,0))-2025)</f>
        <v>1</v>
      </c>
      <c r="G40" s="24" t="s">
        <v>2281</v>
      </c>
      <c r="H40" s="42" t="n">
        <f aca="false">BOM_COEF!R7*DEMANDA!F4</f>
        <v>4178.736543</v>
      </c>
      <c r="I40" s="42" t="n">
        <f aca="false">BOM_COEF!S7*DEMANDA!G4</f>
        <v>5997.303977</v>
      </c>
      <c r="J40" s="42" t="n">
        <f aca="false">BOM_COEF!T7*DEMANDA!H4</f>
        <v>6851.747758</v>
      </c>
      <c r="K40" s="42" t="n">
        <f aca="false">BOM_COEF!U7*DEMANDA!I4</f>
        <v>8467.135549</v>
      </c>
      <c r="L40" s="42" t="n">
        <f aca="false">BOM_COEF!V7*DEMANDA!J4</f>
        <v>12680.63271</v>
      </c>
      <c r="M40" s="42" t="n">
        <f aca="false">BOM_COEF!W7*DEMANDA!K4</f>
        <v>15620.25307</v>
      </c>
      <c r="N40" s="42" t="n">
        <f aca="false">BOM_COEF!X7*DEMANDA!L4</f>
        <v>20332.55326</v>
      </c>
      <c r="O40" s="42" t="n">
        <f aca="false">BOM_COEF!Y7*DEMANDA!M4</f>
        <v>25132.07848</v>
      </c>
      <c r="P40" s="42" t="n">
        <f aca="false">BOM_COEF!Z7*DEMANDA!N4</f>
        <v>28573.33614</v>
      </c>
      <c r="Q40" s="42" t="n">
        <f aca="false">BOM_COEF!AA7*DEMANDA!O4</f>
        <v>32072.63913</v>
      </c>
      <c r="R40" s="24" t="s">
        <v>2330</v>
      </c>
    </row>
    <row r="41" customFormat="false" ht="15" hidden="false" customHeight="false" outlineLevel="1" collapsed="false">
      <c r="A41" s="24" t="n">
        <v>1</v>
      </c>
      <c r="B41" s="24" t="s">
        <v>505</v>
      </c>
      <c r="C41" s="40" t="s">
        <v>2331</v>
      </c>
      <c r="D41" s="24" t="s">
        <v>82</v>
      </c>
      <c r="E41" s="24" t="s">
        <v>258</v>
      </c>
      <c r="F41" s="41" t="n">
        <f aca="false">INDEX((BOM_COEF!R37~BOM_COEF!S37~BOM_COEF!T37~BOM_COEF!U37~BOM_COEF!V37~BOM_COEF!W37~BOM_COEF!X37~BOM_COEF!Y37~BOM_COEF!Z37~BOM_COEF!AA37),1,1,INDEX(P_VAL,MATCH("AÑO_DIS",P_ID,0))-2025)</f>
        <v>1</v>
      </c>
      <c r="G41" s="24" t="s">
        <v>2281</v>
      </c>
      <c r="H41" s="42" t="n">
        <f aca="false">BOM_COEF!R37*DEMANDA!F12</f>
        <v>0</v>
      </c>
      <c r="I41" s="42" t="n">
        <f aca="false">BOM_COEF!S37*DEMANDA!G12</f>
        <v>0</v>
      </c>
      <c r="J41" s="42" t="n">
        <f aca="false">BOM_COEF!T37*DEMANDA!H12</f>
        <v>7662.4</v>
      </c>
      <c r="K41" s="42" t="n">
        <f aca="false">BOM_COEF!U37*DEMANDA!I12</f>
        <v>26694.8</v>
      </c>
      <c r="L41" s="42" t="n">
        <f aca="false">BOM_COEF!V37*DEMANDA!J12</f>
        <v>49434.8</v>
      </c>
      <c r="M41" s="42" t="n">
        <f aca="false">BOM_COEF!W37*DEMANDA!K12</f>
        <v>71680.2</v>
      </c>
      <c r="N41" s="42" t="n">
        <f aca="false">BOM_COEF!X37*DEMANDA!L12</f>
        <v>101340.6</v>
      </c>
      <c r="O41" s="42" t="n">
        <f aca="false">BOM_COEF!Y37*DEMANDA!M12</f>
        <v>131001</v>
      </c>
      <c r="P41" s="42" t="n">
        <f aca="false">BOM_COEF!Z37*DEMANDA!N12</f>
        <v>146819.8</v>
      </c>
      <c r="Q41" s="42" t="n">
        <f aca="false">BOM_COEF!AA37*DEMANDA!O12</f>
        <v>170548</v>
      </c>
      <c r="R41" s="24" t="s">
        <v>2332</v>
      </c>
    </row>
    <row r="42" customFormat="false" ht="15" hidden="false" customHeight="false" outlineLevel="0" collapsed="false">
      <c r="A42" s="38" t="n">
        <v>0</v>
      </c>
      <c r="B42" s="38" t="s">
        <v>625</v>
      </c>
      <c r="C42" s="38" t="s">
        <v>2036</v>
      </c>
      <c r="D42" s="38" t="s">
        <v>82</v>
      </c>
      <c r="E42" s="38"/>
      <c r="F42" s="38"/>
      <c r="G42" s="38"/>
      <c r="H42" s="39" t="n">
        <f aca="false">SUM(H43:H48)</f>
        <v>3096.63656373</v>
      </c>
      <c r="I42" s="39" t="n">
        <f aca="false">SUM(I43:I48)</f>
        <v>6311.953628</v>
      </c>
      <c r="J42" s="39" t="n">
        <f aca="false">SUM(J43:J48)</f>
        <v>10233.1844284</v>
      </c>
      <c r="K42" s="39" t="n">
        <f aca="false">SUM(K43:K48)</f>
        <v>18646.5739811</v>
      </c>
      <c r="L42" s="39" t="n">
        <f aca="false">SUM(L43:L48)</f>
        <v>29311.8528179</v>
      </c>
      <c r="M42" s="39" t="n">
        <f aca="false">SUM(M43:M48)</f>
        <v>40163.439029</v>
      </c>
      <c r="N42" s="39" t="n">
        <f aca="false">SUM(N43:N48)</f>
        <v>52405.235909</v>
      </c>
      <c r="O42" s="39" t="n">
        <f aca="false">SUM(O43:O48)</f>
        <v>64310.937769</v>
      </c>
      <c r="P42" s="39" t="n">
        <f aca="false">SUM(P43:P48)</f>
        <v>72123.860847</v>
      </c>
      <c r="Q42" s="39" t="n">
        <f aca="false">SUM(Q43:Q48)</f>
        <v>83179.485243</v>
      </c>
      <c r="R42" s="38"/>
    </row>
    <row r="43" customFormat="false" ht="15" hidden="false" customHeight="false" outlineLevel="1" collapsed="false">
      <c r="A43" s="24" t="n">
        <v>1</v>
      </c>
      <c r="B43" s="24" t="s">
        <v>625</v>
      </c>
      <c r="C43" s="40" t="s">
        <v>2333</v>
      </c>
      <c r="D43" s="24" t="s">
        <v>82</v>
      </c>
      <c r="E43" s="24" t="s">
        <v>234</v>
      </c>
      <c r="F43" s="41" t="n">
        <f aca="false">INDEX((BOM_COEF!R43~BOM_COEF!S43~BOM_COEF!T43~BOM_COEF!U43~BOM_COEF!V43~BOM_COEF!W43~BOM_COEF!X43~BOM_COEF!Y43~BOM_COEF!Z43~BOM_COEF!AA43),1,1,INDEX(P_VAL,MATCH("AÑO_DIS",P_ID,0))-2025)</f>
        <v>1</v>
      </c>
      <c r="G43" s="24" t="s">
        <v>2281</v>
      </c>
      <c r="H43" s="42" t="n">
        <f aca="false">BOM_COEF!R43*DEMANDA!F5</f>
        <v>295.0303572</v>
      </c>
      <c r="I43" s="42" t="n">
        <f aca="false">BOM_COEF!S43*DEMANDA!G5</f>
        <v>709.7274503</v>
      </c>
      <c r="J43" s="42" t="n">
        <f aca="false">BOM_COEF!T43*DEMANDA!H5</f>
        <v>986.8680576</v>
      </c>
      <c r="K43" s="42" t="n">
        <f aca="false">BOM_COEF!U43*DEMANDA!I5</f>
        <v>1500.638174</v>
      </c>
      <c r="L43" s="42" t="n">
        <f aca="false">BOM_COEF!V43*DEMANDA!J5</f>
        <v>2312.627726</v>
      </c>
      <c r="M43" s="42" t="n">
        <f aca="false">BOM_COEF!W43*DEMANDA!K5</f>
        <v>3252.869887</v>
      </c>
      <c r="N43" s="42" t="n">
        <f aca="false">BOM_COEF!X43*DEMANDA!L5</f>
        <v>4102.315524</v>
      </c>
      <c r="O43" s="42" t="n">
        <f aca="false">BOM_COEF!Y43*DEMANDA!M5</f>
        <v>5104.306587</v>
      </c>
      <c r="P43" s="42" t="n">
        <f aca="false">BOM_COEF!Z43*DEMANDA!N5</f>
        <v>6195.186243</v>
      </c>
      <c r="Q43" s="42" t="n">
        <f aca="false">BOM_COEF!AA43*DEMANDA!O5</f>
        <v>7424.858444</v>
      </c>
      <c r="R43" s="24" t="s">
        <v>2334</v>
      </c>
    </row>
    <row r="44" customFormat="false" ht="15" hidden="false" customHeight="false" outlineLevel="1" collapsed="false">
      <c r="A44" s="24" t="n">
        <v>1</v>
      </c>
      <c r="B44" s="24" t="s">
        <v>625</v>
      </c>
      <c r="C44" s="40" t="s">
        <v>2335</v>
      </c>
      <c r="D44" s="24" t="s">
        <v>82</v>
      </c>
      <c r="E44" s="24" t="s">
        <v>261</v>
      </c>
      <c r="F44" s="41" t="n">
        <f aca="false">INDEX((BOM_COEF!R78~BOM_COEF!S78~BOM_COEF!T78~BOM_COEF!U78~BOM_COEF!V78~BOM_COEF!W78~BOM_COEF!X78~BOM_COEF!Y78~BOM_COEF!Z78~BOM_COEF!AA78),1,1,INDEX(P_VAL,MATCH("AÑO_DIS",P_ID,0))-2025)</f>
        <v>1</v>
      </c>
      <c r="G44" s="24" t="s">
        <v>2281</v>
      </c>
      <c r="H44" s="42" t="n">
        <f aca="false">BOM_COEF!R78*DEMANDA!F13</f>
        <v>0</v>
      </c>
      <c r="I44" s="42" t="n">
        <f aca="false">BOM_COEF!S78*DEMANDA!G13</f>
        <v>0</v>
      </c>
      <c r="J44" s="42" t="n">
        <f aca="false">BOM_COEF!T78*DEMANDA!H13</f>
        <v>299.6</v>
      </c>
      <c r="K44" s="42" t="n">
        <f aca="false">BOM_COEF!U78*DEMANDA!I13</f>
        <v>1043.8</v>
      </c>
      <c r="L44" s="42" t="n">
        <f aca="false">BOM_COEF!V78*DEMANDA!J13</f>
        <v>1933</v>
      </c>
      <c r="M44" s="42" t="n">
        <f aca="false">BOM_COEF!W78*DEMANDA!K13</f>
        <v>2803</v>
      </c>
      <c r="N44" s="42" t="n">
        <f aca="false">BOM_COEF!X78*DEMANDA!L13</f>
        <v>3963</v>
      </c>
      <c r="O44" s="42" t="n">
        <f aca="false">BOM_COEF!Y78*DEMANDA!M13</f>
        <v>5123</v>
      </c>
      <c r="P44" s="42" t="n">
        <f aca="false">BOM_COEF!Z78*DEMANDA!N13</f>
        <v>5741.4</v>
      </c>
      <c r="Q44" s="42" t="n">
        <f aca="false">BOM_COEF!AA78*DEMANDA!O13</f>
        <v>6669</v>
      </c>
      <c r="R44" s="24" t="s">
        <v>2336</v>
      </c>
    </row>
    <row r="45" customFormat="false" ht="15" hidden="false" customHeight="false" outlineLevel="1" collapsed="false">
      <c r="A45" s="24" t="n">
        <v>1</v>
      </c>
      <c r="B45" s="24" t="s">
        <v>625</v>
      </c>
      <c r="C45" s="40" t="s">
        <v>2337</v>
      </c>
      <c r="D45" s="24" t="s">
        <v>82</v>
      </c>
      <c r="E45" s="24" t="s">
        <v>238</v>
      </c>
      <c r="F45" s="41" t="n">
        <f aca="false">INDEX((BOM_COEF!R84~BOM_COEF!S84~BOM_COEF!T84~BOM_COEF!U84~BOM_COEF!V84~BOM_COEF!W84~BOM_COEF!X84~BOM_COEF!Y84~BOM_COEF!Z84~BOM_COEF!AA84),1,1,INDEX(P_VAL,MATCH("AÑO_DIS",P_ID,0))-2025)</f>
        <v>1</v>
      </c>
      <c r="G45" s="24" t="s">
        <v>2281</v>
      </c>
      <c r="H45" s="42" t="n">
        <f aca="false">BOM_COEF!R84*DEMANDA!F6</f>
        <v>2709.773025</v>
      </c>
      <c r="I45" s="42" t="n">
        <f aca="false">BOM_COEF!S84*DEMANDA!G6</f>
        <v>5424.978881</v>
      </c>
      <c r="J45" s="42" t="n">
        <f aca="false">BOM_COEF!T84*DEMANDA!H6</f>
        <v>7124.537591</v>
      </c>
      <c r="K45" s="42" t="n">
        <f aca="false">BOM_COEF!U84*DEMANDA!I6</f>
        <v>10277.115313</v>
      </c>
      <c r="L45" s="42" t="n">
        <f aca="false">BOM_COEF!V84*DEMANDA!J6</f>
        <v>14339.30694</v>
      </c>
      <c r="M45" s="42" t="n">
        <f aca="false">BOM_COEF!W84*DEMANDA!K6</f>
        <v>18554.96411</v>
      </c>
      <c r="N45" s="42" t="n">
        <f aca="false">BOM_COEF!X84*DEMANDA!L6</f>
        <v>22458.75984</v>
      </c>
      <c r="O45" s="42" t="n">
        <f aca="false">BOM_COEF!Y84*DEMANDA!M6</f>
        <v>25860.18637</v>
      </c>
      <c r="P45" s="42" t="n">
        <f aca="false">BOM_COEF!Z84*DEMANDA!N6</f>
        <v>28507.72455</v>
      </c>
      <c r="Q45" s="42" t="n">
        <f aca="false">BOM_COEF!AA84*DEMANDA!O6</f>
        <v>32318.77872</v>
      </c>
      <c r="R45" s="24" t="s">
        <v>2338</v>
      </c>
    </row>
    <row r="46" customFormat="false" ht="15" hidden="false" customHeight="false" outlineLevel="1" collapsed="false">
      <c r="A46" s="24" t="n">
        <v>1</v>
      </c>
      <c r="B46" s="24" t="s">
        <v>625</v>
      </c>
      <c r="C46" s="40" t="s">
        <v>2339</v>
      </c>
      <c r="D46" s="24" t="s">
        <v>82</v>
      </c>
      <c r="E46" s="24" t="s">
        <v>264</v>
      </c>
      <c r="F46" s="41" t="n">
        <f aca="false">INDEX((BOM_COEF!R119~BOM_COEF!S119~BOM_COEF!T119~BOM_COEF!U119~BOM_COEF!V119~BOM_COEF!W119~BOM_COEF!X119~BOM_COEF!Y119~BOM_COEF!Z119~BOM_COEF!AA119),1,1,INDEX(P_VAL,MATCH("AÑO_DIS",P_ID,0))-2025)</f>
        <v>1</v>
      </c>
      <c r="G46" s="24" t="s">
        <v>2281</v>
      </c>
      <c r="H46" s="42" t="n">
        <f aca="false">BOM_COEF!R119*DEMANDA!F14</f>
        <v>0</v>
      </c>
      <c r="I46" s="42" t="n">
        <f aca="false">BOM_COEF!S119*DEMANDA!G14</f>
        <v>0</v>
      </c>
      <c r="J46" s="42" t="n">
        <f aca="false">BOM_COEF!T119*DEMANDA!H14</f>
        <v>1478.8</v>
      </c>
      <c r="K46" s="42" t="n">
        <f aca="false">BOM_COEF!U119*DEMANDA!I14</f>
        <v>5152</v>
      </c>
      <c r="L46" s="42" t="n">
        <f aca="false">BOM_COEF!V119*DEMANDA!J14</f>
        <v>9540.8</v>
      </c>
      <c r="M46" s="42" t="n">
        <f aca="false">BOM_COEF!W119*DEMANDA!K14</f>
        <v>13834.2</v>
      </c>
      <c r="N46" s="42" t="n">
        <f aca="false">BOM_COEF!X119*DEMANDA!L14</f>
        <v>19558.6</v>
      </c>
      <c r="O46" s="42" t="n">
        <f aca="false">BOM_COEF!Y119*DEMANDA!M14</f>
        <v>25283</v>
      </c>
      <c r="P46" s="42" t="n">
        <f aca="false">BOM_COEF!Z119*DEMANDA!N14</f>
        <v>28335.8</v>
      </c>
      <c r="Q46" s="42" t="n">
        <f aca="false">BOM_COEF!AA119*DEMANDA!O14</f>
        <v>32915</v>
      </c>
      <c r="R46" s="24" t="s">
        <v>2340</v>
      </c>
    </row>
    <row r="47" customFormat="false" ht="15" hidden="false" customHeight="false" outlineLevel="1" collapsed="false">
      <c r="A47" s="24" t="n">
        <v>1</v>
      </c>
      <c r="B47" s="24" t="s">
        <v>625</v>
      </c>
      <c r="C47" s="40" t="s">
        <v>2341</v>
      </c>
      <c r="D47" s="24" t="s">
        <v>82</v>
      </c>
      <c r="E47" s="24" t="s">
        <v>241</v>
      </c>
      <c r="F47" s="41" t="n">
        <f aca="false">INDEX((BOM_COEF!R125~BOM_COEF!S125~BOM_COEF!T125~BOM_COEF!U125~BOM_COEF!V125~BOM_COEF!W125~BOM_COEF!X125~BOM_COEF!Y125~BOM_COEF!Z125~BOM_COEF!AA125),1,1,INDEX(P_VAL,MATCH("AÑO_DIS",P_ID,0))-2025)</f>
        <v>1</v>
      </c>
      <c r="G47" s="24" t="s">
        <v>2281</v>
      </c>
      <c r="H47" s="42" t="n">
        <f aca="false">BOM_COEF!R125*DEMANDA!F7</f>
        <v>91.83318153</v>
      </c>
      <c r="I47" s="42" t="n">
        <f aca="false">BOM_COEF!S125*DEMANDA!G7</f>
        <v>177.2472967</v>
      </c>
      <c r="J47" s="42" t="n">
        <f aca="false">BOM_COEF!T125*DEMANDA!H7</f>
        <v>252.9787798</v>
      </c>
      <c r="K47" s="42" t="n">
        <f aca="false">BOM_COEF!U125*DEMANDA!I7</f>
        <v>358.0204941</v>
      </c>
      <c r="L47" s="42" t="n">
        <f aca="false">BOM_COEF!V125*DEMANDA!J7</f>
        <v>602.7181519</v>
      </c>
      <c r="M47" s="42" t="n">
        <f aca="false">BOM_COEF!W125*DEMANDA!K7</f>
        <v>872.605032</v>
      </c>
      <c r="N47" s="42" t="n">
        <f aca="false">BOM_COEF!X125*DEMANDA!L7</f>
        <v>1127.160545</v>
      </c>
      <c r="O47" s="42" t="n">
        <f aca="false">BOM_COEF!Y125*DEMANDA!M7</f>
        <v>1395.444812</v>
      </c>
      <c r="P47" s="42" t="n">
        <f aca="false">BOM_COEF!Z125*DEMANDA!N7</f>
        <v>1612.350054</v>
      </c>
      <c r="Q47" s="42" t="n">
        <f aca="false">BOM_COEF!AA125*DEMANDA!O7</f>
        <v>1840.848079</v>
      </c>
      <c r="R47" s="24" t="s">
        <v>2342</v>
      </c>
    </row>
    <row r="48" customFormat="false" ht="15" hidden="false" customHeight="false" outlineLevel="1" collapsed="false">
      <c r="A48" s="24" t="n">
        <v>1</v>
      </c>
      <c r="B48" s="24" t="s">
        <v>625</v>
      </c>
      <c r="C48" s="40" t="s">
        <v>2343</v>
      </c>
      <c r="D48" s="24" t="s">
        <v>82</v>
      </c>
      <c r="E48" s="24" t="s">
        <v>267</v>
      </c>
      <c r="F48" s="41" t="n">
        <f aca="false">INDEX((BOM_COEF!R160~BOM_COEF!S160~BOM_COEF!T160~BOM_COEF!U160~BOM_COEF!V160~BOM_COEF!W160~BOM_COEF!X160~BOM_COEF!Y160~BOM_COEF!Z160~BOM_COEF!AA160),1,1,INDEX(P_VAL,MATCH("AÑO_DIS",P_ID,0))-2025)</f>
        <v>1</v>
      </c>
      <c r="G48" s="24" t="s">
        <v>2281</v>
      </c>
      <c r="H48" s="42" t="n">
        <f aca="false">BOM_COEF!R160*DEMANDA!F15</f>
        <v>0</v>
      </c>
      <c r="I48" s="42" t="n">
        <f aca="false">BOM_COEF!S160*DEMANDA!G15</f>
        <v>0</v>
      </c>
      <c r="J48" s="42" t="n">
        <f aca="false">BOM_COEF!T160*DEMANDA!H15</f>
        <v>90.4</v>
      </c>
      <c r="K48" s="42" t="n">
        <f aca="false">BOM_COEF!U160*DEMANDA!I15</f>
        <v>315</v>
      </c>
      <c r="L48" s="42" t="n">
        <f aca="false">BOM_COEF!V160*DEMANDA!J15</f>
        <v>583.4</v>
      </c>
      <c r="M48" s="42" t="n">
        <f aca="false">BOM_COEF!W160*DEMANDA!K15</f>
        <v>845.8</v>
      </c>
      <c r="N48" s="42" t="n">
        <f aca="false">BOM_COEF!X160*DEMANDA!L15</f>
        <v>1195.4</v>
      </c>
      <c r="O48" s="42" t="n">
        <f aca="false">BOM_COEF!Y160*DEMANDA!M15</f>
        <v>1545</v>
      </c>
      <c r="P48" s="42" t="n">
        <f aca="false">BOM_COEF!Z160*DEMANDA!N15</f>
        <v>1731.4</v>
      </c>
      <c r="Q48" s="42" t="n">
        <f aca="false">BOM_COEF!AA160*DEMANDA!O15</f>
        <v>2011</v>
      </c>
      <c r="R48" s="24" t="s">
        <v>2344</v>
      </c>
    </row>
    <row r="49" customFormat="false" ht="15" hidden="false" customHeight="false" outlineLevel="0" collapsed="false">
      <c r="A49" s="38" t="n">
        <v>0</v>
      </c>
      <c r="B49" s="38" t="s">
        <v>568</v>
      </c>
      <c r="C49" s="38" t="s">
        <v>2061</v>
      </c>
      <c r="D49" s="38" t="s">
        <v>73</v>
      </c>
      <c r="E49" s="38"/>
      <c r="F49" s="38"/>
      <c r="G49" s="38"/>
      <c r="H49" s="39" t="n">
        <f aca="false">SUM(H50:H53)</f>
        <v>20227.7130388124</v>
      </c>
      <c r="I49" s="39" t="n">
        <f aca="false">SUM(I50:I53)</f>
        <v>38223.1222274977</v>
      </c>
      <c r="J49" s="39" t="n">
        <f aca="false">SUM(J50:J53)</f>
        <v>49459.651420414</v>
      </c>
      <c r="K49" s="39" t="n">
        <f aca="false">SUM(K50:K53)</f>
        <v>69970.9532626872</v>
      </c>
      <c r="L49" s="39" t="n">
        <f aca="false">SUM(L50:L53)</f>
        <v>100168.653879881</v>
      </c>
      <c r="M49" s="39" t="n">
        <f aca="false">SUM(M50:M53)</f>
        <v>130402.201078417</v>
      </c>
      <c r="N49" s="39" t="n">
        <f aca="false">SUM(N50:N53)</f>
        <v>160502.511999119</v>
      </c>
      <c r="O49" s="39" t="n">
        <f aca="false">SUM(O50:O53)</f>
        <v>188615.872736632</v>
      </c>
      <c r="P49" s="39" t="n">
        <f aca="false">SUM(P50:P53)</f>
        <v>211069.660970723</v>
      </c>
      <c r="Q49" s="39" t="n">
        <f aca="false">SUM(Q50:Q53)</f>
        <v>240113.338313836</v>
      </c>
      <c r="R49" s="38"/>
    </row>
    <row r="50" customFormat="false" ht="15" hidden="false" customHeight="false" outlineLevel="1" collapsed="false">
      <c r="A50" s="24" t="n">
        <v>1</v>
      </c>
      <c r="B50" s="24" t="s">
        <v>568</v>
      </c>
      <c r="C50" s="40" t="s">
        <v>2345</v>
      </c>
      <c r="D50" s="24" t="s">
        <v>73</v>
      </c>
      <c r="E50" s="24" t="s">
        <v>230</v>
      </c>
      <c r="F50" s="41" t="n">
        <f aca="false">INDEX((BOM_COEF!R25~BOM_COEF!S25~BOM_COEF!T25~BOM_COEF!U25~BOM_COEF!V25~BOM_COEF!W25~BOM_COEF!X25~BOM_COEF!Y25~BOM_COEF!Z25~BOM_COEF!AA25),1,1,INDEX(P_VAL,MATCH("AÑO_DIS",P_ID,0))-2025)</f>
        <v>1.0605</v>
      </c>
      <c r="G50" s="24" t="s">
        <v>2281</v>
      </c>
      <c r="H50" s="42" t="n">
        <f aca="false">BOM_COEF!R25*DEMANDA!F4</f>
        <v>4431.5501038515</v>
      </c>
      <c r="I50" s="42" t="n">
        <f aca="false">BOM_COEF!S25*DEMANDA!G4</f>
        <v>6360.1408676085</v>
      </c>
      <c r="J50" s="42" t="n">
        <f aca="false">BOM_COEF!T25*DEMANDA!H4</f>
        <v>7266.278497359</v>
      </c>
      <c r="K50" s="42" t="n">
        <f aca="false">BOM_COEF!U25*DEMANDA!I4</f>
        <v>8979.3972497145</v>
      </c>
      <c r="L50" s="42" t="n">
        <f aca="false">BOM_COEF!V25*DEMANDA!J4</f>
        <v>13447.810988955</v>
      </c>
      <c r="M50" s="42" t="n">
        <f aca="false">BOM_COEF!W25*DEMANDA!K4</f>
        <v>16565.278380735</v>
      </c>
      <c r="N50" s="42" t="n">
        <f aca="false">BOM_COEF!X25*DEMANDA!L4</f>
        <v>21562.67273223</v>
      </c>
      <c r="O50" s="42" t="n">
        <f aca="false">BOM_COEF!Y25*DEMANDA!M4</f>
        <v>26652.56922804</v>
      </c>
      <c r="P50" s="42" t="n">
        <f aca="false">BOM_COEF!Z25*DEMANDA!N4</f>
        <v>30302.02297647</v>
      </c>
      <c r="Q50" s="42" t="n">
        <f aca="false">BOM_COEF!AA25*DEMANDA!O4</f>
        <v>34013.033797365</v>
      </c>
      <c r="R50" s="24" t="s">
        <v>2346</v>
      </c>
    </row>
    <row r="51" customFormat="false" ht="15" hidden="false" customHeight="false" outlineLevel="1" collapsed="false">
      <c r="A51" s="24" t="n">
        <v>1</v>
      </c>
      <c r="B51" s="24" t="s">
        <v>568</v>
      </c>
      <c r="C51" s="40" t="s">
        <v>2347</v>
      </c>
      <c r="D51" s="24" t="s">
        <v>73</v>
      </c>
      <c r="E51" s="24" t="s">
        <v>234</v>
      </c>
      <c r="F51" s="41" t="n">
        <f aca="false">INDEX((BOM_COEF!R64~BOM_COEF!S64~BOM_COEF!T64~BOM_COEF!U64~BOM_COEF!V64~BOM_COEF!W64~BOM_COEF!X64~BOM_COEF!Y64~BOM_COEF!Z64~BOM_COEF!AA64),1,1,INDEX(P_VAL,MATCH("AÑO_DIS",P_ID,0))-2025)</f>
        <v>2.5755</v>
      </c>
      <c r="G51" s="24" t="s">
        <v>2281</v>
      </c>
      <c r="H51" s="42" t="n">
        <f aca="false">BOM_COEF!R64*DEMANDA!F5</f>
        <v>759.8506849686</v>
      </c>
      <c r="I51" s="42" t="n">
        <f aca="false">BOM_COEF!S64*DEMANDA!G5</f>
        <v>1827.90304824765</v>
      </c>
      <c r="J51" s="42" t="n">
        <f aca="false">BOM_COEF!T64*DEMANDA!H5</f>
        <v>2541.6786823488</v>
      </c>
      <c r="K51" s="42" t="n">
        <f aca="false">BOM_COEF!U64*DEMANDA!I5</f>
        <v>3864.893617137</v>
      </c>
      <c r="L51" s="42" t="n">
        <f aca="false">BOM_COEF!V64*DEMANDA!J5</f>
        <v>5956.172708313</v>
      </c>
      <c r="M51" s="42" t="n">
        <f aca="false">BOM_COEF!W64*DEMANDA!K5</f>
        <v>8377.7663939685</v>
      </c>
      <c r="N51" s="42" t="n">
        <f aca="false">BOM_COEF!X64*DEMANDA!L5</f>
        <v>10565.513632062</v>
      </c>
      <c r="O51" s="42" t="n">
        <f aca="false">BOM_COEF!Y64*DEMANDA!M5</f>
        <v>13146.1416148185</v>
      </c>
      <c r="P51" s="42" t="n">
        <f aca="false">BOM_COEF!Z64*DEMANDA!N5</f>
        <v>15955.7021688465</v>
      </c>
      <c r="Q51" s="42" t="n">
        <f aca="false">BOM_COEF!AA64*DEMANDA!O5</f>
        <v>19122.722922522</v>
      </c>
      <c r="R51" s="24" t="s">
        <v>2348</v>
      </c>
    </row>
    <row r="52" customFormat="false" ht="15" hidden="false" customHeight="false" outlineLevel="1" collapsed="false">
      <c r="A52" s="24" t="n">
        <v>1</v>
      </c>
      <c r="B52" s="24" t="s">
        <v>568</v>
      </c>
      <c r="C52" s="40" t="s">
        <v>2349</v>
      </c>
      <c r="D52" s="24" t="s">
        <v>73</v>
      </c>
      <c r="E52" s="24" t="s">
        <v>238</v>
      </c>
      <c r="F52" s="41" t="n">
        <f aca="false">INDEX((BOM_COEF!R105~BOM_COEF!S105~BOM_COEF!T105~BOM_COEF!U105~BOM_COEF!V105~BOM_COEF!W105~BOM_COEF!X105~BOM_COEF!Y105~BOM_COEF!Z105~BOM_COEF!AA105),1,1,INDEX(P_VAL,MATCH("AÑO_DIS",P_ID,0))-2025)</f>
        <v>5.2015</v>
      </c>
      <c r="G52" s="24" t="s">
        <v>2281</v>
      </c>
      <c r="H52" s="42" t="n">
        <f aca="false">BOM_COEF!R105*DEMANDA!F6</f>
        <v>14094.8843895375</v>
      </c>
      <c r="I52" s="42" t="n">
        <f aca="false">BOM_COEF!S105*DEMANDA!G6</f>
        <v>28218.0276495215</v>
      </c>
      <c r="J52" s="42" t="n">
        <f aca="false">BOM_COEF!T105*DEMANDA!H6</f>
        <v>37058.2822795865</v>
      </c>
      <c r="K52" s="42" t="n">
        <f aca="false">BOM_COEF!U105*DEMANDA!I6</f>
        <v>53456.4153005695</v>
      </c>
      <c r="L52" s="42" t="n">
        <f aca="false">BOM_COEF!V105*DEMANDA!J6</f>
        <v>74585.90504841</v>
      </c>
      <c r="M52" s="42" t="n">
        <f aca="false">BOM_COEF!W105*DEMANDA!K6</f>
        <v>96513.645818165</v>
      </c>
      <c r="N52" s="42" t="n">
        <f aca="false">BOM_COEF!X105*DEMANDA!L6</f>
        <v>116819.23930776</v>
      </c>
      <c r="O52" s="42" t="n">
        <f aca="false">BOM_COEF!Y105*DEMANDA!M6</f>
        <v>134511.759403555</v>
      </c>
      <c r="P52" s="42" t="n">
        <f aca="false">BOM_COEF!Z105*DEMANDA!N6</f>
        <v>148282.929246825</v>
      </c>
      <c r="Q52" s="42" t="n">
        <f aca="false">BOM_COEF!AA105*DEMANDA!O6</f>
        <v>168106.12751208</v>
      </c>
      <c r="R52" s="24" t="s">
        <v>2350</v>
      </c>
    </row>
    <row r="53" customFormat="false" ht="15" hidden="false" customHeight="false" outlineLevel="1" collapsed="false">
      <c r="A53" s="24" t="n">
        <v>1</v>
      </c>
      <c r="B53" s="24" t="s">
        <v>568</v>
      </c>
      <c r="C53" s="40" t="s">
        <v>2351</v>
      </c>
      <c r="D53" s="24" t="s">
        <v>73</v>
      </c>
      <c r="E53" s="24" t="s">
        <v>241</v>
      </c>
      <c r="F53" s="41" t="n">
        <f aca="false">INDEX((BOM_COEF!R146~BOM_COEF!S146~BOM_COEF!T146~BOM_COEF!U146~BOM_COEF!V146~BOM_COEF!W146~BOM_COEF!X146~BOM_COEF!Y146~BOM_COEF!Z146~BOM_COEF!AA146),1,1,INDEX(P_VAL,MATCH("AÑO_DIS",P_ID,0))-2025)</f>
        <v>10.2515</v>
      </c>
      <c r="G53" s="24" t="s">
        <v>2281</v>
      </c>
      <c r="H53" s="42" t="n">
        <f aca="false">BOM_COEF!R146*DEMANDA!F7</f>
        <v>941.427860454795</v>
      </c>
      <c r="I53" s="42" t="n">
        <f aca="false">BOM_COEF!S146*DEMANDA!G7</f>
        <v>1817.05066212005</v>
      </c>
      <c r="J53" s="42" t="n">
        <f aca="false">BOM_COEF!T146*DEMANDA!H7</f>
        <v>2593.4119611197</v>
      </c>
      <c r="K53" s="42" t="n">
        <f aca="false">BOM_COEF!U146*DEMANDA!I7</f>
        <v>3670.24709526615</v>
      </c>
      <c r="L53" s="42" t="n">
        <f aca="false">BOM_COEF!V146*DEMANDA!J7</f>
        <v>6178.76513420285</v>
      </c>
      <c r="M53" s="42" t="n">
        <f aca="false">BOM_COEF!W146*DEMANDA!K7</f>
        <v>8945.510485548</v>
      </c>
      <c r="N53" s="42" t="n">
        <f aca="false">BOM_COEF!X146*DEMANDA!L7</f>
        <v>11555.0863270675</v>
      </c>
      <c r="O53" s="42" t="n">
        <f aca="false">BOM_COEF!Y146*DEMANDA!M7</f>
        <v>14305.402490218</v>
      </c>
      <c r="P53" s="42" t="n">
        <f aca="false">BOM_COEF!Z146*DEMANDA!N7</f>
        <v>16529.006578581</v>
      </c>
      <c r="Q53" s="42" t="n">
        <f aca="false">BOM_COEF!AA146*DEMANDA!O7</f>
        <v>18871.4540818685</v>
      </c>
      <c r="R53" s="24" t="s">
        <v>2352</v>
      </c>
    </row>
    <row r="54" customFormat="false" ht="15" hidden="false" customHeight="false" outlineLevel="0" collapsed="false">
      <c r="A54" s="38" t="n">
        <v>0</v>
      </c>
      <c r="B54" s="38" t="s">
        <v>573</v>
      </c>
      <c r="C54" s="38" t="s">
        <v>2070</v>
      </c>
      <c r="D54" s="38" t="s">
        <v>1778</v>
      </c>
      <c r="E54" s="38"/>
      <c r="F54" s="38"/>
      <c r="G54" s="38"/>
      <c r="H54" s="39" t="n">
        <f aca="false">SUM(H55:H58)</f>
        <v>92.6770197815315</v>
      </c>
      <c r="I54" s="39" t="n">
        <f aca="false">SUM(I55:I58)</f>
        <v>178.093012098985</v>
      </c>
      <c r="J54" s="39" t="n">
        <f aca="false">SUM(J55:J58)</f>
        <v>232.090268090845</v>
      </c>
      <c r="K54" s="39" t="n">
        <f aca="false">SUM(K55:K58)</f>
        <v>330.286961096116</v>
      </c>
      <c r="L54" s="39" t="n">
        <f aca="false">SUM(L55:L58)</f>
        <v>475.048971502772</v>
      </c>
      <c r="M54" s="39" t="n">
        <f aca="false">SUM(M55:M58)</f>
        <v>622.487254073106</v>
      </c>
      <c r="N54" s="39" t="n">
        <f aca="false">SUM(N55:N58)</f>
        <v>766.893712602706</v>
      </c>
      <c r="O54" s="39" t="n">
        <f aca="false">SUM(O55:O58)</f>
        <v>903.809316903528</v>
      </c>
      <c r="P54" s="39" t="n">
        <f aca="false">SUM(P55:P58)</f>
        <v>1016.25861624499</v>
      </c>
      <c r="Q54" s="39" t="n">
        <f aca="false">SUM(Q55:Q58)</f>
        <v>1160.09704917314</v>
      </c>
      <c r="R54" s="38"/>
    </row>
    <row r="55" customFormat="false" ht="15" hidden="false" customHeight="false" outlineLevel="1" collapsed="false">
      <c r="A55" s="24" t="n">
        <v>1</v>
      </c>
      <c r="B55" s="24" t="s">
        <v>573</v>
      </c>
      <c r="C55" s="40" t="s">
        <v>2353</v>
      </c>
      <c r="D55" s="24" t="s">
        <v>1778</v>
      </c>
      <c r="E55" s="24" t="s">
        <v>230</v>
      </c>
      <c r="F55" s="41" t="n">
        <f aca="false">INDEX((BOM_COEF!R26~BOM_COEF!S26~BOM_COEF!T26~BOM_COEF!U26~BOM_COEF!V26~BOM_COEF!W26~BOM_COEF!X26~BOM_COEF!Y26~BOM_COEF!Z26~BOM_COEF!AA26),1,1,INDEX(P_VAL,MATCH("AÑO_DIS",P_ID,0))-2025)</f>
        <v>0.00404672042660542</v>
      </c>
      <c r="G55" s="24" t="s">
        <v>2281</v>
      </c>
      <c r="H55" s="42" t="n">
        <f aca="false">BOM_COEF!R26*DEMANDA!F4</f>
        <v>16.9101785259606</v>
      </c>
      <c r="I55" s="42" t="n">
        <f aca="false">BOM_COEF!S26*DEMANDA!G4</f>
        <v>24.2694125082878</v>
      </c>
      <c r="J55" s="42" t="n">
        <f aca="false">BOM_COEF!T26*DEMANDA!H4</f>
        <v>27.7271076102465</v>
      </c>
      <c r="K55" s="42" t="n">
        <f aca="false">BOM_COEF!U26*DEMANDA!I4</f>
        <v>34.2641303809752</v>
      </c>
      <c r="L55" s="42" t="n">
        <f aca="false">BOM_COEF!V26*DEMANDA!J4</f>
        <v>51.3149754098379</v>
      </c>
      <c r="M55" s="42" t="n">
        <f aca="false">BOM_COEF!W26*DEMANDA!K4</f>
        <v>63.2107971671151</v>
      </c>
      <c r="N55" s="42" t="n">
        <f aca="false">BOM_COEF!X26*DEMANDA!L4</f>
        <v>82.2801586022847</v>
      </c>
      <c r="O55" s="42" t="n">
        <f aca="false">BOM_COEF!Y26*DEMANDA!M4</f>
        <v>101.702495348067</v>
      </c>
      <c r="P55" s="42" t="n">
        <f aca="false">BOM_COEF!Z26*DEMANDA!N4</f>
        <v>115.628303014001</v>
      </c>
      <c r="Q55" s="42" t="n">
        <f aca="false">BOM_COEF!AA26*DEMANDA!O4</f>
        <v>129.789003902515</v>
      </c>
      <c r="R55" s="24" t="s">
        <v>2354</v>
      </c>
    </row>
    <row r="56" customFormat="false" ht="15" hidden="false" customHeight="false" outlineLevel="1" collapsed="false">
      <c r="A56" s="24" t="n">
        <v>1</v>
      </c>
      <c r="B56" s="24" t="s">
        <v>573</v>
      </c>
      <c r="C56" s="40" t="s">
        <v>2355</v>
      </c>
      <c r="D56" s="24" t="s">
        <v>1778</v>
      </c>
      <c r="E56" s="24" t="s">
        <v>234</v>
      </c>
      <c r="F56" s="41" t="n">
        <f aca="false">INDEX((BOM_COEF!R65~BOM_COEF!S65~BOM_COEF!T65~BOM_COEF!U65~BOM_COEF!V65~BOM_COEF!W65~BOM_COEF!X65~BOM_COEF!Y65~BOM_COEF!Z65~BOM_COEF!AA65),1,1,INDEX(P_VAL,MATCH("AÑO_DIS",P_ID,0))-2025)</f>
        <v>0.0212126473975284</v>
      </c>
      <c r="G56" s="24" t="s">
        <v>2281</v>
      </c>
      <c r="H56" s="42" t="n">
        <f aca="false">BOM_COEF!R65*DEMANDA!F5</f>
        <v>6.25837493885046</v>
      </c>
      <c r="I56" s="42" t="n">
        <f aca="false">BOM_COEF!S65*DEMANDA!G5</f>
        <v>15.0551981515608</v>
      </c>
      <c r="J56" s="42" t="n">
        <f aca="false">BOM_COEF!T65*DEMANDA!H5</f>
        <v>20.9340841337526</v>
      </c>
      <c r="K56" s="42" t="n">
        <f aca="false">BOM_COEF!U65*DEMANDA!I5</f>
        <v>31.8325084563329</v>
      </c>
      <c r="L56" s="42" t="n">
        <f aca="false">BOM_COEF!V65*DEMANDA!J5</f>
        <v>49.056956513386</v>
      </c>
      <c r="M56" s="42" t="n">
        <f aca="false">BOM_COEF!W65*DEMANDA!K5</f>
        <v>69.0019819429691</v>
      </c>
      <c r="N56" s="42" t="n">
        <f aca="false">BOM_COEF!X65*DEMANDA!L5</f>
        <v>87.020972724019</v>
      </c>
      <c r="O56" s="42" t="n">
        <f aca="false">BOM_COEF!Y65*DEMANDA!M5</f>
        <v>108.275855838913</v>
      </c>
      <c r="P56" s="42" t="n">
        <f aca="false">BOM_COEF!Z65*DEMANDA!N5</f>
        <v>131.416301334778</v>
      </c>
      <c r="Q56" s="42" t="n">
        <f aca="false">BOM_COEF!AA65*DEMANDA!O5</f>
        <v>157.500904149133</v>
      </c>
      <c r="R56" s="24" t="s">
        <v>2356</v>
      </c>
    </row>
    <row r="57" customFormat="false" ht="15" hidden="false" customHeight="false" outlineLevel="1" collapsed="false">
      <c r="A57" s="24" t="n">
        <v>1</v>
      </c>
      <c r="B57" s="24" t="s">
        <v>573</v>
      </c>
      <c r="C57" s="40" t="s">
        <v>2357</v>
      </c>
      <c r="D57" s="24" t="s">
        <v>1778</v>
      </c>
      <c r="E57" s="24" t="s">
        <v>238</v>
      </c>
      <c r="F57" s="41" t="n">
        <f aca="false">INDEX((BOM_COEF!R106~BOM_COEF!S106~BOM_COEF!T106~BOM_COEF!U106~BOM_COEF!V106~BOM_COEF!W106~BOM_COEF!X106~BOM_COEF!Y106~BOM_COEF!Z106~BOM_COEF!AA106),1,1,INDEX(P_VAL,MATCH("AÑO_DIS",P_ID,0))-2025)</f>
        <v>0.0236602605587818</v>
      </c>
      <c r="G57" s="24" t="s">
        <v>2281</v>
      </c>
      <c r="H57" s="42" t="n">
        <f aca="false">BOM_COEF!R106*DEMANDA!F6</f>
        <v>64.1139358266583</v>
      </c>
      <c r="I57" s="42" t="n">
        <f aca="false">BOM_COEF!S106*DEMANDA!G6</f>
        <v>128.356413850348</v>
      </c>
      <c r="J57" s="42" t="n">
        <f aca="false">BOM_COEF!T106*DEMANDA!H6</f>
        <v>168.568415763895</v>
      </c>
      <c r="K57" s="42" t="n">
        <f aca="false">BOM_COEF!U106*DEMANDA!I6</f>
        <v>243.159226098226</v>
      </c>
      <c r="L57" s="42" t="n">
        <f aca="false">BOM_COEF!V106*DEMANDA!J6</f>
        <v>339.271738432748</v>
      </c>
      <c r="M57" s="42" t="n">
        <f aca="false">BOM_COEF!W106*DEMANDA!K6</f>
        <v>439.015285501444</v>
      </c>
      <c r="N57" s="42" t="n">
        <f aca="false">BOM_COEF!X106*DEMANDA!L6</f>
        <v>531.380109641504</v>
      </c>
      <c r="O57" s="42" t="n">
        <f aca="false">BOM_COEF!Y106*DEMANDA!M6</f>
        <v>611.858747612857</v>
      </c>
      <c r="P57" s="42" t="n">
        <f aca="false">BOM_COEF!Z106*DEMANDA!N6</f>
        <v>674.50019079098</v>
      </c>
      <c r="Q57" s="42" t="n">
        <f aca="false">BOM_COEF!AA106*DEMANDA!O6</f>
        <v>764.670725456812</v>
      </c>
      <c r="R57" s="24" t="s">
        <v>2358</v>
      </c>
    </row>
    <row r="58" customFormat="false" ht="15" hidden="false" customHeight="false" outlineLevel="1" collapsed="false">
      <c r="A58" s="24" t="n">
        <v>1</v>
      </c>
      <c r="B58" s="24" t="s">
        <v>573</v>
      </c>
      <c r="C58" s="40" t="s">
        <v>2359</v>
      </c>
      <c r="D58" s="24" t="s">
        <v>1778</v>
      </c>
      <c r="E58" s="24" t="s">
        <v>241</v>
      </c>
      <c r="F58" s="41" t="n">
        <f aca="false">INDEX((BOM_COEF!R147~BOM_COEF!S147~BOM_COEF!T147~BOM_COEF!U147~BOM_COEF!V147~BOM_COEF!W147~BOM_COEF!X147~BOM_COEF!Y147~BOM_COEF!Z147~BOM_COEF!AA147),1,1,INDEX(P_VAL,MATCH("AÑO_DIS",P_ID,0))-2025)</f>
        <v>0.0587427158700788</v>
      </c>
      <c r="G58" s="24" t="s">
        <v>2281</v>
      </c>
      <c r="H58" s="42" t="n">
        <f aca="false">BOM_COEF!R147*DEMANDA!F7</f>
        <v>5.39453049006216</v>
      </c>
      <c r="I58" s="42" t="n">
        <f aca="false">BOM_COEF!S147*DEMANDA!G7</f>
        <v>10.4119875887877</v>
      </c>
      <c r="J58" s="42" t="n">
        <f aca="false">BOM_COEF!T147*DEMANDA!H7</f>
        <v>14.8606605829506</v>
      </c>
      <c r="K58" s="42" t="n">
        <f aca="false">BOM_COEF!U147*DEMANDA!I7</f>
        <v>21.0310961605815</v>
      </c>
      <c r="L58" s="42" t="n">
        <f aca="false">BOM_COEF!V147*DEMANDA!J7</f>
        <v>35.4053011468007</v>
      </c>
      <c r="M58" s="42" t="n">
        <f aca="false">BOM_COEF!W147*DEMANDA!K7</f>
        <v>51.259189461577</v>
      </c>
      <c r="N58" s="42" t="n">
        <f aca="false">BOM_COEF!X147*DEMANDA!L7</f>
        <v>66.2124716348982</v>
      </c>
      <c r="O58" s="42" t="n">
        <f aca="false">BOM_COEF!Y147*DEMANDA!M7</f>
        <v>81.9722181036916</v>
      </c>
      <c r="P58" s="42" t="n">
        <f aca="false">BOM_COEF!Z147*DEMANDA!N7</f>
        <v>94.7138211052282</v>
      </c>
      <c r="Q58" s="42" t="n">
        <f aca="false">BOM_COEF!AA147*DEMANDA!O7</f>
        <v>108.136415664677</v>
      </c>
      <c r="R58" s="24" t="s">
        <v>2360</v>
      </c>
    </row>
    <row r="59" customFormat="false" ht="15" hidden="false" customHeight="false" outlineLevel="0" collapsed="false">
      <c r="A59" s="38" t="n">
        <v>0</v>
      </c>
      <c r="B59" s="38" t="s">
        <v>1784</v>
      </c>
      <c r="C59" s="38" t="s">
        <v>2079</v>
      </c>
      <c r="D59" s="38" t="s">
        <v>73</v>
      </c>
      <c r="E59" s="38"/>
      <c r="F59" s="38"/>
      <c r="G59" s="38"/>
      <c r="H59" s="39" t="n">
        <f aca="false">SUM(H60:H67)</f>
        <v>175.393710362197</v>
      </c>
      <c r="I59" s="39" t="n">
        <f aca="false">SUM(I60:I67)</f>
        <v>318.952338805125</v>
      </c>
      <c r="J59" s="39" t="n">
        <f aca="false">SUM(J60:J67)</f>
        <v>588.55793948856</v>
      </c>
      <c r="K59" s="39" t="n">
        <f aca="false">SUM(K60:K67)</f>
        <v>1202.23900972694</v>
      </c>
      <c r="L59" s="39" t="n">
        <f aca="false">SUM(L60:L67)</f>
        <v>1992.03625468773</v>
      </c>
      <c r="M59" s="39" t="n">
        <f aca="false">SUM(M60:M67)</f>
        <v>2761.6510473406</v>
      </c>
      <c r="N59" s="39" t="n">
        <f aca="false">SUM(N60:N67)</f>
        <v>3719.46127835075</v>
      </c>
      <c r="O59" s="39" t="n">
        <f aca="false">SUM(O60:O67)</f>
        <v>4665.3824159065</v>
      </c>
      <c r="P59" s="39" t="n">
        <f aca="false">SUM(P60:P67)</f>
        <v>5233.9914247088</v>
      </c>
      <c r="Q59" s="39" t="n">
        <f aca="false">SUM(Q60:Q67)</f>
        <v>6039.30009483055</v>
      </c>
      <c r="R59" s="38"/>
    </row>
    <row r="60" customFormat="false" ht="15" hidden="false" customHeight="false" outlineLevel="1" collapsed="false">
      <c r="A60" s="24" t="n">
        <v>1</v>
      </c>
      <c r="B60" s="24" t="s">
        <v>1784</v>
      </c>
      <c r="C60" s="40" t="s">
        <v>2361</v>
      </c>
      <c r="D60" s="24" t="s">
        <v>73</v>
      </c>
      <c r="E60" s="24" t="s">
        <v>230</v>
      </c>
      <c r="F60" s="41" t="n">
        <f aca="false">PROCESO!$I$5</f>
        <v>0.01499</v>
      </c>
      <c r="G60" s="24" t="s">
        <v>2281</v>
      </c>
      <c r="H60" s="42" t="n">
        <f aca="false">PROCESO!$I$5*DEMANDA!F4</f>
        <v>62.63926077957</v>
      </c>
      <c r="I60" s="42" t="n">
        <f aca="false">PROCESO!$I$5*DEMANDA!G4</f>
        <v>89.89958661523</v>
      </c>
      <c r="J60" s="42" t="n">
        <f aca="false">PROCESO!$I$5*DEMANDA!H4</f>
        <v>102.70769889242</v>
      </c>
      <c r="K60" s="42" t="n">
        <f aca="false">PROCESO!$I$5*DEMANDA!I4</f>
        <v>126.92236187951</v>
      </c>
      <c r="L60" s="42" t="n">
        <f aca="false">PROCESO!$I$5*DEMANDA!J4</f>
        <v>190.0826843229</v>
      </c>
      <c r="M60" s="42" t="n">
        <f aca="false">PROCESO!$I$5*DEMANDA!K4</f>
        <v>234.1475935193</v>
      </c>
      <c r="N60" s="42" t="n">
        <f aca="false">PROCESO!$I$5*DEMANDA!L4</f>
        <v>304.7849733674</v>
      </c>
      <c r="O60" s="42" t="n">
        <f aca="false">PROCESO!$I$5*DEMANDA!M4</f>
        <v>376.7298564152</v>
      </c>
      <c r="P60" s="42" t="n">
        <f aca="false">PROCESO!$I$5*DEMANDA!N4</f>
        <v>428.3143087386</v>
      </c>
      <c r="Q60" s="42" t="n">
        <f aca="false">PROCESO!$I$5*DEMANDA!O4</f>
        <v>480.7688605587</v>
      </c>
      <c r="R60" s="24" t="s">
        <v>2362</v>
      </c>
    </row>
    <row r="61" customFormat="false" ht="15" hidden="false" customHeight="false" outlineLevel="1" collapsed="false">
      <c r="A61" s="24" t="n">
        <v>1</v>
      </c>
      <c r="B61" s="24" t="s">
        <v>1784</v>
      </c>
      <c r="C61" s="40" t="s">
        <v>2363</v>
      </c>
      <c r="D61" s="24" t="s">
        <v>73</v>
      </c>
      <c r="E61" s="24" t="s">
        <v>258</v>
      </c>
      <c r="F61" s="41" t="n">
        <f aca="false">PROCESO!$I$5</f>
        <v>0.01499</v>
      </c>
      <c r="G61" s="24" t="s">
        <v>2281</v>
      </c>
      <c r="H61" s="42" t="n">
        <f aca="false">PROCESO!$I$5*DEMANDA!F12</f>
        <v>0</v>
      </c>
      <c r="I61" s="42" t="n">
        <f aca="false">PROCESO!$I$5*DEMANDA!G12</f>
        <v>0</v>
      </c>
      <c r="J61" s="42" t="n">
        <f aca="false">PROCESO!$I$5*DEMANDA!H12</f>
        <v>114.859376</v>
      </c>
      <c r="K61" s="42" t="n">
        <f aca="false">PROCESO!$I$5*DEMANDA!I12</f>
        <v>400.155052</v>
      </c>
      <c r="L61" s="42" t="n">
        <f aca="false">PROCESO!$I$5*DEMANDA!J12</f>
        <v>741.027652</v>
      </c>
      <c r="M61" s="42" t="n">
        <f aca="false">PROCESO!$I$5*DEMANDA!K12</f>
        <v>1074.486198</v>
      </c>
      <c r="N61" s="42" t="n">
        <f aca="false">PROCESO!$I$5*DEMANDA!L12</f>
        <v>1519.095594</v>
      </c>
      <c r="O61" s="42" t="n">
        <f aca="false">PROCESO!$I$5*DEMANDA!M12</f>
        <v>1963.70499</v>
      </c>
      <c r="P61" s="42" t="n">
        <f aca="false">PROCESO!$I$5*DEMANDA!N12</f>
        <v>2200.828802</v>
      </c>
      <c r="Q61" s="42" t="n">
        <f aca="false">PROCESO!$I$5*DEMANDA!O12</f>
        <v>2556.51452</v>
      </c>
      <c r="R61" s="24" t="s">
        <v>2362</v>
      </c>
    </row>
    <row r="62" customFormat="false" ht="15" hidden="false" customHeight="false" outlineLevel="1" collapsed="false">
      <c r="A62" s="24" t="n">
        <v>1</v>
      </c>
      <c r="B62" s="24" t="s">
        <v>1784</v>
      </c>
      <c r="C62" s="40" t="s">
        <v>2364</v>
      </c>
      <c r="D62" s="24" t="s">
        <v>73</v>
      </c>
      <c r="E62" s="24" t="s">
        <v>234</v>
      </c>
      <c r="F62" s="41" t="n">
        <f aca="false">PROCESO!$I$18</f>
        <v>0.0304</v>
      </c>
      <c r="G62" s="24" t="s">
        <v>2281</v>
      </c>
      <c r="H62" s="42" t="n">
        <f aca="false">PROCESO!$I$18*DEMANDA!F5</f>
        <v>8.96892285888</v>
      </c>
      <c r="I62" s="42" t="n">
        <f aca="false">PROCESO!$I$18*DEMANDA!G5</f>
        <v>21.57571448912</v>
      </c>
      <c r="J62" s="42" t="n">
        <f aca="false">PROCESO!$I$18*DEMANDA!H5</f>
        <v>30.00078895104</v>
      </c>
      <c r="K62" s="42" t="n">
        <f aca="false">PROCESO!$I$18*DEMANDA!I5</f>
        <v>45.6194004896</v>
      </c>
      <c r="L62" s="42" t="n">
        <f aca="false">PROCESO!$I$18*DEMANDA!J5</f>
        <v>70.3038828704</v>
      </c>
      <c r="M62" s="42" t="n">
        <f aca="false">PROCESO!$I$18*DEMANDA!K5</f>
        <v>98.8872445648</v>
      </c>
      <c r="N62" s="42" t="n">
        <f aca="false">PROCESO!$I$18*DEMANDA!L5</f>
        <v>124.7103919296</v>
      </c>
      <c r="O62" s="42" t="n">
        <f aca="false">PROCESO!$I$18*DEMANDA!M5</f>
        <v>155.1709202448</v>
      </c>
      <c r="P62" s="42" t="n">
        <f aca="false">PROCESO!$I$18*DEMANDA!N5</f>
        <v>188.3336617872</v>
      </c>
      <c r="Q62" s="42" t="n">
        <f aca="false">PROCESO!$I$18*DEMANDA!O5</f>
        <v>225.7156966976</v>
      </c>
      <c r="R62" s="24" t="s">
        <v>2365</v>
      </c>
    </row>
    <row r="63" customFormat="false" ht="15" hidden="false" customHeight="false" outlineLevel="1" collapsed="false">
      <c r="A63" s="24" t="n">
        <v>1</v>
      </c>
      <c r="B63" s="24" t="s">
        <v>1784</v>
      </c>
      <c r="C63" s="40" t="s">
        <v>2366</v>
      </c>
      <c r="D63" s="24" t="s">
        <v>73</v>
      </c>
      <c r="E63" s="24" t="s">
        <v>261</v>
      </c>
      <c r="F63" s="41" t="n">
        <f aca="false">PROCESO!$I$18</f>
        <v>0.0304</v>
      </c>
      <c r="G63" s="24" t="s">
        <v>2281</v>
      </c>
      <c r="H63" s="42" t="n">
        <f aca="false">PROCESO!$I$18*DEMANDA!F13</f>
        <v>0</v>
      </c>
      <c r="I63" s="42" t="n">
        <f aca="false">PROCESO!$I$18*DEMANDA!G13</f>
        <v>0</v>
      </c>
      <c r="J63" s="42" t="n">
        <f aca="false">PROCESO!$I$18*DEMANDA!H13</f>
        <v>9.10784</v>
      </c>
      <c r="K63" s="42" t="n">
        <f aca="false">PROCESO!$I$18*DEMANDA!I13</f>
        <v>31.73152</v>
      </c>
      <c r="L63" s="42" t="n">
        <f aca="false">PROCESO!$I$18*DEMANDA!J13</f>
        <v>58.7632</v>
      </c>
      <c r="M63" s="42" t="n">
        <f aca="false">PROCESO!$I$18*DEMANDA!K13</f>
        <v>85.2112</v>
      </c>
      <c r="N63" s="42" t="n">
        <f aca="false">PROCESO!$I$18*DEMANDA!L13</f>
        <v>120.4752</v>
      </c>
      <c r="O63" s="42" t="n">
        <f aca="false">PROCESO!$I$18*DEMANDA!M13</f>
        <v>155.7392</v>
      </c>
      <c r="P63" s="42" t="n">
        <f aca="false">PROCESO!$I$18*DEMANDA!N13</f>
        <v>174.53856</v>
      </c>
      <c r="Q63" s="42" t="n">
        <f aca="false">PROCESO!$I$18*DEMANDA!O13</f>
        <v>202.7376</v>
      </c>
      <c r="R63" s="24" t="s">
        <v>2365</v>
      </c>
    </row>
    <row r="64" customFormat="false" ht="15" hidden="false" customHeight="false" outlineLevel="1" collapsed="false">
      <c r="A64" s="24" t="n">
        <v>1</v>
      </c>
      <c r="B64" s="24" t="s">
        <v>1784</v>
      </c>
      <c r="C64" s="40" t="s">
        <v>2367</v>
      </c>
      <c r="D64" s="24" t="s">
        <v>73</v>
      </c>
      <c r="E64" s="24" t="s">
        <v>238</v>
      </c>
      <c r="F64" s="41" t="n">
        <f aca="false">PROCESO!$I$31</f>
        <v>0.03675</v>
      </c>
      <c r="G64" s="24" t="s">
        <v>2281</v>
      </c>
      <c r="H64" s="42" t="n">
        <f aca="false">PROCESO!$I$31*DEMANDA!F6</f>
        <v>99.58415866875</v>
      </c>
      <c r="I64" s="42" t="n">
        <f aca="false">PROCESO!$I$31*DEMANDA!G6</f>
        <v>199.36797387675</v>
      </c>
      <c r="J64" s="42" t="n">
        <f aca="false">PROCESO!$I$31*DEMANDA!H6</f>
        <v>261.82675646925</v>
      </c>
      <c r="K64" s="42" t="n">
        <f aca="false">PROCESO!$I$31*DEMANDA!I6</f>
        <v>377.68398775275</v>
      </c>
      <c r="L64" s="42" t="n">
        <f aca="false">PROCESO!$I$31*DEMANDA!J6</f>
        <v>526.969530045</v>
      </c>
      <c r="M64" s="42" t="n">
        <f aca="false">PROCESO!$I$31*DEMANDA!K6</f>
        <v>681.8949310425</v>
      </c>
      <c r="N64" s="42" t="n">
        <f aca="false">PROCESO!$I$31*DEMANDA!L6</f>
        <v>825.35942412</v>
      </c>
      <c r="O64" s="42" t="n">
        <f aca="false">PROCESO!$I$31*DEMANDA!M6</f>
        <v>950.3618490975</v>
      </c>
      <c r="P64" s="42" t="n">
        <f aca="false">PROCESO!$I$31*DEMANDA!N6</f>
        <v>1047.6588772125</v>
      </c>
      <c r="Q64" s="42" t="n">
        <f aca="false">PROCESO!$I$31*DEMANDA!O6</f>
        <v>1187.71511796</v>
      </c>
      <c r="R64" s="24" t="s">
        <v>2368</v>
      </c>
    </row>
    <row r="65" customFormat="false" ht="15" hidden="false" customHeight="false" outlineLevel="1" collapsed="false">
      <c r="A65" s="24" t="n">
        <v>1</v>
      </c>
      <c r="B65" s="24" t="s">
        <v>1784</v>
      </c>
      <c r="C65" s="40" t="s">
        <v>2369</v>
      </c>
      <c r="D65" s="24" t="s">
        <v>73</v>
      </c>
      <c r="E65" s="24" t="s">
        <v>264</v>
      </c>
      <c r="F65" s="41" t="n">
        <f aca="false">PROCESO!$I$31</f>
        <v>0.03675</v>
      </c>
      <c r="G65" s="24" t="s">
        <v>2281</v>
      </c>
      <c r="H65" s="42" t="n">
        <f aca="false">PROCESO!$I$31*DEMANDA!F14</f>
        <v>0</v>
      </c>
      <c r="I65" s="42" t="n">
        <f aca="false">PROCESO!$I$31*DEMANDA!G14</f>
        <v>0</v>
      </c>
      <c r="J65" s="42" t="n">
        <f aca="false">PROCESO!$I$31*DEMANDA!H14</f>
        <v>54.3459</v>
      </c>
      <c r="K65" s="42" t="n">
        <f aca="false">PROCESO!$I$31*DEMANDA!I14</f>
        <v>189.336</v>
      </c>
      <c r="L65" s="42" t="n">
        <f aca="false">PROCESO!$I$31*DEMANDA!J14</f>
        <v>350.6244</v>
      </c>
      <c r="M65" s="42" t="n">
        <f aca="false">PROCESO!$I$31*DEMANDA!K14</f>
        <v>508.40685</v>
      </c>
      <c r="N65" s="42" t="n">
        <f aca="false">PROCESO!$I$31*DEMANDA!L14</f>
        <v>718.77855</v>
      </c>
      <c r="O65" s="42" t="n">
        <f aca="false">PROCESO!$I$31*DEMANDA!M14</f>
        <v>929.15025</v>
      </c>
      <c r="P65" s="42" t="n">
        <f aca="false">PROCESO!$I$31*DEMANDA!N14</f>
        <v>1041.34065</v>
      </c>
      <c r="Q65" s="42" t="n">
        <f aca="false">PROCESO!$I$31*DEMANDA!O14</f>
        <v>1209.62625</v>
      </c>
      <c r="R65" s="24" t="s">
        <v>2368</v>
      </c>
    </row>
    <row r="66" customFormat="false" ht="15" hidden="false" customHeight="false" outlineLevel="1" collapsed="false">
      <c r="A66" s="24" t="n">
        <v>1</v>
      </c>
      <c r="B66" s="24" t="s">
        <v>1784</v>
      </c>
      <c r="C66" s="40" t="s">
        <v>2370</v>
      </c>
      <c r="D66" s="24" t="s">
        <v>73</v>
      </c>
      <c r="E66" s="24" t="s">
        <v>241</v>
      </c>
      <c r="F66" s="41" t="n">
        <f aca="false">PROCESO!$I$44</f>
        <v>0.04575</v>
      </c>
      <c r="G66" s="24" t="s">
        <v>2281</v>
      </c>
      <c r="H66" s="42" t="n">
        <f aca="false">PROCESO!$I$44*DEMANDA!F7</f>
        <v>4.2013680549975</v>
      </c>
      <c r="I66" s="42" t="n">
        <f aca="false">PROCESO!$I$44*DEMANDA!G7</f>
        <v>8.109063824025</v>
      </c>
      <c r="J66" s="42" t="n">
        <f aca="false">PROCESO!$I$44*DEMANDA!H7</f>
        <v>11.57377917585</v>
      </c>
      <c r="K66" s="42" t="n">
        <f aca="false">PROCESO!$I$44*DEMANDA!I7</f>
        <v>16.379437605075</v>
      </c>
      <c r="L66" s="42" t="n">
        <f aca="false">PROCESO!$I$44*DEMANDA!J7</f>
        <v>27.574355449425</v>
      </c>
      <c r="M66" s="42" t="n">
        <f aca="false">PROCESO!$I$44*DEMANDA!K7</f>
        <v>39.921680214</v>
      </c>
      <c r="N66" s="42" t="n">
        <f aca="false">PROCESO!$I$44*DEMANDA!L7</f>
        <v>51.56759493375</v>
      </c>
      <c r="O66" s="42" t="n">
        <f aca="false">PROCESO!$I$44*DEMANDA!M7</f>
        <v>63.841600149</v>
      </c>
      <c r="P66" s="42" t="n">
        <f aca="false">PROCESO!$I$44*DEMANDA!N7</f>
        <v>73.7650149705</v>
      </c>
      <c r="Q66" s="42" t="n">
        <f aca="false">PROCESO!$I$44*DEMANDA!O7</f>
        <v>84.21879961425</v>
      </c>
      <c r="R66" s="24" t="s">
        <v>2371</v>
      </c>
    </row>
    <row r="67" customFormat="false" ht="15" hidden="false" customHeight="false" outlineLevel="1" collapsed="false">
      <c r="A67" s="24" t="n">
        <v>1</v>
      </c>
      <c r="B67" s="24" t="s">
        <v>1784</v>
      </c>
      <c r="C67" s="40" t="s">
        <v>2372</v>
      </c>
      <c r="D67" s="24" t="s">
        <v>73</v>
      </c>
      <c r="E67" s="24" t="s">
        <v>267</v>
      </c>
      <c r="F67" s="41" t="n">
        <f aca="false">PROCESO!$I$44</f>
        <v>0.04575</v>
      </c>
      <c r="G67" s="24" t="s">
        <v>2281</v>
      </c>
      <c r="H67" s="42" t="n">
        <f aca="false">PROCESO!$I$44*DEMANDA!F15</f>
        <v>0</v>
      </c>
      <c r="I67" s="42" t="n">
        <f aca="false">PROCESO!$I$44*DEMANDA!G15</f>
        <v>0</v>
      </c>
      <c r="J67" s="42" t="n">
        <f aca="false">PROCESO!$I$44*DEMANDA!H15</f>
        <v>4.1358</v>
      </c>
      <c r="K67" s="42" t="n">
        <f aca="false">PROCESO!$I$44*DEMANDA!I15</f>
        <v>14.41125</v>
      </c>
      <c r="L67" s="42" t="n">
        <f aca="false">PROCESO!$I$44*DEMANDA!J15</f>
        <v>26.69055</v>
      </c>
      <c r="M67" s="42" t="n">
        <f aca="false">PROCESO!$I$44*DEMANDA!K15</f>
        <v>38.69535</v>
      </c>
      <c r="N67" s="42" t="n">
        <f aca="false">PROCESO!$I$44*DEMANDA!L15</f>
        <v>54.68955</v>
      </c>
      <c r="O67" s="42" t="n">
        <f aca="false">PROCESO!$I$44*DEMANDA!M15</f>
        <v>70.68375</v>
      </c>
      <c r="P67" s="42" t="n">
        <f aca="false">PROCESO!$I$44*DEMANDA!N15</f>
        <v>79.21155</v>
      </c>
      <c r="Q67" s="42" t="n">
        <f aca="false">PROCESO!$I$44*DEMANDA!O15</f>
        <v>92.00325</v>
      </c>
      <c r="R67" s="24" t="s">
        <v>2371</v>
      </c>
    </row>
    <row r="68" customFormat="false" ht="15" hidden="false" customHeight="false" outlineLevel="0" collapsed="false">
      <c r="A68" s="38" t="n">
        <v>0</v>
      </c>
      <c r="B68" s="38" t="s">
        <v>1803</v>
      </c>
      <c r="C68" s="38" t="s">
        <v>2112</v>
      </c>
      <c r="D68" s="38" t="s">
        <v>73</v>
      </c>
      <c r="E68" s="38"/>
      <c r="F68" s="38"/>
      <c r="G68" s="38"/>
      <c r="H68" s="39" t="n">
        <f aca="false">SUM(H69:H76)</f>
        <v>115.148887474623</v>
      </c>
      <c r="I68" s="39" t="n">
        <f aca="false">SUM(I69:I76)</f>
        <v>210.471926089595</v>
      </c>
      <c r="J68" s="39" t="n">
        <f aca="false">SUM(J69:J76)</f>
        <v>384.999268261528</v>
      </c>
      <c r="K68" s="39" t="n">
        <f aca="false">SUM(K69:K76)</f>
        <v>780.627647598906</v>
      </c>
      <c r="L68" s="39" t="n">
        <f aca="false">SUM(L69:L76)</f>
        <v>1290.00980071096</v>
      </c>
      <c r="M68" s="39" t="n">
        <f aca="false">SUM(M69:M76)</f>
        <v>1787.22402601978</v>
      </c>
      <c r="N68" s="39" t="n">
        <f aca="false">SUM(N69:N76)</f>
        <v>2403.20948407186</v>
      </c>
      <c r="O68" s="39" t="n">
        <f aca="false">SUM(O69:O76)</f>
        <v>3010.48010330233</v>
      </c>
      <c r="P68" s="39" t="n">
        <f aca="false">SUM(P69:P76)</f>
        <v>3375.66889314299</v>
      </c>
      <c r="Q68" s="39" t="n">
        <f aca="false">SUM(Q69:Q76)</f>
        <v>3893.36444532682</v>
      </c>
      <c r="R68" s="38"/>
    </row>
    <row r="69" customFormat="false" ht="15" hidden="false" customHeight="false" outlineLevel="1" collapsed="false">
      <c r="A69" s="24" t="n">
        <v>1</v>
      </c>
      <c r="B69" s="24" t="s">
        <v>1803</v>
      </c>
      <c r="C69" s="40" t="s">
        <v>2373</v>
      </c>
      <c r="D69" s="24" t="s">
        <v>73</v>
      </c>
      <c r="E69" s="24" t="s">
        <v>230</v>
      </c>
      <c r="F69" s="41" t="n">
        <f aca="false">PROCESO!$I$10</f>
        <v>0.00918084631578947</v>
      </c>
      <c r="G69" s="24" t="s">
        <v>2281</v>
      </c>
      <c r="H69" s="42" t="n">
        <f aca="false">PROCESO!$I$10*DEMANDA!F4</f>
        <v>38.3643379954564</v>
      </c>
      <c r="I69" s="42" t="n">
        <f aca="false">PROCESO!$I$10*DEMANDA!G4</f>
        <v>55.06032612191</v>
      </c>
      <c r="J69" s="42" t="n">
        <f aca="false">PROCESO!$I$10*DEMANDA!H4</f>
        <v>62.9048431607531</v>
      </c>
      <c r="K69" s="42" t="n">
        <f aca="false">PROCESO!$I$10*DEMANDA!I4</f>
        <v>77.7354702103267</v>
      </c>
      <c r="L69" s="42" t="n">
        <f aca="false">PROCESO!$I$10*DEMANDA!J4</f>
        <v>116.418940097483</v>
      </c>
      <c r="M69" s="42" t="n">
        <f aca="false">PROCESO!$I$10*DEMANDA!K4</f>
        <v>143.407142849409</v>
      </c>
      <c r="N69" s="42" t="n">
        <f aca="false">PROCESO!$I$10*DEMANDA!L4</f>
        <v>186.670046687664</v>
      </c>
      <c r="O69" s="42" t="n">
        <f aca="false">PROCESO!$I$10*DEMANDA!M4</f>
        <v>230.73375012124</v>
      </c>
      <c r="P69" s="42" t="n">
        <f aca="false">PROCESO!$I$10*DEMANDA!N4</f>
        <v>262.327407830733</v>
      </c>
      <c r="Q69" s="42" t="n">
        <f aca="false">PROCESO!$I$10*DEMANDA!O4</f>
        <v>294.453970794306</v>
      </c>
      <c r="R69" s="24" t="s">
        <v>2374</v>
      </c>
    </row>
    <row r="70" customFormat="false" ht="15" hidden="false" customHeight="false" outlineLevel="1" collapsed="false">
      <c r="A70" s="24" t="n">
        <v>1</v>
      </c>
      <c r="B70" s="24" t="s">
        <v>1803</v>
      </c>
      <c r="C70" s="40" t="s">
        <v>2375</v>
      </c>
      <c r="D70" s="24" t="s">
        <v>73</v>
      </c>
      <c r="E70" s="24" t="s">
        <v>258</v>
      </c>
      <c r="F70" s="41" t="n">
        <f aca="false">PROCESO!$I$10</f>
        <v>0.00918084631578947</v>
      </c>
      <c r="G70" s="24" t="s">
        <v>2281</v>
      </c>
      <c r="H70" s="42" t="n">
        <f aca="false">PROCESO!$I$10*DEMANDA!F12</f>
        <v>0</v>
      </c>
      <c r="I70" s="42" t="n">
        <f aca="false">PROCESO!$I$10*DEMANDA!G12</f>
        <v>0</v>
      </c>
      <c r="J70" s="42" t="n">
        <f aca="false">PROCESO!$I$10*DEMANDA!H12</f>
        <v>70.3473168101053</v>
      </c>
      <c r="K70" s="42" t="n">
        <f aca="false">PROCESO!$I$10*DEMANDA!I12</f>
        <v>245.080856230737</v>
      </c>
      <c r="L70" s="42" t="n">
        <f aca="false">PROCESO!$I$10*DEMANDA!J12</f>
        <v>453.853301451789</v>
      </c>
      <c r="M70" s="42" t="n">
        <f aca="false">PROCESO!$I$10*DEMANDA!K12</f>
        <v>658.084900085053</v>
      </c>
      <c r="N70" s="42" t="n">
        <f aca="false">PROCESO!$I$10*DEMANDA!L12</f>
        <v>930.392474149895</v>
      </c>
      <c r="O70" s="42" t="n">
        <f aca="false">PROCESO!$I$10*DEMANDA!M12</f>
        <v>1202.70004821474</v>
      </c>
      <c r="P70" s="42" t="n">
        <f aca="false">PROCESO!$I$10*DEMANDA!N12</f>
        <v>1347.93001991495</v>
      </c>
      <c r="Q70" s="42" t="n">
        <f aca="false">PROCESO!$I$10*DEMANDA!O12</f>
        <v>1565.77497746526</v>
      </c>
      <c r="R70" s="24" t="s">
        <v>2374</v>
      </c>
    </row>
    <row r="71" customFormat="false" ht="15" hidden="false" customHeight="false" outlineLevel="1" collapsed="false">
      <c r="A71" s="24" t="n">
        <v>1</v>
      </c>
      <c r="B71" s="24" t="s">
        <v>1803</v>
      </c>
      <c r="C71" s="40" t="s">
        <v>2376</v>
      </c>
      <c r="D71" s="24" t="s">
        <v>73</v>
      </c>
      <c r="E71" s="24" t="s">
        <v>234</v>
      </c>
      <c r="F71" s="41" t="n">
        <f aca="false">PROCESO!$I$23</f>
        <v>0.0165180768421053</v>
      </c>
      <c r="G71" s="24" t="s">
        <v>2281</v>
      </c>
      <c r="H71" s="42" t="n">
        <f aca="false">PROCESO!$I$23*DEMANDA!F5</f>
        <v>4.87333411098336</v>
      </c>
      <c r="I71" s="42" t="n">
        <f aca="false">PROCESO!$I$23*DEMANDA!G5</f>
        <v>11.7233325610068</v>
      </c>
      <c r="J71" s="42" t="n">
        <f aca="false">PROCESO!$I$23*DEMANDA!H5</f>
        <v>16.301162408456</v>
      </c>
      <c r="K71" s="42" t="n">
        <f aca="false">PROCESO!$I$23*DEMANDA!I5</f>
        <v>24.7876566703285</v>
      </c>
      <c r="L71" s="42" t="n">
        <f aca="false">PROCESO!$I$23*DEMANDA!J5</f>
        <v>38.2001624852512</v>
      </c>
      <c r="M71" s="42" t="n">
        <f aca="false">PROCESO!$I$23*DEMANDA!K5</f>
        <v>53.7311547508363</v>
      </c>
      <c r="N71" s="42" t="n">
        <f aca="false">PROCESO!$I$23*DEMANDA!L5</f>
        <v>67.7623630559933</v>
      </c>
      <c r="O71" s="42" t="n">
        <f aca="false">PROCESO!$I$23*DEMANDA!M5</f>
        <v>84.3133284297301</v>
      </c>
      <c r="P71" s="42" t="n">
        <f aca="false">PROCESO!$I$23*DEMANDA!N5</f>
        <v>102.332562413027</v>
      </c>
      <c r="Q71" s="42" t="n">
        <f aca="false">PROCESO!$I$23*DEMANDA!O5</f>
        <v>122.644382319746</v>
      </c>
      <c r="R71" s="24" t="s">
        <v>2377</v>
      </c>
    </row>
    <row r="72" customFormat="false" ht="15" hidden="false" customHeight="false" outlineLevel="1" collapsed="false">
      <c r="A72" s="24" t="n">
        <v>1</v>
      </c>
      <c r="B72" s="24" t="s">
        <v>1803</v>
      </c>
      <c r="C72" s="40" t="s">
        <v>2378</v>
      </c>
      <c r="D72" s="24" t="s">
        <v>73</v>
      </c>
      <c r="E72" s="24" t="s">
        <v>261</v>
      </c>
      <c r="F72" s="41" t="n">
        <f aca="false">PROCESO!$I$23</f>
        <v>0.0165180768421053</v>
      </c>
      <c r="G72" s="24" t="s">
        <v>2281</v>
      </c>
      <c r="H72" s="42" t="n">
        <f aca="false">PROCESO!$I$23*DEMANDA!F13</f>
        <v>0</v>
      </c>
      <c r="I72" s="42" t="n">
        <f aca="false">PROCESO!$I$23*DEMANDA!G13</f>
        <v>0</v>
      </c>
      <c r="J72" s="42" t="n">
        <f aca="false">PROCESO!$I$23*DEMANDA!H13</f>
        <v>4.94881582189474</v>
      </c>
      <c r="K72" s="42" t="n">
        <f aca="false">PROCESO!$I$23*DEMANDA!I13</f>
        <v>17.2415686077895</v>
      </c>
      <c r="L72" s="42" t="n">
        <f aca="false">PROCESO!$I$23*DEMANDA!J13</f>
        <v>31.9294425357895</v>
      </c>
      <c r="M72" s="42" t="n">
        <f aca="false">PROCESO!$I$23*DEMANDA!K13</f>
        <v>46.3001693884211</v>
      </c>
      <c r="N72" s="42" t="n">
        <f aca="false">PROCESO!$I$23*DEMANDA!L13</f>
        <v>65.4611385252632</v>
      </c>
      <c r="O72" s="42" t="n">
        <f aca="false">PROCESO!$I$23*DEMANDA!M13</f>
        <v>84.6221076621053</v>
      </c>
      <c r="P72" s="42" t="n">
        <f aca="false">PROCESO!$I$23*DEMANDA!N13</f>
        <v>94.8368863812632</v>
      </c>
      <c r="Q72" s="42" t="n">
        <f aca="false">PROCESO!$I$23*DEMANDA!O13</f>
        <v>110.15905446</v>
      </c>
      <c r="R72" s="24" t="s">
        <v>2377</v>
      </c>
    </row>
    <row r="73" customFormat="false" ht="15" hidden="false" customHeight="false" outlineLevel="1" collapsed="false">
      <c r="A73" s="24" t="n">
        <v>1</v>
      </c>
      <c r="B73" s="24" t="s">
        <v>1803</v>
      </c>
      <c r="C73" s="40" t="s">
        <v>2379</v>
      </c>
      <c r="D73" s="24" t="s">
        <v>73</v>
      </c>
      <c r="E73" s="24" t="s">
        <v>238</v>
      </c>
      <c r="F73" s="41" t="n">
        <f aca="false">PROCESO!$I$36</f>
        <v>0.0251092063157895</v>
      </c>
      <c r="G73" s="24" t="s">
        <v>2281</v>
      </c>
      <c r="H73" s="42" t="n">
        <f aca="false">PROCESO!$I$36*DEMANDA!F6</f>
        <v>68.0402499536859</v>
      </c>
      <c r="I73" s="42" t="n">
        <f aca="false">PROCESO!$I$36*DEMANDA!G6</f>
        <v>136.21691398183</v>
      </c>
      <c r="J73" s="42" t="n">
        <f aca="false">PROCESO!$I$36*DEMANDA!H6</f>
        <v>178.891484277017</v>
      </c>
      <c r="K73" s="42" t="n">
        <f aca="false">PROCESO!$I$36*DEMANDA!I6</f>
        <v>258.050208725276</v>
      </c>
      <c r="L73" s="42" t="n">
        <f aca="false">PROCESO!$I$36*DEMANDA!J6</f>
        <v>360.048616381892</v>
      </c>
      <c r="M73" s="42" t="n">
        <f aca="false">PROCESO!$I$36*DEMANDA!K6</f>
        <v>465.900422020059</v>
      </c>
      <c r="N73" s="42" t="n">
        <f aca="false">PROCESO!$I$36*DEMANDA!L6</f>
        <v>563.921634419327</v>
      </c>
      <c r="O73" s="42" t="n">
        <f aca="false">PROCESO!$I$36*DEMANDA!M6</f>
        <v>649.328754929097</v>
      </c>
      <c r="P73" s="42" t="n">
        <f aca="false">PROCESO!$I$36*DEMANDA!N6</f>
        <v>715.806337319647</v>
      </c>
      <c r="Q73" s="42" t="n">
        <f aca="false">PROCESO!$I$36*DEMANDA!O6</f>
        <v>811.498882754826</v>
      </c>
      <c r="R73" s="24" t="s">
        <v>2380</v>
      </c>
    </row>
    <row r="74" customFormat="false" ht="15" hidden="false" customHeight="false" outlineLevel="1" collapsed="false">
      <c r="A74" s="24" t="n">
        <v>1</v>
      </c>
      <c r="B74" s="24" t="s">
        <v>1803</v>
      </c>
      <c r="C74" s="40" t="s">
        <v>2381</v>
      </c>
      <c r="D74" s="24" t="s">
        <v>73</v>
      </c>
      <c r="E74" s="24" t="s">
        <v>264</v>
      </c>
      <c r="F74" s="41" t="n">
        <f aca="false">PROCESO!$I$36</f>
        <v>0.0251092063157895</v>
      </c>
      <c r="G74" s="24" t="s">
        <v>2281</v>
      </c>
      <c r="H74" s="42" t="n">
        <f aca="false">PROCESO!$I$36*DEMANDA!F14</f>
        <v>0</v>
      </c>
      <c r="I74" s="42" t="n">
        <f aca="false">PROCESO!$I$36*DEMANDA!G14</f>
        <v>0</v>
      </c>
      <c r="J74" s="42" t="n">
        <f aca="false">PROCESO!$I$36*DEMANDA!H14</f>
        <v>37.1314942997895</v>
      </c>
      <c r="K74" s="42" t="n">
        <f aca="false">PROCESO!$I$36*DEMANDA!I14</f>
        <v>129.362630938947</v>
      </c>
      <c r="L74" s="42" t="n">
        <f aca="false">PROCESO!$I$36*DEMANDA!J14</f>
        <v>239.561915617684</v>
      </c>
      <c r="M74" s="42" t="n">
        <f aca="false">PROCESO!$I$36*DEMANDA!K14</f>
        <v>347.365782013895</v>
      </c>
      <c r="N74" s="42" t="n">
        <f aca="false">PROCESO!$I$36*DEMANDA!L14</f>
        <v>491.100922648</v>
      </c>
      <c r="O74" s="42" t="n">
        <f aca="false">PROCESO!$I$36*DEMANDA!M14</f>
        <v>634.836063282105</v>
      </c>
      <c r="P74" s="42" t="n">
        <f aca="false">PROCESO!$I$36*DEMANDA!N14</f>
        <v>711.489448322947</v>
      </c>
      <c r="Q74" s="42" t="n">
        <f aca="false">PROCESO!$I$36*DEMANDA!O14</f>
        <v>826.469525884211</v>
      </c>
      <c r="R74" s="24" t="s">
        <v>2380</v>
      </c>
    </row>
    <row r="75" customFormat="false" ht="15" hidden="false" customHeight="false" outlineLevel="1" collapsed="false">
      <c r="A75" s="24" t="n">
        <v>1</v>
      </c>
      <c r="B75" s="24" t="s">
        <v>1803</v>
      </c>
      <c r="C75" s="40" t="s">
        <v>2382</v>
      </c>
      <c r="D75" s="24" t="s">
        <v>73</v>
      </c>
      <c r="E75" s="24" t="s">
        <v>241</v>
      </c>
      <c r="F75" s="41" t="n">
        <f aca="false">PROCESO!$I$49</f>
        <v>0.0421521431578947</v>
      </c>
      <c r="G75" s="24" t="s">
        <v>2281</v>
      </c>
      <c r="H75" s="42" t="n">
        <f aca="false">PROCESO!$I$49*DEMANDA!F7</f>
        <v>3.87096541449749</v>
      </c>
      <c r="I75" s="42" t="n">
        <f aca="false">PROCESO!$I$49*DEMANDA!G7</f>
        <v>7.47135342484824</v>
      </c>
      <c r="J75" s="42" t="n">
        <f aca="false">PROCESO!$I$49*DEMANDA!H7</f>
        <v>10.6635977420391</v>
      </c>
      <c r="K75" s="42" t="n">
        <f aca="false">PROCESO!$I$49*DEMANDA!I7</f>
        <v>15.0913311207634</v>
      </c>
      <c r="L75" s="42" t="n">
        <f aca="false">PROCESO!$I$49*DEMANDA!J7</f>
        <v>25.4058618227505</v>
      </c>
      <c r="M75" s="42" t="n">
        <f aca="false">PROCESO!$I$49*DEMANDA!K7</f>
        <v>36.7821722291633</v>
      </c>
      <c r="N75" s="42" t="n">
        <f aca="false">PROCESO!$I$49*DEMANDA!L7</f>
        <v>47.5122326547706</v>
      </c>
      <c r="O75" s="42" t="n">
        <f aca="false">PROCESO!$I$49*DEMANDA!M7</f>
        <v>58.8209894843655</v>
      </c>
      <c r="P75" s="42" t="n">
        <f aca="false">PROCESO!$I$49*DEMANDA!N7</f>
        <v>67.9640102968473</v>
      </c>
      <c r="Q75" s="42" t="n">
        <f aca="false">PROCESO!$I$49*DEMANDA!O7</f>
        <v>77.5956917579435</v>
      </c>
      <c r="R75" s="24" t="s">
        <v>2383</v>
      </c>
    </row>
    <row r="76" customFormat="false" ht="15" hidden="false" customHeight="false" outlineLevel="1" collapsed="false">
      <c r="A76" s="24" t="n">
        <v>1</v>
      </c>
      <c r="B76" s="24" t="s">
        <v>1803</v>
      </c>
      <c r="C76" s="40" t="s">
        <v>2384</v>
      </c>
      <c r="D76" s="24" t="s">
        <v>73</v>
      </c>
      <c r="E76" s="24" t="s">
        <v>267</v>
      </c>
      <c r="F76" s="41" t="n">
        <f aca="false">PROCESO!$I$49</f>
        <v>0.0421521431578947</v>
      </c>
      <c r="G76" s="24" t="s">
        <v>2281</v>
      </c>
      <c r="H76" s="42" t="n">
        <f aca="false">PROCESO!$I$49*DEMANDA!F15</f>
        <v>0</v>
      </c>
      <c r="I76" s="42" t="n">
        <f aca="false">PROCESO!$I$49*DEMANDA!G15</f>
        <v>0</v>
      </c>
      <c r="J76" s="42" t="n">
        <f aca="false">PROCESO!$I$49*DEMANDA!H15</f>
        <v>3.81055374147368</v>
      </c>
      <c r="K76" s="42" t="n">
        <f aca="false">PROCESO!$I$49*DEMANDA!I15</f>
        <v>13.2779250947368</v>
      </c>
      <c r="L76" s="42" t="n">
        <f aca="false">PROCESO!$I$49*DEMANDA!J15</f>
        <v>24.5915603183158</v>
      </c>
      <c r="M76" s="42" t="n">
        <f aca="false">PROCESO!$I$49*DEMANDA!K15</f>
        <v>35.6522826829474</v>
      </c>
      <c r="N76" s="42" t="n">
        <f aca="false">PROCESO!$I$49*DEMANDA!L15</f>
        <v>50.3886719309474</v>
      </c>
      <c r="O76" s="42" t="n">
        <f aca="false">PROCESO!$I$49*DEMANDA!M15</f>
        <v>65.1250611789474</v>
      </c>
      <c r="P76" s="42" t="n">
        <f aca="false">PROCESO!$I$49*DEMANDA!N15</f>
        <v>72.9822206635789</v>
      </c>
      <c r="Q76" s="42" t="n">
        <f aca="false">PROCESO!$I$49*DEMANDA!O15</f>
        <v>84.7679598905263</v>
      </c>
      <c r="R76" s="24" t="s">
        <v>2383</v>
      </c>
    </row>
    <row r="77" customFormat="false" ht="15" hidden="false" customHeight="false" outlineLevel="0" collapsed="false">
      <c r="A77" s="38" t="n">
        <v>0</v>
      </c>
      <c r="B77" s="38" t="s">
        <v>519</v>
      </c>
      <c r="C77" s="38" t="s">
        <v>2120</v>
      </c>
      <c r="D77" s="38" t="s">
        <v>82</v>
      </c>
      <c r="E77" s="38"/>
      <c r="F77" s="38"/>
      <c r="G77" s="38"/>
      <c r="H77" s="39" t="n">
        <f aca="false">SUM(H78:H78)</f>
        <v>4178.736543</v>
      </c>
      <c r="I77" s="39" t="n">
        <f aca="false">SUM(I78:I78)</f>
        <v>5997.303977</v>
      </c>
      <c r="J77" s="39" t="n">
        <f aca="false">SUM(J78:J78)</f>
        <v>6851.747758</v>
      </c>
      <c r="K77" s="39" t="n">
        <f aca="false">SUM(K78:K78)</f>
        <v>8467.135549</v>
      </c>
      <c r="L77" s="39" t="n">
        <f aca="false">SUM(L78:L78)</f>
        <v>12680.63271</v>
      </c>
      <c r="M77" s="39" t="n">
        <f aca="false">SUM(M78:M78)</f>
        <v>15620.25307</v>
      </c>
      <c r="N77" s="39" t="n">
        <f aca="false">SUM(N78:N78)</f>
        <v>20332.55326</v>
      </c>
      <c r="O77" s="39" t="n">
        <f aca="false">SUM(O78:O78)</f>
        <v>25132.07848</v>
      </c>
      <c r="P77" s="39" t="n">
        <f aca="false">SUM(P78:P78)</f>
        <v>28573.33614</v>
      </c>
      <c r="Q77" s="39" t="n">
        <f aca="false">SUM(Q78:Q78)</f>
        <v>32072.63913</v>
      </c>
      <c r="R77" s="38"/>
    </row>
    <row r="78" customFormat="false" ht="15" hidden="false" customHeight="false" outlineLevel="1" collapsed="false">
      <c r="A78" s="24" t="n">
        <v>1</v>
      </c>
      <c r="B78" s="24" t="s">
        <v>519</v>
      </c>
      <c r="C78" s="40" t="s">
        <v>2385</v>
      </c>
      <c r="D78" s="24" t="s">
        <v>82</v>
      </c>
      <c r="E78" s="24" t="s">
        <v>230</v>
      </c>
      <c r="F78" s="41" t="n">
        <f aca="false">INDEX((BOM_COEF!R10~BOM_COEF!S10~BOM_COEF!T10~BOM_COEF!U10~BOM_COEF!V10~BOM_COEF!W10~BOM_COEF!X10~BOM_COEF!Y10~BOM_COEF!Z10~BOM_COEF!AA10),1,1,INDEX(P_VAL,MATCH("AÑO_DIS",P_ID,0))-2025)</f>
        <v>1</v>
      </c>
      <c r="G78" s="24" t="s">
        <v>2281</v>
      </c>
      <c r="H78" s="42" t="n">
        <f aca="false">BOM_COEF!R10*DEMANDA!F4</f>
        <v>4178.736543</v>
      </c>
      <c r="I78" s="42" t="n">
        <f aca="false">BOM_COEF!S10*DEMANDA!G4</f>
        <v>5997.303977</v>
      </c>
      <c r="J78" s="42" t="n">
        <f aca="false">BOM_COEF!T10*DEMANDA!H4</f>
        <v>6851.747758</v>
      </c>
      <c r="K78" s="42" t="n">
        <f aca="false">BOM_COEF!U10*DEMANDA!I4</f>
        <v>8467.135549</v>
      </c>
      <c r="L78" s="42" t="n">
        <f aca="false">BOM_COEF!V10*DEMANDA!J4</f>
        <v>12680.63271</v>
      </c>
      <c r="M78" s="42" t="n">
        <f aca="false">BOM_COEF!W10*DEMANDA!K4</f>
        <v>15620.25307</v>
      </c>
      <c r="N78" s="42" t="n">
        <f aca="false">BOM_COEF!X10*DEMANDA!L4</f>
        <v>20332.55326</v>
      </c>
      <c r="O78" s="42" t="n">
        <f aca="false">BOM_COEF!Y10*DEMANDA!M4</f>
        <v>25132.07848</v>
      </c>
      <c r="P78" s="42" t="n">
        <f aca="false">BOM_COEF!Z10*DEMANDA!N4</f>
        <v>28573.33614</v>
      </c>
      <c r="Q78" s="42" t="n">
        <f aca="false">BOM_COEF!AA10*DEMANDA!O4</f>
        <v>32072.63913</v>
      </c>
      <c r="R78" s="24" t="s">
        <v>2386</v>
      </c>
    </row>
    <row r="79" customFormat="false" ht="15" hidden="false" customHeight="false" outlineLevel="0" collapsed="false">
      <c r="A79" s="38" t="n">
        <v>0</v>
      </c>
      <c r="B79" s="38" t="s">
        <v>634</v>
      </c>
      <c r="C79" s="38" t="s">
        <v>2125</v>
      </c>
      <c r="D79" s="38" t="s">
        <v>82</v>
      </c>
      <c r="E79" s="38"/>
      <c r="F79" s="38"/>
      <c r="G79" s="38"/>
      <c r="H79" s="39" t="n">
        <f aca="false">SUM(H80:H82)</f>
        <v>3096.63656373</v>
      </c>
      <c r="I79" s="39" t="n">
        <f aca="false">SUM(I80:I82)</f>
        <v>6311.953628</v>
      </c>
      <c r="J79" s="39" t="n">
        <f aca="false">SUM(J80:J82)</f>
        <v>8364.3844284</v>
      </c>
      <c r="K79" s="39" t="n">
        <f aca="false">SUM(K80:K82)</f>
        <v>12135.7739811</v>
      </c>
      <c r="L79" s="39" t="n">
        <f aca="false">SUM(L80:L82)</f>
        <v>17254.6528179</v>
      </c>
      <c r="M79" s="39" t="n">
        <f aca="false">SUM(M80:M82)</f>
        <v>22680.439029</v>
      </c>
      <c r="N79" s="39" t="n">
        <f aca="false">SUM(N80:N82)</f>
        <v>27688.235909</v>
      </c>
      <c r="O79" s="39" t="n">
        <f aca="false">SUM(O80:O82)</f>
        <v>32359.937769</v>
      </c>
      <c r="P79" s="39" t="n">
        <f aca="false">SUM(P80:P82)</f>
        <v>36315.260847</v>
      </c>
      <c r="Q79" s="39" t="n">
        <f aca="false">SUM(Q80:Q82)</f>
        <v>41584.485243</v>
      </c>
      <c r="R79" s="38"/>
    </row>
    <row r="80" customFormat="false" ht="15" hidden="false" customHeight="false" outlineLevel="1" collapsed="false">
      <c r="A80" s="24" t="n">
        <v>1</v>
      </c>
      <c r="B80" s="24" t="s">
        <v>634</v>
      </c>
      <c r="C80" s="40" t="s">
        <v>2387</v>
      </c>
      <c r="D80" s="24" t="s">
        <v>82</v>
      </c>
      <c r="E80" s="24" t="s">
        <v>234</v>
      </c>
      <c r="F80" s="41" t="n">
        <f aca="false">INDEX((BOM_COEF!R46~BOM_COEF!S46~BOM_COEF!T46~BOM_COEF!U46~BOM_COEF!V46~BOM_COEF!W46~BOM_COEF!X46~BOM_COEF!Y46~BOM_COEF!Z46~BOM_COEF!AA46),1,1,INDEX(P_VAL,MATCH("AÑO_DIS",P_ID,0))-2025)</f>
        <v>1</v>
      </c>
      <c r="G80" s="24" t="s">
        <v>2281</v>
      </c>
      <c r="H80" s="42" t="n">
        <f aca="false">BOM_COEF!R46*DEMANDA!F5</f>
        <v>295.0303572</v>
      </c>
      <c r="I80" s="42" t="n">
        <f aca="false">BOM_COEF!S46*DEMANDA!G5</f>
        <v>709.7274503</v>
      </c>
      <c r="J80" s="42" t="n">
        <f aca="false">BOM_COEF!T46*DEMANDA!H5</f>
        <v>986.8680576</v>
      </c>
      <c r="K80" s="42" t="n">
        <f aca="false">BOM_COEF!U46*DEMANDA!I5</f>
        <v>1500.638174</v>
      </c>
      <c r="L80" s="42" t="n">
        <f aca="false">BOM_COEF!V46*DEMANDA!J5</f>
        <v>2312.627726</v>
      </c>
      <c r="M80" s="42" t="n">
        <f aca="false">BOM_COEF!W46*DEMANDA!K5</f>
        <v>3252.869887</v>
      </c>
      <c r="N80" s="42" t="n">
        <f aca="false">BOM_COEF!X46*DEMANDA!L5</f>
        <v>4102.315524</v>
      </c>
      <c r="O80" s="42" t="n">
        <f aca="false">BOM_COEF!Y46*DEMANDA!M5</f>
        <v>5104.306587</v>
      </c>
      <c r="P80" s="42" t="n">
        <f aca="false">BOM_COEF!Z46*DEMANDA!N5</f>
        <v>6195.186243</v>
      </c>
      <c r="Q80" s="42" t="n">
        <f aca="false">BOM_COEF!AA46*DEMANDA!O5</f>
        <v>7424.858444</v>
      </c>
      <c r="R80" s="24" t="s">
        <v>2388</v>
      </c>
    </row>
    <row r="81" customFormat="false" ht="15" hidden="false" customHeight="false" outlineLevel="1" collapsed="false">
      <c r="A81" s="24" t="n">
        <v>1</v>
      </c>
      <c r="B81" s="24" t="s">
        <v>634</v>
      </c>
      <c r="C81" s="40" t="s">
        <v>2389</v>
      </c>
      <c r="D81" s="24" t="s">
        <v>82</v>
      </c>
      <c r="E81" s="24" t="s">
        <v>238</v>
      </c>
      <c r="F81" s="41" t="n">
        <f aca="false">INDEX((BOM_COEF!R87~BOM_COEF!S87~BOM_COEF!T87~BOM_COEF!U87~BOM_COEF!V87~BOM_COEF!W87~BOM_COEF!X87~BOM_COEF!Y87~BOM_COEF!Z87~BOM_COEF!AA87),1,1,INDEX(P_VAL,MATCH("AÑO_DIS",P_ID,0))-2025)</f>
        <v>1</v>
      </c>
      <c r="G81" s="24" t="s">
        <v>2281</v>
      </c>
      <c r="H81" s="42" t="n">
        <f aca="false">BOM_COEF!R87*DEMANDA!F6</f>
        <v>2709.773025</v>
      </c>
      <c r="I81" s="42" t="n">
        <f aca="false">BOM_COEF!S87*DEMANDA!G6</f>
        <v>5424.978881</v>
      </c>
      <c r="J81" s="42" t="n">
        <f aca="false">BOM_COEF!T87*DEMANDA!H6</f>
        <v>7124.537591</v>
      </c>
      <c r="K81" s="42" t="n">
        <f aca="false">BOM_COEF!U87*DEMANDA!I6</f>
        <v>10277.115313</v>
      </c>
      <c r="L81" s="42" t="n">
        <f aca="false">BOM_COEF!V87*DEMANDA!J6</f>
        <v>14339.30694</v>
      </c>
      <c r="M81" s="42" t="n">
        <f aca="false">BOM_COEF!W87*DEMANDA!K6</f>
        <v>18554.96411</v>
      </c>
      <c r="N81" s="42" t="n">
        <f aca="false">BOM_COEF!X87*DEMANDA!L6</f>
        <v>22458.75984</v>
      </c>
      <c r="O81" s="42" t="n">
        <f aca="false">BOM_COEF!Y87*DEMANDA!M6</f>
        <v>25860.18637</v>
      </c>
      <c r="P81" s="42" t="n">
        <f aca="false">BOM_COEF!Z87*DEMANDA!N6</f>
        <v>28507.72455</v>
      </c>
      <c r="Q81" s="42" t="n">
        <f aca="false">BOM_COEF!AA87*DEMANDA!O6</f>
        <v>32318.77872</v>
      </c>
      <c r="R81" s="24" t="s">
        <v>2390</v>
      </c>
    </row>
    <row r="82" customFormat="false" ht="15" hidden="false" customHeight="false" outlineLevel="1" collapsed="false">
      <c r="A82" s="24" t="n">
        <v>1</v>
      </c>
      <c r="B82" s="24" t="s">
        <v>634</v>
      </c>
      <c r="C82" s="40" t="s">
        <v>2391</v>
      </c>
      <c r="D82" s="24" t="s">
        <v>82</v>
      </c>
      <c r="E82" s="24" t="s">
        <v>241</v>
      </c>
      <c r="F82" s="41" t="n">
        <f aca="false">INDEX((BOM_COEF!R128~BOM_COEF!S128~BOM_COEF!T128~BOM_COEF!U128~BOM_COEF!V128~BOM_COEF!W128~BOM_COEF!X128~BOM_COEF!Y128~BOM_COEF!Z128~BOM_COEF!AA128),1,1,INDEX(P_VAL,MATCH("AÑO_DIS",P_ID,0))-2025)</f>
        <v>1</v>
      </c>
      <c r="G82" s="24" t="s">
        <v>2281</v>
      </c>
      <c r="H82" s="42" t="n">
        <f aca="false">BOM_COEF!R128*DEMANDA!F7</f>
        <v>91.83318153</v>
      </c>
      <c r="I82" s="42" t="n">
        <f aca="false">BOM_COEF!S128*DEMANDA!G7</f>
        <v>177.2472967</v>
      </c>
      <c r="J82" s="42" t="n">
        <f aca="false">BOM_COEF!T128*DEMANDA!H7</f>
        <v>252.9787798</v>
      </c>
      <c r="K82" s="42" t="n">
        <f aca="false">BOM_COEF!U128*DEMANDA!I7</f>
        <v>358.0204941</v>
      </c>
      <c r="L82" s="42" t="n">
        <f aca="false">BOM_COEF!V128*DEMANDA!J7</f>
        <v>602.7181519</v>
      </c>
      <c r="M82" s="42" t="n">
        <f aca="false">BOM_COEF!W128*DEMANDA!K7</f>
        <v>872.605032</v>
      </c>
      <c r="N82" s="42" t="n">
        <f aca="false">BOM_COEF!X128*DEMANDA!L7</f>
        <v>1127.160545</v>
      </c>
      <c r="O82" s="42" t="n">
        <f aca="false">BOM_COEF!Y128*DEMANDA!M7</f>
        <v>1395.444812</v>
      </c>
      <c r="P82" s="42" t="n">
        <f aca="false">BOM_COEF!Z128*DEMANDA!N7</f>
        <v>1612.350054</v>
      </c>
      <c r="Q82" s="42" t="n">
        <f aca="false">BOM_COEF!AA128*DEMANDA!O7</f>
        <v>1840.848079</v>
      </c>
      <c r="R82" s="24" t="s">
        <v>2392</v>
      </c>
    </row>
    <row r="83" customFormat="false" ht="15" hidden="false" customHeight="false" outlineLevel="0" collapsed="false">
      <c r="A83" s="38" t="n">
        <v>0</v>
      </c>
      <c r="B83" s="38" t="s">
        <v>510</v>
      </c>
      <c r="C83" s="38" t="s">
        <v>2131</v>
      </c>
      <c r="D83" s="38" t="s">
        <v>82</v>
      </c>
      <c r="E83" s="38"/>
      <c r="F83" s="38"/>
      <c r="G83" s="38"/>
      <c r="H83" s="39" t="n">
        <f aca="false">SUM(H84:H87)</f>
        <v>7275.37310673</v>
      </c>
      <c r="I83" s="39" t="n">
        <f aca="false">SUM(I84:I87)</f>
        <v>12309.257605</v>
      </c>
      <c r="J83" s="39" t="n">
        <f aca="false">SUM(J84:J87)</f>
        <v>15216.1321864</v>
      </c>
      <c r="K83" s="39" t="n">
        <f aca="false">SUM(K84:K87)</f>
        <v>20602.9095301</v>
      </c>
      <c r="L83" s="39" t="n">
        <f aca="false">SUM(L84:L87)</f>
        <v>29935.2855279</v>
      </c>
      <c r="M83" s="39" t="n">
        <f aca="false">SUM(M84:M87)</f>
        <v>38300.692099</v>
      </c>
      <c r="N83" s="39" t="n">
        <f aca="false">SUM(N84:N87)</f>
        <v>48020.789169</v>
      </c>
      <c r="O83" s="39" t="n">
        <f aca="false">SUM(O84:O87)</f>
        <v>57492.016249</v>
      </c>
      <c r="P83" s="39" t="n">
        <f aca="false">SUM(P84:P87)</f>
        <v>64888.596987</v>
      </c>
      <c r="Q83" s="39" t="n">
        <f aca="false">SUM(Q84:Q87)</f>
        <v>73657.124373</v>
      </c>
      <c r="R83" s="38"/>
    </row>
    <row r="84" customFormat="false" ht="15" hidden="false" customHeight="false" outlineLevel="1" collapsed="false">
      <c r="A84" s="24" t="n">
        <v>1</v>
      </c>
      <c r="B84" s="24" t="s">
        <v>510</v>
      </c>
      <c r="C84" s="40" t="s">
        <v>2393</v>
      </c>
      <c r="D84" s="24" t="s">
        <v>82</v>
      </c>
      <c r="E84" s="24" t="s">
        <v>230</v>
      </c>
      <c r="F84" s="41" t="n">
        <f aca="false">INDEX((BOM_COEF!R8~BOM_COEF!S8~BOM_COEF!T8~BOM_COEF!U8~BOM_COEF!V8~BOM_COEF!W8~BOM_COEF!X8~BOM_COEF!Y8~BOM_COEF!Z8~BOM_COEF!AA8),1,1,INDEX(P_VAL,MATCH("AÑO_DIS",P_ID,0))-2025)</f>
        <v>1</v>
      </c>
      <c r="G84" s="24" t="s">
        <v>2281</v>
      </c>
      <c r="H84" s="42" t="n">
        <f aca="false">BOM_COEF!R8*DEMANDA!F4</f>
        <v>4178.736543</v>
      </c>
      <c r="I84" s="42" t="n">
        <f aca="false">BOM_COEF!S8*DEMANDA!G4</f>
        <v>5997.303977</v>
      </c>
      <c r="J84" s="42" t="n">
        <f aca="false">BOM_COEF!T8*DEMANDA!H4</f>
        <v>6851.747758</v>
      </c>
      <c r="K84" s="42" t="n">
        <f aca="false">BOM_COEF!U8*DEMANDA!I4</f>
        <v>8467.135549</v>
      </c>
      <c r="L84" s="42" t="n">
        <f aca="false">BOM_COEF!V8*DEMANDA!J4</f>
        <v>12680.63271</v>
      </c>
      <c r="M84" s="42" t="n">
        <f aca="false">BOM_COEF!W8*DEMANDA!K4</f>
        <v>15620.25307</v>
      </c>
      <c r="N84" s="42" t="n">
        <f aca="false">BOM_COEF!X8*DEMANDA!L4</f>
        <v>20332.55326</v>
      </c>
      <c r="O84" s="42" t="n">
        <f aca="false">BOM_COEF!Y8*DEMANDA!M4</f>
        <v>25132.07848</v>
      </c>
      <c r="P84" s="42" t="n">
        <f aca="false">BOM_COEF!Z8*DEMANDA!N4</f>
        <v>28573.33614</v>
      </c>
      <c r="Q84" s="42" t="n">
        <f aca="false">BOM_COEF!AA8*DEMANDA!O4</f>
        <v>32072.63913</v>
      </c>
      <c r="R84" s="24" t="s">
        <v>2394</v>
      </c>
    </row>
    <row r="85" customFormat="false" ht="15" hidden="false" customHeight="false" outlineLevel="1" collapsed="false">
      <c r="A85" s="24" t="n">
        <v>1</v>
      </c>
      <c r="B85" s="24" t="s">
        <v>510</v>
      </c>
      <c r="C85" s="40" t="s">
        <v>2395</v>
      </c>
      <c r="D85" s="24" t="s">
        <v>82</v>
      </c>
      <c r="E85" s="24" t="s">
        <v>234</v>
      </c>
      <c r="F85" s="41" t="n">
        <f aca="false">INDEX((BOM_COEF!R44~BOM_COEF!S44~BOM_COEF!T44~BOM_COEF!U44~BOM_COEF!V44~BOM_COEF!W44~BOM_COEF!X44~BOM_COEF!Y44~BOM_COEF!Z44~BOM_COEF!AA44),1,1,INDEX(P_VAL,MATCH("AÑO_DIS",P_ID,0))-2025)</f>
        <v>1</v>
      </c>
      <c r="G85" s="24" t="s">
        <v>2281</v>
      </c>
      <c r="H85" s="42" t="n">
        <f aca="false">BOM_COEF!R44*DEMANDA!F5</f>
        <v>295.0303572</v>
      </c>
      <c r="I85" s="42" t="n">
        <f aca="false">BOM_COEF!S44*DEMANDA!G5</f>
        <v>709.7274503</v>
      </c>
      <c r="J85" s="42" t="n">
        <f aca="false">BOM_COEF!T44*DEMANDA!H5</f>
        <v>986.8680576</v>
      </c>
      <c r="K85" s="42" t="n">
        <f aca="false">BOM_COEF!U44*DEMANDA!I5</f>
        <v>1500.638174</v>
      </c>
      <c r="L85" s="42" t="n">
        <f aca="false">BOM_COEF!V44*DEMANDA!J5</f>
        <v>2312.627726</v>
      </c>
      <c r="M85" s="42" t="n">
        <f aca="false">BOM_COEF!W44*DEMANDA!K5</f>
        <v>3252.869887</v>
      </c>
      <c r="N85" s="42" t="n">
        <f aca="false">BOM_COEF!X44*DEMANDA!L5</f>
        <v>4102.315524</v>
      </c>
      <c r="O85" s="42" t="n">
        <f aca="false">BOM_COEF!Y44*DEMANDA!M5</f>
        <v>5104.306587</v>
      </c>
      <c r="P85" s="42" t="n">
        <f aca="false">BOM_COEF!Z44*DEMANDA!N5</f>
        <v>6195.186243</v>
      </c>
      <c r="Q85" s="42" t="n">
        <f aca="false">BOM_COEF!AA44*DEMANDA!O5</f>
        <v>7424.858444</v>
      </c>
      <c r="R85" s="24" t="s">
        <v>2396</v>
      </c>
    </row>
    <row r="86" customFormat="false" ht="15" hidden="false" customHeight="false" outlineLevel="1" collapsed="false">
      <c r="A86" s="24" t="n">
        <v>1</v>
      </c>
      <c r="B86" s="24" t="s">
        <v>510</v>
      </c>
      <c r="C86" s="40" t="s">
        <v>2397</v>
      </c>
      <c r="D86" s="24" t="s">
        <v>82</v>
      </c>
      <c r="E86" s="24" t="s">
        <v>238</v>
      </c>
      <c r="F86" s="41" t="n">
        <f aca="false">INDEX((BOM_COEF!R85~BOM_COEF!S85~BOM_COEF!T85~BOM_COEF!U85~BOM_COEF!V85~BOM_COEF!W85~BOM_COEF!X85~BOM_COEF!Y85~BOM_COEF!Z85~BOM_COEF!AA85),1,1,INDEX(P_VAL,MATCH("AÑO_DIS",P_ID,0))-2025)</f>
        <v>1</v>
      </c>
      <c r="G86" s="24" t="s">
        <v>2281</v>
      </c>
      <c r="H86" s="42" t="n">
        <f aca="false">BOM_COEF!R85*DEMANDA!F6</f>
        <v>2709.773025</v>
      </c>
      <c r="I86" s="42" t="n">
        <f aca="false">BOM_COEF!S85*DEMANDA!G6</f>
        <v>5424.978881</v>
      </c>
      <c r="J86" s="42" t="n">
        <f aca="false">BOM_COEF!T85*DEMANDA!H6</f>
        <v>7124.537591</v>
      </c>
      <c r="K86" s="42" t="n">
        <f aca="false">BOM_COEF!U85*DEMANDA!I6</f>
        <v>10277.115313</v>
      </c>
      <c r="L86" s="42" t="n">
        <f aca="false">BOM_COEF!V85*DEMANDA!J6</f>
        <v>14339.30694</v>
      </c>
      <c r="M86" s="42" t="n">
        <f aca="false">BOM_COEF!W85*DEMANDA!K6</f>
        <v>18554.96411</v>
      </c>
      <c r="N86" s="42" t="n">
        <f aca="false">BOM_COEF!X85*DEMANDA!L6</f>
        <v>22458.75984</v>
      </c>
      <c r="O86" s="42" t="n">
        <f aca="false">BOM_COEF!Y85*DEMANDA!M6</f>
        <v>25860.18637</v>
      </c>
      <c r="P86" s="42" t="n">
        <f aca="false">BOM_COEF!Z85*DEMANDA!N6</f>
        <v>28507.72455</v>
      </c>
      <c r="Q86" s="42" t="n">
        <f aca="false">BOM_COEF!AA85*DEMANDA!O6</f>
        <v>32318.77872</v>
      </c>
      <c r="R86" s="24" t="s">
        <v>2398</v>
      </c>
    </row>
    <row r="87" customFormat="false" ht="15" hidden="false" customHeight="false" outlineLevel="1" collapsed="false">
      <c r="A87" s="24" t="n">
        <v>1</v>
      </c>
      <c r="B87" s="24" t="s">
        <v>510</v>
      </c>
      <c r="C87" s="40" t="s">
        <v>2399</v>
      </c>
      <c r="D87" s="24" t="s">
        <v>82</v>
      </c>
      <c r="E87" s="24" t="s">
        <v>241</v>
      </c>
      <c r="F87" s="41" t="n">
        <f aca="false">INDEX((BOM_COEF!R126~BOM_COEF!S126~BOM_COEF!T126~BOM_COEF!U126~BOM_COEF!V126~BOM_COEF!W126~BOM_COEF!X126~BOM_COEF!Y126~BOM_COEF!Z126~BOM_COEF!AA126),1,1,INDEX(P_VAL,MATCH("AÑO_DIS",P_ID,0))-2025)</f>
        <v>1</v>
      </c>
      <c r="G87" s="24" t="s">
        <v>2281</v>
      </c>
      <c r="H87" s="42" t="n">
        <f aca="false">BOM_COEF!R126*DEMANDA!F7</f>
        <v>91.83318153</v>
      </c>
      <c r="I87" s="42" t="n">
        <f aca="false">BOM_COEF!S126*DEMANDA!G7</f>
        <v>177.2472967</v>
      </c>
      <c r="J87" s="42" t="n">
        <f aca="false">BOM_COEF!T126*DEMANDA!H7</f>
        <v>252.9787798</v>
      </c>
      <c r="K87" s="42" t="n">
        <f aca="false">BOM_COEF!U126*DEMANDA!I7</f>
        <v>358.0204941</v>
      </c>
      <c r="L87" s="42" t="n">
        <f aca="false">BOM_COEF!V126*DEMANDA!J7</f>
        <v>602.7181519</v>
      </c>
      <c r="M87" s="42" t="n">
        <f aca="false">BOM_COEF!W126*DEMANDA!K7</f>
        <v>872.605032</v>
      </c>
      <c r="N87" s="42" t="n">
        <f aca="false">BOM_COEF!X126*DEMANDA!L7</f>
        <v>1127.160545</v>
      </c>
      <c r="O87" s="42" t="n">
        <f aca="false">BOM_COEF!Y126*DEMANDA!M7</f>
        <v>1395.444812</v>
      </c>
      <c r="P87" s="42" t="n">
        <f aca="false">BOM_COEF!Z126*DEMANDA!N7</f>
        <v>1612.350054</v>
      </c>
      <c r="Q87" s="42" t="n">
        <f aca="false">BOM_COEF!AA126*DEMANDA!O7</f>
        <v>1840.848079</v>
      </c>
      <c r="R87" s="24" t="s">
        <v>2400</v>
      </c>
    </row>
    <row r="88" customFormat="false" ht="15" hidden="false" customHeight="false" outlineLevel="0" collapsed="false">
      <c r="A88" s="38" t="n">
        <v>0</v>
      </c>
      <c r="B88" s="38" t="s">
        <v>560</v>
      </c>
      <c r="C88" s="38" t="s">
        <v>2135</v>
      </c>
      <c r="D88" s="38" t="s">
        <v>82</v>
      </c>
      <c r="E88" s="38"/>
      <c r="F88" s="38"/>
      <c r="G88" s="38"/>
      <c r="H88" s="39" t="n">
        <f aca="false">SUM(H89:H89)</f>
        <v>4178.736543</v>
      </c>
      <c r="I88" s="39" t="n">
        <f aca="false">SUM(I89:I89)</f>
        <v>5997.303977</v>
      </c>
      <c r="J88" s="39" t="n">
        <f aca="false">SUM(J89:J89)</f>
        <v>6851.747758</v>
      </c>
      <c r="K88" s="39" t="n">
        <f aca="false">SUM(K89:K89)</f>
        <v>8467.135549</v>
      </c>
      <c r="L88" s="39" t="n">
        <f aca="false">SUM(L89:L89)</f>
        <v>12680.63271</v>
      </c>
      <c r="M88" s="39" t="n">
        <f aca="false">SUM(M89:M89)</f>
        <v>15620.25307</v>
      </c>
      <c r="N88" s="39" t="n">
        <f aca="false">SUM(N89:N89)</f>
        <v>20332.55326</v>
      </c>
      <c r="O88" s="39" t="n">
        <f aca="false">SUM(O89:O89)</f>
        <v>25132.07848</v>
      </c>
      <c r="P88" s="39" t="n">
        <f aca="false">SUM(P89:P89)</f>
        <v>28573.33614</v>
      </c>
      <c r="Q88" s="39" t="n">
        <f aca="false">SUM(Q89:Q89)</f>
        <v>32072.63913</v>
      </c>
      <c r="R88" s="38"/>
    </row>
    <row r="89" customFormat="false" ht="15" hidden="false" customHeight="false" outlineLevel="1" collapsed="false">
      <c r="A89" s="24" t="n">
        <v>1</v>
      </c>
      <c r="B89" s="24" t="s">
        <v>560</v>
      </c>
      <c r="C89" s="40" t="s">
        <v>2401</v>
      </c>
      <c r="D89" s="24" t="s">
        <v>82</v>
      </c>
      <c r="E89" s="24" t="s">
        <v>230</v>
      </c>
      <c r="F89" s="41" t="n">
        <f aca="false">INDEX((BOM_COEF!R23~BOM_COEF!S23~BOM_COEF!T23~BOM_COEF!U23~BOM_COEF!V23~BOM_COEF!W23~BOM_COEF!X23~BOM_COEF!Y23~BOM_COEF!Z23~BOM_COEF!AA23),1,1,INDEX(P_VAL,MATCH("AÑO_DIS",P_ID,0))-2025)</f>
        <v>1</v>
      </c>
      <c r="G89" s="24" t="s">
        <v>2281</v>
      </c>
      <c r="H89" s="42" t="n">
        <f aca="false">BOM_COEF!R23*DEMANDA!F4</f>
        <v>4178.736543</v>
      </c>
      <c r="I89" s="42" t="n">
        <f aca="false">BOM_COEF!S23*DEMANDA!G4</f>
        <v>5997.303977</v>
      </c>
      <c r="J89" s="42" t="n">
        <f aca="false">BOM_COEF!T23*DEMANDA!H4</f>
        <v>6851.747758</v>
      </c>
      <c r="K89" s="42" t="n">
        <f aca="false">BOM_COEF!U23*DEMANDA!I4</f>
        <v>8467.135549</v>
      </c>
      <c r="L89" s="42" t="n">
        <f aca="false">BOM_COEF!V23*DEMANDA!J4</f>
        <v>12680.63271</v>
      </c>
      <c r="M89" s="42" t="n">
        <f aca="false">BOM_COEF!W23*DEMANDA!K4</f>
        <v>15620.25307</v>
      </c>
      <c r="N89" s="42" t="n">
        <f aca="false">BOM_COEF!X23*DEMANDA!L4</f>
        <v>20332.55326</v>
      </c>
      <c r="O89" s="42" t="n">
        <f aca="false">BOM_COEF!Y23*DEMANDA!M4</f>
        <v>25132.07848</v>
      </c>
      <c r="P89" s="42" t="n">
        <f aca="false">BOM_COEF!Z23*DEMANDA!N4</f>
        <v>28573.33614</v>
      </c>
      <c r="Q89" s="42" t="n">
        <f aca="false">BOM_COEF!AA23*DEMANDA!O4</f>
        <v>32072.63913</v>
      </c>
      <c r="R89" s="24" t="s">
        <v>2402</v>
      </c>
    </row>
    <row r="90" customFormat="false" ht="15" hidden="false" customHeight="false" outlineLevel="0" collapsed="false">
      <c r="A90" s="38" t="n">
        <v>0</v>
      </c>
      <c r="B90" s="38" t="s">
        <v>661</v>
      </c>
      <c r="C90" s="38" t="s">
        <v>2137</v>
      </c>
      <c r="D90" s="38" t="s">
        <v>82</v>
      </c>
      <c r="E90" s="38"/>
      <c r="F90" s="38"/>
      <c r="G90" s="38"/>
      <c r="H90" s="39" t="n">
        <f aca="false">SUM(H91:H91)</f>
        <v>295.0303572</v>
      </c>
      <c r="I90" s="39" t="n">
        <f aca="false">SUM(I91:I91)</f>
        <v>709.7274503</v>
      </c>
      <c r="J90" s="39" t="n">
        <f aca="false">SUM(J91:J91)</f>
        <v>986.8680576</v>
      </c>
      <c r="K90" s="39" t="n">
        <f aca="false">SUM(K91:K91)</f>
        <v>1500.638174</v>
      </c>
      <c r="L90" s="39" t="n">
        <f aca="false">SUM(L91:L91)</f>
        <v>2312.627726</v>
      </c>
      <c r="M90" s="39" t="n">
        <f aca="false">SUM(M91:M91)</f>
        <v>3252.869887</v>
      </c>
      <c r="N90" s="39" t="n">
        <f aca="false">SUM(N91:N91)</f>
        <v>4102.315524</v>
      </c>
      <c r="O90" s="39" t="n">
        <f aca="false">SUM(O91:O91)</f>
        <v>5104.306587</v>
      </c>
      <c r="P90" s="39" t="n">
        <f aca="false">SUM(P91:P91)</f>
        <v>6195.186243</v>
      </c>
      <c r="Q90" s="39" t="n">
        <f aca="false">SUM(Q91:Q91)</f>
        <v>7424.858444</v>
      </c>
      <c r="R90" s="38"/>
    </row>
    <row r="91" customFormat="false" ht="15" hidden="false" customHeight="false" outlineLevel="1" collapsed="false">
      <c r="A91" s="24" t="n">
        <v>1</v>
      </c>
      <c r="B91" s="24" t="s">
        <v>661</v>
      </c>
      <c r="C91" s="40" t="s">
        <v>2403</v>
      </c>
      <c r="D91" s="24" t="s">
        <v>82</v>
      </c>
      <c r="E91" s="24" t="s">
        <v>234</v>
      </c>
      <c r="F91" s="41" t="n">
        <f aca="false">INDEX((BOM_COEF!R59~BOM_COEF!S59~BOM_COEF!T59~BOM_COEF!U59~BOM_COEF!V59~BOM_COEF!W59~BOM_COEF!X59~BOM_COEF!Y59~BOM_COEF!Z59~BOM_COEF!AA59),1,1,INDEX(P_VAL,MATCH("AÑO_DIS",P_ID,0))-2025)</f>
        <v>1</v>
      </c>
      <c r="G91" s="24" t="s">
        <v>2281</v>
      </c>
      <c r="H91" s="42" t="n">
        <f aca="false">BOM_COEF!R59*DEMANDA!F5</f>
        <v>295.0303572</v>
      </c>
      <c r="I91" s="42" t="n">
        <f aca="false">BOM_COEF!S59*DEMANDA!G5</f>
        <v>709.7274503</v>
      </c>
      <c r="J91" s="42" t="n">
        <f aca="false">BOM_COEF!T59*DEMANDA!H5</f>
        <v>986.8680576</v>
      </c>
      <c r="K91" s="42" t="n">
        <f aca="false">BOM_COEF!U59*DEMANDA!I5</f>
        <v>1500.638174</v>
      </c>
      <c r="L91" s="42" t="n">
        <f aca="false">BOM_COEF!V59*DEMANDA!J5</f>
        <v>2312.627726</v>
      </c>
      <c r="M91" s="42" t="n">
        <f aca="false">BOM_COEF!W59*DEMANDA!K5</f>
        <v>3252.869887</v>
      </c>
      <c r="N91" s="42" t="n">
        <f aca="false">BOM_COEF!X59*DEMANDA!L5</f>
        <v>4102.315524</v>
      </c>
      <c r="O91" s="42" t="n">
        <f aca="false">BOM_COEF!Y59*DEMANDA!M5</f>
        <v>5104.306587</v>
      </c>
      <c r="P91" s="42" t="n">
        <f aca="false">BOM_COEF!Z59*DEMANDA!N5</f>
        <v>6195.186243</v>
      </c>
      <c r="Q91" s="42" t="n">
        <f aca="false">BOM_COEF!AA59*DEMANDA!O5</f>
        <v>7424.858444</v>
      </c>
      <c r="R91" s="24" t="s">
        <v>2404</v>
      </c>
    </row>
    <row r="92" customFormat="false" ht="15" hidden="false" customHeight="false" outlineLevel="0" collapsed="false">
      <c r="A92" s="38" t="n">
        <v>0</v>
      </c>
      <c r="B92" s="38" t="s">
        <v>756</v>
      </c>
      <c r="C92" s="38" t="s">
        <v>2138</v>
      </c>
      <c r="D92" s="38" t="s">
        <v>82</v>
      </c>
      <c r="E92" s="38"/>
      <c r="F92" s="38"/>
      <c r="G92" s="38"/>
      <c r="H92" s="39" t="n">
        <f aca="false">SUM(H93:H93)</f>
        <v>2709.773025</v>
      </c>
      <c r="I92" s="39" t="n">
        <f aca="false">SUM(I93:I93)</f>
        <v>5424.978881</v>
      </c>
      <c r="J92" s="39" t="n">
        <f aca="false">SUM(J93:J93)</f>
        <v>7124.537591</v>
      </c>
      <c r="K92" s="39" t="n">
        <f aca="false">SUM(K93:K93)</f>
        <v>10277.115313</v>
      </c>
      <c r="L92" s="39" t="n">
        <f aca="false">SUM(L93:L93)</f>
        <v>14339.30694</v>
      </c>
      <c r="M92" s="39" t="n">
        <f aca="false">SUM(M93:M93)</f>
        <v>18554.96411</v>
      </c>
      <c r="N92" s="39" t="n">
        <f aca="false">SUM(N93:N93)</f>
        <v>22458.75984</v>
      </c>
      <c r="O92" s="39" t="n">
        <f aca="false">SUM(O93:O93)</f>
        <v>25860.18637</v>
      </c>
      <c r="P92" s="39" t="n">
        <f aca="false">SUM(P93:P93)</f>
        <v>28507.72455</v>
      </c>
      <c r="Q92" s="39" t="n">
        <f aca="false">SUM(Q93:Q93)</f>
        <v>32318.77872</v>
      </c>
      <c r="R92" s="38"/>
    </row>
    <row r="93" customFormat="false" ht="15" hidden="false" customHeight="false" outlineLevel="1" collapsed="false">
      <c r="A93" s="24" t="n">
        <v>1</v>
      </c>
      <c r="B93" s="24" t="s">
        <v>756</v>
      </c>
      <c r="C93" s="40" t="s">
        <v>2405</v>
      </c>
      <c r="D93" s="24" t="s">
        <v>82</v>
      </c>
      <c r="E93" s="24" t="s">
        <v>238</v>
      </c>
      <c r="F93" s="41" t="n">
        <f aca="false">INDEX((BOM_COEF!R100~BOM_COEF!S100~BOM_COEF!T100~BOM_COEF!U100~BOM_COEF!V100~BOM_COEF!W100~BOM_COEF!X100~BOM_COEF!Y100~BOM_COEF!Z100~BOM_COEF!AA100),1,1,INDEX(P_VAL,MATCH("AÑO_DIS",P_ID,0))-2025)</f>
        <v>1</v>
      </c>
      <c r="G93" s="24" t="s">
        <v>2281</v>
      </c>
      <c r="H93" s="42" t="n">
        <f aca="false">BOM_COEF!R100*DEMANDA!F6</f>
        <v>2709.773025</v>
      </c>
      <c r="I93" s="42" t="n">
        <f aca="false">BOM_COEF!S100*DEMANDA!G6</f>
        <v>5424.978881</v>
      </c>
      <c r="J93" s="42" t="n">
        <f aca="false">BOM_COEF!T100*DEMANDA!H6</f>
        <v>7124.537591</v>
      </c>
      <c r="K93" s="42" t="n">
        <f aca="false">BOM_COEF!U100*DEMANDA!I6</f>
        <v>10277.115313</v>
      </c>
      <c r="L93" s="42" t="n">
        <f aca="false">BOM_COEF!V100*DEMANDA!J6</f>
        <v>14339.30694</v>
      </c>
      <c r="M93" s="42" t="n">
        <f aca="false">BOM_COEF!W100*DEMANDA!K6</f>
        <v>18554.96411</v>
      </c>
      <c r="N93" s="42" t="n">
        <f aca="false">BOM_COEF!X100*DEMANDA!L6</f>
        <v>22458.75984</v>
      </c>
      <c r="O93" s="42" t="n">
        <f aca="false">BOM_COEF!Y100*DEMANDA!M6</f>
        <v>25860.18637</v>
      </c>
      <c r="P93" s="42" t="n">
        <f aca="false">BOM_COEF!Z100*DEMANDA!N6</f>
        <v>28507.72455</v>
      </c>
      <c r="Q93" s="42" t="n">
        <f aca="false">BOM_COEF!AA100*DEMANDA!O6</f>
        <v>32318.77872</v>
      </c>
      <c r="R93" s="24" t="s">
        <v>2406</v>
      </c>
    </row>
    <row r="94" customFormat="false" ht="15" hidden="false" customHeight="false" outlineLevel="0" collapsed="false">
      <c r="A94" s="38" t="n">
        <v>0</v>
      </c>
      <c r="B94" s="38" t="s">
        <v>840</v>
      </c>
      <c r="C94" s="38" t="s">
        <v>2139</v>
      </c>
      <c r="D94" s="38" t="s">
        <v>82</v>
      </c>
      <c r="E94" s="38"/>
      <c r="F94" s="38"/>
      <c r="G94" s="38"/>
      <c r="H94" s="39" t="n">
        <f aca="false">SUM(H95:H95)</f>
        <v>91.83318153</v>
      </c>
      <c r="I94" s="39" t="n">
        <f aca="false">SUM(I95:I95)</f>
        <v>177.2472967</v>
      </c>
      <c r="J94" s="39" t="n">
        <f aca="false">SUM(J95:J95)</f>
        <v>252.9787798</v>
      </c>
      <c r="K94" s="39" t="n">
        <f aca="false">SUM(K95:K95)</f>
        <v>358.0204941</v>
      </c>
      <c r="L94" s="39" t="n">
        <f aca="false">SUM(L95:L95)</f>
        <v>602.7181519</v>
      </c>
      <c r="M94" s="39" t="n">
        <f aca="false">SUM(M95:M95)</f>
        <v>872.605032</v>
      </c>
      <c r="N94" s="39" t="n">
        <f aca="false">SUM(N95:N95)</f>
        <v>1127.160545</v>
      </c>
      <c r="O94" s="39" t="n">
        <f aca="false">SUM(O95:O95)</f>
        <v>1395.444812</v>
      </c>
      <c r="P94" s="39" t="n">
        <f aca="false">SUM(P95:P95)</f>
        <v>1612.350054</v>
      </c>
      <c r="Q94" s="39" t="n">
        <f aca="false">SUM(Q95:Q95)</f>
        <v>1840.848079</v>
      </c>
      <c r="R94" s="38"/>
    </row>
    <row r="95" customFormat="false" ht="15" hidden="false" customHeight="false" outlineLevel="1" collapsed="false">
      <c r="A95" s="24" t="n">
        <v>1</v>
      </c>
      <c r="B95" s="24" t="s">
        <v>840</v>
      </c>
      <c r="C95" s="40" t="s">
        <v>2407</v>
      </c>
      <c r="D95" s="24" t="s">
        <v>82</v>
      </c>
      <c r="E95" s="24" t="s">
        <v>241</v>
      </c>
      <c r="F95" s="41" t="n">
        <f aca="false">INDEX((BOM_COEF!R141~BOM_COEF!S141~BOM_COEF!T141~BOM_COEF!U141~BOM_COEF!V141~BOM_COEF!W141~BOM_COEF!X141~BOM_COEF!Y141~BOM_COEF!Z141~BOM_COEF!AA141),1,1,INDEX(P_VAL,MATCH("AÑO_DIS",P_ID,0))-2025)</f>
        <v>1</v>
      </c>
      <c r="G95" s="24" t="s">
        <v>2281</v>
      </c>
      <c r="H95" s="42" t="n">
        <f aca="false">BOM_COEF!R141*DEMANDA!F7</f>
        <v>91.83318153</v>
      </c>
      <c r="I95" s="42" t="n">
        <f aca="false">BOM_COEF!S141*DEMANDA!G7</f>
        <v>177.2472967</v>
      </c>
      <c r="J95" s="42" t="n">
        <f aca="false">BOM_COEF!T141*DEMANDA!H7</f>
        <v>252.9787798</v>
      </c>
      <c r="K95" s="42" t="n">
        <f aca="false">BOM_COEF!U141*DEMANDA!I7</f>
        <v>358.0204941</v>
      </c>
      <c r="L95" s="42" t="n">
        <f aca="false">BOM_COEF!V141*DEMANDA!J7</f>
        <v>602.7181519</v>
      </c>
      <c r="M95" s="42" t="n">
        <f aca="false">BOM_COEF!W141*DEMANDA!K7</f>
        <v>872.605032</v>
      </c>
      <c r="N95" s="42" t="n">
        <f aca="false">BOM_COEF!X141*DEMANDA!L7</f>
        <v>1127.160545</v>
      </c>
      <c r="O95" s="42" t="n">
        <f aca="false">BOM_COEF!Y141*DEMANDA!M7</f>
        <v>1395.444812</v>
      </c>
      <c r="P95" s="42" t="n">
        <f aca="false">BOM_COEF!Z141*DEMANDA!N7</f>
        <v>1612.350054</v>
      </c>
      <c r="Q95" s="42" t="n">
        <f aca="false">BOM_COEF!AA141*DEMANDA!O7</f>
        <v>1840.848079</v>
      </c>
      <c r="R95" s="24" t="s">
        <v>2408</v>
      </c>
    </row>
    <row r="96" customFormat="false" ht="15" hidden="false" customHeight="false" outlineLevel="0" collapsed="false">
      <c r="A96" s="38" t="n">
        <v>0</v>
      </c>
      <c r="B96" s="38" t="s">
        <v>514</v>
      </c>
      <c r="C96" s="38" t="s">
        <v>2144</v>
      </c>
      <c r="D96" s="38" t="s">
        <v>82</v>
      </c>
      <c r="E96" s="38"/>
      <c r="F96" s="38"/>
      <c r="G96" s="38"/>
      <c r="H96" s="39" t="n">
        <f aca="false">SUM(H97:H97)</f>
        <v>4178.736543</v>
      </c>
      <c r="I96" s="39" t="n">
        <f aca="false">SUM(I97:I97)</f>
        <v>5997.303977</v>
      </c>
      <c r="J96" s="39" t="n">
        <f aca="false">SUM(J97:J97)</f>
        <v>6851.747758</v>
      </c>
      <c r="K96" s="39" t="n">
        <f aca="false">SUM(K97:K97)</f>
        <v>8467.135549</v>
      </c>
      <c r="L96" s="39" t="n">
        <f aca="false">SUM(L97:L97)</f>
        <v>12680.63271</v>
      </c>
      <c r="M96" s="39" t="n">
        <f aca="false">SUM(M97:M97)</f>
        <v>15620.25307</v>
      </c>
      <c r="N96" s="39" t="n">
        <f aca="false">SUM(N97:N97)</f>
        <v>20332.55326</v>
      </c>
      <c r="O96" s="39" t="n">
        <f aca="false">SUM(O97:O97)</f>
        <v>25132.07848</v>
      </c>
      <c r="P96" s="39" t="n">
        <f aca="false">SUM(P97:P97)</f>
        <v>28573.33614</v>
      </c>
      <c r="Q96" s="39" t="n">
        <f aca="false">SUM(Q97:Q97)</f>
        <v>32072.63913</v>
      </c>
      <c r="R96" s="38"/>
    </row>
    <row r="97" customFormat="false" ht="15" hidden="false" customHeight="false" outlineLevel="1" collapsed="false">
      <c r="A97" s="24" t="n">
        <v>1</v>
      </c>
      <c r="B97" s="24" t="s">
        <v>514</v>
      </c>
      <c r="C97" s="40" t="s">
        <v>2409</v>
      </c>
      <c r="D97" s="24" t="s">
        <v>82</v>
      </c>
      <c r="E97" s="24" t="s">
        <v>230</v>
      </c>
      <c r="F97" s="41" t="n">
        <f aca="false">INDEX((BOM_COEF!R9~BOM_COEF!S9~BOM_COEF!T9~BOM_COEF!U9~BOM_COEF!V9~BOM_COEF!W9~BOM_COEF!X9~BOM_COEF!Y9~BOM_COEF!Z9~BOM_COEF!AA9),1,1,INDEX(P_VAL,MATCH("AÑO_DIS",P_ID,0))-2025)</f>
        <v>1</v>
      </c>
      <c r="G97" s="24" t="s">
        <v>2281</v>
      </c>
      <c r="H97" s="42" t="n">
        <f aca="false">BOM_COEF!R9*DEMANDA!F4</f>
        <v>4178.736543</v>
      </c>
      <c r="I97" s="42" t="n">
        <f aca="false">BOM_COEF!S9*DEMANDA!G4</f>
        <v>5997.303977</v>
      </c>
      <c r="J97" s="42" t="n">
        <f aca="false">BOM_COEF!T9*DEMANDA!H4</f>
        <v>6851.747758</v>
      </c>
      <c r="K97" s="42" t="n">
        <f aca="false">BOM_COEF!U9*DEMANDA!I4</f>
        <v>8467.135549</v>
      </c>
      <c r="L97" s="42" t="n">
        <f aca="false">BOM_COEF!V9*DEMANDA!J4</f>
        <v>12680.63271</v>
      </c>
      <c r="M97" s="42" t="n">
        <f aca="false">BOM_COEF!W9*DEMANDA!K4</f>
        <v>15620.25307</v>
      </c>
      <c r="N97" s="42" t="n">
        <f aca="false">BOM_COEF!X9*DEMANDA!L4</f>
        <v>20332.55326</v>
      </c>
      <c r="O97" s="42" t="n">
        <f aca="false">BOM_COEF!Y9*DEMANDA!M4</f>
        <v>25132.07848</v>
      </c>
      <c r="P97" s="42" t="n">
        <f aca="false">BOM_COEF!Z9*DEMANDA!N4</f>
        <v>28573.33614</v>
      </c>
      <c r="Q97" s="42" t="n">
        <f aca="false">BOM_COEF!AA9*DEMANDA!O4</f>
        <v>32072.63913</v>
      </c>
      <c r="R97" s="24" t="s">
        <v>2410</v>
      </c>
    </row>
    <row r="98" customFormat="false" ht="15" hidden="false" customHeight="false" outlineLevel="0" collapsed="false">
      <c r="A98" s="38" t="n">
        <v>0</v>
      </c>
      <c r="B98" s="38" t="s">
        <v>630</v>
      </c>
      <c r="C98" s="38" t="s">
        <v>2147</v>
      </c>
      <c r="D98" s="38" t="s">
        <v>82</v>
      </c>
      <c r="E98" s="38"/>
      <c r="F98" s="38"/>
      <c r="G98" s="38"/>
      <c r="H98" s="39" t="n">
        <f aca="false">SUM(H99:H101)</f>
        <v>3096.63656373</v>
      </c>
      <c r="I98" s="39" t="n">
        <f aca="false">SUM(I99:I101)</f>
        <v>6311.953628</v>
      </c>
      <c r="J98" s="39" t="n">
        <f aca="false">SUM(J99:J101)</f>
        <v>8364.3844284</v>
      </c>
      <c r="K98" s="39" t="n">
        <f aca="false">SUM(K99:K101)</f>
        <v>12135.7739811</v>
      </c>
      <c r="L98" s="39" t="n">
        <f aca="false">SUM(L99:L101)</f>
        <v>17254.6528179</v>
      </c>
      <c r="M98" s="39" t="n">
        <f aca="false">SUM(M99:M101)</f>
        <v>22680.439029</v>
      </c>
      <c r="N98" s="39" t="n">
        <f aca="false">SUM(N99:N101)</f>
        <v>27688.235909</v>
      </c>
      <c r="O98" s="39" t="n">
        <f aca="false">SUM(O99:O101)</f>
        <v>32359.937769</v>
      </c>
      <c r="P98" s="39" t="n">
        <f aca="false">SUM(P99:P101)</f>
        <v>36315.260847</v>
      </c>
      <c r="Q98" s="39" t="n">
        <f aca="false">SUM(Q99:Q101)</f>
        <v>41584.485243</v>
      </c>
      <c r="R98" s="38"/>
    </row>
    <row r="99" customFormat="false" ht="15" hidden="false" customHeight="false" outlineLevel="1" collapsed="false">
      <c r="A99" s="24" t="n">
        <v>1</v>
      </c>
      <c r="B99" s="24" t="s">
        <v>630</v>
      </c>
      <c r="C99" s="40" t="s">
        <v>2411</v>
      </c>
      <c r="D99" s="24" t="s">
        <v>82</v>
      </c>
      <c r="E99" s="24" t="s">
        <v>234</v>
      </c>
      <c r="F99" s="41" t="n">
        <f aca="false">INDEX((BOM_COEF!R45~BOM_COEF!S45~BOM_COEF!T45~BOM_COEF!U45~BOM_COEF!V45~BOM_COEF!W45~BOM_COEF!X45~BOM_COEF!Y45~BOM_COEF!Z45~BOM_COEF!AA45),1,1,INDEX(P_VAL,MATCH("AÑO_DIS",P_ID,0))-2025)</f>
        <v>1</v>
      </c>
      <c r="G99" s="24" t="s">
        <v>2281</v>
      </c>
      <c r="H99" s="42" t="n">
        <f aca="false">BOM_COEF!R45*DEMANDA!F5</f>
        <v>295.0303572</v>
      </c>
      <c r="I99" s="42" t="n">
        <f aca="false">BOM_COEF!S45*DEMANDA!G5</f>
        <v>709.7274503</v>
      </c>
      <c r="J99" s="42" t="n">
        <f aca="false">BOM_COEF!T45*DEMANDA!H5</f>
        <v>986.8680576</v>
      </c>
      <c r="K99" s="42" t="n">
        <f aca="false">BOM_COEF!U45*DEMANDA!I5</f>
        <v>1500.638174</v>
      </c>
      <c r="L99" s="42" t="n">
        <f aca="false">BOM_COEF!V45*DEMANDA!J5</f>
        <v>2312.627726</v>
      </c>
      <c r="M99" s="42" t="n">
        <f aca="false">BOM_COEF!W45*DEMANDA!K5</f>
        <v>3252.869887</v>
      </c>
      <c r="N99" s="42" t="n">
        <f aca="false">BOM_COEF!X45*DEMANDA!L5</f>
        <v>4102.315524</v>
      </c>
      <c r="O99" s="42" t="n">
        <f aca="false">BOM_COEF!Y45*DEMANDA!M5</f>
        <v>5104.306587</v>
      </c>
      <c r="P99" s="42" t="n">
        <f aca="false">BOM_COEF!Z45*DEMANDA!N5</f>
        <v>6195.186243</v>
      </c>
      <c r="Q99" s="42" t="n">
        <f aca="false">BOM_COEF!AA45*DEMANDA!O5</f>
        <v>7424.858444</v>
      </c>
      <c r="R99" s="24" t="s">
        <v>2412</v>
      </c>
    </row>
    <row r="100" customFormat="false" ht="15" hidden="false" customHeight="false" outlineLevel="1" collapsed="false">
      <c r="A100" s="24" t="n">
        <v>1</v>
      </c>
      <c r="B100" s="24" t="s">
        <v>630</v>
      </c>
      <c r="C100" s="40" t="s">
        <v>2413</v>
      </c>
      <c r="D100" s="24" t="s">
        <v>82</v>
      </c>
      <c r="E100" s="24" t="s">
        <v>238</v>
      </c>
      <c r="F100" s="41" t="n">
        <f aca="false">INDEX((BOM_COEF!R86~BOM_COEF!S86~BOM_COEF!T86~BOM_COEF!U86~BOM_COEF!V86~BOM_COEF!W86~BOM_COEF!X86~BOM_COEF!Y86~BOM_COEF!Z86~BOM_COEF!AA86),1,1,INDEX(P_VAL,MATCH("AÑO_DIS",P_ID,0))-2025)</f>
        <v>1</v>
      </c>
      <c r="G100" s="24" t="s">
        <v>2281</v>
      </c>
      <c r="H100" s="42" t="n">
        <f aca="false">BOM_COEF!R86*DEMANDA!F6</f>
        <v>2709.773025</v>
      </c>
      <c r="I100" s="42" t="n">
        <f aca="false">BOM_COEF!S86*DEMANDA!G6</f>
        <v>5424.978881</v>
      </c>
      <c r="J100" s="42" t="n">
        <f aca="false">BOM_COEF!T86*DEMANDA!H6</f>
        <v>7124.537591</v>
      </c>
      <c r="K100" s="42" t="n">
        <f aca="false">BOM_COEF!U86*DEMANDA!I6</f>
        <v>10277.115313</v>
      </c>
      <c r="L100" s="42" t="n">
        <f aca="false">BOM_COEF!V86*DEMANDA!J6</f>
        <v>14339.30694</v>
      </c>
      <c r="M100" s="42" t="n">
        <f aca="false">BOM_COEF!W86*DEMANDA!K6</f>
        <v>18554.96411</v>
      </c>
      <c r="N100" s="42" t="n">
        <f aca="false">BOM_COEF!X86*DEMANDA!L6</f>
        <v>22458.75984</v>
      </c>
      <c r="O100" s="42" t="n">
        <f aca="false">BOM_COEF!Y86*DEMANDA!M6</f>
        <v>25860.18637</v>
      </c>
      <c r="P100" s="42" t="n">
        <f aca="false">BOM_COEF!Z86*DEMANDA!N6</f>
        <v>28507.72455</v>
      </c>
      <c r="Q100" s="42" t="n">
        <f aca="false">BOM_COEF!AA86*DEMANDA!O6</f>
        <v>32318.77872</v>
      </c>
      <c r="R100" s="24" t="s">
        <v>2414</v>
      </c>
    </row>
    <row r="101" customFormat="false" ht="15" hidden="false" customHeight="false" outlineLevel="1" collapsed="false">
      <c r="A101" s="24" t="n">
        <v>1</v>
      </c>
      <c r="B101" s="24" t="s">
        <v>630</v>
      </c>
      <c r="C101" s="40" t="s">
        <v>2415</v>
      </c>
      <c r="D101" s="24" t="s">
        <v>82</v>
      </c>
      <c r="E101" s="24" t="s">
        <v>241</v>
      </c>
      <c r="F101" s="41" t="n">
        <f aca="false">INDEX((BOM_COEF!R127~BOM_COEF!S127~BOM_COEF!T127~BOM_COEF!U127~BOM_COEF!V127~BOM_COEF!W127~BOM_COEF!X127~BOM_COEF!Y127~BOM_COEF!Z127~BOM_COEF!AA127),1,1,INDEX(P_VAL,MATCH("AÑO_DIS",P_ID,0))-2025)</f>
        <v>1</v>
      </c>
      <c r="G101" s="24" t="s">
        <v>2281</v>
      </c>
      <c r="H101" s="42" t="n">
        <f aca="false">BOM_COEF!R127*DEMANDA!F7</f>
        <v>91.83318153</v>
      </c>
      <c r="I101" s="42" t="n">
        <f aca="false">BOM_COEF!S127*DEMANDA!G7</f>
        <v>177.2472967</v>
      </c>
      <c r="J101" s="42" t="n">
        <f aca="false">BOM_COEF!T127*DEMANDA!H7</f>
        <v>252.9787798</v>
      </c>
      <c r="K101" s="42" t="n">
        <f aca="false">BOM_COEF!U127*DEMANDA!I7</f>
        <v>358.0204941</v>
      </c>
      <c r="L101" s="42" t="n">
        <f aca="false">BOM_COEF!V127*DEMANDA!J7</f>
        <v>602.7181519</v>
      </c>
      <c r="M101" s="42" t="n">
        <f aca="false">BOM_COEF!W127*DEMANDA!K7</f>
        <v>872.605032</v>
      </c>
      <c r="N101" s="42" t="n">
        <f aca="false">BOM_COEF!X127*DEMANDA!L7</f>
        <v>1127.160545</v>
      </c>
      <c r="O101" s="42" t="n">
        <f aca="false">BOM_COEF!Y127*DEMANDA!M7</f>
        <v>1395.444812</v>
      </c>
      <c r="P101" s="42" t="n">
        <f aca="false">BOM_COEF!Z127*DEMANDA!N7</f>
        <v>1612.350054</v>
      </c>
      <c r="Q101" s="42" t="n">
        <f aca="false">BOM_COEF!AA127*DEMANDA!O7</f>
        <v>1840.848079</v>
      </c>
      <c r="R101" s="24" t="s">
        <v>2416</v>
      </c>
    </row>
    <row r="102" customFormat="false" ht="15" hidden="false" customHeight="false" outlineLevel="0" collapsed="false">
      <c r="A102" s="38" t="n">
        <v>0</v>
      </c>
      <c r="B102" s="38" t="s">
        <v>699</v>
      </c>
      <c r="C102" s="38" t="s">
        <v>2152</v>
      </c>
      <c r="D102" s="38" t="s">
        <v>82</v>
      </c>
      <c r="E102" s="38"/>
      <c r="F102" s="38"/>
      <c r="G102" s="38"/>
      <c r="H102" s="39" t="n">
        <f aca="false">SUM(H103:H103)</f>
        <v>295.0303572</v>
      </c>
      <c r="I102" s="39" t="n">
        <f aca="false">SUM(I103:I103)</f>
        <v>709.7274503</v>
      </c>
      <c r="J102" s="39" t="n">
        <f aca="false">SUM(J103:J103)</f>
        <v>986.8680576</v>
      </c>
      <c r="K102" s="39" t="n">
        <f aca="false">SUM(K103:K103)</f>
        <v>1500.638174</v>
      </c>
      <c r="L102" s="39" t="n">
        <f aca="false">SUM(L103:L103)</f>
        <v>2312.627726</v>
      </c>
      <c r="M102" s="39" t="n">
        <f aca="false">SUM(M103:M103)</f>
        <v>3252.869887</v>
      </c>
      <c r="N102" s="39" t="n">
        <f aca="false">SUM(N103:N103)</f>
        <v>4102.315524</v>
      </c>
      <c r="O102" s="39" t="n">
        <f aca="false">SUM(O103:O103)</f>
        <v>5104.306587</v>
      </c>
      <c r="P102" s="39" t="n">
        <f aca="false">SUM(P103:P103)</f>
        <v>6195.186243</v>
      </c>
      <c r="Q102" s="39" t="n">
        <f aca="false">SUM(Q103:Q103)</f>
        <v>7424.858444</v>
      </c>
      <c r="R102" s="38"/>
    </row>
    <row r="103" customFormat="false" ht="15" hidden="false" customHeight="false" outlineLevel="1" collapsed="false">
      <c r="A103" s="24" t="n">
        <v>1</v>
      </c>
      <c r="B103" s="24" t="s">
        <v>699</v>
      </c>
      <c r="C103" s="40" t="s">
        <v>2417</v>
      </c>
      <c r="D103" s="24" t="s">
        <v>82</v>
      </c>
      <c r="E103" s="24" t="s">
        <v>234</v>
      </c>
      <c r="F103" s="41" t="n">
        <f aca="false">INDEX((BOM_COEF!R73~BOM_COEF!S73~BOM_COEF!T73~BOM_COEF!U73~BOM_COEF!V73~BOM_COEF!W73~BOM_COEF!X73~BOM_COEF!Y73~BOM_COEF!Z73~BOM_COEF!AA73),1,1,INDEX(P_VAL,MATCH("AÑO_DIS",P_ID,0))-2025)</f>
        <v>1</v>
      </c>
      <c r="G103" s="24" t="s">
        <v>2281</v>
      </c>
      <c r="H103" s="42" t="n">
        <f aca="false">BOM_COEF!R73*DEMANDA!F5</f>
        <v>295.0303572</v>
      </c>
      <c r="I103" s="42" t="n">
        <f aca="false">BOM_COEF!S73*DEMANDA!G5</f>
        <v>709.7274503</v>
      </c>
      <c r="J103" s="42" t="n">
        <f aca="false">BOM_COEF!T73*DEMANDA!H5</f>
        <v>986.8680576</v>
      </c>
      <c r="K103" s="42" t="n">
        <f aca="false">BOM_COEF!U73*DEMANDA!I5</f>
        <v>1500.638174</v>
      </c>
      <c r="L103" s="42" t="n">
        <f aca="false">BOM_COEF!V73*DEMANDA!J5</f>
        <v>2312.627726</v>
      </c>
      <c r="M103" s="42" t="n">
        <f aca="false">BOM_COEF!W73*DEMANDA!K5</f>
        <v>3252.869887</v>
      </c>
      <c r="N103" s="42" t="n">
        <f aca="false">BOM_COEF!X73*DEMANDA!L5</f>
        <v>4102.315524</v>
      </c>
      <c r="O103" s="42" t="n">
        <f aca="false">BOM_COEF!Y73*DEMANDA!M5</f>
        <v>5104.306587</v>
      </c>
      <c r="P103" s="42" t="n">
        <f aca="false">BOM_COEF!Z73*DEMANDA!N5</f>
        <v>6195.186243</v>
      </c>
      <c r="Q103" s="42" t="n">
        <f aca="false">BOM_COEF!AA73*DEMANDA!O5</f>
        <v>7424.858444</v>
      </c>
      <c r="R103" s="24" t="s">
        <v>2418</v>
      </c>
    </row>
    <row r="104" customFormat="false" ht="15" hidden="false" customHeight="false" outlineLevel="0" collapsed="false">
      <c r="A104" s="38" t="n">
        <v>0</v>
      </c>
      <c r="B104" s="38" t="s">
        <v>786</v>
      </c>
      <c r="C104" s="38" t="s">
        <v>2155</v>
      </c>
      <c r="D104" s="38" t="s">
        <v>82</v>
      </c>
      <c r="E104" s="38"/>
      <c r="F104" s="38"/>
      <c r="G104" s="38"/>
      <c r="H104" s="39" t="n">
        <f aca="false">SUM(H105:H105)</f>
        <v>2709.773025</v>
      </c>
      <c r="I104" s="39" t="n">
        <f aca="false">SUM(I105:I105)</f>
        <v>5424.978881</v>
      </c>
      <c r="J104" s="39" t="n">
        <f aca="false">SUM(J105:J105)</f>
        <v>7124.537591</v>
      </c>
      <c r="K104" s="39" t="n">
        <f aca="false">SUM(K105:K105)</f>
        <v>10277.115313</v>
      </c>
      <c r="L104" s="39" t="n">
        <f aca="false">SUM(L105:L105)</f>
        <v>14339.30694</v>
      </c>
      <c r="M104" s="39" t="n">
        <f aca="false">SUM(M105:M105)</f>
        <v>18554.96411</v>
      </c>
      <c r="N104" s="39" t="n">
        <f aca="false">SUM(N105:N105)</f>
        <v>22458.75984</v>
      </c>
      <c r="O104" s="39" t="n">
        <f aca="false">SUM(O105:O105)</f>
        <v>25860.18637</v>
      </c>
      <c r="P104" s="39" t="n">
        <f aca="false">SUM(P105:P105)</f>
        <v>28507.72455</v>
      </c>
      <c r="Q104" s="39" t="n">
        <f aca="false">SUM(Q105:Q105)</f>
        <v>32318.77872</v>
      </c>
      <c r="R104" s="38"/>
    </row>
    <row r="105" customFormat="false" ht="15" hidden="false" customHeight="false" outlineLevel="1" collapsed="false">
      <c r="A105" s="24" t="n">
        <v>1</v>
      </c>
      <c r="B105" s="24" t="s">
        <v>786</v>
      </c>
      <c r="C105" s="40" t="s">
        <v>2419</v>
      </c>
      <c r="D105" s="24" t="s">
        <v>82</v>
      </c>
      <c r="E105" s="24" t="s">
        <v>238</v>
      </c>
      <c r="F105" s="41" t="n">
        <f aca="false">INDEX((BOM_COEF!R114~BOM_COEF!S114~BOM_COEF!T114~BOM_COEF!U114~BOM_COEF!V114~BOM_COEF!W114~BOM_COEF!X114~BOM_COEF!Y114~BOM_COEF!Z114~BOM_COEF!AA114),1,1,INDEX(P_VAL,MATCH("AÑO_DIS",P_ID,0))-2025)</f>
        <v>1</v>
      </c>
      <c r="G105" s="24" t="s">
        <v>2281</v>
      </c>
      <c r="H105" s="42" t="n">
        <f aca="false">BOM_COEF!R114*DEMANDA!F6</f>
        <v>2709.773025</v>
      </c>
      <c r="I105" s="42" t="n">
        <f aca="false">BOM_COEF!S114*DEMANDA!G6</f>
        <v>5424.978881</v>
      </c>
      <c r="J105" s="42" t="n">
        <f aca="false">BOM_COEF!T114*DEMANDA!H6</f>
        <v>7124.537591</v>
      </c>
      <c r="K105" s="42" t="n">
        <f aca="false">BOM_COEF!U114*DEMANDA!I6</f>
        <v>10277.115313</v>
      </c>
      <c r="L105" s="42" t="n">
        <f aca="false">BOM_COEF!V114*DEMANDA!J6</f>
        <v>14339.30694</v>
      </c>
      <c r="M105" s="42" t="n">
        <f aca="false">BOM_COEF!W114*DEMANDA!K6</f>
        <v>18554.96411</v>
      </c>
      <c r="N105" s="42" t="n">
        <f aca="false">BOM_COEF!X114*DEMANDA!L6</f>
        <v>22458.75984</v>
      </c>
      <c r="O105" s="42" t="n">
        <f aca="false">BOM_COEF!Y114*DEMANDA!M6</f>
        <v>25860.18637</v>
      </c>
      <c r="P105" s="42" t="n">
        <f aca="false">BOM_COEF!Z114*DEMANDA!N6</f>
        <v>28507.72455</v>
      </c>
      <c r="Q105" s="42" t="n">
        <f aca="false">BOM_COEF!AA114*DEMANDA!O6</f>
        <v>32318.77872</v>
      </c>
      <c r="R105" s="24" t="s">
        <v>2420</v>
      </c>
    </row>
    <row r="106" customFormat="false" ht="15" hidden="false" customHeight="false" outlineLevel="0" collapsed="false">
      <c r="A106" s="38" t="n">
        <v>0</v>
      </c>
      <c r="B106" s="38" t="s">
        <v>870</v>
      </c>
      <c r="C106" s="38" t="s">
        <v>2156</v>
      </c>
      <c r="D106" s="38" t="s">
        <v>82</v>
      </c>
      <c r="E106" s="38"/>
      <c r="F106" s="38"/>
      <c r="G106" s="38"/>
      <c r="H106" s="39" t="n">
        <f aca="false">SUM(H107:H107)</f>
        <v>91.83318153</v>
      </c>
      <c r="I106" s="39" t="n">
        <f aca="false">SUM(I107:I107)</f>
        <v>177.2472967</v>
      </c>
      <c r="J106" s="39" t="n">
        <f aca="false">SUM(J107:J107)</f>
        <v>252.9787798</v>
      </c>
      <c r="K106" s="39" t="n">
        <f aca="false">SUM(K107:K107)</f>
        <v>358.0204941</v>
      </c>
      <c r="L106" s="39" t="n">
        <f aca="false">SUM(L107:L107)</f>
        <v>602.7181519</v>
      </c>
      <c r="M106" s="39" t="n">
        <f aca="false">SUM(M107:M107)</f>
        <v>872.605032</v>
      </c>
      <c r="N106" s="39" t="n">
        <f aca="false">SUM(N107:N107)</f>
        <v>1127.160545</v>
      </c>
      <c r="O106" s="39" t="n">
        <f aca="false">SUM(O107:O107)</f>
        <v>1395.444812</v>
      </c>
      <c r="P106" s="39" t="n">
        <f aca="false">SUM(P107:P107)</f>
        <v>1612.350054</v>
      </c>
      <c r="Q106" s="39" t="n">
        <f aca="false">SUM(Q107:Q107)</f>
        <v>1840.848079</v>
      </c>
      <c r="R106" s="38"/>
    </row>
    <row r="107" customFormat="false" ht="15" hidden="false" customHeight="false" outlineLevel="1" collapsed="false">
      <c r="A107" s="24" t="n">
        <v>1</v>
      </c>
      <c r="B107" s="24" t="s">
        <v>870</v>
      </c>
      <c r="C107" s="40" t="s">
        <v>2421</v>
      </c>
      <c r="D107" s="24" t="s">
        <v>82</v>
      </c>
      <c r="E107" s="24" t="s">
        <v>241</v>
      </c>
      <c r="F107" s="41" t="n">
        <f aca="false">INDEX((BOM_COEF!R155~BOM_COEF!S155~BOM_COEF!T155~BOM_COEF!U155~BOM_COEF!V155~BOM_COEF!W155~BOM_COEF!X155~BOM_COEF!Y155~BOM_COEF!Z155~BOM_COEF!AA155),1,1,INDEX(P_VAL,MATCH("AÑO_DIS",P_ID,0))-2025)</f>
        <v>1</v>
      </c>
      <c r="G107" s="24" t="s">
        <v>2281</v>
      </c>
      <c r="H107" s="42" t="n">
        <f aca="false">BOM_COEF!R155*DEMANDA!F7</f>
        <v>91.83318153</v>
      </c>
      <c r="I107" s="42" t="n">
        <f aca="false">BOM_COEF!S155*DEMANDA!G7</f>
        <v>177.2472967</v>
      </c>
      <c r="J107" s="42" t="n">
        <f aca="false">BOM_COEF!T155*DEMANDA!H7</f>
        <v>252.9787798</v>
      </c>
      <c r="K107" s="42" t="n">
        <f aca="false">BOM_COEF!U155*DEMANDA!I7</f>
        <v>358.0204941</v>
      </c>
      <c r="L107" s="42" t="n">
        <f aca="false">BOM_COEF!V155*DEMANDA!J7</f>
        <v>602.7181519</v>
      </c>
      <c r="M107" s="42" t="n">
        <f aca="false">BOM_COEF!W155*DEMANDA!K7</f>
        <v>872.605032</v>
      </c>
      <c r="N107" s="42" t="n">
        <f aca="false">BOM_COEF!X155*DEMANDA!L7</f>
        <v>1127.160545</v>
      </c>
      <c r="O107" s="42" t="n">
        <f aca="false">BOM_COEF!Y155*DEMANDA!M7</f>
        <v>1395.444812</v>
      </c>
      <c r="P107" s="42" t="n">
        <f aca="false">BOM_COEF!Z155*DEMANDA!N7</f>
        <v>1612.350054</v>
      </c>
      <c r="Q107" s="42" t="n">
        <f aca="false">BOM_COEF!AA155*DEMANDA!O7</f>
        <v>1840.848079</v>
      </c>
      <c r="R107" s="24" t="s">
        <v>2422</v>
      </c>
    </row>
    <row r="108" customFormat="false" ht="15" hidden="false" customHeight="false" outlineLevel="0" collapsed="false">
      <c r="A108" s="38" t="n">
        <v>0</v>
      </c>
      <c r="B108" s="38" t="s">
        <v>602</v>
      </c>
      <c r="C108" s="38" t="s">
        <v>2157</v>
      </c>
      <c r="D108" s="38" t="s">
        <v>82</v>
      </c>
      <c r="E108" s="38"/>
      <c r="F108" s="38"/>
      <c r="G108" s="38"/>
      <c r="H108" s="39" t="n">
        <f aca="false">SUM(H109:H109)</f>
        <v>4178.736543</v>
      </c>
      <c r="I108" s="39" t="n">
        <f aca="false">SUM(I109:I109)</f>
        <v>5997.303977</v>
      </c>
      <c r="J108" s="39" t="n">
        <f aca="false">SUM(J109:J109)</f>
        <v>6851.747758</v>
      </c>
      <c r="K108" s="39" t="n">
        <f aca="false">SUM(K109:K109)</f>
        <v>8467.135549</v>
      </c>
      <c r="L108" s="39" t="n">
        <f aca="false">SUM(L109:L109)</f>
        <v>12680.63271</v>
      </c>
      <c r="M108" s="39" t="n">
        <f aca="false">SUM(M109:M109)</f>
        <v>15620.25307</v>
      </c>
      <c r="N108" s="39" t="n">
        <f aca="false">SUM(N109:N109)</f>
        <v>20332.55326</v>
      </c>
      <c r="O108" s="39" t="n">
        <f aca="false">SUM(O109:O109)</f>
        <v>25132.07848</v>
      </c>
      <c r="P108" s="39" t="n">
        <f aca="false">SUM(P109:P109)</f>
        <v>28573.33614</v>
      </c>
      <c r="Q108" s="39" t="n">
        <f aca="false">SUM(Q109:Q109)</f>
        <v>32072.63913</v>
      </c>
      <c r="R108" s="38"/>
    </row>
    <row r="109" customFormat="false" ht="15" hidden="false" customHeight="false" outlineLevel="1" collapsed="false">
      <c r="A109" s="24" t="n">
        <v>1</v>
      </c>
      <c r="B109" s="24" t="s">
        <v>602</v>
      </c>
      <c r="C109" s="40" t="s">
        <v>2423</v>
      </c>
      <c r="D109" s="24" t="s">
        <v>82</v>
      </c>
      <c r="E109" s="24" t="s">
        <v>230</v>
      </c>
      <c r="F109" s="41" t="n">
        <f aca="false">INDEX((BOM_COEF!R33~BOM_COEF!S33~BOM_COEF!T33~BOM_COEF!U33~BOM_COEF!V33~BOM_COEF!W33~BOM_COEF!X33~BOM_COEF!Y33~BOM_COEF!Z33~BOM_COEF!AA33),1,1,INDEX(P_VAL,MATCH("AÑO_DIS",P_ID,0))-2025)</f>
        <v>1</v>
      </c>
      <c r="G109" s="24" t="s">
        <v>2281</v>
      </c>
      <c r="H109" s="42" t="n">
        <f aca="false">BOM_COEF!R33*DEMANDA!F4</f>
        <v>4178.736543</v>
      </c>
      <c r="I109" s="42" t="n">
        <f aca="false">BOM_COEF!S33*DEMANDA!G4</f>
        <v>5997.303977</v>
      </c>
      <c r="J109" s="42" t="n">
        <f aca="false">BOM_COEF!T33*DEMANDA!H4</f>
        <v>6851.747758</v>
      </c>
      <c r="K109" s="42" t="n">
        <f aca="false">BOM_COEF!U33*DEMANDA!I4</f>
        <v>8467.135549</v>
      </c>
      <c r="L109" s="42" t="n">
        <f aca="false">BOM_COEF!V33*DEMANDA!J4</f>
        <v>12680.63271</v>
      </c>
      <c r="M109" s="42" t="n">
        <f aca="false">BOM_COEF!W33*DEMANDA!K4</f>
        <v>15620.25307</v>
      </c>
      <c r="N109" s="42" t="n">
        <f aca="false">BOM_COEF!X33*DEMANDA!L4</f>
        <v>20332.55326</v>
      </c>
      <c r="O109" s="42" t="n">
        <f aca="false">BOM_COEF!Y33*DEMANDA!M4</f>
        <v>25132.07848</v>
      </c>
      <c r="P109" s="42" t="n">
        <f aca="false">BOM_COEF!Z33*DEMANDA!N4</f>
        <v>28573.33614</v>
      </c>
      <c r="Q109" s="42" t="n">
        <f aca="false">BOM_COEF!AA33*DEMANDA!O4</f>
        <v>32072.63913</v>
      </c>
      <c r="R109" s="24" t="s">
        <v>2424</v>
      </c>
    </row>
    <row r="110" customFormat="false" ht="15" hidden="false" customHeight="false" outlineLevel="0" collapsed="false">
      <c r="A110" s="38" t="n">
        <v>0</v>
      </c>
      <c r="B110" s="38" t="s">
        <v>703</v>
      </c>
      <c r="C110" s="38" t="s">
        <v>2158</v>
      </c>
      <c r="D110" s="38" t="s">
        <v>82</v>
      </c>
      <c r="E110" s="38"/>
      <c r="F110" s="38"/>
      <c r="G110" s="38"/>
      <c r="H110" s="39" t="n">
        <f aca="false">SUM(H111:H113)</f>
        <v>6193.27312746</v>
      </c>
      <c r="I110" s="39" t="n">
        <f aca="false">SUM(I111:I113)</f>
        <v>12623.907256</v>
      </c>
      <c r="J110" s="39" t="n">
        <f aca="false">SUM(J111:J113)</f>
        <v>16728.7688568</v>
      </c>
      <c r="K110" s="39" t="n">
        <f aca="false">SUM(K111:K113)</f>
        <v>24271.5479622</v>
      </c>
      <c r="L110" s="39" t="n">
        <f aca="false">SUM(L111:L113)</f>
        <v>34509.3056358</v>
      </c>
      <c r="M110" s="39" t="n">
        <f aca="false">SUM(M111:M113)</f>
        <v>45360.878058</v>
      </c>
      <c r="N110" s="39" t="n">
        <f aca="false">SUM(N111:N113)</f>
        <v>55376.471818</v>
      </c>
      <c r="O110" s="39" t="n">
        <f aca="false">SUM(O111:O113)</f>
        <v>64719.875538</v>
      </c>
      <c r="P110" s="39" t="n">
        <f aca="false">SUM(P111:P113)</f>
        <v>72630.521694</v>
      </c>
      <c r="Q110" s="39" t="n">
        <f aca="false">SUM(Q111:Q113)</f>
        <v>83168.970486</v>
      </c>
      <c r="R110" s="38"/>
    </row>
    <row r="111" customFormat="false" ht="15" hidden="false" customHeight="false" outlineLevel="1" collapsed="false">
      <c r="A111" s="24" t="n">
        <v>1</v>
      </c>
      <c r="B111" s="24" t="s">
        <v>703</v>
      </c>
      <c r="C111" s="40" t="s">
        <v>2425</v>
      </c>
      <c r="D111" s="24" t="s">
        <v>82</v>
      </c>
      <c r="E111" s="24" t="s">
        <v>234</v>
      </c>
      <c r="F111" s="41" t="n">
        <f aca="false">INDEX((BOM_COEF!R74~BOM_COEF!S74~BOM_COEF!T74~BOM_COEF!U74~BOM_COEF!V74~BOM_COEF!W74~BOM_COEF!X74~BOM_COEF!Y74~BOM_COEF!Z74~BOM_COEF!AA74),1,1,INDEX(P_VAL,MATCH("AÑO_DIS",P_ID,0))-2025)</f>
        <v>2</v>
      </c>
      <c r="G111" s="24" t="s">
        <v>2281</v>
      </c>
      <c r="H111" s="42" t="n">
        <f aca="false">BOM_COEF!R74*DEMANDA!F5</f>
        <v>590.0607144</v>
      </c>
      <c r="I111" s="42" t="n">
        <f aca="false">BOM_COEF!S74*DEMANDA!G5</f>
        <v>1419.4549006</v>
      </c>
      <c r="J111" s="42" t="n">
        <f aca="false">BOM_COEF!T74*DEMANDA!H5</f>
        <v>1973.7361152</v>
      </c>
      <c r="K111" s="42" t="n">
        <f aca="false">BOM_COEF!U74*DEMANDA!I5</f>
        <v>3001.276348</v>
      </c>
      <c r="L111" s="42" t="n">
        <f aca="false">BOM_COEF!V74*DEMANDA!J5</f>
        <v>4625.255452</v>
      </c>
      <c r="M111" s="42" t="n">
        <f aca="false">BOM_COEF!W74*DEMANDA!K5</f>
        <v>6505.739774</v>
      </c>
      <c r="N111" s="42" t="n">
        <f aca="false">BOM_COEF!X74*DEMANDA!L5</f>
        <v>8204.631048</v>
      </c>
      <c r="O111" s="42" t="n">
        <f aca="false">BOM_COEF!Y74*DEMANDA!M5</f>
        <v>10208.613174</v>
      </c>
      <c r="P111" s="42" t="n">
        <f aca="false">BOM_COEF!Z74*DEMANDA!N5</f>
        <v>12390.372486</v>
      </c>
      <c r="Q111" s="42" t="n">
        <f aca="false">BOM_COEF!AA74*DEMANDA!O5</f>
        <v>14849.716888</v>
      </c>
      <c r="R111" s="24" t="s">
        <v>2426</v>
      </c>
    </row>
    <row r="112" customFormat="false" ht="15" hidden="false" customHeight="false" outlineLevel="1" collapsed="false">
      <c r="A112" s="24" t="n">
        <v>1</v>
      </c>
      <c r="B112" s="24" t="s">
        <v>703</v>
      </c>
      <c r="C112" s="40" t="s">
        <v>2427</v>
      </c>
      <c r="D112" s="24" t="s">
        <v>82</v>
      </c>
      <c r="E112" s="24" t="s">
        <v>238</v>
      </c>
      <c r="F112" s="41" t="n">
        <f aca="false">INDEX((BOM_COEF!R115~BOM_COEF!S115~BOM_COEF!T115~BOM_COEF!U115~BOM_COEF!V115~BOM_COEF!W115~BOM_COEF!X115~BOM_COEF!Y115~BOM_COEF!Z115~BOM_COEF!AA115),1,1,INDEX(P_VAL,MATCH("AÑO_DIS",P_ID,0))-2025)</f>
        <v>2</v>
      </c>
      <c r="G112" s="24" t="s">
        <v>2281</v>
      </c>
      <c r="H112" s="42" t="n">
        <f aca="false">BOM_COEF!R115*DEMANDA!F6</f>
        <v>5419.54605</v>
      </c>
      <c r="I112" s="42" t="n">
        <f aca="false">BOM_COEF!S115*DEMANDA!G6</f>
        <v>10849.957762</v>
      </c>
      <c r="J112" s="42" t="n">
        <f aca="false">BOM_COEF!T115*DEMANDA!H6</f>
        <v>14249.075182</v>
      </c>
      <c r="K112" s="42" t="n">
        <f aca="false">BOM_COEF!U115*DEMANDA!I6</f>
        <v>20554.230626</v>
      </c>
      <c r="L112" s="42" t="n">
        <f aca="false">BOM_COEF!V115*DEMANDA!J6</f>
        <v>28678.61388</v>
      </c>
      <c r="M112" s="42" t="n">
        <f aca="false">BOM_COEF!W115*DEMANDA!K6</f>
        <v>37109.92822</v>
      </c>
      <c r="N112" s="42" t="n">
        <f aca="false">BOM_COEF!X115*DEMANDA!L6</f>
        <v>44917.51968</v>
      </c>
      <c r="O112" s="42" t="n">
        <f aca="false">BOM_COEF!Y115*DEMANDA!M6</f>
        <v>51720.37274</v>
      </c>
      <c r="P112" s="42" t="n">
        <f aca="false">BOM_COEF!Z115*DEMANDA!N6</f>
        <v>57015.4491</v>
      </c>
      <c r="Q112" s="42" t="n">
        <f aca="false">BOM_COEF!AA115*DEMANDA!O6</f>
        <v>64637.55744</v>
      </c>
      <c r="R112" s="24" t="s">
        <v>2428</v>
      </c>
    </row>
    <row r="113" customFormat="false" ht="15" hidden="false" customHeight="false" outlineLevel="1" collapsed="false">
      <c r="A113" s="24" t="n">
        <v>1</v>
      </c>
      <c r="B113" s="24" t="s">
        <v>703</v>
      </c>
      <c r="C113" s="40" t="s">
        <v>2429</v>
      </c>
      <c r="D113" s="24" t="s">
        <v>82</v>
      </c>
      <c r="E113" s="24" t="s">
        <v>241</v>
      </c>
      <c r="F113" s="41" t="n">
        <f aca="false">INDEX((BOM_COEF!R156~BOM_COEF!S156~BOM_COEF!T156~BOM_COEF!U156~BOM_COEF!V156~BOM_COEF!W156~BOM_COEF!X156~BOM_COEF!Y156~BOM_COEF!Z156~BOM_COEF!AA156),1,1,INDEX(P_VAL,MATCH("AÑO_DIS",P_ID,0))-2025)</f>
        <v>2</v>
      </c>
      <c r="G113" s="24" t="s">
        <v>2281</v>
      </c>
      <c r="H113" s="42" t="n">
        <f aca="false">BOM_COEF!R156*DEMANDA!F7</f>
        <v>183.66636306</v>
      </c>
      <c r="I113" s="42" t="n">
        <f aca="false">BOM_COEF!S156*DEMANDA!G7</f>
        <v>354.4945934</v>
      </c>
      <c r="J113" s="42" t="n">
        <f aca="false">BOM_COEF!T156*DEMANDA!H7</f>
        <v>505.9575596</v>
      </c>
      <c r="K113" s="42" t="n">
        <f aca="false">BOM_COEF!U156*DEMANDA!I7</f>
        <v>716.0409882</v>
      </c>
      <c r="L113" s="42" t="n">
        <f aca="false">BOM_COEF!V156*DEMANDA!J7</f>
        <v>1205.4363038</v>
      </c>
      <c r="M113" s="42" t="n">
        <f aca="false">BOM_COEF!W156*DEMANDA!K7</f>
        <v>1745.210064</v>
      </c>
      <c r="N113" s="42" t="n">
        <f aca="false">BOM_COEF!X156*DEMANDA!L7</f>
        <v>2254.32109</v>
      </c>
      <c r="O113" s="42" t="n">
        <f aca="false">BOM_COEF!Y156*DEMANDA!M7</f>
        <v>2790.889624</v>
      </c>
      <c r="P113" s="42" t="n">
        <f aca="false">BOM_COEF!Z156*DEMANDA!N7</f>
        <v>3224.700108</v>
      </c>
      <c r="Q113" s="42" t="n">
        <f aca="false">BOM_COEF!AA156*DEMANDA!O7</f>
        <v>3681.696158</v>
      </c>
      <c r="R113" s="24" t="s">
        <v>2430</v>
      </c>
    </row>
    <row r="114" customFormat="false" ht="15" hidden="false" customHeight="false" outlineLevel="0" collapsed="false">
      <c r="A114" s="38" t="n">
        <v>0</v>
      </c>
      <c r="B114" s="38" t="s">
        <v>577</v>
      </c>
      <c r="C114" s="38" t="s">
        <v>2166</v>
      </c>
      <c r="D114" s="38" t="s">
        <v>82</v>
      </c>
      <c r="E114" s="38"/>
      <c r="F114" s="38"/>
      <c r="G114" s="38"/>
      <c r="H114" s="39" t="n">
        <f aca="false">SUM(H115:H115)</f>
        <v>4178.736543</v>
      </c>
      <c r="I114" s="39" t="n">
        <f aca="false">SUM(I115:I115)</f>
        <v>5997.303977</v>
      </c>
      <c r="J114" s="39" t="n">
        <f aca="false">SUM(J115:J115)</f>
        <v>6851.747758</v>
      </c>
      <c r="K114" s="39" t="n">
        <f aca="false">SUM(K115:K115)</f>
        <v>8467.135549</v>
      </c>
      <c r="L114" s="39" t="n">
        <f aca="false">SUM(L115:L115)</f>
        <v>12680.63271</v>
      </c>
      <c r="M114" s="39" t="n">
        <f aca="false">SUM(M115:M115)</f>
        <v>15620.25307</v>
      </c>
      <c r="N114" s="39" t="n">
        <f aca="false">SUM(N115:N115)</f>
        <v>20332.55326</v>
      </c>
      <c r="O114" s="39" t="n">
        <f aca="false">SUM(O115:O115)</f>
        <v>25132.07848</v>
      </c>
      <c r="P114" s="39" t="n">
        <f aca="false">SUM(P115:P115)</f>
        <v>28573.33614</v>
      </c>
      <c r="Q114" s="39" t="n">
        <f aca="false">SUM(Q115:Q115)</f>
        <v>32072.63913</v>
      </c>
      <c r="R114" s="38"/>
    </row>
    <row r="115" customFormat="false" ht="15" hidden="false" customHeight="false" outlineLevel="1" collapsed="false">
      <c r="A115" s="24" t="n">
        <v>1</v>
      </c>
      <c r="B115" s="24" t="s">
        <v>577</v>
      </c>
      <c r="C115" s="40" t="s">
        <v>2431</v>
      </c>
      <c r="D115" s="24" t="s">
        <v>82</v>
      </c>
      <c r="E115" s="24" t="s">
        <v>230</v>
      </c>
      <c r="F115" s="41" t="n">
        <f aca="false">INDEX((BOM_COEF!R27~BOM_COEF!S27~BOM_COEF!T27~BOM_COEF!U27~BOM_COEF!V27~BOM_COEF!W27~BOM_COEF!X27~BOM_COEF!Y27~BOM_COEF!Z27~BOM_COEF!AA27),1,1,INDEX(P_VAL,MATCH("AÑO_DIS",P_ID,0))-2025)</f>
        <v>1</v>
      </c>
      <c r="G115" s="24" t="s">
        <v>2281</v>
      </c>
      <c r="H115" s="42" t="n">
        <f aca="false">BOM_COEF!R27*DEMANDA!F4</f>
        <v>4178.736543</v>
      </c>
      <c r="I115" s="42" t="n">
        <f aca="false">BOM_COEF!S27*DEMANDA!G4</f>
        <v>5997.303977</v>
      </c>
      <c r="J115" s="42" t="n">
        <f aca="false">BOM_COEF!T27*DEMANDA!H4</f>
        <v>6851.747758</v>
      </c>
      <c r="K115" s="42" t="n">
        <f aca="false">BOM_COEF!U27*DEMANDA!I4</f>
        <v>8467.135549</v>
      </c>
      <c r="L115" s="42" t="n">
        <f aca="false">BOM_COEF!V27*DEMANDA!J4</f>
        <v>12680.63271</v>
      </c>
      <c r="M115" s="42" t="n">
        <f aca="false">BOM_COEF!W27*DEMANDA!K4</f>
        <v>15620.25307</v>
      </c>
      <c r="N115" s="42" t="n">
        <f aca="false">BOM_COEF!X27*DEMANDA!L4</f>
        <v>20332.55326</v>
      </c>
      <c r="O115" s="42" t="n">
        <f aca="false">BOM_COEF!Y27*DEMANDA!M4</f>
        <v>25132.07848</v>
      </c>
      <c r="P115" s="42" t="n">
        <f aca="false">BOM_COEF!Z27*DEMANDA!N4</f>
        <v>28573.33614</v>
      </c>
      <c r="Q115" s="42" t="n">
        <f aca="false">BOM_COEF!AA27*DEMANDA!O4</f>
        <v>32072.63913</v>
      </c>
      <c r="R115" s="24" t="s">
        <v>2432</v>
      </c>
    </row>
    <row r="116" customFormat="false" ht="15" hidden="false" customHeight="false" outlineLevel="0" collapsed="false">
      <c r="A116" s="38" t="n">
        <v>0</v>
      </c>
      <c r="B116" s="38" t="s">
        <v>680</v>
      </c>
      <c r="C116" s="38" t="s">
        <v>2171</v>
      </c>
      <c r="D116" s="38" t="s">
        <v>82</v>
      </c>
      <c r="E116" s="38"/>
      <c r="F116" s="38"/>
      <c r="G116" s="38"/>
      <c r="H116" s="39" t="n">
        <f aca="false">SUM(H117:H117)</f>
        <v>295.0303572</v>
      </c>
      <c r="I116" s="39" t="n">
        <f aca="false">SUM(I117:I117)</f>
        <v>709.7274503</v>
      </c>
      <c r="J116" s="39" t="n">
        <f aca="false">SUM(J117:J117)</f>
        <v>986.8680576</v>
      </c>
      <c r="K116" s="39" t="n">
        <f aca="false">SUM(K117:K117)</f>
        <v>1500.638174</v>
      </c>
      <c r="L116" s="39" t="n">
        <f aca="false">SUM(L117:L117)</f>
        <v>2312.627726</v>
      </c>
      <c r="M116" s="39" t="n">
        <f aca="false">SUM(M117:M117)</f>
        <v>3252.869887</v>
      </c>
      <c r="N116" s="39" t="n">
        <f aca="false">SUM(N117:N117)</f>
        <v>4102.315524</v>
      </c>
      <c r="O116" s="39" t="n">
        <f aca="false">SUM(O117:O117)</f>
        <v>5104.306587</v>
      </c>
      <c r="P116" s="39" t="n">
        <f aca="false">SUM(P117:P117)</f>
        <v>6195.186243</v>
      </c>
      <c r="Q116" s="39" t="n">
        <f aca="false">SUM(Q117:Q117)</f>
        <v>7424.858444</v>
      </c>
      <c r="R116" s="38"/>
    </row>
    <row r="117" customFormat="false" ht="15" hidden="false" customHeight="false" outlineLevel="1" collapsed="false">
      <c r="A117" s="24" t="n">
        <v>1</v>
      </c>
      <c r="B117" s="24" t="s">
        <v>680</v>
      </c>
      <c r="C117" s="40" t="s">
        <v>2433</v>
      </c>
      <c r="D117" s="24" t="s">
        <v>82</v>
      </c>
      <c r="E117" s="24" t="s">
        <v>234</v>
      </c>
      <c r="F117" s="41" t="n">
        <f aca="false">INDEX((BOM_COEF!R66~BOM_COEF!S66~BOM_COEF!T66~BOM_COEF!U66~BOM_COEF!V66~BOM_COEF!W66~BOM_COEF!X66~BOM_COEF!Y66~BOM_COEF!Z66~BOM_COEF!AA66),1,1,INDEX(P_VAL,MATCH("AÑO_DIS",P_ID,0))-2025)</f>
        <v>1</v>
      </c>
      <c r="G117" s="24" t="s">
        <v>2281</v>
      </c>
      <c r="H117" s="42" t="n">
        <f aca="false">BOM_COEF!R66*DEMANDA!F5</f>
        <v>295.0303572</v>
      </c>
      <c r="I117" s="42" t="n">
        <f aca="false">BOM_COEF!S66*DEMANDA!G5</f>
        <v>709.7274503</v>
      </c>
      <c r="J117" s="42" t="n">
        <f aca="false">BOM_COEF!T66*DEMANDA!H5</f>
        <v>986.8680576</v>
      </c>
      <c r="K117" s="42" t="n">
        <f aca="false">BOM_COEF!U66*DEMANDA!I5</f>
        <v>1500.638174</v>
      </c>
      <c r="L117" s="42" t="n">
        <f aca="false">BOM_COEF!V66*DEMANDA!J5</f>
        <v>2312.627726</v>
      </c>
      <c r="M117" s="42" t="n">
        <f aca="false">BOM_COEF!W66*DEMANDA!K5</f>
        <v>3252.869887</v>
      </c>
      <c r="N117" s="42" t="n">
        <f aca="false">BOM_COEF!X66*DEMANDA!L5</f>
        <v>4102.315524</v>
      </c>
      <c r="O117" s="42" t="n">
        <f aca="false">BOM_COEF!Y66*DEMANDA!M5</f>
        <v>5104.306587</v>
      </c>
      <c r="P117" s="42" t="n">
        <f aca="false">BOM_COEF!Z66*DEMANDA!N5</f>
        <v>6195.186243</v>
      </c>
      <c r="Q117" s="42" t="n">
        <f aca="false">BOM_COEF!AA66*DEMANDA!O5</f>
        <v>7424.858444</v>
      </c>
      <c r="R117" s="24" t="s">
        <v>2434</v>
      </c>
    </row>
    <row r="118" customFormat="false" ht="15" hidden="false" customHeight="false" outlineLevel="0" collapsed="false">
      <c r="A118" s="38" t="n">
        <v>0</v>
      </c>
      <c r="B118" s="38" t="s">
        <v>771</v>
      </c>
      <c r="C118" s="38" t="s">
        <v>2172</v>
      </c>
      <c r="D118" s="38" t="s">
        <v>82</v>
      </c>
      <c r="E118" s="38"/>
      <c r="F118" s="38"/>
      <c r="G118" s="38"/>
      <c r="H118" s="39" t="n">
        <f aca="false">SUM(H119:H119)</f>
        <v>2709.773025</v>
      </c>
      <c r="I118" s="39" t="n">
        <f aca="false">SUM(I119:I119)</f>
        <v>5424.978881</v>
      </c>
      <c r="J118" s="39" t="n">
        <f aca="false">SUM(J119:J119)</f>
        <v>7124.537591</v>
      </c>
      <c r="K118" s="39" t="n">
        <f aca="false">SUM(K119:K119)</f>
        <v>10277.115313</v>
      </c>
      <c r="L118" s="39" t="n">
        <f aca="false">SUM(L119:L119)</f>
        <v>14339.30694</v>
      </c>
      <c r="M118" s="39" t="n">
        <f aca="false">SUM(M119:M119)</f>
        <v>18554.96411</v>
      </c>
      <c r="N118" s="39" t="n">
        <f aca="false">SUM(N119:N119)</f>
        <v>22458.75984</v>
      </c>
      <c r="O118" s="39" t="n">
        <f aca="false">SUM(O119:O119)</f>
        <v>25860.18637</v>
      </c>
      <c r="P118" s="39" t="n">
        <f aca="false">SUM(P119:P119)</f>
        <v>28507.72455</v>
      </c>
      <c r="Q118" s="39" t="n">
        <f aca="false">SUM(Q119:Q119)</f>
        <v>32318.77872</v>
      </c>
      <c r="R118" s="38"/>
    </row>
    <row r="119" customFormat="false" ht="15" hidden="false" customHeight="false" outlineLevel="1" collapsed="false">
      <c r="A119" s="24" t="n">
        <v>1</v>
      </c>
      <c r="B119" s="24" t="s">
        <v>771</v>
      </c>
      <c r="C119" s="40" t="s">
        <v>2435</v>
      </c>
      <c r="D119" s="24" t="s">
        <v>82</v>
      </c>
      <c r="E119" s="24" t="s">
        <v>238</v>
      </c>
      <c r="F119" s="41" t="n">
        <f aca="false">INDEX((BOM_COEF!R107~BOM_COEF!S107~BOM_COEF!T107~BOM_COEF!U107~BOM_COEF!V107~BOM_COEF!W107~BOM_COEF!X107~BOM_COEF!Y107~BOM_COEF!Z107~BOM_COEF!AA107),1,1,INDEX(P_VAL,MATCH("AÑO_DIS",P_ID,0))-2025)</f>
        <v>1</v>
      </c>
      <c r="G119" s="24" t="s">
        <v>2281</v>
      </c>
      <c r="H119" s="42" t="n">
        <f aca="false">BOM_COEF!R107*DEMANDA!F6</f>
        <v>2709.773025</v>
      </c>
      <c r="I119" s="42" t="n">
        <f aca="false">BOM_COEF!S107*DEMANDA!G6</f>
        <v>5424.978881</v>
      </c>
      <c r="J119" s="42" t="n">
        <f aca="false">BOM_COEF!T107*DEMANDA!H6</f>
        <v>7124.537591</v>
      </c>
      <c r="K119" s="42" t="n">
        <f aca="false">BOM_COEF!U107*DEMANDA!I6</f>
        <v>10277.115313</v>
      </c>
      <c r="L119" s="42" t="n">
        <f aca="false">BOM_COEF!V107*DEMANDA!J6</f>
        <v>14339.30694</v>
      </c>
      <c r="M119" s="42" t="n">
        <f aca="false">BOM_COEF!W107*DEMANDA!K6</f>
        <v>18554.96411</v>
      </c>
      <c r="N119" s="42" t="n">
        <f aca="false">BOM_COEF!X107*DEMANDA!L6</f>
        <v>22458.75984</v>
      </c>
      <c r="O119" s="42" t="n">
        <f aca="false">BOM_COEF!Y107*DEMANDA!M6</f>
        <v>25860.18637</v>
      </c>
      <c r="P119" s="42" t="n">
        <f aca="false">BOM_COEF!Z107*DEMANDA!N6</f>
        <v>28507.72455</v>
      </c>
      <c r="Q119" s="42" t="n">
        <f aca="false">BOM_COEF!AA107*DEMANDA!O6</f>
        <v>32318.77872</v>
      </c>
      <c r="R119" s="24" t="s">
        <v>2436</v>
      </c>
    </row>
    <row r="120" customFormat="false" ht="15" hidden="false" customHeight="false" outlineLevel="0" collapsed="false">
      <c r="A120" s="38" t="n">
        <v>0</v>
      </c>
      <c r="B120" s="38" t="s">
        <v>855</v>
      </c>
      <c r="C120" s="38" t="s">
        <v>2173</v>
      </c>
      <c r="D120" s="38" t="s">
        <v>82</v>
      </c>
      <c r="E120" s="38"/>
      <c r="F120" s="38"/>
      <c r="G120" s="38"/>
      <c r="H120" s="39" t="n">
        <f aca="false">SUM(H121:H121)</f>
        <v>91.83318153</v>
      </c>
      <c r="I120" s="39" t="n">
        <f aca="false">SUM(I121:I121)</f>
        <v>177.2472967</v>
      </c>
      <c r="J120" s="39" t="n">
        <f aca="false">SUM(J121:J121)</f>
        <v>252.9787798</v>
      </c>
      <c r="K120" s="39" t="n">
        <f aca="false">SUM(K121:K121)</f>
        <v>358.0204941</v>
      </c>
      <c r="L120" s="39" t="n">
        <f aca="false">SUM(L121:L121)</f>
        <v>602.7181519</v>
      </c>
      <c r="M120" s="39" t="n">
        <f aca="false">SUM(M121:M121)</f>
        <v>872.605032</v>
      </c>
      <c r="N120" s="39" t="n">
        <f aca="false">SUM(N121:N121)</f>
        <v>1127.160545</v>
      </c>
      <c r="O120" s="39" t="n">
        <f aca="false">SUM(O121:O121)</f>
        <v>1395.444812</v>
      </c>
      <c r="P120" s="39" t="n">
        <f aca="false">SUM(P121:P121)</f>
        <v>1612.350054</v>
      </c>
      <c r="Q120" s="39" t="n">
        <f aca="false">SUM(Q121:Q121)</f>
        <v>1840.848079</v>
      </c>
      <c r="R120" s="38"/>
    </row>
    <row r="121" customFormat="false" ht="15" hidden="false" customHeight="false" outlineLevel="1" collapsed="false">
      <c r="A121" s="24" t="n">
        <v>1</v>
      </c>
      <c r="B121" s="24" t="s">
        <v>855</v>
      </c>
      <c r="C121" s="40" t="s">
        <v>2437</v>
      </c>
      <c r="D121" s="24" t="s">
        <v>82</v>
      </c>
      <c r="E121" s="24" t="s">
        <v>241</v>
      </c>
      <c r="F121" s="41" t="n">
        <f aca="false">INDEX((BOM_COEF!R148~BOM_COEF!S148~BOM_COEF!T148~BOM_COEF!U148~BOM_COEF!V148~BOM_COEF!W148~BOM_COEF!X148~BOM_COEF!Y148~BOM_COEF!Z148~BOM_COEF!AA148),1,1,INDEX(P_VAL,MATCH("AÑO_DIS",P_ID,0))-2025)</f>
        <v>1</v>
      </c>
      <c r="G121" s="24" t="s">
        <v>2281</v>
      </c>
      <c r="H121" s="42" t="n">
        <f aca="false">BOM_COEF!R148*DEMANDA!F7</f>
        <v>91.83318153</v>
      </c>
      <c r="I121" s="42" t="n">
        <f aca="false">BOM_COEF!S148*DEMANDA!G7</f>
        <v>177.2472967</v>
      </c>
      <c r="J121" s="42" t="n">
        <f aca="false">BOM_COEF!T148*DEMANDA!H7</f>
        <v>252.9787798</v>
      </c>
      <c r="K121" s="42" t="n">
        <f aca="false">BOM_COEF!U148*DEMANDA!I7</f>
        <v>358.0204941</v>
      </c>
      <c r="L121" s="42" t="n">
        <f aca="false">BOM_COEF!V148*DEMANDA!J7</f>
        <v>602.7181519</v>
      </c>
      <c r="M121" s="42" t="n">
        <f aca="false">BOM_COEF!W148*DEMANDA!K7</f>
        <v>872.605032</v>
      </c>
      <c r="N121" s="42" t="n">
        <f aca="false">BOM_COEF!X148*DEMANDA!L7</f>
        <v>1127.160545</v>
      </c>
      <c r="O121" s="42" t="n">
        <f aca="false">BOM_COEF!Y148*DEMANDA!M7</f>
        <v>1395.444812</v>
      </c>
      <c r="P121" s="42" t="n">
        <f aca="false">BOM_COEF!Z148*DEMANDA!N7</f>
        <v>1612.350054</v>
      </c>
      <c r="Q121" s="42" t="n">
        <f aca="false">BOM_COEF!AA148*DEMANDA!O7</f>
        <v>1840.848079</v>
      </c>
      <c r="R121" s="24" t="s">
        <v>2438</v>
      </c>
    </row>
    <row r="122" customFormat="false" ht="15" hidden="false" customHeight="false" outlineLevel="0" collapsed="false">
      <c r="A122" s="38" t="n">
        <v>0</v>
      </c>
      <c r="B122" s="38" t="s">
        <v>581</v>
      </c>
      <c r="C122" s="38" t="s">
        <v>2178</v>
      </c>
      <c r="D122" s="38" t="s">
        <v>82</v>
      </c>
      <c r="E122" s="38"/>
      <c r="F122" s="38"/>
      <c r="G122" s="38"/>
      <c r="H122" s="39" t="n">
        <f aca="false">SUM(H123:H126)</f>
        <v>5579.09811507986</v>
      </c>
      <c r="I122" s="39" t="n">
        <f aca="false">SUM(I123:I126)</f>
        <v>9440.40347212792</v>
      </c>
      <c r="J122" s="39" t="n">
        <f aca="false">SUM(J123:J126)</f>
        <v>11669.8647326003</v>
      </c>
      <c r="K122" s="39" t="n">
        <f aca="false">SUM(K123:K126)</f>
        <v>15799.8522396653</v>
      </c>
      <c r="L122" s="39" t="n">
        <f aca="false">SUM(L123:L126)</f>
        <v>22951.6982179611</v>
      </c>
      <c r="M122" s="39" t="n">
        <f aca="false">SUM(M123:M126)</f>
        <v>29354.8556834059</v>
      </c>
      <c r="N122" s="39" t="n">
        <f aca="false">SUM(N123:N126)</f>
        <v>36784.8572762947</v>
      </c>
      <c r="O122" s="39" t="n">
        <f aca="false">SUM(O123:O126)</f>
        <v>44007.7318383003</v>
      </c>
      <c r="P122" s="39" t="n">
        <f aca="false">SUM(P123:P126)</f>
        <v>49621.9444474561</v>
      </c>
      <c r="Q122" s="39" t="n">
        <f aca="false">SUM(Q123:Q126)</f>
        <v>56258.1944283494</v>
      </c>
      <c r="R122" s="38"/>
    </row>
    <row r="123" customFormat="false" ht="15" hidden="false" customHeight="false" outlineLevel="1" collapsed="false">
      <c r="A123" s="24" t="n">
        <v>1</v>
      </c>
      <c r="B123" s="24" t="s">
        <v>581</v>
      </c>
      <c r="C123" s="40" t="s">
        <v>2439</v>
      </c>
      <c r="D123" s="24" t="s">
        <v>82</v>
      </c>
      <c r="E123" s="24" t="s">
        <v>230</v>
      </c>
      <c r="F123" s="41" t="n">
        <f aca="false">INDEX((BOM_COEF!R28~BOM_COEF!S28~BOM_COEF!T28~BOM_COEF!U28~BOM_COEF!V28~BOM_COEF!W28~BOM_COEF!X28~BOM_COEF!Y28~BOM_COEF!Z28~BOM_COEF!AA28),1,1,INDEX(P_VAL,MATCH("AÑO_DIS",P_ID,0))-2025)</f>
        <v>1</v>
      </c>
      <c r="G123" s="24" t="s">
        <v>582</v>
      </c>
      <c r="H123" s="42" t="n">
        <f aca="false">BOM_COEF!R28*DEMANDA!F4*(1-INDEX(PY_VAL,MATCH("P_CABA_NUE",PY_ID,0),1))</f>
        <v>3204.45162446729</v>
      </c>
      <c r="I123" s="42" t="n">
        <f aca="false">BOM_COEF!S28*DEMANDA!G4*(1-INDEX(PY_VAL,MATCH("P_CABA_NUE",PY_ID,0),2))</f>
        <v>4599.54378279318</v>
      </c>
      <c r="J123" s="42" t="n">
        <f aca="false">BOM_COEF!T28*DEMANDA!H4*(1-INDEX(PY_VAL,MATCH("P_CABA_NUE",PY_ID,0),3))</f>
        <v>5254.88136789607</v>
      </c>
      <c r="K123" s="42" t="n">
        <f aca="false">BOM_COEF!U28*DEMANDA!I4*(1-INDEX(PY_VAL,MATCH("P_CABA_NUE",PY_ID,0),4))</f>
        <v>6493.23292770719</v>
      </c>
      <c r="L123" s="42" t="n">
        <f aca="false">BOM_COEF!V28*DEMANDA!J4*(1-INDEX(PY_VAL,MATCH("P_CABA_NUE",PY_ID,0),5))</f>
        <v>9722.37445009408</v>
      </c>
      <c r="M123" s="42" t="n">
        <f aca="false">BOM_COEF!W28*DEMANDA!K4*(1-INDEX(PY_VAL,MATCH("P_CABA_NUE",PY_ID,0),6))</f>
        <v>11971.8534960913</v>
      </c>
      <c r="N123" s="42" t="n">
        <f aca="false">BOM_COEF!X28*DEMANDA!L4*(1-INDEX(PY_VAL,MATCH("P_CABA_NUE",PY_ID,0),7))</f>
        <v>15575.130743886</v>
      </c>
      <c r="O123" s="42" t="n">
        <f aca="false">BOM_COEF!Y28*DEMANDA!M4*(1-INDEX(PY_VAL,MATCH("P_CABA_NUE",PY_ID,0),8))</f>
        <v>19237.5540544066</v>
      </c>
      <c r="P123" s="42" t="n">
        <f aca="false">BOM_COEF!Z28*DEMANDA!N4*(1-INDEX(PY_VAL,MATCH("P_CABA_NUE",PY_ID,0),9))</f>
        <v>21850.7498151274</v>
      </c>
      <c r="Q123" s="42" t="n">
        <f aca="false">BOM_COEF!AA28*DEMANDA!O4*(1-INDEX(PY_VAL,MATCH("P_CABA_NUE",PY_ID,0),10))</f>
        <v>24496.5953173599</v>
      </c>
      <c r="R123" s="24" t="s">
        <v>2440</v>
      </c>
    </row>
    <row r="124" customFormat="false" ht="15" hidden="false" customHeight="false" outlineLevel="1" collapsed="false">
      <c r="A124" s="24" t="n">
        <v>1</v>
      </c>
      <c r="B124" s="24" t="s">
        <v>581</v>
      </c>
      <c r="C124" s="40" t="s">
        <v>2441</v>
      </c>
      <c r="D124" s="24" t="s">
        <v>82</v>
      </c>
      <c r="E124" s="24" t="s">
        <v>234</v>
      </c>
      <c r="F124" s="41" t="n">
        <f aca="false">INDEX((BOM_COEF!R67~BOM_COEF!S67~BOM_COEF!T67~BOM_COEF!U67~BOM_COEF!V67~BOM_COEF!W67~BOM_COEF!X67~BOM_COEF!Y67~BOM_COEF!Z67~BOM_COEF!AA67),1,1,INDEX(P_VAL,MATCH("AÑO_DIS",P_ID,0))-2025)</f>
        <v>1</v>
      </c>
      <c r="G124" s="24" t="s">
        <v>582</v>
      </c>
      <c r="H124" s="42" t="n">
        <f aca="false">BOM_COEF!R67*DEMANDA!F5*(1-INDEX(PY_VAL,MATCH("P_CABA_NUE",PY_ID,0),1))</f>
        <v>226.243147340889</v>
      </c>
      <c r="I124" s="42" t="n">
        <f aca="false">BOM_COEF!S67*DEMANDA!G5*(1-INDEX(PY_VAL,MATCH("P_CABA_NUE",PY_ID,0),2))</f>
        <v>544.314994541591</v>
      </c>
      <c r="J124" s="42" t="n">
        <f aca="false">BOM_COEF!T67*DEMANDA!H5*(1-INDEX(PY_VAL,MATCH("P_CABA_NUE",PY_ID,0),3))</f>
        <v>756.868867859164</v>
      </c>
      <c r="K124" s="42" t="n">
        <f aca="false">BOM_COEF!U67*DEMANDA!I5*(1-INDEX(PY_VAL,MATCH("P_CABA_NUE",PY_ID,0),4))</f>
        <v>1150.80160788757</v>
      </c>
      <c r="L124" s="42" t="n">
        <f aca="false">BOM_COEF!V67*DEMANDA!J5*(1-INDEX(PY_VAL,MATCH("P_CABA_NUE",PY_ID,0),5))</f>
        <v>1773.11599744628</v>
      </c>
      <c r="M124" s="42" t="n">
        <f aca="false">BOM_COEF!W67*DEMANDA!K5*(1-INDEX(PY_VAL,MATCH("P_CABA_NUE",PY_ID,0),6))</f>
        <v>2493.10184377256</v>
      </c>
      <c r="N124" s="42" t="n">
        <f aca="false">BOM_COEF!X67*DEMANDA!L5*(1-INDEX(PY_VAL,MATCH("P_CABA_NUE",PY_ID,0),7))</f>
        <v>3142.45337621574</v>
      </c>
      <c r="O124" s="42" t="n">
        <f aca="false">BOM_COEF!Y67*DEMANDA!M5*(1-INDEX(PY_VAL,MATCH("P_CABA_NUE",PY_ID,0),8))</f>
        <v>3907.13302745011</v>
      </c>
      <c r="P124" s="42" t="n">
        <f aca="false">BOM_COEF!Z67*DEMANDA!N5*(1-INDEX(PY_VAL,MATCH("P_CABA_NUE",PY_ID,0),9))</f>
        <v>4737.61495649812</v>
      </c>
      <c r="Q124" s="42" t="n">
        <f aca="false">BOM_COEF!AA67*DEMANDA!O5*(1-INDEX(PY_VAL,MATCH("P_CABA_NUE",PY_ID,0),10))</f>
        <v>5670.99426567677</v>
      </c>
      <c r="R124" s="24" t="s">
        <v>2442</v>
      </c>
    </row>
    <row r="125" customFormat="false" ht="15" hidden="false" customHeight="false" outlineLevel="1" collapsed="false">
      <c r="A125" s="24" t="n">
        <v>1</v>
      </c>
      <c r="B125" s="24" t="s">
        <v>581</v>
      </c>
      <c r="C125" s="40" t="s">
        <v>2443</v>
      </c>
      <c r="D125" s="24" t="s">
        <v>82</v>
      </c>
      <c r="E125" s="24" t="s">
        <v>238</v>
      </c>
      <c r="F125" s="41" t="n">
        <f aca="false">INDEX((BOM_COEF!R108~BOM_COEF!S108~BOM_COEF!T108~BOM_COEF!U108~BOM_COEF!V108~BOM_COEF!W108~BOM_COEF!X108~BOM_COEF!Y108~BOM_COEF!Z108~BOM_COEF!AA108),1,1,INDEX(P_VAL,MATCH("AÑO_DIS",P_ID,0))-2025)</f>
        <v>1</v>
      </c>
      <c r="G125" s="24" t="s">
        <v>582</v>
      </c>
      <c r="H125" s="42" t="n">
        <f aca="false">BOM_COEF!R108*DEMANDA!F6*(1-INDEX(PY_VAL,MATCH("P_CABA_NUE",PY_ID,0),1))</f>
        <v>2077.98134257705</v>
      </c>
      <c r="I125" s="42" t="n">
        <f aca="false">BOM_COEF!S108*DEMANDA!G6*(1-INDEX(PY_VAL,MATCH("P_CABA_NUE",PY_ID,0),2))</f>
        <v>4160.60749623194</v>
      </c>
      <c r="J125" s="42" t="n">
        <f aca="false">BOM_COEF!T108*DEMANDA!H6*(1-INDEX(PY_VAL,MATCH("P_CABA_NUE",PY_ID,0),3))</f>
        <v>5464.09487974923</v>
      </c>
      <c r="K125" s="42" t="n">
        <f aca="false">BOM_COEF!U108*DEMANDA!I6*(1-INDEX(PY_VAL,MATCH("P_CABA_NUE",PY_ID,0),4))</f>
        <v>7881.26080727462</v>
      </c>
      <c r="L125" s="42" t="n">
        <f aca="false">BOM_COEF!V108*DEMANDA!J6*(1-INDEX(PY_VAL,MATCH("P_CABA_NUE",PY_ID,0),5))</f>
        <v>10994.0974250892</v>
      </c>
      <c r="M125" s="42" t="n">
        <f aca="false">BOM_COEF!W108*DEMANDA!K6*(1-INDEX(PY_VAL,MATCH("P_CABA_NUE",PY_ID,0),6))</f>
        <v>14221.1083875962</v>
      </c>
      <c r="N125" s="42" t="n">
        <f aca="false">BOM_COEF!X108*DEMANDA!L6*(1-INDEX(PY_VAL,MATCH("P_CABA_NUE",PY_ID,0),7))</f>
        <v>17203.8462843567</v>
      </c>
      <c r="O125" s="42" t="n">
        <f aca="false">BOM_COEF!Y108*DEMANDA!M6*(1-INDEX(PY_VAL,MATCH("P_CABA_NUE",PY_ID,0),8))</f>
        <v>19794.8901658015</v>
      </c>
      <c r="P125" s="42" t="n">
        <f aca="false">BOM_COEF!Z108*DEMANDA!N6*(1-INDEX(PY_VAL,MATCH("P_CABA_NUE",PY_ID,0),9))</f>
        <v>21800.5749797131</v>
      </c>
      <c r="Q125" s="42" t="n">
        <f aca="false">BOM_COEF!AA108*DEMANDA!O6*(1-INDEX(PY_VAL,MATCH("P_CABA_NUE",PY_ID,0),10))</f>
        <v>24684.5930029688</v>
      </c>
      <c r="R125" s="24" t="s">
        <v>2444</v>
      </c>
    </row>
    <row r="126" customFormat="false" ht="15" hidden="false" customHeight="false" outlineLevel="1" collapsed="false">
      <c r="A126" s="24" t="n">
        <v>1</v>
      </c>
      <c r="B126" s="24" t="s">
        <v>581</v>
      </c>
      <c r="C126" s="40" t="s">
        <v>2445</v>
      </c>
      <c r="D126" s="24" t="s">
        <v>82</v>
      </c>
      <c r="E126" s="24" t="s">
        <v>241</v>
      </c>
      <c r="F126" s="41" t="n">
        <f aca="false">INDEX((BOM_COEF!R149~BOM_COEF!S149~BOM_COEF!T149~BOM_COEF!U149~BOM_COEF!V149~BOM_COEF!W149~BOM_COEF!X149~BOM_COEF!Y149~BOM_COEF!Z149~BOM_COEF!AA149),1,1,INDEX(P_VAL,MATCH("AÑO_DIS",P_ID,0))-2025)</f>
        <v>1</v>
      </c>
      <c r="G126" s="24" t="s">
        <v>582</v>
      </c>
      <c r="H126" s="42" t="n">
        <f aca="false">BOM_COEF!R149*DEMANDA!F7*(1-INDEX(PY_VAL,MATCH("P_CABA_NUE",PY_ID,0),1))</f>
        <v>70.4220006946268</v>
      </c>
      <c r="I126" s="42" t="n">
        <f aca="false">BOM_COEF!S149*DEMANDA!G7*(1-INDEX(PY_VAL,MATCH("P_CABA_NUE",PY_ID,0),2))</f>
        <v>135.93719856121</v>
      </c>
      <c r="J126" s="42" t="n">
        <f aca="false">BOM_COEF!T149*DEMANDA!H7*(1-INDEX(PY_VAL,MATCH("P_CABA_NUE",PY_ID,0),3))</f>
        <v>194.019617095791</v>
      </c>
      <c r="K126" s="42" t="n">
        <f aca="false">BOM_COEF!U149*DEMANDA!I7*(1-INDEX(PY_VAL,MATCH("P_CABA_NUE",PY_ID,0),4))</f>
        <v>274.55689679595</v>
      </c>
      <c r="L126" s="42" t="n">
        <f aca="false">BOM_COEF!V149*DEMANDA!J7*(1-INDEX(PY_VAL,MATCH("P_CABA_NUE",PY_ID,0),5))</f>
        <v>462.110345331537</v>
      </c>
      <c r="M126" s="42" t="n">
        <f aca="false">BOM_COEF!W149*DEMANDA!K7*(1-INDEX(PY_VAL,MATCH("P_CABA_NUE",PY_ID,0),6))</f>
        <v>668.79195594595</v>
      </c>
      <c r="N126" s="42" t="n">
        <f aca="false">BOM_COEF!X149*DEMANDA!L7*(1-INDEX(PY_VAL,MATCH("P_CABA_NUE",PY_ID,0),7))</f>
        <v>863.426871836204</v>
      </c>
      <c r="O126" s="42" t="n">
        <f aca="false">BOM_COEF!Y149*DEMANDA!M7*(1-INDEX(PY_VAL,MATCH("P_CABA_NUE",PY_ID,0),8))</f>
        <v>1068.15459064217</v>
      </c>
      <c r="P126" s="42" t="n">
        <f aca="false">BOM_COEF!Z149*DEMANDA!N7*(1-INDEX(PY_VAL,MATCH("P_CABA_NUE",PY_ID,0),9))</f>
        <v>1233.00469611741</v>
      </c>
      <c r="Q126" s="42" t="n">
        <f aca="false">BOM_COEF!AA149*DEMANDA!O7*(1-INDEX(PY_VAL,MATCH("P_CABA_NUE",PY_ID,0),10))</f>
        <v>1406.0118423439</v>
      </c>
      <c r="R126" s="24" t="s">
        <v>2446</v>
      </c>
    </row>
    <row r="127" customFormat="false" ht="15" hidden="false" customHeight="false" outlineLevel="0" collapsed="false">
      <c r="A127" s="38" t="n">
        <v>0</v>
      </c>
      <c r="B127" s="38" t="s">
        <v>586</v>
      </c>
      <c r="C127" s="38" t="s">
        <v>585</v>
      </c>
      <c r="D127" s="38" t="s">
        <v>82</v>
      </c>
      <c r="E127" s="38"/>
      <c r="F127" s="38"/>
      <c r="G127" s="38"/>
      <c r="H127" s="39" t="n">
        <f aca="false">SUM(H128:H131)</f>
        <v>7275.37310673</v>
      </c>
      <c r="I127" s="39" t="n">
        <f aca="false">SUM(I128:I131)</f>
        <v>12309.257605</v>
      </c>
      <c r="J127" s="39" t="n">
        <f aca="false">SUM(J128:J131)</f>
        <v>15216.1321864</v>
      </c>
      <c r="K127" s="39" t="n">
        <f aca="false">SUM(K128:K131)</f>
        <v>20602.9095301</v>
      </c>
      <c r="L127" s="39" t="n">
        <f aca="false">SUM(L128:L131)</f>
        <v>29935.2855279</v>
      </c>
      <c r="M127" s="39" t="n">
        <f aca="false">SUM(M128:M131)</f>
        <v>38300.692099</v>
      </c>
      <c r="N127" s="39" t="n">
        <f aca="false">SUM(N128:N131)</f>
        <v>48020.789169</v>
      </c>
      <c r="O127" s="39" t="n">
        <f aca="false">SUM(O128:O131)</f>
        <v>57492.016249</v>
      </c>
      <c r="P127" s="39" t="n">
        <f aca="false">SUM(P128:P131)</f>
        <v>64888.596987</v>
      </c>
      <c r="Q127" s="39" t="n">
        <f aca="false">SUM(Q128:Q131)</f>
        <v>73657.124373</v>
      </c>
      <c r="R127" s="38"/>
    </row>
    <row r="128" customFormat="false" ht="15" hidden="false" customHeight="false" outlineLevel="1" collapsed="false">
      <c r="A128" s="24" t="n">
        <v>1</v>
      </c>
      <c r="B128" s="24" t="s">
        <v>586</v>
      </c>
      <c r="C128" s="40" t="s">
        <v>2447</v>
      </c>
      <c r="D128" s="24" t="s">
        <v>82</v>
      </c>
      <c r="E128" s="24" t="s">
        <v>230</v>
      </c>
      <c r="F128" s="41" t="n">
        <f aca="false">INDEX((BOM_COEF!R29~BOM_COEF!S29~BOM_COEF!T29~BOM_COEF!U29~BOM_COEF!V29~BOM_COEF!W29~BOM_COEF!X29~BOM_COEF!Y29~BOM_COEF!Z29~BOM_COEF!AA29),1,1,INDEX(P_VAL,MATCH("AÑO_DIS",P_ID,0))-2025)</f>
        <v>1</v>
      </c>
      <c r="G128" s="24" t="s">
        <v>2281</v>
      </c>
      <c r="H128" s="42" t="n">
        <f aca="false">BOM_COEF!R29*DEMANDA!F4</f>
        <v>4178.736543</v>
      </c>
      <c r="I128" s="42" t="n">
        <f aca="false">BOM_COEF!S29*DEMANDA!G4</f>
        <v>5997.303977</v>
      </c>
      <c r="J128" s="42" t="n">
        <f aca="false">BOM_COEF!T29*DEMANDA!H4</f>
        <v>6851.747758</v>
      </c>
      <c r="K128" s="42" t="n">
        <f aca="false">BOM_COEF!U29*DEMANDA!I4</f>
        <v>8467.135549</v>
      </c>
      <c r="L128" s="42" t="n">
        <f aca="false">BOM_COEF!V29*DEMANDA!J4</f>
        <v>12680.63271</v>
      </c>
      <c r="M128" s="42" t="n">
        <f aca="false">BOM_COEF!W29*DEMANDA!K4</f>
        <v>15620.25307</v>
      </c>
      <c r="N128" s="42" t="n">
        <f aca="false">BOM_COEF!X29*DEMANDA!L4</f>
        <v>20332.55326</v>
      </c>
      <c r="O128" s="42" t="n">
        <f aca="false">BOM_COEF!Y29*DEMANDA!M4</f>
        <v>25132.07848</v>
      </c>
      <c r="P128" s="42" t="n">
        <f aca="false">BOM_COEF!Z29*DEMANDA!N4</f>
        <v>28573.33614</v>
      </c>
      <c r="Q128" s="42" t="n">
        <f aca="false">BOM_COEF!AA29*DEMANDA!O4</f>
        <v>32072.63913</v>
      </c>
      <c r="R128" s="24" t="s">
        <v>2448</v>
      </c>
    </row>
    <row r="129" customFormat="false" ht="15" hidden="false" customHeight="false" outlineLevel="1" collapsed="false">
      <c r="A129" s="24" t="n">
        <v>1</v>
      </c>
      <c r="B129" s="24" t="s">
        <v>586</v>
      </c>
      <c r="C129" s="40" t="s">
        <v>2449</v>
      </c>
      <c r="D129" s="24" t="s">
        <v>82</v>
      </c>
      <c r="E129" s="24" t="s">
        <v>234</v>
      </c>
      <c r="F129" s="41" t="n">
        <f aca="false">INDEX((BOM_COEF!R68~BOM_COEF!S68~BOM_COEF!T68~BOM_COEF!U68~BOM_COEF!V68~BOM_COEF!W68~BOM_COEF!X68~BOM_COEF!Y68~BOM_COEF!Z68~BOM_COEF!AA68),1,1,INDEX(P_VAL,MATCH("AÑO_DIS",P_ID,0))-2025)</f>
        <v>1</v>
      </c>
      <c r="G129" s="24" t="s">
        <v>2281</v>
      </c>
      <c r="H129" s="42" t="n">
        <f aca="false">BOM_COEF!R68*DEMANDA!F5</f>
        <v>295.0303572</v>
      </c>
      <c r="I129" s="42" t="n">
        <f aca="false">BOM_COEF!S68*DEMANDA!G5</f>
        <v>709.7274503</v>
      </c>
      <c r="J129" s="42" t="n">
        <f aca="false">BOM_COEF!T68*DEMANDA!H5</f>
        <v>986.8680576</v>
      </c>
      <c r="K129" s="42" t="n">
        <f aca="false">BOM_COEF!U68*DEMANDA!I5</f>
        <v>1500.638174</v>
      </c>
      <c r="L129" s="42" t="n">
        <f aca="false">BOM_COEF!V68*DEMANDA!J5</f>
        <v>2312.627726</v>
      </c>
      <c r="M129" s="42" t="n">
        <f aca="false">BOM_COEF!W68*DEMANDA!K5</f>
        <v>3252.869887</v>
      </c>
      <c r="N129" s="42" t="n">
        <f aca="false">BOM_COEF!X68*DEMANDA!L5</f>
        <v>4102.315524</v>
      </c>
      <c r="O129" s="42" t="n">
        <f aca="false">BOM_COEF!Y68*DEMANDA!M5</f>
        <v>5104.306587</v>
      </c>
      <c r="P129" s="42" t="n">
        <f aca="false">BOM_COEF!Z68*DEMANDA!N5</f>
        <v>6195.186243</v>
      </c>
      <c r="Q129" s="42" t="n">
        <f aca="false">BOM_COEF!AA68*DEMANDA!O5</f>
        <v>7424.858444</v>
      </c>
      <c r="R129" s="24" t="s">
        <v>2450</v>
      </c>
    </row>
    <row r="130" customFormat="false" ht="15" hidden="false" customHeight="false" outlineLevel="1" collapsed="false">
      <c r="A130" s="24" t="n">
        <v>1</v>
      </c>
      <c r="B130" s="24" t="s">
        <v>586</v>
      </c>
      <c r="C130" s="40" t="s">
        <v>2451</v>
      </c>
      <c r="D130" s="24" t="s">
        <v>82</v>
      </c>
      <c r="E130" s="24" t="s">
        <v>238</v>
      </c>
      <c r="F130" s="41" t="n">
        <f aca="false">INDEX((BOM_COEF!R109~BOM_COEF!S109~BOM_COEF!T109~BOM_COEF!U109~BOM_COEF!V109~BOM_COEF!W109~BOM_COEF!X109~BOM_COEF!Y109~BOM_COEF!Z109~BOM_COEF!AA109),1,1,INDEX(P_VAL,MATCH("AÑO_DIS",P_ID,0))-2025)</f>
        <v>1</v>
      </c>
      <c r="G130" s="24" t="s">
        <v>2281</v>
      </c>
      <c r="H130" s="42" t="n">
        <f aca="false">BOM_COEF!R109*DEMANDA!F6</f>
        <v>2709.773025</v>
      </c>
      <c r="I130" s="42" t="n">
        <f aca="false">BOM_COEF!S109*DEMANDA!G6</f>
        <v>5424.978881</v>
      </c>
      <c r="J130" s="42" t="n">
        <f aca="false">BOM_COEF!T109*DEMANDA!H6</f>
        <v>7124.537591</v>
      </c>
      <c r="K130" s="42" t="n">
        <f aca="false">BOM_COEF!U109*DEMANDA!I6</f>
        <v>10277.115313</v>
      </c>
      <c r="L130" s="42" t="n">
        <f aca="false">BOM_COEF!V109*DEMANDA!J6</f>
        <v>14339.30694</v>
      </c>
      <c r="M130" s="42" t="n">
        <f aca="false">BOM_COEF!W109*DEMANDA!K6</f>
        <v>18554.96411</v>
      </c>
      <c r="N130" s="42" t="n">
        <f aca="false">BOM_COEF!X109*DEMANDA!L6</f>
        <v>22458.75984</v>
      </c>
      <c r="O130" s="42" t="n">
        <f aca="false">BOM_COEF!Y109*DEMANDA!M6</f>
        <v>25860.18637</v>
      </c>
      <c r="P130" s="42" t="n">
        <f aca="false">BOM_COEF!Z109*DEMANDA!N6</f>
        <v>28507.72455</v>
      </c>
      <c r="Q130" s="42" t="n">
        <f aca="false">BOM_COEF!AA109*DEMANDA!O6</f>
        <v>32318.77872</v>
      </c>
      <c r="R130" s="24" t="s">
        <v>2452</v>
      </c>
    </row>
    <row r="131" customFormat="false" ht="15" hidden="false" customHeight="false" outlineLevel="1" collapsed="false">
      <c r="A131" s="24" t="n">
        <v>1</v>
      </c>
      <c r="B131" s="24" t="s">
        <v>586</v>
      </c>
      <c r="C131" s="40" t="s">
        <v>2453</v>
      </c>
      <c r="D131" s="24" t="s">
        <v>82</v>
      </c>
      <c r="E131" s="24" t="s">
        <v>241</v>
      </c>
      <c r="F131" s="41" t="n">
        <f aca="false">INDEX((BOM_COEF!R150~BOM_COEF!S150~BOM_COEF!T150~BOM_COEF!U150~BOM_COEF!V150~BOM_COEF!W150~BOM_COEF!X150~BOM_COEF!Y150~BOM_COEF!Z150~BOM_COEF!AA150),1,1,INDEX(P_VAL,MATCH("AÑO_DIS",P_ID,0))-2025)</f>
        <v>1</v>
      </c>
      <c r="G131" s="24" t="s">
        <v>2281</v>
      </c>
      <c r="H131" s="42" t="n">
        <f aca="false">BOM_COEF!R150*DEMANDA!F7</f>
        <v>91.83318153</v>
      </c>
      <c r="I131" s="42" t="n">
        <f aca="false">BOM_COEF!S150*DEMANDA!G7</f>
        <v>177.2472967</v>
      </c>
      <c r="J131" s="42" t="n">
        <f aca="false">BOM_COEF!T150*DEMANDA!H7</f>
        <v>252.9787798</v>
      </c>
      <c r="K131" s="42" t="n">
        <f aca="false">BOM_COEF!U150*DEMANDA!I7</f>
        <v>358.0204941</v>
      </c>
      <c r="L131" s="42" t="n">
        <f aca="false">BOM_COEF!V150*DEMANDA!J7</f>
        <v>602.7181519</v>
      </c>
      <c r="M131" s="42" t="n">
        <f aca="false">BOM_COEF!W150*DEMANDA!K7</f>
        <v>872.605032</v>
      </c>
      <c r="N131" s="42" t="n">
        <f aca="false">BOM_COEF!X150*DEMANDA!L7</f>
        <v>1127.160545</v>
      </c>
      <c r="O131" s="42" t="n">
        <f aca="false">BOM_COEF!Y150*DEMANDA!M7</f>
        <v>1395.444812</v>
      </c>
      <c r="P131" s="42" t="n">
        <f aca="false">BOM_COEF!Z150*DEMANDA!N7</f>
        <v>1612.350054</v>
      </c>
      <c r="Q131" s="42" t="n">
        <f aca="false">BOM_COEF!AA150*DEMANDA!O7</f>
        <v>1840.848079</v>
      </c>
      <c r="R131" s="24" t="s">
        <v>2454</v>
      </c>
    </row>
    <row r="132" customFormat="false" ht="15" hidden="false" customHeight="false" outlineLevel="0" collapsed="false">
      <c r="A132" s="38" t="n">
        <v>0</v>
      </c>
      <c r="B132" s="38" t="s">
        <v>688</v>
      </c>
      <c r="C132" s="38" t="s">
        <v>1374</v>
      </c>
      <c r="D132" s="38" t="s">
        <v>82</v>
      </c>
      <c r="E132" s="38"/>
      <c r="F132" s="38"/>
      <c r="G132" s="38"/>
      <c r="H132" s="39" t="n">
        <f aca="false">SUM(H133:H135)</f>
        <v>721.990073117439</v>
      </c>
      <c r="I132" s="39" t="n">
        <f aca="false">SUM(I133:I135)</f>
        <v>1471.09393866526</v>
      </c>
      <c r="J132" s="39" t="n">
        <f aca="false">SUM(J133:J135)</f>
        <v>1949.40106369582</v>
      </c>
      <c r="K132" s="39" t="n">
        <f aca="false">SUM(K133:K135)</f>
        <v>2829.15466914187</v>
      </c>
      <c r="L132" s="39" t="n">
        <f aca="false">SUM(L133:L135)</f>
        <v>4025.329050033</v>
      </c>
      <c r="M132" s="39" t="n">
        <f aca="false">SUM(M133:M135)</f>
        <v>5297.43684168534</v>
      </c>
      <c r="N132" s="39" t="n">
        <f aca="false">SUM(N133:N135)</f>
        <v>6478.50937659132</v>
      </c>
      <c r="O132" s="39" t="n">
        <f aca="false">SUM(O133:O135)</f>
        <v>7589.75998510624</v>
      </c>
      <c r="P132" s="39" t="n">
        <f aca="false">SUM(P133:P135)</f>
        <v>8544.06621467136</v>
      </c>
      <c r="Q132" s="39" t="n">
        <f aca="false">SUM(Q133:Q135)</f>
        <v>9822.8861320105</v>
      </c>
      <c r="R132" s="38"/>
    </row>
    <row r="133" customFormat="false" ht="15" hidden="false" customHeight="false" outlineLevel="1" collapsed="false">
      <c r="A133" s="24" t="n">
        <v>1</v>
      </c>
      <c r="B133" s="24" t="s">
        <v>688</v>
      </c>
      <c r="C133" s="40" t="s">
        <v>2455</v>
      </c>
      <c r="D133" s="24" t="s">
        <v>82</v>
      </c>
      <c r="E133" s="24" t="s">
        <v>234</v>
      </c>
      <c r="F133" s="41" t="n">
        <f aca="false">INDEX((BOM_COEF!R69~BOM_COEF!S69~BOM_COEF!T69~BOM_COEF!U69~BOM_COEF!V69~BOM_COEF!W69~BOM_COEF!X69~BOM_COEF!Y69~BOM_COEF!Z69~BOM_COEF!AA69),1,1,INDEX(P_VAL,MATCH("AÑO_DIS",P_ID,0))-2025)</f>
        <v>1</v>
      </c>
      <c r="G133" s="24" t="s">
        <v>689</v>
      </c>
      <c r="H133" s="42" t="n">
        <f aca="false">BOM_COEF!R69*DEMANDA!F5*INDEX(PY_VAL,MATCH("P_CABA_NUE",PY_ID,0),1)</f>
        <v>68.7872098591111</v>
      </c>
      <c r="I133" s="42" t="n">
        <f aca="false">BOM_COEF!S69*DEMANDA!G5*INDEX(PY_VAL,MATCH("P_CABA_NUE",PY_ID,0),2)</f>
        <v>165.412455758409</v>
      </c>
      <c r="J133" s="42" t="n">
        <f aca="false">BOM_COEF!T69*DEMANDA!H5*INDEX(PY_VAL,MATCH("P_CABA_NUE",PY_ID,0),3)</f>
        <v>229.999189740836</v>
      </c>
      <c r="K133" s="42" t="n">
        <f aca="false">BOM_COEF!U69*DEMANDA!I5*INDEX(PY_VAL,MATCH("P_CABA_NUE",PY_ID,0),4)</f>
        <v>349.836566112432</v>
      </c>
      <c r="L133" s="42" t="n">
        <f aca="false">BOM_COEF!V69*DEMANDA!J5*INDEX(PY_VAL,MATCH("P_CABA_NUE",PY_ID,0),5)</f>
        <v>539.51172855372</v>
      </c>
      <c r="M133" s="42" t="n">
        <f aca="false">BOM_COEF!W69*DEMANDA!K5*INDEX(PY_VAL,MATCH("P_CABA_NUE",PY_ID,0),6)</f>
        <v>759.768043227441</v>
      </c>
      <c r="N133" s="42" t="n">
        <f aca="false">BOM_COEF!X69*DEMANDA!L5*INDEX(PY_VAL,MATCH("P_CABA_NUE",PY_ID,0),7)</f>
        <v>959.862147784264</v>
      </c>
      <c r="O133" s="42" t="n">
        <f aca="false">BOM_COEF!Y69*DEMANDA!M5*INDEX(PY_VAL,MATCH("P_CABA_NUE",PY_ID,0),8)</f>
        <v>1197.17355954989</v>
      </c>
      <c r="P133" s="42" t="n">
        <f aca="false">BOM_COEF!Z69*DEMANDA!N5*INDEX(PY_VAL,MATCH("P_CABA_NUE",PY_ID,0),9)</f>
        <v>1457.57128650188</v>
      </c>
      <c r="Q133" s="42" t="n">
        <f aca="false">BOM_COEF!AA69*DEMANDA!O5*INDEX(PY_VAL,MATCH("P_CABA_NUE",PY_ID,0),10)</f>
        <v>1753.86417832323</v>
      </c>
      <c r="R133" s="24" t="s">
        <v>2456</v>
      </c>
    </row>
    <row r="134" customFormat="false" ht="15" hidden="false" customHeight="false" outlineLevel="1" collapsed="false">
      <c r="A134" s="24" t="n">
        <v>1</v>
      </c>
      <c r="B134" s="24" t="s">
        <v>688</v>
      </c>
      <c r="C134" s="40" t="s">
        <v>2457</v>
      </c>
      <c r="D134" s="24" t="s">
        <v>82</v>
      </c>
      <c r="E134" s="24" t="s">
        <v>238</v>
      </c>
      <c r="F134" s="41" t="n">
        <f aca="false">INDEX((BOM_COEF!R110~BOM_COEF!S110~BOM_COEF!T110~BOM_COEF!U110~BOM_COEF!V110~BOM_COEF!W110~BOM_COEF!X110~BOM_COEF!Y110~BOM_COEF!Z110~BOM_COEF!AA110),1,1,INDEX(P_VAL,MATCH("AÑO_DIS",P_ID,0))-2025)</f>
        <v>1</v>
      </c>
      <c r="G134" s="24" t="s">
        <v>689</v>
      </c>
      <c r="H134" s="42" t="n">
        <f aca="false">BOM_COEF!R110*DEMANDA!F6*INDEX(PY_VAL,MATCH("P_CABA_NUE",PY_ID,0),1)</f>
        <v>631.791682422955</v>
      </c>
      <c r="I134" s="42" t="n">
        <f aca="false">BOM_COEF!S110*DEMANDA!G6*INDEX(PY_VAL,MATCH("P_CABA_NUE",PY_ID,0),2)</f>
        <v>1264.37138476806</v>
      </c>
      <c r="J134" s="42" t="n">
        <f aca="false">BOM_COEF!T110*DEMANDA!H6*INDEX(PY_VAL,MATCH("P_CABA_NUE",PY_ID,0),3)</f>
        <v>1660.44271125077</v>
      </c>
      <c r="K134" s="42" t="n">
        <f aca="false">BOM_COEF!U110*DEMANDA!I6*INDEX(PY_VAL,MATCH("P_CABA_NUE",PY_ID,0),4)</f>
        <v>2395.85450572539</v>
      </c>
      <c r="L134" s="42" t="n">
        <f aca="false">BOM_COEF!V110*DEMANDA!J6*INDEX(PY_VAL,MATCH("P_CABA_NUE",PY_ID,0),5)</f>
        <v>3345.20951491081</v>
      </c>
      <c r="M134" s="42" t="n">
        <f aca="false">BOM_COEF!W110*DEMANDA!K6*INDEX(PY_VAL,MATCH("P_CABA_NUE",PY_ID,0),6)</f>
        <v>4333.85572240385</v>
      </c>
      <c r="N134" s="42" t="n">
        <f aca="false">BOM_COEF!X110*DEMANDA!L6*INDEX(PY_VAL,MATCH("P_CABA_NUE",PY_ID,0),7)</f>
        <v>5254.91355564326</v>
      </c>
      <c r="O134" s="42" t="n">
        <f aca="false">BOM_COEF!Y110*DEMANDA!M6*INDEX(PY_VAL,MATCH("P_CABA_NUE",PY_ID,0),8)</f>
        <v>6065.29620419851</v>
      </c>
      <c r="P134" s="42" t="n">
        <f aca="false">BOM_COEF!Z110*DEMANDA!N6*INDEX(PY_VAL,MATCH("P_CABA_NUE",PY_ID,0),9)</f>
        <v>6707.14957028688</v>
      </c>
      <c r="Q134" s="42" t="n">
        <f aca="false">BOM_COEF!AA110*DEMANDA!O6*INDEX(PY_VAL,MATCH("P_CABA_NUE",PY_ID,0),10)</f>
        <v>7634.18571703117</v>
      </c>
      <c r="R134" s="24" t="s">
        <v>2458</v>
      </c>
    </row>
    <row r="135" customFormat="false" ht="15" hidden="false" customHeight="false" outlineLevel="1" collapsed="false">
      <c r="A135" s="24" t="n">
        <v>1</v>
      </c>
      <c r="B135" s="24" t="s">
        <v>688</v>
      </c>
      <c r="C135" s="40" t="s">
        <v>2459</v>
      </c>
      <c r="D135" s="24" t="s">
        <v>82</v>
      </c>
      <c r="E135" s="24" t="s">
        <v>241</v>
      </c>
      <c r="F135" s="41" t="n">
        <f aca="false">INDEX((BOM_COEF!R151~BOM_COEF!S151~BOM_COEF!T151~BOM_COEF!U151~BOM_COEF!V151~BOM_COEF!W151~BOM_COEF!X151~BOM_COEF!Y151~BOM_COEF!Z151~BOM_COEF!AA151),1,1,INDEX(P_VAL,MATCH("AÑO_DIS",P_ID,0))-2025)</f>
        <v>1</v>
      </c>
      <c r="G135" s="24" t="s">
        <v>689</v>
      </c>
      <c r="H135" s="42" t="n">
        <f aca="false">BOM_COEF!R151*DEMANDA!F7*INDEX(PY_VAL,MATCH("P_CABA_NUE",PY_ID,0),1)</f>
        <v>21.4111808353732</v>
      </c>
      <c r="I135" s="42" t="n">
        <f aca="false">BOM_COEF!S151*DEMANDA!G7*INDEX(PY_VAL,MATCH("P_CABA_NUE",PY_ID,0),2)</f>
        <v>41.3100981387901</v>
      </c>
      <c r="J135" s="42" t="n">
        <f aca="false">BOM_COEF!T151*DEMANDA!H7*INDEX(PY_VAL,MATCH("P_CABA_NUE",PY_ID,0),3)</f>
        <v>58.9591627042093</v>
      </c>
      <c r="K135" s="42" t="n">
        <f aca="false">BOM_COEF!U151*DEMANDA!I7*INDEX(PY_VAL,MATCH("P_CABA_NUE",PY_ID,0),4)</f>
        <v>83.4635973040496</v>
      </c>
      <c r="L135" s="42" t="n">
        <f aca="false">BOM_COEF!V151*DEMANDA!J7*INDEX(PY_VAL,MATCH("P_CABA_NUE",PY_ID,0),5)</f>
        <v>140.607806568463</v>
      </c>
      <c r="M135" s="42" t="n">
        <f aca="false">BOM_COEF!W151*DEMANDA!K7*INDEX(PY_VAL,MATCH("P_CABA_NUE",PY_ID,0),6)</f>
        <v>203.81307605405</v>
      </c>
      <c r="N135" s="42" t="n">
        <f aca="false">BOM_COEF!X151*DEMANDA!L7*INDEX(PY_VAL,MATCH("P_CABA_NUE",PY_ID,0),7)</f>
        <v>263.733673163796</v>
      </c>
      <c r="O135" s="42" t="n">
        <f aca="false">BOM_COEF!Y151*DEMANDA!M7*INDEX(PY_VAL,MATCH("P_CABA_NUE",PY_ID,0),8)</f>
        <v>327.290221357832</v>
      </c>
      <c r="P135" s="42" t="n">
        <f aca="false">BOM_COEF!Z151*DEMANDA!N7*INDEX(PY_VAL,MATCH("P_CABA_NUE",PY_ID,0),9)</f>
        <v>379.345357882593</v>
      </c>
      <c r="Q135" s="42" t="n">
        <f aca="false">BOM_COEF!AA151*DEMANDA!O7*INDEX(PY_VAL,MATCH("P_CABA_NUE",PY_ID,0),10)</f>
        <v>434.836236656101</v>
      </c>
      <c r="R135" s="24" t="s">
        <v>2460</v>
      </c>
    </row>
    <row r="136" customFormat="false" ht="15" hidden="false" customHeight="false" outlineLevel="0" collapsed="false">
      <c r="A136" s="38" t="n">
        <v>0</v>
      </c>
      <c r="B136" s="38" t="s">
        <v>590</v>
      </c>
      <c r="C136" s="38" t="s">
        <v>2190</v>
      </c>
      <c r="D136" s="38" t="s">
        <v>82</v>
      </c>
      <c r="E136" s="38"/>
      <c r="F136" s="38"/>
      <c r="G136" s="38"/>
      <c r="H136" s="39" t="n">
        <f aca="false">SUM(H137:H140)</f>
        <v>7275.37310673</v>
      </c>
      <c r="I136" s="39" t="n">
        <f aca="false">SUM(I137:I140)</f>
        <v>12309.257605</v>
      </c>
      <c r="J136" s="39" t="n">
        <f aca="false">SUM(J137:J140)</f>
        <v>15216.1321864</v>
      </c>
      <c r="K136" s="39" t="n">
        <f aca="false">SUM(K137:K140)</f>
        <v>20602.9095301</v>
      </c>
      <c r="L136" s="39" t="n">
        <f aca="false">SUM(L137:L140)</f>
        <v>29935.2855279</v>
      </c>
      <c r="M136" s="39" t="n">
        <f aca="false">SUM(M137:M140)</f>
        <v>38300.692099</v>
      </c>
      <c r="N136" s="39" t="n">
        <f aca="false">SUM(N137:N140)</f>
        <v>48020.789169</v>
      </c>
      <c r="O136" s="39" t="n">
        <f aca="false">SUM(O137:O140)</f>
        <v>57492.016249</v>
      </c>
      <c r="P136" s="39" t="n">
        <f aca="false">SUM(P137:P140)</f>
        <v>64888.596987</v>
      </c>
      <c r="Q136" s="39" t="n">
        <f aca="false">SUM(Q137:Q140)</f>
        <v>73657.124373</v>
      </c>
      <c r="R136" s="38"/>
    </row>
    <row r="137" customFormat="false" ht="15" hidden="false" customHeight="false" outlineLevel="1" collapsed="false">
      <c r="A137" s="24" t="n">
        <v>1</v>
      </c>
      <c r="B137" s="24" t="s">
        <v>590</v>
      </c>
      <c r="C137" s="40" t="s">
        <v>2461</v>
      </c>
      <c r="D137" s="24" t="s">
        <v>82</v>
      </c>
      <c r="E137" s="24" t="s">
        <v>230</v>
      </c>
      <c r="F137" s="41" t="n">
        <f aca="false">INDEX((BOM_COEF!R30~BOM_COEF!S30~BOM_COEF!T30~BOM_COEF!U30~BOM_COEF!V30~BOM_COEF!W30~BOM_COEF!X30~BOM_COEF!Y30~BOM_COEF!Z30~BOM_COEF!AA30),1,1,INDEX(P_VAL,MATCH("AÑO_DIS",P_ID,0))-2025)</f>
        <v>1</v>
      </c>
      <c r="G137" s="24" t="s">
        <v>2281</v>
      </c>
      <c r="H137" s="42" t="n">
        <f aca="false">BOM_COEF!R30*DEMANDA!F4</f>
        <v>4178.736543</v>
      </c>
      <c r="I137" s="42" t="n">
        <f aca="false">BOM_COEF!S30*DEMANDA!G4</f>
        <v>5997.303977</v>
      </c>
      <c r="J137" s="42" t="n">
        <f aca="false">BOM_COEF!T30*DEMANDA!H4</f>
        <v>6851.747758</v>
      </c>
      <c r="K137" s="42" t="n">
        <f aca="false">BOM_COEF!U30*DEMANDA!I4</f>
        <v>8467.135549</v>
      </c>
      <c r="L137" s="42" t="n">
        <f aca="false">BOM_COEF!V30*DEMANDA!J4</f>
        <v>12680.63271</v>
      </c>
      <c r="M137" s="42" t="n">
        <f aca="false">BOM_COEF!W30*DEMANDA!K4</f>
        <v>15620.25307</v>
      </c>
      <c r="N137" s="42" t="n">
        <f aca="false">BOM_COEF!X30*DEMANDA!L4</f>
        <v>20332.55326</v>
      </c>
      <c r="O137" s="42" t="n">
        <f aca="false">BOM_COEF!Y30*DEMANDA!M4</f>
        <v>25132.07848</v>
      </c>
      <c r="P137" s="42" t="n">
        <f aca="false">BOM_COEF!Z30*DEMANDA!N4</f>
        <v>28573.33614</v>
      </c>
      <c r="Q137" s="42" t="n">
        <f aca="false">BOM_COEF!AA30*DEMANDA!O4</f>
        <v>32072.63913</v>
      </c>
      <c r="R137" s="24" t="s">
        <v>2462</v>
      </c>
    </row>
    <row r="138" customFormat="false" ht="15" hidden="false" customHeight="false" outlineLevel="1" collapsed="false">
      <c r="A138" s="24" t="n">
        <v>1</v>
      </c>
      <c r="B138" s="24" t="s">
        <v>590</v>
      </c>
      <c r="C138" s="40" t="s">
        <v>2463</v>
      </c>
      <c r="D138" s="24" t="s">
        <v>82</v>
      </c>
      <c r="E138" s="24" t="s">
        <v>234</v>
      </c>
      <c r="F138" s="41" t="n">
        <f aca="false">INDEX((BOM_COEF!R70~BOM_COEF!S70~BOM_COEF!T70~BOM_COEF!U70~BOM_COEF!V70~BOM_COEF!W70~BOM_COEF!X70~BOM_COEF!Y70~BOM_COEF!Z70~BOM_COEF!AA70),1,1,INDEX(P_VAL,MATCH("AÑO_DIS",P_ID,0))-2025)</f>
        <v>1</v>
      </c>
      <c r="G138" s="24" t="s">
        <v>2281</v>
      </c>
      <c r="H138" s="42" t="n">
        <f aca="false">BOM_COEF!R70*DEMANDA!F5</f>
        <v>295.0303572</v>
      </c>
      <c r="I138" s="42" t="n">
        <f aca="false">BOM_COEF!S70*DEMANDA!G5</f>
        <v>709.7274503</v>
      </c>
      <c r="J138" s="42" t="n">
        <f aca="false">BOM_COEF!T70*DEMANDA!H5</f>
        <v>986.8680576</v>
      </c>
      <c r="K138" s="42" t="n">
        <f aca="false">BOM_COEF!U70*DEMANDA!I5</f>
        <v>1500.638174</v>
      </c>
      <c r="L138" s="42" t="n">
        <f aca="false">BOM_COEF!V70*DEMANDA!J5</f>
        <v>2312.627726</v>
      </c>
      <c r="M138" s="42" t="n">
        <f aca="false">BOM_COEF!W70*DEMANDA!K5</f>
        <v>3252.869887</v>
      </c>
      <c r="N138" s="42" t="n">
        <f aca="false">BOM_COEF!X70*DEMANDA!L5</f>
        <v>4102.315524</v>
      </c>
      <c r="O138" s="42" t="n">
        <f aca="false">BOM_COEF!Y70*DEMANDA!M5</f>
        <v>5104.306587</v>
      </c>
      <c r="P138" s="42" t="n">
        <f aca="false">BOM_COEF!Z70*DEMANDA!N5</f>
        <v>6195.186243</v>
      </c>
      <c r="Q138" s="42" t="n">
        <f aca="false">BOM_COEF!AA70*DEMANDA!O5</f>
        <v>7424.858444</v>
      </c>
      <c r="R138" s="24" t="s">
        <v>2464</v>
      </c>
    </row>
    <row r="139" customFormat="false" ht="15" hidden="false" customHeight="false" outlineLevel="1" collapsed="false">
      <c r="A139" s="24" t="n">
        <v>1</v>
      </c>
      <c r="B139" s="24" t="s">
        <v>590</v>
      </c>
      <c r="C139" s="40" t="s">
        <v>2465</v>
      </c>
      <c r="D139" s="24" t="s">
        <v>82</v>
      </c>
      <c r="E139" s="24" t="s">
        <v>238</v>
      </c>
      <c r="F139" s="41" t="n">
        <f aca="false">INDEX((BOM_COEF!R111~BOM_COEF!S111~BOM_COEF!T111~BOM_COEF!U111~BOM_COEF!V111~BOM_COEF!W111~BOM_COEF!X111~BOM_COEF!Y111~BOM_COEF!Z111~BOM_COEF!AA111),1,1,INDEX(P_VAL,MATCH("AÑO_DIS",P_ID,0))-2025)</f>
        <v>1</v>
      </c>
      <c r="G139" s="24" t="s">
        <v>2281</v>
      </c>
      <c r="H139" s="42" t="n">
        <f aca="false">BOM_COEF!R111*DEMANDA!F6</f>
        <v>2709.773025</v>
      </c>
      <c r="I139" s="42" t="n">
        <f aca="false">BOM_COEF!S111*DEMANDA!G6</f>
        <v>5424.978881</v>
      </c>
      <c r="J139" s="42" t="n">
        <f aca="false">BOM_COEF!T111*DEMANDA!H6</f>
        <v>7124.537591</v>
      </c>
      <c r="K139" s="42" t="n">
        <f aca="false">BOM_COEF!U111*DEMANDA!I6</f>
        <v>10277.115313</v>
      </c>
      <c r="L139" s="42" t="n">
        <f aca="false">BOM_COEF!V111*DEMANDA!J6</f>
        <v>14339.30694</v>
      </c>
      <c r="M139" s="42" t="n">
        <f aca="false">BOM_COEF!W111*DEMANDA!K6</f>
        <v>18554.96411</v>
      </c>
      <c r="N139" s="42" t="n">
        <f aca="false">BOM_COEF!X111*DEMANDA!L6</f>
        <v>22458.75984</v>
      </c>
      <c r="O139" s="42" t="n">
        <f aca="false">BOM_COEF!Y111*DEMANDA!M6</f>
        <v>25860.18637</v>
      </c>
      <c r="P139" s="42" t="n">
        <f aca="false">BOM_COEF!Z111*DEMANDA!N6</f>
        <v>28507.72455</v>
      </c>
      <c r="Q139" s="42" t="n">
        <f aca="false">BOM_COEF!AA111*DEMANDA!O6</f>
        <v>32318.77872</v>
      </c>
      <c r="R139" s="24" t="s">
        <v>2466</v>
      </c>
    </row>
    <row r="140" customFormat="false" ht="15" hidden="false" customHeight="false" outlineLevel="1" collapsed="false">
      <c r="A140" s="24" t="n">
        <v>1</v>
      </c>
      <c r="B140" s="24" t="s">
        <v>590</v>
      </c>
      <c r="C140" s="40" t="s">
        <v>2467</v>
      </c>
      <c r="D140" s="24" t="s">
        <v>82</v>
      </c>
      <c r="E140" s="24" t="s">
        <v>241</v>
      </c>
      <c r="F140" s="41" t="n">
        <f aca="false">INDEX((BOM_COEF!R152~BOM_COEF!S152~BOM_COEF!T152~BOM_COEF!U152~BOM_COEF!V152~BOM_COEF!W152~BOM_COEF!X152~BOM_COEF!Y152~BOM_COEF!Z152~BOM_COEF!AA152),1,1,INDEX(P_VAL,MATCH("AÑO_DIS",P_ID,0))-2025)</f>
        <v>1</v>
      </c>
      <c r="G140" s="24" t="s">
        <v>2281</v>
      </c>
      <c r="H140" s="42" t="n">
        <f aca="false">BOM_COEF!R152*DEMANDA!F7</f>
        <v>91.83318153</v>
      </c>
      <c r="I140" s="42" t="n">
        <f aca="false">BOM_COEF!S152*DEMANDA!G7</f>
        <v>177.2472967</v>
      </c>
      <c r="J140" s="42" t="n">
        <f aca="false">BOM_COEF!T152*DEMANDA!H7</f>
        <v>252.9787798</v>
      </c>
      <c r="K140" s="42" t="n">
        <f aca="false">BOM_COEF!U152*DEMANDA!I7</f>
        <v>358.0204941</v>
      </c>
      <c r="L140" s="42" t="n">
        <f aca="false">BOM_COEF!V152*DEMANDA!J7</f>
        <v>602.7181519</v>
      </c>
      <c r="M140" s="42" t="n">
        <f aca="false">BOM_COEF!W152*DEMANDA!K7</f>
        <v>872.605032</v>
      </c>
      <c r="N140" s="42" t="n">
        <f aca="false">BOM_COEF!X152*DEMANDA!L7</f>
        <v>1127.160545</v>
      </c>
      <c r="O140" s="42" t="n">
        <f aca="false">BOM_COEF!Y152*DEMANDA!M7</f>
        <v>1395.444812</v>
      </c>
      <c r="P140" s="42" t="n">
        <f aca="false">BOM_COEF!Z152*DEMANDA!N7</f>
        <v>1612.350054</v>
      </c>
      <c r="Q140" s="42" t="n">
        <f aca="false">BOM_COEF!AA152*DEMANDA!O7</f>
        <v>1840.848079</v>
      </c>
      <c r="R140" s="24" t="s">
        <v>2468</v>
      </c>
    </row>
    <row r="141" customFormat="false" ht="15" hidden="false" customHeight="false" outlineLevel="0" collapsed="false">
      <c r="A141" s="38" t="n">
        <v>0</v>
      </c>
      <c r="B141" s="38" t="s">
        <v>594</v>
      </c>
      <c r="C141" s="38" t="s">
        <v>593</v>
      </c>
      <c r="D141" s="38" t="s">
        <v>82</v>
      </c>
      <c r="E141" s="38"/>
      <c r="F141" s="38"/>
      <c r="G141" s="38"/>
      <c r="H141" s="39" t="n">
        <f aca="false">SUM(H142:H145)</f>
        <v>7275.37310673</v>
      </c>
      <c r="I141" s="39" t="n">
        <f aca="false">SUM(I142:I145)</f>
        <v>12309.257605</v>
      </c>
      <c r="J141" s="39" t="n">
        <f aca="false">SUM(J142:J145)</f>
        <v>15216.1321864</v>
      </c>
      <c r="K141" s="39" t="n">
        <f aca="false">SUM(K142:K145)</f>
        <v>20602.9095301</v>
      </c>
      <c r="L141" s="39" t="n">
        <f aca="false">SUM(L142:L145)</f>
        <v>29935.2855279</v>
      </c>
      <c r="M141" s="39" t="n">
        <f aca="false">SUM(M142:M145)</f>
        <v>38300.692099</v>
      </c>
      <c r="N141" s="39" t="n">
        <f aca="false">SUM(N142:N145)</f>
        <v>48020.789169</v>
      </c>
      <c r="O141" s="39" t="n">
        <f aca="false">SUM(O142:O145)</f>
        <v>57492.016249</v>
      </c>
      <c r="P141" s="39" t="n">
        <f aca="false">SUM(P142:P145)</f>
        <v>64888.596987</v>
      </c>
      <c r="Q141" s="39" t="n">
        <f aca="false">SUM(Q142:Q145)</f>
        <v>73657.124373</v>
      </c>
      <c r="R141" s="38"/>
    </row>
    <row r="142" customFormat="false" ht="15" hidden="false" customHeight="false" outlineLevel="1" collapsed="false">
      <c r="A142" s="24" t="n">
        <v>1</v>
      </c>
      <c r="B142" s="24" t="s">
        <v>594</v>
      </c>
      <c r="C142" s="40" t="s">
        <v>2469</v>
      </c>
      <c r="D142" s="24" t="s">
        <v>82</v>
      </c>
      <c r="E142" s="24" t="s">
        <v>230</v>
      </c>
      <c r="F142" s="41" t="n">
        <f aca="false">INDEX((BOM_COEF!R31~BOM_COEF!S31~BOM_COEF!T31~BOM_COEF!U31~BOM_COEF!V31~BOM_COEF!W31~BOM_COEF!X31~BOM_COEF!Y31~BOM_COEF!Z31~BOM_COEF!AA31),1,1,INDEX(P_VAL,MATCH("AÑO_DIS",P_ID,0))-2025)</f>
        <v>1</v>
      </c>
      <c r="G142" s="24" t="s">
        <v>2281</v>
      </c>
      <c r="H142" s="42" t="n">
        <f aca="false">BOM_COEF!R31*DEMANDA!F4</f>
        <v>4178.736543</v>
      </c>
      <c r="I142" s="42" t="n">
        <f aca="false">BOM_COEF!S31*DEMANDA!G4</f>
        <v>5997.303977</v>
      </c>
      <c r="J142" s="42" t="n">
        <f aca="false">BOM_COEF!T31*DEMANDA!H4</f>
        <v>6851.747758</v>
      </c>
      <c r="K142" s="42" t="n">
        <f aca="false">BOM_COEF!U31*DEMANDA!I4</f>
        <v>8467.135549</v>
      </c>
      <c r="L142" s="42" t="n">
        <f aca="false">BOM_COEF!V31*DEMANDA!J4</f>
        <v>12680.63271</v>
      </c>
      <c r="M142" s="42" t="n">
        <f aca="false">BOM_COEF!W31*DEMANDA!K4</f>
        <v>15620.25307</v>
      </c>
      <c r="N142" s="42" t="n">
        <f aca="false">BOM_COEF!X31*DEMANDA!L4</f>
        <v>20332.55326</v>
      </c>
      <c r="O142" s="42" t="n">
        <f aca="false">BOM_COEF!Y31*DEMANDA!M4</f>
        <v>25132.07848</v>
      </c>
      <c r="P142" s="42" t="n">
        <f aca="false">BOM_COEF!Z31*DEMANDA!N4</f>
        <v>28573.33614</v>
      </c>
      <c r="Q142" s="42" t="n">
        <f aca="false">BOM_COEF!AA31*DEMANDA!O4</f>
        <v>32072.63913</v>
      </c>
      <c r="R142" s="24" t="s">
        <v>2470</v>
      </c>
    </row>
    <row r="143" customFormat="false" ht="15" hidden="false" customHeight="false" outlineLevel="1" collapsed="false">
      <c r="A143" s="24" t="n">
        <v>1</v>
      </c>
      <c r="B143" s="24" t="s">
        <v>594</v>
      </c>
      <c r="C143" s="40" t="s">
        <v>2471</v>
      </c>
      <c r="D143" s="24" t="s">
        <v>82</v>
      </c>
      <c r="E143" s="24" t="s">
        <v>234</v>
      </c>
      <c r="F143" s="41" t="n">
        <f aca="false">INDEX((BOM_COEF!R71~BOM_COEF!S71~BOM_COEF!T71~BOM_COEF!U71~BOM_COEF!V71~BOM_COEF!W71~BOM_COEF!X71~BOM_COEF!Y71~BOM_COEF!Z71~BOM_COEF!AA71),1,1,INDEX(P_VAL,MATCH("AÑO_DIS",P_ID,0))-2025)</f>
        <v>1</v>
      </c>
      <c r="G143" s="24" t="s">
        <v>2281</v>
      </c>
      <c r="H143" s="42" t="n">
        <f aca="false">BOM_COEF!R71*DEMANDA!F5</f>
        <v>295.0303572</v>
      </c>
      <c r="I143" s="42" t="n">
        <f aca="false">BOM_COEF!S71*DEMANDA!G5</f>
        <v>709.7274503</v>
      </c>
      <c r="J143" s="42" t="n">
        <f aca="false">BOM_COEF!T71*DEMANDA!H5</f>
        <v>986.8680576</v>
      </c>
      <c r="K143" s="42" t="n">
        <f aca="false">BOM_COEF!U71*DEMANDA!I5</f>
        <v>1500.638174</v>
      </c>
      <c r="L143" s="42" t="n">
        <f aca="false">BOM_COEF!V71*DEMANDA!J5</f>
        <v>2312.627726</v>
      </c>
      <c r="M143" s="42" t="n">
        <f aca="false">BOM_COEF!W71*DEMANDA!K5</f>
        <v>3252.869887</v>
      </c>
      <c r="N143" s="42" t="n">
        <f aca="false">BOM_COEF!X71*DEMANDA!L5</f>
        <v>4102.315524</v>
      </c>
      <c r="O143" s="42" t="n">
        <f aca="false">BOM_COEF!Y71*DEMANDA!M5</f>
        <v>5104.306587</v>
      </c>
      <c r="P143" s="42" t="n">
        <f aca="false">BOM_COEF!Z71*DEMANDA!N5</f>
        <v>6195.186243</v>
      </c>
      <c r="Q143" s="42" t="n">
        <f aca="false">BOM_COEF!AA71*DEMANDA!O5</f>
        <v>7424.858444</v>
      </c>
      <c r="R143" s="24" t="s">
        <v>2472</v>
      </c>
    </row>
    <row r="144" customFormat="false" ht="15" hidden="false" customHeight="false" outlineLevel="1" collapsed="false">
      <c r="A144" s="24" t="n">
        <v>1</v>
      </c>
      <c r="B144" s="24" t="s">
        <v>594</v>
      </c>
      <c r="C144" s="40" t="s">
        <v>2473</v>
      </c>
      <c r="D144" s="24" t="s">
        <v>82</v>
      </c>
      <c r="E144" s="24" t="s">
        <v>238</v>
      </c>
      <c r="F144" s="41" t="n">
        <f aca="false">INDEX((BOM_COEF!R112~BOM_COEF!S112~BOM_COEF!T112~BOM_COEF!U112~BOM_COEF!V112~BOM_COEF!W112~BOM_COEF!X112~BOM_COEF!Y112~BOM_COEF!Z112~BOM_COEF!AA112),1,1,INDEX(P_VAL,MATCH("AÑO_DIS",P_ID,0))-2025)</f>
        <v>1</v>
      </c>
      <c r="G144" s="24" t="s">
        <v>2281</v>
      </c>
      <c r="H144" s="42" t="n">
        <f aca="false">BOM_COEF!R112*DEMANDA!F6</f>
        <v>2709.773025</v>
      </c>
      <c r="I144" s="42" t="n">
        <f aca="false">BOM_COEF!S112*DEMANDA!G6</f>
        <v>5424.978881</v>
      </c>
      <c r="J144" s="42" t="n">
        <f aca="false">BOM_COEF!T112*DEMANDA!H6</f>
        <v>7124.537591</v>
      </c>
      <c r="K144" s="42" t="n">
        <f aca="false">BOM_COEF!U112*DEMANDA!I6</f>
        <v>10277.115313</v>
      </c>
      <c r="L144" s="42" t="n">
        <f aca="false">BOM_COEF!V112*DEMANDA!J6</f>
        <v>14339.30694</v>
      </c>
      <c r="M144" s="42" t="n">
        <f aca="false">BOM_COEF!W112*DEMANDA!K6</f>
        <v>18554.96411</v>
      </c>
      <c r="N144" s="42" t="n">
        <f aca="false">BOM_COEF!X112*DEMANDA!L6</f>
        <v>22458.75984</v>
      </c>
      <c r="O144" s="42" t="n">
        <f aca="false">BOM_COEF!Y112*DEMANDA!M6</f>
        <v>25860.18637</v>
      </c>
      <c r="P144" s="42" t="n">
        <f aca="false">BOM_COEF!Z112*DEMANDA!N6</f>
        <v>28507.72455</v>
      </c>
      <c r="Q144" s="42" t="n">
        <f aca="false">BOM_COEF!AA112*DEMANDA!O6</f>
        <v>32318.77872</v>
      </c>
      <c r="R144" s="24" t="s">
        <v>2474</v>
      </c>
    </row>
    <row r="145" customFormat="false" ht="15" hidden="false" customHeight="false" outlineLevel="1" collapsed="false">
      <c r="A145" s="24" t="n">
        <v>1</v>
      </c>
      <c r="B145" s="24" t="s">
        <v>594</v>
      </c>
      <c r="C145" s="40" t="s">
        <v>2475</v>
      </c>
      <c r="D145" s="24" t="s">
        <v>82</v>
      </c>
      <c r="E145" s="24" t="s">
        <v>241</v>
      </c>
      <c r="F145" s="41" t="n">
        <f aca="false">INDEX((BOM_COEF!R153~BOM_COEF!S153~BOM_COEF!T153~BOM_COEF!U153~BOM_COEF!V153~BOM_COEF!W153~BOM_COEF!X153~BOM_COEF!Y153~BOM_COEF!Z153~BOM_COEF!AA153),1,1,INDEX(P_VAL,MATCH("AÑO_DIS",P_ID,0))-2025)</f>
        <v>1</v>
      </c>
      <c r="G145" s="24" t="s">
        <v>2281</v>
      </c>
      <c r="H145" s="42" t="n">
        <f aca="false">BOM_COEF!R153*DEMANDA!F7</f>
        <v>91.83318153</v>
      </c>
      <c r="I145" s="42" t="n">
        <f aca="false">BOM_COEF!S153*DEMANDA!G7</f>
        <v>177.2472967</v>
      </c>
      <c r="J145" s="42" t="n">
        <f aca="false">BOM_COEF!T153*DEMANDA!H7</f>
        <v>252.9787798</v>
      </c>
      <c r="K145" s="42" t="n">
        <f aca="false">BOM_COEF!U153*DEMANDA!I7</f>
        <v>358.0204941</v>
      </c>
      <c r="L145" s="42" t="n">
        <f aca="false">BOM_COEF!V153*DEMANDA!J7</f>
        <v>602.7181519</v>
      </c>
      <c r="M145" s="42" t="n">
        <f aca="false">BOM_COEF!W153*DEMANDA!K7</f>
        <v>872.605032</v>
      </c>
      <c r="N145" s="42" t="n">
        <f aca="false">BOM_COEF!X153*DEMANDA!L7</f>
        <v>1127.160545</v>
      </c>
      <c r="O145" s="42" t="n">
        <f aca="false">BOM_COEF!Y153*DEMANDA!M7</f>
        <v>1395.444812</v>
      </c>
      <c r="P145" s="42" t="n">
        <f aca="false">BOM_COEF!Z153*DEMANDA!N7</f>
        <v>1612.350054</v>
      </c>
      <c r="Q145" s="42" t="n">
        <f aca="false">BOM_COEF!AA153*DEMANDA!O7</f>
        <v>1840.848079</v>
      </c>
      <c r="R145" s="24" t="s">
        <v>2476</v>
      </c>
    </row>
    <row r="146" customFormat="false" ht="15" hidden="false" customHeight="false" outlineLevel="0" collapsed="false">
      <c r="A146" s="38" t="n">
        <v>0</v>
      </c>
      <c r="B146" s="38" t="s">
        <v>598</v>
      </c>
      <c r="C146" s="38" t="s">
        <v>2192</v>
      </c>
      <c r="D146" s="38" t="s">
        <v>82</v>
      </c>
      <c r="E146" s="38"/>
      <c r="F146" s="38"/>
      <c r="G146" s="38"/>
      <c r="H146" s="39" t="n">
        <f aca="false">SUM(H147:H150)</f>
        <v>7275.37310673</v>
      </c>
      <c r="I146" s="39" t="n">
        <f aca="false">SUM(I147:I150)</f>
        <v>12309.257605</v>
      </c>
      <c r="J146" s="39" t="n">
        <f aca="false">SUM(J147:J150)</f>
        <v>15216.1321864</v>
      </c>
      <c r="K146" s="39" t="n">
        <f aca="false">SUM(K147:K150)</f>
        <v>20602.9095301</v>
      </c>
      <c r="L146" s="39" t="n">
        <f aca="false">SUM(L147:L150)</f>
        <v>29935.2855279</v>
      </c>
      <c r="M146" s="39" t="n">
        <f aca="false">SUM(M147:M150)</f>
        <v>38300.692099</v>
      </c>
      <c r="N146" s="39" t="n">
        <f aca="false">SUM(N147:N150)</f>
        <v>48020.789169</v>
      </c>
      <c r="O146" s="39" t="n">
        <f aca="false">SUM(O147:O150)</f>
        <v>57492.016249</v>
      </c>
      <c r="P146" s="39" t="n">
        <f aca="false">SUM(P147:P150)</f>
        <v>64888.596987</v>
      </c>
      <c r="Q146" s="39" t="n">
        <f aca="false">SUM(Q147:Q150)</f>
        <v>73657.124373</v>
      </c>
      <c r="R146" s="38"/>
    </row>
    <row r="147" customFormat="false" ht="15" hidden="false" customHeight="false" outlineLevel="1" collapsed="false">
      <c r="A147" s="24" t="n">
        <v>1</v>
      </c>
      <c r="B147" s="24" t="s">
        <v>598</v>
      </c>
      <c r="C147" s="40" t="s">
        <v>2477</v>
      </c>
      <c r="D147" s="24" t="s">
        <v>82</v>
      </c>
      <c r="E147" s="24" t="s">
        <v>230</v>
      </c>
      <c r="F147" s="41" t="n">
        <f aca="false">INDEX((BOM_COEF!R32~BOM_COEF!S32~BOM_COEF!T32~BOM_COEF!U32~BOM_COEF!V32~BOM_COEF!W32~BOM_COEF!X32~BOM_COEF!Y32~BOM_COEF!Z32~BOM_COEF!AA32),1,1,INDEX(P_VAL,MATCH("AÑO_DIS",P_ID,0))-2025)</f>
        <v>1</v>
      </c>
      <c r="G147" s="24" t="s">
        <v>2281</v>
      </c>
      <c r="H147" s="42" t="n">
        <f aca="false">BOM_COEF!R32*DEMANDA!F4</f>
        <v>4178.736543</v>
      </c>
      <c r="I147" s="42" t="n">
        <f aca="false">BOM_COEF!S32*DEMANDA!G4</f>
        <v>5997.303977</v>
      </c>
      <c r="J147" s="42" t="n">
        <f aca="false">BOM_COEF!T32*DEMANDA!H4</f>
        <v>6851.747758</v>
      </c>
      <c r="K147" s="42" t="n">
        <f aca="false">BOM_COEF!U32*DEMANDA!I4</f>
        <v>8467.135549</v>
      </c>
      <c r="L147" s="42" t="n">
        <f aca="false">BOM_COEF!V32*DEMANDA!J4</f>
        <v>12680.63271</v>
      </c>
      <c r="M147" s="42" t="n">
        <f aca="false">BOM_COEF!W32*DEMANDA!K4</f>
        <v>15620.25307</v>
      </c>
      <c r="N147" s="42" t="n">
        <f aca="false">BOM_COEF!X32*DEMANDA!L4</f>
        <v>20332.55326</v>
      </c>
      <c r="O147" s="42" t="n">
        <f aca="false">BOM_COEF!Y32*DEMANDA!M4</f>
        <v>25132.07848</v>
      </c>
      <c r="P147" s="42" t="n">
        <f aca="false">BOM_COEF!Z32*DEMANDA!N4</f>
        <v>28573.33614</v>
      </c>
      <c r="Q147" s="42" t="n">
        <f aca="false">BOM_COEF!AA32*DEMANDA!O4</f>
        <v>32072.63913</v>
      </c>
      <c r="R147" s="24" t="s">
        <v>2478</v>
      </c>
    </row>
    <row r="148" customFormat="false" ht="15" hidden="false" customHeight="false" outlineLevel="1" collapsed="false">
      <c r="A148" s="24" t="n">
        <v>1</v>
      </c>
      <c r="B148" s="24" t="s">
        <v>598</v>
      </c>
      <c r="C148" s="40" t="s">
        <v>2479</v>
      </c>
      <c r="D148" s="24" t="s">
        <v>82</v>
      </c>
      <c r="E148" s="24" t="s">
        <v>234</v>
      </c>
      <c r="F148" s="41" t="n">
        <f aca="false">INDEX((BOM_COEF!R72~BOM_COEF!S72~BOM_COEF!T72~BOM_COEF!U72~BOM_COEF!V72~BOM_COEF!W72~BOM_COEF!X72~BOM_COEF!Y72~BOM_COEF!Z72~BOM_COEF!AA72),1,1,INDEX(P_VAL,MATCH("AÑO_DIS",P_ID,0))-2025)</f>
        <v>1</v>
      </c>
      <c r="G148" s="24" t="s">
        <v>2281</v>
      </c>
      <c r="H148" s="42" t="n">
        <f aca="false">BOM_COEF!R72*DEMANDA!F5</f>
        <v>295.0303572</v>
      </c>
      <c r="I148" s="42" t="n">
        <f aca="false">BOM_COEF!S72*DEMANDA!G5</f>
        <v>709.7274503</v>
      </c>
      <c r="J148" s="42" t="n">
        <f aca="false">BOM_COEF!T72*DEMANDA!H5</f>
        <v>986.8680576</v>
      </c>
      <c r="K148" s="42" t="n">
        <f aca="false">BOM_COEF!U72*DEMANDA!I5</f>
        <v>1500.638174</v>
      </c>
      <c r="L148" s="42" t="n">
        <f aca="false">BOM_COEF!V72*DEMANDA!J5</f>
        <v>2312.627726</v>
      </c>
      <c r="M148" s="42" t="n">
        <f aca="false">BOM_COEF!W72*DEMANDA!K5</f>
        <v>3252.869887</v>
      </c>
      <c r="N148" s="42" t="n">
        <f aca="false">BOM_COEF!X72*DEMANDA!L5</f>
        <v>4102.315524</v>
      </c>
      <c r="O148" s="42" t="n">
        <f aca="false">BOM_COEF!Y72*DEMANDA!M5</f>
        <v>5104.306587</v>
      </c>
      <c r="P148" s="42" t="n">
        <f aca="false">BOM_COEF!Z72*DEMANDA!N5</f>
        <v>6195.186243</v>
      </c>
      <c r="Q148" s="42" t="n">
        <f aca="false">BOM_COEF!AA72*DEMANDA!O5</f>
        <v>7424.858444</v>
      </c>
      <c r="R148" s="24" t="s">
        <v>2480</v>
      </c>
    </row>
    <row r="149" customFormat="false" ht="15" hidden="false" customHeight="false" outlineLevel="1" collapsed="false">
      <c r="A149" s="24" t="n">
        <v>1</v>
      </c>
      <c r="B149" s="24" t="s">
        <v>598</v>
      </c>
      <c r="C149" s="40" t="s">
        <v>2481</v>
      </c>
      <c r="D149" s="24" t="s">
        <v>82</v>
      </c>
      <c r="E149" s="24" t="s">
        <v>238</v>
      </c>
      <c r="F149" s="41" t="n">
        <f aca="false">INDEX((BOM_COEF!R113~BOM_COEF!S113~BOM_COEF!T113~BOM_COEF!U113~BOM_COEF!V113~BOM_COEF!W113~BOM_COEF!X113~BOM_COEF!Y113~BOM_COEF!Z113~BOM_COEF!AA113),1,1,INDEX(P_VAL,MATCH("AÑO_DIS",P_ID,0))-2025)</f>
        <v>1</v>
      </c>
      <c r="G149" s="24" t="s">
        <v>2281</v>
      </c>
      <c r="H149" s="42" t="n">
        <f aca="false">BOM_COEF!R113*DEMANDA!F6</f>
        <v>2709.773025</v>
      </c>
      <c r="I149" s="42" t="n">
        <f aca="false">BOM_COEF!S113*DEMANDA!G6</f>
        <v>5424.978881</v>
      </c>
      <c r="J149" s="42" t="n">
        <f aca="false">BOM_COEF!T113*DEMANDA!H6</f>
        <v>7124.537591</v>
      </c>
      <c r="K149" s="42" t="n">
        <f aca="false">BOM_COEF!U113*DEMANDA!I6</f>
        <v>10277.115313</v>
      </c>
      <c r="L149" s="42" t="n">
        <f aca="false">BOM_COEF!V113*DEMANDA!J6</f>
        <v>14339.30694</v>
      </c>
      <c r="M149" s="42" t="n">
        <f aca="false">BOM_COEF!W113*DEMANDA!K6</f>
        <v>18554.96411</v>
      </c>
      <c r="N149" s="42" t="n">
        <f aca="false">BOM_COEF!X113*DEMANDA!L6</f>
        <v>22458.75984</v>
      </c>
      <c r="O149" s="42" t="n">
        <f aca="false">BOM_COEF!Y113*DEMANDA!M6</f>
        <v>25860.18637</v>
      </c>
      <c r="P149" s="42" t="n">
        <f aca="false">BOM_COEF!Z113*DEMANDA!N6</f>
        <v>28507.72455</v>
      </c>
      <c r="Q149" s="42" t="n">
        <f aca="false">BOM_COEF!AA113*DEMANDA!O6</f>
        <v>32318.77872</v>
      </c>
      <c r="R149" s="24" t="s">
        <v>2482</v>
      </c>
    </row>
    <row r="150" customFormat="false" ht="15" hidden="false" customHeight="false" outlineLevel="1" collapsed="false">
      <c r="A150" s="24" t="n">
        <v>1</v>
      </c>
      <c r="B150" s="24" t="s">
        <v>598</v>
      </c>
      <c r="C150" s="40" t="s">
        <v>2483</v>
      </c>
      <c r="D150" s="24" t="s">
        <v>82</v>
      </c>
      <c r="E150" s="24" t="s">
        <v>241</v>
      </c>
      <c r="F150" s="41" t="n">
        <f aca="false">INDEX((BOM_COEF!R154~BOM_COEF!S154~BOM_COEF!T154~BOM_COEF!U154~BOM_COEF!V154~BOM_COEF!W154~BOM_COEF!X154~BOM_COEF!Y154~BOM_COEF!Z154~BOM_COEF!AA154),1,1,INDEX(P_VAL,MATCH("AÑO_DIS",P_ID,0))-2025)</f>
        <v>1</v>
      </c>
      <c r="G150" s="24" t="s">
        <v>2281</v>
      </c>
      <c r="H150" s="42" t="n">
        <f aca="false">BOM_COEF!R154*DEMANDA!F7</f>
        <v>91.83318153</v>
      </c>
      <c r="I150" s="42" t="n">
        <f aca="false">BOM_COEF!S154*DEMANDA!G7</f>
        <v>177.2472967</v>
      </c>
      <c r="J150" s="42" t="n">
        <f aca="false">BOM_COEF!T154*DEMANDA!H7</f>
        <v>252.9787798</v>
      </c>
      <c r="K150" s="42" t="n">
        <f aca="false">BOM_COEF!U154*DEMANDA!I7</f>
        <v>358.0204941</v>
      </c>
      <c r="L150" s="42" t="n">
        <f aca="false">BOM_COEF!V154*DEMANDA!J7</f>
        <v>602.7181519</v>
      </c>
      <c r="M150" s="42" t="n">
        <f aca="false">BOM_COEF!W154*DEMANDA!K7</f>
        <v>872.605032</v>
      </c>
      <c r="N150" s="42" t="n">
        <f aca="false">BOM_COEF!X154*DEMANDA!L7</f>
        <v>1127.160545</v>
      </c>
      <c r="O150" s="42" t="n">
        <f aca="false">BOM_COEF!Y154*DEMANDA!M7</f>
        <v>1395.444812</v>
      </c>
      <c r="P150" s="42" t="n">
        <f aca="false">BOM_COEF!Z154*DEMANDA!N7</f>
        <v>1612.350054</v>
      </c>
      <c r="Q150" s="42" t="n">
        <f aca="false">BOM_COEF!AA154*DEMANDA!O7</f>
        <v>1840.848079</v>
      </c>
      <c r="R150" s="24" t="s">
        <v>2484</v>
      </c>
    </row>
    <row r="151" customFormat="false" ht="15" hidden="false" customHeight="false" outlineLevel="0" collapsed="false">
      <c r="A151" s="38" t="n">
        <v>0</v>
      </c>
      <c r="B151" s="38" t="s">
        <v>614</v>
      </c>
      <c r="C151" s="38" t="s">
        <v>613</v>
      </c>
      <c r="D151" s="38" t="s">
        <v>82</v>
      </c>
      <c r="E151" s="38"/>
      <c r="F151" s="38"/>
      <c r="G151" s="38"/>
      <c r="H151" s="39" t="n">
        <f aca="false">SUM(H152:H155)</f>
        <v>0</v>
      </c>
      <c r="I151" s="39" t="n">
        <f aca="false">SUM(I152:I155)</f>
        <v>0</v>
      </c>
      <c r="J151" s="39" t="n">
        <f aca="false">SUM(J152:J155)</f>
        <v>9531.2</v>
      </c>
      <c r="K151" s="39" t="n">
        <f aca="false">SUM(K152:K155)</f>
        <v>33205.6</v>
      </c>
      <c r="L151" s="39" t="n">
        <f aca="false">SUM(L152:L155)</f>
        <v>61492</v>
      </c>
      <c r="M151" s="39" t="n">
        <f aca="false">SUM(M152:M155)</f>
        <v>89163.2</v>
      </c>
      <c r="N151" s="39" t="n">
        <f aca="false">SUM(N152:N155)</f>
        <v>126057.6</v>
      </c>
      <c r="O151" s="39" t="n">
        <f aca="false">SUM(O152:O155)</f>
        <v>162952</v>
      </c>
      <c r="P151" s="39" t="n">
        <f aca="false">SUM(P152:P155)</f>
        <v>182628.4</v>
      </c>
      <c r="Q151" s="39" t="n">
        <f aca="false">SUM(Q152:Q155)</f>
        <v>212143</v>
      </c>
      <c r="R151" s="38"/>
    </row>
    <row r="152" customFormat="false" ht="15" hidden="false" customHeight="false" outlineLevel="1" collapsed="false">
      <c r="A152" s="24" t="n">
        <v>1</v>
      </c>
      <c r="B152" s="24" t="s">
        <v>614</v>
      </c>
      <c r="C152" s="40" t="s">
        <v>2485</v>
      </c>
      <c r="D152" s="24" t="s">
        <v>82</v>
      </c>
      <c r="E152" s="24" t="s">
        <v>258</v>
      </c>
      <c r="F152" s="41" t="n">
        <f aca="false">INDEX((BOM_COEF!R39~BOM_COEF!S39~BOM_COEF!T39~BOM_COEF!U39~BOM_COEF!V39~BOM_COEF!W39~BOM_COEF!X39~BOM_COEF!Y39~BOM_COEF!Z39~BOM_COEF!AA39),1,1,INDEX(P_VAL,MATCH("AÑO_DIS",P_ID,0))-2025)</f>
        <v>1</v>
      </c>
      <c r="G152" s="24" t="s">
        <v>2281</v>
      </c>
      <c r="H152" s="42" t="n">
        <f aca="false">BOM_COEF!R39*DEMANDA!F12</f>
        <v>0</v>
      </c>
      <c r="I152" s="42" t="n">
        <f aca="false">BOM_COEF!S39*DEMANDA!G12</f>
        <v>0</v>
      </c>
      <c r="J152" s="42" t="n">
        <f aca="false">BOM_COEF!T39*DEMANDA!H12</f>
        <v>7662.4</v>
      </c>
      <c r="K152" s="42" t="n">
        <f aca="false">BOM_COEF!U39*DEMANDA!I12</f>
        <v>26694.8</v>
      </c>
      <c r="L152" s="42" t="n">
        <f aca="false">BOM_COEF!V39*DEMANDA!J12</f>
        <v>49434.8</v>
      </c>
      <c r="M152" s="42" t="n">
        <f aca="false">BOM_COEF!W39*DEMANDA!K12</f>
        <v>71680.2</v>
      </c>
      <c r="N152" s="42" t="n">
        <f aca="false">BOM_COEF!X39*DEMANDA!L12</f>
        <v>101340.6</v>
      </c>
      <c r="O152" s="42" t="n">
        <f aca="false">BOM_COEF!Y39*DEMANDA!M12</f>
        <v>131001</v>
      </c>
      <c r="P152" s="42" t="n">
        <f aca="false">BOM_COEF!Z39*DEMANDA!N12</f>
        <v>146819.8</v>
      </c>
      <c r="Q152" s="42" t="n">
        <f aca="false">BOM_COEF!AA39*DEMANDA!O12</f>
        <v>170548</v>
      </c>
      <c r="R152" s="24" t="s">
        <v>2486</v>
      </c>
    </row>
    <row r="153" customFormat="false" ht="15" hidden="false" customHeight="false" outlineLevel="1" collapsed="false">
      <c r="A153" s="24" t="n">
        <v>1</v>
      </c>
      <c r="B153" s="24" t="s">
        <v>614</v>
      </c>
      <c r="C153" s="40" t="s">
        <v>2487</v>
      </c>
      <c r="D153" s="24" t="s">
        <v>82</v>
      </c>
      <c r="E153" s="24" t="s">
        <v>261</v>
      </c>
      <c r="F153" s="41" t="n">
        <f aca="false">INDEX((BOM_COEF!R80~BOM_COEF!S80~BOM_COEF!T80~BOM_COEF!U80~BOM_COEF!V80~BOM_COEF!W80~BOM_COEF!X80~BOM_COEF!Y80~BOM_COEF!Z80~BOM_COEF!AA80),1,1,INDEX(P_VAL,MATCH("AÑO_DIS",P_ID,0))-2025)</f>
        <v>1</v>
      </c>
      <c r="G153" s="24" t="s">
        <v>2281</v>
      </c>
      <c r="H153" s="42" t="n">
        <f aca="false">BOM_COEF!R80*DEMANDA!F13</f>
        <v>0</v>
      </c>
      <c r="I153" s="42" t="n">
        <f aca="false">BOM_COEF!S80*DEMANDA!G13</f>
        <v>0</v>
      </c>
      <c r="J153" s="42" t="n">
        <f aca="false">BOM_COEF!T80*DEMANDA!H13</f>
        <v>299.6</v>
      </c>
      <c r="K153" s="42" t="n">
        <f aca="false">BOM_COEF!U80*DEMANDA!I13</f>
        <v>1043.8</v>
      </c>
      <c r="L153" s="42" t="n">
        <f aca="false">BOM_COEF!V80*DEMANDA!J13</f>
        <v>1933</v>
      </c>
      <c r="M153" s="42" t="n">
        <f aca="false">BOM_COEF!W80*DEMANDA!K13</f>
        <v>2803</v>
      </c>
      <c r="N153" s="42" t="n">
        <f aca="false">BOM_COEF!X80*DEMANDA!L13</f>
        <v>3963</v>
      </c>
      <c r="O153" s="42" t="n">
        <f aca="false">BOM_COEF!Y80*DEMANDA!M13</f>
        <v>5123</v>
      </c>
      <c r="P153" s="42" t="n">
        <f aca="false">BOM_COEF!Z80*DEMANDA!N13</f>
        <v>5741.4</v>
      </c>
      <c r="Q153" s="42" t="n">
        <f aca="false">BOM_COEF!AA80*DEMANDA!O13</f>
        <v>6669</v>
      </c>
      <c r="R153" s="24" t="s">
        <v>2488</v>
      </c>
    </row>
    <row r="154" customFormat="false" ht="15" hidden="false" customHeight="false" outlineLevel="1" collapsed="false">
      <c r="A154" s="24" t="n">
        <v>1</v>
      </c>
      <c r="B154" s="24" t="s">
        <v>614</v>
      </c>
      <c r="C154" s="40" t="s">
        <v>2489</v>
      </c>
      <c r="D154" s="24" t="s">
        <v>82</v>
      </c>
      <c r="E154" s="24" t="s">
        <v>264</v>
      </c>
      <c r="F154" s="41" t="n">
        <f aca="false">INDEX((BOM_COEF!R121~BOM_COEF!S121~BOM_COEF!T121~BOM_COEF!U121~BOM_COEF!V121~BOM_COEF!W121~BOM_COEF!X121~BOM_COEF!Y121~BOM_COEF!Z121~BOM_COEF!AA121),1,1,INDEX(P_VAL,MATCH("AÑO_DIS",P_ID,0))-2025)</f>
        <v>1</v>
      </c>
      <c r="G154" s="24" t="s">
        <v>2281</v>
      </c>
      <c r="H154" s="42" t="n">
        <f aca="false">BOM_COEF!R121*DEMANDA!F14</f>
        <v>0</v>
      </c>
      <c r="I154" s="42" t="n">
        <f aca="false">BOM_COEF!S121*DEMANDA!G14</f>
        <v>0</v>
      </c>
      <c r="J154" s="42" t="n">
        <f aca="false">BOM_COEF!T121*DEMANDA!H14</f>
        <v>1478.8</v>
      </c>
      <c r="K154" s="42" t="n">
        <f aca="false">BOM_COEF!U121*DEMANDA!I14</f>
        <v>5152</v>
      </c>
      <c r="L154" s="42" t="n">
        <f aca="false">BOM_COEF!V121*DEMANDA!J14</f>
        <v>9540.8</v>
      </c>
      <c r="M154" s="42" t="n">
        <f aca="false">BOM_COEF!W121*DEMANDA!K14</f>
        <v>13834.2</v>
      </c>
      <c r="N154" s="42" t="n">
        <f aca="false">BOM_COEF!X121*DEMANDA!L14</f>
        <v>19558.6</v>
      </c>
      <c r="O154" s="42" t="n">
        <f aca="false">BOM_COEF!Y121*DEMANDA!M14</f>
        <v>25283</v>
      </c>
      <c r="P154" s="42" t="n">
        <f aca="false">BOM_COEF!Z121*DEMANDA!N14</f>
        <v>28335.8</v>
      </c>
      <c r="Q154" s="42" t="n">
        <f aca="false">BOM_COEF!AA121*DEMANDA!O14</f>
        <v>32915</v>
      </c>
      <c r="R154" s="24" t="s">
        <v>2490</v>
      </c>
    </row>
    <row r="155" customFormat="false" ht="15" hidden="false" customHeight="false" outlineLevel="1" collapsed="false">
      <c r="A155" s="24" t="n">
        <v>1</v>
      </c>
      <c r="B155" s="24" t="s">
        <v>614</v>
      </c>
      <c r="C155" s="40" t="s">
        <v>2491</v>
      </c>
      <c r="D155" s="24" t="s">
        <v>82</v>
      </c>
      <c r="E155" s="24" t="s">
        <v>267</v>
      </c>
      <c r="F155" s="41" t="n">
        <f aca="false">INDEX((BOM_COEF!R162~BOM_COEF!S162~BOM_COEF!T162~BOM_COEF!U162~BOM_COEF!V162~BOM_COEF!W162~BOM_COEF!X162~BOM_COEF!Y162~BOM_COEF!Z162~BOM_COEF!AA162),1,1,INDEX(P_VAL,MATCH("AÑO_DIS",P_ID,0))-2025)</f>
        <v>1</v>
      </c>
      <c r="G155" s="24" t="s">
        <v>2281</v>
      </c>
      <c r="H155" s="42" t="n">
        <f aca="false">BOM_COEF!R162*DEMANDA!F15</f>
        <v>0</v>
      </c>
      <c r="I155" s="42" t="n">
        <f aca="false">BOM_COEF!S162*DEMANDA!G15</f>
        <v>0</v>
      </c>
      <c r="J155" s="42" t="n">
        <f aca="false">BOM_COEF!T162*DEMANDA!H15</f>
        <v>90.4</v>
      </c>
      <c r="K155" s="42" t="n">
        <f aca="false">BOM_COEF!U162*DEMANDA!I15</f>
        <v>315</v>
      </c>
      <c r="L155" s="42" t="n">
        <f aca="false">BOM_COEF!V162*DEMANDA!J15</f>
        <v>583.4</v>
      </c>
      <c r="M155" s="42" t="n">
        <f aca="false">BOM_COEF!W162*DEMANDA!K15</f>
        <v>845.8</v>
      </c>
      <c r="N155" s="42" t="n">
        <f aca="false">BOM_COEF!X162*DEMANDA!L15</f>
        <v>1195.4</v>
      </c>
      <c r="O155" s="42" t="n">
        <f aca="false">BOM_COEF!Y162*DEMANDA!M15</f>
        <v>1545</v>
      </c>
      <c r="P155" s="42" t="n">
        <f aca="false">BOM_COEF!Z162*DEMANDA!N15</f>
        <v>1731.4</v>
      </c>
      <c r="Q155" s="42" t="n">
        <f aca="false">BOM_COEF!AA162*DEMANDA!O15</f>
        <v>2011</v>
      </c>
      <c r="R155" s="24" t="s">
        <v>2492</v>
      </c>
    </row>
    <row r="156" customFormat="false" ht="15" hidden="false" customHeight="false" outlineLevel="0" collapsed="false">
      <c r="A156" s="38" t="n">
        <v>0</v>
      </c>
      <c r="B156" s="38" t="s">
        <v>1632</v>
      </c>
      <c r="C156" s="38" t="s">
        <v>2203</v>
      </c>
      <c r="D156" s="38" t="s">
        <v>82</v>
      </c>
      <c r="E156" s="38"/>
      <c r="F156" s="38"/>
      <c r="G156" s="38"/>
      <c r="H156" s="39" t="n">
        <f aca="false">SUM(H157:H160)</f>
        <v>0</v>
      </c>
      <c r="I156" s="39" t="n">
        <f aca="false">SUM(I157:I160)</f>
        <v>0</v>
      </c>
      <c r="J156" s="39" t="n">
        <f aca="false">SUM(J157:J160)</f>
        <v>9531.2</v>
      </c>
      <c r="K156" s="39" t="n">
        <f aca="false">SUM(K157:K160)</f>
        <v>33205.6</v>
      </c>
      <c r="L156" s="39" t="n">
        <f aca="false">SUM(L157:L160)</f>
        <v>61492</v>
      </c>
      <c r="M156" s="39" t="n">
        <f aca="false">SUM(M157:M160)</f>
        <v>89163.2</v>
      </c>
      <c r="N156" s="39" t="n">
        <f aca="false">SUM(N157:N160)</f>
        <v>126057.6</v>
      </c>
      <c r="O156" s="39" t="n">
        <f aca="false">SUM(O157:O160)</f>
        <v>162952</v>
      </c>
      <c r="P156" s="39" t="n">
        <f aca="false">SUM(P157:P160)</f>
        <v>182628.4</v>
      </c>
      <c r="Q156" s="39" t="n">
        <f aca="false">SUM(Q157:Q160)</f>
        <v>212143</v>
      </c>
      <c r="R156" s="38"/>
    </row>
    <row r="157" customFormat="false" ht="15" hidden="false" customHeight="false" outlineLevel="1" collapsed="false">
      <c r="A157" s="24" t="n">
        <v>1</v>
      </c>
      <c r="B157" s="24" t="s">
        <v>1632</v>
      </c>
      <c r="C157" s="40" t="s">
        <v>2493</v>
      </c>
      <c r="D157" s="24" t="s">
        <v>82</v>
      </c>
      <c r="E157" s="24" t="s">
        <v>258</v>
      </c>
      <c r="F157" s="41" t="n">
        <f aca="false">PROCESO!$I$16</f>
        <v>1</v>
      </c>
      <c r="G157" s="24" t="s">
        <v>2281</v>
      </c>
      <c r="H157" s="42" t="n">
        <f aca="false">PROCESO!$I$16*DEMANDA!F12</f>
        <v>0</v>
      </c>
      <c r="I157" s="42" t="n">
        <f aca="false">PROCESO!$I$16*DEMANDA!G12</f>
        <v>0</v>
      </c>
      <c r="J157" s="42" t="n">
        <f aca="false">PROCESO!$I$16*DEMANDA!H12</f>
        <v>7662.4</v>
      </c>
      <c r="K157" s="42" t="n">
        <f aca="false">PROCESO!$I$16*DEMANDA!I12</f>
        <v>26694.8</v>
      </c>
      <c r="L157" s="42" t="n">
        <f aca="false">PROCESO!$I$16*DEMANDA!J12</f>
        <v>49434.8</v>
      </c>
      <c r="M157" s="42" t="n">
        <f aca="false">PROCESO!$I$16*DEMANDA!K12</f>
        <v>71680.2</v>
      </c>
      <c r="N157" s="42" t="n">
        <f aca="false">PROCESO!$I$16*DEMANDA!L12</f>
        <v>101340.6</v>
      </c>
      <c r="O157" s="42" t="n">
        <f aca="false">PROCESO!$I$16*DEMANDA!M12</f>
        <v>131001</v>
      </c>
      <c r="P157" s="42" t="n">
        <f aca="false">PROCESO!$I$16*DEMANDA!N12</f>
        <v>146819.8</v>
      </c>
      <c r="Q157" s="42" t="n">
        <f aca="false">PROCESO!$I$16*DEMANDA!O12</f>
        <v>170548</v>
      </c>
      <c r="R157" s="24" t="s">
        <v>2494</v>
      </c>
    </row>
    <row r="158" customFormat="false" ht="15" hidden="false" customHeight="false" outlineLevel="1" collapsed="false">
      <c r="A158" s="24" t="n">
        <v>1</v>
      </c>
      <c r="B158" s="24" t="s">
        <v>1632</v>
      </c>
      <c r="C158" s="40" t="s">
        <v>2495</v>
      </c>
      <c r="D158" s="24" t="s">
        <v>82</v>
      </c>
      <c r="E158" s="24" t="s">
        <v>261</v>
      </c>
      <c r="F158" s="41" t="n">
        <f aca="false">PROCESO!$I$29</f>
        <v>1</v>
      </c>
      <c r="G158" s="24" t="s">
        <v>2281</v>
      </c>
      <c r="H158" s="42" t="n">
        <f aca="false">PROCESO!$I$29*DEMANDA!F13</f>
        <v>0</v>
      </c>
      <c r="I158" s="42" t="n">
        <f aca="false">PROCESO!$I$29*DEMANDA!G13</f>
        <v>0</v>
      </c>
      <c r="J158" s="42" t="n">
        <f aca="false">PROCESO!$I$29*DEMANDA!H13</f>
        <v>299.6</v>
      </c>
      <c r="K158" s="42" t="n">
        <f aca="false">PROCESO!$I$29*DEMANDA!I13</f>
        <v>1043.8</v>
      </c>
      <c r="L158" s="42" t="n">
        <f aca="false">PROCESO!$I$29*DEMANDA!J13</f>
        <v>1933</v>
      </c>
      <c r="M158" s="42" t="n">
        <f aca="false">PROCESO!$I$29*DEMANDA!K13</f>
        <v>2803</v>
      </c>
      <c r="N158" s="42" t="n">
        <f aca="false">PROCESO!$I$29*DEMANDA!L13</f>
        <v>3963</v>
      </c>
      <c r="O158" s="42" t="n">
        <f aca="false">PROCESO!$I$29*DEMANDA!M13</f>
        <v>5123</v>
      </c>
      <c r="P158" s="42" t="n">
        <f aca="false">PROCESO!$I$29*DEMANDA!N13</f>
        <v>5741.4</v>
      </c>
      <c r="Q158" s="42" t="n">
        <f aca="false">PROCESO!$I$29*DEMANDA!O13</f>
        <v>6669</v>
      </c>
      <c r="R158" s="24" t="s">
        <v>2496</v>
      </c>
    </row>
    <row r="159" customFormat="false" ht="15" hidden="false" customHeight="false" outlineLevel="1" collapsed="false">
      <c r="A159" s="24" t="n">
        <v>1</v>
      </c>
      <c r="B159" s="24" t="s">
        <v>1632</v>
      </c>
      <c r="C159" s="40" t="s">
        <v>2497</v>
      </c>
      <c r="D159" s="24" t="s">
        <v>82</v>
      </c>
      <c r="E159" s="24" t="s">
        <v>264</v>
      </c>
      <c r="F159" s="41" t="n">
        <f aca="false">PROCESO!$I$42</f>
        <v>1</v>
      </c>
      <c r="G159" s="24" t="s">
        <v>2281</v>
      </c>
      <c r="H159" s="42" t="n">
        <f aca="false">PROCESO!$I$42*DEMANDA!F14</f>
        <v>0</v>
      </c>
      <c r="I159" s="42" t="n">
        <f aca="false">PROCESO!$I$42*DEMANDA!G14</f>
        <v>0</v>
      </c>
      <c r="J159" s="42" t="n">
        <f aca="false">PROCESO!$I$42*DEMANDA!H14</f>
        <v>1478.8</v>
      </c>
      <c r="K159" s="42" t="n">
        <f aca="false">PROCESO!$I$42*DEMANDA!I14</f>
        <v>5152</v>
      </c>
      <c r="L159" s="42" t="n">
        <f aca="false">PROCESO!$I$42*DEMANDA!J14</f>
        <v>9540.8</v>
      </c>
      <c r="M159" s="42" t="n">
        <f aca="false">PROCESO!$I$42*DEMANDA!K14</f>
        <v>13834.2</v>
      </c>
      <c r="N159" s="42" t="n">
        <f aca="false">PROCESO!$I$42*DEMANDA!L14</f>
        <v>19558.6</v>
      </c>
      <c r="O159" s="42" t="n">
        <f aca="false">PROCESO!$I$42*DEMANDA!M14</f>
        <v>25283</v>
      </c>
      <c r="P159" s="42" t="n">
        <f aca="false">PROCESO!$I$42*DEMANDA!N14</f>
        <v>28335.8</v>
      </c>
      <c r="Q159" s="42" t="n">
        <f aca="false">PROCESO!$I$42*DEMANDA!O14</f>
        <v>32915</v>
      </c>
      <c r="R159" s="24" t="s">
        <v>2498</v>
      </c>
    </row>
    <row r="160" customFormat="false" ht="15" hidden="false" customHeight="false" outlineLevel="1" collapsed="false">
      <c r="A160" s="24" t="n">
        <v>1</v>
      </c>
      <c r="B160" s="24" t="s">
        <v>1632</v>
      </c>
      <c r="C160" s="40" t="s">
        <v>2499</v>
      </c>
      <c r="D160" s="24" t="s">
        <v>82</v>
      </c>
      <c r="E160" s="24" t="s">
        <v>267</v>
      </c>
      <c r="F160" s="41" t="n">
        <f aca="false">PROCESO!$I$55</f>
        <v>1</v>
      </c>
      <c r="G160" s="24" t="s">
        <v>2281</v>
      </c>
      <c r="H160" s="42" t="n">
        <f aca="false">PROCESO!$I$55*DEMANDA!F15</f>
        <v>0</v>
      </c>
      <c r="I160" s="42" t="n">
        <f aca="false">PROCESO!$I$55*DEMANDA!G15</f>
        <v>0</v>
      </c>
      <c r="J160" s="42" t="n">
        <f aca="false">PROCESO!$I$55*DEMANDA!H15</f>
        <v>90.4</v>
      </c>
      <c r="K160" s="42" t="n">
        <f aca="false">PROCESO!$I$55*DEMANDA!I15</f>
        <v>315</v>
      </c>
      <c r="L160" s="42" t="n">
        <f aca="false">PROCESO!$I$55*DEMANDA!J15</f>
        <v>583.4</v>
      </c>
      <c r="M160" s="42" t="n">
        <f aca="false">PROCESO!$I$55*DEMANDA!K15</f>
        <v>845.8</v>
      </c>
      <c r="N160" s="42" t="n">
        <f aca="false">PROCESO!$I$55*DEMANDA!L15</f>
        <v>1195.4</v>
      </c>
      <c r="O160" s="42" t="n">
        <f aca="false">PROCESO!$I$55*DEMANDA!M15</f>
        <v>1545</v>
      </c>
      <c r="P160" s="42" t="n">
        <f aca="false">PROCESO!$I$55*DEMANDA!N15</f>
        <v>1731.4</v>
      </c>
      <c r="Q160" s="42" t="n">
        <f aca="false">PROCESO!$I$55*DEMANDA!O15</f>
        <v>2011</v>
      </c>
      <c r="R160" s="24" t="s">
        <v>2500</v>
      </c>
    </row>
    <row r="161" customFormat="false" ht="15" hidden="false" customHeight="false" outlineLevel="0" collapsed="false">
      <c r="A161" s="38" t="n">
        <v>0</v>
      </c>
      <c r="B161" s="38" t="s">
        <v>1807</v>
      </c>
      <c r="C161" s="38" t="s">
        <v>2222</v>
      </c>
      <c r="D161" s="38" t="s">
        <v>82</v>
      </c>
      <c r="E161" s="38"/>
      <c r="F161" s="38"/>
      <c r="G161" s="38"/>
      <c r="H161" s="39" t="n">
        <f aca="false">SUM(H162:H163)</f>
        <v>4178.736543</v>
      </c>
      <c r="I161" s="39" t="n">
        <f aca="false">SUM(I162:I163)</f>
        <v>5997.303977</v>
      </c>
      <c r="J161" s="39" t="n">
        <f aca="false">SUM(J162:J163)</f>
        <v>14514.147758</v>
      </c>
      <c r="K161" s="39" t="n">
        <f aca="false">SUM(K162:K163)</f>
        <v>35161.935549</v>
      </c>
      <c r="L161" s="39" t="n">
        <f aca="false">SUM(L162:L163)</f>
        <v>62115.43271</v>
      </c>
      <c r="M161" s="39" t="n">
        <f aca="false">SUM(M162:M163)</f>
        <v>87300.45307</v>
      </c>
      <c r="N161" s="39" t="n">
        <f aca="false">SUM(N162:N163)</f>
        <v>121673.15326</v>
      </c>
      <c r="O161" s="39" t="n">
        <f aca="false">SUM(O162:O163)</f>
        <v>156133.07848</v>
      </c>
      <c r="P161" s="39" t="n">
        <f aca="false">SUM(P162:P163)</f>
        <v>175393.13614</v>
      </c>
      <c r="Q161" s="39" t="n">
        <f aca="false">SUM(Q162:Q163)</f>
        <v>202620.63913</v>
      </c>
      <c r="R161" s="38"/>
    </row>
    <row r="162" customFormat="false" ht="15" hidden="false" customHeight="false" outlineLevel="1" collapsed="false">
      <c r="A162" s="24" t="n">
        <v>1</v>
      </c>
      <c r="B162" s="24" t="s">
        <v>1807</v>
      </c>
      <c r="C162" s="40" t="s">
        <v>2501</v>
      </c>
      <c r="D162" s="24" t="s">
        <v>82</v>
      </c>
      <c r="E162" s="24" t="s">
        <v>230</v>
      </c>
      <c r="F162" s="41" t="n">
        <f aca="false">PROCESO!$I$11</f>
        <v>1</v>
      </c>
      <c r="G162" s="24" t="s">
        <v>2281</v>
      </c>
      <c r="H162" s="42" t="n">
        <f aca="false">PROCESO!$I$11*DEMANDA!F4</f>
        <v>4178.736543</v>
      </c>
      <c r="I162" s="42" t="n">
        <f aca="false">PROCESO!$I$11*DEMANDA!G4</f>
        <v>5997.303977</v>
      </c>
      <c r="J162" s="42" t="n">
        <f aca="false">PROCESO!$I$11*DEMANDA!H4</f>
        <v>6851.747758</v>
      </c>
      <c r="K162" s="42" t="n">
        <f aca="false">PROCESO!$I$11*DEMANDA!I4</f>
        <v>8467.135549</v>
      </c>
      <c r="L162" s="42" t="n">
        <f aca="false">PROCESO!$I$11*DEMANDA!J4</f>
        <v>12680.63271</v>
      </c>
      <c r="M162" s="42" t="n">
        <f aca="false">PROCESO!$I$11*DEMANDA!K4</f>
        <v>15620.25307</v>
      </c>
      <c r="N162" s="42" t="n">
        <f aca="false">PROCESO!$I$11*DEMANDA!L4</f>
        <v>20332.55326</v>
      </c>
      <c r="O162" s="42" t="n">
        <f aca="false">PROCESO!$I$11*DEMANDA!M4</f>
        <v>25132.07848</v>
      </c>
      <c r="P162" s="42" t="n">
        <f aca="false">PROCESO!$I$11*DEMANDA!N4</f>
        <v>28573.33614</v>
      </c>
      <c r="Q162" s="42" t="n">
        <f aca="false">PROCESO!$I$11*DEMANDA!O4</f>
        <v>32072.63913</v>
      </c>
      <c r="R162" s="24" t="s">
        <v>2502</v>
      </c>
    </row>
    <row r="163" customFormat="false" ht="15" hidden="false" customHeight="false" outlineLevel="1" collapsed="false">
      <c r="A163" s="24" t="n">
        <v>1</v>
      </c>
      <c r="B163" s="24" t="s">
        <v>1807</v>
      </c>
      <c r="C163" s="40" t="s">
        <v>2503</v>
      </c>
      <c r="D163" s="24" t="s">
        <v>82</v>
      </c>
      <c r="E163" s="24" t="s">
        <v>258</v>
      </c>
      <c r="F163" s="41" t="n">
        <f aca="false">PROCESO!$I$11</f>
        <v>1</v>
      </c>
      <c r="G163" s="24" t="s">
        <v>2281</v>
      </c>
      <c r="H163" s="42" t="n">
        <f aca="false">PROCESO!$I$11*DEMANDA!F12</f>
        <v>0</v>
      </c>
      <c r="I163" s="42" t="n">
        <f aca="false">PROCESO!$I$11*DEMANDA!G12</f>
        <v>0</v>
      </c>
      <c r="J163" s="42" t="n">
        <f aca="false">PROCESO!$I$11*DEMANDA!H12</f>
        <v>7662.4</v>
      </c>
      <c r="K163" s="42" t="n">
        <f aca="false">PROCESO!$I$11*DEMANDA!I12</f>
        <v>26694.8</v>
      </c>
      <c r="L163" s="42" t="n">
        <f aca="false">PROCESO!$I$11*DEMANDA!J12</f>
        <v>49434.8</v>
      </c>
      <c r="M163" s="42" t="n">
        <f aca="false">PROCESO!$I$11*DEMANDA!K12</f>
        <v>71680.2</v>
      </c>
      <c r="N163" s="42" t="n">
        <f aca="false">PROCESO!$I$11*DEMANDA!L12</f>
        <v>101340.6</v>
      </c>
      <c r="O163" s="42" t="n">
        <f aca="false">PROCESO!$I$11*DEMANDA!M12</f>
        <v>131001</v>
      </c>
      <c r="P163" s="42" t="n">
        <f aca="false">PROCESO!$I$11*DEMANDA!N12</f>
        <v>146819.8</v>
      </c>
      <c r="Q163" s="42" t="n">
        <f aca="false">PROCESO!$I$11*DEMANDA!O12</f>
        <v>170548</v>
      </c>
      <c r="R163" s="24" t="s">
        <v>2502</v>
      </c>
    </row>
    <row r="164" customFormat="false" ht="15" hidden="false" customHeight="false" outlineLevel="0" collapsed="false">
      <c r="A164" s="38" t="n">
        <v>0</v>
      </c>
      <c r="B164" s="38" t="s">
        <v>1826</v>
      </c>
      <c r="C164" s="38" t="s">
        <v>2227</v>
      </c>
      <c r="D164" s="38" t="s">
        <v>82</v>
      </c>
      <c r="E164" s="38"/>
      <c r="F164" s="38"/>
      <c r="G164" s="38"/>
      <c r="H164" s="39" t="n">
        <f aca="false">SUM(H165:H166)</f>
        <v>295.0303572</v>
      </c>
      <c r="I164" s="39" t="n">
        <f aca="false">SUM(I165:I166)</f>
        <v>709.7274503</v>
      </c>
      <c r="J164" s="39" t="n">
        <f aca="false">SUM(J165:J166)</f>
        <v>1286.4680576</v>
      </c>
      <c r="K164" s="39" t="n">
        <f aca="false">SUM(K165:K166)</f>
        <v>2544.438174</v>
      </c>
      <c r="L164" s="39" t="n">
        <f aca="false">SUM(L165:L166)</f>
        <v>4245.627726</v>
      </c>
      <c r="M164" s="39" t="n">
        <f aca="false">SUM(M165:M166)</f>
        <v>6055.869887</v>
      </c>
      <c r="N164" s="39" t="n">
        <f aca="false">SUM(N165:N166)</f>
        <v>8065.315524</v>
      </c>
      <c r="O164" s="39" t="n">
        <f aca="false">SUM(O165:O166)</f>
        <v>10227.306587</v>
      </c>
      <c r="P164" s="39" t="n">
        <f aca="false">SUM(P165:P166)</f>
        <v>11936.586243</v>
      </c>
      <c r="Q164" s="39" t="n">
        <f aca="false">SUM(Q165:Q166)</f>
        <v>14093.858444</v>
      </c>
      <c r="R164" s="38"/>
    </row>
    <row r="165" customFormat="false" ht="15" hidden="false" customHeight="false" outlineLevel="1" collapsed="false">
      <c r="A165" s="24" t="n">
        <v>1</v>
      </c>
      <c r="B165" s="24" t="s">
        <v>1826</v>
      </c>
      <c r="C165" s="40" t="s">
        <v>2504</v>
      </c>
      <c r="D165" s="24" t="s">
        <v>82</v>
      </c>
      <c r="E165" s="24" t="s">
        <v>234</v>
      </c>
      <c r="F165" s="41" t="n">
        <f aca="false">PROCESO!$I$24</f>
        <v>1</v>
      </c>
      <c r="G165" s="24" t="s">
        <v>2281</v>
      </c>
      <c r="H165" s="42" t="n">
        <f aca="false">PROCESO!$I$24*DEMANDA!F5</f>
        <v>295.0303572</v>
      </c>
      <c r="I165" s="42" t="n">
        <f aca="false">PROCESO!$I$24*DEMANDA!G5</f>
        <v>709.7274503</v>
      </c>
      <c r="J165" s="42" t="n">
        <f aca="false">PROCESO!$I$24*DEMANDA!H5</f>
        <v>986.8680576</v>
      </c>
      <c r="K165" s="42" t="n">
        <f aca="false">PROCESO!$I$24*DEMANDA!I5</f>
        <v>1500.638174</v>
      </c>
      <c r="L165" s="42" t="n">
        <f aca="false">PROCESO!$I$24*DEMANDA!J5</f>
        <v>2312.627726</v>
      </c>
      <c r="M165" s="42" t="n">
        <f aca="false">PROCESO!$I$24*DEMANDA!K5</f>
        <v>3252.869887</v>
      </c>
      <c r="N165" s="42" t="n">
        <f aca="false">PROCESO!$I$24*DEMANDA!L5</f>
        <v>4102.315524</v>
      </c>
      <c r="O165" s="42" t="n">
        <f aca="false">PROCESO!$I$24*DEMANDA!M5</f>
        <v>5104.306587</v>
      </c>
      <c r="P165" s="42" t="n">
        <f aca="false">PROCESO!$I$24*DEMANDA!N5</f>
        <v>6195.186243</v>
      </c>
      <c r="Q165" s="42" t="n">
        <f aca="false">PROCESO!$I$24*DEMANDA!O5</f>
        <v>7424.858444</v>
      </c>
      <c r="R165" s="24" t="s">
        <v>2505</v>
      </c>
    </row>
    <row r="166" customFormat="false" ht="15" hidden="false" customHeight="false" outlineLevel="1" collapsed="false">
      <c r="A166" s="24" t="n">
        <v>1</v>
      </c>
      <c r="B166" s="24" t="s">
        <v>1826</v>
      </c>
      <c r="C166" s="40" t="s">
        <v>2506</v>
      </c>
      <c r="D166" s="24" t="s">
        <v>82</v>
      </c>
      <c r="E166" s="24" t="s">
        <v>261</v>
      </c>
      <c r="F166" s="41" t="n">
        <f aca="false">PROCESO!$I$24</f>
        <v>1</v>
      </c>
      <c r="G166" s="24" t="s">
        <v>2281</v>
      </c>
      <c r="H166" s="42" t="n">
        <f aca="false">PROCESO!$I$24*DEMANDA!F13</f>
        <v>0</v>
      </c>
      <c r="I166" s="42" t="n">
        <f aca="false">PROCESO!$I$24*DEMANDA!G13</f>
        <v>0</v>
      </c>
      <c r="J166" s="42" t="n">
        <f aca="false">PROCESO!$I$24*DEMANDA!H13</f>
        <v>299.6</v>
      </c>
      <c r="K166" s="42" t="n">
        <f aca="false">PROCESO!$I$24*DEMANDA!I13</f>
        <v>1043.8</v>
      </c>
      <c r="L166" s="42" t="n">
        <f aca="false">PROCESO!$I$24*DEMANDA!J13</f>
        <v>1933</v>
      </c>
      <c r="M166" s="42" t="n">
        <f aca="false">PROCESO!$I$24*DEMANDA!K13</f>
        <v>2803</v>
      </c>
      <c r="N166" s="42" t="n">
        <f aca="false">PROCESO!$I$24*DEMANDA!L13</f>
        <v>3963</v>
      </c>
      <c r="O166" s="42" t="n">
        <f aca="false">PROCESO!$I$24*DEMANDA!M13</f>
        <v>5123</v>
      </c>
      <c r="P166" s="42" t="n">
        <f aca="false">PROCESO!$I$24*DEMANDA!N13</f>
        <v>5741.4</v>
      </c>
      <c r="Q166" s="42" t="n">
        <f aca="false">PROCESO!$I$24*DEMANDA!O13</f>
        <v>6669</v>
      </c>
      <c r="R166" s="24" t="s">
        <v>2505</v>
      </c>
    </row>
    <row r="167" customFormat="false" ht="15" hidden="false" customHeight="false" outlineLevel="0" collapsed="false">
      <c r="A167" s="38" t="n">
        <v>0</v>
      </c>
      <c r="B167" s="38" t="s">
        <v>1830</v>
      </c>
      <c r="C167" s="38" t="s">
        <v>2228</v>
      </c>
      <c r="D167" s="38" t="s">
        <v>82</v>
      </c>
      <c r="E167" s="38"/>
      <c r="F167" s="38"/>
      <c r="G167" s="38"/>
      <c r="H167" s="39" t="n">
        <f aca="false">SUM(H168:H169)</f>
        <v>2709.773025</v>
      </c>
      <c r="I167" s="39" t="n">
        <f aca="false">SUM(I168:I169)</f>
        <v>5424.978881</v>
      </c>
      <c r="J167" s="39" t="n">
        <f aca="false">SUM(J168:J169)</f>
        <v>8603.337591</v>
      </c>
      <c r="K167" s="39" t="n">
        <f aca="false">SUM(K168:K169)</f>
        <v>15429.115313</v>
      </c>
      <c r="L167" s="39" t="n">
        <f aca="false">SUM(L168:L169)</f>
        <v>23880.10694</v>
      </c>
      <c r="M167" s="39" t="n">
        <f aca="false">SUM(M168:M169)</f>
        <v>32389.16411</v>
      </c>
      <c r="N167" s="39" t="n">
        <f aca="false">SUM(N168:N169)</f>
        <v>42017.35984</v>
      </c>
      <c r="O167" s="39" t="n">
        <f aca="false">SUM(O168:O169)</f>
        <v>51143.18637</v>
      </c>
      <c r="P167" s="39" t="n">
        <f aca="false">SUM(P168:P169)</f>
        <v>56843.52455</v>
      </c>
      <c r="Q167" s="39" t="n">
        <f aca="false">SUM(Q168:Q169)</f>
        <v>65233.77872</v>
      </c>
      <c r="R167" s="38"/>
    </row>
    <row r="168" customFormat="false" ht="15" hidden="false" customHeight="false" outlineLevel="1" collapsed="false">
      <c r="A168" s="24" t="n">
        <v>1</v>
      </c>
      <c r="B168" s="24" t="s">
        <v>1830</v>
      </c>
      <c r="C168" s="40" t="s">
        <v>2507</v>
      </c>
      <c r="D168" s="24" t="s">
        <v>82</v>
      </c>
      <c r="E168" s="24" t="s">
        <v>238</v>
      </c>
      <c r="F168" s="41" t="n">
        <f aca="false">PROCESO!$I$37</f>
        <v>1</v>
      </c>
      <c r="G168" s="24" t="s">
        <v>2281</v>
      </c>
      <c r="H168" s="42" t="n">
        <f aca="false">PROCESO!$I$37*DEMANDA!F6</f>
        <v>2709.773025</v>
      </c>
      <c r="I168" s="42" t="n">
        <f aca="false">PROCESO!$I$37*DEMANDA!G6</f>
        <v>5424.978881</v>
      </c>
      <c r="J168" s="42" t="n">
        <f aca="false">PROCESO!$I$37*DEMANDA!H6</f>
        <v>7124.537591</v>
      </c>
      <c r="K168" s="42" t="n">
        <f aca="false">PROCESO!$I$37*DEMANDA!I6</f>
        <v>10277.115313</v>
      </c>
      <c r="L168" s="42" t="n">
        <f aca="false">PROCESO!$I$37*DEMANDA!J6</f>
        <v>14339.30694</v>
      </c>
      <c r="M168" s="42" t="n">
        <f aca="false">PROCESO!$I$37*DEMANDA!K6</f>
        <v>18554.96411</v>
      </c>
      <c r="N168" s="42" t="n">
        <f aca="false">PROCESO!$I$37*DEMANDA!L6</f>
        <v>22458.75984</v>
      </c>
      <c r="O168" s="42" t="n">
        <f aca="false">PROCESO!$I$37*DEMANDA!M6</f>
        <v>25860.18637</v>
      </c>
      <c r="P168" s="42" t="n">
        <f aca="false">PROCESO!$I$37*DEMANDA!N6</f>
        <v>28507.72455</v>
      </c>
      <c r="Q168" s="42" t="n">
        <f aca="false">PROCESO!$I$37*DEMANDA!O6</f>
        <v>32318.77872</v>
      </c>
      <c r="R168" s="24" t="s">
        <v>2508</v>
      </c>
    </row>
    <row r="169" customFormat="false" ht="15" hidden="false" customHeight="false" outlineLevel="1" collapsed="false">
      <c r="A169" s="24" t="n">
        <v>1</v>
      </c>
      <c r="B169" s="24" t="s">
        <v>1830</v>
      </c>
      <c r="C169" s="40" t="s">
        <v>2509</v>
      </c>
      <c r="D169" s="24" t="s">
        <v>82</v>
      </c>
      <c r="E169" s="24" t="s">
        <v>264</v>
      </c>
      <c r="F169" s="41" t="n">
        <f aca="false">PROCESO!$I$37</f>
        <v>1</v>
      </c>
      <c r="G169" s="24" t="s">
        <v>2281</v>
      </c>
      <c r="H169" s="42" t="n">
        <f aca="false">PROCESO!$I$37*DEMANDA!F14</f>
        <v>0</v>
      </c>
      <c r="I169" s="42" t="n">
        <f aca="false">PROCESO!$I$37*DEMANDA!G14</f>
        <v>0</v>
      </c>
      <c r="J169" s="42" t="n">
        <f aca="false">PROCESO!$I$37*DEMANDA!H14</f>
        <v>1478.8</v>
      </c>
      <c r="K169" s="42" t="n">
        <f aca="false">PROCESO!$I$37*DEMANDA!I14</f>
        <v>5152</v>
      </c>
      <c r="L169" s="42" t="n">
        <f aca="false">PROCESO!$I$37*DEMANDA!J14</f>
        <v>9540.8</v>
      </c>
      <c r="M169" s="42" t="n">
        <f aca="false">PROCESO!$I$37*DEMANDA!K14</f>
        <v>13834.2</v>
      </c>
      <c r="N169" s="42" t="n">
        <f aca="false">PROCESO!$I$37*DEMANDA!L14</f>
        <v>19558.6</v>
      </c>
      <c r="O169" s="42" t="n">
        <f aca="false">PROCESO!$I$37*DEMANDA!M14</f>
        <v>25283</v>
      </c>
      <c r="P169" s="42" t="n">
        <f aca="false">PROCESO!$I$37*DEMANDA!N14</f>
        <v>28335.8</v>
      </c>
      <c r="Q169" s="42" t="n">
        <f aca="false">PROCESO!$I$37*DEMANDA!O14</f>
        <v>32915</v>
      </c>
      <c r="R169" s="24" t="s">
        <v>2508</v>
      </c>
    </row>
    <row r="170" customFormat="false" ht="15" hidden="false" customHeight="false" outlineLevel="0" collapsed="false">
      <c r="A170" s="38" t="n">
        <v>0</v>
      </c>
      <c r="B170" s="38" t="s">
        <v>1834</v>
      </c>
      <c r="C170" s="38" t="s">
        <v>2229</v>
      </c>
      <c r="D170" s="38" t="s">
        <v>82</v>
      </c>
      <c r="E170" s="38"/>
      <c r="F170" s="38"/>
      <c r="G170" s="38"/>
      <c r="H170" s="39" t="n">
        <f aca="false">SUM(H171:H172)</f>
        <v>91.83318153</v>
      </c>
      <c r="I170" s="39" t="n">
        <f aca="false">SUM(I171:I172)</f>
        <v>177.2472967</v>
      </c>
      <c r="J170" s="39" t="n">
        <f aca="false">SUM(J171:J172)</f>
        <v>343.3787798</v>
      </c>
      <c r="K170" s="39" t="n">
        <f aca="false">SUM(K171:K172)</f>
        <v>673.0204941</v>
      </c>
      <c r="L170" s="39" t="n">
        <f aca="false">SUM(L171:L172)</f>
        <v>1186.1181519</v>
      </c>
      <c r="M170" s="39" t="n">
        <f aca="false">SUM(M171:M172)</f>
        <v>1718.405032</v>
      </c>
      <c r="N170" s="39" t="n">
        <f aca="false">SUM(N171:N172)</f>
        <v>2322.560545</v>
      </c>
      <c r="O170" s="39" t="n">
        <f aca="false">SUM(O171:O172)</f>
        <v>2940.444812</v>
      </c>
      <c r="P170" s="39" t="n">
        <f aca="false">SUM(P171:P172)</f>
        <v>3343.750054</v>
      </c>
      <c r="Q170" s="39" t="n">
        <f aca="false">SUM(Q171:Q172)</f>
        <v>3851.848079</v>
      </c>
      <c r="R170" s="38"/>
    </row>
    <row r="171" customFormat="false" ht="15" hidden="false" customHeight="false" outlineLevel="1" collapsed="false">
      <c r="A171" s="24" t="n">
        <v>1</v>
      </c>
      <c r="B171" s="24" t="s">
        <v>1834</v>
      </c>
      <c r="C171" s="40" t="s">
        <v>2510</v>
      </c>
      <c r="D171" s="24" t="s">
        <v>82</v>
      </c>
      <c r="E171" s="24" t="s">
        <v>241</v>
      </c>
      <c r="F171" s="41" t="n">
        <f aca="false">PROCESO!$I$50</f>
        <v>1</v>
      </c>
      <c r="G171" s="24" t="s">
        <v>2281</v>
      </c>
      <c r="H171" s="42" t="n">
        <f aca="false">PROCESO!$I$50*DEMANDA!F7</f>
        <v>91.83318153</v>
      </c>
      <c r="I171" s="42" t="n">
        <f aca="false">PROCESO!$I$50*DEMANDA!G7</f>
        <v>177.2472967</v>
      </c>
      <c r="J171" s="42" t="n">
        <f aca="false">PROCESO!$I$50*DEMANDA!H7</f>
        <v>252.9787798</v>
      </c>
      <c r="K171" s="42" t="n">
        <f aca="false">PROCESO!$I$50*DEMANDA!I7</f>
        <v>358.0204941</v>
      </c>
      <c r="L171" s="42" t="n">
        <f aca="false">PROCESO!$I$50*DEMANDA!J7</f>
        <v>602.7181519</v>
      </c>
      <c r="M171" s="42" t="n">
        <f aca="false">PROCESO!$I$50*DEMANDA!K7</f>
        <v>872.605032</v>
      </c>
      <c r="N171" s="42" t="n">
        <f aca="false">PROCESO!$I$50*DEMANDA!L7</f>
        <v>1127.160545</v>
      </c>
      <c r="O171" s="42" t="n">
        <f aca="false">PROCESO!$I$50*DEMANDA!M7</f>
        <v>1395.444812</v>
      </c>
      <c r="P171" s="42" t="n">
        <f aca="false">PROCESO!$I$50*DEMANDA!N7</f>
        <v>1612.350054</v>
      </c>
      <c r="Q171" s="42" t="n">
        <f aca="false">PROCESO!$I$50*DEMANDA!O7</f>
        <v>1840.848079</v>
      </c>
      <c r="R171" s="24" t="s">
        <v>2511</v>
      </c>
    </row>
    <row r="172" customFormat="false" ht="15" hidden="false" customHeight="false" outlineLevel="1" collapsed="false">
      <c r="A172" s="24" t="n">
        <v>1</v>
      </c>
      <c r="B172" s="24" t="s">
        <v>1834</v>
      </c>
      <c r="C172" s="40" t="s">
        <v>2512</v>
      </c>
      <c r="D172" s="24" t="s">
        <v>82</v>
      </c>
      <c r="E172" s="24" t="s">
        <v>267</v>
      </c>
      <c r="F172" s="41" t="n">
        <f aca="false">PROCESO!$I$50</f>
        <v>1</v>
      </c>
      <c r="G172" s="24" t="s">
        <v>2281</v>
      </c>
      <c r="H172" s="42" t="n">
        <f aca="false">PROCESO!$I$50*DEMANDA!F15</f>
        <v>0</v>
      </c>
      <c r="I172" s="42" t="n">
        <f aca="false">PROCESO!$I$50*DEMANDA!G15</f>
        <v>0</v>
      </c>
      <c r="J172" s="42" t="n">
        <f aca="false">PROCESO!$I$50*DEMANDA!H15</f>
        <v>90.4</v>
      </c>
      <c r="K172" s="42" t="n">
        <f aca="false">PROCESO!$I$50*DEMANDA!I15</f>
        <v>315</v>
      </c>
      <c r="L172" s="42" t="n">
        <f aca="false">PROCESO!$I$50*DEMANDA!J15</f>
        <v>583.4</v>
      </c>
      <c r="M172" s="42" t="n">
        <f aca="false">PROCESO!$I$50*DEMANDA!K15</f>
        <v>845.8</v>
      </c>
      <c r="N172" s="42" t="n">
        <f aca="false">PROCESO!$I$50*DEMANDA!L15</f>
        <v>1195.4</v>
      </c>
      <c r="O172" s="42" t="n">
        <f aca="false">PROCESO!$I$50*DEMANDA!M15</f>
        <v>1545</v>
      </c>
      <c r="P172" s="42" t="n">
        <f aca="false">PROCESO!$I$50*DEMANDA!N15</f>
        <v>1731.4</v>
      </c>
      <c r="Q172" s="42" t="n">
        <f aca="false">PROCESO!$I$50*DEMANDA!O15</f>
        <v>2011</v>
      </c>
      <c r="R172" s="24" t="s">
        <v>2511</v>
      </c>
    </row>
    <row r="173" customFormat="false" ht="15" hidden="false" customHeight="false" outlineLevel="0" collapsed="false">
      <c r="A173" s="38" t="n">
        <v>0</v>
      </c>
      <c r="B173" s="38" t="s">
        <v>1810</v>
      </c>
      <c r="C173" s="38" t="s">
        <v>2230</v>
      </c>
      <c r="D173" s="38" t="s">
        <v>82</v>
      </c>
      <c r="E173" s="38"/>
      <c r="F173" s="38"/>
      <c r="G173" s="38"/>
      <c r="H173" s="39" t="n">
        <f aca="false">SUM(H174:H181)</f>
        <v>7275.37310673</v>
      </c>
      <c r="I173" s="39" t="n">
        <f aca="false">SUM(I174:I181)</f>
        <v>12309.257605</v>
      </c>
      <c r="J173" s="39" t="n">
        <f aca="false">SUM(J174:J181)</f>
        <v>24747.3321864</v>
      </c>
      <c r="K173" s="39" t="n">
        <f aca="false">SUM(K174:K181)</f>
        <v>53808.5095301</v>
      </c>
      <c r="L173" s="39" t="n">
        <f aca="false">SUM(L174:L181)</f>
        <v>91427.2855279</v>
      </c>
      <c r="M173" s="39" t="n">
        <f aca="false">SUM(M174:M181)</f>
        <v>127463.892099</v>
      </c>
      <c r="N173" s="39" t="n">
        <f aca="false">SUM(N174:N181)</f>
        <v>174078.389169</v>
      </c>
      <c r="O173" s="39" t="n">
        <f aca="false">SUM(O174:O181)</f>
        <v>220444.016249</v>
      </c>
      <c r="P173" s="39" t="n">
        <f aca="false">SUM(P174:P181)</f>
        <v>247516.996987</v>
      </c>
      <c r="Q173" s="39" t="n">
        <f aca="false">SUM(Q174:Q181)</f>
        <v>285800.124373</v>
      </c>
      <c r="R173" s="38"/>
    </row>
    <row r="174" customFormat="false" ht="15" hidden="false" customHeight="false" outlineLevel="1" collapsed="false">
      <c r="A174" s="24" t="n">
        <v>1</v>
      </c>
      <c r="B174" s="24" t="s">
        <v>1810</v>
      </c>
      <c r="C174" s="40" t="s">
        <v>2501</v>
      </c>
      <c r="D174" s="24" t="s">
        <v>82</v>
      </c>
      <c r="E174" s="24" t="s">
        <v>230</v>
      </c>
      <c r="F174" s="41" t="n">
        <f aca="false">PROCESO!$I$12</f>
        <v>1</v>
      </c>
      <c r="G174" s="24" t="s">
        <v>2281</v>
      </c>
      <c r="H174" s="42" t="n">
        <f aca="false">PROCESO!$I$12*DEMANDA!F4</f>
        <v>4178.736543</v>
      </c>
      <c r="I174" s="42" t="n">
        <f aca="false">PROCESO!$I$12*DEMANDA!G4</f>
        <v>5997.303977</v>
      </c>
      <c r="J174" s="42" t="n">
        <f aca="false">PROCESO!$I$12*DEMANDA!H4</f>
        <v>6851.747758</v>
      </c>
      <c r="K174" s="42" t="n">
        <f aca="false">PROCESO!$I$12*DEMANDA!I4</f>
        <v>8467.135549</v>
      </c>
      <c r="L174" s="42" t="n">
        <f aca="false">PROCESO!$I$12*DEMANDA!J4</f>
        <v>12680.63271</v>
      </c>
      <c r="M174" s="42" t="n">
        <f aca="false">PROCESO!$I$12*DEMANDA!K4</f>
        <v>15620.25307</v>
      </c>
      <c r="N174" s="42" t="n">
        <f aca="false">PROCESO!$I$12*DEMANDA!L4</f>
        <v>20332.55326</v>
      </c>
      <c r="O174" s="42" t="n">
        <f aca="false">PROCESO!$I$12*DEMANDA!M4</f>
        <v>25132.07848</v>
      </c>
      <c r="P174" s="42" t="n">
        <f aca="false">PROCESO!$I$12*DEMANDA!N4</f>
        <v>28573.33614</v>
      </c>
      <c r="Q174" s="42" t="n">
        <f aca="false">PROCESO!$I$12*DEMANDA!O4</f>
        <v>32072.63913</v>
      </c>
      <c r="R174" s="24" t="s">
        <v>2513</v>
      </c>
    </row>
    <row r="175" customFormat="false" ht="15" hidden="false" customHeight="false" outlineLevel="1" collapsed="false">
      <c r="A175" s="24" t="n">
        <v>1</v>
      </c>
      <c r="B175" s="24" t="s">
        <v>1810</v>
      </c>
      <c r="C175" s="40" t="s">
        <v>2503</v>
      </c>
      <c r="D175" s="24" t="s">
        <v>82</v>
      </c>
      <c r="E175" s="24" t="s">
        <v>258</v>
      </c>
      <c r="F175" s="41" t="n">
        <f aca="false">PROCESO!$I$12</f>
        <v>1</v>
      </c>
      <c r="G175" s="24" t="s">
        <v>2281</v>
      </c>
      <c r="H175" s="42" t="n">
        <f aca="false">PROCESO!$I$12*DEMANDA!F12</f>
        <v>0</v>
      </c>
      <c r="I175" s="42" t="n">
        <f aca="false">PROCESO!$I$12*DEMANDA!G12</f>
        <v>0</v>
      </c>
      <c r="J175" s="42" t="n">
        <f aca="false">PROCESO!$I$12*DEMANDA!H12</f>
        <v>7662.4</v>
      </c>
      <c r="K175" s="42" t="n">
        <f aca="false">PROCESO!$I$12*DEMANDA!I12</f>
        <v>26694.8</v>
      </c>
      <c r="L175" s="42" t="n">
        <f aca="false">PROCESO!$I$12*DEMANDA!J12</f>
        <v>49434.8</v>
      </c>
      <c r="M175" s="42" t="n">
        <f aca="false">PROCESO!$I$12*DEMANDA!K12</f>
        <v>71680.2</v>
      </c>
      <c r="N175" s="42" t="n">
        <f aca="false">PROCESO!$I$12*DEMANDA!L12</f>
        <v>101340.6</v>
      </c>
      <c r="O175" s="42" t="n">
        <f aca="false">PROCESO!$I$12*DEMANDA!M12</f>
        <v>131001</v>
      </c>
      <c r="P175" s="42" t="n">
        <f aca="false">PROCESO!$I$12*DEMANDA!N12</f>
        <v>146819.8</v>
      </c>
      <c r="Q175" s="42" t="n">
        <f aca="false">PROCESO!$I$12*DEMANDA!O12</f>
        <v>170548</v>
      </c>
      <c r="R175" s="24" t="s">
        <v>2513</v>
      </c>
    </row>
    <row r="176" customFormat="false" ht="15" hidden="false" customHeight="false" outlineLevel="1" collapsed="false">
      <c r="A176" s="24" t="n">
        <v>1</v>
      </c>
      <c r="B176" s="24" t="s">
        <v>1810</v>
      </c>
      <c r="C176" s="40" t="s">
        <v>2504</v>
      </c>
      <c r="D176" s="24" t="s">
        <v>82</v>
      </c>
      <c r="E176" s="24" t="s">
        <v>234</v>
      </c>
      <c r="F176" s="41" t="n">
        <f aca="false">PROCESO!$I$25</f>
        <v>1</v>
      </c>
      <c r="G176" s="24" t="s">
        <v>2281</v>
      </c>
      <c r="H176" s="42" t="n">
        <f aca="false">PROCESO!$I$25*DEMANDA!F5</f>
        <v>295.0303572</v>
      </c>
      <c r="I176" s="42" t="n">
        <f aca="false">PROCESO!$I$25*DEMANDA!G5</f>
        <v>709.7274503</v>
      </c>
      <c r="J176" s="42" t="n">
        <f aca="false">PROCESO!$I$25*DEMANDA!H5</f>
        <v>986.8680576</v>
      </c>
      <c r="K176" s="42" t="n">
        <f aca="false">PROCESO!$I$25*DEMANDA!I5</f>
        <v>1500.638174</v>
      </c>
      <c r="L176" s="42" t="n">
        <f aca="false">PROCESO!$I$25*DEMANDA!J5</f>
        <v>2312.627726</v>
      </c>
      <c r="M176" s="42" t="n">
        <f aca="false">PROCESO!$I$25*DEMANDA!K5</f>
        <v>3252.869887</v>
      </c>
      <c r="N176" s="42" t="n">
        <f aca="false">PROCESO!$I$25*DEMANDA!L5</f>
        <v>4102.315524</v>
      </c>
      <c r="O176" s="42" t="n">
        <f aca="false">PROCESO!$I$25*DEMANDA!M5</f>
        <v>5104.306587</v>
      </c>
      <c r="P176" s="42" t="n">
        <f aca="false">PROCESO!$I$25*DEMANDA!N5</f>
        <v>6195.186243</v>
      </c>
      <c r="Q176" s="42" t="n">
        <f aca="false">PROCESO!$I$25*DEMANDA!O5</f>
        <v>7424.858444</v>
      </c>
      <c r="R176" s="24" t="s">
        <v>2514</v>
      </c>
    </row>
    <row r="177" customFormat="false" ht="15" hidden="false" customHeight="false" outlineLevel="1" collapsed="false">
      <c r="A177" s="24" t="n">
        <v>1</v>
      </c>
      <c r="B177" s="24" t="s">
        <v>1810</v>
      </c>
      <c r="C177" s="40" t="s">
        <v>2506</v>
      </c>
      <c r="D177" s="24" t="s">
        <v>82</v>
      </c>
      <c r="E177" s="24" t="s">
        <v>261</v>
      </c>
      <c r="F177" s="41" t="n">
        <f aca="false">PROCESO!$I$25</f>
        <v>1</v>
      </c>
      <c r="G177" s="24" t="s">
        <v>2281</v>
      </c>
      <c r="H177" s="42" t="n">
        <f aca="false">PROCESO!$I$25*DEMANDA!F13</f>
        <v>0</v>
      </c>
      <c r="I177" s="42" t="n">
        <f aca="false">PROCESO!$I$25*DEMANDA!G13</f>
        <v>0</v>
      </c>
      <c r="J177" s="42" t="n">
        <f aca="false">PROCESO!$I$25*DEMANDA!H13</f>
        <v>299.6</v>
      </c>
      <c r="K177" s="42" t="n">
        <f aca="false">PROCESO!$I$25*DEMANDA!I13</f>
        <v>1043.8</v>
      </c>
      <c r="L177" s="42" t="n">
        <f aca="false">PROCESO!$I$25*DEMANDA!J13</f>
        <v>1933</v>
      </c>
      <c r="M177" s="42" t="n">
        <f aca="false">PROCESO!$I$25*DEMANDA!K13</f>
        <v>2803</v>
      </c>
      <c r="N177" s="42" t="n">
        <f aca="false">PROCESO!$I$25*DEMANDA!L13</f>
        <v>3963</v>
      </c>
      <c r="O177" s="42" t="n">
        <f aca="false">PROCESO!$I$25*DEMANDA!M13</f>
        <v>5123</v>
      </c>
      <c r="P177" s="42" t="n">
        <f aca="false">PROCESO!$I$25*DEMANDA!N13</f>
        <v>5741.4</v>
      </c>
      <c r="Q177" s="42" t="n">
        <f aca="false">PROCESO!$I$25*DEMANDA!O13</f>
        <v>6669</v>
      </c>
      <c r="R177" s="24" t="s">
        <v>2514</v>
      </c>
    </row>
    <row r="178" customFormat="false" ht="15" hidden="false" customHeight="false" outlineLevel="1" collapsed="false">
      <c r="A178" s="24" t="n">
        <v>1</v>
      </c>
      <c r="B178" s="24" t="s">
        <v>1810</v>
      </c>
      <c r="C178" s="40" t="s">
        <v>2507</v>
      </c>
      <c r="D178" s="24" t="s">
        <v>82</v>
      </c>
      <c r="E178" s="24" t="s">
        <v>238</v>
      </c>
      <c r="F178" s="41" t="n">
        <f aca="false">PROCESO!$I$38</f>
        <v>1</v>
      </c>
      <c r="G178" s="24" t="s">
        <v>2281</v>
      </c>
      <c r="H178" s="42" t="n">
        <f aca="false">PROCESO!$I$38*DEMANDA!F6</f>
        <v>2709.773025</v>
      </c>
      <c r="I178" s="42" t="n">
        <f aca="false">PROCESO!$I$38*DEMANDA!G6</f>
        <v>5424.978881</v>
      </c>
      <c r="J178" s="42" t="n">
        <f aca="false">PROCESO!$I$38*DEMANDA!H6</f>
        <v>7124.537591</v>
      </c>
      <c r="K178" s="42" t="n">
        <f aca="false">PROCESO!$I$38*DEMANDA!I6</f>
        <v>10277.115313</v>
      </c>
      <c r="L178" s="42" t="n">
        <f aca="false">PROCESO!$I$38*DEMANDA!J6</f>
        <v>14339.30694</v>
      </c>
      <c r="M178" s="42" t="n">
        <f aca="false">PROCESO!$I$38*DEMANDA!K6</f>
        <v>18554.96411</v>
      </c>
      <c r="N178" s="42" t="n">
        <f aca="false">PROCESO!$I$38*DEMANDA!L6</f>
        <v>22458.75984</v>
      </c>
      <c r="O178" s="42" t="n">
        <f aca="false">PROCESO!$I$38*DEMANDA!M6</f>
        <v>25860.18637</v>
      </c>
      <c r="P178" s="42" t="n">
        <f aca="false">PROCESO!$I$38*DEMANDA!N6</f>
        <v>28507.72455</v>
      </c>
      <c r="Q178" s="42" t="n">
        <f aca="false">PROCESO!$I$38*DEMANDA!O6</f>
        <v>32318.77872</v>
      </c>
      <c r="R178" s="24" t="s">
        <v>2515</v>
      </c>
    </row>
    <row r="179" customFormat="false" ht="15" hidden="false" customHeight="false" outlineLevel="1" collapsed="false">
      <c r="A179" s="24" t="n">
        <v>1</v>
      </c>
      <c r="B179" s="24" t="s">
        <v>1810</v>
      </c>
      <c r="C179" s="40" t="s">
        <v>2509</v>
      </c>
      <c r="D179" s="24" t="s">
        <v>82</v>
      </c>
      <c r="E179" s="24" t="s">
        <v>264</v>
      </c>
      <c r="F179" s="41" t="n">
        <f aca="false">PROCESO!$I$38</f>
        <v>1</v>
      </c>
      <c r="G179" s="24" t="s">
        <v>2281</v>
      </c>
      <c r="H179" s="42" t="n">
        <f aca="false">PROCESO!$I$38*DEMANDA!F14</f>
        <v>0</v>
      </c>
      <c r="I179" s="42" t="n">
        <f aca="false">PROCESO!$I$38*DEMANDA!G14</f>
        <v>0</v>
      </c>
      <c r="J179" s="42" t="n">
        <f aca="false">PROCESO!$I$38*DEMANDA!H14</f>
        <v>1478.8</v>
      </c>
      <c r="K179" s="42" t="n">
        <f aca="false">PROCESO!$I$38*DEMANDA!I14</f>
        <v>5152</v>
      </c>
      <c r="L179" s="42" t="n">
        <f aca="false">PROCESO!$I$38*DEMANDA!J14</f>
        <v>9540.8</v>
      </c>
      <c r="M179" s="42" t="n">
        <f aca="false">PROCESO!$I$38*DEMANDA!K14</f>
        <v>13834.2</v>
      </c>
      <c r="N179" s="42" t="n">
        <f aca="false">PROCESO!$I$38*DEMANDA!L14</f>
        <v>19558.6</v>
      </c>
      <c r="O179" s="42" t="n">
        <f aca="false">PROCESO!$I$38*DEMANDA!M14</f>
        <v>25283</v>
      </c>
      <c r="P179" s="42" t="n">
        <f aca="false">PROCESO!$I$38*DEMANDA!N14</f>
        <v>28335.8</v>
      </c>
      <c r="Q179" s="42" t="n">
        <f aca="false">PROCESO!$I$38*DEMANDA!O14</f>
        <v>32915</v>
      </c>
      <c r="R179" s="24" t="s">
        <v>2515</v>
      </c>
    </row>
    <row r="180" customFormat="false" ht="15" hidden="false" customHeight="false" outlineLevel="1" collapsed="false">
      <c r="A180" s="24" t="n">
        <v>1</v>
      </c>
      <c r="B180" s="24" t="s">
        <v>1810</v>
      </c>
      <c r="C180" s="40" t="s">
        <v>2510</v>
      </c>
      <c r="D180" s="24" t="s">
        <v>82</v>
      </c>
      <c r="E180" s="24" t="s">
        <v>241</v>
      </c>
      <c r="F180" s="41" t="n">
        <f aca="false">PROCESO!$I$51</f>
        <v>1</v>
      </c>
      <c r="G180" s="24" t="s">
        <v>2281</v>
      </c>
      <c r="H180" s="42" t="n">
        <f aca="false">PROCESO!$I$51*DEMANDA!F7</f>
        <v>91.83318153</v>
      </c>
      <c r="I180" s="42" t="n">
        <f aca="false">PROCESO!$I$51*DEMANDA!G7</f>
        <v>177.2472967</v>
      </c>
      <c r="J180" s="42" t="n">
        <f aca="false">PROCESO!$I$51*DEMANDA!H7</f>
        <v>252.9787798</v>
      </c>
      <c r="K180" s="42" t="n">
        <f aca="false">PROCESO!$I$51*DEMANDA!I7</f>
        <v>358.0204941</v>
      </c>
      <c r="L180" s="42" t="n">
        <f aca="false">PROCESO!$I$51*DEMANDA!J7</f>
        <v>602.7181519</v>
      </c>
      <c r="M180" s="42" t="n">
        <f aca="false">PROCESO!$I$51*DEMANDA!K7</f>
        <v>872.605032</v>
      </c>
      <c r="N180" s="42" t="n">
        <f aca="false">PROCESO!$I$51*DEMANDA!L7</f>
        <v>1127.160545</v>
      </c>
      <c r="O180" s="42" t="n">
        <f aca="false">PROCESO!$I$51*DEMANDA!M7</f>
        <v>1395.444812</v>
      </c>
      <c r="P180" s="42" t="n">
        <f aca="false">PROCESO!$I$51*DEMANDA!N7</f>
        <v>1612.350054</v>
      </c>
      <c r="Q180" s="42" t="n">
        <f aca="false">PROCESO!$I$51*DEMANDA!O7</f>
        <v>1840.848079</v>
      </c>
      <c r="R180" s="24" t="s">
        <v>2516</v>
      </c>
    </row>
    <row r="181" customFormat="false" ht="15" hidden="false" customHeight="false" outlineLevel="1" collapsed="false">
      <c r="A181" s="24" t="n">
        <v>1</v>
      </c>
      <c r="B181" s="24" t="s">
        <v>1810</v>
      </c>
      <c r="C181" s="40" t="s">
        <v>2512</v>
      </c>
      <c r="D181" s="24" t="s">
        <v>82</v>
      </c>
      <c r="E181" s="24" t="s">
        <v>267</v>
      </c>
      <c r="F181" s="41" t="n">
        <f aca="false">PROCESO!$I$51</f>
        <v>1</v>
      </c>
      <c r="G181" s="24" t="s">
        <v>2281</v>
      </c>
      <c r="H181" s="42" t="n">
        <f aca="false">PROCESO!$I$51*DEMANDA!F15</f>
        <v>0</v>
      </c>
      <c r="I181" s="42" t="n">
        <f aca="false">PROCESO!$I$51*DEMANDA!G15</f>
        <v>0</v>
      </c>
      <c r="J181" s="42" t="n">
        <f aca="false">PROCESO!$I$51*DEMANDA!H15</f>
        <v>90.4</v>
      </c>
      <c r="K181" s="42" t="n">
        <f aca="false">PROCESO!$I$51*DEMANDA!I15</f>
        <v>315</v>
      </c>
      <c r="L181" s="42" t="n">
        <f aca="false">PROCESO!$I$51*DEMANDA!J15</f>
        <v>583.4</v>
      </c>
      <c r="M181" s="42" t="n">
        <f aca="false">PROCESO!$I$51*DEMANDA!K15</f>
        <v>845.8</v>
      </c>
      <c r="N181" s="42" t="n">
        <f aca="false">PROCESO!$I$51*DEMANDA!L15</f>
        <v>1195.4</v>
      </c>
      <c r="O181" s="42" t="n">
        <f aca="false">PROCESO!$I$51*DEMANDA!M15</f>
        <v>1545</v>
      </c>
      <c r="P181" s="42" t="n">
        <f aca="false">PROCESO!$I$51*DEMANDA!N15</f>
        <v>1731.4</v>
      </c>
      <c r="Q181" s="42" t="n">
        <f aca="false">PROCESO!$I$51*DEMANDA!O15</f>
        <v>2011</v>
      </c>
      <c r="R181" s="24" t="s">
        <v>2516</v>
      </c>
    </row>
    <row r="182" customFormat="false" ht="15" hidden="false" customHeight="false" outlineLevel="0" collapsed="false">
      <c r="A182" s="38" t="n">
        <v>0</v>
      </c>
      <c r="B182" s="38" t="s">
        <v>1813</v>
      </c>
      <c r="C182" s="38" t="s">
        <v>2231</v>
      </c>
      <c r="D182" s="38" t="s">
        <v>82</v>
      </c>
      <c r="E182" s="38"/>
      <c r="F182" s="38"/>
      <c r="G182" s="38"/>
      <c r="H182" s="39" t="n">
        <f aca="false">SUM(H183:H190)</f>
        <v>44.6179089079256</v>
      </c>
      <c r="I182" s="39" t="n">
        <f aca="false">SUM(I183:I190)</f>
        <v>83.9518504540785</v>
      </c>
      <c r="J182" s="39" t="n">
        <f aca="false">SUM(J183:J190)</f>
        <v>148.165880332515</v>
      </c>
      <c r="K182" s="39" t="n">
        <f aca="false">SUM(K183:K190)</f>
        <v>291.401122544428</v>
      </c>
      <c r="L182" s="39" t="n">
        <f aca="false">SUM(L183:L190)</f>
        <v>475.698977643026</v>
      </c>
      <c r="M182" s="39" t="n">
        <f aca="false">SUM(M183:M190)</f>
        <v>657.353553631354</v>
      </c>
      <c r="N182" s="39" t="n">
        <f aca="false">SUM(N183:N190)</f>
        <v>877.4017530917</v>
      </c>
      <c r="O182" s="39" t="n">
        <f aca="false">SUM(O183:O190)</f>
        <v>1093.34279964172</v>
      </c>
      <c r="P182" s="39" t="n">
        <f aca="false">SUM(P183:P190)</f>
        <v>1225.14787325156</v>
      </c>
      <c r="Q182" s="39" t="n">
        <f aca="false">SUM(Q183:Q190)</f>
        <v>1412.06192529568</v>
      </c>
      <c r="R182" s="38"/>
    </row>
    <row r="183" customFormat="false" ht="15" hidden="false" customHeight="false" outlineLevel="1" collapsed="false">
      <c r="A183" s="24" t="n">
        <v>1</v>
      </c>
      <c r="B183" s="24" t="s">
        <v>1813</v>
      </c>
      <c r="C183" s="40" t="s">
        <v>2501</v>
      </c>
      <c r="D183" s="24" t="s">
        <v>82</v>
      </c>
      <c r="E183" s="24" t="s">
        <v>230</v>
      </c>
      <c r="F183" s="41" t="n">
        <f aca="false">PROCESO!$I$13</f>
        <v>0.0025</v>
      </c>
      <c r="G183" s="24" t="s">
        <v>2281</v>
      </c>
      <c r="H183" s="42" t="n">
        <f aca="false">PROCESO!$I$13*DEMANDA!F4</f>
        <v>10.4468413575</v>
      </c>
      <c r="I183" s="42" t="n">
        <f aca="false">PROCESO!$I$13*DEMANDA!G4</f>
        <v>14.9932599425</v>
      </c>
      <c r="J183" s="42" t="n">
        <f aca="false">PROCESO!$I$13*DEMANDA!H4</f>
        <v>17.129369395</v>
      </c>
      <c r="K183" s="42" t="n">
        <f aca="false">PROCESO!$I$13*DEMANDA!I4</f>
        <v>21.1678388725</v>
      </c>
      <c r="L183" s="42" t="n">
        <f aca="false">PROCESO!$I$13*DEMANDA!J4</f>
        <v>31.701581775</v>
      </c>
      <c r="M183" s="42" t="n">
        <f aca="false">PROCESO!$I$13*DEMANDA!K4</f>
        <v>39.050632675</v>
      </c>
      <c r="N183" s="42" t="n">
        <f aca="false">PROCESO!$I$13*DEMANDA!L4</f>
        <v>50.83138315</v>
      </c>
      <c r="O183" s="42" t="n">
        <f aca="false">PROCESO!$I$13*DEMANDA!M4</f>
        <v>62.8301962</v>
      </c>
      <c r="P183" s="42" t="n">
        <f aca="false">PROCESO!$I$13*DEMANDA!N4</f>
        <v>71.43334035</v>
      </c>
      <c r="Q183" s="42" t="n">
        <f aca="false">PROCESO!$I$13*DEMANDA!O4</f>
        <v>80.181597825</v>
      </c>
      <c r="R183" s="24" t="s">
        <v>2517</v>
      </c>
    </row>
    <row r="184" customFormat="false" ht="15" hidden="false" customHeight="false" outlineLevel="1" collapsed="false">
      <c r="A184" s="24" t="n">
        <v>1</v>
      </c>
      <c r="B184" s="24" t="s">
        <v>1813</v>
      </c>
      <c r="C184" s="40" t="s">
        <v>2503</v>
      </c>
      <c r="D184" s="24" t="s">
        <v>82</v>
      </c>
      <c r="E184" s="24" t="s">
        <v>258</v>
      </c>
      <c r="F184" s="41" t="n">
        <f aca="false">PROCESO!$I$13</f>
        <v>0.0025</v>
      </c>
      <c r="G184" s="24" t="s">
        <v>2281</v>
      </c>
      <c r="H184" s="42" t="n">
        <f aca="false">PROCESO!$I$13*DEMANDA!F12</f>
        <v>0</v>
      </c>
      <c r="I184" s="42" t="n">
        <f aca="false">PROCESO!$I$13*DEMANDA!G12</f>
        <v>0</v>
      </c>
      <c r="J184" s="42" t="n">
        <f aca="false">PROCESO!$I$13*DEMANDA!H12</f>
        <v>19.156</v>
      </c>
      <c r="K184" s="42" t="n">
        <f aca="false">PROCESO!$I$13*DEMANDA!I12</f>
        <v>66.737</v>
      </c>
      <c r="L184" s="42" t="n">
        <f aca="false">PROCESO!$I$13*DEMANDA!J12</f>
        <v>123.587</v>
      </c>
      <c r="M184" s="42" t="n">
        <f aca="false">PROCESO!$I$13*DEMANDA!K12</f>
        <v>179.2005</v>
      </c>
      <c r="N184" s="42" t="n">
        <f aca="false">PROCESO!$I$13*DEMANDA!L12</f>
        <v>253.3515</v>
      </c>
      <c r="O184" s="42" t="n">
        <f aca="false">PROCESO!$I$13*DEMANDA!M12</f>
        <v>327.5025</v>
      </c>
      <c r="P184" s="42" t="n">
        <f aca="false">PROCESO!$I$13*DEMANDA!N12</f>
        <v>367.0495</v>
      </c>
      <c r="Q184" s="42" t="n">
        <f aca="false">PROCESO!$I$13*DEMANDA!O12</f>
        <v>426.37</v>
      </c>
      <c r="R184" s="24" t="s">
        <v>2517</v>
      </c>
    </row>
    <row r="185" customFormat="false" ht="15" hidden="false" customHeight="false" outlineLevel="1" collapsed="false">
      <c r="A185" s="24" t="n">
        <v>1</v>
      </c>
      <c r="B185" s="24" t="s">
        <v>1813</v>
      </c>
      <c r="C185" s="40" t="s">
        <v>2504</v>
      </c>
      <c r="D185" s="24" t="s">
        <v>82</v>
      </c>
      <c r="E185" s="24" t="s">
        <v>234</v>
      </c>
      <c r="F185" s="41" t="n">
        <f aca="false">PROCESO!$I$26</f>
        <v>0.00598802395209581</v>
      </c>
      <c r="G185" s="24" t="s">
        <v>2281</v>
      </c>
      <c r="H185" s="42" t="n">
        <f aca="false">PROCESO!$I$26*DEMANDA!F5</f>
        <v>1.76664884550898</v>
      </c>
      <c r="I185" s="42" t="n">
        <f aca="false">PROCESO!$I$26*DEMANDA!G5</f>
        <v>4.24986497185629</v>
      </c>
      <c r="J185" s="42" t="n">
        <f aca="false">PROCESO!$I$26*DEMANDA!H5</f>
        <v>5.90938956646707</v>
      </c>
      <c r="K185" s="42" t="n">
        <f aca="false">PROCESO!$I$26*DEMANDA!I5</f>
        <v>8.98585732934132</v>
      </c>
      <c r="L185" s="42" t="n">
        <f aca="false">PROCESO!$I$26*DEMANDA!J5</f>
        <v>13.8480702155689</v>
      </c>
      <c r="M185" s="42" t="n">
        <f aca="false">PROCESO!$I$26*DEMANDA!K5</f>
        <v>19.4782627964072</v>
      </c>
      <c r="N185" s="42" t="n">
        <f aca="false">PROCESO!$I$26*DEMANDA!L5</f>
        <v>24.5647636167665</v>
      </c>
      <c r="O185" s="42" t="n">
        <f aca="false">PROCESO!$I$26*DEMANDA!M5</f>
        <v>30.5647101017964</v>
      </c>
      <c r="P185" s="42" t="n">
        <f aca="false">PROCESO!$I$26*DEMANDA!N5</f>
        <v>37.0969236107785</v>
      </c>
      <c r="Q185" s="42" t="n">
        <f aca="false">PROCESO!$I$26*DEMANDA!O5</f>
        <v>44.4602302035928</v>
      </c>
      <c r="R185" s="24" t="s">
        <v>2518</v>
      </c>
    </row>
    <row r="186" customFormat="false" ht="15" hidden="false" customHeight="false" outlineLevel="1" collapsed="false">
      <c r="A186" s="24" t="n">
        <v>1</v>
      </c>
      <c r="B186" s="24" t="s">
        <v>1813</v>
      </c>
      <c r="C186" s="40" t="s">
        <v>2506</v>
      </c>
      <c r="D186" s="24" t="s">
        <v>82</v>
      </c>
      <c r="E186" s="24" t="s">
        <v>261</v>
      </c>
      <c r="F186" s="41" t="n">
        <f aca="false">PROCESO!$I$26</f>
        <v>0.00598802395209581</v>
      </c>
      <c r="G186" s="24" t="s">
        <v>2281</v>
      </c>
      <c r="H186" s="42" t="n">
        <f aca="false">PROCESO!$I$26*DEMANDA!F13</f>
        <v>0</v>
      </c>
      <c r="I186" s="42" t="n">
        <f aca="false">PROCESO!$I$26*DEMANDA!G13</f>
        <v>0</v>
      </c>
      <c r="J186" s="42" t="n">
        <f aca="false">PROCESO!$I$26*DEMANDA!H13</f>
        <v>1.7940119760479</v>
      </c>
      <c r="K186" s="42" t="n">
        <f aca="false">PROCESO!$I$26*DEMANDA!I13</f>
        <v>6.25029940119761</v>
      </c>
      <c r="L186" s="42" t="n">
        <f aca="false">PROCESO!$I$26*DEMANDA!J13</f>
        <v>11.5748502994012</v>
      </c>
      <c r="M186" s="42" t="n">
        <f aca="false">PROCESO!$I$26*DEMANDA!K13</f>
        <v>16.7844311377246</v>
      </c>
      <c r="N186" s="42" t="n">
        <f aca="false">PROCESO!$I$26*DEMANDA!L13</f>
        <v>23.7305389221557</v>
      </c>
      <c r="O186" s="42" t="n">
        <f aca="false">PROCESO!$I$26*DEMANDA!M13</f>
        <v>30.6766467065868</v>
      </c>
      <c r="P186" s="42" t="n">
        <f aca="false">PROCESO!$I$26*DEMANDA!N13</f>
        <v>34.3796407185629</v>
      </c>
      <c r="Q186" s="42" t="n">
        <f aca="false">PROCESO!$I$26*DEMANDA!O13</f>
        <v>39.934131736527</v>
      </c>
      <c r="R186" s="24" t="s">
        <v>2518</v>
      </c>
    </row>
    <row r="187" customFormat="false" ht="15" hidden="false" customHeight="false" outlineLevel="1" collapsed="false">
      <c r="A187" s="24" t="n">
        <v>1</v>
      </c>
      <c r="B187" s="24" t="s">
        <v>1813</v>
      </c>
      <c r="C187" s="40" t="s">
        <v>2507</v>
      </c>
      <c r="D187" s="24" t="s">
        <v>82</v>
      </c>
      <c r="E187" s="24" t="s">
        <v>238</v>
      </c>
      <c r="F187" s="41" t="n">
        <f aca="false">PROCESO!$I$39</f>
        <v>0.0111111111111111</v>
      </c>
      <c r="G187" s="24" t="s">
        <v>2281</v>
      </c>
      <c r="H187" s="42" t="n">
        <f aca="false">PROCESO!$I$39*DEMANDA!F6</f>
        <v>30.1085891666667</v>
      </c>
      <c r="I187" s="42" t="n">
        <f aca="false">PROCESO!$I$39*DEMANDA!G6</f>
        <v>60.2775431222222</v>
      </c>
      <c r="J187" s="42" t="n">
        <f aca="false">PROCESO!$I$39*DEMANDA!H6</f>
        <v>79.1615287888889</v>
      </c>
      <c r="K187" s="42" t="n">
        <f aca="false">PROCESO!$I$39*DEMANDA!I6</f>
        <v>114.190170144444</v>
      </c>
      <c r="L187" s="42" t="n">
        <f aca="false">PROCESO!$I$39*DEMANDA!J6</f>
        <v>159.325632666667</v>
      </c>
      <c r="M187" s="42" t="n">
        <f aca="false">PROCESO!$I$39*DEMANDA!K6</f>
        <v>206.166267888889</v>
      </c>
      <c r="N187" s="42" t="n">
        <f aca="false">PROCESO!$I$39*DEMANDA!L6</f>
        <v>249.541776</v>
      </c>
      <c r="O187" s="42" t="n">
        <f aca="false">PROCESO!$I$39*DEMANDA!M6</f>
        <v>287.335404111111</v>
      </c>
      <c r="P187" s="42" t="n">
        <f aca="false">PROCESO!$I$39*DEMANDA!N6</f>
        <v>316.752495</v>
      </c>
      <c r="Q187" s="42" t="n">
        <f aca="false">PROCESO!$I$39*DEMANDA!O6</f>
        <v>359.097541333333</v>
      </c>
      <c r="R187" s="24" t="s">
        <v>2519</v>
      </c>
    </row>
    <row r="188" customFormat="false" ht="15" hidden="false" customHeight="false" outlineLevel="1" collapsed="false">
      <c r="A188" s="24" t="n">
        <v>1</v>
      </c>
      <c r="B188" s="24" t="s">
        <v>1813</v>
      </c>
      <c r="C188" s="40" t="s">
        <v>2509</v>
      </c>
      <c r="D188" s="24" t="s">
        <v>82</v>
      </c>
      <c r="E188" s="24" t="s">
        <v>264</v>
      </c>
      <c r="F188" s="41" t="n">
        <f aca="false">PROCESO!$I$39</f>
        <v>0.0111111111111111</v>
      </c>
      <c r="G188" s="24" t="s">
        <v>2281</v>
      </c>
      <c r="H188" s="42" t="n">
        <f aca="false">PROCESO!$I$39*DEMANDA!F14</f>
        <v>0</v>
      </c>
      <c r="I188" s="42" t="n">
        <f aca="false">PROCESO!$I$39*DEMANDA!G14</f>
        <v>0</v>
      </c>
      <c r="J188" s="42" t="n">
        <f aca="false">PROCESO!$I$39*DEMANDA!H14</f>
        <v>16.4311111111111</v>
      </c>
      <c r="K188" s="42" t="n">
        <f aca="false">PROCESO!$I$39*DEMANDA!I14</f>
        <v>57.2444444444445</v>
      </c>
      <c r="L188" s="42" t="n">
        <f aca="false">PROCESO!$I$39*DEMANDA!J14</f>
        <v>106.008888888889</v>
      </c>
      <c r="M188" s="42" t="n">
        <f aca="false">PROCESO!$I$39*DEMANDA!K14</f>
        <v>153.713333333333</v>
      </c>
      <c r="N188" s="42" t="n">
        <f aca="false">PROCESO!$I$39*DEMANDA!L14</f>
        <v>217.317777777778</v>
      </c>
      <c r="O188" s="42" t="n">
        <f aca="false">PROCESO!$I$39*DEMANDA!M14</f>
        <v>280.922222222222</v>
      </c>
      <c r="P188" s="42" t="n">
        <f aca="false">PROCESO!$I$39*DEMANDA!N14</f>
        <v>314.842222222222</v>
      </c>
      <c r="Q188" s="42" t="n">
        <f aca="false">PROCESO!$I$39*DEMANDA!O14</f>
        <v>365.722222222222</v>
      </c>
      <c r="R188" s="24" t="s">
        <v>2519</v>
      </c>
    </row>
    <row r="189" customFormat="false" ht="15" hidden="false" customHeight="false" outlineLevel="1" collapsed="false">
      <c r="A189" s="24" t="n">
        <v>1</v>
      </c>
      <c r="B189" s="24" t="s">
        <v>1813</v>
      </c>
      <c r="C189" s="40" t="s">
        <v>2510</v>
      </c>
      <c r="D189" s="24" t="s">
        <v>82</v>
      </c>
      <c r="E189" s="24" t="s">
        <v>241</v>
      </c>
      <c r="F189" s="41" t="n">
        <f aca="false">PROCESO!$I$52</f>
        <v>0.025</v>
      </c>
      <c r="G189" s="24" t="s">
        <v>2281</v>
      </c>
      <c r="H189" s="42" t="n">
        <f aca="false">PROCESO!$I$52*DEMANDA!F7</f>
        <v>2.29582953825</v>
      </c>
      <c r="I189" s="42" t="n">
        <f aca="false">PROCESO!$I$52*DEMANDA!G7</f>
        <v>4.4311824175</v>
      </c>
      <c r="J189" s="42" t="n">
        <f aca="false">PROCESO!$I$52*DEMANDA!H7</f>
        <v>6.324469495</v>
      </c>
      <c r="K189" s="42" t="n">
        <f aca="false">PROCESO!$I$52*DEMANDA!I7</f>
        <v>8.9505123525</v>
      </c>
      <c r="L189" s="42" t="n">
        <f aca="false">PROCESO!$I$52*DEMANDA!J7</f>
        <v>15.0679537975</v>
      </c>
      <c r="M189" s="42" t="n">
        <f aca="false">PROCESO!$I$52*DEMANDA!K7</f>
        <v>21.8151258</v>
      </c>
      <c r="N189" s="42" t="n">
        <f aca="false">PROCESO!$I$52*DEMANDA!L7</f>
        <v>28.179013625</v>
      </c>
      <c r="O189" s="42" t="n">
        <f aca="false">PROCESO!$I$52*DEMANDA!M7</f>
        <v>34.8861203</v>
      </c>
      <c r="P189" s="42" t="n">
        <f aca="false">PROCESO!$I$52*DEMANDA!N7</f>
        <v>40.30875135</v>
      </c>
      <c r="Q189" s="42" t="n">
        <f aca="false">PROCESO!$I$52*DEMANDA!O7</f>
        <v>46.021201975</v>
      </c>
      <c r="R189" s="24" t="s">
        <v>2520</v>
      </c>
    </row>
    <row r="190" customFormat="false" ht="15" hidden="false" customHeight="false" outlineLevel="1" collapsed="false">
      <c r="A190" s="24" t="n">
        <v>1</v>
      </c>
      <c r="B190" s="24" t="s">
        <v>1813</v>
      </c>
      <c r="C190" s="40" t="s">
        <v>2512</v>
      </c>
      <c r="D190" s="24" t="s">
        <v>82</v>
      </c>
      <c r="E190" s="24" t="s">
        <v>267</v>
      </c>
      <c r="F190" s="41" t="n">
        <f aca="false">PROCESO!$I$52</f>
        <v>0.025</v>
      </c>
      <c r="G190" s="24" t="s">
        <v>2281</v>
      </c>
      <c r="H190" s="42" t="n">
        <f aca="false">PROCESO!$I$52*DEMANDA!F15</f>
        <v>0</v>
      </c>
      <c r="I190" s="42" t="n">
        <f aca="false">PROCESO!$I$52*DEMANDA!G15</f>
        <v>0</v>
      </c>
      <c r="J190" s="42" t="n">
        <f aca="false">PROCESO!$I$52*DEMANDA!H15</f>
        <v>2.26</v>
      </c>
      <c r="K190" s="42" t="n">
        <f aca="false">PROCESO!$I$52*DEMANDA!I15</f>
        <v>7.875</v>
      </c>
      <c r="L190" s="42" t="n">
        <f aca="false">PROCESO!$I$52*DEMANDA!J15</f>
        <v>14.585</v>
      </c>
      <c r="M190" s="42" t="n">
        <f aca="false">PROCESO!$I$52*DEMANDA!K15</f>
        <v>21.145</v>
      </c>
      <c r="N190" s="42" t="n">
        <f aca="false">PROCESO!$I$52*DEMANDA!L15</f>
        <v>29.885</v>
      </c>
      <c r="O190" s="42" t="n">
        <f aca="false">PROCESO!$I$52*DEMANDA!M15</f>
        <v>38.625</v>
      </c>
      <c r="P190" s="42" t="n">
        <f aca="false">PROCESO!$I$52*DEMANDA!N15</f>
        <v>43.285</v>
      </c>
      <c r="Q190" s="42" t="n">
        <f aca="false">PROCESO!$I$52*DEMANDA!O15</f>
        <v>50.275</v>
      </c>
      <c r="R190" s="24" t="s">
        <v>2520</v>
      </c>
    </row>
    <row r="191" customFormat="false" ht="15" hidden="false" customHeight="false" outlineLevel="0" collapsed="false">
      <c r="A191" s="38" t="n">
        <v>0</v>
      </c>
      <c r="B191" s="38" t="s">
        <v>1816</v>
      </c>
      <c r="C191" s="38" t="s">
        <v>2234</v>
      </c>
      <c r="D191" s="38" t="s">
        <v>73</v>
      </c>
      <c r="E191" s="38"/>
      <c r="F191" s="38"/>
      <c r="G191" s="38"/>
      <c r="H191" s="39" t="n">
        <f aca="false">SUM(H192:H199)</f>
        <v>15.616268117774</v>
      </c>
      <c r="I191" s="39" t="n">
        <f aca="false">SUM(I192:I199)</f>
        <v>29.3831476589275</v>
      </c>
      <c r="J191" s="39" t="n">
        <f aca="false">SUM(J192:J199)</f>
        <v>51.8580581163802</v>
      </c>
      <c r="K191" s="39" t="n">
        <f aca="false">SUM(K192:K199)</f>
        <v>101.99039289055</v>
      </c>
      <c r="L191" s="39" t="n">
        <f aca="false">SUM(L192:L199)</f>
        <v>166.494642175059</v>
      </c>
      <c r="M191" s="39" t="n">
        <f aca="false">SUM(M192:M199)</f>
        <v>230.073743770974</v>
      </c>
      <c r="N191" s="39" t="n">
        <f aca="false">SUM(N192:N199)</f>
        <v>307.090613582095</v>
      </c>
      <c r="O191" s="39" t="n">
        <f aca="false">SUM(O192:O199)</f>
        <v>382.669979874601</v>
      </c>
      <c r="P191" s="39" t="n">
        <f aca="false">SUM(P192:P199)</f>
        <v>428.801755638047</v>
      </c>
      <c r="Q191" s="39" t="n">
        <f aca="false">SUM(Q192:Q199)</f>
        <v>494.221673853486</v>
      </c>
      <c r="R191" s="38"/>
    </row>
    <row r="192" customFormat="false" ht="15" hidden="false" customHeight="false" outlineLevel="1" collapsed="false">
      <c r="A192" s="24" t="n">
        <v>1</v>
      </c>
      <c r="B192" s="24" t="s">
        <v>1816</v>
      </c>
      <c r="C192" s="40" t="s">
        <v>2501</v>
      </c>
      <c r="D192" s="24" t="s">
        <v>73</v>
      </c>
      <c r="E192" s="24" t="s">
        <v>230</v>
      </c>
      <c r="F192" s="41" t="n">
        <f aca="false">PROCESO!$I$14</f>
        <v>0.000875</v>
      </c>
      <c r="G192" s="24" t="s">
        <v>2281</v>
      </c>
      <c r="H192" s="42" t="n">
        <f aca="false">PROCESO!$I$14*DEMANDA!F4</f>
        <v>3.656394475125</v>
      </c>
      <c r="I192" s="42" t="n">
        <f aca="false">PROCESO!$I$14*DEMANDA!G4</f>
        <v>5.247640979875</v>
      </c>
      <c r="J192" s="42" t="n">
        <f aca="false">PROCESO!$I$14*DEMANDA!H4</f>
        <v>5.99527928825</v>
      </c>
      <c r="K192" s="42" t="n">
        <f aca="false">PROCESO!$I$14*DEMANDA!I4</f>
        <v>7.408743605375</v>
      </c>
      <c r="L192" s="42" t="n">
        <f aca="false">PROCESO!$I$14*DEMANDA!J4</f>
        <v>11.09555362125</v>
      </c>
      <c r="M192" s="42" t="n">
        <f aca="false">PROCESO!$I$14*DEMANDA!K4</f>
        <v>13.66772143625</v>
      </c>
      <c r="N192" s="42" t="n">
        <f aca="false">PROCESO!$I$14*DEMANDA!L4</f>
        <v>17.7909841025</v>
      </c>
      <c r="O192" s="42" t="n">
        <f aca="false">PROCESO!$I$14*DEMANDA!M4</f>
        <v>21.99056867</v>
      </c>
      <c r="P192" s="42" t="n">
        <f aca="false">PROCESO!$I$14*DEMANDA!N4</f>
        <v>25.0016691225</v>
      </c>
      <c r="Q192" s="42" t="n">
        <f aca="false">PROCESO!$I$14*DEMANDA!O4</f>
        <v>28.06355923875</v>
      </c>
      <c r="R192" s="24" t="s">
        <v>2521</v>
      </c>
    </row>
    <row r="193" customFormat="false" ht="15" hidden="false" customHeight="false" outlineLevel="1" collapsed="false">
      <c r="A193" s="24" t="n">
        <v>1</v>
      </c>
      <c r="B193" s="24" t="s">
        <v>1816</v>
      </c>
      <c r="C193" s="40" t="s">
        <v>2503</v>
      </c>
      <c r="D193" s="24" t="s">
        <v>73</v>
      </c>
      <c r="E193" s="24" t="s">
        <v>258</v>
      </c>
      <c r="F193" s="41" t="n">
        <f aca="false">PROCESO!$I$14</f>
        <v>0.000875</v>
      </c>
      <c r="G193" s="24" t="s">
        <v>2281</v>
      </c>
      <c r="H193" s="42" t="n">
        <f aca="false">PROCESO!$I$14*DEMANDA!F12</f>
        <v>0</v>
      </c>
      <c r="I193" s="42" t="n">
        <f aca="false">PROCESO!$I$14*DEMANDA!G12</f>
        <v>0</v>
      </c>
      <c r="J193" s="42" t="n">
        <f aca="false">PROCESO!$I$14*DEMANDA!H12</f>
        <v>6.7046</v>
      </c>
      <c r="K193" s="42" t="n">
        <f aca="false">PROCESO!$I$14*DEMANDA!I12</f>
        <v>23.35795</v>
      </c>
      <c r="L193" s="42" t="n">
        <f aca="false">PROCESO!$I$14*DEMANDA!J12</f>
        <v>43.25545</v>
      </c>
      <c r="M193" s="42" t="n">
        <f aca="false">PROCESO!$I$14*DEMANDA!K12</f>
        <v>62.720175</v>
      </c>
      <c r="N193" s="42" t="n">
        <f aca="false">PROCESO!$I$14*DEMANDA!L12</f>
        <v>88.673025</v>
      </c>
      <c r="O193" s="42" t="n">
        <f aca="false">PROCESO!$I$14*DEMANDA!M12</f>
        <v>114.625875</v>
      </c>
      <c r="P193" s="42" t="n">
        <f aca="false">PROCESO!$I$14*DEMANDA!N12</f>
        <v>128.467325</v>
      </c>
      <c r="Q193" s="42" t="n">
        <f aca="false">PROCESO!$I$14*DEMANDA!O12</f>
        <v>149.2295</v>
      </c>
      <c r="R193" s="24" t="s">
        <v>2521</v>
      </c>
    </row>
    <row r="194" customFormat="false" ht="15" hidden="false" customHeight="false" outlineLevel="1" collapsed="false">
      <c r="A194" s="24" t="n">
        <v>1</v>
      </c>
      <c r="B194" s="24" t="s">
        <v>1816</v>
      </c>
      <c r="C194" s="40" t="s">
        <v>2504</v>
      </c>
      <c r="D194" s="24" t="s">
        <v>73</v>
      </c>
      <c r="E194" s="24" t="s">
        <v>234</v>
      </c>
      <c r="F194" s="41" t="n">
        <f aca="false">PROCESO!$I$27</f>
        <v>0.00209580838323353</v>
      </c>
      <c r="G194" s="24" t="s">
        <v>2281</v>
      </c>
      <c r="H194" s="42" t="n">
        <f aca="false">PROCESO!$I$27*DEMANDA!F5</f>
        <v>0.618327095928144</v>
      </c>
      <c r="I194" s="42" t="n">
        <f aca="false">PROCESO!$I$27*DEMANDA!G5</f>
        <v>1.4874527401497</v>
      </c>
      <c r="J194" s="42" t="n">
        <f aca="false">PROCESO!$I$27*DEMANDA!H5</f>
        <v>2.06828634826347</v>
      </c>
      <c r="K194" s="42" t="n">
        <f aca="false">PROCESO!$I$27*DEMANDA!I5</f>
        <v>3.14505006526946</v>
      </c>
      <c r="L194" s="42" t="n">
        <f aca="false">PROCESO!$I$27*DEMANDA!J5</f>
        <v>4.8468245754491</v>
      </c>
      <c r="M194" s="42" t="n">
        <f aca="false">PROCESO!$I$27*DEMANDA!K5</f>
        <v>6.81739197874251</v>
      </c>
      <c r="N194" s="42" t="n">
        <f aca="false">PROCESO!$I$27*DEMANDA!L5</f>
        <v>8.59766726586826</v>
      </c>
      <c r="O194" s="42" t="n">
        <f aca="false">PROCESO!$I$27*DEMANDA!M5</f>
        <v>10.6976485356287</v>
      </c>
      <c r="P194" s="42" t="n">
        <f aca="false">PROCESO!$I$27*DEMANDA!N5</f>
        <v>12.9839232637725</v>
      </c>
      <c r="Q194" s="42" t="n">
        <f aca="false">PROCESO!$I$27*DEMANDA!O5</f>
        <v>15.5610805712575</v>
      </c>
      <c r="R194" s="24" t="s">
        <v>2522</v>
      </c>
    </row>
    <row r="195" customFormat="false" ht="15" hidden="false" customHeight="false" outlineLevel="1" collapsed="false">
      <c r="A195" s="24" t="n">
        <v>1</v>
      </c>
      <c r="B195" s="24" t="s">
        <v>1816</v>
      </c>
      <c r="C195" s="40" t="s">
        <v>2506</v>
      </c>
      <c r="D195" s="24" t="s">
        <v>73</v>
      </c>
      <c r="E195" s="24" t="s">
        <v>261</v>
      </c>
      <c r="F195" s="41" t="n">
        <f aca="false">PROCESO!$I$27</f>
        <v>0.00209580838323353</v>
      </c>
      <c r="G195" s="24" t="s">
        <v>2281</v>
      </c>
      <c r="H195" s="42" t="n">
        <f aca="false">PROCESO!$I$27*DEMANDA!F13</f>
        <v>0</v>
      </c>
      <c r="I195" s="42" t="n">
        <f aca="false">PROCESO!$I$27*DEMANDA!G13</f>
        <v>0</v>
      </c>
      <c r="J195" s="42" t="n">
        <f aca="false">PROCESO!$I$27*DEMANDA!H13</f>
        <v>0.627904191616767</v>
      </c>
      <c r="K195" s="42" t="n">
        <f aca="false">PROCESO!$I$27*DEMANDA!I13</f>
        <v>2.18760479041916</v>
      </c>
      <c r="L195" s="42" t="n">
        <f aca="false">PROCESO!$I$27*DEMANDA!J13</f>
        <v>4.05119760479042</v>
      </c>
      <c r="M195" s="42" t="n">
        <f aca="false">PROCESO!$I$27*DEMANDA!K13</f>
        <v>5.87455089820359</v>
      </c>
      <c r="N195" s="42" t="n">
        <f aca="false">PROCESO!$I$27*DEMANDA!L13</f>
        <v>8.30568862275449</v>
      </c>
      <c r="O195" s="42" t="n">
        <f aca="false">PROCESO!$I$27*DEMANDA!M13</f>
        <v>10.7368263473054</v>
      </c>
      <c r="P195" s="42" t="n">
        <f aca="false">PROCESO!$I$27*DEMANDA!N13</f>
        <v>12.032874251497</v>
      </c>
      <c r="Q195" s="42" t="n">
        <f aca="false">PROCESO!$I$27*DEMANDA!O13</f>
        <v>13.9769461077844</v>
      </c>
      <c r="R195" s="24" t="s">
        <v>2522</v>
      </c>
    </row>
    <row r="196" customFormat="false" ht="15" hidden="false" customHeight="false" outlineLevel="1" collapsed="false">
      <c r="A196" s="24" t="n">
        <v>1</v>
      </c>
      <c r="B196" s="24" t="s">
        <v>1816</v>
      </c>
      <c r="C196" s="40" t="s">
        <v>2507</v>
      </c>
      <c r="D196" s="24" t="s">
        <v>73</v>
      </c>
      <c r="E196" s="24" t="s">
        <v>238</v>
      </c>
      <c r="F196" s="41" t="n">
        <f aca="false">PROCESO!$I$40</f>
        <v>0.00388888888888889</v>
      </c>
      <c r="G196" s="24" t="s">
        <v>2281</v>
      </c>
      <c r="H196" s="42" t="n">
        <f aca="false">PROCESO!$I$40*DEMANDA!F6</f>
        <v>10.5380062083333</v>
      </c>
      <c r="I196" s="42" t="n">
        <f aca="false">PROCESO!$I$40*DEMANDA!G6</f>
        <v>21.0971400927778</v>
      </c>
      <c r="J196" s="42" t="n">
        <f aca="false">PROCESO!$I$40*DEMANDA!H6</f>
        <v>27.7065350761111</v>
      </c>
      <c r="K196" s="42" t="n">
        <f aca="false">PROCESO!$I$40*DEMANDA!I6</f>
        <v>39.9665595505556</v>
      </c>
      <c r="L196" s="42" t="n">
        <f aca="false">PROCESO!$I$40*DEMANDA!J6</f>
        <v>55.7639714333333</v>
      </c>
      <c r="M196" s="42" t="n">
        <f aca="false">PROCESO!$I$40*DEMANDA!K6</f>
        <v>72.1581937611111</v>
      </c>
      <c r="N196" s="42" t="n">
        <f aca="false">PROCESO!$I$40*DEMANDA!L6</f>
        <v>87.3396216</v>
      </c>
      <c r="O196" s="42" t="n">
        <f aca="false">PROCESO!$I$40*DEMANDA!M6</f>
        <v>100.567391438889</v>
      </c>
      <c r="P196" s="42" t="n">
        <f aca="false">PROCESO!$I$40*DEMANDA!N6</f>
        <v>110.86337325</v>
      </c>
      <c r="Q196" s="42" t="n">
        <f aca="false">PROCESO!$I$40*DEMANDA!O6</f>
        <v>125.684139466667</v>
      </c>
      <c r="R196" s="24" t="s">
        <v>2523</v>
      </c>
    </row>
    <row r="197" customFormat="false" ht="15" hidden="false" customHeight="false" outlineLevel="1" collapsed="false">
      <c r="A197" s="24" t="n">
        <v>1</v>
      </c>
      <c r="B197" s="24" t="s">
        <v>1816</v>
      </c>
      <c r="C197" s="40" t="s">
        <v>2509</v>
      </c>
      <c r="D197" s="24" t="s">
        <v>73</v>
      </c>
      <c r="E197" s="24" t="s">
        <v>264</v>
      </c>
      <c r="F197" s="41" t="n">
        <f aca="false">PROCESO!$I$40</f>
        <v>0.00388888888888889</v>
      </c>
      <c r="G197" s="24" t="s">
        <v>2281</v>
      </c>
      <c r="H197" s="42" t="n">
        <f aca="false">PROCESO!$I$40*DEMANDA!F14</f>
        <v>0</v>
      </c>
      <c r="I197" s="42" t="n">
        <f aca="false">PROCESO!$I$40*DEMANDA!G14</f>
        <v>0</v>
      </c>
      <c r="J197" s="42" t="n">
        <f aca="false">PROCESO!$I$40*DEMANDA!H14</f>
        <v>5.75088888888889</v>
      </c>
      <c r="K197" s="42" t="n">
        <f aca="false">PROCESO!$I$40*DEMANDA!I14</f>
        <v>20.0355555555556</v>
      </c>
      <c r="L197" s="42" t="n">
        <f aca="false">PROCESO!$I$40*DEMANDA!J14</f>
        <v>37.1031111111111</v>
      </c>
      <c r="M197" s="42" t="n">
        <f aca="false">PROCESO!$I$40*DEMANDA!K14</f>
        <v>53.7996666666667</v>
      </c>
      <c r="N197" s="42" t="n">
        <f aca="false">PROCESO!$I$40*DEMANDA!L14</f>
        <v>76.0612222222222</v>
      </c>
      <c r="O197" s="42" t="n">
        <f aca="false">PROCESO!$I$40*DEMANDA!M14</f>
        <v>98.3227777777778</v>
      </c>
      <c r="P197" s="42" t="n">
        <f aca="false">PROCESO!$I$40*DEMANDA!N14</f>
        <v>110.194777777778</v>
      </c>
      <c r="Q197" s="42" t="n">
        <f aca="false">PROCESO!$I$40*DEMANDA!O14</f>
        <v>128.002777777778</v>
      </c>
      <c r="R197" s="24" t="s">
        <v>2523</v>
      </c>
    </row>
    <row r="198" customFormat="false" ht="15" hidden="false" customHeight="false" outlineLevel="1" collapsed="false">
      <c r="A198" s="24" t="n">
        <v>1</v>
      </c>
      <c r="B198" s="24" t="s">
        <v>1816</v>
      </c>
      <c r="C198" s="40" t="s">
        <v>2510</v>
      </c>
      <c r="D198" s="24" t="s">
        <v>73</v>
      </c>
      <c r="E198" s="24" t="s">
        <v>241</v>
      </c>
      <c r="F198" s="41" t="n">
        <f aca="false">PROCESO!$I$53</f>
        <v>0.00875</v>
      </c>
      <c r="G198" s="24" t="s">
        <v>2281</v>
      </c>
      <c r="H198" s="42" t="n">
        <f aca="false">PROCESO!$I$53*DEMANDA!F7</f>
        <v>0.8035403383875</v>
      </c>
      <c r="I198" s="42" t="n">
        <f aca="false">PROCESO!$I$53*DEMANDA!G7</f>
        <v>1.550913846125</v>
      </c>
      <c r="J198" s="42" t="n">
        <f aca="false">PROCESO!$I$53*DEMANDA!H7</f>
        <v>2.21356432325</v>
      </c>
      <c r="K198" s="42" t="n">
        <f aca="false">PROCESO!$I$53*DEMANDA!I7</f>
        <v>3.132679323375</v>
      </c>
      <c r="L198" s="42" t="n">
        <f aca="false">PROCESO!$I$53*DEMANDA!J7</f>
        <v>5.273783829125</v>
      </c>
      <c r="M198" s="42" t="n">
        <f aca="false">PROCESO!$I$53*DEMANDA!K7</f>
        <v>7.63529403</v>
      </c>
      <c r="N198" s="42" t="n">
        <f aca="false">PROCESO!$I$53*DEMANDA!L7</f>
        <v>9.86265476875</v>
      </c>
      <c r="O198" s="42" t="n">
        <f aca="false">PROCESO!$I$53*DEMANDA!M7</f>
        <v>12.210142105</v>
      </c>
      <c r="P198" s="42" t="n">
        <f aca="false">PROCESO!$I$53*DEMANDA!N7</f>
        <v>14.1080629725</v>
      </c>
      <c r="Q198" s="42" t="n">
        <f aca="false">PROCESO!$I$53*DEMANDA!O7</f>
        <v>16.10742069125</v>
      </c>
      <c r="R198" s="24" t="s">
        <v>2524</v>
      </c>
    </row>
    <row r="199" customFormat="false" ht="15" hidden="false" customHeight="false" outlineLevel="1" collapsed="false">
      <c r="A199" s="24" t="n">
        <v>1</v>
      </c>
      <c r="B199" s="24" t="s">
        <v>1816</v>
      </c>
      <c r="C199" s="40" t="s">
        <v>2512</v>
      </c>
      <c r="D199" s="24" t="s">
        <v>73</v>
      </c>
      <c r="E199" s="24" t="s">
        <v>267</v>
      </c>
      <c r="F199" s="41" t="n">
        <f aca="false">PROCESO!$I$53</f>
        <v>0.00875</v>
      </c>
      <c r="G199" s="24" t="s">
        <v>2281</v>
      </c>
      <c r="H199" s="42" t="n">
        <f aca="false">PROCESO!$I$53*DEMANDA!F15</f>
        <v>0</v>
      </c>
      <c r="I199" s="42" t="n">
        <f aca="false">PROCESO!$I$53*DEMANDA!G15</f>
        <v>0</v>
      </c>
      <c r="J199" s="42" t="n">
        <f aca="false">PROCESO!$I$53*DEMANDA!H15</f>
        <v>0.791</v>
      </c>
      <c r="K199" s="42" t="n">
        <f aca="false">PROCESO!$I$53*DEMANDA!I15</f>
        <v>2.75625</v>
      </c>
      <c r="L199" s="42" t="n">
        <f aca="false">PROCESO!$I$53*DEMANDA!J15</f>
        <v>5.10475</v>
      </c>
      <c r="M199" s="42" t="n">
        <f aca="false">PROCESO!$I$53*DEMANDA!K15</f>
        <v>7.40075</v>
      </c>
      <c r="N199" s="42" t="n">
        <f aca="false">PROCESO!$I$53*DEMANDA!L15</f>
        <v>10.45975</v>
      </c>
      <c r="O199" s="42" t="n">
        <f aca="false">PROCESO!$I$53*DEMANDA!M15</f>
        <v>13.51875</v>
      </c>
      <c r="P199" s="42" t="n">
        <f aca="false">PROCESO!$I$53*DEMANDA!N15</f>
        <v>15.14975</v>
      </c>
      <c r="Q199" s="42" t="n">
        <f aca="false">PROCESO!$I$53*DEMANDA!O15</f>
        <v>17.59625</v>
      </c>
      <c r="R199" s="24" t="s">
        <v>2524</v>
      </c>
    </row>
    <row r="200" customFormat="false" ht="15" hidden="false" customHeight="false" outlineLevel="0" collapsed="false">
      <c r="A200" s="38" t="n">
        <v>0</v>
      </c>
      <c r="B200" s="38" t="s">
        <v>1818</v>
      </c>
      <c r="C200" s="38" t="s">
        <v>2238</v>
      </c>
      <c r="D200" s="38" t="s">
        <v>82</v>
      </c>
      <c r="E200" s="38"/>
      <c r="F200" s="38"/>
      <c r="G200" s="38"/>
      <c r="H200" s="39" t="n">
        <f aca="false">SUM(H201:H208)</f>
        <v>44.6179089079256</v>
      </c>
      <c r="I200" s="39" t="n">
        <f aca="false">SUM(I201:I208)</f>
        <v>83.9518504540785</v>
      </c>
      <c r="J200" s="39" t="n">
        <f aca="false">SUM(J201:J208)</f>
        <v>148.165880332515</v>
      </c>
      <c r="K200" s="39" t="n">
        <f aca="false">SUM(K201:K208)</f>
        <v>291.401122544428</v>
      </c>
      <c r="L200" s="39" t="n">
        <f aca="false">SUM(L201:L208)</f>
        <v>475.698977643026</v>
      </c>
      <c r="M200" s="39" t="n">
        <f aca="false">SUM(M201:M208)</f>
        <v>657.353553631354</v>
      </c>
      <c r="N200" s="39" t="n">
        <f aca="false">SUM(N201:N208)</f>
        <v>877.4017530917</v>
      </c>
      <c r="O200" s="39" t="n">
        <f aca="false">SUM(O201:O208)</f>
        <v>1093.34279964172</v>
      </c>
      <c r="P200" s="39" t="n">
        <f aca="false">SUM(P201:P208)</f>
        <v>1225.14787325156</v>
      </c>
      <c r="Q200" s="39" t="n">
        <f aca="false">SUM(Q201:Q208)</f>
        <v>1412.06192529568</v>
      </c>
      <c r="R200" s="38"/>
    </row>
    <row r="201" customFormat="false" ht="15" hidden="false" customHeight="false" outlineLevel="1" collapsed="false">
      <c r="A201" s="24" t="n">
        <v>1</v>
      </c>
      <c r="B201" s="24" t="s">
        <v>1818</v>
      </c>
      <c r="C201" s="40" t="s">
        <v>2501</v>
      </c>
      <c r="D201" s="24" t="s">
        <v>82</v>
      </c>
      <c r="E201" s="24" t="s">
        <v>230</v>
      </c>
      <c r="F201" s="41" t="n">
        <f aca="false">PROCESO!$I$15</f>
        <v>0.0025</v>
      </c>
      <c r="G201" s="24" t="s">
        <v>2281</v>
      </c>
      <c r="H201" s="42" t="n">
        <f aca="false">PROCESO!$I$15*DEMANDA!F4</f>
        <v>10.4468413575</v>
      </c>
      <c r="I201" s="42" t="n">
        <f aca="false">PROCESO!$I$15*DEMANDA!G4</f>
        <v>14.9932599425</v>
      </c>
      <c r="J201" s="42" t="n">
        <f aca="false">PROCESO!$I$15*DEMANDA!H4</f>
        <v>17.129369395</v>
      </c>
      <c r="K201" s="42" t="n">
        <f aca="false">PROCESO!$I$15*DEMANDA!I4</f>
        <v>21.1678388725</v>
      </c>
      <c r="L201" s="42" t="n">
        <f aca="false">PROCESO!$I$15*DEMANDA!J4</f>
        <v>31.701581775</v>
      </c>
      <c r="M201" s="42" t="n">
        <f aca="false">PROCESO!$I$15*DEMANDA!K4</f>
        <v>39.050632675</v>
      </c>
      <c r="N201" s="42" t="n">
        <f aca="false">PROCESO!$I$15*DEMANDA!L4</f>
        <v>50.83138315</v>
      </c>
      <c r="O201" s="42" t="n">
        <f aca="false">PROCESO!$I$15*DEMANDA!M4</f>
        <v>62.8301962</v>
      </c>
      <c r="P201" s="42" t="n">
        <f aca="false">PROCESO!$I$15*DEMANDA!N4</f>
        <v>71.43334035</v>
      </c>
      <c r="Q201" s="42" t="n">
        <f aca="false">PROCESO!$I$15*DEMANDA!O4</f>
        <v>80.181597825</v>
      </c>
      <c r="R201" s="24" t="s">
        <v>2525</v>
      </c>
    </row>
    <row r="202" customFormat="false" ht="15" hidden="false" customHeight="false" outlineLevel="1" collapsed="false">
      <c r="A202" s="24" t="n">
        <v>1</v>
      </c>
      <c r="B202" s="24" t="s">
        <v>1818</v>
      </c>
      <c r="C202" s="40" t="s">
        <v>2503</v>
      </c>
      <c r="D202" s="24" t="s">
        <v>82</v>
      </c>
      <c r="E202" s="24" t="s">
        <v>258</v>
      </c>
      <c r="F202" s="41" t="n">
        <f aca="false">PROCESO!$I$15</f>
        <v>0.0025</v>
      </c>
      <c r="G202" s="24" t="s">
        <v>2281</v>
      </c>
      <c r="H202" s="42" t="n">
        <f aca="false">PROCESO!$I$15*DEMANDA!F12</f>
        <v>0</v>
      </c>
      <c r="I202" s="42" t="n">
        <f aca="false">PROCESO!$I$15*DEMANDA!G12</f>
        <v>0</v>
      </c>
      <c r="J202" s="42" t="n">
        <f aca="false">PROCESO!$I$15*DEMANDA!H12</f>
        <v>19.156</v>
      </c>
      <c r="K202" s="42" t="n">
        <f aca="false">PROCESO!$I$15*DEMANDA!I12</f>
        <v>66.737</v>
      </c>
      <c r="L202" s="42" t="n">
        <f aca="false">PROCESO!$I$15*DEMANDA!J12</f>
        <v>123.587</v>
      </c>
      <c r="M202" s="42" t="n">
        <f aca="false">PROCESO!$I$15*DEMANDA!K12</f>
        <v>179.2005</v>
      </c>
      <c r="N202" s="42" t="n">
        <f aca="false">PROCESO!$I$15*DEMANDA!L12</f>
        <v>253.3515</v>
      </c>
      <c r="O202" s="42" t="n">
        <f aca="false">PROCESO!$I$15*DEMANDA!M12</f>
        <v>327.5025</v>
      </c>
      <c r="P202" s="42" t="n">
        <f aca="false">PROCESO!$I$15*DEMANDA!N12</f>
        <v>367.0495</v>
      </c>
      <c r="Q202" s="42" t="n">
        <f aca="false">PROCESO!$I$15*DEMANDA!O12</f>
        <v>426.37</v>
      </c>
      <c r="R202" s="24" t="s">
        <v>2525</v>
      </c>
    </row>
    <row r="203" customFormat="false" ht="15" hidden="false" customHeight="false" outlineLevel="1" collapsed="false">
      <c r="A203" s="24" t="n">
        <v>1</v>
      </c>
      <c r="B203" s="24" t="s">
        <v>1818</v>
      </c>
      <c r="C203" s="40" t="s">
        <v>2504</v>
      </c>
      <c r="D203" s="24" t="s">
        <v>82</v>
      </c>
      <c r="E203" s="24" t="s">
        <v>234</v>
      </c>
      <c r="F203" s="41" t="n">
        <f aca="false">PROCESO!$I$28</f>
        <v>0.00598802395209581</v>
      </c>
      <c r="G203" s="24" t="s">
        <v>2281</v>
      </c>
      <c r="H203" s="42" t="n">
        <f aca="false">PROCESO!$I$28*DEMANDA!F5</f>
        <v>1.76664884550898</v>
      </c>
      <c r="I203" s="42" t="n">
        <f aca="false">PROCESO!$I$28*DEMANDA!G5</f>
        <v>4.24986497185629</v>
      </c>
      <c r="J203" s="42" t="n">
        <f aca="false">PROCESO!$I$28*DEMANDA!H5</f>
        <v>5.90938956646707</v>
      </c>
      <c r="K203" s="42" t="n">
        <f aca="false">PROCESO!$I$28*DEMANDA!I5</f>
        <v>8.98585732934132</v>
      </c>
      <c r="L203" s="42" t="n">
        <f aca="false">PROCESO!$I$28*DEMANDA!J5</f>
        <v>13.8480702155689</v>
      </c>
      <c r="M203" s="42" t="n">
        <f aca="false">PROCESO!$I$28*DEMANDA!K5</f>
        <v>19.4782627964072</v>
      </c>
      <c r="N203" s="42" t="n">
        <f aca="false">PROCESO!$I$28*DEMANDA!L5</f>
        <v>24.5647636167665</v>
      </c>
      <c r="O203" s="42" t="n">
        <f aca="false">PROCESO!$I$28*DEMANDA!M5</f>
        <v>30.5647101017964</v>
      </c>
      <c r="P203" s="42" t="n">
        <f aca="false">PROCESO!$I$28*DEMANDA!N5</f>
        <v>37.0969236107785</v>
      </c>
      <c r="Q203" s="42" t="n">
        <f aca="false">PROCESO!$I$28*DEMANDA!O5</f>
        <v>44.4602302035928</v>
      </c>
      <c r="R203" s="24" t="s">
        <v>2526</v>
      </c>
    </row>
    <row r="204" customFormat="false" ht="15" hidden="false" customHeight="false" outlineLevel="1" collapsed="false">
      <c r="A204" s="24" t="n">
        <v>1</v>
      </c>
      <c r="B204" s="24" t="s">
        <v>1818</v>
      </c>
      <c r="C204" s="40" t="s">
        <v>2506</v>
      </c>
      <c r="D204" s="24" t="s">
        <v>82</v>
      </c>
      <c r="E204" s="24" t="s">
        <v>261</v>
      </c>
      <c r="F204" s="41" t="n">
        <f aca="false">PROCESO!$I$28</f>
        <v>0.00598802395209581</v>
      </c>
      <c r="G204" s="24" t="s">
        <v>2281</v>
      </c>
      <c r="H204" s="42" t="n">
        <f aca="false">PROCESO!$I$28*DEMANDA!F13</f>
        <v>0</v>
      </c>
      <c r="I204" s="42" t="n">
        <f aca="false">PROCESO!$I$28*DEMANDA!G13</f>
        <v>0</v>
      </c>
      <c r="J204" s="42" t="n">
        <f aca="false">PROCESO!$I$28*DEMANDA!H13</f>
        <v>1.7940119760479</v>
      </c>
      <c r="K204" s="42" t="n">
        <f aca="false">PROCESO!$I$28*DEMANDA!I13</f>
        <v>6.25029940119761</v>
      </c>
      <c r="L204" s="42" t="n">
        <f aca="false">PROCESO!$I$28*DEMANDA!J13</f>
        <v>11.5748502994012</v>
      </c>
      <c r="M204" s="42" t="n">
        <f aca="false">PROCESO!$I$28*DEMANDA!K13</f>
        <v>16.7844311377246</v>
      </c>
      <c r="N204" s="42" t="n">
        <f aca="false">PROCESO!$I$28*DEMANDA!L13</f>
        <v>23.7305389221557</v>
      </c>
      <c r="O204" s="42" t="n">
        <f aca="false">PROCESO!$I$28*DEMANDA!M13</f>
        <v>30.6766467065868</v>
      </c>
      <c r="P204" s="42" t="n">
        <f aca="false">PROCESO!$I$28*DEMANDA!N13</f>
        <v>34.3796407185629</v>
      </c>
      <c r="Q204" s="42" t="n">
        <f aca="false">PROCESO!$I$28*DEMANDA!O13</f>
        <v>39.934131736527</v>
      </c>
      <c r="R204" s="24" t="s">
        <v>2526</v>
      </c>
    </row>
    <row r="205" customFormat="false" ht="15" hidden="false" customHeight="false" outlineLevel="1" collapsed="false">
      <c r="A205" s="24" t="n">
        <v>1</v>
      </c>
      <c r="B205" s="24" t="s">
        <v>1818</v>
      </c>
      <c r="C205" s="40" t="s">
        <v>2507</v>
      </c>
      <c r="D205" s="24" t="s">
        <v>82</v>
      </c>
      <c r="E205" s="24" t="s">
        <v>238</v>
      </c>
      <c r="F205" s="41" t="n">
        <f aca="false">PROCESO!$I$41</f>
        <v>0.0111111111111111</v>
      </c>
      <c r="G205" s="24" t="s">
        <v>2281</v>
      </c>
      <c r="H205" s="42" t="n">
        <f aca="false">PROCESO!$I$41*DEMANDA!F6</f>
        <v>30.1085891666667</v>
      </c>
      <c r="I205" s="42" t="n">
        <f aca="false">PROCESO!$I$41*DEMANDA!G6</f>
        <v>60.2775431222222</v>
      </c>
      <c r="J205" s="42" t="n">
        <f aca="false">PROCESO!$I$41*DEMANDA!H6</f>
        <v>79.1615287888889</v>
      </c>
      <c r="K205" s="42" t="n">
        <f aca="false">PROCESO!$I$41*DEMANDA!I6</f>
        <v>114.190170144444</v>
      </c>
      <c r="L205" s="42" t="n">
        <f aca="false">PROCESO!$I$41*DEMANDA!J6</f>
        <v>159.325632666667</v>
      </c>
      <c r="M205" s="42" t="n">
        <f aca="false">PROCESO!$I$41*DEMANDA!K6</f>
        <v>206.166267888889</v>
      </c>
      <c r="N205" s="42" t="n">
        <f aca="false">PROCESO!$I$41*DEMANDA!L6</f>
        <v>249.541776</v>
      </c>
      <c r="O205" s="42" t="n">
        <f aca="false">PROCESO!$I$41*DEMANDA!M6</f>
        <v>287.335404111111</v>
      </c>
      <c r="P205" s="42" t="n">
        <f aca="false">PROCESO!$I$41*DEMANDA!N6</f>
        <v>316.752495</v>
      </c>
      <c r="Q205" s="42" t="n">
        <f aca="false">PROCESO!$I$41*DEMANDA!O6</f>
        <v>359.097541333333</v>
      </c>
      <c r="R205" s="24" t="s">
        <v>2527</v>
      </c>
    </row>
    <row r="206" customFormat="false" ht="15" hidden="false" customHeight="false" outlineLevel="1" collapsed="false">
      <c r="A206" s="24" t="n">
        <v>1</v>
      </c>
      <c r="B206" s="24" t="s">
        <v>1818</v>
      </c>
      <c r="C206" s="40" t="s">
        <v>2509</v>
      </c>
      <c r="D206" s="24" t="s">
        <v>82</v>
      </c>
      <c r="E206" s="24" t="s">
        <v>264</v>
      </c>
      <c r="F206" s="41" t="n">
        <f aca="false">PROCESO!$I$41</f>
        <v>0.0111111111111111</v>
      </c>
      <c r="G206" s="24" t="s">
        <v>2281</v>
      </c>
      <c r="H206" s="42" t="n">
        <f aca="false">PROCESO!$I$41*DEMANDA!F14</f>
        <v>0</v>
      </c>
      <c r="I206" s="42" t="n">
        <f aca="false">PROCESO!$I$41*DEMANDA!G14</f>
        <v>0</v>
      </c>
      <c r="J206" s="42" t="n">
        <f aca="false">PROCESO!$I$41*DEMANDA!H14</f>
        <v>16.4311111111111</v>
      </c>
      <c r="K206" s="42" t="n">
        <f aca="false">PROCESO!$I$41*DEMANDA!I14</f>
        <v>57.2444444444445</v>
      </c>
      <c r="L206" s="42" t="n">
        <f aca="false">PROCESO!$I$41*DEMANDA!J14</f>
        <v>106.008888888889</v>
      </c>
      <c r="M206" s="42" t="n">
        <f aca="false">PROCESO!$I$41*DEMANDA!K14</f>
        <v>153.713333333333</v>
      </c>
      <c r="N206" s="42" t="n">
        <f aca="false">PROCESO!$I$41*DEMANDA!L14</f>
        <v>217.317777777778</v>
      </c>
      <c r="O206" s="42" t="n">
        <f aca="false">PROCESO!$I$41*DEMANDA!M14</f>
        <v>280.922222222222</v>
      </c>
      <c r="P206" s="42" t="n">
        <f aca="false">PROCESO!$I$41*DEMANDA!N14</f>
        <v>314.842222222222</v>
      </c>
      <c r="Q206" s="42" t="n">
        <f aca="false">PROCESO!$I$41*DEMANDA!O14</f>
        <v>365.722222222222</v>
      </c>
      <c r="R206" s="24" t="s">
        <v>2527</v>
      </c>
    </row>
    <row r="207" customFormat="false" ht="15" hidden="false" customHeight="false" outlineLevel="1" collapsed="false">
      <c r="A207" s="24" t="n">
        <v>1</v>
      </c>
      <c r="B207" s="24" t="s">
        <v>1818</v>
      </c>
      <c r="C207" s="40" t="s">
        <v>2510</v>
      </c>
      <c r="D207" s="24" t="s">
        <v>82</v>
      </c>
      <c r="E207" s="24" t="s">
        <v>241</v>
      </c>
      <c r="F207" s="41" t="n">
        <f aca="false">PROCESO!$I$54</f>
        <v>0.025</v>
      </c>
      <c r="G207" s="24" t="s">
        <v>2281</v>
      </c>
      <c r="H207" s="42" t="n">
        <f aca="false">PROCESO!$I$54*DEMANDA!F7</f>
        <v>2.29582953825</v>
      </c>
      <c r="I207" s="42" t="n">
        <f aca="false">PROCESO!$I$54*DEMANDA!G7</f>
        <v>4.4311824175</v>
      </c>
      <c r="J207" s="42" t="n">
        <f aca="false">PROCESO!$I$54*DEMANDA!H7</f>
        <v>6.324469495</v>
      </c>
      <c r="K207" s="42" t="n">
        <f aca="false">PROCESO!$I$54*DEMANDA!I7</f>
        <v>8.9505123525</v>
      </c>
      <c r="L207" s="42" t="n">
        <f aca="false">PROCESO!$I$54*DEMANDA!J7</f>
        <v>15.0679537975</v>
      </c>
      <c r="M207" s="42" t="n">
        <f aca="false">PROCESO!$I$54*DEMANDA!K7</f>
        <v>21.8151258</v>
      </c>
      <c r="N207" s="42" t="n">
        <f aca="false">PROCESO!$I$54*DEMANDA!L7</f>
        <v>28.179013625</v>
      </c>
      <c r="O207" s="42" t="n">
        <f aca="false">PROCESO!$I$54*DEMANDA!M7</f>
        <v>34.8861203</v>
      </c>
      <c r="P207" s="42" t="n">
        <f aca="false">PROCESO!$I$54*DEMANDA!N7</f>
        <v>40.30875135</v>
      </c>
      <c r="Q207" s="42" t="n">
        <f aca="false">PROCESO!$I$54*DEMANDA!O7</f>
        <v>46.021201975</v>
      </c>
      <c r="R207" s="24" t="s">
        <v>2528</v>
      </c>
    </row>
    <row r="208" customFormat="false" ht="15" hidden="false" customHeight="false" outlineLevel="1" collapsed="false">
      <c r="A208" s="24" t="n">
        <v>1</v>
      </c>
      <c r="B208" s="24" t="s">
        <v>1818</v>
      </c>
      <c r="C208" s="40" t="s">
        <v>2512</v>
      </c>
      <c r="D208" s="24" t="s">
        <v>82</v>
      </c>
      <c r="E208" s="24" t="s">
        <v>267</v>
      </c>
      <c r="F208" s="41" t="n">
        <f aca="false">PROCESO!$I$54</f>
        <v>0.025</v>
      </c>
      <c r="G208" s="24" t="s">
        <v>2281</v>
      </c>
      <c r="H208" s="42" t="n">
        <f aca="false">PROCESO!$I$54*DEMANDA!F15</f>
        <v>0</v>
      </c>
      <c r="I208" s="42" t="n">
        <f aca="false">PROCESO!$I$54*DEMANDA!G15</f>
        <v>0</v>
      </c>
      <c r="J208" s="42" t="n">
        <f aca="false">PROCESO!$I$54*DEMANDA!H15</f>
        <v>2.26</v>
      </c>
      <c r="K208" s="42" t="n">
        <f aca="false">PROCESO!$I$54*DEMANDA!I15</f>
        <v>7.875</v>
      </c>
      <c r="L208" s="42" t="n">
        <f aca="false">PROCESO!$I$54*DEMANDA!J15</f>
        <v>14.585</v>
      </c>
      <c r="M208" s="42" t="n">
        <f aca="false">PROCESO!$I$54*DEMANDA!K15</f>
        <v>21.145</v>
      </c>
      <c r="N208" s="42" t="n">
        <f aca="false">PROCESO!$I$54*DEMANDA!L15</f>
        <v>29.885</v>
      </c>
      <c r="O208" s="42" t="n">
        <f aca="false">PROCESO!$I$54*DEMANDA!M15</f>
        <v>38.625</v>
      </c>
      <c r="P208" s="42" t="n">
        <f aca="false">PROCESO!$I$54*DEMANDA!N15</f>
        <v>43.285</v>
      </c>
      <c r="Q208" s="42" t="n">
        <f aca="false">PROCESO!$I$54*DEMANDA!O15</f>
        <v>50.275</v>
      </c>
      <c r="R208" s="24" t="s">
        <v>2528</v>
      </c>
    </row>
    <row r="209" customFormat="false" ht="15" hidden="false" customHeight="false" outlineLevel="0" collapsed="false">
      <c r="A209" s="38" t="n">
        <v>0</v>
      </c>
      <c r="B209" s="38" t="s">
        <v>610</v>
      </c>
      <c r="C209" s="38" t="s">
        <v>2242</v>
      </c>
      <c r="D209" s="38" t="s">
        <v>82</v>
      </c>
      <c r="E209" s="38"/>
      <c r="F209" s="38"/>
      <c r="G209" s="38"/>
      <c r="H209" s="39" t="n">
        <f aca="false">SUM(H210:H210)</f>
        <v>0</v>
      </c>
      <c r="I209" s="39" t="n">
        <f aca="false">SUM(I210:I210)</f>
        <v>0</v>
      </c>
      <c r="J209" s="39" t="n">
        <f aca="false">SUM(J210:J210)</f>
        <v>7662.4</v>
      </c>
      <c r="K209" s="39" t="n">
        <f aca="false">SUM(K210:K210)</f>
        <v>26694.8</v>
      </c>
      <c r="L209" s="39" t="n">
        <f aca="false">SUM(L210:L210)</f>
        <v>49434.8</v>
      </c>
      <c r="M209" s="39" t="n">
        <f aca="false">SUM(M210:M210)</f>
        <v>71680.2</v>
      </c>
      <c r="N209" s="39" t="n">
        <f aca="false">SUM(N210:N210)</f>
        <v>101340.6</v>
      </c>
      <c r="O209" s="39" t="n">
        <f aca="false">SUM(O210:O210)</f>
        <v>131001</v>
      </c>
      <c r="P209" s="39" t="n">
        <f aca="false">SUM(P210:P210)</f>
        <v>146819.8</v>
      </c>
      <c r="Q209" s="39" t="n">
        <f aca="false">SUM(Q210:Q210)</f>
        <v>170548</v>
      </c>
      <c r="R209" s="38"/>
    </row>
    <row r="210" customFormat="false" ht="15" hidden="false" customHeight="false" outlineLevel="1" collapsed="false">
      <c r="A210" s="24" t="n">
        <v>1</v>
      </c>
      <c r="B210" s="24" t="s">
        <v>610</v>
      </c>
      <c r="C210" s="40" t="s">
        <v>2529</v>
      </c>
      <c r="D210" s="24" t="s">
        <v>82</v>
      </c>
      <c r="E210" s="24" t="s">
        <v>258</v>
      </c>
      <c r="F210" s="41" t="n">
        <f aca="false">INDEX((BOM_COEF!R38~BOM_COEF!S38~BOM_COEF!T38~BOM_COEF!U38~BOM_COEF!V38~BOM_COEF!W38~BOM_COEF!X38~BOM_COEF!Y38~BOM_COEF!Z38~BOM_COEF!AA38),1,1,INDEX(P_VAL,MATCH("AÑO_DIS",P_ID,0))-2025)</f>
        <v>1</v>
      </c>
      <c r="G210" s="24" t="s">
        <v>2281</v>
      </c>
      <c r="H210" s="42" t="n">
        <f aca="false">BOM_COEF!R38*DEMANDA!F12</f>
        <v>0</v>
      </c>
      <c r="I210" s="42" t="n">
        <f aca="false">BOM_COEF!S38*DEMANDA!G12</f>
        <v>0</v>
      </c>
      <c r="J210" s="42" t="n">
        <f aca="false">BOM_COEF!T38*DEMANDA!H12</f>
        <v>7662.4</v>
      </c>
      <c r="K210" s="42" t="n">
        <f aca="false">BOM_COEF!U38*DEMANDA!I12</f>
        <v>26694.8</v>
      </c>
      <c r="L210" s="42" t="n">
        <f aca="false">BOM_COEF!V38*DEMANDA!J12</f>
        <v>49434.8</v>
      </c>
      <c r="M210" s="42" t="n">
        <f aca="false">BOM_COEF!W38*DEMANDA!K12</f>
        <v>71680.2</v>
      </c>
      <c r="N210" s="42" t="n">
        <f aca="false">BOM_COEF!X38*DEMANDA!L12</f>
        <v>101340.6</v>
      </c>
      <c r="O210" s="42" t="n">
        <f aca="false">BOM_COEF!Y38*DEMANDA!M12</f>
        <v>131001</v>
      </c>
      <c r="P210" s="42" t="n">
        <f aca="false">BOM_COEF!Z38*DEMANDA!N12</f>
        <v>146819.8</v>
      </c>
      <c r="Q210" s="42" t="n">
        <f aca="false">BOM_COEF!AA38*DEMANDA!O12</f>
        <v>170548</v>
      </c>
      <c r="R210" s="24" t="s">
        <v>2530</v>
      </c>
    </row>
    <row r="211" customFormat="false" ht="15" hidden="false" customHeight="false" outlineLevel="0" collapsed="false">
      <c r="A211" s="38" t="n">
        <v>0</v>
      </c>
      <c r="B211" s="38" t="s">
        <v>710</v>
      </c>
      <c r="C211" s="38" t="s">
        <v>2246</v>
      </c>
      <c r="D211" s="38" t="s">
        <v>82</v>
      </c>
      <c r="E211" s="38"/>
      <c r="F211" s="38"/>
      <c r="G211" s="38"/>
      <c r="H211" s="39" t="n">
        <f aca="false">SUM(H212:H214)</f>
        <v>0</v>
      </c>
      <c r="I211" s="39" t="n">
        <f aca="false">SUM(I212:I214)</f>
        <v>0</v>
      </c>
      <c r="J211" s="39" t="n">
        <f aca="false">SUM(J212:J214)</f>
        <v>1868.8</v>
      </c>
      <c r="K211" s="39" t="n">
        <f aca="false">SUM(K212:K214)</f>
        <v>6510.8</v>
      </c>
      <c r="L211" s="39" t="n">
        <f aca="false">SUM(L212:L214)</f>
        <v>12057.2</v>
      </c>
      <c r="M211" s="39" t="n">
        <f aca="false">SUM(M212:M214)</f>
        <v>17483</v>
      </c>
      <c r="N211" s="39" t="n">
        <f aca="false">SUM(N212:N214)</f>
        <v>24717</v>
      </c>
      <c r="O211" s="39" t="n">
        <f aca="false">SUM(O212:O214)</f>
        <v>31951</v>
      </c>
      <c r="P211" s="39" t="n">
        <f aca="false">SUM(P212:P214)</f>
        <v>35808.6</v>
      </c>
      <c r="Q211" s="39" t="n">
        <f aca="false">SUM(Q212:Q214)</f>
        <v>41595</v>
      </c>
      <c r="R211" s="38"/>
    </row>
    <row r="212" customFormat="false" ht="15" hidden="false" customHeight="false" outlineLevel="1" collapsed="false">
      <c r="A212" s="24" t="n">
        <v>1</v>
      </c>
      <c r="B212" s="24" t="s">
        <v>710</v>
      </c>
      <c r="C212" s="40" t="s">
        <v>2531</v>
      </c>
      <c r="D212" s="24" t="s">
        <v>82</v>
      </c>
      <c r="E212" s="24" t="s">
        <v>261</v>
      </c>
      <c r="F212" s="41" t="n">
        <f aca="false">INDEX((BOM_COEF!R79~BOM_COEF!S79~BOM_COEF!T79~BOM_COEF!U79~BOM_COEF!V79~BOM_COEF!W79~BOM_COEF!X79~BOM_COEF!Y79~BOM_COEF!Z79~BOM_COEF!AA79),1,1,INDEX(P_VAL,MATCH("AÑO_DIS",P_ID,0))-2025)</f>
        <v>1</v>
      </c>
      <c r="G212" s="24" t="s">
        <v>2281</v>
      </c>
      <c r="H212" s="42" t="n">
        <f aca="false">BOM_COEF!R79*DEMANDA!F13</f>
        <v>0</v>
      </c>
      <c r="I212" s="42" t="n">
        <f aca="false">BOM_COEF!S79*DEMANDA!G13</f>
        <v>0</v>
      </c>
      <c r="J212" s="42" t="n">
        <f aca="false">BOM_COEF!T79*DEMANDA!H13</f>
        <v>299.6</v>
      </c>
      <c r="K212" s="42" t="n">
        <f aca="false">BOM_COEF!U79*DEMANDA!I13</f>
        <v>1043.8</v>
      </c>
      <c r="L212" s="42" t="n">
        <f aca="false">BOM_COEF!V79*DEMANDA!J13</f>
        <v>1933</v>
      </c>
      <c r="M212" s="42" t="n">
        <f aca="false">BOM_COEF!W79*DEMANDA!K13</f>
        <v>2803</v>
      </c>
      <c r="N212" s="42" t="n">
        <f aca="false">BOM_COEF!X79*DEMANDA!L13</f>
        <v>3963</v>
      </c>
      <c r="O212" s="42" t="n">
        <f aca="false">BOM_COEF!Y79*DEMANDA!M13</f>
        <v>5123</v>
      </c>
      <c r="P212" s="42" t="n">
        <f aca="false">BOM_COEF!Z79*DEMANDA!N13</f>
        <v>5741.4</v>
      </c>
      <c r="Q212" s="42" t="n">
        <f aca="false">BOM_COEF!AA79*DEMANDA!O13</f>
        <v>6669</v>
      </c>
      <c r="R212" s="24" t="s">
        <v>2532</v>
      </c>
    </row>
    <row r="213" customFormat="false" ht="15" hidden="false" customHeight="false" outlineLevel="1" collapsed="false">
      <c r="A213" s="24" t="n">
        <v>1</v>
      </c>
      <c r="B213" s="24" t="s">
        <v>710</v>
      </c>
      <c r="C213" s="40" t="s">
        <v>2533</v>
      </c>
      <c r="D213" s="24" t="s">
        <v>82</v>
      </c>
      <c r="E213" s="24" t="s">
        <v>264</v>
      </c>
      <c r="F213" s="41" t="n">
        <f aca="false">INDEX((BOM_COEF!R120~BOM_COEF!S120~BOM_COEF!T120~BOM_COEF!U120~BOM_COEF!V120~BOM_COEF!W120~BOM_COEF!X120~BOM_COEF!Y120~BOM_COEF!Z120~BOM_COEF!AA120),1,1,INDEX(P_VAL,MATCH("AÑO_DIS",P_ID,0))-2025)</f>
        <v>1</v>
      </c>
      <c r="G213" s="24" t="s">
        <v>2281</v>
      </c>
      <c r="H213" s="42" t="n">
        <f aca="false">BOM_COEF!R120*DEMANDA!F14</f>
        <v>0</v>
      </c>
      <c r="I213" s="42" t="n">
        <f aca="false">BOM_COEF!S120*DEMANDA!G14</f>
        <v>0</v>
      </c>
      <c r="J213" s="42" t="n">
        <f aca="false">BOM_COEF!T120*DEMANDA!H14</f>
        <v>1478.8</v>
      </c>
      <c r="K213" s="42" t="n">
        <f aca="false">BOM_COEF!U120*DEMANDA!I14</f>
        <v>5152</v>
      </c>
      <c r="L213" s="42" t="n">
        <f aca="false">BOM_COEF!V120*DEMANDA!J14</f>
        <v>9540.8</v>
      </c>
      <c r="M213" s="42" t="n">
        <f aca="false">BOM_COEF!W120*DEMANDA!K14</f>
        <v>13834.2</v>
      </c>
      <c r="N213" s="42" t="n">
        <f aca="false">BOM_COEF!X120*DEMANDA!L14</f>
        <v>19558.6</v>
      </c>
      <c r="O213" s="42" t="n">
        <f aca="false">BOM_COEF!Y120*DEMANDA!M14</f>
        <v>25283</v>
      </c>
      <c r="P213" s="42" t="n">
        <f aca="false">BOM_COEF!Z120*DEMANDA!N14</f>
        <v>28335.8</v>
      </c>
      <c r="Q213" s="42" t="n">
        <f aca="false">BOM_COEF!AA120*DEMANDA!O14</f>
        <v>32915</v>
      </c>
      <c r="R213" s="24" t="s">
        <v>2534</v>
      </c>
    </row>
    <row r="214" customFormat="false" ht="15" hidden="false" customHeight="false" outlineLevel="1" collapsed="false">
      <c r="A214" s="24" t="n">
        <v>1</v>
      </c>
      <c r="B214" s="24" t="s">
        <v>710</v>
      </c>
      <c r="C214" s="40" t="s">
        <v>2535</v>
      </c>
      <c r="D214" s="24" t="s">
        <v>82</v>
      </c>
      <c r="E214" s="24" t="s">
        <v>267</v>
      </c>
      <c r="F214" s="41" t="n">
        <f aca="false">INDEX((BOM_COEF!R161~BOM_COEF!S161~BOM_COEF!T161~BOM_COEF!U161~BOM_COEF!V161~BOM_COEF!W161~BOM_COEF!X161~BOM_COEF!Y161~BOM_COEF!Z161~BOM_COEF!AA161),1,1,INDEX(P_VAL,MATCH("AÑO_DIS",P_ID,0))-2025)</f>
        <v>1</v>
      </c>
      <c r="G214" s="24" t="s">
        <v>2281</v>
      </c>
      <c r="H214" s="42" t="n">
        <f aca="false">BOM_COEF!R161*DEMANDA!F15</f>
        <v>0</v>
      </c>
      <c r="I214" s="42" t="n">
        <f aca="false">BOM_COEF!S161*DEMANDA!G15</f>
        <v>0</v>
      </c>
      <c r="J214" s="42" t="n">
        <f aca="false">BOM_COEF!T161*DEMANDA!H15</f>
        <v>90.4</v>
      </c>
      <c r="K214" s="42" t="n">
        <f aca="false">BOM_COEF!U161*DEMANDA!I15</f>
        <v>315</v>
      </c>
      <c r="L214" s="42" t="n">
        <f aca="false">BOM_COEF!V161*DEMANDA!J15</f>
        <v>583.4</v>
      </c>
      <c r="M214" s="42" t="n">
        <f aca="false">BOM_COEF!W161*DEMANDA!K15</f>
        <v>845.8</v>
      </c>
      <c r="N214" s="42" t="n">
        <f aca="false">BOM_COEF!X161*DEMANDA!L15</f>
        <v>1195.4</v>
      </c>
      <c r="O214" s="42" t="n">
        <f aca="false">BOM_COEF!Y161*DEMANDA!M15</f>
        <v>1545</v>
      </c>
      <c r="P214" s="42" t="n">
        <f aca="false">BOM_COEF!Z161*DEMANDA!N15</f>
        <v>1731.4</v>
      </c>
      <c r="Q214" s="42" t="n">
        <f aca="false">BOM_COEF!AA161*DEMANDA!O15</f>
        <v>2011</v>
      </c>
      <c r="R214" s="24" t="s">
        <v>2536</v>
      </c>
    </row>
  </sheetData>
  <autoFilter ref="A3:R21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4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2537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8" t="n">
        <v>0</v>
      </c>
      <c r="B4" s="38" t="s">
        <v>1777</v>
      </c>
      <c r="C4" s="38" t="s">
        <v>2088</v>
      </c>
      <c r="D4" s="38" t="s">
        <v>1778</v>
      </c>
      <c r="E4" s="38"/>
      <c r="F4" s="38"/>
      <c r="G4" s="38"/>
      <c r="H4" s="39" t="n">
        <f aca="false">SUM(H5:H12)</f>
        <v>216.62520688276</v>
      </c>
      <c r="I4" s="39" t="n">
        <f aca="false">SUM(I5:I12)</f>
        <v>393.926231371209</v>
      </c>
      <c r="J4" s="39" t="n">
        <f aca="false">SUM(J5:J12)</f>
        <v>726.91697319195</v>
      </c>
      <c r="K4" s="39" t="n">
        <f aca="false">SUM(K5:K12)</f>
        <v>1484.87998712258</v>
      </c>
      <c r="L4" s="39" t="n">
        <f aca="false">SUM(L5:L12)</f>
        <v>2460.36749513866</v>
      </c>
      <c r="M4" s="39" t="n">
        <f aca="false">SUM(M5:M12)</f>
        <v>3410.92399334663</v>
      </c>
      <c r="N4" s="39" t="n">
        <f aca="false">SUM(N5:N12)</f>
        <v>4593.93140072998</v>
      </c>
      <c r="O4" s="39" t="n">
        <f aca="false">SUM(O5:O12)</f>
        <v>5762.25568045042</v>
      </c>
      <c r="P4" s="39" t="n">
        <f aca="false">SUM(P5:P12)</f>
        <v>6464.54961481809</v>
      </c>
      <c r="Q4" s="39" t="n">
        <f aca="false">SUM(Q5:Q12)</f>
        <v>7459.19332538073</v>
      </c>
      <c r="R4" s="38"/>
    </row>
    <row r="5" customFormat="false" ht="15" hidden="false" customHeight="false" outlineLevel="1" collapsed="false">
      <c r="A5" s="24" t="n">
        <v>1</v>
      </c>
      <c r="B5" s="24" t="s">
        <v>1777</v>
      </c>
      <c r="C5" s="40" t="s">
        <v>2538</v>
      </c>
      <c r="D5" s="24" t="s">
        <v>1778</v>
      </c>
      <c r="E5" s="24" t="s">
        <v>230</v>
      </c>
      <c r="F5" s="41" t="n">
        <f aca="false">PROCESO!$I$4</f>
        <v>0.0185158167477095</v>
      </c>
      <c r="G5" s="24" t="s">
        <v>2281</v>
      </c>
      <c r="H5" s="42" t="n">
        <f aca="false">PROCESO!$I$4*DEMANDA!F4</f>
        <v>77.3727200671452</v>
      </c>
      <c r="I5" s="42" t="n">
        <f aca="false">PROCESO!$I$4*DEMANDA!G4</f>
        <v>111.044981418442</v>
      </c>
      <c r="J5" s="42" t="n">
        <f aca="false">PROCESO!$I$4*DEMANDA!H4</f>
        <v>126.865705888658</v>
      </c>
      <c r="K5" s="42" t="n">
        <f aca="false">PROCESO!$I$4*DEMANDA!I4</f>
        <v>156.775930203301</v>
      </c>
      <c r="L5" s="42" t="n">
        <f aca="false">PROCESO!$I$4*DEMANDA!J4</f>
        <v>234.792271503371</v>
      </c>
      <c r="M5" s="42" t="n">
        <f aca="false">PROCESO!$I$4*DEMANDA!K4</f>
        <v>289.221743396967</v>
      </c>
      <c r="N5" s="42" t="n">
        <f aca="false">PROCESO!$I$4*DEMANDA!L4</f>
        <v>376.473830175204</v>
      </c>
      <c r="O5" s="42" t="n">
        <f aca="false">PROCESO!$I$4*DEMANDA!M4</f>
        <v>465.340959624734</v>
      </c>
      <c r="P5" s="42" t="n">
        <f aca="false">PROCESO!$I$4*DEMANDA!N4</f>
        <v>529.058655838946</v>
      </c>
      <c r="Q5" s="42" t="n">
        <f aca="false">PROCESO!$I$4*DEMANDA!O4</f>
        <v>593.851108746498</v>
      </c>
      <c r="R5" s="24" t="s">
        <v>2539</v>
      </c>
    </row>
    <row r="6" customFormat="false" ht="15" hidden="false" customHeight="false" outlineLevel="1" collapsed="false">
      <c r="A6" s="24" t="n">
        <v>1</v>
      </c>
      <c r="B6" s="24" t="s">
        <v>1777</v>
      </c>
      <c r="C6" s="40" t="s">
        <v>2540</v>
      </c>
      <c r="D6" s="24" t="s">
        <v>1778</v>
      </c>
      <c r="E6" s="24" t="s">
        <v>258</v>
      </c>
      <c r="F6" s="41" t="n">
        <f aca="false">PROCESO!$I$4</f>
        <v>0.0185158167477095</v>
      </c>
      <c r="G6" s="24" t="s">
        <v>2281</v>
      </c>
      <c r="H6" s="42" t="n">
        <f aca="false">PROCESO!$I$4*DEMANDA!F12</f>
        <v>0</v>
      </c>
      <c r="I6" s="42" t="n">
        <f aca="false">PROCESO!$I$4*DEMANDA!G12</f>
        <v>0</v>
      </c>
      <c r="J6" s="42" t="n">
        <f aca="false">PROCESO!$I$4*DEMANDA!H12</f>
        <v>141.875594247649</v>
      </c>
      <c r="K6" s="42" t="n">
        <f aca="false">PROCESO!$I$4*DEMANDA!I12</f>
        <v>494.276024916756</v>
      </c>
      <c r="L6" s="42" t="n">
        <f aca="false">PROCESO!$I$4*DEMANDA!J12</f>
        <v>915.325697759671</v>
      </c>
      <c r="M6" s="42" t="n">
        <f aca="false">PROCESO!$I$4*DEMANDA!K12</f>
        <v>1327.21744763917</v>
      </c>
      <c r="N6" s="42" t="n">
        <f aca="false">PROCESO!$I$4*DEMANDA!L12</f>
        <v>1876.40397870293</v>
      </c>
      <c r="O6" s="42" t="n">
        <f aca="false">PROCESO!$I$4*DEMANDA!M12</f>
        <v>2425.5905097667</v>
      </c>
      <c r="P6" s="42" t="n">
        <f aca="false">PROCESO!$I$4*DEMANDA!N12</f>
        <v>2718.48851173536</v>
      </c>
      <c r="Q6" s="42" t="n">
        <f aca="false">PROCESO!$I$4*DEMANDA!O12</f>
        <v>3157.83551468836</v>
      </c>
      <c r="R6" s="24" t="s">
        <v>2539</v>
      </c>
    </row>
    <row r="7" customFormat="false" ht="15" hidden="false" customHeight="false" outlineLevel="1" collapsed="false">
      <c r="A7" s="24" t="n">
        <v>1</v>
      </c>
      <c r="B7" s="24" t="s">
        <v>1777</v>
      </c>
      <c r="C7" s="40" t="s">
        <v>2541</v>
      </c>
      <c r="D7" s="24" t="s">
        <v>1778</v>
      </c>
      <c r="E7" s="24" t="s">
        <v>234</v>
      </c>
      <c r="F7" s="41" t="n">
        <f aca="false">PROCESO!$I$17</f>
        <v>0.0375413447882944</v>
      </c>
      <c r="G7" s="24" t="s">
        <v>2281</v>
      </c>
      <c r="H7" s="42" t="n">
        <f aca="false">PROCESO!$I$17*DEMANDA!F5</f>
        <v>11.0758363626588</v>
      </c>
      <c r="I7" s="42" t="n">
        <f aca="false">PROCESO!$I$17*DEMANDA!G5</f>
        <v>26.6441229174294</v>
      </c>
      <c r="J7" s="42" t="n">
        <f aca="false">PROCESO!$I$17*DEMANDA!H5</f>
        <v>37.0483540109159</v>
      </c>
      <c r="K7" s="42" t="n">
        <f aca="false">PROCESO!$I$17*DEMANDA!I5</f>
        <v>56.3359750926105</v>
      </c>
      <c r="L7" s="42" t="n">
        <f aca="false">PROCESO!$I$17*DEMANDA!J5</f>
        <v>86.8191548287352</v>
      </c>
      <c r="M7" s="42" t="n">
        <f aca="false">PROCESO!$I$17*DEMANDA!K5</f>
        <v>122.117109979327</v>
      </c>
      <c r="N7" s="42" t="n">
        <f aca="false">PROCESO!$I$17*DEMANDA!L5</f>
        <v>154.006441516856</v>
      </c>
      <c r="O7" s="42" t="n">
        <f aca="false">PROCESO!$I$17*DEMANDA!M5</f>
        <v>191.622533487729</v>
      </c>
      <c r="P7" s="42" t="n">
        <f aca="false">PROCESO!$I$17*DEMANDA!N5</f>
        <v>232.575622776161</v>
      </c>
      <c r="Q7" s="42" t="n">
        <f aca="false">PROCESO!$I$17*DEMANDA!O5</f>
        <v>278.739170850483</v>
      </c>
      <c r="R7" s="24" t="s">
        <v>2542</v>
      </c>
    </row>
    <row r="8" customFormat="false" ht="15" hidden="false" customHeight="false" outlineLevel="1" collapsed="false">
      <c r="A8" s="24" t="n">
        <v>1</v>
      </c>
      <c r="B8" s="24" t="s">
        <v>1777</v>
      </c>
      <c r="C8" s="40" t="s">
        <v>2543</v>
      </c>
      <c r="D8" s="24" t="s">
        <v>1778</v>
      </c>
      <c r="E8" s="24" t="s">
        <v>261</v>
      </c>
      <c r="F8" s="41" t="n">
        <f aca="false">PROCESO!$I$17</f>
        <v>0.0375413447882944</v>
      </c>
      <c r="G8" s="24" t="s">
        <v>2281</v>
      </c>
      <c r="H8" s="42" t="n">
        <f aca="false">PROCESO!$I$17*DEMANDA!F13</f>
        <v>0</v>
      </c>
      <c r="I8" s="42" t="n">
        <f aca="false">PROCESO!$I$17*DEMANDA!G13</f>
        <v>0</v>
      </c>
      <c r="J8" s="42" t="n">
        <f aca="false">PROCESO!$I$17*DEMANDA!H13</f>
        <v>11.247386898573</v>
      </c>
      <c r="K8" s="42" t="n">
        <f aca="false">PROCESO!$I$17*DEMANDA!I13</f>
        <v>39.1856556900217</v>
      </c>
      <c r="L8" s="42" t="n">
        <f aca="false">PROCESO!$I$17*DEMANDA!J13</f>
        <v>72.567419475773</v>
      </c>
      <c r="M8" s="42" t="n">
        <f aca="false">PROCESO!$I$17*DEMANDA!K13</f>
        <v>105.228389441589</v>
      </c>
      <c r="N8" s="42" t="n">
        <f aca="false">PROCESO!$I$17*DEMANDA!L13</f>
        <v>148.776349396011</v>
      </c>
      <c r="O8" s="42" t="n">
        <f aca="false">PROCESO!$I$17*DEMANDA!M13</f>
        <v>192.324309350432</v>
      </c>
      <c r="P8" s="42" t="n">
        <f aca="false">PROCESO!$I$17*DEMANDA!N13</f>
        <v>215.539876967513</v>
      </c>
      <c r="Q8" s="42" t="n">
        <f aca="false">PROCESO!$I$17*DEMANDA!O13</f>
        <v>250.363228393135</v>
      </c>
      <c r="R8" s="24" t="s">
        <v>2542</v>
      </c>
    </row>
    <row r="9" customFormat="false" ht="15" hidden="false" customHeight="false" outlineLevel="1" collapsed="false">
      <c r="A9" s="24" t="n">
        <v>1</v>
      </c>
      <c r="B9" s="24" t="s">
        <v>1777</v>
      </c>
      <c r="C9" s="40" t="s">
        <v>2544</v>
      </c>
      <c r="D9" s="24" t="s">
        <v>1778</v>
      </c>
      <c r="E9" s="24" t="s">
        <v>238</v>
      </c>
      <c r="F9" s="41" t="n">
        <f aca="false">PROCESO!$I$30</f>
        <v>0.0453864664264621</v>
      </c>
      <c r="G9" s="24" t="s">
        <v>2281</v>
      </c>
      <c r="H9" s="42" t="n">
        <f aca="false">PROCESO!$I$30*DEMANDA!F6</f>
        <v>122.987022422495</v>
      </c>
      <c r="I9" s="42" t="n">
        <f aca="false">PROCESO!$I$30*DEMANDA!G6</f>
        <v>246.220621846773</v>
      </c>
      <c r="J9" s="42" t="n">
        <f aca="false">PROCESO!$I$30*DEMANDA!H6</f>
        <v>323.357586177989</v>
      </c>
      <c r="K9" s="42" t="n">
        <f aca="false">PROCESO!$I$30*DEMANDA!I6</f>
        <v>466.441949114355</v>
      </c>
      <c r="L9" s="42" t="n">
        <f aca="false">PROCESO!$I$30*DEMANDA!J6</f>
        <v>650.810473011046</v>
      </c>
      <c r="M9" s="42" t="n">
        <f aca="false">PROCESO!$I$30*DEMANDA!K6</f>
        <v>842.144255622725</v>
      </c>
      <c r="N9" s="42" t="n">
        <f aca="false">PROCESO!$I$30*DEMANDA!L6</f>
        <v>1019.32374945814</v>
      </c>
      <c r="O9" s="42" t="n">
        <f aca="false">PROCESO!$I$30*DEMANDA!M6</f>
        <v>1173.70248046406</v>
      </c>
      <c r="P9" s="42" t="n">
        <f aca="false">PROCESO!$I$30*DEMANDA!N6</f>
        <v>1293.86488318341</v>
      </c>
      <c r="Q9" s="42" t="n">
        <f aca="false">PROCESO!$I$30*DEMANDA!O6</f>
        <v>1466.83516531954</v>
      </c>
      <c r="R9" s="24" t="s">
        <v>2545</v>
      </c>
    </row>
    <row r="10" customFormat="false" ht="15" hidden="false" customHeight="false" outlineLevel="1" collapsed="false">
      <c r="A10" s="24" t="n">
        <v>1</v>
      </c>
      <c r="B10" s="24" t="s">
        <v>1777</v>
      </c>
      <c r="C10" s="40" t="s">
        <v>2546</v>
      </c>
      <c r="D10" s="24" t="s">
        <v>1778</v>
      </c>
      <c r="E10" s="24" t="s">
        <v>264</v>
      </c>
      <c r="F10" s="41" t="n">
        <f aca="false">PROCESO!$I$30</f>
        <v>0.0453864664264621</v>
      </c>
      <c r="G10" s="24" t="s">
        <v>2281</v>
      </c>
      <c r="H10" s="42" t="n">
        <f aca="false">PROCESO!$I$30*DEMANDA!F14</f>
        <v>0</v>
      </c>
      <c r="I10" s="42" t="n">
        <f aca="false">PROCESO!$I$30*DEMANDA!G14</f>
        <v>0</v>
      </c>
      <c r="J10" s="42" t="n">
        <f aca="false">PROCESO!$I$30*DEMANDA!H14</f>
        <v>67.1175065514522</v>
      </c>
      <c r="K10" s="42" t="n">
        <f aca="false">PROCESO!$I$30*DEMANDA!I14</f>
        <v>233.831075029133</v>
      </c>
      <c r="L10" s="42" t="n">
        <f aca="false">PROCESO!$I$30*DEMANDA!J14</f>
        <v>433.02319888159</v>
      </c>
      <c r="M10" s="42" t="n">
        <f aca="false">PROCESO!$I$30*DEMANDA!K14</f>
        <v>627.885453836963</v>
      </c>
      <c r="N10" s="42" t="n">
        <f aca="false">PROCESO!$I$30*DEMANDA!L14</f>
        <v>887.695742248602</v>
      </c>
      <c r="O10" s="42" t="n">
        <f aca="false">PROCESO!$I$30*DEMANDA!M14</f>
        <v>1147.50603066024</v>
      </c>
      <c r="P10" s="42" t="n">
        <f aca="false">PROCESO!$I$30*DEMANDA!N14</f>
        <v>1286.06183536695</v>
      </c>
      <c r="Q10" s="42" t="n">
        <f aca="false">PROCESO!$I$30*DEMANDA!O14</f>
        <v>1493.895542427</v>
      </c>
      <c r="R10" s="24" t="s">
        <v>2545</v>
      </c>
    </row>
    <row r="11" customFormat="false" ht="15" hidden="false" customHeight="false" outlineLevel="1" collapsed="false">
      <c r="A11" s="24" t="n">
        <v>1</v>
      </c>
      <c r="B11" s="24" t="s">
        <v>1777</v>
      </c>
      <c r="C11" s="40" t="s">
        <v>2547</v>
      </c>
      <c r="D11" s="24" t="s">
        <v>1778</v>
      </c>
      <c r="E11" s="24" t="s">
        <v>241</v>
      </c>
      <c r="F11" s="41" t="n">
        <f aca="false">PROCESO!$I$43</f>
        <v>0.0565114694274797</v>
      </c>
      <c r="G11" s="24" t="s">
        <v>2281</v>
      </c>
      <c r="H11" s="42" t="n">
        <f aca="false">PROCESO!$I$43*DEMANDA!F7</f>
        <v>5.18962803046079</v>
      </c>
      <c r="I11" s="42" t="n">
        <f aca="false">PROCESO!$I$43*DEMANDA!G7</f>
        <v>10.0165051885655</v>
      </c>
      <c r="J11" s="42" t="n">
        <f aca="false">PROCESO!$I$43*DEMANDA!H7</f>
        <v>14.2962025804688</v>
      </c>
      <c r="K11" s="42" t="n">
        <f aca="false">PROCESO!$I$43*DEMANDA!I7</f>
        <v>20.2322642067433</v>
      </c>
      <c r="L11" s="42" t="n">
        <f aca="false">PROCESO!$I$43*DEMANDA!J7</f>
        <v>34.0604884144839</v>
      </c>
      <c r="M11" s="42" t="n">
        <f aca="false">PROCESO!$I$43*DEMANDA!K7</f>
        <v>49.312192588133</v>
      </c>
      <c r="N11" s="42" t="n">
        <f aca="false">PROCESO!$I$43*DEMANDA!L7</f>
        <v>63.6974986786289</v>
      </c>
      <c r="O11" s="42" t="n">
        <f aca="false">PROCESO!$I$43*DEMANDA!M7</f>
        <v>78.8586368310732</v>
      </c>
      <c r="P11" s="42" t="n">
        <f aca="false">PROCESO!$I$43*DEMANDA!N7</f>
        <v>91.1162707830163</v>
      </c>
      <c r="Q11" s="42" t="n">
        <f aca="false">PROCESO!$I$43*DEMANDA!O7</f>
        <v>104.029029937043</v>
      </c>
      <c r="R11" s="24" t="s">
        <v>2548</v>
      </c>
    </row>
    <row r="12" customFormat="false" ht="15" hidden="false" customHeight="false" outlineLevel="1" collapsed="false">
      <c r="A12" s="24" t="n">
        <v>1</v>
      </c>
      <c r="B12" s="24" t="s">
        <v>1777</v>
      </c>
      <c r="C12" s="40" t="s">
        <v>2549</v>
      </c>
      <c r="D12" s="24" t="s">
        <v>1778</v>
      </c>
      <c r="E12" s="24" t="s">
        <v>267</v>
      </c>
      <c r="F12" s="41" t="n">
        <f aca="false">PROCESO!$I$43</f>
        <v>0.0565114694274797</v>
      </c>
      <c r="G12" s="24" t="s">
        <v>2281</v>
      </c>
      <c r="H12" s="42" t="n">
        <f aca="false">PROCESO!$I$43*DEMANDA!F15</f>
        <v>0</v>
      </c>
      <c r="I12" s="42" t="n">
        <f aca="false">PROCESO!$I$43*DEMANDA!G15</f>
        <v>0</v>
      </c>
      <c r="J12" s="42" t="n">
        <f aca="false">PROCESO!$I$43*DEMANDA!H15</f>
        <v>5.10863683624417</v>
      </c>
      <c r="K12" s="42" t="n">
        <f aca="false">PROCESO!$I$43*DEMANDA!I15</f>
        <v>17.8011128696561</v>
      </c>
      <c r="L12" s="42" t="n">
        <f aca="false">PROCESO!$I$43*DEMANDA!J15</f>
        <v>32.9687912639917</v>
      </c>
      <c r="M12" s="42" t="n">
        <f aca="false">PROCESO!$I$43*DEMANDA!K15</f>
        <v>47.7974008417623</v>
      </c>
      <c r="N12" s="42" t="n">
        <f aca="false">PROCESO!$I$43*DEMANDA!L15</f>
        <v>67.5538105536093</v>
      </c>
      <c r="O12" s="42" t="n">
        <f aca="false">PROCESO!$I$43*DEMANDA!M15</f>
        <v>87.3102202654562</v>
      </c>
      <c r="P12" s="42" t="n">
        <f aca="false">PROCESO!$I$43*DEMANDA!N15</f>
        <v>97.8439581667384</v>
      </c>
      <c r="Q12" s="42" t="n">
        <f aca="false">PROCESO!$I$43*DEMANDA!O15</f>
        <v>113.644565018662</v>
      </c>
      <c r="R12" s="24" t="s">
        <v>2548</v>
      </c>
    </row>
    <row r="13" customFormat="false" ht="15" hidden="false" customHeight="false" outlineLevel="0" collapsed="false">
      <c r="A13" s="38" t="n">
        <v>0</v>
      </c>
      <c r="B13" s="38" t="s">
        <v>1788</v>
      </c>
      <c r="C13" s="38" t="s">
        <v>2092</v>
      </c>
      <c r="D13" s="38" t="s">
        <v>82</v>
      </c>
      <c r="E13" s="38"/>
      <c r="F13" s="38"/>
      <c r="G13" s="38"/>
      <c r="H13" s="39" t="n">
        <f aca="false">SUM(H14:H21)</f>
        <v>43.8484275905494</v>
      </c>
      <c r="I13" s="39" t="n">
        <f aca="false">SUM(I14:I21)</f>
        <v>79.7380847012812</v>
      </c>
      <c r="J13" s="39" t="n">
        <f aca="false">SUM(J14:J21)</f>
        <v>147.13948487214</v>
      </c>
      <c r="K13" s="39" t="n">
        <f aca="false">SUM(K14:K21)</f>
        <v>300.559752431734</v>
      </c>
      <c r="L13" s="39" t="n">
        <f aca="false">SUM(L14:L21)</f>
        <v>498.009063671931</v>
      </c>
      <c r="M13" s="39" t="n">
        <f aca="false">SUM(M14:M21)</f>
        <v>690.41276183515</v>
      </c>
      <c r="N13" s="39" t="n">
        <f aca="false">SUM(N14:N21)</f>
        <v>929.865319587688</v>
      </c>
      <c r="O13" s="39" t="n">
        <f aca="false">SUM(O14:O21)</f>
        <v>1166.34560397663</v>
      </c>
      <c r="P13" s="39" t="n">
        <f aca="false">SUM(P14:P21)</f>
        <v>1308.4978561772</v>
      </c>
      <c r="Q13" s="39" t="n">
        <f aca="false">SUM(Q14:Q21)</f>
        <v>1509.82502370764</v>
      </c>
      <c r="R13" s="38"/>
    </row>
    <row r="14" customFormat="false" ht="15" hidden="false" customHeight="false" outlineLevel="1" collapsed="false">
      <c r="A14" s="24" t="n">
        <v>1</v>
      </c>
      <c r="B14" s="24" t="s">
        <v>1788</v>
      </c>
      <c r="C14" s="40" t="s">
        <v>2361</v>
      </c>
      <c r="D14" s="24" t="s">
        <v>82</v>
      </c>
      <c r="E14" s="24" t="s">
        <v>230</v>
      </c>
      <c r="F14" s="41" t="n">
        <f aca="false">PROCESO!$I$6</f>
        <v>0.0037475</v>
      </c>
      <c r="G14" s="24" t="s">
        <v>2281</v>
      </c>
      <c r="H14" s="42" t="n">
        <f aca="false">PROCESO!$I$6*DEMANDA!F4</f>
        <v>15.6598151948925</v>
      </c>
      <c r="I14" s="42" t="n">
        <f aca="false">PROCESO!$I$6*DEMANDA!G4</f>
        <v>22.4748966538075</v>
      </c>
      <c r="J14" s="42" t="n">
        <f aca="false">PROCESO!$I$6*DEMANDA!H4</f>
        <v>25.676924723105</v>
      </c>
      <c r="K14" s="42" t="n">
        <f aca="false">PROCESO!$I$6*DEMANDA!I4</f>
        <v>31.7305904698775</v>
      </c>
      <c r="L14" s="42" t="n">
        <f aca="false">PROCESO!$I$6*DEMANDA!J4</f>
        <v>47.520671080725</v>
      </c>
      <c r="M14" s="42" t="n">
        <f aca="false">PROCESO!$I$6*DEMANDA!K4</f>
        <v>58.536898379825</v>
      </c>
      <c r="N14" s="42" t="n">
        <f aca="false">PROCESO!$I$6*DEMANDA!L4</f>
        <v>76.19624334185</v>
      </c>
      <c r="O14" s="42" t="n">
        <f aca="false">PROCESO!$I$6*DEMANDA!M4</f>
        <v>94.1824641038</v>
      </c>
      <c r="P14" s="42" t="n">
        <f aca="false">PROCESO!$I$6*DEMANDA!N4</f>
        <v>107.07857718465</v>
      </c>
      <c r="Q14" s="42" t="n">
        <f aca="false">PROCESO!$I$6*DEMANDA!O4</f>
        <v>120.192215139675</v>
      </c>
      <c r="R14" s="24" t="s">
        <v>2550</v>
      </c>
    </row>
    <row r="15" customFormat="false" ht="15" hidden="false" customHeight="false" outlineLevel="1" collapsed="false">
      <c r="A15" s="24" t="n">
        <v>1</v>
      </c>
      <c r="B15" s="24" t="s">
        <v>1788</v>
      </c>
      <c r="C15" s="40" t="s">
        <v>2363</v>
      </c>
      <c r="D15" s="24" t="s">
        <v>82</v>
      </c>
      <c r="E15" s="24" t="s">
        <v>258</v>
      </c>
      <c r="F15" s="41" t="n">
        <f aca="false">PROCESO!$I$6</f>
        <v>0.0037475</v>
      </c>
      <c r="G15" s="24" t="s">
        <v>2281</v>
      </c>
      <c r="H15" s="42" t="n">
        <f aca="false">PROCESO!$I$6*DEMANDA!F12</f>
        <v>0</v>
      </c>
      <c r="I15" s="42" t="n">
        <f aca="false">PROCESO!$I$6*DEMANDA!G12</f>
        <v>0</v>
      </c>
      <c r="J15" s="42" t="n">
        <f aca="false">PROCESO!$I$6*DEMANDA!H12</f>
        <v>28.714844</v>
      </c>
      <c r="K15" s="42" t="n">
        <f aca="false">PROCESO!$I$6*DEMANDA!I12</f>
        <v>100.038763</v>
      </c>
      <c r="L15" s="42" t="n">
        <f aca="false">PROCESO!$I$6*DEMANDA!J12</f>
        <v>185.256913</v>
      </c>
      <c r="M15" s="42" t="n">
        <f aca="false">PROCESO!$I$6*DEMANDA!K12</f>
        <v>268.6215495</v>
      </c>
      <c r="N15" s="42" t="n">
        <f aca="false">PROCESO!$I$6*DEMANDA!L12</f>
        <v>379.7738985</v>
      </c>
      <c r="O15" s="42" t="n">
        <f aca="false">PROCESO!$I$6*DEMANDA!M12</f>
        <v>490.9262475</v>
      </c>
      <c r="P15" s="42" t="n">
        <f aca="false">PROCESO!$I$6*DEMANDA!N12</f>
        <v>550.2072005</v>
      </c>
      <c r="Q15" s="42" t="n">
        <f aca="false">PROCESO!$I$6*DEMANDA!O12</f>
        <v>639.12863</v>
      </c>
      <c r="R15" s="24" t="s">
        <v>2550</v>
      </c>
    </row>
    <row r="16" customFormat="false" ht="15" hidden="false" customHeight="false" outlineLevel="1" collapsed="false">
      <c r="A16" s="24" t="n">
        <v>1</v>
      </c>
      <c r="B16" s="24" t="s">
        <v>1788</v>
      </c>
      <c r="C16" s="40" t="s">
        <v>2364</v>
      </c>
      <c r="D16" s="24" t="s">
        <v>82</v>
      </c>
      <c r="E16" s="24" t="s">
        <v>234</v>
      </c>
      <c r="F16" s="41" t="n">
        <f aca="false">PROCESO!$I$19</f>
        <v>0.0076</v>
      </c>
      <c r="G16" s="24" t="s">
        <v>2281</v>
      </c>
      <c r="H16" s="42" t="n">
        <f aca="false">PROCESO!$I$19*DEMANDA!F5</f>
        <v>2.24223071472</v>
      </c>
      <c r="I16" s="42" t="n">
        <f aca="false">PROCESO!$I$19*DEMANDA!G5</f>
        <v>5.39392862228</v>
      </c>
      <c r="J16" s="42" t="n">
        <f aca="false">PROCESO!$I$19*DEMANDA!H5</f>
        <v>7.50019723776</v>
      </c>
      <c r="K16" s="42" t="n">
        <f aca="false">PROCESO!$I$19*DEMANDA!I5</f>
        <v>11.4048501224</v>
      </c>
      <c r="L16" s="42" t="n">
        <f aca="false">PROCESO!$I$19*DEMANDA!J5</f>
        <v>17.5759707176</v>
      </c>
      <c r="M16" s="42" t="n">
        <f aca="false">PROCESO!$I$19*DEMANDA!K5</f>
        <v>24.7218111412</v>
      </c>
      <c r="N16" s="42" t="n">
        <f aca="false">PROCESO!$I$19*DEMANDA!L5</f>
        <v>31.1775979824</v>
      </c>
      <c r="O16" s="42" t="n">
        <f aca="false">PROCESO!$I$19*DEMANDA!M5</f>
        <v>38.7927300612</v>
      </c>
      <c r="P16" s="42" t="n">
        <f aca="false">PROCESO!$I$19*DEMANDA!N5</f>
        <v>47.0834154468</v>
      </c>
      <c r="Q16" s="42" t="n">
        <f aca="false">PROCESO!$I$19*DEMANDA!O5</f>
        <v>56.4289241744</v>
      </c>
      <c r="R16" s="24" t="s">
        <v>2551</v>
      </c>
    </row>
    <row r="17" customFormat="false" ht="15" hidden="false" customHeight="false" outlineLevel="1" collapsed="false">
      <c r="A17" s="24" t="n">
        <v>1</v>
      </c>
      <c r="B17" s="24" t="s">
        <v>1788</v>
      </c>
      <c r="C17" s="40" t="s">
        <v>2366</v>
      </c>
      <c r="D17" s="24" t="s">
        <v>82</v>
      </c>
      <c r="E17" s="24" t="s">
        <v>261</v>
      </c>
      <c r="F17" s="41" t="n">
        <f aca="false">PROCESO!$I$19</f>
        <v>0.0076</v>
      </c>
      <c r="G17" s="24" t="s">
        <v>2281</v>
      </c>
      <c r="H17" s="42" t="n">
        <f aca="false">PROCESO!$I$19*DEMANDA!F13</f>
        <v>0</v>
      </c>
      <c r="I17" s="42" t="n">
        <f aca="false">PROCESO!$I$19*DEMANDA!G13</f>
        <v>0</v>
      </c>
      <c r="J17" s="42" t="n">
        <f aca="false">PROCESO!$I$19*DEMANDA!H13</f>
        <v>2.27696</v>
      </c>
      <c r="K17" s="42" t="n">
        <f aca="false">PROCESO!$I$19*DEMANDA!I13</f>
        <v>7.93288</v>
      </c>
      <c r="L17" s="42" t="n">
        <f aca="false">PROCESO!$I$19*DEMANDA!J13</f>
        <v>14.6908</v>
      </c>
      <c r="M17" s="42" t="n">
        <f aca="false">PROCESO!$I$19*DEMANDA!K13</f>
        <v>21.3028</v>
      </c>
      <c r="N17" s="42" t="n">
        <f aca="false">PROCESO!$I$19*DEMANDA!L13</f>
        <v>30.1188</v>
      </c>
      <c r="O17" s="42" t="n">
        <f aca="false">PROCESO!$I$19*DEMANDA!M13</f>
        <v>38.9348</v>
      </c>
      <c r="P17" s="42" t="n">
        <f aca="false">PROCESO!$I$19*DEMANDA!N13</f>
        <v>43.63464</v>
      </c>
      <c r="Q17" s="42" t="n">
        <f aca="false">PROCESO!$I$19*DEMANDA!O13</f>
        <v>50.6844</v>
      </c>
      <c r="R17" s="24" t="s">
        <v>2551</v>
      </c>
    </row>
    <row r="18" customFormat="false" ht="15" hidden="false" customHeight="false" outlineLevel="1" collapsed="false">
      <c r="A18" s="24" t="n">
        <v>1</v>
      </c>
      <c r="B18" s="24" t="s">
        <v>1788</v>
      </c>
      <c r="C18" s="40" t="s">
        <v>2367</v>
      </c>
      <c r="D18" s="24" t="s">
        <v>82</v>
      </c>
      <c r="E18" s="24" t="s">
        <v>238</v>
      </c>
      <c r="F18" s="41" t="n">
        <f aca="false">PROCESO!$I$32</f>
        <v>0.0091875</v>
      </c>
      <c r="G18" s="24" t="s">
        <v>2281</v>
      </c>
      <c r="H18" s="42" t="n">
        <f aca="false">PROCESO!$I$32*DEMANDA!F6</f>
        <v>24.8960396671875</v>
      </c>
      <c r="I18" s="42" t="n">
        <f aca="false">PROCESO!$I$32*DEMANDA!G6</f>
        <v>49.8419934691875</v>
      </c>
      <c r="J18" s="42" t="n">
        <f aca="false">PROCESO!$I$32*DEMANDA!H6</f>
        <v>65.4566891173125</v>
      </c>
      <c r="K18" s="42" t="n">
        <f aca="false">PROCESO!$I$32*DEMANDA!I6</f>
        <v>94.4209969381875</v>
      </c>
      <c r="L18" s="42" t="n">
        <f aca="false">PROCESO!$I$32*DEMANDA!J6</f>
        <v>131.74238251125</v>
      </c>
      <c r="M18" s="42" t="n">
        <f aca="false">PROCESO!$I$32*DEMANDA!K6</f>
        <v>170.473732760625</v>
      </c>
      <c r="N18" s="42" t="n">
        <f aca="false">PROCESO!$I$32*DEMANDA!L6</f>
        <v>206.33985603</v>
      </c>
      <c r="O18" s="42" t="n">
        <f aca="false">PROCESO!$I$32*DEMANDA!M6</f>
        <v>237.590462274375</v>
      </c>
      <c r="P18" s="42" t="n">
        <f aca="false">PROCESO!$I$32*DEMANDA!N6</f>
        <v>261.914719303125</v>
      </c>
      <c r="Q18" s="42" t="n">
        <f aca="false">PROCESO!$I$32*DEMANDA!O6</f>
        <v>296.92877949</v>
      </c>
      <c r="R18" s="24" t="s">
        <v>2552</v>
      </c>
    </row>
    <row r="19" customFormat="false" ht="15" hidden="false" customHeight="false" outlineLevel="1" collapsed="false">
      <c r="A19" s="24" t="n">
        <v>1</v>
      </c>
      <c r="B19" s="24" t="s">
        <v>1788</v>
      </c>
      <c r="C19" s="40" t="s">
        <v>2369</v>
      </c>
      <c r="D19" s="24" t="s">
        <v>82</v>
      </c>
      <c r="E19" s="24" t="s">
        <v>264</v>
      </c>
      <c r="F19" s="41" t="n">
        <f aca="false">PROCESO!$I$32</f>
        <v>0.0091875</v>
      </c>
      <c r="G19" s="24" t="s">
        <v>2281</v>
      </c>
      <c r="H19" s="42" t="n">
        <f aca="false">PROCESO!$I$32*DEMANDA!F14</f>
        <v>0</v>
      </c>
      <c r="I19" s="42" t="n">
        <f aca="false">PROCESO!$I$32*DEMANDA!G14</f>
        <v>0</v>
      </c>
      <c r="J19" s="42" t="n">
        <f aca="false">PROCESO!$I$32*DEMANDA!H14</f>
        <v>13.586475</v>
      </c>
      <c r="K19" s="42" t="n">
        <f aca="false">PROCESO!$I$32*DEMANDA!I14</f>
        <v>47.334</v>
      </c>
      <c r="L19" s="42" t="n">
        <f aca="false">PROCESO!$I$32*DEMANDA!J14</f>
        <v>87.6561</v>
      </c>
      <c r="M19" s="42" t="n">
        <f aca="false">PROCESO!$I$32*DEMANDA!K14</f>
        <v>127.1017125</v>
      </c>
      <c r="N19" s="42" t="n">
        <f aca="false">PROCESO!$I$32*DEMANDA!L14</f>
        <v>179.6946375</v>
      </c>
      <c r="O19" s="42" t="n">
        <f aca="false">PROCESO!$I$32*DEMANDA!M14</f>
        <v>232.2875625</v>
      </c>
      <c r="P19" s="42" t="n">
        <f aca="false">PROCESO!$I$32*DEMANDA!N14</f>
        <v>260.3351625</v>
      </c>
      <c r="Q19" s="42" t="n">
        <f aca="false">PROCESO!$I$32*DEMANDA!O14</f>
        <v>302.4065625</v>
      </c>
      <c r="R19" s="24" t="s">
        <v>2552</v>
      </c>
    </row>
    <row r="20" customFormat="false" ht="15" hidden="false" customHeight="false" outlineLevel="1" collapsed="false">
      <c r="A20" s="24" t="n">
        <v>1</v>
      </c>
      <c r="B20" s="24" t="s">
        <v>1788</v>
      </c>
      <c r="C20" s="40" t="s">
        <v>2370</v>
      </c>
      <c r="D20" s="24" t="s">
        <v>82</v>
      </c>
      <c r="E20" s="24" t="s">
        <v>241</v>
      </c>
      <c r="F20" s="41" t="n">
        <f aca="false">PROCESO!$I$45</f>
        <v>0.0114375</v>
      </c>
      <c r="G20" s="24" t="s">
        <v>2281</v>
      </c>
      <c r="H20" s="42" t="n">
        <f aca="false">PROCESO!$I$45*DEMANDA!F7</f>
        <v>1.05034201374938</v>
      </c>
      <c r="I20" s="42" t="n">
        <f aca="false">PROCESO!$I$45*DEMANDA!G7</f>
        <v>2.02726595600625</v>
      </c>
      <c r="J20" s="42" t="n">
        <f aca="false">PROCESO!$I$45*DEMANDA!H7</f>
        <v>2.8934447939625</v>
      </c>
      <c r="K20" s="42" t="n">
        <f aca="false">PROCESO!$I$45*DEMANDA!I7</f>
        <v>4.09485940126875</v>
      </c>
      <c r="L20" s="42" t="n">
        <f aca="false">PROCESO!$I$45*DEMANDA!J7</f>
        <v>6.89358886235625</v>
      </c>
      <c r="M20" s="42" t="n">
        <f aca="false">PROCESO!$I$45*DEMANDA!K7</f>
        <v>9.9804200535</v>
      </c>
      <c r="N20" s="42" t="n">
        <f aca="false">PROCESO!$I$45*DEMANDA!L7</f>
        <v>12.8918987334375</v>
      </c>
      <c r="O20" s="42" t="n">
        <f aca="false">PROCESO!$I$45*DEMANDA!M7</f>
        <v>15.96040003725</v>
      </c>
      <c r="P20" s="42" t="n">
        <f aca="false">PROCESO!$I$45*DEMANDA!N7</f>
        <v>18.441253742625</v>
      </c>
      <c r="Q20" s="42" t="n">
        <f aca="false">PROCESO!$I$45*DEMANDA!O7</f>
        <v>21.0546999035625</v>
      </c>
      <c r="R20" s="24" t="s">
        <v>2553</v>
      </c>
    </row>
    <row r="21" customFormat="false" ht="15" hidden="false" customHeight="false" outlineLevel="1" collapsed="false">
      <c r="A21" s="24" t="n">
        <v>1</v>
      </c>
      <c r="B21" s="24" t="s">
        <v>1788</v>
      </c>
      <c r="C21" s="40" t="s">
        <v>2372</v>
      </c>
      <c r="D21" s="24" t="s">
        <v>82</v>
      </c>
      <c r="E21" s="24" t="s">
        <v>267</v>
      </c>
      <c r="F21" s="41" t="n">
        <f aca="false">PROCESO!$I$45</f>
        <v>0.0114375</v>
      </c>
      <c r="G21" s="24" t="s">
        <v>2281</v>
      </c>
      <c r="H21" s="42" t="n">
        <f aca="false">PROCESO!$I$45*DEMANDA!F15</f>
        <v>0</v>
      </c>
      <c r="I21" s="42" t="n">
        <f aca="false">PROCESO!$I$45*DEMANDA!G15</f>
        <v>0</v>
      </c>
      <c r="J21" s="42" t="n">
        <f aca="false">PROCESO!$I$45*DEMANDA!H15</f>
        <v>1.03395</v>
      </c>
      <c r="K21" s="42" t="n">
        <f aca="false">PROCESO!$I$45*DEMANDA!I15</f>
        <v>3.6028125</v>
      </c>
      <c r="L21" s="42" t="n">
        <f aca="false">PROCESO!$I$45*DEMANDA!J15</f>
        <v>6.6726375</v>
      </c>
      <c r="M21" s="42" t="n">
        <f aca="false">PROCESO!$I$45*DEMANDA!K15</f>
        <v>9.6738375</v>
      </c>
      <c r="N21" s="42" t="n">
        <f aca="false">PROCESO!$I$45*DEMANDA!L15</f>
        <v>13.6723875</v>
      </c>
      <c r="O21" s="42" t="n">
        <f aca="false">PROCESO!$I$45*DEMANDA!M15</f>
        <v>17.6709375</v>
      </c>
      <c r="P21" s="42" t="n">
        <f aca="false">PROCESO!$I$45*DEMANDA!N15</f>
        <v>19.8028875</v>
      </c>
      <c r="Q21" s="42" t="n">
        <f aca="false">PROCESO!$I$45*DEMANDA!O15</f>
        <v>23.0008125</v>
      </c>
      <c r="R21" s="24" t="s">
        <v>2553</v>
      </c>
    </row>
    <row r="22" customFormat="false" ht="15" hidden="false" customHeight="false" outlineLevel="0" collapsed="false">
      <c r="A22" s="38" t="n">
        <v>0</v>
      </c>
      <c r="B22" s="38" t="s">
        <v>1791</v>
      </c>
      <c r="C22" s="38" t="s">
        <v>2099</v>
      </c>
      <c r="D22" s="38" t="s">
        <v>82</v>
      </c>
      <c r="E22" s="38"/>
      <c r="F22" s="38"/>
      <c r="G22" s="38"/>
      <c r="H22" s="39" t="n">
        <f aca="false">SUM(H23:H30)</f>
        <v>48.5024873782</v>
      </c>
      <c r="I22" s="39" t="n">
        <f aca="false">SUM(I23:I30)</f>
        <v>82.0617173666667</v>
      </c>
      <c r="J22" s="39" t="n">
        <f aca="false">SUM(J23:J30)</f>
        <v>164.982214576</v>
      </c>
      <c r="K22" s="39" t="n">
        <f aca="false">SUM(K23:K30)</f>
        <v>358.723396867333</v>
      </c>
      <c r="L22" s="39" t="n">
        <f aca="false">SUM(L23:L30)</f>
        <v>609.515236852667</v>
      </c>
      <c r="M22" s="39" t="n">
        <f aca="false">SUM(M23:M30)</f>
        <v>849.75928066</v>
      </c>
      <c r="N22" s="39" t="n">
        <f aca="false">SUM(N23:N30)</f>
        <v>1160.52259446</v>
      </c>
      <c r="O22" s="39" t="n">
        <f aca="false">SUM(O23:O30)</f>
        <v>1469.62677499333</v>
      </c>
      <c r="P22" s="39" t="n">
        <f aca="false">SUM(P23:P30)</f>
        <v>1650.11331324667</v>
      </c>
      <c r="Q22" s="39" t="n">
        <f aca="false">SUM(Q23:Q30)</f>
        <v>1905.33416248667</v>
      </c>
      <c r="R22" s="38"/>
    </row>
    <row r="23" customFormat="false" ht="15" hidden="false" customHeight="false" outlineLevel="1" collapsed="false">
      <c r="A23" s="24" t="n">
        <v>1</v>
      </c>
      <c r="B23" s="24" t="s">
        <v>1791</v>
      </c>
      <c r="C23" s="40" t="s">
        <v>2554</v>
      </c>
      <c r="D23" s="24" t="s">
        <v>82</v>
      </c>
      <c r="E23" s="24" t="s">
        <v>230</v>
      </c>
      <c r="F23" s="41" t="n">
        <f aca="false">PROCESO!$I$7</f>
        <v>0.00666666666666667</v>
      </c>
      <c r="G23" s="24" t="s">
        <v>2281</v>
      </c>
      <c r="H23" s="42" t="n">
        <f aca="false">PROCESO!$I$7*DEMANDA!F4</f>
        <v>27.85824362</v>
      </c>
      <c r="I23" s="42" t="n">
        <f aca="false">PROCESO!$I$7*DEMANDA!G4</f>
        <v>39.9820265133333</v>
      </c>
      <c r="J23" s="42" t="n">
        <f aca="false">PROCESO!$I$7*DEMANDA!H4</f>
        <v>45.6783183866667</v>
      </c>
      <c r="K23" s="42" t="n">
        <f aca="false">PROCESO!$I$7*DEMANDA!I4</f>
        <v>56.4475703266667</v>
      </c>
      <c r="L23" s="42" t="n">
        <f aca="false">PROCESO!$I$7*DEMANDA!J4</f>
        <v>84.5375514</v>
      </c>
      <c r="M23" s="42" t="n">
        <f aca="false">PROCESO!$I$7*DEMANDA!K4</f>
        <v>104.135020466667</v>
      </c>
      <c r="N23" s="42" t="n">
        <f aca="false">PROCESO!$I$7*DEMANDA!L4</f>
        <v>135.550355066667</v>
      </c>
      <c r="O23" s="42" t="n">
        <f aca="false">PROCESO!$I$7*DEMANDA!M4</f>
        <v>167.547189866667</v>
      </c>
      <c r="P23" s="42" t="n">
        <f aca="false">PROCESO!$I$7*DEMANDA!N4</f>
        <v>190.4889076</v>
      </c>
      <c r="Q23" s="42" t="n">
        <f aca="false">PROCESO!$I$7*DEMANDA!O4</f>
        <v>213.8175942</v>
      </c>
      <c r="R23" s="24" t="s">
        <v>2555</v>
      </c>
    </row>
    <row r="24" customFormat="false" ht="15" hidden="false" customHeight="false" outlineLevel="1" collapsed="false">
      <c r="A24" s="24" t="n">
        <v>1</v>
      </c>
      <c r="B24" s="24" t="s">
        <v>1791</v>
      </c>
      <c r="C24" s="40" t="s">
        <v>2556</v>
      </c>
      <c r="D24" s="24" t="s">
        <v>82</v>
      </c>
      <c r="E24" s="24" t="s">
        <v>258</v>
      </c>
      <c r="F24" s="41" t="n">
        <f aca="false">PROCESO!$I$7</f>
        <v>0.00666666666666667</v>
      </c>
      <c r="G24" s="24" t="s">
        <v>2281</v>
      </c>
      <c r="H24" s="42" t="n">
        <f aca="false">PROCESO!$I$7*DEMANDA!F12</f>
        <v>0</v>
      </c>
      <c r="I24" s="42" t="n">
        <f aca="false">PROCESO!$I$7*DEMANDA!G12</f>
        <v>0</v>
      </c>
      <c r="J24" s="42" t="n">
        <f aca="false">PROCESO!$I$7*DEMANDA!H12</f>
        <v>51.0826666666667</v>
      </c>
      <c r="K24" s="42" t="n">
        <f aca="false">PROCESO!$I$7*DEMANDA!I12</f>
        <v>177.965333333333</v>
      </c>
      <c r="L24" s="42" t="n">
        <f aca="false">PROCESO!$I$7*DEMANDA!J12</f>
        <v>329.565333333333</v>
      </c>
      <c r="M24" s="42" t="n">
        <f aca="false">PROCESO!$I$7*DEMANDA!K12</f>
        <v>477.868</v>
      </c>
      <c r="N24" s="42" t="n">
        <f aca="false">PROCESO!$I$7*DEMANDA!L12</f>
        <v>675.604</v>
      </c>
      <c r="O24" s="42" t="n">
        <f aca="false">PROCESO!$I$7*DEMANDA!M12</f>
        <v>873.34</v>
      </c>
      <c r="P24" s="42" t="n">
        <f aca="false">PROCESO!$I$7*DEMANDA!N12</f>
        <v>978.798666666667</v>
      </c>
      <c r="Q24" s="42" t="n">
        <f aca="false">PROCESO!$I$7*DEMANDA!O12</f>
        <v>1136.98666666667</v>
      </c>
      <c r="R24" s="24" t="s">
        <v>2555</v>
      </c>
    </row>
    <row r="25" customFormat="false" ht="15" hidden="false" customHeight="false" outlineLevel="1" collapsed="false">
      <c r="A25" s="24" t="n">
        <v>1</v>
      </c>
      <c r="B25" s="24" t="s">
        <v>1791</v>
      </c>
      <c r="C25" s="40" t="s">
        <v>2557</v>
      </c>
      <c r="D25" s="24" t="s">
        <v>82</v>
      </c>
      <c r="E25" s="24" t="s">
        <v>234</v>
      </c>
      <c r="F25" s="41" t="n">
        <f aca="false">PROCESO!$I$20</f>
        <v>0.00666666666666667</v>
      </c>
      <c r="G25" s="24" t="s">
        <v>2281</v>
      </c>
      <c r="H25" s="42" t="n">
        <f aca="false">PROCESO!$I$20*DEMANDA!F5</f>
        <v>1.966869048</v>
      </c>
      <c r="I25" s="42" t="n">
        <f aca="false">PROCESO!$I$20*DEMANDA!G5</f>
        <v>4.73151633533333</v>
      </c>
      <c r="J25" s="42" t="n">
        <f aca="false">PROCESO!$I$20*DEMANDA!H5</f>
        <v>6.579120384</v>
      </c>
      <c r="K25" s="42" t="n">
        <f aca="false">PROCESO!$I$20*DEMANDA!I5</f>
        <v>10.0042544933333</v>
      </c>
      <c r="L25" s="42" t="n">
        <f aca="false">PROCESO!$I$20*DEMANDA!J5</f>
        <v>15.4175181733333</v>
      </c>
      <c r="M25" s="42" t="n">
        <f aca="false">PROCESO!$I$20*DEMANDA!K5</f>
        <v>21.6857992466667</v>
      </c>
      <c r="N25" s="42" t="n">
        <f aca="false">PROCESO!$I$20*DEMANDA!L5</f>
        <v>27.34877016</v>
      </c>
      <c r="O25" s="42" t="n">
        <f aca="false">PROCESO!$I$20*DEMANDA!M5</f>
        <v>34.02871058</v>
      </c>
      <c r="P25" s="42" t="n">
        <f aca="false">PROCESO!$I$20*DEMANDA!N5</f>
        <v>41.30124162</v>
      </c>
      <c r="Q25" s="42" t="n">
        <f aca="false">PROCESO!$I$20*DEMANDA!O5</f>
        <v>49.4990562933333</v>
      </c>
      <c r="R25" s="24" t="s">
        <v>2558</v>
      </c>
    </row>
    <row r="26" customFormat="false" ht="15" hidden="false" customHeight="false" outlineLevel="1" collapsed="false">
      <c r="A26" s="24" t="n">
        <v>1</v>
      </c>
      <c r="B26" s="24" t="s">
        <v>1791</v>
      </c>
      <c r="C26" s="40" t="s">
        <v>2559</v>
      </c>
      <c r="D26" s="24" t="s">
        <v>82</v>
      </c>
      <c r="E26" s="24" t="s">
        <v>261</v>
      </c>
      <c r="F26" s="41" t="n">
        <f aca="false">PROCESO!$I$20</f>
        <v>0.00666666666666667</v>
      </c>
      <c r="G26" s="24" t="s">
        <v>2281</v>
      </c>
      <c r="H26" s="42" t="n">
        <f aca="false">PROCESO!$I$20*DEMANDA!F13</f>
        <v>0</v>
      </c>
      <c r="I26" s="42" t="n">
        <f aca="false">PROCESO!$I$20*DEMANDA!G13</f>
        <v>0</v>
      </c>
      <c r="J26" s="42" t="n">
        <f aca="false">PROCESO!$I$20*DEMANDA!H13</f>
        <v>1.99733333333333</v>
      </c>
      <c r="K26" s="42" t="n">
        <f aca="false">PROCESO!$I$20*DEMANDA!I13</f>
        <v>6.95866666666667</v>
      </c>
      <c r="L26" s="42" t="n">
        <f aca="false">PROCESO!$I$20*DEMANDA!J13</f>
        <v>12.8866666666667</v>
      </c>
      <c r="M26" s="42" t="n">
        <f aca="false">PROCESO!$I$20*DEMANDA!K13</f>
        <v>18.6866666666667</v>
      </c>
      <c r="N26" s="42" t="n">
        <f aca="false">PROCESO!$I$20*DEMANDA!L13</f>
        <v>26.42</v>
      </c>
      <c r="O26" s="42" t="n">
        <f aca="false">PROCESO!$I$20*DEMANDA!M13</f>
        <v>34.1533333333333</v>
      </c>
      <c r="P26" s="42" t="n">
        <f aca="false">PROCESO!$I$20*DEMANDA!N13</f>
        <v>38.276</v>
      </c>
      <c r="Q26" s="42" t="n">
        <f aca="false">PROCESO!$I$20*DEMANDA!O13</f>
        <v>44.46</v>
      </c>
      <c r="R26" s="24" t="s">
        <v>2558</v>
      </c>
    </row>
    <row r="27" customFormat="false" ht="15" hidden="false" customHeight="false" outlineLevel="1" collapsed="false">
      <c r="A27" s="24" t="n">
        <v>1</v>
      </c>
      <c r="B27" s="24" t="s">
        <v>1791</v>
      </c>
      <c r="C27" s="40" t="s">
        <v>2560</v>
      </c>
      <c r="D27" s="24" t="s">
        <v>82</v>
      </c>
      <c r="E27" s="24" t="s">
        <v>238</v>
      </c>
      <c r="F27" s="41" t="n">
        <f aca="false">PROCESO!$I$33</f>
        <v>0.00666666666666667</v>
      </c>
      <c r="G27" s="24" t="s">
        <v>2281</v>
      </c>
      <c r="H27" s="42" t="n">
        <f aca="false">PROCESO!$I$33*DEMANDA!F6</f>
        <v>18.0651535</v>
      </c>
      <c r="I27" s="42" t="n">
        <f aca="false">PROCESO!$I$33*DEMANDA!G6</f>
        <v>36.1665258733333</v>
      </c>
      <c r="J27" s="42" t="n">
        <f aca="false">PROCESO!$I$33*DEMANDA!H6</f>
        <v>47.4969172733333</v>
      </c>
      <c r="K27" s="42" t="n">
        <f aca="false">PROCESO!$I$33*DEMANDA!I6</f>
        <v>68.5141020866667</v>
      </c>
      <c r="L27" s="42" t="n">
        <f aca="false">PROCESO!$I$33*DEMANDA!J6</f>
        <v>95.5953796</v>
      </c>
      <c r="M27" s="42" t="n">
        <f aca="false">PROCESO!$I$33*DEMANDA!K6</f>
        <v>123.699760733333</v>
      </c>
      <c r="N27" s="42" t="n">
        <f aca="false">PROCESO!$I$33*DEMANDA!L6</f>
        <v>149.7250656</v>
      </c>
      <c r="O27" s="42" t="n">
        <f aca="false">PROCESO!$I$33*DEMANDA!M6</f>
        <v>172.401242466667</v>
      </c>
      <c r="P27" s="42" t="n">
        <f aca="false">PROCESO!$I$33*DEMANDA!N6</f>
        <v>190.051497</v>
      </c>
      <c r="Q27" s="42" t="n">
        <f aca="false">PROCESO!$I$33*DEMANDA!O6</f>
        <v>215.4585248</v>
      </c>
      <c r="R27" s="24" t="s">
        <v>2561</v>
      </c>
    </row>
    <row r="28" customFormat="false" ht="15" hidden="false" customHeight="false" outlineLevel="1" collapsed="false">
      <c r="A28" s="24" t="n">
        <v>1</v>
      </c>
      <c r="B28" s="24" t="s">
        <v>1791</v>
      </c>
      <c r="C28" s="40" t="s">
        <v>2562</v>
      </c>
      <c r="D28" s="24" t="s">
        <v>82</v>
      </c>
      <c r="E28" s="24" t="s">
        <v>264</v>
      </c>
      <c r="F28" s="41" t="n">
        <f aca="false">PROCESO!$I$33</f>
        <v>0.00666666666666667</v>
      </c>
      <c r="G28" s="24" t="s">
        <v>2281</v>
      </c>
      <c r="H28" s="42" t="n">
        <f aca="false">PROCESO!$I$33*DEMANDA!F14</f>
        <v>0</v>
      </c>
      <c r="I28" s="42" t="n">
        <f aca="false">PROCESO!$I$33*DEMANDA!G14</f>
        <v>0</v>
      </c>
      <c r="J28" s="42" t="n">
        <f aca="false">PROCESO!$I$33*DEMANDA!H14</f>
        <v>9.85866666666667</v>
      </c>
      <c r="K28" s="42" t="n">
        <f aca="false">PROCESO!$I$33*DEMANDA!I14</f>
        <v>34.3466666666667</v>
      </c>
      <c r="L28" s="42" t="n">
        <f aca="false">PROCESO!$I$33*DEMANDA!J14</f>
        <v>63.6053333333333</v>
      </c>
      <c r="M28" s="42" t="n">
        <f aca="false">PROCESO!$I$33*DEMANDA!K14</f>
        <v>92.228</v>
      </c>
      <c r="N28" s="42" t="n">
        <f aca="false">PROCESO!$I$33*DEMANDA!L14</f>
        <v>130.390666666667</v>
      </c>
      <c r="O28" s="42" t="n">
        <f aca="false">PROCESO!$I$33*DEMANDA!M14</f>
        <v>168.553333333333</v>
      </c>
      <c r="P28" s="42" t="n">
        <f aca="false">PROCESO!$I$33*DEMANDA!N14</f>
        <v>188.905333333333</v>
      </c>
      <c r="Q28" s="42" t="n">
        <f aca="false">PROCESO!$I$33*DEMANDA!O14</f>
        <v>219.433333333333</v>
      </c>
      <c r="R28" s="24" t="s">
        <v>2561</v>
      </c>
    </row>
    <row r="29" customFormat="false" ht="15" hidden="false" customHeight="false" outlineLevel="1" collapsed="false">
      <c r="A29" s="24" t="n">
        <v>1</v>
      </c>
      <c r="B29" s="24" t="s">
        <v>1791</v>
      </c>
      <c r="C29" s="40" t="s">
        <v>2563</v>
      </c>
      <c r="D29" s="24" t="s">
        <v>82</v>
      </c>
      <c r="E29" s="24" t="s">
        <v>241</v>
      </c>
      <c r="F29" s="41" t="n">
        <f aca="false">PROCESO!$I$46</f>
        <v>0.00666666666666667</v>
      </c>
      <c r="G29" s="24" t="s">
        <v>2281</v>
      </c>
      <c r="H29" s="42" t="n">
        <f aca="false">PROCESO!$I$46*DEMANDA!F7</f>
        <v>0.6122212102</v>
      </c>
      <c r="I29" s="42" t="n">
        <f aca="false">PROCESO!$I$46*DEMANDA!G7</f>
        <v>1.18164864466667</v>
      </c>
      <c r="J29" s="42" t="n">
        <f aca="false">PROCESO!$I$46*DEMANDA!H7</f>
        <v>1.68652519866667</v>
      </c>
      <c r="K29" s="42" t="n">
        <f aca="false">PROCESO!$I$46*DEMANDA!I7</f>
        <v>2.386803294</v>
      </c>
      <c r="L29" s="42" t="n">
        <f aca="false">PROCESO!$I$46*DEMANDA!J7</f>
        <v>4.01812101266667</v>
      </c>
      <c r="M29" s="42" t="n">
        <f aca="false">PROCESO!$I$46*DEMANDA!K7</f>
        <v>5.81736688</v>
      </c>
      <c r="N29" s="42" t="n">
        <f aca="false">PROCESO!$I$46*DEMANDA!L7</f>
        <v>7.51440363333333</v>
      </c>
      <c r="O29" s="42" t="n">
        <f aca="false">PROCESO!$I$46*DEMANDA!M7</f>
        <v>9.30296541333333</v>
      </c>
      <c r="P29" s="42" t="n">
        <f aca="false">PROCESO!$I$46*DEMANDA!N7</f>
        <v>10.74900036</v>
      </c>
      <c r="Q29" s="42" t="n">
        <f aca="false">PROCESO!$I$46*DEMANDA!O7</f>
        <v>12.2723205266667</v>
      </c>
      <c r="R29" s="24" t="s">
        <v>2564</v>
      </c>
    </row>
    <row r="30" customFormat="false" ht="15" hidden="false" customHeight="false" outlineLevel="1" collapsed="false">
      <c r="A30" s="24" t="n">
        <v>1</v>
      </c>
      <c r="B30" s="24" t="s">
        <v>1791</v>
      </c>
      <c r="C30" s="40" t="s">
        <v>2565</v>
      </c>
      <c r="D30" s="24" t="s">
        <v>82</v>
      </c>
      <c r="E30" s="24" t="s">
        <v>267</v>
      </c>
      <c r="F30" s="41" t="n">
        <f aca="false">PROCESO!$I$46</f>
        <v>0.00666666666666667</v>
      </c>
      <c r="G30" s="24" t="s">
        <v>2281</v>
      </c>
      <c r="H30" s="42" t="n">
        <f aca="false">PROCESO!$I$46*DEMANDA!F15</f>
        <v>0</v>
      </c>
      <c r="I30" s="42" t="n">
        <f aca="false">PROCESO!$I$46*DEMANDA!G15</f>
        <v>0</v>
      </c>
      <c r="J30" s="42" t="n">
        <f aca="false">PROCESO!$I$46*DEMANDA!H15</f>
        <v>0.602666666666667</v>
      </c>
      <c r="K30" s="42" t="n">
        <f aca="false">PROCESO!$I$46*DEMANDA!I15</f>
        <v>2.1</v>
      </c>
      <c r="L30" s="42" t="n">
        <f aca="false">PROCESO!$I$46*DEMANDA!J15</f>
        <v>3.88933333333333</v>
      </c>
      <c r="M30" s="42" t="n">
        <f aca="false">PROCESO!$I$46*DEMANDA!K15</f>
        <v>5.63866666666667</v>
      </c>
      <c r="N30" s="42" t="n">
        <f aca="false">PROCESO!$I$46*DEMANDA!L15</f>
        <v>7.96933333333333</v>
      </c>
      <c r="O30" s="42" t="n">
        <f aca="false">PROCESO!$I$46*DEMANDA!M15</f>
        <v>10.3</v>
      </c>
      <c r="P30" s="42" t="n">
        <f aca="false">PROCESO!$I$46*DEMANDA!N15</f>
        <v>11.5426666666667</v>
      </c>
      <c r="Q30" s="42" t="n">
        <f aca="false">PROCESO!$I$46*DEMANDA!O15</f>
        <v>13.4066666666667</v>
      </c>
      <c r="R30" s="24" t="s">
        <v>2564</v>
      </c>
    </row>
    <row r="31" customFormat="false" ht="15" hidden="false" customHeight="false" outlineLevel="0" collapsed="false">
      <c r="A31" s="38" t="n">
        <v>0</v>
      </c>
      <c r="B31" s="38" t="s">
        <v>1795</v>
      </c>
      <c r="C31" s="38" t="s">
        <v>2107</v>
      </c>
      <c r="D31" s="38" t="s">
        <v>73</v>
      </c>
      <c r="E31" s="38"/>
      <c r="F31" s="38"/>
      <c r="G31" s="38"/>
      <c r="H31" s="39" t="n">
        <f aca="false">SUM(H32:H39)</f>
        <v>582.0298485384</v>
      </c>
      <c r="I31" s="39" t="n">
        <f aca="false">SUM(I32:I39)</f>
        <v>984.7406084</v>
      </c>
      <c r="J31" s="39" t="n">
        <f aca="false">SUM(J32:J39)</f>
        <v>1979.786574912</v>
      </c>
      <c r="K31" s="39" t="n">
        <f aca="false">SUM(K32:K39)</f>
        <v>4304.680762408</v>
      </c>
      <c r="L31" s="39" t="n">
        <f aca="false">SUM(L32:L39)</f>
        <v>7314.182842232</v>
      </c>
      <c r="M31" s="39" t="n">
        <f aca="false">SUM(M32:M39)</f>
        <v>10197.11136792</v>
      </c>
      <c r="N31" s="39" t="n">
        <f aca="false">SUM(N32:N39)</f>
        <v>13926.27113352</v>
      </c>
      <c r="O31" s="39" t="n">
        <f aca="false">SUM(O32:O39)</f>
        <v>17635.52129992</v>
      </c>
      <c r="P31" s="39" t="n">
        <f aca="false">SUM(P32:P39)</f>
        <v>19801.35975896</v>
      </c>
      <c r="Q31" s="39" t="n">
        <f aca="false">SUM(Q32:Q39)</f>
        <v>22864.00994984</v>
      </c>
      <c r="R31" s="38"/>
    </row>
    <row r="32" customFormat="false" ht="15" hidden="false" customHeight="false" outlineLevel="1" collapsed="false">
      <c r="A32" s="24" t="n">
        <v>1</v>
      </c>
      <c r="B32" s="24" t="s">
        <v>1795</v>
      </c>
      <c r="C32" s="40" t="s">
        <v>2566</v>
      </c>
      <c r="D32" s="24" t="s">
        <v>73</v>
      </c>
      <c r="E32" s="24" t="s">
        <v>230</v>
      </c>
      <c r="F32" s="41" t="n">
        <f aca="false">PROCESO!$I$8</f>
        <v>0.08</v>
      </c>
      <c r="G32" s="24" t="s">
        <v>2281</v>
      </c>
      <c r="H32" s="42" t="n">
        <f aca="false">PROCESO!$I$8*DEMANDA!F4</f>
        <v>334.29892344</v>
      </c>
      <c r="I32" s="42" t="n">
        <f aca="false">PROCESO!$I$8*DEMANDA!G4</f>
        <v>479.78431816</v>
      </c>
      <c r="J32" s="42" t="n">
        <f aca="false">PROCESO!$I$8*DEMANDA!H4</f>
        <v>548.13982064</v>
      </c>
      <c r="K32" s="42" t="n">
        <f aca="false">PROCESO!$I$8*DEMANDA!I4</f>
        <v>677.37084392</v>
      </c>
      <c r="L32" s="42" t="n">
        <f aca="false">PROCESO!$I$8*DEMANDA!J4</f>
        <v>1014.4506168</v>
      </c>
      <c r="M32" s="42" t="n">
        <f aca="false">PROCESO!$I$8*DEMANDA!K4</f>
        <v>1249.6202456</v>
      </c>
      <c r="N32" s="42" t="n">
        <f aca="false">PROCESO!$I$8*DEMANDA!L4</f>
        <v>1626.6042608</v>
      </c>
      <c r="O32" s="42" t="n">
        <f aca="false">PROCESO!$I$8*DEMANDA!M4</f>
        <v>2010.5662784</v>
      </c>
      <c r="P32" s="42" t="n">
        <f aca="false">PROCESO!$I$8*DEMANDA!N4</f>
        <v>2285.8668912</v>
      </c>
      <c r="Q32" s="42" t="n">
        <f aca="false">PROCESO!$I$8*DEMANDA!O4</f>
        <v>2565.8111304</v>
      </c>
      <c r="R32" s="24" t="s">
        <v>2567</v>
      </c>
    </row>
    <row r="33" customFormat="false" ht="15" hidden="false" customHeight="false" outlineLevel="1" collapsed="false">
      <c r="A33" s="24" t="n">
        <v>1</v>
      </c>
      <c r="B33" s="24" t="s">
        <v>1795</v>
      </c>
      <c r="C33" s="40" t="s">
        <v>2568</v>
      </c>
      <c r="D33" s="24" t="s">
        <v>73</v>
      </c>
      <c r="E33" s="24" t="s">
        <v>258</v>
      </c>
      <c r="F33" s="41" t="n">
        <f aca="false">PROCESO!$I$8</f>
        <v>0.08</v>
      </c>
      <c r="G33" s="24" t="s">
        <v>2281</v>
      </c>
      <c r="H33" s="42" t="n">
        <f aca="false">PROCESO!$I$8*DEMANDA!F12</f>
        <v>0</v>
      </c>
      <c r="I33" s="42" t="n">
        <f aca="false">PROCESO!$I$8*DEMANDA!G12</f>
        <v>0</v>
      </c>
      <c r="J33" s="42" t="n">
        <f aca="false">PROCESO!$I$8*DEMANDA!H12</f>
        <v>612.992</v>
      </c>
      <c r="K33" s="42" t="n">
        <f aca="false">PROCESO!$I$8*DEMANDA!I12</f>
        <v>2135.584</v>
      </c>
      <c r="L33" s="42" t="n">
        <f aca="false">PROCESO!$I$8*DEMANDA!J12</f>
        <v>3954.784</v>
      </c>
      <c r="M33" s="42" t="n">
        <f aca="false">PROCESO!$I$8*DEMANDA!K12</f>
        <v>5734.416</v>
      </c>
      <c r="N33" s="42" t="n">
        <f aca="false">PROCESO!$I$8*DEMANDA!L12</f>
        <v>8107.248</v>
      </c>
      <c r="O33" s="42" t="n">
        <f aca="false">PROCESO!$I$8*DEMANDA!M12</f>
        <v>10480.08</v>
      </c>
      <c r="P33" s="42" t="n">
        <f aca="false">PROCESO!$I$8*DEMANDA!N12</f>
        <v>11745.584</v>
      </c>
      <c r="Q33" s="42" t="n">
        <f aca="false">PROCESO!$I$8*DEMANDA!O12</f>
        <v>13643.84</v>
      </c>
      <c r="R33" s="24" t="s">
        <v>2567</v>
      </c>
    </row>
    <row r="34" customFormat="false" ht="15" hidden="false" customHeight="false" outlineLevel="1" collapsed="false">
      <c r="A34" s="24" t="n">
        <v>1</v>
      </c>
      <c r="B34" s="24" t="s">
        <v>1795</v>
      </c>
      <c r="C34" s="40" t="s">
        <v>2569</v>
      </c>
      <c r="D34" s="24" t="s">
        <v>73</v>
      </c>
      <c r="E34" s="24" t="s">
        <v>234</v>
      </c>
      <c r="F34" s="41" t="n">
        <f aca="false">PROCESO!$I$21</f>
        <v>0.08</v>
      </c>
      <c r="G34" s="24" t="s">
        <v>2281</v>
      </c>
      <c r="H34" s="42" t="n">
        <f aca="false">PROCESO!$I$21*DEMANDA!F5</f>
        <v>23.602428576</v>
      </c>
      <c r="I34" s="42" t="n">
        <f aca="false">PROCESO!$I$21*DEMANDA!G5</f>
        <v>56.778196024</v>
      </c>
      <c r="J34" s="42" t="n">
        <f aca="false">PROCESO!$I$21*DEMANDA!H5</f>
        <v>78.949444608</v>
      </c>
      <c r="K34" s="42" t="n">
        <f aca="false">PROCESO!$I$21*DEMANDA!I5</f>
        <v>120.05105392</v>
      </c>
      <c r="L34" s="42" t="n">
        <f aca="false">PROCESO!$I$21*DEMANDA!J5</f>
        <v>185.01021808</v>
      </c>
      <c r="M34" s="42" t="n">
        <f aca="false">PROCESO!$I$21*DEMANDA!K5</f>
        <v>260.22959096</v>
      </c>
      <c r="N34" s="42" t="n">
        <f aca="false">PROCESO!$I$21*DEMANDA!L5</f>
        <v>328.18524192</v>
      </c>
      <c r="O34" s="42" t="n">
        <f aca="false">PROCESO!$I$21*DEMANDA!M5</f>
        <v>408.34452696</v>
      </c>
      <c r="P34" s="42" t="n">
        <f aca="false">PROCESO!$I$21*DEMANDA!N5</f>
        <v>495.61489944</v>
      </c>
      <c r="Q34" s="42" t="n">
        <f aca="false">PROCESO!$I$21*DEMANDA!O5</f>
        <v>593.98867552</v>
      </c>
      <c r="R34" s="24" t="s">
        <v>2570</v>
      </c>
    </row>
    <row r="35" customFormat="false" ht="15" hidden="false" customHeight="false" outlineLevel="1" collapsed="false">
      <c r="A35" s="24" t="n">
        <v>1</v>
      </c>
      <c r="B35" s="24" t="s">
        <v>1795</v>
      </c>
      <c r="C35" s="40" t="s">
        <v>2571</v>
      </c>
      <c r="D35" s="24" t="s">
        <v>73</v>
      </c>
      <c r="E35" s="24" t="s">
        <v>261</v>
      </c>
      <c r="F35" s="41" t="n">
        <f aca="false">PROCESO!$I$21</f>
        <v>0.08</v>
      </c>
      <c r="G35" s="24" t="s">
        <v>2281</v>
      </c>
      <c r="H35" s="42" t="n">
        <f aca="false">PROCESO!$I$21*DEMANDA!F13</f>
        <v>0</v>
      </c>
      <c r="I35" s="42" t="n">
        <f aca="false">PROCESO!$I$21*DEMANDA!G13</f>
        <v>0</v>
      </c>
      <c r="J35" s="42" t="n">
        <f aca="false">PROCESO!$I$21*DEMANDA!H13</f>
        <v>23.968</v>
      </c>
      <c r="K35" s="42" t="n">
        <f aca="false">PROCESO!$I$21*DEMANDA!I13</f>
        <v>83.504</v>
      </c>
      <c r="L35" s="42" t="n">
        <f aca="false">PROCESO!$I$21*DEMANDA!J13</f>
        <v>154.64</v>
      </c>
      <c r="M35" s="42" t="n">
        <f aca="false">PROCESO!$I$21*DEMANDA!K13</f>
        <v>224.24</v>
      </c>
      <c r="N35" s="42" t="n">
        <f aca="false">PROCESO!$I$21*DEMANDA!L13</f>
        <v>317.04</v>
      </c>
      <c r="O35" s="42" t="n">
        <f aca="false">PROCESO!$I$21*DEMANDA!M13</f>
        <v>409.84</v>
      </c>
      <c r="P35" s="42" t="n">
        <f aca="false">PROCESO!$I$21*DEMANDA!N13</f>
        <v>459.312</v>
      </c>
      <c r="Q35" s="42" t="n">
        <f aca="false">PROCESO!$I$21*DEMANDA!O13</f>
        <v>533.52</v>
      </c>
      <c r="R35" s="24" t="s">
        <v>2570</v>
      </c>
    </row>
    <row r="36" customFormat="false" ht="15" hidden="false" customHeight="false" outlineLevel="1" collapsed="false">
      <c r="A36" s="24" t="n">
        <v>1</v>
      </c>
      <c r="B36" s="24" t="s">
        <v>1795</v>
      </c>
      <c r="C36" s="40" t="s">
        <v>2572</v>
      </c>
      <c r="D36" s="24" t="s">
        <v>73</v>
      </c>
      <c r="E36" s="24" t="s">
        <v>238</v>
      </c>
      <c r="F36" s="41" t="n">
        <f aca="false">PROCESO!$I$34</f>
        <v>0.08</v>
      </c>
      <c r="G36" s="24" t="s">
        <v>2281</v>
      </c>
      <c r="H36" s="42" t="n">
        <f aca="false">PROCESO!$I$34*DEMANDA!F6</f>
        <v>216.781842</v>
      </c>
      <c r="I36" s="42" t="n">
        <f aca="false">PROCESO!$I$34*DEMANDA!G6</f>
        <v>433.99831048</v>
      </c>
      <c r="J36" s="42" t="n">
        <f aca="false">PROCESO!$I$34*DEMANDA!H6</f>
        <v>569.96300728</v>
      </c>
      <c r="K36" s="42" t="n">
        <f aca="false">PROCESO!$I$34*DEMANDA!I6</f>
        <v>822.16922504</v>
      </c>
      <c r="L36" s="42" t="n">
        <f aca="false">PROCESO!$I$34*DEMANDA!J6</f>
        <v>1147.1445552</v>
      </c>
      <c r="M36" s="42" t="n">
        <f aca="false">PROCESO!$I$34*DEMANDA!K6</f>
        <v>1484.3971288</v>
      </c>
      <c r="N36" s="42" t="n">
        <f aca="false">PROCESO!$I$34*DEMANDA!L6</f>
        <v>1796.7007872</v>
      </c>
      <c r="O36" s="42" t="n">
        <f aca="false">PROCESO!$I$34*DEMANDA!M6</f>
        <v>2068.8149096</v>
      </c>
      <c r="P36" s="42" t="n">
        <f aca="false">PROCESO!$I$34*DEMANDA!N6</f>
        <v>2280.617964</v>
      </c>
      <c r="Q36" s="42" t="n">
        <f aca="false">PROCESO!$I$34*DEMANDA!O6</f>
        <v>2585.5022976</v>
      </c>
      <c r="R36" s="24" t="s">
        <v>2573</v>
      </c>
    </row>
    <row r="37" customFormat="false" ht="15" hidden="false" customHeight="false" outlineLevel="1" collapsed="false">
      <c r="A37" s="24" t="n">
        <v>1</v>
      </c>
      <c r="B37" s="24" t="s">
        <v>1795</v>
      </c>
      <c r="C37" s="40" t="s">
        <v>2574</v>
      </c>
      <c r="D37" s="24" t="s">
        <v>73</v>
      </c>
      <c r="E37" s="24" t="s">
        <v>264</v>
      </c>
      <c r="F37" s="41" t="n">
        <f aca="false">PROCESO!$I$34</f>
        <v>0.08</v>
      </c>
      <c r="G37" s="24" t="s">
        <v>2281</v>
      </c>
      <c r="H37" s="42" t="n">
        <f aca="false">PROCESO!$I$34*DEMANDA!F14</f>
        <v>0</v>
      </c>
      <c r="I37" s="42" t="n">
        <f aca="false">PROCESO!$I$34*DEMANDA!G14</f>
        <v>0</v>
      </c>
      <c r="J37" s="42" t="n">
        <f aca="false">PROCESO!$I$34*DEMANDA!H14</f>
        <v>118.304</v>
      </c>
      <c r="K37" s="42" t="n">
        <f aca="false">PROCESO!$I$34*DEMANDA!I14</f>
        <v>412.16</v>
      </c>
      <c r="L37" s="42" t="n">
        <f aca="false">PROCESO!$I$34*DEMANDA!J14</f>
        <v>763.264</v>
      </c>
      <c r="M37" s="42" t="n">
        <f aca="false">PROCESO!$I$34*DEMANDA!K14</f>
        <v>1106.736</v>
      </c>
      <c r="N37" s="42" t="n">
        <f aca="false">PROCESO!$I$34*DEMANDA!L14</f>
        <v>1564.688</v>
      </c>
      <c r="O37" s="42" t="n">
        <f aca="false">PROCESO!$I$34*DEMANDA!M14</f>
        <v>2022.64</v>
      </c>
      <c r="P37" s="42" t="n">
        <f aca="false">PROCESO!$I$34*DEMANDA!N14</f>
        <v>2266.864</v>
      </c>
      <c r="Q37" s="42" t="n">
        <f aca="false">PROCESO!$I$34*DEMANDA!O14</f>
        <v>2633.2</v>
      </c>
      <c r="R37" s="24" t="s">
        <v>2573</v>
      </c>
    </row>
    <row r="38" customFormat="false" ht="15" hidden="false" customHeight="false" outlineLevel="1" collapsed="false">
      <c r="A38" s="24" t="n">
        <v>1</v>
      </c>
      <c r="B38" s="24" t="s">
        <v>1795</v>
      </c>
      <c r="C38" s="40" t="s">
        <v>2575</v>
      </c>
      <c r="D38" s="24" t="s">
        <v>73</v>
      </c>
      <c r="E38" s="24" t="s">
        <v>241</v>
      </c>
      <c r="F38" s="41" t="n">
        <f aca="false">PROCESO!$I$47</f>
        <v>0.08</v>
      </c>
      <c r="G38" s="24" t="s">
        <v>2281</v>
      </c>
      <c r="H38" s="42" t="n">
        <f aca="false">PROCESO!$I$47*DEMANDA!F7</f>
        <v>7.3466545224</v>
      </c>
      <c r="I38" s="42" t="n">
        <f aca="false">PROCESO!$I$47*DEMANDA!G7</f>
        <v>14.179783736</v>
      </c>
      <c r="J38" s="42" t="n">
        <f aca="false">PROCESO!$I$47*DEMANDA!H7</f>
        <v>20.238302384</v>
      </c>
      <c r="K38" s="42" t="n">
        <f aca="false">PROCESO!$I$47*DEMANDA!I7</f>
        <v>28.641639528</v>
      </c>
      <c r="L38" s="42" t="n">
        <f aca="false">PROCESO!$I$47*DEMANDA!J7</f>
        <v>48.217452152</v>
      </c>
      <c r="M38" s="42" t="n">
        <f aca="false">PROCESO!$I$47*DEMANDA!K7</f>
        <v>69.80840256</v>
      </c>
      <c r="N38" s="42" t="n">
        <f aca="false">PROCESO!$I$47*DEMANDA!L7</f>
        <v>90.1728436</v>
      </c>
      <c r="O38" s="42" t="n">
        <f aca="false">PROCESO!$I$47*DEMANDA!M7</f>
        <v>111.63558496</v>
      </c>
      <c r="P38" s="42" t="n">
        <f aca="false">PROCESO!$I$47*DEMANDA!N7</f>
        <v>128.98800432</v>
      </c>
      <c r="Q38" s="42" t="n">
        <f aca="false">PROCESO!$I$47*DEMANDA!O7</f>
        <v>147.26784632</v>
      </c>
      <c r="R38" s="24" t="s">
        <v>2576</v>
      </c>
    </row>
    <row r="39" customFormat="false" ht="15" hidden="false" customHeight="false" outlineLevel="1" collapsed="false">
      <c r="A39" s="24" t="n">
        <v>1</v>
      </c>
      <c r="B39" s="24" t="s">
        <v>1795</v>
      </c>
      <c r="C39" s="40" t="s">
        <v>2577</v>
      </c>
      <c r="D39" s="24" t="s">
        <v>73</v>
      </c>
      <c r="E39" s="24" t="s">
        <v>267</v>
      </c>
      <c r="F39" s="41" t="n">
        <f aca="false">PROCESO!$I$47</f>
        <v>0.08</v>
      </c>
      <c r="G39" s="24" t="s">
        <v>2281</v>
      </c>
      <c r="H39" s="42" t="n">
        <f aca="false">PROCESO!$I$47*DEMANDA!F15</f>
        <v>0</v>
      </c>
      <c r="I39" s="42" t="n">
        <f aca="false">PROCESO!$I$47*DEMANDA!G15</f>
        <v>0</v>
      </c>
      <c r="J39" s="42" t="n">
        <f aca="false">PROCESO!$I$47*DEMANDA!H15</f>
        <v>7.232</v>
      </c>
      <c r="K39" s="42" t="n">
        <f aca="false">PROCESO!$I$47*DEMANDA!I15</f>
        <v>25.2</v>
      </c>
      <c r="L39" s="42" t="n">
        <f aca="false">PROCESO!$I$47*DEMANDA!J15</f>
        <v>46.672</v>
      </c>
      <c r="M39" s="42" t="n">
        <f aca="false">PROCESO!$I$47*DEMANDA!K15</f>
        <v>67.664</v>
      </c>
      <c r="N39" s="42" t="n">
        <f aca="false">PROCESO!$I$47*DEMANDA!L15</f>
        <v>95.632</v>
      </c>
      <c r="O39" s="42" t="n">
        <f aca="false">PROCESO!$I$47*DEMANDA!M15</f>
        <v>123.6</v>
      </c>
      <c r="P39" s="42" t="n">
        <f aca="false">PROCESO!$I$47*DEMANDA!N15</f>
        <v>138.512</v>
      </c>
      <c r="Q39" s="42" t="n">
        <f aca="false">PROCESO!$I$47*DEMANDA!O15</f>
        <v>160.88</v>
      </c>
      <c r="R39" s="24" t="s">
        <v>2576</v>
      </c>
    </row>
    <row r="40" customFormat="false" ht="15" hidden="false" customHeight="false" outlineLevel="0" collapsed="false">
      <c r="A40" s="38" t="n">
        <v>0</v>
      </c>
      <c r="B40" s="38" t="s">
        <v>1799</v>
      </c>
      <c r="C40" s="38" t="s">
        <v>2117</v>
      </c>
      <c r="D40" s="38" t="s">
        <v>82</v>
      </c>
      <c r="E40" s="38"/>
      <c r="F40" s="38"/>
      <c r="G40" s="38"/>
      <c r="H40" s="39" t="n">
        <f aca="false">SUM(H41:H48)</f>
        <v>145.5074621346</v>
      </c>
      <c r="I40" s="39" t="n">
        <f aca="false">SUM(I41:I48)</f>
        <v>246.1851521</v>
      </c>
      <c r="J40" s="39" t="n">
        <f aca="false">SUM(J41:J48)</f>
        <v>494.946643728</v>
      </c>
      <c r="K40" s="39" t="n">
        <f aca="false">SUM(K41:K48)</f>
        <v>1076.170190602</v>
      </c>
      <c r="L40" s="39" t="n">
        <f aca="false">SUM(L41:L48)</f>
        <v>1828.545710558</v>
      </c>
      <c r="M40" s="39" t="n">
        <f aca="false">SUM(M41:M48)</f>
        <v>2549.27784198</v>
      </c>
      <c r="N40" s="39" t="n">
        <f aca="false">SUM(N41:N48)</f>
        <v>3481.56778338</v>
      </c>
      <c r="O40" s="39" t="n">
        <f aca="false">SUM(O41:O48)</f>
        <v>4408.88032498</v>
      </c>
      <c r="P40" s="39" t="n">
        <f aca="false">SUM(P41:P48)</f>
        <v>4950.33993974</v>
      </c>
      <c r="Q40" s="39" t="n">
        <f aca="false">SUM(Q41:Q48)</f>
        <v>5716.00248746</v>
      </c>
      <c r="R40" s="38"/>
    </row>
    <row r="41" customFormat="false" ht="15" hidden="false" customHeight="false" outlineLevel="1" collapsed="false">
      <c r="A41" s="24" t="n">
        <v>1</v>
      </c>
      <c r="B41" s="24" t="s">
        <v>1799</v>
      </c>
      <c r="C41" s="40" t="s">
        <v>2578</v>
      </c>
      <c r="D41" s="24" t="s">
        <v>82</v>
      </c>
      <c r="E41" s="24" t="s">
        <v>230</v>
      </c>
      <c r="F41" s="41" t="n">
        <f aca="false">PROCESO!$I$9</f>
        <v>0.02</v>
      </c>
      <c r="G41" s="24" t="s">
        <v>2281</v>
      </c>
      <c r="H41" s="42" t="n">
        <f aca="false">PROCESO!$I$9*DEMANDA!F4</f>
        <v>83.57473086</v>
      </c>
      <c r="I41" s="42" t="n">
        <f aca="false">PROCESO!$I$9*DEMANDA!G4</f>
        <v>119.94607954</v>
      </c>
      <c r="J41" s="42" t="n">
        <f aca="false">PROCESO!$I$9*DEMANDA!H4</f>
        <v>137.03495516</v>
      </c>
      <c r="K41" s="42" t="n">
        <f aca="false">PROCESO!$I$9*DEMANDA!I4</f>
        <v>169.34271098</v>
      </c>
      <c r="L41" s="42" t="n">
        <f aca="false">PROCESO!$I$9*DEMANDA!J4</f>
        <v>253.6126542</v>
      </c>
      <c r="M41" s="42" t="n">
        <f aca="false">PROCESO!$I$9*DEMANDA!K4</f>
        <v>312.4050614</v>
      </c>
      <c r="N41" s="42" t="n">
        <f aca="false">PROCESO!$I$9*DEMANDA!L4</f>
        <v>406.6510652</v>
      </c>
      <c r="O41" s="42" t="n">
        <f aca="false">PROCESO!$I$9*DEMANDA!M4</f>
        <v>502.6415696</v>
      </c>
      <c r="P41" s="42" t="n">
        <f aca="false">PROCESO!$I$9*DEMANDA!N4</f>
        <v>571.4667228</v>
      </c>
      <c r="Q41" s="42" t="n">
        <f aca="false">PROCESO!$I$9*DEMANDA!O4</f>
        <v>641.4527826</v>
      </c>
      <c r="R41" s="24" t="s">
        <v>2579</v>
      </c>
    </row>
    <row r="42" customFormat="false" ht="15" hidden="false" customHeight="false" outlineLevel="1" collapsed="false">
      <c r="A42" s="24" t="n">
        <v>1</v>
      </c>
      <c r="B42" s="24" t="s">
        <v>1799</v>
      </c>
      <c r="C42" s="40" t="s">
        <v>2580</v>
      </c>
      <c r="D42" s="24" t="s">
        <v>82</v>
      </c>
      <c r="E42" s="24" t="s">
        <v>258</v>
      </c>
      <c r="F42" s="41" t="n">
        <f aca="false">PROCESO!$I$9</f>
        <v>0.02</v>
      </c>
      <c r="G42" s="24" t="s">
        <v>2281</v>
      </c>
      <c r="H42" s="42" t="n">
        <f aca="false">PROCESO!$I$9*DEMANDA!F12</f>
        <v>0</v>
      </c>
      <c r="I42" s="42" t="n">
        <f aca="false">PROCESO!$I$9*DEMANDA!G12</f>
        <v>0</v>
      </c>
      <c r="J42" s="42" t="n">
        <f aca="false">PROCESO!$I$9*DEMANDA!H12</f>
        <v>153.248</v>
      </c>
      <c r="K42" s="42" t="n">
        <f aca="false">PROCESO!$I$9*DEMANDA!I12</f>
        <v>533.896</v>
      </c>
      <c r="L42" s="42" t="n">
        <f aca="false">PROCESO!$I$9*DEMANDA!J12</f>
        <v>988.696</v>
      </c>
      <c r="M42" s="42" t="n">
        <f aca="false">PROCESO!$I$9*DEMANDA!K12</f>
        <v>1433.604</v>
      </c>
      <c r="N42" s="42" t="n">
        <f aca="false">PROCESO!$I$9*DEMANDA!L12</f>
        <v>2026.812</v>
      </c>
      <c r="O42" s="42" t="n">
        <f aca="false">PROCESO!$I$9*DEMANDA!M12</f>
        <v>2620.02</v>
      </c>
      <c r="P42" s="42" t="n">
        <f aca="false">PROCESO!$I$9*DEMANDA!N12</f>
        <v>2936.396</v>
      </c>
      <c r="Q42" s="42" t="n">
        <f aca="false">PROCESO!$I$9*DEMANDA!O12</f>
        <v>3410.96</v>
      </c>
      <c r="R42" s="24" t="s">
        <v>2579</v>
      </c>
    </row>
    <row r="43" customFormat="false" ht="15" hidden="false" customHeight="false" outlineLevel="1" collapsed="false">
      <c r="A43" s="24" t="n">
        <v>1</v>
      </c>
      <c r="B43" s="24" t="s">
        <v>1799</v>
      </c>
      <c r="C43" s="40" t="s">
        <v>2581</v>
      </c>
      <c r="D43" s="24" t="s">
        <v>82</v>
      </c>
      <c r="E43" s="24" t="s">
        <v>234</v>
      </c>
      <c r="F43" s="41" t="n">
        <f aca="false">PROCESO!$I$22</f>
        <v>0.02</v>
      </c>
      <c r="G43" s="24" t="s">
        <v>2281</v>
      </c>
      <c r="H43" s="42" t="n">
        <f aca="false">PROCESO!$I$22*DEMANDA!F5</f>
        <v>5.900607144</v>
      </c>
      <c r="I43" s="42" t="n">
        <f aca="false">PROCESO!$I$22*DEMANDA!G5</f>
        <v>14.194549006</v>
      </c>
      <c r="J43" s="42" t="n">
        <f aca="false">PROCESO!$I$22*DEMANDA!H5</f>
        <v>19.737361152</v>
      </c>
      <c r="K43" s="42" t="n">
        <f aca="false">PROCESO!$I$22*DEMANDA!I5</f>
        <v>30.01276348</v>
      </c>
      <c r="L43" s="42" t="n">
        <f aca="false">PROCESO!$I$22*DEMANDA!J5</f>
        <v>46.25255452</v>
      </c>
      <c r="M43" s="42" t="n">
        <f aca="false">PROCESO!$I$22*DEMANDA!K5</f>
        <v>65.05739774</v>
      </c>
      <c r="N43" s="42" t="n">
        <f aca="false">PROCESO!$I$22*DEMANDA!L5</f>
        <v>82.04631048</v>
      </c>
      <c r="O43" s="42" t="n">
        <f aca="false">PROCESO!$I$22*DEMANDA!M5</f>
        <v>102.08613174</v>
      </c>
      <c r="P43" s="42" t="n">
        <f aca="false">PROCESO!$I$22*DEMANDA!N5</f>
        <v>123.90372486</v>
      </c>
      <c r="Q43" s="42" t="n">
        <f aca="false">PROCESO!$I$22*DEMANDA!O5</f>
        <v>148.49716888</v>
      </c>
      <c r="R43" s="24" t="s">
        <v>2582</v>
      </c>
    </row>
    <row r="44" customFormat="false" ht="15" hidden="false" customHeight="false" outlineLevel="1" collapsed="false">
      <c r="A44" s="24" t="n">
        <v>1</v>
      </c>
      <c r="B44" s="24" t="s">
        <v>1799</v>
      </c>
      <c r="C44" s="40" t="s">
        <v>2583</v>
      </c>
      <c r="D44" s="24" t="s">
        <v>82</v>
      </c>
      <c r="E44" s="24" t="s">
        <v>261</v>
      </c>
      <c r="F44" s="41" t="n">
        <f aca="false">PROCESO!$I$22</f>
        <v>0.02</v>
      </c>
      <c r="G44" s="24" t="s">
        <v>2281</v>
      </c>
      <c r="H44" s="42" t="n">
        <f aca="false">PROCESO!$I$22*DEMANDA!F13</f>
        <v>0</v>
      </c>
      <c r="I44" s="42" t="n">
        <f aca="false">PROCESO!$I$22*DEMANDA!G13</f>
        <v>0</v>
      </c>
      <c r="J44" s="42" t="n">
        <f aca="false">PROCESO!$I$22*DEMANDA!H13</f>
        <v>5.992</v>
      </c>
      <c r="K44" s="42" t="n">
        <f aca="false">PROCESO!$I$22*DEMANDA!I13</f>
        <v>20.876</v>
      </c>
      <c r="L44" s="42" t="n">
        <f aca="false">PROCESO!$I$22*DEMANDA!J13</f>
        <v>38.66</v>
      </c>
      <c r="M44" s="42" t="n">
        <f aca="false">PROCESO!$I$22*DEMANDA!K13</f>
        <v>56.06</v>
      </c>
      <c r="N44" s="42" t="n">
        <f aca="false">PROCESO!$I$22*DEMANDA!L13</f>
        <v>79.26</v>
      </c>
      <c r="O44" s="42" t="n">
        <f aca="false">PROCESO!$I$22*DEMANDA!M13</f>
        <v>102.46</v>
      </c>
      <c r="P44" s="42" t="n">
        <f aca="false">PROCESO!$I$22*DEMANDA!N13</f>
        <v>114.828</v>
      </c>
      <c r="Q44" s="42" t="n">
        <f aca="false">PROCESO!$I$22*DEMANDA!O13</f>
        <v>133.38</v>
      </c>
      <c r="R44" s="24" t="s">
        <v>2582</v>
      </c>
    </row>
    <row r="45" customFormat="false" ht="15" hidden="false" customHeight="false" outlineLevel="1" collapsed="false">
      <c r="A45" s="24" t="n">
        <v>1</v>
      </c>
      <c r="B45" s="24" t="s">
        <v>1799</v>
      </c>
      <c r="C45" s="40" t="s">
        <v>2584</v>
      </c>
      <c r="D45" s="24" t="s">
        <v>82</v>
      </c>
      <c r="E45" s="24" t="s">
        <v>238</v>
      </c>
      <c r="F45" s="41" t="n">
        <f aca="false">PROCESO!$I$35</f>
        <v>0.02</v>
      </c>
      <c r="G45" s="24" t="s">
        <v>2281</v>
      </c>
      <c r="H45" s="42" t="n">
        <f aca="false">PROCESO!$I$35*DEMANDA!F6</f>
        <v>54.1954605</v>
      </c>
      <c r="I45" s="42" t="n">
        <f aca="false">PROCESO!$I$35*DEMANDA!G6</f>
        <v>108.49957762</v>
      </c>
      <c r="J45" s="42" t="n">
        <f aca="false">PROCESO!$I$35*DEMANDA!H6</f>
        <v>142.49075182</v>
      </c>
      <c r="K45" s="42" t="n">
        <f aca="false">PROCESO!$I$35*DEMANDA!I6</f>
        <v>205.54230626</v>
      </c>
      <c r="L45" s="42" t="n">
        <f aca="false">PROCESO!$I$35*DEMANDA!J6</f>
        <v>286.7861388</v>
      </c>
      <c r="M45" s="42" t="n">
        <f aca="false">PROCESO!$I$35*DEMANDA!K6</f>
        <v>371.0992822</v>
      </c>
      <c r="N45" s="42" t="n">
        <f aca="false">PROCESO!$I$35*DEMANDA!L6</f>
        <v>449.1751968</v>
      </c>
      <c r="O45" s="42" t="n">
        <f aca="false">PROCESO!$I$35*DEMANDA!M6</f>
        <v>517.2037274</v>
      </c>
      <c r="P45" s="42" t="n">
        <f aca="false">PROCESO!$I$35*DEMANDA!N6</f>
        <v>570.154491</v>
      </c>
      <c r="Q45" s="42" t="n">
        <f aca="false">PROCESO!$I$35*DEMANDA!O6</f>
        <v>646.3755744</v>
      </c>
      <c r="R45" s="24" t="s">
        <v>2585</v>
      </c>
    </row>
    <row r="46" customFormat="false" ht="15" hidden="false" customHeight="false" outlineLevel="1" collapsed="false">
      <c r="A46" s="24" t="n">
        <v>1</v>
      </c>
      <c r="B46" s="24" t="s">
        <v>1799</v>
      </c>
      <c r="C46" s="40" t="s">
        <v>2586</v>
      </c>
      <c r="D46" s="24" t="s">
        <v>82</v>
      </c>
      <c r="E46" s="24" t="s">
        <v>264</v>
      </c>
      <c r="F46" s="41" t="n">
        <f aca="false">PROCESO!$I$35</f>
        <v>0.02</v>
      </c>
      <c r="G46" s="24" t="s">
        <v>2281</v>
      </c>
      <c r="H46" s="42" t="n">
        <f aca="false">PROCESO!$I$35*DEMANDA!F14</f>
        <v>0</v>
      </c>
      <c r="I46" s="42" t="n">
        <f aca="false">PROCESO!$I$35*DEMANDA!G14</f>
        <v>0</v>
      </c>
      <c r="J46" s="42" t="n">
        <f aca="false">PROCESO!$I$35*DEMANDA!H14</f>
        <v>29.576</v>
      </c>
      <c r="K46" s="42" t="n">
        <f aca="false">PROCESO!$I$35*DEMANDA!I14</f>
        <v>103.04</v>
      </c>
      <c r="L46" s="42" t="n">
        <f aca="false">PROCESO!$I$35*DEMANDA!J14</f>
        <v>190.816</v>
      </c>
      <c r="M46" s="42" t="n">
        <f aca="false">PROCESO!$I$35*DEMANDA!K14</f>
        <v>276.684</v>
      </c>
      <c r="N46" s="42" t="n">
        <f aca="false">PROCESO!$I$35*DEMANDA!L14</f>
        <v>391.172</v>
      </c>
      <c r="O46" s="42" t="n">
        <f aca="false">PROCESO!$I$35*DEMANDA!M14</f>
        <v>505.66</v>
      </c>
      <c r="P46" s="42" t="n">
        <f aca="false">PROCESO!$I$35*DEMANDA!N14</f>
        <v>566.716</v>
      </c>
      <c r="Q46" s="42" t="n">
        <f aca="false">PROCESO!$I$35*DEMANDA!O14</f>
        <v>658.3</v>
      </c>
      <c r="R46" s="24" t="s">
        <v>2585</v>
      </c>
    </row>
    <row r="47" customFormat="false" ht="15" hidden="false" customHeight="false" outlineLevel="1" collapsed="false">
      <c r="A47" s="24" t="n">
        <v>1</v>
      </c>
      <c r="B47" s="24" t="s">
        <v>1799</v>
      </c>
      <c r="C47" s="40" t="s">
        <v>2587</v>
      </c>
      <c r="D47" s="24" t="s">
        <v>82</v>
      </c>
      <c r="E47" s="24" t="s">
        <v>241</v>
      </c>
      <c r="F47" s="41" t="n">
        <f aca="false">PROCESO!$I$48</f>
        <v>0.02</v>
      </c>
      <c r="G47" s="24" t="s">
        <v>2281</v>
      </c>
      <c r="H47" s="42" t="n">
        <f aca="false">PROCESO!$I$48*DEMANDA!F7</f>
        <v>1.8366636306</v>
      </c>
      <c r="I47" s="42" t="n">
        <f aca="false">PROCESO!$I$48*DEMANDA!G7</f>
        <v>3.544945934</v>
      </c>
      <c r="J47" s="42" t="n">
        <f aca="false">PROCESO!$I$48*DEMANDA!H7</f>
        <v>5.059575596</v>
      </c>
      <c r="K47" s="42" t="n">
        <f aca="false">PROCESO!$I$48*DEMANDA!I7</f>
        <v>7.160409882</v>
      </c>
      <c r="L47" s="42" t="n">
        <f aca="false">PROCESO!$I$48*DEMANDA!J7</f>
        <v>12.054363038</v>
      </c>
      <c r="M47" s="42" t="n">
        <f aca="false">PROCESO!$I$48*DEMANDA!K7</f>
        <v>17.45210064</v>
      </c>
      <c r="N47" s="42" t="n">
        <f aca="false">PROCESO!$I$48*DEMANDA!L7</f>
        <v>22.5432109</v>
      </c>
      <c r="O47" s="42" t="n">
        <f aca="false">PROCESO!$I$48*DEMANDA!M7</f>
        <v>27.90889624</v>
      </c>
      <c r="P47" s="42" t="n">
        <f aca="false">PROCESO!$I$48*DEMANDA!N7</f>
        <v>32.24700108</v>
      </c>
      <c r="Q47" s="42" t="n">
        <f aca="false">PROCESO!$I$48*DEMANDA!O7</f>
        <v>36.81696158</v>
      </c>
      <c r="R47" s="24" t="s">
        <v>2588</v>
      </c>
    </row>
    <row r="48" customFormat="false" ht="15" hidden="false" customHeight="false" outlineLevel="1" collapsed="false">
      <c r="A48" s="24" t="n">
        <v>1</v>
      </c>
      <c r="B48" s="24" t="s">
        <v>1799</v>
      </c>
      <c r="C48" s="40" t="s">
        <v>2589</v>
      </c>
      <c r="D48" s="24" t="s">
        <v>82</v>
      </c>
      <c r="E48" s="24" t="s">
        <v>267</v>
      </c>
      <c r="F48" s="41" t="n">
        <f aca="false">PROCESO!$I$48</f>
        <v>0.02</v>
      </c>
      <c r="G48" s="24" t="s">
        <v>2281</v>
      </c>
      <c r="H48" s="42" t="n">
        <f aca="false">PROCESO!$I$48*DEMANDA!F15</f>
        <v>0</v>
      </c>
      <c r="I48" s="42" t="n">
        <f aca="false">PROCESO!$I$48*DEMANDA!G15</f>
        <v>0</v>
      </c>
      <c r="J48" s="42" t="n">
        <f aca="false">PROCESO!$I$48*DEMANDA!H15</f>
        <v>1.808</v>
      </c>
      <c r="K48" s="42" t="n">
        <f aca="false">PROCESO!$I$48*DEMANDA!I15</f>
        <v>6.3</v>
      </c>
      <c r="L48" s="42" t="n">
        <f aca="false">PROCESO!$I$48*DEMANDA!J15</f>
        <v>11.668</v>
      </c>
      <c r="M48" s="42" t="n">
        <f aca="false">PROCESO!$I$48*DEMANDA!K15</f>
        <v>16.916</v>
      </c>
      <c r="N48" s="42" t="n">
        <f aca="false">PROCESO!$I$48*DEMANDA!L15</f>
        <v>23.908</v>
      </c>
      <c r="O48" s="42" t="n">
        <f aca="false">PROCESO!$I$48*DEMANDA!M15</f>
        <v>30.9</v>
      </c>
      <c r="P48" s="42" t="n">
        <f aca="false">PROCESO!$I$48*DEMANDA!N15</f>
        <v>34.628</v>
      </c>
      <c r="Q48" s="42" t="n">
        <f aca="false">PROCESO!$I$48*DEMANDA!O15</f>
        <v>40.22</v>
      </c>
      <c r="R48" s="24" t="s">
        <v>2588</v>
      </c>
    </row>
  </sheetData>
  <autoFilter ref="A3:R4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2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2590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8" t="n">
        <v>0</v>
      </c>
      <c r="B4" s="38" t="s">
        <v>883</v>
      </c>
      <c r="C4" s="38" t="s">
        <v>2007</v>
      </c>
      <c r="D4" s="38" t="s">
        <v>1748</v>
      </c>
      <c r="E4" s="38"/>
      <c r="F4" s="38"/>
      <c r="G4" s="38"/>
      <c r="H4" s="39" t="n">
        <f aca="false">SUM(H5:H8)</f>
        <v>16.2691892066667</v>
      </c>
      <c r="I4" s="39" t="n">
        <f aca="false">SUM(I5:I8)</f>
        <v>27.9319148944444</v>
      </c>
      <c r="J4" s="39" t="n">
        <f aca="false">SUM(J5:J8)</f>
        <v>42.8329691088889</v>
      </c>
      <c r="K4" s="39" t="n">
        <f aca="false">SUM(K5:K8)</f>
        <v>72.0753741833333</v>
      </c>
      <c r="L4" s="39" t="n">
        <f aca="false">SUM(L5:L8)</f>
        <v>119.007423894444</v>
      </c>
      <c r="M4" s="39" t="n">
        <f aca="false">SUM(M5:M8)</f>
        <v>165.857586188889</v>
      </c>
      <c r="N4" s="39" t="n">
        <f aca="false">SUM(N5:N8)</f>
        <v>221.630378061111</v>
      </c>
      <c r="O4" s="39" t="n">
        <f aca="false">SUM(O5:O8)</f>
        <v>279.527698233333</v>
      </c>
      <c r="P4" s="39" t="n">
        <f aca="false">SUM(P5:P8)</f>
        <v>320.444209672222</v>
      </c>
      <c r="Q4" s="39" t="n">
        <f aca="false">SUM(Q5:Q8)</f>
        <v>370.340365872222</v>
      </c>
      <c r="R4" s="38"/>
    </row>
    <row r="5" customFormat="false" ht="15" hidden="false" customHeight="false" outlineLevel="1" collapsed="false">
      <c r="A5" s="24" t="n">
        <v>1</v>
      </c>
      <c r="B5" s="24" t="s">
        <v>883</v>
      </c>
      <c r="C5" s="40" t="s">
        <v>2591</v>
      </c>
      <c r="D5" s="24" t="s">
        <v>1748</v>
      </c>
      <c r="E5" s="24" t="s">
        <v>245</v>
      </c>
      <c r="F5" s="41" t="n">
        <f aca="false">INDEX((BOM_COEF!R163~BOM_COEF!S163~BOM_COEF!T163~BOM_COEF!U163~BOM_COEF!V163~BOM_COEF!W163~BOM_COEF!X163~BOM_COEF!Y163~BOM_COEF!Z163~BOM_COEF!AA163),1,1,INDEX(P_VAL,MATCH("AÑO_DIS",P_ID,0))-2025)</f>
        <v>0.111111111111111</v>
      </c>
      <c r="G5" s="24" t="s">
        <v>2281</v>
      </c>
      <c r="H5" s="42" t="n">
        <f aca="false">BOM_COEF!R163*DEMANDA!F8</f>
        <v>3.78353237333333</v>
      </c>
      <c r="I5" s="42" t="n">
        <f aca="false">BOM_COEF!S163*DEMANDA!G8</f>
        <v>6.49579416111111</v>
      </c>
      <c r="J5" s="42" t="n">
        <f aca="false">BOM_COEF!T163*DEMANDA!H8</f>
        <v>8.35650444222222</v>
      </c>
      <c r="K5" s="42" t="n">
        <f aca="false">BOM_COEF!U163*DEMANDA!I8</f>
        <v>11.1699836555556</v>
      </c>
      <c r="L5" s="42" t="n">
        <f aca="false">BOM_COEF!V163*DEMANDA!J8</f>
        <v>17.3195559444444</v>
      </c>
      <c r="M5" s="42" t="n">
        <f aca="false">BOM_COEF!W163*DEMANDA!K8</f>
        <v>23.5482758555556</v>
      </c>
      <c r="N5" s="42" t="n">
        <f aca="false">BOM_COEF!X163*DEMANDA!L8</f>
        <v>30.2964703555556</v>
      </c>
      <c r="O5" s="42" t="n">
        <f aca="false">BOM_COEF!Y163*DEMANDA!M8</f>
        <v>37.5387411888889</v>
      </c>
      <c r="P5" s="42" t="n">
        <f aca="false">BOM_COEF!Z163*DEMANDA!N8</f>
        <v>43.7363795111111</v>
      </c>
      <c r="Q5" s="42" t="n">
        <f aca="false">BOM_COEF!AA163*DEMANDA!O8</f>
        <v>50.3633925777778</v>
      </c>
      <c r="R5" s="24" t="s">
        <v>2592</v>
      </c>
    </row>
    <row r="6" customFormat="false" ht="15" hidden="false" customHeight="false" outlineLevel="1" collapsed="false">
      <c r="A6" s="24" t="n">
        <v>1</v>
      </c>
      <c r="B6" s="24" t="s">
        <v>883</v>
      </c>
      <c r="C6" s="40" t="s">
        <v>2593</v>
      </c>
      <c r="D6" s="24" t="s">
        <v>1748</v>
      </c>
      <c r="E6" s="24" t="s">
        <v>270</v>
      </c>
      <c r="F6" s="41" t="n">
        <f aca="false">INDEX((BOM_COEF!R207~BOM_COEF!S207~BOM_COEF!T207~BOM_COEF!U207~BOM_COEF!V207~BOM_COEF!W207~BOM_COEF!X207~BOM_COEF!Y207~BOM_COEF!Z207~BOM_COEF!AA207),1,1,INDEX(P_VAL,MATCH("AÑO_DIS",P_ID,0))-2025)</f>
        <v>0.111111111111111</v>
      </c>
      <c r="G6" s="24" t="s">
        <v>2281</v>
      </c>
      <c r="H6" s="42" t="n">
        <f aca="false">BOM_COEF!R207*DEMANDA!F16</f>
        <v>0</v>
      </c>
      <c r="I6" s="42" t="n">
        <f aca="false">BOM_COEF!S207*DEMANDA!G16</f>
        <v>0</v>
      </c>
      <c r="J6" s="42" t="n">
        <f aca="false">BOM_COEF!T207*DEMANDA!H16</f>
        <v>1.6</v>
      </c>
      <c r="K6" s="42" t="n">
        <f aca="false">BOM_COEF!U207*DEMANDA!I16</f>
        <v>5.57777777777778</v>
      </c>
      <c r="L6" s="42" t="n">
        <f aca="false">BOM_COEF!V207*DEMANDA!J16</f>
        <v>10.3333333333333</v>
      </c>
      <c r="M6" s="42" t="n">
        <f aca="false">BOM_COEF!W207*DEMANDA!K16</f>
        <v>15</v>
      </c>
      <c r="N6" s="42" t="n">
        <f aca="false">BOM_COEF!X207*DEMANDA!L16</f>
        <v>21.2222222222222</v>
      </c>
      <c r="O6" s="42" t="n">
        <f aca="false">BOM_COEF!Y207*DEMANDA!M16</f>
        <v>27.4444444444444</v>
      </c>
      <c r="P6" s="42" t="n">
        <f aca="false">BOM_COEF!Z207*DEMANDA!N16</f>
        <v>30.7777777777778</v>
      </c>
      <c r="Q6" s="42" t="n">
        <f aca="false">BOM_COEF!AA207*DEMANDA!O16</f>
        <v>35.7777777777778</v>
      </c>
      <c r="R6" s="24" t="s">
        <v>2594</v>
      </c>
    </row>
    <row r="7" customFormat="false" ht="15" hidden="false" customHeight="false" outlineLevel="1" collapsed="false">
      <c r="A7" s="24" t="n">
        <v>1</v>
      </c>
      <c r="B7" s="24" t="s">
        <v>883</v>
      </c>
      <c r="C7" s="40" t="s">
        <v>2595</v>
      </c>
      <c r="D7" s="24" t="s">
        <v>1748</v>
      </c>
      <c r="E7" s="24" t="s">
        <v>249</v>
      </c>
      <c r="F7" s="41" t="n">
        <f aca="false">INDEX((BOM_COEF!R213~BOM_COEF!S213~BOM_COEF!T213~BOM_COEF!U213~BOM_COEF!V213~BOM_COEF!W213~BOM_COEF!X213~BOM_COEF!Y213~BOM_COEF!Z213~BOM_COEF!AA213),1,1,INDEX(P_VAL,MATCH("AÑO_DIS",P_ID,0))-2025)</f>
        <v>0.166666666666667</v>
      </c>
      <c r="G7" s="24" t="s">
        <v>2281</v>
      </c>
      <c r="H7" s="42" t="n">
        <f aca="false">BOM_COEF!R213*DEMANDA!F9</f>
        <v>12.4856568333333</v>
      </c>
      <c r="I7" s="42" t="n">
        <f aca="false">BOM_COEF!S213*DEMANDA!G9</f>
        <v>21.4361207333333</v>
      </c>
      <c r="J7" s="42" t="n">
        <f aca="false">BOM_COEF!T213*DEMANDA!H9</f>
        <v>27.5764646666667</v>
      </c>
      <c r="K7" s="42" t="n">
        <f aca="false">BOM_COEF!U213*DEMANDA!I9</f>
        <v>36.8609460833333</v>
      </c>
      <c r="L7" s="42" t="n">
        <f aca="false">BOM_COEF!V213*DEMANDA!J9</f>
        <v>57.1545346166667</v>
      </c>
      <c r="M7" s="42" t="n">
        <f aca="false">BOM_COEF!W213*DEMANDA!K9</f>
        <v>77.7093103333333</v>
      </c>
      <c r="N7" s="42" t="n">
        <f aca="false">BOM_COEF!X213*DEMANDA!L9</f>
        <v>99.97835215</v>
      </c>
      <c r="O7" s="42" t="n">
        <f aca="false">BOM_COEF!Y213*DEMANDA!M9</f>
        <v>123.877845933333</v>
      </c>
      <c r="P7" s="42" t="n">
        <f aca="false">BOM_COEF!Z213*DEMANDA!N9</f>
        <v>144.330052383333</v>
      </c>
      <c r="Q7" s="42" t="n">
        <f aca="false">BOM_COEF!AA213*DEMANDA!O9</f>
        <v>166.199195516667</v>
      </c>
      <c r="R7" s="24" t="s">
        <v>2596</v>
      </c>
    </row>
    <row r="8" customFormat="false" ht="15" hidden="false" customHeight="false" outlineLevel="1" collapsed="false">
      <c r="A8" s="24" t="n">
        <v>1</v>
      </c>
      <c r="B8" s="24" t="s">
        <v>883</v>
      </c>
      <c r="C8" s="40" t="s">
        <v>2597</v>
      </c>
      <c r="D8" s="24" t="s">
        <v>1748</v>
      </c>
      <c r="E8" s="24" t="s">
        <v>273</v>
      </c>
      <c r="F8" s="41" t="n">
        <f aca="false">INDEX((BOM_COEF!R256~BOM_COEF!S256~BOM_COEF!T256~BOM_COEF!U256~BOM_COEF!V256~BOM_COEF!W256~BOM_COEF!X256~BOM_COEF!Y256~BOM_COEF!Z256~BOM_COEF!AA256),1,1,INDEX(P_VAL,MATCH("AÑO_DIS",P_ID,0))-2025)</f>
        <v>0.166666666666667</v>
      </c>
      <c r="G8" s="24" t="s">
        <v>2281</v>
      </c>
      <c r="H8" s="42" t="n">
        <f aca="false">BOM_COEF!R256*DEMANDA!F17</f>
        <v>0</v>
      </c>
      <c r="I8" s="42" t="n">
        <f aca="false">BOM_COEF!S256*DEMANDA!G17</f>
        <v>0</v>
      </c>
      <c r="J8" s="42" t="n">
        <f aca="false">BOM_COEF!T256*DEMANDA!H17</f>
        <v>5.3</v>
      </c>
      <c r="K8" s="42" t="n">
        <f aca="false">BOM_COEF!U256*DEMANDA!I17</f>
        <v>18.4666666666667</v>
      </c>
      <c r="L8" s="42" t="n">
        <f aca="false">BOM_COEF!V256*DEMANDA!J17</f>
        <v>34.2</v>
      </c>
      <c r="M8" s="42" t="n">
        <f aca="false">BOM_COEF!W256*DEMANDA!K17</f>
        <v>49.6</v>
      </c>
      <c r="N8" s="42" t="n">
        <f aca="false">BOM_COEF!X256*DEMANDA!L17</f>
        <v>70.1333333333333</v>
      </c>
      <c r="O8" s="42" t="n">
        <f aca="false">BOM_COEF!Y256*DEMANDA!M17</f>
        <v>90.6666666666667</v>
      </c>
      <c r="P8" s="42" t="n">
        <f aca="false">BOM_COEF!Z256*DEMANDA!N17</f>
        <v>101.6</v>
      </c>
      <c r="Q8" s="42" t="n">
        <f aca="false">BOM_COEF!AA256*DEMANDA!O17</f>
        <v>118</v>
      </c>
      <c r="R8" s="24" t="s">
        <v>2598</v>
      </c>
    </row>
    <row r="9" customFormat="false" ht="15" hidden="false" customHeight="false" outlineLevel="0" collapsed="false">
      <c r="A9" s="38" t="n">
        <v>0</v>
      </c>
      <c r="B9" s="38" t="s">
        <v>1121</v>
      </c>
      <c r="C9" s="38" t="s">
        <v>2010</v>
      </c>
      <c r="D9" s="38" t="s">
        <v>1748</v>
      </c>
      <c r="E9" s="38"/>
      <c r="F9" s="38"/>
      <c r="G9" s="38"/>
      <c r="H9" s="39" t="n">
        <f aca="false">SUM(H10:H12)</f>
        <v>7.26438215777778</v>
      </c>
      <c r="I9" s="39" t="n">
        <f aca="false">SUM(I10:I12)</f>
        <v>12.4719247922222</v>
      </c>
      <c r="J9" s="39" t="n">
        <f aca="false">SUM(J10:J12)</f>
        <v>19.1333774166667</v>
      </c>
      <c r="K9" s="39" t="n">
        <f aca="false">SUM(K10:K12)</f>
        <v>32.2019241822222</v>
      </c>
      <c r="L9" s="39" t="n">
        <f aca="false">SUM(L10:L12)</f>
        <v>53.1646585222222</v>
      </c>
      <c r="M9" s="39" t="n">
        <f aca="false">SUM(M10:M12)</f>
        <v>74.0126896455556</v>
      </c>
      <c r="N9" s="39" t="n">
        <f aca="false">SUM(N10:N12)</f>
        <v>98.7914452922222</v>
      </c>
      <c r="O9" s="39" t="n">
        <f aca="false">SUM(O10:O12)</f>
        <v>124.518827511111</v>
      </c>
      <c r="P9" s="39" t="n">
        <f aca="false">SUM(P10:P12)</f>
        <v>142.818293111111</v>
      </c>
      <c r="Q9" s="39" t="n">
        <f aca="false">SUM(Q10:Q12)</f>
        <v>165.1421582</v>
      </c>
      <c r="R9" s="38"/>
    </row>
    <row r="10" customFormat="false" ht="15" hidden="false" customHeight="false" outlineLevel="1" collapsed="false">
      <c r="A10" s="24" t="n">
        <v>1</v>
      </c>
      <c r="B10" s="24" t="s">
        <v>1121</v>
      </c>
      <c r="C10" s="40" t="s">
        <v>2599</v>
      </c>
      <c r="D10" s="24" t="s">
        <v>1748</v>
      </c>
      <c r="E10" s="24" t="s">
        <v>2600</v>
      </c>
      <c r="F10" s="24"/>
      <c r="G10" s="24" t="s">
        <v>2281</v>
      </c>
      <c r="H10" s="42" t="n">
        <f aca="false">MIN((DEMANDA!F10+DEMANDA!F18)/3,(DEMANDA!F11+DEMANDA!F19))</f>
        <v>5.44828661666667</v>
      </c>
      <c r="I10" s="42" t="n">
        <f aca="false">MIN((DEMANDA!G10+DEMANDA!G18)/3,(DEMANDA!G11+DEMANDA!G19))</f>
        <v>9.35394359333333</v>
      </c>
      <c r="J10" s="42" t="n">
        <f aca="false">MIN((DEMANDA!H10+DEMANDA!H18)/3,(DEMANDA!H11+DEMANDA!H19))</f>
        <v>14.36669973</v>
      </c>
      <c r="K10" s="42" t="n">
        <f aca="false">MIN((DEMANDA!I10+DEMANDA!I18)/3,(DEMANDA!I11+DEMANDA!I19))</f>
        <v>24.2181098033333</v>
      </c>
      <c r="L10" s="42" t="n">
        <f aca="false">MIN((DEMANDA!J10+DEMANDA!J18)/3,(DEMANDA!J11+DEMANDA!J19))</f>
        <v>40.0068272233333</v>
      </c>
      <c r="M10" s="42" t="n">
        <f aca="false">MIN((DEMANDA!K10+DEMANDA!K18)/3,(DEMANDA!K11+DEMANDA!K19))</f>
        <v>55.7095172333333</v>
      </c>
      <c r="N10" s="42" t="n">
        <f aca="false">MIN((DEMANDA!L10+DEMANDA!L18)/3,(DEMANDA!L11+DEMANDA!L19))</f>
        <v>74.3602506333333</v>
      </c>
      <c r="O10" s="42" t="n">
        <f aca="false">MIN((DEMANDA!M10+DEMANDA!M18)/3,(DEMANDA!M11+DEMANDA!M19))</f>
        <v>93.7224539666667</v>
      </c>
      <c r="P10" s="42" t="n">
        <f aca="false">MIN((DEMANDA!N10+DEMANDA!N18)/3,(DEMANDA!N11+DEMANDA!N19))</f>
        <v>107.447053166667</v>
      </c>
      <c r="Q10" s="42" t="n">
        <f aca="false">MIN((DEMANDA!O10+DEMANDA!O18)/3,(DEMANDA!O11+DEMANDA!O19))</f>
        <v>124.189952</v>
      </c>
      <c r="R10" s="24" t="s">
        <v>2601</v>
      </c>
    </row>
    <row r="11" customFormat="false" ht="15" hidden="false" customHeight="false" outlineLevel="1" collapsed="false">
      <c r="A11" s="24" t="n">
        <v>1</v>
      </c>
      <c r="B11" s="24" t="s">
        <v>1121</v>
      </c>
      <c r="C11" s="40" t="s">
        <v>2602</v>
      </c>
      <c r="D11" s="24" t="s">
        <v>1748</v>
      </c>
      <c r="E11" s="24" t="s">
        <v>2600</v>
      </c>
      <c r="F11" s="24"/>
      <c r="G11" s="24" t="s">
        <v>2281</v>
      </c>
      <c r="H11" s="42" t="n">
        <f aca="false">((DEMANDA!F10+DEMANDA!F18)-3*H10)/4</f>
        <v>0</v>
      </c>
      <c r="I11" s="42" t="n">
        <f aca="false">((DEMANDA!G10+DEMANDA!G18)-3*I10)/4</f>
        <v>0</v>
      </c>
      <c r="J11" s="42" t="n">
        <f aca="false">((DEMANDA!H10+DEMANDA!H18)-3*J10)/4</f>
        <v>0</v>
      </c>
      <c r="K11" s="42" t="n">
        <f aca="false">((DEMANDA!I10+DEMANDA!I18)-3*K10)/4</f>
        <v>0</v>
      </c>
      <c r="L11" s="42" t="n">
        <f aca="false">((DEMANDA!J10+DEMANDA!J18)-3*L10)/4</f>
        <v>0</v>
      </c>
      <c r="M11" s="42" t="n">
        <f aca="false">((DEMANDA!K10+DEMANDA!K18)-3*M10)/4</f>
        <v>0</v>
      </c>
      <c r="N11" s="42" t="n">
        <f aca="false">((DEMANDA!L10+DEMANDA!L18)-3*N10)/4</f>
        <v>0</v>
      </c>
      <c r="O11" s="42" t="n">
        <f aca="false">((DEMANDA!M10+DEMANDA!M18)-3*O10)/4</f>
        <v>0</v>
      </c>
      <c r="P11" s="42" t="n">
        <f aca="false">((DEMANDA!N10+DEMANDA!N18)-3*P10)/4</f>
        <v>0</v>
      </c>
      <c r="Q11" s="42" t="n">
        <f aca="false">((DEMANDA!O10+DEMANDA!O18)-3*Q10)/4</f>
        <v>0</v>
      </c>
      <c r="R11" s="24" t="s">
        <v>2601</v>
      </c>
    </row>
    <row r="12" customFormat="false" ht="15" hidden="false" customHeight="false" outlineLevel="1" collapsed="false">
      <c r="A12" s="24" t="n">
        <v>1</v>
      </c>
      <c r="B12" s="24" t="s">
        <v>1121</v>
      </c>
      <c r="C12" s="40" t="s">
        <v>2603</v>
      </c>
      <c r="D12" s="24" t="s">
        <v>1748</v>
      </c>
      <c r="E12" s="24" t="s">
        <v>2600</v>
      </c>
      <c r="F12" s="24"/>
      <c r="G12" s="24" t="s">
        <v>2281</v>
      </c>
      <c r="H12" s="42" t="n">
        <f aca="false">((DEMANDA!F11+DEMANDA!F19)-H10)/3</f>
        <v>1.81609554111111</v>
      </c>
      <c r="I12" s="42" t="n">
        <f aca="false">((DEMANDA!G11+DEMANDA!G19)-I10)/3</f>
        <v>3.11798119888889</v>
      </c>
      <c r="J12" s="42" t="n">
        <f aca="false">((DEMANDA!H11+DEMANDA!H19)-J10)/3</f>
        <v>4.76667768666667</v>
      </c>
      <c r="K12" s="42" t="n">
        <f aca="false">((DEMANDA!I11+DEMANDA!I19)-K10)/3</f>
        <v>7.98381437888889</v>
      </c>
      <c r="L12" s="42" t="n">
        <f aca="false">((DEMANDA!J11+DEMANDA!J19)-L10)/3</f>
        <v>13.1578312988889</v>
      </c>
      <c r="M12" s="42" t="n">
        <f aca="false">((DEMANDA!K11+DEMANDA!K19)-M10)/3</f>
        <v>18.3031724122222</v>
      </c>
      <c r="N12" s="42" t="n">
        <f aca="false">((DEMANDA!L11+DEMANDA!L19)-N10)/3</f>
        <v>24.4311946588889</v>
      </c>
      <c r="O12" s="42" t="n">
        <f aca="false">((DEMANDA!M11+DEMANDA!M19)-O10)/3</f>
        <v>30.7963735444444</v>
      </c>
      <c r="P12" s="42" t="n">
        <f aca="false">((DEMANDA!N11+DEMANDA!N19)-P10)/3</f>
        <v>35.3712399444444</v>
      </c>
      <c r="Q12" s="42" t="n">
        <f aca="false">((DEMANDA!O11+DEMANDA!O19)-Q10)/3</f>
        <v>40.9522062</v>
      </c>
      <c r="R12" s="24" t="s">
        <v>2601</v>
      </c>
    </row>
    <row r="13" customFormat="false" ht="15" hidden="false" customHeight="false" outlineLevel="0" collapsed="false">
      <c r="A13" s="38" t="n">
        <v>0</v>
      </c>
      <c r="B13" s="38" t="s">
        <v>886</v>
      </c>
      <c r="C13" s="38" t="s">
        <v>2013</v>
      </c>
      <c r="D13" s="38" t="s">
        <v>82</v>
      </c>
      <c r="E13" s="38"/>
      <c r="F13" s="38"/>
      <c r="G13" s="38"/>
      <c r="H13" s="39" t="n">
        <f aca="false">SUM(H14:H17)</f>
        <v>68.10358272</v>
      </c>
      <c r="I13" s="39" t="n">
        <f aca="false">SUM(I14:I17)</f>
        <v>116.9242949</v>
      </c>
      <c r="J13" s="39" t="n">
        <f aca="false">SUM(J14:J17)</f>
        <v>179.21707996</v>
      </c>
      <c r="K13" s="39" t="n">
        <f aca="false">SUM(K14:K17)</f>
        <v>301.4597058</v>
      </c>
      <c r="L13" s="39" t="n">
        <f aca="false">SUM(L14:L17)</f>
        <v>497.752007</v>
      </c>
      <c r="M13" s="39" t="n">
        <f aca="false">SUM(M14:M17)</f>
        <v>693.8689654</v>
      </c>
      <c r="N13" s="39" t="n">
        <f aca="false">SUM(N14:N17)</f>
        <v>927.3364664</v>
      </c>
      <c r="O13" s="39" t="n">
        <f aca="false">SUM(O14:O17)</f>
        <v>1169.6973414</v>
      </c>
      <c r="P13" s="39" t="n">
        <f aca="false">SUM(P14:P17)</f>
        <v>1341.2548312</v>
      </c>
      <c r="Q13" s="39" t="n">
        <f aca="false">SUM(Q14:Q17)</f>
        <v>1550.5410664</v>
      </c>
      <c r="R13" s="38"/>
    </row>
    <row r="14" customFormat="false" ht="15" hidden="false" customHeight="false" outlineLevel="1" collapsed="false">
      <c r="A14" s="24" t="n">
        <v>1</v>
      </c>
      <c r="B14" s="24" t="s">
        <v>886</v>
      </c>
      <c r="C14" s="40" t="s">
        <v>2604</v>
      </c>
      <c r="D14" s="24" t="s">
        <v>82</v>
      </c>
      <c r="E14" s="24" t="s">
        <v>245</v>
      </c>
      <c r="F14" s="41" t="n">
        <f aca="false">INDEX((BOM_COEF!R164~BOM_COEF!S164~BOM_COEF!T164~BOM_COEF!U164~BOM_COEF!V164~BOM_COEF!W164~BOM_COEF!X164~BOM_COEF!Y164~BOM_COEF!Z164~BOM_COEF!AA164),1,1,INDEX(P_VAL,MATCH("AÑO_DIS",P_ID,0))-2025)</f>
        <v>1</v>
      </c>
      <c r="G14" s="24" t="s">
        <v>2281</v>
      </c>
      <c r="H14" s="42" t="n">
        <f aca="false">BOM_COEF!R164*DEMANDA!F8</f>
        <v>34.05179136</v>
      </c>
      <c r="I14" s="42" t="n">
        <f aca="false">BOM_COEF!S164*DEMANDA!G8</f>
        <v>58.46214745</v>
      </c>
      <c r="J14" s="42" t="n">
        <f aca="false">BOM_COEF!T164*DEMANDA!H8</f>
        <v>75.20853998</v>
      </c>
      <c r="K14" s="42" t="n">
        <f aca="false">BOM_COEF!U164*DEMANDA!I8</f>
        <v>100.5298529</v>
      </c>
      <c r="L14" s="42" t="n">
        <f aca="false">BOM_COEF!V164*DEMANDA!J8</f>
        <v>155.8760035</v>
      </c>
      <c r="M14" s="42" t="n">
        <f aca="false">BOM_COEF!W164*DEMANDA!K8</f>
        <v>211.9344827</v>
      </c>
      <c r="N14" s="42" t="n">
        <f aca="false">BOM_COEF!X164*DEMANDA!L8</f>
        <v>272.6682332</v>
      </c>
      <c r="O14" s="42" t="n">
        <f aca="false">BOM_COEF!Y164*DEMANDA!M8</f>
        <v>337.8486707</v>
      </c>
      <c r="P14" s="42" t="n">
        <f aca="false">BOM_COEF!Z164*DEMANDA!N8</f>
        <v>393.6274156</v>
      </c>
      <c r="Q14" s="42" t="n">
        <f aca="false">BOM_COEF!AA164*DEMANDA!O8</f>
        <v>453.2705332</v>
      </c>
      <c r="R14" s="24" t="s">
        <v>2605</v>
      </c>
    </row>
    <row r="15" customFormat="false" ht="15" hidden="false" customHeight="false" outlineLevel="1" collapsed="false">
      <c r="A15" s="24" t="n">
        <v>1</v>
      </c>
      <c r="B15" s="24" t="s">
        <v>886</v>
      </c>
      <c r="C15" s="40" t="s">
        <v>2606</v>
      </c>
      <c r="D15" s="24" t="s">
        <v>82</v>
      </c>
      <c r="E15" s="24" t="s">
        <v>245</v>
      </c>
      <c r="F15" s="41" t="n">
        <f aca="false">INDEX((BOM_COEF!R165~BOM_COEF!S165~BOM_COEF!T165~BOM_COEF!U165~BOM_COEF!V165~BOM_COEF!W165~BOM_COEF!X165~BOM_COEF!Y165~BOM_COEF!Z165~BOM_COEF!AA165),1,1,INDEX(P_VAL,MATCH("AÑO_DIS",P_ID,0))-2025)</f>
        <v>1</v>
      </c>
      <c r="G15" s="24" t="s">
        <v>2281</v>
      </c>
      <c r="H15" s="42" t="n">
        <f aca="false">BOM_COEF!R165*DEMANDA!F8</f>
        <v>34.05179136</v>
      </c>
      <c r="I15" s="42" t="n">
        <f aca="false">BOM_COEF!S165*DEMANDA!G8</f>
        <v>58.46214745</v>
      </c>
      <c r="J15" s="42" t="n">
        <f aca="false">BOM_COEF!T165*DEMANDA!H8</f>
        <v>75.20853998</v>
      </c>
      <c r="K15" s="42" t="n">
        <f aca="false">BOM_COEF!U165*DEMANDA!I8</f>
        <v>100.5298529</v>
      </c>
      <c r="L15" s="42" t="n">
        <f aca="false">BOM_COEF!V165*DEMANDA!J8</f>
        <v>155.8760035</v>
      </c>
      <c r="M15" s="42" t="n">
        <f aca="false">BOM_COEF!W165*DEMANDA!K8</f>
        <v>211.9344827</v>
      </c>
      <c r="N15" s="42" t="n">
        <f aca="false">BOM_COEF!X165*DEMANDA!L8</f>
        <v>272.6682332</v>
      </c>
      <c r="O15" s="42" t="n">
        <f aca="false">BOM_COEF!Y165*DEMANDA!M8</f>
        <v>337.8486707</v>
      </c>
      <c r="P15" s="42" t="n">
        <f aca="false">BOM_COEF!Z165*DEMANDA!N8</f>
        <v>393.6274156</v>
      </c>
      <c r="Q15" s="42" t="n">
        <f aca="false">BOM_COEF!AA165*DEMANDA!O8</f>
        <v>453.2705332</v>
      </c>
      <c r="R15" s="24" t="s">
        <v>2607</v>
      </c>
    </row>
    <row r="16" customFormat="false" ht="15" hidden="false" customHeight="false" outlineLevel="1" collapsed="false">
      <c r="A16" s="24" t="n">
        <v>1</v>
      </c>
      <c r="B16" s="24" t="s">
        <v>886</v>
      </c>
      <c r="C16" s="40" t="s">
        <v>2608</v>
      </c>
      <c r="D16" s="24" t="s">
        <v>82</v>
      </c>
      <c r="E16" s="24" t="s">
        <v>270</v>
      </c>
      <c r="F16" s="41" t="n">
        <f aca="false">INDEX((BOM_COEF!R208~BOM_COEF!S208~BOM_COEF!T208~BOM_COEF!U208~BOM_COEF!V208~BOM_COEF!W208~BOM_COEF!X208~BOM_COEF!Y208~BOM_COEF!Z208~BOM_COEF!AA208),1,1,INDEX(P_VAL,MATCH("AÑO_DIS",P_ID,0))-2025)</f>
        <v>1</v>
      </c>
      <c r="G16" s="24" t="s">
        <v>2281</v>
      </c>
      <c r="H16" s="42" t="n">
        <f aca="false">BOM_COEF!R208*DEMANDA!F16</f>
        <v>0</v>
      </c>
      <c r="I16" s="42" t="n">
        <f aca="false">BOM_COEF!S208*DEMANDA!G16</f>
        <v>0</v>
      </c>
      <c r="J16" s="42" t="n">
        <f aca="false">BOM_COEF!T208*DEMANDA!H16</f>
        <v>14.4</v>
      </c>
      <c r="K16" s="42" t="n">
        <f aca="false">BOM_COEF!U208*DEMANDA!I16</f>
        <v>50.2</v>
      </c>
      <c r="L16" s="42" t="n">
        <f aca="false">BOM_COEF!V208*DEMANDA!J16</f>
        <v>93</v>
      </c>
      <c r="M16" s="42" t="n">
        <f aca="false">BOM_COEF!W208*DEMANDA!K16</f>
        <v>135</v>
      </c>
      <c r="N16" s="42" t="n">
        <f aca="false">BOM_COEF!X208*DEMANDA!L16</f>
        <v>191</v>
      </c>
      <c r="O16" s="42" t="n">
        <f aca="false">BOM_COEF!Y208*DEMANDA!M16</f>
        <v>247</v>
      </c>
      <c r="P16" s="42" t="n">
        <f aca="false">BOM_COEF!Z208*DEMANDA!N16</f>
        <v>277</v>
      </c>
      <c r="Q16" s="42" t="n">
        <f aca="false">BOM_COEF!AA208*DEMANDA!O16</f>
        <v>322</v>
      </c>
      <c r="R16" s="24" t="s">
        <v>2609</v>
      </c>
    </row>
    <row r="17" customFormat="false" ht="15" hidden="false" customHeight="false" outlineLevel="1" collapsed="false">
      <c r="A17" s="24" t="n">
        <v>1</v>
      </c>
      <c r="B17" s="24" t="s">
        <v>886</v>
      </c>
      <c r="C17" s="40" t="s">
        <v>2610</v>
      </c>
      <c r="D17" s="24" t="s">
        <v>82</v>
      </c>
      <c r="E17" s="24" t="s">
        <v>270</v>
      </c>
      <c r="F17" s="41" t="n">
        <f aca="false">INDEX((BOM_COEF!R209~BOM_COEF!S209~BOM_COEF!T209~BOM_COEF!U209~BOM_COEF!V209~BOM_COEF!W209~BOM_COEF!X209~BOM_COEF!Y209~BOM_COEF!Z209~BOM_COEF!AA209),1,1,INDEX(P_VAL,MATCH("AÑO_DIS",P_ID,0))-2025)</f>
        <v>1</v>
      </c>
      <c r="G17" s="24" t="s">
        <v>2281</v>
      </c>
      <c r="H17" s="42" t="n">
        <f aca="false">BOM_COEF!R209*DEMANDA!F16</f>
        <v>0</v>
      </c>
      <c r="I17" s="42" t="n">
        <f aca="false">BOM_COEF!S209*DEMANDA!G16</f>
        <v>0</v>
      </c>
      <c r="J17" s="42" t="n">
        <f aca="false">BOM_COEF!T209*DEMANDA!H16</f>
        <v>14.4</v>
      </c>
      <c r="K17" s="42" t="n">
        <f aca="false">BOM_COEF!U209*DEMANDA!I16</f>
        <v>50.2</v>
      </c>
      <c r="L17" s="42" t="n">
        <f aca="false">BOM_COEF!V209*DEMANDA!J16</f>
        <v>93</v>
      </c>
      <c r="M17" s="42" t="n">
        <f aca="false">BOM_COEF!W209*DEMANDA!K16</f>
        <v>135</v>
      </c>
      <c r="N17" s="42" t="n">
        <f aca="false">BOM_COEF!X209*DEMANDA!L16</f>
        <v>191</v>
      </c>
      <c r="O17" s="42" t="n">
        <f aca="false">BOM_COEF!Y209*DEMANDA!M16</f>
        <v>247</v>
      </c>
      <c r="P17" s="42" t="n">
        <f aca="false">BOM_COEF!Z209*DEMANDA!N16</f>
        <v>277</v>
      </c>
      <c r="Q17" s="42" t="n">
        <f aca="false">BOM_COEF!AA209*DEMANDA!O16</f>
        <v>322</v>
      </c>
      <c r="R17" s="24" t="s">
        <v>2611</v>
      </c>
    </row>
    <row r="18" customFormat="false" ht="15" hidden="false" customHeight="false" outlineLevel="0" collapsed="false">
      <c r="A18" s="38" t="n">
        <v>0</v>
      </c>
      <c r="B18" s="38" t="s">
        <v>1018</v>
      </c>
      <c r="C18" s="38" t="s">
        <v>2023</v>
      </c>
      <c r="D18" s="38" t="s">
        <v>82</v>
      </c>
      <c r="E18" s="38"/>
      <c r="F18" s="38"/>
      <c r="G18" s="38"/>
      <c r="H18" s="39" t="n">
        <f aca="false">SUM(H19:H22)</f>
        <v>149.827882</v>
      </c>
      <c r="I18" s="39" t="n">
        <f aca="false">SUM(I19:I22)</f>
        <v>257.2334488</v>
      </c>
      <c r="J18" s="39" t="n">
        <f aca="false">SUM(J19:J22)</f>
        <v>394.517576</v>
      </c>
      <c r="K18" s="39" t="n">
        <f aca="false">SUM(K19:K22)</f>
        <v>663.931353</v>
      </c>
      <c r="L18" s="39" t="n">
        <f aca="false">SUM(L19:L22)</f>
        <v>1096.2544154</v>
      </c>
      <c r="M18" s="39" t="n">
        <f aca="false">SUM(M19:M22)</f>
        <v>1527.711724</v>
      </c>
      <c r="N18" s="39" t="n">
        <f aca="false">SUM(N19:N22)</f>
        <v>2041.3402258</v>
      </c>
      <c r="O18" s="39" t="n">
        <f aca="false">SUM(O19:O22)</f>
        <v>2574.5341512</v>
      </c>
      <c r="P18" s="39" t="n">
        <f aca="false">SUM(P19:P22)</f>
        <v>2951.1606286</v>
      </c>
      <c r="Q18" s="39" t="n">
        <f aca="false">SUM(Q19:Q22)</f>
        <v>3410.3903462</v>
      </c>
      <c r="R18" s="38"/>
    </row>
    <row r="19" customFormat="false" ht="15" hidden="false" customHeight="false" outlineLevel="1" collapsed="false">
      <c r="A19" s="24" t="n">
        <v>1</v>
      </c>
      <c r="B19" s="24" t="s">
        <v>1018</v>
      </c>
      <c r="C19" s="40" t="s">
        <v>2612</v>
      </c>
      <c r="D19" s="24" t="s">
        <v>82</v>
      </c>
      <c r="E19" s="24" t="s">
        <v>249</v>
      </c>
      <c r="F19" s="41" t="n">
        <f aca="false">INDEX((BOM_COEF!R214~BOM_COEF!S214~BOM_COEF!T214~BOM_COEF!U214~BOM_COEF!V214~BOM_COEF!W214~BOM_COEF!X214~BOM_COEF!Y214~BOM_COEF!Z214~BOM_COEF!AA214),1,1,INDEX(P_VAL,MATCH("AÑO_DIS",P_ID,0))-2025)</f>
        <v>1</v>
      </c>
      <c r="G19" s="24" t="s">
        <v>2281</v>
      </c>
      <c r="H19" s="42" t="n">
        <f aca="false">BOM_COEF!R214*DEMANDA!F9</f>
        <v>74.913941</v>
      </c>
      <c r="I19" s="42" t="n">
        <f aca="false">BOM_COEF!S214*DEMANDA!G9</f>
        <v>128.6167244</v>
      </c>
      <c r="J19" s="42" t="n">
        <f aca="false">BOM_COEF!T214*DEMANDA!H9</f>
        <v>165.458788</v>
      </c>
      <c r="K19" s="42" t="n">
        <f aca="false">BOM_COEF!U214*DEMANDA!I9</f>
        <v>221.1656765</v>
      </c>
      <c r="L19" s="42" t="n">
        <f aca="false">BOM_COEF!V214*DEMANDA!J9</f>
        <v>342.9272077</v>
      </c>
      <c r="M19" s="42" t="n">
        <f aca="false">BOM_COEF!W214*DEMANDA!K9</f>
        <v>466.255862</v>
      </c>
      <c r="N19" s="42" t="n">
        <f aca="false">BOM_COEF!X214*DEMANDA!L9</f>
        <v>599.8701129</v>
      </c>
      <c r="O19" s="42" t="n">
        <f aca="false">BOM_COEF!Y214*DEMANDA!M9</f>
        <v>743.2670756</v>
      </c>
      <c r="P19" s="42" t="n">
        <f aca="false">BOM_COEF!Z214*DEMANDA!N9</f>
        <v>865.9803143</v>
      </c>
      <c r="Q19" s="42" t="n">
        <f aca="false">BOM_COEF!AA214*DEMANDA!O9</f>
        <v>997.1951731</v>
      </c>
      <c r="R19" s="24" t="s">
        <v>2613</v>
      </c>
    </row>
    <row r="20" customFormat="false" ht="15" hidden="false" customHeight="false" outlineLevel="1" collapsed="false">
      <c r="A20" s="24" t="n">
        <v>1</v>
      </c>
      <c r="B20" s="24" t="s">
        <v>1018</v>
      </c>
      <c r="C20" s="40" t="s">
        <v>2614</v>
      </c>
      <c r="D20" s="24" t="s">
        <v>82</v>
      </c>
      <c r="E20" s="24" t="s">
        <v>249</v>
      </c>
      <c r="F20" s="41" t="n">
        <f aca="false">INDEX((BOM_COEF!R215~BOM_COEF!S215~BOM_COEF!T215~BOM_COEF!U215~BOM_COEF!V215~BOM_COEF!W215~BOM_COEF!X215~BOM_COEF!Y215~BOM_COEF!Z215~BOM_COEF!AA215),1,1,INDEX(P_VAL,MATCH("AÑO_DIS",P_ID,0))-2025)</f>
        <v>1</v>
      </c>
      <c r="G20" s="24" t="s">
        <v>2281</v>
      </c>
      <c r="H20" s="42" t="n">
        <f aca="false">BOM_COEF!R215*DEMANDA!F9</f>
        <v>74.913941</v>
      </c>
      <c r="I20" s="42" t="n">
        <f aca="false">BOM_COEF!S215*DEMANDA!G9</f>
        <v>128.6167244</v>
      </c>
      <c r="J20" s="42" t="n">
        <f aca="false">BOM_COEF!T215*DEMANDA!H9</f>
        <v>165.458788</v>
      </c>
      <c r="K20" s="42" t="n">
        <f aca="false">BOM_COEF!U215*DEMANDA!I9</f>
        <v>221.1656765</v>
      </c>
      <c r="L20" s="42" t="n">
        <f aca="false">BOM_COEF!V215*DEMANDA!J9</f>
        <v>342.9272077</v>
      </c>
      <c r="M20" s="42" t="n">
        <f aca="false">BOM_COEF!W215*DEMANDA!K9</f>
        <v>466.255862</v>
      </c>
      <c r="N20" s="42" t="n">
        <f aca="false">BOM_COEF!X215*DEMANDA!L9</f>
        <v>599.8701129</v>
      </c>
      <c r="O20" s="42" t="n">
        <f aca="false">BOM_COEF!Y215*DEMANDA!M9</f>
        <v>743.2670756</v>
      </c>
      <c r="P20" s="42" t="n">
        <f aca="false">BOM_COEF!Z215*DEMANDA!N9</f>
        <v>865.9803143</v>
      </c>
      <c r="Q20" s="42" t="n">
        <f aca="false">BOM_COEF!AA215*DEMANDA!O9</f>
        <v>997.1951731</v>
      </c>
      <c r="R20" s="24" t="s">
        <v>2615</v>
      </c>
    </row>
    <row r="21" customFormat="false" ht="15" hidden="false" customHeight="false" outlineLevel="1" collapsed="false">
      <c r="A21" s="24" t="n">
        <v>1</v>
      </c>
      <c r="B21" s="24" t="s">
        <v>1018</v>
      </c>
      <c r="C21" s="40" t="s">
        <v>2616</v>
      </c>
      <c r="D21" s="24" t="s">
        <v>82</v>
      </c>
      <c r="E21" s="24" t="s">
        <v>273</v>
      </c>
      <c r="F21" s="41" t="n">
        <f aca="false">INDEX((BOM_COEF!R257~BOM_COEF!S257~BOM_COEF!T257~BOM_COEF!U257~BOM_COEF!V257~BOM_COEF!W257~BOM_COEF!X257~BOM_COEF!Y257~BOM_COEF!Z257~BOM_COEF!AA257),1,1,INDEX(P_VAL,MATCH("AÑO_DIS",P_ID,0))-2025)</f>
        <v>1</v>
      </c>
      <c r="G21" s="24" t="s">
        <v>2281</v>
      </c>
      <c r="H21" s="42" t="n">
        <f aca="false">BOM_COEF!R257*DEMANDA!F17</f>
        <v>0</v>
      </c>
      <c r="I21" s="42" t="n">
        <f aca="false">BOM_COEF!S257*DEMANDA!G17</f>
        <v>0</v>
      </c>
      <c r="J21" s="42" t="n">
        <f aca="false">BOM_COEF!T257*DEMANDA!H17</f>
        <v>31.8</v>
      </c>
      <c r="K21" s="42" t="n">
        <f aca="false">BOM_COEF!U257*DEMANDA!I17</f>
        <v>110.8</v>
      </c>
      <c r="L21" s="42" t="n">
        <f aca="false">BOM_COEF!V257*DEMANDA!J17</f>
        <v>205.2</v>
      </c>
      <c r="M21" s="42" t="n">
        <f aca="false">BOM_COEF!W257*DEMANDA!K17</f>
        <v>297.6</v>
      </c>
      <c r="N21" s="42" t="n">
        <f aca="false">BOM_COEF!X257*DEMANDA!L17</f>
        <v>420.8</v>
      </c>
      <c r="O21" s="42" t="n">
        <f aca="false">BOM_COEF!Y257*DEMANDA!M17</f>
        <v>544</v>
      </c>
      <c r="P21" s="42" t="n">
        <f aca="false">BOM_COEF!Z257*DEMANDA!N17</f>
        <v>609.6</v>
      </c>
      <c r="Q21" s="42" t="n">
        <f aca="false">BOM_COEF!AA257*DEMANDA!O17</f>
        <v>708</v>
      </c>
      <c r="R21" s="24" t="s">
        <v>2617</v>
      </c>
    </row>
    <row r="22" customFormat="false" ht="15" hidden="false" customHeight="false" outlineLevel="1" collapsed="false">
      <c r="A22" s="24" t="n">
        <v>1</v>
      </c>
      <c r="B22" s="24" t="s">
        <v>1018</v>
      </c>
      <c r="C22" s="40" t="s">
        <v>2618</v>
      </c>
      <c r="D22" s="24" t="s">
        <v>82</v>
      </c>
      <c r="E22" s="24" t="s">
        <v>273</v>
      </c>
      <c r="F22" s="41" t="n">
        <f aca="false">INDEX((BOM_COEF!R258~BOM_COEF!S258~BOM_COEF!T258~BOM_COEF!U258~BOM_COEF!V258~BOM_COEF!W258~BOM_COEF!X258~BOM_COEF!Y258~BOM_COEF!Z258~BOM_COEF!AA258),1,1,INDEX(P_VAL,MATCH("AÑO_DIS",P_ID,0))-2025)</f>
        <v>1</v>
      </c>
      <c r="G22" s="24" t="s">
        <v>2281</v>
      </c>
      <c r="H22" s="42" t="n">
        <f aca="false">BOM_COEF!R258*DEMANDA!F17</f>
        <v>0</v>
      </c>
      <c r="I22" s="42" t="n">
        <f aca="false">BOM_COEF!S258*DEMANDA!G17</f>
        <v>0</v>
      </c>
      <c r="J22" s="42" t="n">
        <f aca="false">BOM_COEF!T258*DEMANDA!H17</f>
        <v>31.8</v>
      </c>
      <c r="K22" s="42" t="n">
        <f aca="false">BOM_COEF!U258*DEMANDA!I17</f>
        <v>110.8</v>
      </c>
      <c r="L22" s="42" t="n">
        <f aca="false">BOM_COEF!V258*DEMANDA!J17</f>
        <v>205.2</v>
      </c>
      <c r="M22" s="42" t="n">
        <f aca="false">BOM_COEF!W258*DEMANDA!K17</f>
        <v>297.6</v>
      </c>
      <c r="N22" s="42" t="n">
        <f aca="false">BOM_COEF!X258*DEMANDA!L17</f>
        <v>420.8</v>
      </c>
      <c r="O22" s="42" t="n">
        <f aca="false">BOM_COEF!Y258*DEMANDA!M17</f>
        <v>544</v>
      </c>
      <c r="P22" s="42" t="n">
        <f aca="false">BOM_COEF!Z258*DEMANDA!N17</f>
        <v>609.6</v>
      </c>
      <c r="Q22" s="42" t="n">
        <f aca="false">BOM_COEF!AA258*DEMANDA!O17</f>
        <v>708</v>
      </c>
      <c r="R22" s="24" t="s">
        <v>2619</v>
      </c>
    </row>
    <row r="23" customFormat="false" ht="15" hidden="false" customHeight="false" outlineLevel="0" collapsed="false">
      <c r="A23" s="38" t="n">
        <v>0</v>
      </c>
      <c r="B23" s="38" t="s">
        <v>1124</v>
      </c>
      <c r="C23" s="38" t="s">
        <v>2026</v>
      </c>
      <c r="D23" s="38" t="s">
        <v>82</v>
      </c>
      <c r="E23" s="38"/>
      <c r="F23" s="38"/>
      <c r="G23" s="38"/>
      <c r="H23" s="39" t="n">
        <f aca="false">SUM(H24:H31)</f>
        <v>54.48286618</v>
      </c>
      <c r="I23" s="39" t="n">
        <f aca="false">SUM(I24:I31)</f>
        <v>93.53943594</v>
      </c>
      <c r="J23" s="39" t="n">
        <f aca="false">SUM(J24:J31)</f>
        <v>143.53366396</v>
      </c>
      <c r="K23" s="39" t="n">
        <f aca="false">SUM(K24:K31)</f>
        <v>241.6477647</v>
      </c>
      <c r="L23" s="39" t="n">
        <f aca="false">SUM(L24:L31)</f>
        <v>399.00160558</v>
      </c>
      <c r="M23" s="39" t="n">
        <f aca="false">SUM(M24:M31)</f>
        <v>555.49517234</v>
      </c>
      <c r="N23" s="39" t="n">
        <f aca="false">SUM(N24:N31)</f>
        <v>741.46917302</v>
      </c>
      <c r="O23" s="39" t="n">
        <f aca="false">SUM(O24:O31)</f>
        <v>934.557873</v>
      </c>
      <c r="P23" s="39" t="n">
        <f aca="false">SUM(P24:P31)</f>
        <v>1071.803865</v>
      </c>
      <c r="Q23" s="39" t="n">
        <f aca="false">SUM(Q24:Q31)</f>
        <v>1239.2328532</v>
      </c>
      <c r="R23" s="38"/>
    </row>
    <row r="24" customFormat="false" ht="15" hidden="false" customHeight="false" outlineLevel="1" collapsed="false">
      <c r="A24" s="24" t="n">
        <v>1</v>
      </c>
      <c r="B24" s="24" t="s">
        <v>1124</v>
      </c>
      <c r="C24" s="40" t="s">
        <v>2620</v>
      </c>
      <c r="D24" s="24" t="s">
        <v>82</v>
      </c>
      <c r="E24" s="24" t="s">
        <v>252</v>
      </c>
      <c r="F24" s="41" t="n">
        <f aca="false">INDEX((BOM_COEF!R263~BOM_COEF!S263~BOM_COEF!T263~BOM_COEF!U263~BOM_COEF!V263~BOM_COEF!W263~BOM_COEF!X263~BOM_COEF!Y263~BOM_COEF!Z263~BOM_COEF!AA263),1,1,INDEX(P_VAL,MATCH("AÑO_DIS",P_ID,0))-2025)</f>
        <v>1</v>
      </c>
      <c r="G24" s="24" t="s">
        <v>2281</v>
      </c>
      <c r="H24" s="42" t="n">
        <f aca="false">BOM_COEF!R263*DEMANDA!F10</f>
        <v>16.34485985</v>
      </c>
      <c r="I24" s="42" t="n">
        <f aca="false">BOM_COEF!S263*DEMANDA!G10</f>
        <v>28.06183078</v>
      </c>
      <c r="J24" s="42" t="n">
        <f aca="false">BOM_COEF!T263*DEMANDA!H10</f>
        <v>36.10009919</v>
      </c>
      <c r="K24" s="42" t="n">
        <f aca="false">BOM_COEF!U263*DEMANDA!I10</f>
        <v>48.25432941</v>
      </c>
      <c r="L24" s="42" t="n">
        <f aca="false">BOM_COEF!V263*DEMANDA!J10</f>
        <v>74.82048167</v>
      </c>
      <c r="M24" s="42" t="n">
        <f aca="false">BOM_COEF!W263*DEMANDA!K10</f>
        <v>101.7285517</v>
      </c>
      <c r="N24" s="42" t="n">
        <f aca="false">BOM_COEF!X263*DEMANDA!L10</f>
        <v>130.8807519</v>
      </c>
      <c r="O24" s="42" t="n">
        <f aca="false">BOM_COEF!Y263*DEMANDA!M10</f>
        <v>162.1673619</v>
      </c>
      <c r="P24" s="42" t="n">
        <f aca="false">BOM_COEF!Z263*DEMANDA!N10</f>
        <v>188.9411595</v>
      </c>
      <c r="Q24" s="42" t="n">
        <f aca="false">BOM_COEF!AA263*DEMANDA!O10</f>
        <v>217.569856</v>
      </c>
      <c r="R24" s="24" t="s">
        <v>2621</v>
      </c>
    </row>
    <row r="25" customFormat="false" ht="15" hidden="false" customHeight="false" outlineLevel="1" collapsed="false">
      <c r="A25" s="24" t="n">
        <v>1</v>
      </c>
      <c r="B25" s="24" t="s">
        <v>1124</v>
      </c>
      <c r="C25" s="40" t="s">
        <v>2622</v>
      </c>
      <c r="D25" s="24" t="s">
        <v>82</v>
      </c>
      <c r="E25" s="24" t="s">
        <v>252</v>
      </c>
      <c r="F25" s="41" t="n">
        <f aca="false">INDEX((BOM_COEF!R264~BOM_COEF!S264~BOM_COEF!T264~BOM_COEF!U264~BOM_COEF!V264~BOM_COEF!W264~BOM_COEF!X264~BOM_COEF!Y264~BOM_COEF!Z264~BOM_COEF!AA264),1,1,INDEX(P_VAL,MATCH("AÑO_DIS",P_ID,0))-2025)</f>
        <v>1</v>
      </c>
      <c r="G25" s="24" t="s">
        <v>2281</v>
      </c>
      <c r="H25" s="42" t="n">
        <f aca="false">BOM_COEF!R264*DEMANDA!F10</f>
        <v>16.34485985</v>
      </c>
      <c r="I25" s="42" t="n">
        <f aca="false">BOM_COEF!S264*DEMANDA!G10</f>
        <v>28.06183078</v>
      </c>
      <c r="J25" s="42" t="n">
        <f aca="false">BOM_COEF!T264*DEMANDA!H10</f>
        <v>36.10009919</v>
      </c>
      <c r="K25" s="42" t="n">
        <f aca="false">BOM_COEF!U264*DEMANDA!I10</f>
        <v>48.25432941</v>
      </c>
      <c r="L25" s="42" t="n">
        <f aca="false">BOM_COEF!V264*DEMANDA!J10</f>
        <v>74.82048167</v>
      </c>
      <c r="M25" s="42" t="n">
        <f aca="false">BOM_COEF!W264*DEMANDA!K10</f>
        <v>101.7285517</v>
      </c>
      <c r="N25" s="42" t="n">
        <f aca="false">BOM_COEF!X264*DEMANDA!L10</f>
        <v>130.8807519</v>
      </c>
      <c r="O25" s="42" t="n">
        <f aca="false">BOM_COEF!Y264*DEMANDA!M10</f>
        <v>162.1673619</v>
      </c>
      <c r="P25" s="42" t="n">
        <f aca="false">BOM_COEF!Z264*DEMANDA!N10</f>
        <v>188.9411595</v>
      </c>
      <c r="Q25" s="42" t="n">
        <f aca="false">BOM_COEF!AA264*DEMANDA!O10</f>
        <v>217.569856</v>
      </c>
      <c r="R25" s="24" t="s">
        <v>2623</v>
      </c>
    </row>
    <row r="26" customFormat="false" ht="15" hidden="false" customHeight="false" outlineLevel="1" collapsed="false">
      <c r="A26" s="24" t="n">
        <v>1</v>
      </c>
      <c r="B26" s="24" t="s">
        <v>1124</v>
      </c>
      <c r="C26" s="40" t="s">
        <v>2624</v>
      </c>
      <c r="D26" s="24" t="s">
        <v>82</v>
      </c>
      <c r="E26" s="24" t="s">
        <v>276</v>
      </c>
      <c r="F26" s="41" t="n">
        <f aca="false">INDEX((BOM_COEF!R307~BOM_COEF!S307~BOM_COEF!T307~BOM_COEF!U307~BOM_COEF!V307~BOM_COEF!W307~BOM_COEF!X307~BOM_COEF!Y307~BOM_COEF!Z307~BOM_COEF!AA307),1,1,INDEX(P_VAL,MATCH("AÑO_DIS",P_ID,0))-2025)</f>
        <v>1</v>
      </c>
      <c r="G26" s="24" t="s">
        <v>2281</v>
      </c>
      <c r="H26" s="42" t="n">
        <f aca="false">BOM_COEF!R307*DEMANDA!F18</f>
        <v>0</v>
      </c>
      <c r="I26" s="42" t="n">
        <f aca="false">BOM_COEF!S307*DEMANDA!G18</f>
        <v>0</v>
      </c>
      <c r="J26" s="42" t="n">
        <f aca="false">BOM_COEF!T307*DEMANDA!H18</f>
        <v>7</v>
      </c>
      <c r="K26" s="42" t="n">
        <f aca="false">BOM_COEF!U307*DEMANDA!I18</f>
        <v>24.4</v>
      </c>
      <c r="L26" s="42" t="n">
        <f aca="false">BOM_COEF!V307*DEMANDA!J18</f>
        <v>45.2</v>
      </c>
      <c r="M26" s="42" t="n">
        <f aca="false">BOM_COEF!W307*DEMANDA!K18</f>
        <v>65.4</v>
      </c>
      <c r="N26" s="42" t="n">
        <f aca="false">BOM_COEF!X307*DEMANDA!L18</f>
        <v>92.2</v>
      </c>
      <c r="O26" s="42" t="n">
        <f aca="false">BOM_COEF!Y307*DEMANDA!M18</f>
        <v>119</v>
      </c>
      <c r="P26" s="42" t="n">
        <f aca="false">BOM_COEF!Z307*DEMANDA!N18</f>
        <v>133.4</v>
      </c>
      <c r="Q26" s="42" t="n">
        <f aca="false">BOM_COEF!AA307*DEMANDA!O18</f>
        <v>155</v>
      </c>
      <c r="R26" s="24" t="s">
        <v>2625</v>
      </c>
    </row>
    <row r="27" customFormat="false" ht="15" hidden="false" customHeight="false" outlineLevel="1" collapsed="false">
      <c r="A27" s="24" t="n">
        <v>1</v>
      </c>
      <c r="B27" s="24" t="s">
        <v>1124</v>
      </c>
      <c r="C27" s="40" t="s">
        <v>2626</v>
      </c>
      <c r="D27" s="24" t="s">
        <v>82</v>
      </c>
      <c r="E27" s="24" t="s">
        <v>276</v>
      </c>
      <c r="F27" s="41" t="n">
        <f aca="false">INDEX((BOM_COEF!R308~BOM_COEF!S308~BOM_COEF!T308~BOM_COEF!U308~BOM_COEF!V308~BOM_COEF!W308~BOM_COEF!X308~BOM_COEF!Y308~BOM_COEF!Z308~BOM_COEF!AA308),1,1,INDEX(P_VAL,MATCH("AÑO_DIS",P_ID,0))-2025)</f>
        <v>1</v>
      </c>
      <c r="G27" s="24" t="s">
        <v>2281</v>
      </c>
      <c r="H27" s="42" t="n">
        <f aca="false">BOM_COEF!R308*DEMANDA!F18</f>
        <v>0</v>
      </c>
      <c r="I27" s="42" t="n">
        <f aca="false">BOM_COEF!S308*DEMANDA!G18</f>
        <v>0</v>
      </c>
      <c r="J27" s="42" t="n">
        <f aca="false">BOM_COEF!T308*DEMANDA!H18</f>
        <v>7</v>
      </c>
      <c r="K27" s="42" t="n">
        <f aca="false">BOM_COEF!U308*DEMANDA!I18</f>
        <v>24.4</v>
      </c>
      <c r="L27" s="42" t="n">
        <f aca="false">BOM_COEF!V308*DEMANDA!J18</f>
        <v>45.2</v>
      </c>
      <c r="M27" s="42" t="n">
        <f aca="false">BOM_COEF!W308*DEMANDA!K18</f>
        <v>65.4</v>
      </c>
      <c r="N27" s="42" t="n">
        <f aca="false">BOM_COEF!X308*DEMANDA!L18</f>
        <v>92.2</v>
      </c>
      <c r="O27" s="42" t="n">
        <f aca="false">BOM_COEF!Y308*DEMANDA!M18</f>
        <v>119</v>
      </c>
      <c r="P27" s="42" t="n">
        <f aca="false">BOM_COEF!Z308*DEMANDA!N18</f>
        <v>133.4</v>
      </c>
      <c r="Q27" s="42" t="n">
        <f aca="false">BOM_COEF!AA308*DEMANDA!O18</f>
        <v>155</v>
      </c>
      <c r="R27" s="24" t="s">
        <v>2627</v>
      </c>
    </row>
    <row r="28" customFormat="false" ht="15" hidden="false" customHeight="false" outlineLevel="1" collapsed="false">
      <c r="A28" s="24" t="n">
        <v>1</v>
      </c>
      <c r="B28" s="24" t="s">
        <v>1124</v>
      </c>
      <c r="C28" s="40" t="s">
        <v>2628</v>
      </c>
      <c r="D28" s="24" t="s">
        <v>82</v>
      </c>
      <c r="E28" s="24" t="s">
        <v>255</v>
      </c>
      <c r="F28" s="41" t="n">
        <f aca="false">INDEX((BOM_COEF!R314~BOM_COEF!S314~BOM_COEF!T314~BOM_COEF!U314~BOM_COEF!V314~BOM_COEF!W314~BOM_COEF!X314~BOM_COEF!Y314~BOM_COEF!Z314~BOM_COEF!AA314),1,1,INDEX(P_VAL,MATCH("AÑO_DIS",P_ID,0))-2025)</f>
        <v>1</v>
      </c>
      <c r="G28" s="24" t="s">
        <v>2281</v>
      </c>
      <c r="H28" s="42" t="n">
        <f aca="false">BOM_COEF!R314*DEMANDA!F11</f>
        <v>10.89657324</v>
      </c>
      <c r="I28" s="42" t="n">
        <f aca="false">BOM_COEF!S314*DEMANDA!G11</f>
        <v>18.70788719</v>
      </c>
      <c r="J28" s="42" t="n">
        <f aca="false">BOM_COEF!T314*DEMANDA!H11</f>
        <v>24.06673279</v>
      </c>
      <c r="K28" s="42" t="n">
        <f aca="false">BOM_COEF!U314*DEMANDA!I11</f>
        <v>32.16955294</v>
      </c>
      <c r="L28" s="42" t="n">
        <f aca="false">BOM_COEF!V314*DEMANDA!J11</f>
        <v>49.88032112</v>
      </c>
      <c r="M28" s="42" t="n">
        <f aca="false">BOM_COEF!W314*DEMANDA!K11</f>
        <v>67.81903447</v>
      </c>
      <c r="N28" s="42" t="n">
        <f aca="false">BOM_COEF!X314*DEMANDA!L11</f>
        <v>87.25383461</v>
      </c>
      <c r="O28" s="42" t="n">
        <f aca="false">BOM_COEF!Y314*DEMANDA!M11</f>
        <v>108.1115746</v>
      </c>
      <c r="P28" s="42" t="n">
        <f aca="false">BOM_COEF!Z314*DEMANDA!N11</f>
        <v>125.960773</v>
      </c>
      <c r="Q28" s="42" t="n">
        <f aca="false">BOM_COEF!AA314*DEMANDA!O11</f>
        <v>145.0465706</v>
      </c>
      <c r="R28" s="24" t="s">
        <v>2629</v>
      </c>
    </row>
    <row r="29" customFormat="false" ht="15" hidden="false" customHeight="false" outlineLevel="1" collapsed="false">
      <c r="A29" s="24" t="n">
        <v>1</v>
      </c>
      <c r="B29" s="24" t="s">
        <v>1124</v>
      </c>
      <c r="C29" s="40" t="s">
        <v>2630</v>
      </c>
      <c r="D29" s="24" t="s">
        <v>82</v>
      </c>
      <c r="E29" s="24" t="s">
        <v>255</v>
      </c>
      <c r="F29" s="41" t="n">
        <f aca="false">INDEX((BOM_COEF!R315~BOM_COEF!S315~BOM_COEF!T315~BOM_COEF!U315~BOM_COEF!V315~BOM_COEF!W315~BOM_COEF!X315~BOM_COEF!Y315~BOM_COEF!Z315~BOM_COEF!AA315),1,1,INDEX(P_VAL,MATCH("AÑO_DIS",P_ID,0))-2025)</f>
        <v>1</v>
      </c>
      <c r="G29" s="24" t="s">
        <v>2281</v>
      </c>
      <c r="H29" s="42" t="n">
        <f aca="false">BOM_COEF!R315*DEMANDA!F11</f>
        <v>10.89657324</v>
      </c>
      <c r="I29" s="42" t="n">
        <f aca="false">BOM_COEF!S315*DEMANDA!G11</f>
        <v>18.70788719</v>
      </c>
      <c r="J29" s="42" t="n">
        <f aca="false">BOM_COEF!T315*DEMANDA!H11</f>
        <v>24.06673279</v>
      </c>
      <c r="K29" s="42" t="n">
        <f aca="false">BOM_COEF!U315*DEMANDA!I11</f>
        <v>32.16955294</v>
      </c>
      <c r="L29" s="42" t="n">
        <f aca="false">BOM_COEF!V315*DEMANDA!J11</f>
        <v>49.88032112</v>
      </c>
      <c r="M29" s="42" t="n">
        <f aca="false">BOM_COEF!W315*DEMANDA!K11</f>
        <v>67.81903447</v>
      </c>
      <c r="N29" s="42" t="n">
        <f aca="false">BOM_COEF!X315*DEMANDA!L11</f>
        <v>87.25383461</v>
      </c>
      <c r="O29" s="42" t="n">
        <f aca="false">BOM_COEF!Y315*DEMANDA!M11</f>
        <v>108.1115746</v>
      </c>
      <c r="P29" s="42" t="n">
        <f aca="false">BOM_COEF!Z315*DEMANDA!N11</f>
        <v>125.960773</v>
      </c>
      <c r="Q29" s="42" t="n">
        <f aca="false">BOM_COEF!AA315*DEMANDA!O11</f>
        <v>145.0465706</v>
      </c>
      <c r="R29" s="24" t="s">
        <v>2631</v>
      </c>
    </row>
    <row r="30" customFormat="false" ht="15" hidden="false" customHeight="false" outlineLevel="1" collapsed="false">
      <c r="A30" s="24" t="n">
        <v>1</v>
      </c>
      <c r="B30" s="24" t="s">
        <v>1124</v>
      </c>
      <c r="C30" s="40" t="s">
        <v>2632</v>
      </c>
      <c r="D30" s="24" t="s">
        <v>82</v>
      </c>
      <c r="E30" s="24" t="s">
        <v>279</v>
      </c>
      <c r="F30" s="41" t="n">
        <f aca="false">INDEX((BOM_COEF!R358~BOM_COEF!S358~BOM_COEF!T358~BOM_COEF!U358~BOM_COEF!V358~BOM_COEF!W358~BOM_COEF!X358~BOM_COEF!Y358~BOM_COEF!Z358~BOM_COEF!AA358),1,1,INDEX(P_VAL,MATCH("AÑO_DIS",P_ID,0))-2025)</f>
        <v>1</v>
      </c>
      <c r="G30" s="24" t="s">
        <v>2281</v>
      </c>
      <c r="H30" s="42" t="n">
        <f aca="false">BOM_COEF!R358*DEMANDA!F19</f>
        <v>0</v>
      </c>
      <c r="I30" s="42" t="n">
        <f aca="false">BOM_COEF!S358*DEMANDA!G19</f>
        <v>0</v>
      </c>
      <c r="J30" s="42" t="n">
        <f aca="false">BOM_COEF!T358*DEMANDA!H19</f>
        <v>4.6</v>
      </c>
      <c r="K30" s="42" t="n">
        <f aca="false">BOM_COEF!U358*DEMANDA!I19</f>
        <v>16</v>
      </c>
      <c r="L30" s="42" t="n">
        <f aca="false">BOM_COEF!V358*DEMANDA!J19</f>
        <v>29.6</v>
      </c>
      <c r="M30" s="42" t="n">
        <f aca="false">BOM_COEF!W358*DEMANDA!K19</f>
        <v>42.8</v>
      </c>
      <c r="N30" s="42" t="n">
        <f aca="false">BOM_COEF!X358*DEMANDA!L19</f>
        <v>60.4</v>
      </c>
      <c r="O30" s="42" t="n">
        <f aca="false">BOM_COEF!Y358*DEMANDA!M19</f>
        <v>78</v>
      </c>
      <c r="P30" s="42" t="n">
        <f aca="false">BOM_COEF!Z358*DEMANDA!N19</f>
        <v>87.6</v>
      </c>
      <c r="Q30" s="42" t="n">
        <f aca="false">BOM_COEF!AA358*DEMANDA!O19</f>
        <v>102</v>
      </c>
      <c r="R30" s="24" t="s">
        <v>2633</v>
      </c>
    </row>
    <row r="31" customFormat="false" ht="15" hidden="false" customHeight="false" outlineLevel="1" collapsed="false">
      <c r="A31" s="24" t="n">
        <v>1</v>
      </c>
      <c r="B31" s="24" t="s">
        <v>1124</v>
      </c>
      <c r="C31" s="40" t="s">
        <v>2634</v>
      </c>
      <c r="D31" s="24" t="s">
        <v>82</v>
      </c>
      <c r="E31" s="24" t="s">
        <v>279</v>
      </c>
      <c r="F31" s="41" t="n">
        <f aca="false">INDEX((BOM_COEF!R359~BOM_COEF!S359~BOM_COEF!T359~BOM_COEF!U359~BOM_COEF!V359~BOM_COEF!W359~BOM_COEF!X359~BOM_COEF!Y359~BOM_COEF!Z359~BOM_COEF!AA359),1,1,INDEX(P_VAL,MATCH("AÑO_DIS",P_ID,0))-2025)</f>
        <v>1</v>
      </c>
      <c r="G31" s="24" t="s">
        <v>2281</v>
      </c>
      <c r="H31" s="42" t="n">
        <f aca="false">BOM_COEF!R359*DEMANDA!F19</f>
        <v>0</v>
      </c>
      <c r="I31" s="42" t="n">
        <f aca="false">BOM_COEF!S359*DEMANDA!G19</f>
        <v>0</v>
      </c>
      <c r="J31" s="42" t="n">
        <f aca="false">BOM_COEF!T359*DEMANDA!H19</f>
        <v>4.6</v>
      </c>
      <c r="K31" s="42" t="n">
        <f aca="false">BOM_COEF!U359*DEMANDA!I19</f>
        <v>16</v>
      </c>
      <c r="L31" s="42" t="n">
        <f aca="false">BOM_COEF!V359*DEMANDA!J19</f>
        <v>29.6</v>
      </c>
      <c r="M31" s="42" t="n">
        <f aca="false">BOM_COEF!W359*DEMANDA!K19</f>
        <v>42.8</v>
      </c>
      <c r="N31" s="42" t="n">
        <f aca="false">BOM_COEF!X359*DEMANDA!L19</f>
        <v>60.4</v>
      </c>
      <c r="O31" s="42" t="n">
        <f aca="false">BOM_COEF!Y359*DEMANDA!M19</f>
        <v>78</v>
      </c>
      <c r="P31" s="42" t="n">
        <f aca="false">BOM_COEF!Z359*DEMANDA!N19</f>
        <v>87.6</v>
      </c>
      <c r="Q31" s="42" t="n">
        <f aca="false">BOM_COEF!AA359*DEMANDA!O19</f>
        <v>102</v>
      </c>
      <c r="R31" s="24" t="s">
        <v>2635</v>
      </c>
    </row>
    <row r="32" customFormat="false" ht="15" hidden="false" customHeight="false" outlineLevel="0" collapsed="false">
      <c r="A32" s="38" t="n">
        <v>0</v>
      </c>
      <c r="B32" s="38" t="s">
        <v>891</v>
      </c>
      <c r="C32" s="38" t="s">
        <v>2037</v>
      </c>
      <c r="D32" s="38" t="s">
        <v>82</v>
      </c>
      <c r="E32" s="38"/>
      <c r="F32" s="38"/>
      <c r="G32" s="38"/>
      <c r="H32" s="39" t="n">
        <f aca="false">SUM(H33:H36)</f>
        <v>108.96573236</v>
      </c>
      <c r="I32" s="39" t="n">
        <f aca="false">SUM(I33:I36)</f>
        <v>187.07887185</v>
      </c>
      <c r="J32" s="39" t="n">
        <f aca="false">SUM(J33:J36)</f>
        <v>286.86732798</v>
      </c>
      <c r="K32" s="39" t="n">
        <f aca="false">SUM(K33:K36)</f>
        <v>482.6955294</v>
      </c>
      <c r="L32" s="39" t="n">
        <f aca="false">SUM(L33:L36)</f>
        <v>797.0032112</v>
      </c>
      <c r="M32" s="39" t="n">
        <f aca="false">SUM(M33:M36)</f>
        <v>1110.7903447</v>
      </c>
      <c r="N32" s="39" t="n">
        <f aca="false">SUM(N33:N36)</f>
        <v>1484.3383461</v>
      </c>
      <c r="O32" s="39" t="n">
        <f aca="false">SUM(O33:O36)</f>
        <v>1872.1157463</v>
      </c>
      <c r="P32" s="39" t="n">
        <f aca="false">SUM(P33:P36)</f>
        <v>2146.2077299</v>
      </c>
      <c r="Q32" s="39" t="n">
        <f aca="false">SUM(Q33:Q36)</f>
        <v>2480.4657063</v>
      </c>
      <c r="R32" s="38"/>
    </row>
    <row r="33" customFormat="false" ht="15" hidden="false" customHeight="false" outlineLevel="1" collapsed="false">
      <c r="A33" s="24" t="n">
        <v>1</v>
      </c>
      <c r="B33" s="24" t="s">
        <v>891</v>
      </c>
      <c r="C33" s="40" t="s">
        <v>2636</v>
      </c>
      <c r="D33" s="24" t="s">
        <v>82</v>
      </c>
      <c r="E33" s="24" t="s">
        <v>245</v>
      </c>
      <c r="F33" s="41" t="n">
        <f aca="false">INDEX((BOM_COEF!R166~BOM_COEF!S166~BOM_COEF!T166~BOM_COEF!U166~BOM_COEF!V166~BOM_COEF!W166~BOM_COEF!X166~BOM_COEF!Y166~BOM_COEF!Z166~BOM_COEF!AA166),1,1,INDEX(P_VAL,MATCH("AÑO_DIS",P_ID,0))-2025)</f>
        <v>1</v>
      </c>
      <c r="G33" s="24" t="s">
        <v>2281</v>
      </c>
      <c r="H33" s="42" t="n">
        <f aca="false">BOM_COEF!R166*DEMANDA!F8</f>
        <v>34.05179136</v>
      </c>
      <c r="I33" s="42" t="n">
        <f aca="false">BOM_COEF!S166*DEMANDA!G8</f>
        <v>58.46214745</v>
      </c>
      <c r="J33" s="42" t="n">
        <f aca="false">BOM_COEF!T166*DEMANDA!H8</f>
        <v>75.20853998</v>
      </c>
      <c r="K33" s="42" t="n">
        <f aca="false">BOM_COEF!U166*DEMANDA!I8</f>
        <v>100.5298529</v>
      </c>
      <c r="L33" s="42" t="n">
        <f aca="false">BOM_COEF!V166*DEMANDA!J8</f>
        <v>155.8760035</v>
      </c>
      <c r="M33" s="42" t="n">
        <f aca="false">BOM_COEF!W166*DEMANDA!K8</f>
        <v>211.9344827</v>
      </c>
      <c r="N33" s="42" t="n">
        <f aca="false">BOM_COEF!X166*DEMANDA!L8</f>
        <v>272.6682332</v>
      </c>
      <c r="O33" s="42" t="n">
        <f aca="false">BOM_COEF!Y166*DEMANDA!M8</f>
        <v>337.8486707</v>
      </c>
      <c r="P33" s="42" t="n">
        <f aca="false">BOM_COEF!Z166*DEMANDA!N8</f>
        <v>393.6274156</v>
      </c>
      <c r="Q33" s="42" t="n">
        <f aca="false">BOM_COEF!AA166*DEMANDA!O8</f>
        <v>453.2705332</v>
      </c>
      <c r="R33" s="24" t="s">
        <v>2637</v>
      </c>
    </row>
    <row r="34" customFormat="false" ht="15" hidden="false" customHeight="false" outlineLevel="1" collapsed="false">
      <c r="A34" s="24" t="n">
        <v>1</v>
      </c>
      <c r="B34" s="24" t="s">
        <v>891</v>
      </c>
      <c r="C34" s="40" t="s">
        <v>2638</v>
      </c>
      <c r="D34" s="24" t="s">
        <v>82</v>
      </c>
      <c r="E34" s="24" t="s">
        <v>270</v>
      </c>
      <c r="F34" s="41" t="n">
        <f aca="false">INDEX((BOM_COEF!R210~BOM_COEF!S210~BOM_COEF!T210~BOM_COEF!U210~BOM_COEF!V210~BOM_COEF!W210~BOM_COEF!X210~BOM_COEF!Y210~BOM_COEF!Z210~BOM_COEF!AA210),1,1,INDEX(P_VAL,MATCH("AÑO_DIS",P_ID,0))-2025)</f>
        <v>1</v>
      </c>
      <c r="G34" s="24" t="s">
        <v>2281</v>
      </c>
      <c r="H34" s="42" t="n">
        <f aca="false">BOM_COEF!R210*DEMANDA!F16</f>
        <v>0</v>
      </c>
      <c r="I34" s="42" t="n">
        <f aca="false">BOM_COEF!S210*DEMANDA!G16</f>
        <v>0</v>
      </c>
      <c r="J34" s="42" t="n">
        <f aca="false">BOM_COEF!T210*DEMANDA!H16</f>
        <v>14.4</v>
      </c>
      <c r="K34" s="42" t="n">
        <f aca="false">BOM_COEF!U210*DEMANDA!I16</f>
        <v>50.2</v>
      </c>
      <c r="L34" s="42" t="n">
        <f aca="false">BOM_COEF!V210*DEMANDA!J16</f>
        <v>93</v>
      </c>
      <c r="M34" s="42" t="n">
        <f aca="false">BOM_COEF!W210*DEMANDA!K16</f>
        <v>135</v>
      </c>
      <c r="N34" s="42" t="n">
        <f aca="false">BOM_COEF!X210*DEMANDA!L16</f>
        <v>191</v>
      </c>
      <c r="O34" s="42" t="n">
        <f aca="false">BOM_COEF!Y210*DEMANDA!M16</f>
        <v>247</v>
      </c>
      <c r="P34" s="42" t="n">
        <f aca="false">BOM_COEF!Z210*DEMANDA!N16</f>
        <v>277</v>
      </c>
      <c r="Q34" s="42" t="n">
        <f aca="false">BOM_COEF!AA210*DEMANDA!O16</f>
        <v>322</v>
      </c>
      <c r="R34" s="24" t="s">
        <v>2639</v>
      </c>
    </row>
    <row r="35" customFormat="false" ht="15" hidden="false" customHeight="false" outlineLevel="1" collapsed="false">
      <c r="A35" s="24" t="n">
        <v>1</v>
      </c>
      <c r="B35" s="24" t="s">
        <v>891</v>
      </c>
      <c r="C35" s="40" t="s">
        <v>2640</v>
      </c>
      <c r="D35" s="24" t="s">
        <v>82</v>
      </c>
      <c r="E35" s="24" t="s">
        <v>249</v>
      </c>
      <c r="F35" s="41" t="n">
        <f aca="false">INDEX((BOM_COEF!R216~BOM_COEF!S216~BOM_COEF!T216~BOM_COEF!U216~BOM_COEF!V216~BOM_COEF!W216~BOM_COEF!X216~BOM_COEF!Y216~BOM_COEF!Z216~BOM_COEF!AA216),1,1,INDEX(P_VAL,MATCH("AÑO_DIS",P_ID,0))-2025)</f>
        <v>1</v>
      </c>
      <c r="G35" s="24" t="s">
        <v>2281</v>
      </c>
      <c r="H35" s="42" t="n">
        <f aca="false">BOM_COEF!R216*DEMANDA!F9</f>
        <v>74.913941</v>
      </c>
      <c r="I35" s="42" t="n">
        <f aca="false">BOM_COEF!S216*DEMANDA!G9</f>
        <v>128.6167244</v>
      </c>
      <c r="J35" s="42" t="n">
        <f aca="false">BOM_COEF!T216*DEMANDA!H9</f>
        <v>165.458788</v>
      </c>
      <c r="K35" s="42" t="n">
        <f aca="false">BOM_COEF!U216*DEMANDA!I9</f>
        <v>221.1656765</v>
      </c>
      <c r="L35" s="42" t="n">
        <f aca="false">BOM_COEF!V216*DEMANDA!J9</f>
        <v>342.9272077</v>
      </c>
      <c r="M35" s="42" t="n">
        <f aca="false">BOM_COEF!W216*DEMANDA!K9</f>
        <v>466.255862</v>
      </c>
      <c r="N35" s="42" t="n">
        <f aca="false">BOM_COEF!X216*DEMANDA!L9</f>
        <v>599.8701129</v>
      </c>
      <c r="O35" s="42" t="n">
        <f aca="false">BOM_COEF!Y216*DEMANDA!M9</f>
        <v>743.2670756</v>
      </c>
      <c r="P35" s="42" t="n">
        <f aca="false">BOM_COEF!Z216*DEMANDA!N9</f>
        <v>865.9803143</v>
      </c>
      <c r="Q35" s="42" t="n">
        <f aca="false">BOM_COEF!AA216*DEMANDA!O9</f>
        <v>997.1951731</v>
      </c>
      <c r="R35" s="24" t="s">
        <v>2641</v>
      </c>
    </row>
    <row r="36" customFormat="false" ht="15" hidden="false" customHeight="false" outlineLevel="1" collapsed="false">
      <c r="A36" s="24" t="n">
        <v>1</v>
      </c>
      <c r="B36" s="24" t="s">
        <v>891</v>
      </c>
      <c r="C36" s="40" t="s">
        <v>2642</v>
      </c>
      <c r="D36" s="24" t="s">
        <v>82</v>
      </c>
      <c r="E36" s="24" t="s">
        <v>273</v>
      </c>
      <c r="F36" s="41" t="n">
        <f aca="false">INDEX((BOM_COEF!R259~BOM_COEF!S259~BOM_COEF!T259~BOM_COEF!U259~BOM_COEF!V259~BOM_COEF!W259~BOM_COEF!X259~BOM_COEF!Y259~BOM_COEF!Z259~BOM_COEF!AA259),1,1,INDEX(P_VAL,MATCH("AÑO_DIS",P_ID,0))-2025)</f>
        <v>1</v>
      </c>
      <c r="G36" s="24" t="s">
        <v>2281</v>
      </c>
      <c r="H36" s="42" t="n">
        <f aca="false">BOM_COEF!R259*DEMANDA!F17</f>
        <v>0</v>
      </c>
      <c r="I36" s="42" t="n">
        <f aca="false">BOM_COEF!S259*DEMANDA!G17</f>
        <v>0</v>
      </c>
      <c r="J36" s="42" t="n">
        <f aca="false">BOM_COEF!T259*DEMANDA!H17</f>
        <v>31.8</v>
      </c>
      <c r="K36" s="42" t="n">
        <f aca="false">BOM_COEF!U259*DEMANDA!I17</f>
        <v>110.8</v>
      </c>
      <c r="L36" s="42" t="n">
        <f aca="false">BOM_COEF!V259*DEMANDA!J17</f>
        <v>205.2</v>
      </c>
      <c r="M36" s="42" t="n">
        <f aca="false">BOM_COEF!W259*DEMANDA!K17</f>
        <v>297.6</v>
      </c>
      <c r="N36" s="42" t="n">
        <f aca="false">BOM_COEF!X259*DEMANDA!L17</f>
        <v>420.8</v>
      </c>
      <c r="O36" s="42" t="n">
        <f aca="false">BOM_COEF!Y259*DEMANDA!M17</f>
        <v>544</v>
      </c>
      <c r="P36" s="42" t="n">
        <f aca="false">BOM_COEF!Z259*DEMANDA!N17</f>
        <v>609.6</v>
      </c>
      <c r="Q36" s="42" t="n">
        <f aca="false">BOM_COEF!AA259*DEMANDA!O17</f>
        <v>708</v>
      </c>
      <c r="R36" s="24" t="s">
        <v>2643</v>
      </c>
    </row>
    <row r="37" customFormat="false" ht="15" hidden="false" customHeight="false" outlineLevel="0" collapsed="false">
      <c r="A37" s="38" t="n">
        <v>0</v>
      </c>
      <c r="B37" s="38" t="s">
        <v>1129</v>
      </c>
      <c r="C37" s="38" t="s">
        <v>2041</v>
      </c>
      <c r="D37" s="38" t="s">
        <v>82</v>
      </c>
      <c r="E37" s="38"/>
      <c r="F37" s="38"/>
      <c r="G37" s="38"/>
      <c r="H37" s="39" t="n">
        <f aca="false">SUM(H38:H41)</f>
        <v>27.24143309</v>
      </c>
      <c r="I37" s="39" t="n">
        <f aca="false">SUM(I38:I41)</f>
        <v>46.76971797</v>
      </c>
      <c r="J37" s="39" t="n">
        <f aca="false">SUM(J38:J41)</f>
        <v>71.76683198</v>
      </c>
      <c r="K37" s="39" t="n">
        <f aca="false">SUM(K38:K41)</f>
        <v>120.82388235</v>
      </c>
      <c r="L37" s="39" t="n">
        <f aca="false">SUM(L38:L41)</f>
        <v>199.50080279</v>
      </c>
      <c r="M37" s="39" t="n">
        <f aca="false">SUM(M38:M41)</f>
        <v>277.74758617</v>
      </c>
      <c r="N37" s="39" t="n">
        <f aca="false">SUM(N38:N41)</f>
        <v>370.73458651</v>
      </c>
      <c r="O37" s="39" t="n">
        <f aca="false">SUM(O38:O41)</f>
        <v>467.2789365</v>
      </c>
      <c r="P37" s="39" t="n">
        <f aca="false">SUM(P38:P41)</f>
        <v>535.9019325</v>
      </c>
      <c r="Q37" s="39" t="n">
        <f aca="false">SUM(Q38:Q41)</f>
        <v>619.6164266</v>
      </c>
      <c r="R37" s="38"/>
    </row>
    <row r="38" customFormat="false" ht="15" hidden="false" customHeight="false" outlineLevel="1" collapsed="false">
      <c r="A38" s="24" t="n">
        <v>1</v>
      </c>
      <c r="B38" s="24" t="s">
        <v>1129</v>
      </c>
      <c r="C38" s="40" t="s">
        <v>2644</v>
      </c>
      <c r="D38" s="24" t="s">
        <v>82</v>
      </c>
      <c r="E38" s="24" t="s">
        <v>252</v>
      </c>
      <c r="F38" s="41" t="n">
        <f aca="false">INDEX((BOM_COEF!R265~BOM_COEF!S265~BOM_COEF!T265~BOM_COEF!U265~BOM_COEF!V265~BOM_COEF!W265~BOM_COEF!X265~BOM_COEF!Y265~BOM_COEF!Z265~BOM_COEF!AA265),1,1,INDEX(P_VAL,MATCH("AÑO_DIS",P_ID,0))-2025)</f>
        <v>1</v>
      </c>
      <c r="G38" s="24" t="s">
        <v>2281</v>
      </c>
      <c r="H38" s="42" t="n">
        <f aca="false">BOM_COEF!R265*DEMANDA!F10</f>
        <v>16.34485985</v>
      </c>
      <c r="I38" s="42" t="n">
        <f aca="false">BOM_COEF!S265*DEMANDA!G10</f>
        <v>28.06183078</v>
      </c>
      <c r="J38" s="42" t="n">
        <f aca="false">BOM_COEF!T265*DEMANDA!H10</f>
        <v>36.10009919</v>
      </c>
      <c r="K38" s="42" t="n">
        <f aca="false">BOM_COEF!U265*DEMANDA!I10</f>
        <v>48.25432941</v>
      </c>
      <c r="L38" s="42" t="n">
        <f aca="false">BOM_COEF!V265*DEMANDA!J10</f>
        <v>74.82048167</v>
      </c>
      <c r="M38" s="42" t="n">
        <f aca="false">BOM_COEF!W265*DEMANDA!K10</f>
        <v>101.7285517</v>
      </c>
      <c r="N38" s="42" t="n">
        <f aca="false">BOM_COEF!X265*DEMANDA!L10</f>
        <v>130.8807519</v>
      </c>
      <c r="O38" s="42" t="n">
        <f aca="false">BOM_COEF!Y265*DEMANDA!M10</f>
        <v>162.1673619</v>
      </c>
      <c r="P38" s="42" t="n">
        <f aca="false">BOM_COEF!Z265*DEMANDA!N10</f>
        <v>188.9411595</v>
      </c>
      <c r="Q38" s="42" t="n">
        <f aca="false">BOM_COEF!AA265*DEMANDA!O10</f>
        <v>217.569856</v>
      </c>
      <c r="R38" s="24" t="s">
        <v>2645</v>
      </c>
    </row>
    <row r="39" customFormat="false" ht="15" hidden="false" customHeight="false" outlineLevel="1" collapsed="false">
      <c r="A39" s="24" t="n">
        <v>1</v>
      </c>
      <c r="B39" s="24" t="s">
        <v>1129</v>
      </c>
      <c r="C39" s="40" t="s">
        <v>2646</v>
      </c>
      <c r="D39" s="24" t="s">
        <v>82</v>
      </c>
      <c r="E39" s="24" t="s">
        <v>276</v>
      </c>
      <c r="F39" s="41" t="n">
        <f aca="false">INDEX((BOM_COEF!R309~BOM_COEF!S309~BOM_COEF!T309~BOM_COEF!U309~BOM_COEF!V309~BOM_COEF!W309~BOM_COEF!X309~BOM_COEF!Y309~BOM_COEF!Z309~BOM_COEF!AA309),1,1,INDEX(P_VAL,MATCH("AÑO_DIS",P_ID,0))-2025)</f>
        <v>1</v>
      </c>
      <c r="G39" s="24" t="s">
        <v>2281</v>
      </c>
      <c r="H39" s="42" t="n">
        <f aca="false">BOM_COEF!R309*DEMANDA!F18</f>
        <v>0</v>
      </c>
      <c r="I39" s="42" t="n">
        <f aca="false">BOM_COEF!S309*DEMANDA!G18</f>
        <v>0</v>
      </c>
      <c r="J39" s="42" t="n">
        <f aca="false">BOM_COEF!T309*DEMANDA!H18</f>
        <v>7</v>
      </c>
      <c r="K39" s="42" t="n">
        <f aca="false">BOM_COEF!U309*DEMANDA!I18</f>
        <v>24.4</v>
      </c>
      <c r="L39" s="42" t="n">
        <f aca="false">BOM_COEF!V309*DEMANDA!J18</f>
        <v>45.2</v>
      </c>
      <c r="M39" s="42" t="n">
        <f aca="false">BOM_COEF!W309*DEMANDA!K18</f>
        <v>65.4</v>
      </c>
      <c r="N39" s="42" t="n">
        <f aca="false">BOM_COEF!X309*DEMANDA!L18</f>
        <v>92.2</v>
      </c>
      <c r="O39" s="42" t="n">
        <f aca="false">BOM_COEF!Y309*DEMANDA!M18</f>
        <v>119</v>
      </c>
      <c r="P39" s="42" t="n">
        <f aca="false">BOM_COEF!Z309*DEMANDA!N18</f>
        <v>133.4</v>
      </c>
      <c r="Q39" s="42" t="n">
        <f aca="false">BOM_COEF!AA309*DEMANDA!O18</f>
        <v>155</v>
      </c>
      <c r="R39" s="24" t="s">
        <v>2647</v>
      </c>
    </row>
    <row r="40" customFormat="false" ht="15" hidden="false" customHeight="false" outlineLevel="1" collapsed="false">
      <c r="A40" s="24" t="n">
        <v>1</v>
      </c>
      <c r="B40" s="24" t="s">
        <v>1129</v>
      </c>
      <c r="C40" s="40" t="s">
        <v>2648</v>
      </c>
      <c r="D40" s="24" t="s">
        <v>82</v>
      </c>
      <c r="E40" s="24" t="s">
        <v>255</v>
      </c>
      <c r="F40" s="41" t="n">
        <f aca="false">INDEX((BOM_COEF!R316~BOM_COEF!S316~BOM_COEF!T316~BOM_COEF!U316~BOM_COEF!V316~BOM_COEF!W316~BOM_COEF!X316~BOM_COEF!Y316~BOM_COEF!Z316~BOM_COEF!AA316),1,1,INDEX(P_VAL,MATCH("AÑO_DIS",P_ID,0))-2025)</f>
        <v>1</v>
      </c>
      <c r="G40" s="24" t="s">
        <v>2281</v>
      </c>
      <c r="H40" s="42" t="n">
        <f aca="false">BOM_COEF!R316*DEMANDA!F11</f>
        <v>10.89657324</v>
      </c>
      <c r="I40" s="42" t="n">
        <f aca="false">BOM_COEF!S316*DEMANDA!G11</f>
        <v>18.70788719</v>
      </c>
      <c r="J40" s="42" t="n">
        <f aca="false">BOM_COEF!T316*DEMANDA!H11</f>
        <v>24.06673279</v>
      </c>
      <c r="K40" s="42" t="n">
        <f aca="false">BOM_COEF!U316*DEMANDA!I11</f>
        <v>32.16955294</v>
      </c>
      <c r="L40" s="42" t="n">
        <f aca="false">BOM_COEF!V316*DEMANDA!J11</f>
        <v>49.88032112</v>
      </c>
      <c r="M40" s="42" t="n">
        <f aca="false">BOM_COEF!W316*DEMANDA!K11</f>
        <v>67.81903447</v>
      </c>
      <c r="N40" s="42" t="n">
        <f aca="false">BOM_COEF!X316*DEMANDA!L11</f>
        <v>87.25383461</v>
      </c>
      <c r="O40" s="42" t="n">
        <f aca="false">BOM_COEF!Y316*DEMANDA!M11</f>
        <v>108.1115746</v>
      </c>
      <c r="P40" s="42" t="n">
        <f aca="false">BOM_COEF!Z316*DEMANDA!N11</f>
        <v>125.960773</v>
      </c>
      <c r="Q40" s="42" t="n">
        <f aca="false">BOM_COEF!AA316*DEMANDA!O11</f>
        <v>145.0465706</v>
      </c>
      <c r="R40" s="24" t="s">
        <v>2649</v>
      </c>
    </row>
    <row r="41" customFormat="false" ht="15" hidden="false" customHeight="false" outlineLevel="1" collapsed="false">
      <c r="A41" s="24" t="n">
        <v>1</v>
      </c>
      <c r="B41" s="24" t="s">
        <v>1129</v>
      </c>
      <c r="C41" s="40" t="s">
        <v>2650</v>
      </c>
      <c r="D41" s="24" t="s">
        <v>82</v>
      </c>
      <c r="E41" s="24" t="s">
        <v>279</v>
      </c>
      <c r="F41" s="41" t="n">
        <f aca="false">INDEX((BOM_COEF!R360~BOM_COEF!S360~BOM_COEF!T360~BOM_COEF!U360~BOM_COEF!V360~BOM_COEF!W360~BOM_COEF!X360~BOM_COEF!Y360~BOM_COEF!Z360~BOM_COEF!AA360),1,1,INDEX(P_VAL,MATCH("AÑO_DIS",P_ID,0))-2025)</f>
        <v>1</v>
      </c>
      <c r="G41" s="24" t="s">
        <v>2281</v>
      </c>
      <c r="H41" s="42" t="n">
        <f aca="false">BOM_COEF!R360*DEMANDA!F19</f>
        <v>0</v>
      </c>
      <c r="I41" s="42" t="n">
        <f aca="false">BOM_COEF!S360*DEMANDA!G19</f>
        <v>0</v>
      </c>
      <c r="J41" s="42" t="n">
        <f aca="false">BOM_COEF!T360*DEMANDA!H19</f>
        <v>4.6</v>
      </c>
      <c r="K41" s="42" t="n">
        <f aca="false">BOM_COEF!U360*DEMANDA!I19</f>
        <v>16</v>
      </c>
      <c r="L41" s="42" t="n">
        <f aca="false">BOM_COEF!V360*DEMANDA!J19</f>
        <v>29.6</v>
      </c>
      <c r="M41" s="42" t="n">
        <f aca="false">BOM_COEF!W360*DEMANDA!K19</f>
        <v>42.8</v>
      </c>
      <c r="N41" s="42" t="n">
        <f aca="false">BOM_COEF!X360*DEMANDA!L19</f>
        <v>60.4</v>
      </c>
      <c r="O41" s="42" t="n">
        <f aca="false">BOM_COEF!Y360*DEMANDA!M19</f>
        <v>78</v>
      </c>
      <c r="P41" s="42" t="n">
        <f aca="false">BOM_COEF!Z360*DEMANDA!N19</f>
        <v>87.6</v>
      </c>
      <c r="Q41" s="42" t="n">
        <f aca="false">BOM_COEF!AA360*DEMANDA!O19</f>
        <v>102</v>
      </c>
      <c r="R41" s="24" t="s">
        <v>2651</v>
      </c>
    </row>
    <row r="42" customFormat="false" ht="15" hidden="false" customHeight="false" outlineLevel="0" collapsed="false">
      <c r="A42" s="38" t="n">
        <v>0</v>
      </c>
      <c r="B42" s="38" t="s">
        <v>951</v>
      </c>
      <c r="C42" s="38" t="s">
        <v>2044</v>
      </c>
      <c r="D42" s="38" t="s">
        <v>1737</v>
      </c>
      <c r="E42" s="38"/>
      <c r="F42" s="38"/>
      <c r="G42" s="38"/>
      <c r="H42" s="39" t="n">
        <f aca="false">SUM(H43:H47)</f>
        <v>38.2933302864807</v>
      </c>
      <c r="I42" s="39" t="n">
        <f aca="false">SUM(I43:I47)</f>
        <v>65.7442745939649</v>
      </c>
      <c r="J42" s="39" t="n">
        <f aca="false">SUM(J43:J47)</f>
        <v>84.576621286372</v>
      </c>
      <c r="K42" s="39" t="n">
        <f aca="false">SUM(K43:K47)</f>
        <v>113.051992512123</v>
      </c>
      <c r="L42" s="39" t="n">
        <f aca="false">SUM(L43:L47)</f>
        <v>175.292137266509</v>
      </c>
      <c r="M42" s="39" t="n">
        <f aca="false">SUM(M43:M47)</f>
        <v>238.333339335807</v>
      </c>
      <c r="N42" s="39" t="n">
        <f aca="false">SUM(N43:N47)</f>
        <v>306.632170968368</v>
      </c>
      <c r="O42" s="39" t="n">
        <f aca="false">SUM(O43:O47)</f>
        <v>379.931575295228</v>
      </c>
      <c r="P42" s="39" t="n">
        <f aca="false">SUM(P43:P47)</f>
        <v>442.658198946912</v>
      </c>
      <c r="Q42" s="39" t="n">
        <f aca="false">SUM(Q43:Q47)</f>
        <v>509.730547011719</v>
      </c>
      <c r="R42" s="38"/>
    </row>
    <row r="43" customFormat="false" ht="15" hidden="false" customHeight="false" outlineLevel="1" collapsed="false">
      <c r="A43" s="24" t="n">
        <v>1</v>
      </c>
      <c r="B43" s="24" t="s">
        <v>951</v>
      </c>
      <c r="C43" s="40" t="s">
        <v>2652</v>
      </c>
      <c r="D43" s="24" t="s">
        <v>1737</v>
      </c>
      <c r="E43" s="24" t="s">
        <v>245</v>
      </c>
      <c r="F43" s="41" t="n">
        <f aca="false">INDEX((BOM_COEF!R190~BOM_COEF!S190~BOM_COEF!T190~BOM_COEF!U190~BOM_COEF!V190~BOM_COEF!W190~BOM_COEF!X190~BOM_COEF!Y190~BOM_COEF!Z190~BOM_COEF!AA190),1,1,INDEX(P_VAL,MATCH("AÑO_DIS",P_ID,0))-2025)</f>
        <v>0.0621052631578947</v>
      </c>
      <c r="G43" s="24" t="s">
        <v>2281</v>
      </c>
      <c r="H43" s="42" t="n">
        <f aca="false">BOM_COEF!R190*DEMANDA!F8</f>
        <v>2.11479546341053</v>
      </c>
      <c r="I43" s="42" t="n">
        <f aca="false">BOM_COEF!S190*DEMANDA!G8</f>
        <v>3.6308070521579</v>
      </c>
      <c r="J43" s="42" t="n">
        <f aca="false">BOM_COEF!T190*DEMANDA!H8</f>
        <v>4.67084616717895</v>
      </c>
      <c r="K43" s="42" t="n">
        <f aca="false">BOM_COEF!U190*DEMANDA!I8</f>
        <v>6.24343296957895</v>
      </c>
      <c r="L43" s="42" t="n">
        <f aca="false">BOM_COEF!V190*DEMANDA!J8</f>
        <v>9.68072021736842</v>
      </c>
      <c r="M43" s="42" t="n">
        <f aca="false">BOM_COEF!W190*DEMANDA!K8</f>
        <v>13.1622468203158</v>
      </c>
      <c r="N43" s="42" t="n">
        <f aca="false">BOM_COEF!X190*DEMANDA!L8</f>
        <v>16.9341323776842</v>
      </c>
      <c r="O43" s="42" t="n">
        <f aca="false">BOM_COEF!Y190*DEMANDA!M8</f>
        <v>20.9821806013684</v>
      </c>
      <c r="P43" s="42" t="n">
        <f aca="false">BOM_COEF!Z190*DEMANDA!N8</f>
        <v>24.446334232</v>
      </c>
      <c r="Q43" s="42" t="n">
        <f aca="false">BOM_COEF!AA190*DEMANDA!O8</f>
        <v>28.1504857461053</v>
      </c>
      <c r="R43" s="24" t="s">
        <v>2653</v>
      </c>
    </row>
    <row r="44" customFormat="false" ht="15" hidden="false" customHeight="false" outlineLevel="1" collapsed="false">
      <c r="A44" s="24" t="n">
        <v>1</v>
      </c>
      <c r="B44" s="24" t="s">
        <v>951</v>
      </c>
      <c r="C44" s="40" t="s">
        <v>2654</v>
      </c>
      <c r="D44" s="24" t="s">
        <v>1737</v>
      </c>
      <c r="E44" s="24" t="s">
        <v>245</v>
      </c>
      <c r="F44" s="41" t="n">
        <f aca="false">INDEX((BOM_COEF!R196~BOM_COEF!S196~BOM_COEF!T196~BOM_COEF!U196~BOM_COEF!V196~BOM_COEF!W196~BOM_COEF!X196~BOM_COEF!Y196~BOM_COEF!Z196~BOM_COEF!AA196),1,1,INDEX(P_VAL,MATCH("AÑO_DIS",P_ID,0))-2025)</f>
        <v>0.252631578947368</v>
      </c>
      <c r="G44" s="24" t="s">
        <v>2281</v>
      </c>
      <c r="H44" s="42" t="n">
        <f aca="false">BOM_COEF!R196*DEMANDA!F8</f>
        <v>8.60255781726316</v>
      </c>
      <c r="I44" s="42" t="n">
        <f aca="false">BOM_COEF!S196*DEMANDA!G8</f>
        <v>14.7693846189474</v>
      </c>
      <c r="J44" s="42" t="n">
        <f aca="false">BOM_COEF!T196*DEMANDA!H8</f>
        <v>19.0000522054737</v>
      </c>
      <c r="K44" s="42" t="n">
        <f aca="false">BOM_COEF!U196*DEMANDA!I8</f>
        <v>25.3970154694737</v>
      </c>
      <c r="L44" s="42" t="n">
        <f aca="false">BOM_COEF!V196*DEMANDA!J8</f>
        <v>39.3792008842105</v>
      </c>
      <c r="M44" s="42" t="n">
        <f aca="false">BOM_COEF!W196*DEMANDA!K8</f>
        <v>53.5413429978947</v>
      </c>
      <c r="N44" s="42" t="n">
        <f aca="false">BOM_COEF!X196*DEMANDA!L8</f>
        <v>68.8846062821053</v>
      </c>
      <c r="O44" s="42" t="n">
        <f aca="false">BOM_COEF!Y196*DEMANDA!M8</f>
        <v>85.3512431242105</v>
      </c>
      <c r="P44" s="42" t="n">
        <f aca="false">BOM_COEF!Z196*DEMANDA!N8</f>
        <v>99.44271552</v>
      </c>
      <c r="Q44" s="42" t="n">
        <f aca="false">BOM_COEF!AA196*DEMANDA!O8</f>
        <v>114.510450492632</v>
      </c>
      <c r="R44" s="24" t="s">
        <v>2655</v>
      </c>
    </row>
    <row r="45" customFormat="false" ht="15" hidden="false" customHeight="false" outlineLevel="1" collapsed="false">
      <c r="A45" s="24" t="n">
        <v>1</v>
      </c>
      <c r="B45" s="24" t="s">
        <v>951</v>
      </c>
      <c r="C45" s="40" t="s">
        <v>2656</v>
      </c>
      <c r="D45" s="24" t="s">
        <v>1737</v>
      </c>
      <c r="E45" s="24" t="s">
        <v>249</v>
      </c>
      <c r="F45" s="41" t="n">
        <f aca="false">INDEX((BOM_COEF!R245~BOM_COEF!S245~BOM_COEF!T245~BOM_COEF!U245~BOM_COEF!V245~BOM_COEF!W245~BOM_COEF!X245~BOM_COEF!Y245~BOM_COEF!Z245~BOM_COEF!AA245),1,1,INDEX(P_VAL,MATCH("AÑO_DIS",P_ID,0))-2025)</f>
        <v>0.266666666666667</v>
      </c>
      <c r="G45" s="24" t="s">
        <v>2281</v>
      </c>
      <c r="H45" s="42" t="n">
        <f aca="false">BOM_COEF!R245*DEMANDA!F9</f>
        <v>19.9770509333333</v>
      </c>
      <c r="I45" s="42" t="n">
        <f aca="false">BOM_COEF!S245*DEMANDA!G9</f>
        <v>34.2977931733333</v>
      </c>
      <c r="J45" s="42" t="n">
        <f aca="false">BOM_COEF!T245*DEMANDA!H9</f>
        <v>44.1223434666667</v>
      </c>
      <c r="K45" s="42" t="n">
        <f aca="false">BOM_COEF!U245*DEMANDA!I9</f>
        <v>58.9775137333333</v>
      </c>
      <c r="L45" s="42" t="n">
        <f aca="false">BOM_COEF!V245*DEMANDA!J9</f>
        <v>91.4472553866667</v>
      </c>
      <c r="M45" s="42" t="n">
        <f aca="false">BOM_COEF!W245*DEMANDA!K9</f>
        <v>124.334896533333</v>
      </c>
      <c r="N45" s="42" t="n">
        <f aca="false">BOM_COEF!X245*DEMANDA!L9</f>
        <v>159.96536344</v>
      </c>
      <c r="O45" s="42" t="n">
        <f aca="false">BOM_COEF!Y245*DEMANDA!M9</f>
        <v>198.204553493333</v>
      </c>
      <c r="P45" s="42" t="n">
        <f aca="false">BOM_COEF!Z245*DEMANDA!N9</f>
        <v>230.928083813333</v>
      </c>
      <c r="Q45" s="42" t="n">
        <f aca="false">BOM_COEF!AA245*DEMANDA!O9</f>
        <v>265.918712826667</v>
      </c>
      <c r="R45" s="24" t="s">
        <v>2657</v>
      </c>
    </row>
    <row r="46" customFormat="false" ht="15" hidden="false" customHeight="false" outlineLevel="1" collapsed="false">
      <c r="A46" s="24" t="n">
        <v>1</v>
      </c>
      <c r="B46" s="24" t="s">
        <v>951</v>
      </c>
      <c r="C46" s="40" t="s">
        <v>2658</v>
      </c>
      <c r="D46" s="24" t="s">
        <v>1737</v>
      </c>
      <c r="E46" s="24" t="s">
        <v>252</v>
      </c>
      <c r="F46" s="41" t="n">
        <f aca="false">INDEX((BOM_COEF!R295~BOM_COEF!S295~BOM_COEF!T295~BOM_COEF!U295~BOM_COEF!V295~BOM_COEF!W295~BOM_COEF!X295~BOM_COEF!Y295~BOM_COEF!Z295~BOM_COEF!AA295),1,1,INDEX(P_VAL,MATCH("AÑO_DIS",P_ID,0))-2025)</f>
        <v>0.278947368421053</v>
      </c>
      <c r="G46" s="24" t="s">
        <v>2281</v>
      </c>
      <c r="H46" s="42" t="n">
        <f aca="false">BOM_COEF!R295*DEMANDA!F10</f>
        <v>4.55935564236842</v>
      </c>
      <c r="I46" s="42" t="n">
        <f aca="false">BOM_COEF!S295*DEMANDA!G10</f>
        <v>7.8277738491579</v>
      </c>
      <c r="J46" s="42" t="n">
        <f aca="false">BOM_COEF!T295*DEMANDA!H10</f>
        <v>10.0700276687895</v>
      </c>
      <c r="K46" s="42" t="n">
        <f aca="false">BOM_COEF!U295*DEMANDA!I10</f>
        <v>13.4604182038421</v>
      </c>
      <c r="L46" s="42" t="n">
        <f aca="false">BOM_COEF!V295*DEMANDA!J10</f>
        <v>20.8709764658421</v>
      </c>
      <c r="M46" s="42" t="n">
        <f aca="false">BOM_COEF!W295*DEMANDA!K10</f>
        <v>28.37691179</v>
      </c>
      <c r="N46" s="42" t="n">
        <f aca="false">BOM_COEF!X295*DEMANDA!L10</f>
        <v>36.5088413194737</v>
      </c>
      <c r="O46" s="42" t="n">
        <f aca="false">BOM_COEF!Y295*DEMANDA!M10</f>
        <v>45.2361588457895</v>
      </c>
      <c r="P46" s="42" t="n">
        <f aca="false">BOM_COEF!Z295*DEMANDA!N10</f>
        <v>52.7046392289474</v>
      </c>
      <c r="Q46" s="42" t="n">
        <f aca="false">BOM_COEF!AA295*DEMANDA!O10</f>
        <v>60.6905387789474</v>
      </c>
      <c r="R46" s="24" t="s">
        <v>2659</v>
      </c>
    </row>
    <row r="47" customFormat="false" ht="15" hidden="false" customHeight="false" outlineLevel="1" collapsed="false">
      <c r="A47" s="24" t="n">
        <v>1</v>
      </c>
      <c r="B47" s="24" t="s">
        <v>951</v>
      </c>
      <c r="C47" s="40" t="s">
        <v>2660</v>
      </c>
      <c r="D47" s="24" t="s">
        <v>1737</v>
      </c>
      <c r="E47" s="24" t="s">
        <v>255</v>
      </c>
      <c r="F47" s="41" t="n">
        <f aca="false">INDEX((BOM_COEF!R346~BOM_COEF!S346~BOM_COEF!T346~BOM_COEF!U346~BOM_COEF!V346~BOM_COEF!W346~BOM_COEF!X346~BOM_COEF!Y346~BOM_COEF!Z346~BOM_COEF!AA346),1,1,INDEX(P_VAL,MATCH("AÑO_DIS",P_ID,0))-2025)</f>
        <v>0.278947368421053</v>
      </c>
      <c r="G47" s="24" t="s">
        <v>2281</v>
      </c>
      <c r="H47" s="42" t="n">
        <f aca="false">BOM_COEF!R346*DEMANDA!F11</f>
        <v>3.03957043010526</v>
      </c>
      <c r="I47" s="42" t="n">
        <f aca="false">BOM_COEF!S346*DEMANDA!G11</f>
        <v>5.21851590036842</v>
      </c>
      <c r="J47" s="42" t="n">
        <f aca="false">BOM_COEF!T346*DEMANDA!H11</f>
        <v>6.71335177826316</v>
      </c>
      <c r="K47" s="42" t="n">
        <f aca="false">BOM_COEF!U346*DEMANDA!I11</f>
        <v>8.97361213589474</v>
      </c>
      <c r="L47" s="42" t="n">
        <f aca="false">BOM_COEF!V346*DEMANDA!J11</f>
        <v>13.9139843124211</v>
      </c>
      <c r="M47" s="42" t="n">
        <f aca="false">BOM_COEF!W346*DEMANDA!K11</f>
        <v>18.9179411942632</v>
      </c>
      <c r="N47" s="42" t="n">
        <f aca="false">BOM_COEF!X346*DEMANDA!L11</f>
        <v>24.3392275491053</v>
      </c>
      <c r="O47" s="42" t="n">
        <f aca="false">BOM_COEF!Y346*DEMANDA!M11</f>
        <v>30.1574392305263</v>
      </c>
      <c r="P47" s="42" t="n">
        <f aca="false">BOM_COEF!Z346*DEMANDA!N11</f>
        <v>35.1364261526316</v>
      </c>
      <c r="Q47" s="42" t="n">
        <f aca="false">BOM_COEF!AA346*DEMANDA!O11</f>
        <v>40.4603591673684</v>
      </c>
      <c r="R47" s="24" t="s">
        <v>2661</v>
      </c>
    </row>
    <row r="48" customFormat="false" ht="15" hidden="false" customHeight="false" outlineLevel="0" collapsed="false">
      <c r="A48" s="38" t="n">
        <v>0</v>
      </c>
      <c r="B48" s="38" t="s">
        <v>1073</v>
      </c>
      <c r="C48" s="38" t="s">
        <v>2050</v>
      </c>
      <c r="D48" s="38" t="s">
        <v>1737</v>
      </c>
      <c r="E48" s="38"/>
      <c r="F48" s="38"/>
      <c r="G48" s="38"/>
      <c r="H48" s="39" t="n">
        <f aca="false">SUM(H49:H51)</f>
        <v>6.72672229387018</v>
      </c>
      <c r="I48" s="39" t="n">
        <f aca="false">SUM(I49:I51)</f>
        <v>11.5488382520316</v>
      </c>
      <c r="J48" s="39" t="n">
        <f aca="false">SUM(J49:J51)</f>
        <v>14.8569852686526</v>
      </c>
      <c r="K48" s="39" t="n">
        <f aca="false">SUM(K49:K51)</f>
        <v>19.8590551615614</v>
      </c>
      <c r="L48" s="39" t="n">
        <f aca="false">SUM(L49:L51)</f>
        <v>30.7923473573088</v>
      </c>
      <c r="M48" s="39" t="n">
        <f aca="false">SUM(M49:M51)</f>
        <v>41.866355709786</v>
      </c>
      <c r="N48" s="39" t="n">
        <f aca="false">SUM(N49:N51)</f>
        <v>53.8639351775333</v>
      </c>
      <c r="O48" s="39" t="n">
        <f aca="false">SUM(O49:O51)</f>
        <v>66.7399303865614</v>
      </c>
      <c r="P48" s="39" t="n">
        <f aca="false">SUM(P49:P51)</f>
        <v>77.758678941614</v>
      </c>
      <c r="Q48" s="39" t="n">
        <f aca="false">SUM(Q49:Q51)</f>
        <v>89.5408106003158</v>
      </c>
      <c r="R48" s="38"/>
    </row>
    <row r="49" customFormat="false" ht="15" hidden="false" customHeight="false" outlineLevel="1" collapsed="false">
      <c r="A49" s="24" t="n">
        <v>1</v>
      </c>
      <c r="B49" s="24" t="s">
        <v>1073</v>
      </c>
      <c r="C49" s="40" t="s">
        <v>2662</v>
      </c>
      <c r="D49" s="24" t="s">
        <v>1737</v>
      </c>
      <c r="E49" s="24" t="s">
        <v>249</v>
      </c>
      <c r="F49" s="41" t="n">
        <f aca="false">INDEX((BOM_COEF!R239~BOM_COEF!S239~BOM_COEF!T239~BOM_COEF!U239~BOM_COEF!V239~BOM_COEF!W239~BOM_COEF!X239~BOM_COEF!Y239~BOM_COEF!Z239~BOM_COEF!AA239),1,1,INDEX(P_VAL,MATCH("AÑO_DIS",P_ID,0))-2025)</f>
        <v>0.0621052631578947</v>
      </c>
      <c r="G49" s="24" t="s">
        <v>2281</v>
      </c>
      <c r="H49" s="42" t="n">
        <f aca="false">BOM_COEF!R239*DEMANDA!F9</f>
        <v>4.65255002</v>
      </c>
      <c r="I49" s="42" t="n">
        <f aca="false">BOM_COEF!S239*DEMANDA!G9</f>
        <v>7.98777551536842</v>
      </c>
      <c r="J49" s="42" t="n">
        <f aca="false">BOM_COEF!T239*DEMANDA!H9</f>
        <v>10.2758615705263</v>
      </c>
      <c r="K49" s="42" t="n">
        <f aca="false">BOM_COEF!U239*DEMANDA!I9</f>
        <v>13.7355525405263</v>
      </c>
      <c r="L49" s="42" t="n">
        <f aca="false">BOM_COEF!V239*DEMANDA!J9</f>
        <v>21.2975844782105</v>
      </c>
      <c r="M49" s="42" t="n">
        <f aca="false">BOM_COEF!W239*DEMANDA!K9</f>
        <v>28.9569430084211</v>
      </c>
      <c r="N49" s="42" t="n">
        <f aca="false">BOM_COEF!X239*DEMANDA!L9</f>
        <v>37.2550912222105</v>
      </c>
      <c r="O49" s="42" t="n">
        <f aca="false">BOM_COEF!Y239*DEMANDA!M9</f>
        <v>46.1607973267368</v>
      </c>
      <c r="P49" s="42" t="n">
        <f aca="false">BOM_COEF!Z239*DEMANDA!N9</f>
        <v>53.7819353091579</v>
      </c>
      <c r="Q49" s="42" t="n">
        <f aca="false">BOM_COEF!AA239*DEMANDA!O9</f>
        <v>61.9310686451579</v>
      </c>
      <c r="R49" s="24" t="s">
        <v>2663</v>
      </c>
    </row>
    <row r="50" customFormat="false" ht="15" hidden="false" customHeight="false" outlineLevel="1" collapsed="false">
      <c r="A50" s="24" t="n">
        <v>1</v>
      </c>
      <c r="B50" s="24" t="s">
        <v>1073</v>
      </c>
      <c r="C50" s="40" t="s">
        <v>2664</v>
      </c>
      <c r="D50" s="24" t="s">
        <v>1737</v>
      </c>
      <c r="E50" s="24" t="s">
        <v>252</v>
      </c>
      <c r="F50" s="41" t="n">
        <f aca="false">INDEX((BOM_COEF!R289~BOM_COEF!S289~BOM_COEF!T289~BOM_COEF!U289~BOM_COEF!V289~BOM_COEF!W289~BOM_COEF!X289~BOM_COEF!Y289~BOM_COEF!Z289~BOM_COEF!AA289),1,1,INDEX(P_VAL,MATCH("AÑO_DIS",P_ID,0))-2025)</f>
        <v>0.076140350877193</v>
      </c>
      <c r="G50" s="24" t="s">
        <v>2281</v>
      </c>
      <c r="H50" s="42" t="n">
        <f aca="false">BOM_COEF!R289*DEMANDA!F10</f>
        <v>1.24450336401754</v>
      </c>
      <c r="I50" s="42" t="n">
        <f aca="false">BOM_COEF!S289*DEMANDA!G10</f>
        <v>2.13663764184561</v>
      </c>
      <c r="J50" s="42" t="n">
        <f aca="false">BOM_COEF!T289*DEMANDA!H10</f>
        <v>2.74867421902807</v>
      </c>
      <c r="K50" s="42" t="n">
        <f aca="false">BOM_COEF!U289*DEMANDA!I10</f>
        <v>3.67410157262105</v>
      </c>
      <c r="L50" s="42" t="n">
        <f aca="false">BOM_COEF!V289*DEMANDA!J10</f>
        <v>5.69685772715439</v>
      </c>
      <c r="M50" s="42" t="n">
        <f aca="false">BOM_COEF!W289*DEMANDA!K10</f>
        <v>7.74564762066667</v>
      </c>
      <c r="N50" s="42" t="n">
        <f aca="false">BOM_COEF!X289*DEMANDA!L10</f>
        <v>9.96530637273684</v>
      </c>
      <c r="O50" s="42" t="n">
        <f aca="false">BOM_COEF!Y289*DEMANDA!M10</f>
        <v>12.3474798358947</v>
      </c>
      <c r="P50" s="42" t="n">
        <f aca="false">BOM_COEF!Z289*DEMANDA!N10</f>
        <v>14.3860461794737</v>
      </c>
      <c r="Q50" s="42" t="n">
        <f aca="false">BOM_COEF!AA289*DEMANDA!O10</f>
        <v>16.5658451761404</v>
      </c>
      <c r="R50" s="24" t="s">
        <v>2665</v>
      </c>
    </row>
    <row r="51" customFormat="false" ht="15" hidden="false" customHeight="false" outlineLevel="1" collapsed="false">
      <c r="A51" s="24" t="n">
        <v>1</v>
      </c>
      <c r="B51" s="24" t="s">
        <v>1073</v>
      </c>
      <c r="C51" s="40" t="s">
        <v>2666</v>
      </c>
      <c r="D51" s="24" t="s">
        <v>1737</v>
      </c>
      <c r="E51" s="24" t="s">
        <v>255</v>
      </c>
      <c r="F51" s="41" t="n">
        <f aca="false">INDEX((BOM_COEF!R340~BOM_COEF!S340~BOM_COEF!T340~BOM_COEF!U340~BOM_COEF!V340~BOM_COEF!W340~BOM_COEF!X340~BOM_COEF!Y340~BOM_COEF!Z340~BOM_COEF!AA340),1,1,INDEX(P_VAL,MATCH("AÑO_DIS",P_ID,0))-2025)</f>
        <v>0.076140350877193</v>
      </c>
      <c r="G51" s="24" t="s">
        <v>2281</v>
      </c>
      <c r="H51" s="42" t="n">
        <f aca="false">BOM_COEF!R340*DEMANDA!F11</f>
        <v>0.829668909852632</v>
      </c>
      <c r="I51" s="42" t="n">
        <f aca="false">BOM_COEF!S340*DEMANDA!G11</f>
        <v>1.42442509481754</v>
      </c>
      <c r="J51" s="42" t="n">
        <f aca="false">BOM_COEF!T340*DEMANDA!H11</f>
        <v>1.83244947909825</v>
      </c>
      <c r="K51" s="42" t="n">
        <f aca="false">BOM_COEF!U340*DEMANDA!I11</f>
        <v>2.44940104841404</v>
      </c>
      <c r="L51" s="42" t="n">
        <f aca="false">BOM_COEF!V340*DEMANDA!J11</f>
        <v>3.79790515194386</v>
      </c>
      <c r="M51" s="42" t="n">
        <f aca="false">BOM_COEF!W340*DEMANDA!K11</f>
        <v>5.16376508069825</v>
      </c>
      <c r="N51" s="42" t="n">
        <f aca="false">BOM_COEF!X340*DEMANDA!L11</f>
        <v>6.64353758258597</v>
      </c>
      <c r="O51" s="42" t="n">
        <f aca="false">BOM_COEF!Y340*DEMANDA!M11</f>
        <v>8.23165322392982</v>
      </c>
      <c r="P51" s="42" t="n">
        <f aca="false">BOM_COEF!Z340*DEMANDA!N11</f>
        <v>9.59069745298246</v>
      </c>
      <c r="Q51" s="42" t="n">
        <f aca="false">BOM_COEF!AA340*DEMANDA!O11</f>
        <v>11.0438967790175</v>
      </c>
      <c r="R51" s="24" t="s">
        <v>2667</v>
      </c>
    </row>
    <row r="52" customFormat="false" ht="15" hidden="false" customHeight="false" outlineLevel="0" collapsed="false">
      <c r="A52" s="38" t="n">
        <v>0</v>
      </c>
      <c r="B52" s="38" t="s">
        <v>966</v>
      </c>
      <c r="C52" s="38" t="s">
        <v>2051</v>
      </c>
      <c r="D52" s="38" t="s">
        <v>1737</v>
      </c>
      <c r="E52" s="38"/>
      <c r="F52" s="38"/>
      <c r="G52" s="38"/>
      <c r="H52" s="39" t="n">
        <f aca="false">SUM(H53:H53)</f>
        <v>4.25647392</v>
      </c>
      <c r="I52" s="39" t="n">
        <f aca="false">SUM(I53:I53)</f>
        <v>7.30776843125</v>
      </c>
      <c r="J52" s="39" t="n">
        <f aca="false">SUM(J53:J53)</f>
        <v>9.4010674975</v>
      </c>
      <c r="K52" s="39" t="n">
        <f aca="false">SUM(K53:K53)</f>
        <v>12.5662316125</v>
      </c>
      <c r="L52" s="39" t="n">
        <f aca="false">SUM(L53:L53)</f>
        <v>19.4845004375</v>
      </c>
      <c r="M52" s="39" t="n">
        <f aca="false">SUM(M53:M53)</f>
        <v>26.4918103375</v>
      </c>
      <c r="N52" s="39" t="n">
        <f aca="false">SUM(N53:N53)</f>
        <v>34.08352915</v>
      </c>
      <c r="O52" s="39" t="n">
        <f aca="false">SUM(O53:O53)</f>
        <v>42.2310838375</v>
      </c>
      <c r="P52" s="39" t="n">
        <f aca="false">SUM(P53:P53)</f>
        <v>49.20342695</v>
      </c>
      <c r="Q52" s="39" t="n">
        <f aca="false">SUM(Q53:Q53)</f>
        <v>56.65881665</v>
      </c>
      <c r="R52" s="38"/>
    </row>
    <row r="53" customFormat="false" ht="15" hidden="false" customHeight="false" outlineLevel="1" collapsed="false">
      <c r="A53" s="24" t="n">
        <v>1</v>
      </c>
      <c r="B53" s="24" t="s">
        <v>966</v>
      </c>
      <c r="C53" s="40" t="s">
        <v>2668</v>
      </c>
      <c r="D53" s="24" t="s">
        <v>1737</v>
      </c>
      <c r="E53" s="24" t="s">
        <v>245</v>
      </c>
      <c r="F53" s="41" t="n">
        <f aca="false">INDEX((BOM_COEF!R193~BOM_COEF!S193~BOM_COEF!T193~BOM_COEF!U193~BOM_COEF!V193~BOM_COEF!W193~BOM_COEF!X193~BOM_COEF!Y193~BOM_COEF!Z193~BOM_COEF!AA193),1,1,INDEX(P_VAL,MATCH("AÑO_DIS",P_ID,0))-2025)</f>
        <v>0.125</v>
      </c>
      <c r="G53" s="24" t="s">
        <v>2281</v>
      </c>
      <c r="H53" s="42" t="n">
        <f aca="false">BOM_COEF!R193*DEMANDA!F8</f>
        <v>4.25647392</v>
      </c>
      <c r="I53" s="42" t="n">
        <f aca="false">BOM_COEF!S193*DEMANDA!G8</f>
        <v>7.30776843125</v>
      </c>
      <c r="J53" s="42" t="n">
        <f aca="false">BOM_COEF!T193*DEMANDA!H8</f>
        <v>9.4010674975</v>
      </c>
      <c r="K53" s="42" t="n">
        <f aca="false">BOM_COEF!U193*DEMANDA!I8</f>
        <v>12.5662316125</v>
      </c>
      <c r="L53" s="42" t="n">
        <f aca="false">BOM_COEF!V193*DEMANDA!J8</f>
        <v>19.4845004375</v>
      </c>
      <c r="M53" s="42" t="n">
        <f aca="false">BOM_COEF!W193*DEMANDA!K8</f>
        <v>26.4918103375</v>
      </c>
      <c r="N53" s="42" t="n">
        <f aca="false">BOM_COEF!X193*DEMANDA!L8</f>
        <v>34.08352915</v>
      </c>
      <c r="O53" s="42" t="n">
        <f aca="false">BOM_COEF!Y193*DEMANDA!M8</f>
        <v>42.2310838375</v>
      </c>
      <c r="P53" s="42" t="n">
        <f aca="false">BOM_COEF!Z193*DEMANDA!N8</f>
        <v>49.20342695</v>
      </c>
      <c r="Q53" s="42" t="n">
        <f aca="false">BOM_COEF!AA193*DEMANDA!O8</f>
        <v>56.65881665</v>
      </c>
      <c r="R53" s="24" t="s">
        <v>2669</v>
      </c>
    </row>
    <row r="54" customFormat="false" ht="15" hidden="false" customHeight="false" outlineLevel="0" collapsed="false">
      <c r="A54" s="38" t="n">
        <v>0</v>
      </c>
      <c r="B54" s="38" t="s">
        <v>1081</v>
      </c>
      <c r="C54" s="38" t="s">
        <v>2055</v>
      </c>
      <c r="D54" s="38" t="s">
        <v>1737</v>
      </c>
      <c r="E54" s="38"/>
      <c r="F54" s="38"/>
      <c r="G54" s="38"/>
      <c r="H54" s="39" t="n">
        <f aca="false">SUM(H55:H57)</f>
        <v>9.53450158172727</v>
      </c>
      <c r="I54" s="39" t="n">
        <f aca="false">SUM(I55:I57)</f>
        <v>16.3694012879091</v>
      </c>
      <c r="J54" s="39" t="n">
        <f aca="false">SUM(J55:J57)</f>
        <v>21.058391198</v>
      </c>
      <c r="K54" s="39" t="n">
        <f aca="false">SUM(K55:K57)</f>
        <v>28.1483588259091</v>
      </c>
      <c r="L54" s="39" t="n">
        <f aca="false">SUM(L55:L57)</f>
        <v>43.645280979</v>
      </c>
      <c r="M54" s="39" t="n">
        <f aca="false">SUM(M55:M57)</f>
        <v>59.3416551624545</v>
      </c>
      <c r="N54" s="39" t="n">
        <f aca="false">SUM(N55:N57)</f>
        <v>76.3471052782727</v>
      </c>
      <c r="O54" s="39" t="n">
        <f aca="false">SUM(O55:O57)</f>
        <v>94.5976277954546</v>
      </c>
      <c r="P54" s="39" t="n">
        <f aca="false">SUM(P55:P57)</f>
        <v>110.215676368182</v>
      </c>
      <c r="Q54" s="39" t="n">
        <f aca="false">SUM(Q55:Q57)</f>
        <v>126.915749305455</v>
      </c>
      <c r="R54" s="38"/>
    </row>
    <row r="55" customFormat="false" ht="15" hidden="false" customHeight="false" outlineLevel="1" collapsed="false">
      <c r="A55" s="24" t="n">
        <v>1</v>
      </c>
      <c r="B55" s="24" t="s">
        <v>1081</v>
      </c>
      <c r="C55" s="40" t="s">
        <v>2670</v>
      </c>
      <c r="D55" s="24" t="s">
        <v>1737</v>
      </c>
      <c r="E55" s="24" t="s">
        <v>249</v>
      </c>
      <c r="F55" s="41" t="n">
        <f aca="false">INDEX((BOM_COEF!R242~BOM_COEF!S242~BOM_COEF!T242~BOM_COEF!U242~BOM_COEF!V242~BOM_COEF!W242~BOM_COEF!X242~BOM_COEF!Y242~BOM_COEF!Z242~BOM_COEF!AA242),1,1,INDEX(P_VAL,MATCH("AÑO_DIS",P_ID,0))-2025)</f>
        <v>0.0909090909090909</v>
      </c>
      <c r="G55" s="24" t="s">
        <v>2281</v>
      </c>
      <c r="H55" s="42" t="n">
        <f aca="false">BOM_COEF!R242*DEMANDA!F9</f>
        <v>6.81035827272727</v>
      </c>
      <c r="I55" s="42" t="n">
        <f aca="false">BOM_COEF!S242*DEMANDA!G9</f>
        <v>11.6924294909091</v>
      </c>
      <c r="J55" s="42" t="n">
        <f aca="false">BOM_COEF!T242*DEMANDA!H9</f>
        <v>15.041708</v>
      </c>
      <c r="K55" s="42" t="n">
        <f aca="false">BOM_COEF!U242*DEMANDA!I9</f>
        <v>20.1059705909091</v>
      </c>
      <c r="L55" s="42" t="n">
        <f aca="false">BOM_COEF!V242*DEMANDA!J9</f>
        <v>31.1752007</v>
      </c>
      <c r="M55" s="42" t="n">
        <f aca="false">BOM_COEF!W242*DEMANDA!K9</f>
        <v>42.3868965454546</v>
      </c>
      <c r="N55" s="42" t="n">
        <f aca="false">BOM_COEF!X242*DEMANDA!L9</f>
        <v>54.5336466272727</v>
      </c>
      <c r="O55" s="42" t="n">
        <f aca="false">BOM_COEF!Y242*DEMANDA!M9</f>
        <v>67.5697341454546</v>
      </c>
      <c r="P55" s="42" t="n">
        <f aca="false">BOM_COEF!Z242*DEMANDA!N9</f>
        <v>78.7254831181818</v>
      </c>
      <c r="Q55" s="42" t="n">
        <f aca="false">BOM_COEF!AA242*DEMANDA!O9</f>
        <v>90.6541066454546</v>
      </c>
      <c r="R55" s="24" t="s">
        <v>2671</v>
      </c>
    </row>
    <row r="56" customFormat="false" ht="15" hidden="false" customHeight="false" outlineLevel="1" collapsed="false">
      <c r="A56" s="24" t="n">
        <v>1</v>
      </c>
      <c r="B56" s="24" t="s">
        <v>1081</v>
      </c>
      <c r="C56" s="40" t="s">
        <v>2672</v>
      </c>
      <c r="D56" s="24" t="s">
        <v>1737</v>
      </c>
      <c r="E56" s="24" t="s">
        <v>252</v>
      </c>
      <c r="F56" s="41" t="n">
        <f aca="false">INDEX((BOM_COEF!R292~BOM_COEF!S292~BOM_COEF!T292~BOM_COEF!U292~BOM_COEF!V292~BOM_COEF!W292~BOM_COEF!X292~BOM_COEF!Y292~BOM_COEF!Z292~BOM_COEF!AA292),1,1,INDEX(P_VAL,MATCH("AÑO_DIS",P_ID,0))-2025)</f>
        <v>0.1</v>
      </c>
      <c r="G56" s="24" t="s">
        <v>2281</v>
      </c>
      <c r="H56" s="42" t="n">
        <f aca="false">BOM_COEF!R292*DEMANDA!F10</f>
        <v>1.634485985</v>
      </c>
      <c r="I56" s="42" t="n">
        <f aca="false">BOM_COEF!S292*DEMANDA!G10</f>
        <v>2.806183078</v>
      </c>
      <c r="J56" s="42" t="n">
        <f aca="false">BOM_COEF!T292*DEMANDA!H10</f>
        <v>3.610009919</v>
      </c>
      <c r="K56" s="42" t="n">
        <f aca="false">BOM_COEF!U292*DEMANDA!I10</f>
        <v>4.825432941</v>
      </c>
      <c r="L56" s="42" t="n">
        <f aca="false">BOM_COEF!V292*DEMANDA!J10</f>
        <v>7.482048167</v>
      </c>
      <c r="M56" s="42" t="n">
        <f aca="false">BOM_COEF!W292*DEMANDA!K10</f>
        <v>10.17285517</v>
      </c>
      <c r="N56" s="42" t="n">
        <f aca="false">BOM_COEF!X292*DEMANDA!L10</f>
        <v>13.08807519</v>
      </c>
      <c r="O56" s="42" t="n">
        <f aca="false">BOM_COEF!Y292*DEMANDA!M10</f>
        <v>16.21673619</v>
      </c>
      <c r="P56" s="42" t="n">
        <f aca="false">BOM_COEF!Z292*DEMANDA!N10</f>
        <v>18.89411595</v>
      </c>
      <c r="Q56" s="42" t="n">
        <f aca="false">BOM_COEF!AA292*DEMANDA!O10</f>
        <v>21.7569856</v>
      </c>
      <c r="R56" s="24" t="s">
        <v>2673</v>
      </c>
    </row>
    <row r="57" customFormat="false" ht="15" hidden="false" customHeight="false" outlineLevel="1" collapsed="false">
      <c r="A57" s="24" t="n">
        <v>1</v>
      </c>
      <c r="B57" s="24" t="s">
        <v>1081</v>
      </c>
      <c r="C57" s="40" t="s">
        <v>2674</v>
      </c>
      <c r="D57" s="24" t="s">
        <v>1737</v>
      </c>
      <c r="E57" s="24" t="s">
        <v>255</v>
      </c>
      <c r="F57" s="41" t="n">
        <f aca="false">INDEX((BOM_COEF!R343~BOM_COEF!S343~BOM_COEF!T343~BOM_COEF!U343~BOM_COEF!V343~BOM_COEF!W343~BOM_COEF!X343~BOM_COEF!Y343~BOM_COEF!Z343~BOM_COEF!AA343),1,1,INDEX(P_VAL,MATCH("AÑO_DIS",P_ID,0))-2025)</f>
        <v>0.1</v>
      </c>
      <c r="G57" s="24" t="s">
        <v>2281</v>
      </c>
      <c r="H57" s="42" t="n">
        <f aca="false">BOM_COEF!R343*DEMANDA!F11</f>
        <v>1.089657324</v>
      </c>
      <c r="I57" s="42" t="n">
        <f aca="false">BOM_COEF!S343*DEMANDA!G11</f>
        <v>1.870788719</v>
      </c>
      <c r="J57" s="42" t="n">
        <f aca="false">BOM_COEF!T343*DEMANDA!H11</f>
        <v>2.406673279</v>
      </c>
      <c r="K57" s="42" t="n">
        <f aca="false">BOM_COEF!U343*DEMANDA!I11</f>
        <v>3.216955294</v>
      </c>
      <c r="L57" s="42" t="n">
        <f aca="false">BOM_COEF!V343*DEMANDA!J11</f>
        <v>4.988032112</v>
      </c>
      <c r="M57" s="42" t="n">
        <f aca="false">BOM_COEF!W343*DEMANDA!K11</f>
        <v>6.781903447</v>
      </c>
      <c r="N57" s="42" t="n">
        <f aca="false">BOM_COEF!X343*DEMANDA!L11</f>
        <v>8.725383461</v>
      </c>
      <c r="O57" s="42" t="n">
        <f aca="false">BOM_COEF!Y343*DEMANDA!M11</f>
        <v>10.81115746</v>
      </c>
      <c r="P57" s="42" t="n">
        <f aca="false">BOM_COEF!Z343*DEMANDA!N11</f>
        <v>12.5960773</v>
      </c>
      <c r="Q57" s="42" t="n">
        <f aca="false">BOM_COEF!AA343*DEMANDA!O11</f>
        <v>14.50465706</v>
      </c>
      <c r="R57" s="24" t="s">
        <v>2675</v>
      </c>
    </row>
    <row r="58" customFormat="false" ht="15" hidden="false" customHeight="false" outlineLevel="0" collapsed="false">
      <c r="A58" s="38" t="n">
        <v>0</v>
      </c>
      <c r="B58" s="38" t="s">
        <v>971</v>
      </c>
      <c r="C58" s="38" t="s">
        <v>2057</v>
      </c>
      <c r="D58" s="38" t="s">
        <v>82</v>
      </c>
      <c r="E58" s="38"/>
      <c r="F58" s="38"/>
      <c r="G58" s="38"/>
      <c r="H58" s="39" t="n">
        <f aca="false">SUM(H59:H62)</f>
        <v>544.8286618</v>
      </c>
      <c r="I58" s="39" t="n">
        <f aca="false">SUM(I59:I62)</f>
        <v>935.39435928</v>
      </c>
      <c r="J58" s="39" t="n">
        <f aca="false">SUM(J59:J62)</f>
        <v>1203.33663984</v>
      </c>
      <c r="K58" s="39" t="n">
        <f aca="false">SUM(K59:K62)</f>
        <v>1608.477647</v>
      </c>
      <c r="L58" s="39" t="n">
        <f aca="false">SUM(L59:L62)</f>
        <v>2494.01605596</v>
      </c>
      <c r="M58" s="39" t="n">
        <f aca="false">SUM(M59:M62)</f>
        <v>3390.95172348</v>
      </c>
      <c r="N58" s="39" t="n">
        <f aca="false">SUM(N59:N62)</f>
        <v>4362.69173044</v>
      </c>
      <c r="O58" s="39" t="n">
        <f aca="false">SUM(O59:O62)</f>
        <v>5405.5787312</v>
      </c>
      <c r="P58" s="39" t="n">
        <f aca="false">SUM(P59:P62)</f>
        <v>6298.0386496</v>
      </c>
      <c r="Q58" s="39" t="n">
        <f aca="false">SUM(Q59:Q62)</f>
        <v>7252.3285316</v>
      </c>
      <c r="R58" s="38"/>
    </row>
    <row r="59" customFormat="false" ht="15" hidden="false" customHeight="false" outlineLevel="1" collapsed="false">
      <c r="A59" s="24" t="n">
        <v>1</v>
      </c>
      <c r="B59" s="24" t="s">
        <v>971</v>
      </c>
      <c r="C59" s="40" t="s">
        <v>2676</v>
      </c>
      <c r="D59" s="24" t="s">
        <v>82</v>
      </c>
      <c r="E59" s="24" t="s">
        <v>245</v>
      </c>
      <c r="F59" s="41" t="n">
        <f aca="false">INDEX((BOM_COEF!R194~BOM_COEF!S194~BOM_COEF!T194~BOM_COEF!U194~BOM_COEF!V194~BOM_COEF!W194~BOM_COEF!X194~BOM_COEF!Y194~BOM_COEF!Z194~BOM_COEF!AA194),1,1,INDEX(P_VAL,MATCH("AÑO_DIS",P_ID,0))-2025)</f>
        <v>4</v>
      </c>
      <c r="G59" s="24" t="s">
        <v>2281</v>
      </c>
      <c r="H59" s="42" t="n">
        <f aca="false">BOM_COEF!R194*DEMANDA!F8</f>
        <v>136.20716544</v>
      </c>
      <c r="I59" s="42" t="n">
        <f aca="false">BOM_COEF!S194*DEMANDA!G8</f>
        <v>233.8485898</v>
      </c>
      <c r="J59" s="42" t="n">
        <f aca="false">BOM_COEF!T194*DEMANDA!H8</f>
        <v>300.83415992</v>
      </c>
      <c r="K59" s="42" t="n">
        <f aca="false">BOM_COEF!U194*DEMANDA!I8</f>
        <v>402.1194116</v>
      </c>
      <c r="L59" s="42" t="n">
        <f aca="false">BOM_COEF!V194*DEMANDA!J8</f>
        <v>623.504014</v>
      </c>
      <c r="M59" s="42" t="n">
        <f aca="false">BOM_COEF!W194*DEMANDA!K8</f>
        <v>847.7379308</v>
      </c>
      <c r="N59" s="42" t="n">
        <f aca="false">BOM_COEF!X194*DEMANDA!L8</f>
        <v>1090.6729328</v>
      </c>
      <c r="O59" s="42" t="n">
        <f aca="false">BOM_COEF!Y194*DEMANDA!M8</f>
        <v>1351.3946828</v>
      </c>
      <c r="P59" s="42" t="n">
        <f aca="false">BOM_COEF!Z194*DEMANDA!N8</f>
        <v>1574.5096624</v>
      </c>
      <c r="Q59" s="42" t="n">
        <f aca="false">BOM_COEF!AA194*DEMANDA!O8</f>
        <v>1813.0821328</v>
      </c>
      <c r="R59" s="24" t="s">
        <v>2677</v>
      </c>
    </row>
    <row r="60" customFormat="false" ht="15" hidden="false" customHeight="false" outlineLevel="1" collapsed="false">
      <c r="A60" s="24" t="n">
        <v>1</v>
      </c>
      <c r="B60" s="24" t="s">
        <v>971</v>
      </c>
      <c r="C60" s="40" t="s">
        <v>2678</v>
      </c>
      <c r="D60" s="24" t="s">
        <v>82</v>
      </c>
      <c r="E60" s="24" t="s">
        <v>249</v>
      </c>
      <c r="F60" s="41" t="n">
        <f aca="false">INDEX((BOM_COEF!R243~BOM_COEF!S243~BOM_COEF!T243~BOM_COEF!U243~BOM_COEF!V243~BOM_COEF!W243~BOM_COEF!X243~BOM_COEF!Y243~BOM_COEF!Z243~BOM_COEF!AA243),1,1,INDEX(P_VAL,MATCH("AÑO_DIS",P_ID,0))-2025)</f>
        <v>4</v>
      </c>
      <c r="G60" s="24" t="s">
        <v>2281</v>
      </c>
      <c r="H60" s="42" t="n">
        <f aca="false">BOM_COEF!R243*DEMANDA!F9</f>
        <v>299.655764</v>
      </c>
      <c r="I60" s="42" t="n">
        <f aca="false">BOM_COEF!S243*DEMANDA!G9</f>
        <v>514.4668976</v>
      </c>
      <c r="J60" s="42" t="n">
        <f aca="false">BOM_COEF!T243*DEMANDA!H9</f>
        <v>661.835152</v>
      </c>
      <c r="K60" s="42" t="n">
        <f aca="false">BOM_COEF!U243*DEMANDA!I9</f>
        <v>884.662706</v>
      </c>
      <c r="L60" s="42" t="n">
        <f aca="false">BOM_COEF!V243*DEMANDA!J9</f>
        <v>1371.7088308</v>
      </c>
      <c r="M60" s="42" t="n">
        <f aca="false">BOM_COEF!W243*DEMANDA!K9</f>
        <v>1865.023448</v>
      </c>
      <c r="N60" s="42" t="n">
        <f aca="false">BOM_COEF!X243*DEMANDA!L9</f>
        <v>2399.4804516</v>
      </c>
      <c r="O60" s="42" t="n">
        <f aca="false">BOM_COEF!Y243*DEMANDA!M9</f>
        <v>2973.0683024</v>
      </c>
      <c r="P60" s="42" t="n">
        <f aca="false">BOM_COEF!Z243*DEMANDA!N9</f>
        <v>3463.9212572</v>
      </c>
      <c r="Q60" s="42" t="n">
        <f aca="false">BOM_COEF!AA243*DEMANDA!O9</f>
        <v>3988.7806924</v>
      </c>
      <c r="R60" s="24" t="s">
        <v>2679</v>
      </c>
    </row>
    <row r="61" customFormat="false" ht="15" hidden="false" customHeight="false" outlineLevel="1" collapsed="false">
      <c r="A61" s="24" t="n">
        <v>1</v>
      </c>
      <c r="B61" s="24" t="s">
        <v>971</v>
      </c>
      <c r="C61" s="40" t="s">
        <v>2680</v>
      </c>
      <c r="D61" s="24" t="s">
        <v>82</v>
      </c>
      <c r="E61" s="24" t="s">
        <v>252</v>
      </c>
      <c r="F61" s="41" t="n">
        <f aca="false">INDEX((BOM_COEF!R293~BOM_COEF!S293~BOM_COEF!T293~BOM_COEF!U293~BOM_COEF!V293~BOM_COEF!W293~BOM_COEF!X293~BOM_COEF!Y293~BOM_COEF!Z293~BOM_COEF!AA293),1,1,INDEX(P_VAL,MATCH("AÑO_DIS",P_ID,0))-2025)</f>
        <v>4</v>
      </c>
      <c r="G61" s="24" t="s">
        <v>2281</v>
      </c>
      <c r="H61" s="42" t="n">
        <f aca="false">BOM_COEF!R293*DEMANDA!F10</f>
        <v>65.3794394</v>
      </c>
      <c r="I61" s="42" t="n">
        <f aca="false">BOM_COEF!S293*DEMANDA!G10</f>
        <v>112.24732312</v>
      </c>
      <c r="J61" s="42" t="n">
        <f aca="false">BOM_COEF!T293*DEMANDA!H10</f>
        <v>144.40039676</v>
      </c>
      <c r="K61" s="42" t="n">
        <f aca="false">BOM_COEF!U293*DEMANDA!I10</f>
        <v>193.01731764</v>
      </c>
      <c r="L61" s="42" t="n">
        <f aca="false">BOM_COEF!V293*DEMANDA!J10</f>
        <v>299.28192668</v>
      </c>
      <c r="M61" s="42" t="n">
        <f aca="false">BOM_COEF!W293*DEMANDA!K10</f>
        <v>406.9142068</v>
      </c>
      <c r="N61" s="42" t="n">
        <f aca="false">BOM_COEF!X293*DEMANDA!L10</f>
        <v>523.5230076</v>
      </c>
      <c r="O61" s="42" t="n">
        <f aca="false">BOM_COEF!Y293*DEMANDA!M10</f>
        <v>648.6694476</v>
      </c>
      <c r="P61" s="42" t="n">
        <f aca="false">BOM_COEF!Z293*DEMANDA!N10</f>
        <v>755.764638</v>
      </c>
      <c r="Q61" s="42" t="n">
        <f aca="false">BOM_COEF!AA293*DEMANDA!O10</f>
        <v>870.279424</v>
      </c>
      <c r="R61" s="24" t="s">
        <v>2681</v>
      </c>
    </row>
    <row r="62" customFormat="false" ht="15" hidden="false" customHeight="false" outlineLevel="1" collapsed="false">
      <c r="A62" s="24" t="n">
        <v>1</v>
      </c>
      <c r="B62" s="24" t="s">
        <v>971</v>
      </c>
      <c r="C62" s="40" t="s">
        <v>2682</v>
      </c>
      <c r="D62" s="24" t="s">
        <v>82</v>
      </c>
      <c r="E62" s="24" t="s">
        <v>255</v>
      </c>
      <c r="F62" s="41" t="n">
        <f aca="false">INDEX((BOM_COEF!R344~BOM_COEF!S344~BOM_COEF!T344~BOM_COEF!U344~BOM_COEF!V344~BOM_COEF!W344~BOM_COEF!X344~BOM_COEF!Y344~BOM_COEF!Z344~BOM_COEF!AA344),1,1,INDEX(P_VAL,MATCH("AÑO_DIS",P_ID,0))-2025)</f>
        <v>4</v>
      </c>
      <c r="G62" s="24" t="s">
        <v>2281</v>
      </c>
      <c r="H62" s="42" t="n">
        <f aca="false">BOM_COEF!R344*DEMANDA!F11</f>
        <v>43.58629296</v>
      </c>
      <c r="I62" s="42" t="n">
        <f aca="false">BOM_COEF!S344*DEMANDA!G11</f>
        <v>74.83154876</v>
      </c>
      <c r="J62" s="42" t="n">
        <f aca="false">BOM_COEF!T344*DEMANDA!H11</f>
        <v>96.26693116</v>
      </c>
      <c r="K62" s="42" t="n">
        <f aca="false">BOM_COEF!U344*DEMANDA!I11</f>
        <v>128.67821176</v>
      </c>
      <c r="L62" s="42" t="n">
        <f aca="false">BOM_COEF!V344*DEMANDA!J11</f>
        <v>199.52128448</v>
      </c>
      <c r="M62" s="42" t="n">
        <f aca="false">BOM_COEF!W344*DEMANDA!K11</f>
        <v>271.27613788</v>
      </c>
      <c r="N62" s="42" t="n">
        <f aca="false">BOM_COEF!X344*DEMANDA!L11</f>
        <v>349.01533844</v>
      </c>
      <c r="O62" s="42" t="n">
        <f aca="false">BOM_COEF!Y344*DEMANDA!M11</f>
        <v>432.4462984</v>
      </c>
      <c r="P62" s="42" t="n">
        <f aca="false">BOM_COEF!Z344*DEMANDA!N11</f>
        <v>503.843092</v>
      </c>
      <c r="Q62" s="42" t="n">
        <f aca="false">BOM_COEF!AA344*DEMANDA!O11</f>
        <v>580.1862824</v>
      </c>
      <c r="R62" s="24" t="s">
        <v>2683</v>
      </c>
    </row>
    <row r="63" customFormat="false" ht="15" hidden="false" customHeight="false" outlineLevel="0" collapsed="false">
      <c r="A63" s="38" t="n">
        <v>0</v>
      </c>
      <c r="B63" s="38" t="s">
        <v>976</v>
      </c>
      <c r="C63" s="38" t="s">
        <v>2060</v>
      </c>
      <c r="D63" s="38" t="s">
        <v>82</v>
      </c>
      <c r="E63" s="38"/>
      <c r="F63" s="38"/>
      <c r="G63" s="38"/>
      <c r="H63" s="39" t="n">
        <f aca="false">SUM(H64:H67)</f>
        <v>272.4143309</v>
      </c>
      <c r="I63" s="39" t="n">
        <f aca="false">SUM(I64:I67)</f>
        <v>467.69717964</v>
      </c>
      <c r="J63" s="39" t="n">
        <f aca="false">SUM(J64:J67)</f>
        <v>601.66831992</v>
      </c>
      <c r="K63" s="39" t="n">
        <f aca="false">SUM(K64:K67)</f>
        <v>804.2388235</v>
      </c>
      <c r="L63" s="39" t="n">
        <f aca="false">SUM(L64:L67)</f>
        <v>1247.00802798</v>
      </c>
      <c r="M63" s="39" t="n">
        <f aca="false">SUM(M64:M67)</f>
        <v>1695.47586174</v>
      </c>
      <c r="N63" s="39" t="n">
        <f aca="false">SUM(N64:N67)</f>
        <v>2181.34586522</v>
      </c>
      <c r="O63" s="39" t="n">
        <f aca="false">SUM(O64:O67)</f>
        <v>2702.7893656</v>
      </c>
      <c r="P63" s="39" t="n">
        <f aca="false">SUM(P64:P67)</f>
        <v>3149.0193248</v>
      </c>
      <c r="Q63" s="39" t="n">
        <f aca="false">SUM(Q64:Q67)</f>
        <v>3626.1642658</v>
      </c>
      <c r="R63" s="38"/>
    </row>
    <row r="64" customFormat="false" ht="15" hidden="false" customHeight="false" outlineLevel="1" collapsed="false">
      <c r="A64" s="24" t="n">
        <v>1</v>
      </c>
      <c r="B64" s="24" t="s">
        <v>976</v>
      </c>
      <c r="C64" s="40" t="s">
        <v>2684</v>
      </c>
      <c r="D64" s="24" t="s">
        <v>82</v>
      </c>
      <c r="E64" s="24" t="s">
        <v>245</v>
      </c>
      <c r="F64" s="41" t="n">
        <f aca="false">INDEX((BOM_COEF!R195~BOM_COEF!S195~BOM_COEF!T195~BOM_COEF!U195~BOM_COEF!V195~BOM_COEF!W195~BOM_COEF!X195~BOM_COEF!Y195~BOM_COEF!Z195~BOM_COEF!AA195),1,1,INDEX(P_VAL,MATCH("AÑO_DIS",P_ID,0))-2025)</f>
        <v>2</v>
      </c>
      <c r="G64" s="24" t="s">
        <v>2281</v>
      </c>
      <c r="H64" s="42" t="n">
        <f aca="false">BOM_COEF!R195*DEMANDA!F8</f>
        <v>68.10358272</v>
      </c>
      <c r="I64" s="42" t="n">
        <f aca="false">BOM_COEF!S195*DEMANDA!G8</f>
        <v>116.9242949</v>
      </c>
      <c r="J64" s="42" t="n">
        <f aca="false">BOM_COEF!T195*DEMANDA!H8</f>
        <v>150.41707996</v>
      </c>
      <c r="K64" s="42" t="n">
        <f aca="false">BOM_COEF!U195*DEMANDA!I8</f>
        <v>201.0597058</v>
      </c>
      <c r="L64" s="42" t="n">
        <f aca="false">BOM_COEF!V195*DEMANDA!J8</f>
        <v>311.752007</v>
      </c>
      <c r="M64" s="42" t="n">
        <f aca="false">BOM_COEF!W195*DEMANDA!K8</f>
        <v>423.8689654</v>
      </c>
      <c r="N64" s="42" t="n">
        <f aca="false">BOM_COEF!X195*DEMANDA!L8</f>
        <v>545.3364664</v>
      </c>
      <c r="O64" s="42" t="n">
        <f aca="false">BOM_COEF!Y195*DEMANDA!M8</f>
        <v>675.6973414</v>
      </c>
      <c r="P64" s="42" t="n">
        <f aca="false">BOM_COEF!Z195*DEMANDA!N8</f>
        <v>787.2548312</v>
      </c>
      <c r="Q64" s="42" t="n">
        <f aca="false">BOM_COEF!AA195*DEMANDA!O8</f>
        <v>906.5410664</v>
      </c>
      <c r="R64" s="24" t="s">
        <v>2685</v>
      </c>
    </row>
    <row r="65" customFormat="false" ht="15" hidden="false" customHeight="false" outlineLevel="1" collapsed="false">
      <c r="A65" s="24" t="n">
        <v>1</v>
      </c>
      <c r="B65" s="24" t="s">
        <v>976</v>
      </c>
      <c r="C65" s="40" t="s">
        <v>2686</v>
      </c>
      <c r="D65" s="24" t="s">
        <v>82</v>
      </c>
      <c r="E65" s="24" t="s">
        <v>249</v>
      </c>
      <c r="F65" s="41" t="n">
        <f aca="false">INDEX((BOM_COEF!R244~BOM_COEF!S244~BOM_COEF!T244~BOM_COEF!U244~BOM_COEF!V244~BOM_COEF!W244~BOM_COEF!X244~BOM_COEF!Y244~BOM_COEF!Z244~BOM_COEF!AA244),1,1,INDEX(P_VAL,MATCH("AÑO_DIS",P_ID,0))-2025)</f>
        <v>2</v>
      </c>
      <c r="G65" s="24" t="s">
        <v>2281</v>
      </c>
      <c r="H65" s="42" t="n">
        <f aca="false">BOM_COEF!R244*DEMANDA!F9</f>
        <v>149.827882</v>
      </c>
      <c r="I65" s="42" t="n">
        <f aca="false">BOM_COEF!S244*DEMANDA!G9</f>
        <v>257.2334488</v>
      </c>
      <c r="J65" s="42" t="n">
        <f aca="false">BOM_COEF!T244*DEMANDA!H9</f>
        <v>330.917576</v>
      </c>
      <c r="K65" s="42" t="n">
        <f aca="false">BOM_COEF!U244*DEMANDA!I9</f>
        <v>442.331353</v>
      </c>
      <c r="L65" s="42" t="n">
        <f aca="false">BOM_COEF!V244*DEMANDA!J9</f>
        <v>685.8544154</v>
      </c>
      <c r="M65" s="42" t="n">
        <f aca="false">BOM_COEF!W244*DEMANDA!K9</f>
        <v>932.511724</v>
      </c>
      <c r="N65" s="42" t="n">
        <f aca="false">BOM_COEF!X244*DEMANDA!L9</f>
        <v>1199.7402258</v>
      </c>
      <c r="O65" s="42" t="n">
        <f aca="false">BOM_COEF!Y244*DEMANDA!M9</f>
        <v>1486.5341512</v>
      </c>
      <c r="P65" s="42" t="n">
        <f aca="false">BOM_COEF!Z244*DEMANDA!N9</f>
        <v>1731.9606286</v>
      </c>
      <c r="Q65" s="42" t="n">
        <f aca="false">BOM_COEF!AA244*DEMANDA!O9</f>
        <v>1994.3903462</v>
      </c>
      <c r="R65" s="24" t="s">
        <v>2687</v>
      </c>
    </row>
    <row r="66" customFormat="false" ht="15" hidden="false" customHeight="false" outlineLevel="1" collapsed="false">
      <c r="A66" s="24" t="n">
        <v>1</v>
      </c>
      <c r="B66" s="24" t="s">
        <v>976</v>
      </c>
      <c r="C66" s="40" t="s">
        <v>2688</v>
      </c>
      <c r="D66" s="24" t="s">
        <v>82</v>
      </c>
      <c r="E66" s="24" t="s">
        <v>252</v>
      </c>
      <c r="F66" s="41" t="n">
        <f aca="false">INDEX((BOM_COEF!R294~BOM_COEF!S294~BOM_COEF!T294~BOM_COEF!U294~BOM_COEF!V294~BOM_COEF!W294~BOM_COEF!X294~BOM_COEF!Y294~BOM_COEF!Z294~BOM_COEF!AA294),1,1,INDEX(P_VAL,MATCH("AÑO_DIS",P_ID,0))-2025)</f>
        <v>2</v>
      </c>
      <c r="G66" s="24" t="s">
        <v>2281</v>
      </c>
      <c r="H66" s="42" t="n">
        <f aca="false">BOM_COEF!R294*DEMANDA!F10</f>
        <v>32.6897197</v>
      </c>
      <c r="I66" s="42" t="n">
        <f aca="false">BOM_COEF!S294*DEMANDA!G10</f>
        <v>56.12366156</v>
      </c>
      <c r="J66" s="42" t="n">
        <f aca="false">BOM_COEF!T294*DEMANDA!H10</f>
        <v>72.20019838</v>
      </c>
      <c r="K66" s="42" t="n">
        <f aca="false">BOM_COEF!U294*DEMANDA!I10</f>
        <v>96.50865882</v>
      </c>
      <c r="L66" s="42" t="n">
        <f aca="false">BOM_COEF!V294*DEMANDA!J10</f>
        <v>149.64096334</v>
      </c>
      <c r="M66" s="42" t="n">
        <f aca="false">BOM_COEF!W294*DEMANDA!K10</f>
        <v>203.4571034</v>
      </c>
      <c r="N66" s="42" t="n">
        <f aca="false">BOM_COEF!X294*DEMANDA!L10</f>
        <v>261.7615038</v>
      </c>
      <c r="O66" s="42" t="n">
        <f aca="false">BOM_COEF!Y294*DEMANDA!M10</f>
        <v>324.3347238</v>
      </c>
      <c r="P66" s="42" t="n">
        <f aca="false">BOM_COEF!Z294*DEMANDA!N10</f>
        <v>377.882319</v>
      </c>
      <c r="Q66" s="42" t="n">
        <f aca="false">BOM_COEF!AA294*DEMANDA!O10</f>
        <v>435.139712</v>
      </c>
      <c r="R66" s="24" t="s">
        <v>2689</v>
      </c>
    </row>
    <row r="67" customFormat="false" ht="15" hidden="false" customHeight="false" outlineLevel="1" collapsed="false">
      <c r="A67" s="24" t="n">
        <v>1</v>
      </c>
      <c r="B67" s="24" t="s">
        <v>976</v>
      </c>
      <c r="C67" s="40" t="s">
        <v>2690</v>
      </c>
      <c r="D67" s="24" t="s">
        <v>82</v>
      </c>
      <c r="E67" s="24" t="s">
        <v>255</v>
      </c>
      <c r="F67" s="41" t="n">
        <f aca="false">INDEX((BOM_COEF!R345~BOM_COEF!S345~BOM_COEF!T345~BOM_COEF!U345~BOM_COEF!V345~BOM_COEF!W345~BOM_COEF!X345~BOM_COEF!Y345~BOM_COEF!Z345~BOM_COEF!AA345),1,1,INDEX(P_VAL,MATCH("AÑO_DIS",P_ID,0))-2025)</f>
        <v>2</v>
      </c>
      <c r="G67" s="24" t="s">
        <v>2281</v>
      </c>
      <c r="H67" s="42" t="n">
        <f aca="false">BOM_COEF!R345*DEMANDA!F11</f>
        <v>21.79314648</v>
      </c>
      <c r="I67" s="42" t="n">
        <f aca="false">BOM_COEF!S345*DEMANDA!G11</f>
        <v>37.41577438</v>
      </c>
      <c r="J67" s="42" t="n">
        <f aca="false">BOM_COEF!T345*DEMANDA!H11</f>
        <v>48.13346558</v>
      </c>
      <c r="K67" s="42" t="n">
        <f aca="false">BOM_COEF!U345*DEMANDA!I11</f>
        <v>64.33910588</v>
      </c>
      <c r="L67" s="42" t="n">
        <f aca="false">BOM_COEF!V345*DEMANDA!J11</f>
        <v>99.76064224</v>
      </c>
      <c r="M67" s="42" t="n">
        <f aca="false">BOM_COEF!W345*DEMANDA!K11</f>
        <v>135.63806894</v>
      </c>
      <c r="N67" s="42" t="n">
        <f aca="false">BOM_COEF!X345*DEMANDA!L11</f>
        <v>174.50766922</v>
      </c>
      <c r="O67" s="42" t="n">
        <f aca="false">BOM_COEF!Y345*DEMANDA!M11</f>
        <v>216.2231492</v>
      </c>
      <c r="P67" s="42" t="n">
        <f aca="false">BOM_COEF!Z345*DEMANDA!N11</f>
        <v>251.921546</v>
      </c>
      <c r="Q67" s="42" t="n">
        <f aca="false">BOM_COEF!AA345*DEMANDA!O11</f>
        <v>290.0931412</v>
      </c>
      <c r="R67" s="24" t="s">
        <v>2691</v>
      </c>
    </row>
    <row r="68" customFormat="false" ht="15" hidden="false" customHeight="false" outlineLevel="0" collapsed="false">
      <c r="A68" s="38" t="n">
        <v>0</v>
      </c>
      <c r="B68" s="38" t="s">
        <v>988</v>
      </c>
      <c r="C68" s="38" t="s">
        <v>2068</v>
      </c>
      <c r="D68" s="38" t="s">
        <v>73</v>
      </c>
      <c r="E68" s="38"/>
      <c r="F68" s="38"/>
      <c r="G68" s="38"/>
      <c r="H68" s="39" t="n">
        <f aca="false">SUM(H69:H72)</f>
        <v>6899.097240975</v>
      </c>
      <c r="I68" s="39" t="n">
        <f aca="false">SUM(I69:I72)</f>
        <v>11844.7818476485</v>
      </c>
      <c r="J68" s="39" t="n">
        <f aca="false">SUM(J69:J72)</f>
        <v>15237.701453018</v>
      </c>
      <c r="K68" s="39" t="n">
        <f aca="false">SUM(K69:K72)</f>
        <v>20367.951385202</v>
      </c>
      <c r="L68" s="39" t="n">
        <f aca="false">SUM(L69:L72)</f>
        <v>31581.413564414</v>
      </c>
      <c r="M68" s="39" t="n">
        <f aca="false">SUM(M69:M72)</f>
        <v>42939.197805835</v>
      </c>
      <c r="N68" s="39" t="n">
        <f aca="false">SUM(N69:N72)</f>
        <v>55244.22004469</v>
      </c>
      <c r="O68" s="39" t="n">
        <f aca="false">SUM(O69:O72)</f>
        <v>68450.167773905</v>
      </c>
      <c r="P68" s="39" t="n">
        <f aca="false">SUM(P69:P72)</f>
        <v>79751.2761657</v>
      </c>
      <c r="Q68" s="39" t="n">
        <f aca="false">SUM(Q69:Q72)</f>
        <v>91835.32965465</v>
      </c>
      <c r="R68" s="38"/>
    </row>
    <row r="69" customFormat="false" ht="15" hidden="false" customHeight="false" outlineLevel="1" collapsed="false">
      <c r="A69" s="24" t="n">
        <v>1</v>
      </c>
      <c r="B69" s="24" t="s">
        <v>988</v>
      </c>
      <c r="C69" s="40" t="s">
        <v>2692</v>
      </c>
      <c r="D69" s="24" t="s">
        <v>73</v>
      </c>
      <c r="E69" s="24" t="s">
        <v>245</v>
      </c>
      <c r="F69" s="41" t="n">
        <f aca="false">INDEX((BOM_COEF!R198~BOM_COEF!S198~BOM_COEF!T198~BOM_COEF!U198~BOM_COEF!V198~BOM_COEF!W198~BOM_COEF!X198~BOM_COEF!Y198~BOM_COEF!Z198~BOM_COEF!AA198),1,1,INDEX(P_VAL,MATCH("AÑO_DIS",P_ID,0))-2025)</f>
        <v>25.25</v>
      </c>
      <c r="G69" s="24" t="s">
        <v>2281</v>
      </c>
      <c r="H69" s="42" t="n">
        <f aca="false">BOM_COEF!R198*DEMANDA!F8</f>
        <v>859.80773184</v>
      </c>
      <c r="I69" s="42" t="n">
        <f aca="false">BOM_COEF!S198*DEMANDA!G8</f>
        <v>1476.1692231125</v>
      </c>
      <c r="J69" s="42" t="n">
        <f aca="false">BOM_COEF!T198*DEMANDA!H8</f>
        <v>1899.015634495</v>
      </c>
      <c r="K69" s="42" t="n">
        <f aca="false">BOM_COEF!U198*DEMANDA!I8</f>
        <v>2538.378785725</v>
      </c>
      <c r="L69" s="42" t="n">
        <f aca="false">BOM_COEF!V198*DEMANDA!J8</f>
        <v>3935.869088375</v>
      </c>
      <c r="M69" s="42" t="n">
        <f aca="false">BOM_COEF!W198*DEMANDA!K8</f>
        <v>5351.345688175</v>
      </c>
      <c r="N69" s="42" t="n">
        <f aca="false">BOM_COEF!X198*DEMANDA!L8</f>
        <v>6884.8728883</v>
      </c>
      <c r="O69" s="42" t="n">
        <f aca="false">BOM_COEF!Y198*DEMANDA!M8</f>
        <v>8530.678935175</v>
      </c>
      <c r="P69" s="42" t="n">
        <f aca="false">BOM_COEF!Z198*DEMANDA!N8</f>
        <v>9939.0922439</v>
      </c>
      <c r="Q69" s="42" t="n">
        <f aca="false">BOM_COEF!AA198*DEMANDA!O8</f>
        <v>11445.0809633</v>
      </c>
      <c r="R69" s="24" t="s">
        <v>2693</v>
      </c>
    </row>
    <row r="70" customFormat="false" ht="15" hidden="false" customHeight="false" outlineLevel="1" collapsed="false">
      <c r="A70" s="24" t="n">
        <v>1</v>
      </c>
      <c r="B70" s="24" t="s">
        <v>988</v>
      </c>
      <c r="C70" s="40" t="s">
        <v>2694</v>
      </c>
      <c r="D70" s="24" t="s">
        <v>73</v>
      </c>
      <c r="E70" s="24" t="s">
        <v>249</v>
      </c>
      <c r="F70" s="41" t="n">
        <f aca="false">INDEX((BOM_COEF!R247~BOM_COEF!S247~BOM_COEF!T247~BOM_COEF!U247~BOM_COEF!V247~BOM_COEF!W247~BOM_COEF!X247~BOM_COEF!Y247~BOM_COEF!Z247~BOM_COEF!AA247),1,1,INDEX(P_VAL,MATCH("AÑO_DIS",P_ID,0))-2025)</f>
        <v>50.5</v>
      </c>
      <c r="G70" s="24" t="s">
        <v>2281</v>
      </c>
      <c r="H70" s="42" t="n">
        <f aca="false">BOM_COEF!R247*DEMANDA!F9</f>
        <v>3783.1540205</v>
      </c>
      <c r="I70" s="42" t="n">
        <f aca="false">BOM_COEF!S247*DEMANDA!G9</f>
        <v>6495.1445822</v>
      </c>
      <c r="J70" s="42" t="n">
        <f aca="false">BOM_COEF!T247*DEMANDA!H9</f>
        <v>8355.668794</v>
      </c>
      <c r="K70" s="42" t="n">
        <f aca="false">BOM_COEF!U247*DEMANDA!I9</f>
        <v>11168.86666325</v>
      </c>
      <c r="L70" s="42" t="n">
        <f aca="false">BOM_COEF!V247*DEMANDA!J9</f>
        <v>17317.82398885</v>
      </c>
      <c r="M70" s="42" t="n">
        <f aca="false">BOM_COEF!W247*DEMANDA!K9</f>
        <v>23545.921031</v>
      </c>
      <c r="N70" s="42" t="n">
        <f aca="false">BOM_COEF!X247*DEMANDA!L9</f>
        <v>30293.44070145</v>
      </c>
      <c r="O70" s="42" t="n">
        <f aca="false">BOM_COEF!Y247*DEMANDA!M9</f>
        <v>37534.9873178</v>
      </c>
      <c r="P70" s="42" t="n">
        <f aca="false">BOM_COEF!Z247*DEMANDA!N9</f>
        <v>43732.00587215</v>
      </c>
      <c r="Q70" s="42" t="n">
        <f aca="false">BOM_COEF!AA247*DEMANDA!O9</f>
        <v>50358.35624155</v>
      </c>
      <c r="R70" s="24" t="s">
        <v>2695</v>
      </c>
    </row>
    <row r="71" customFormat="false" ht="15" hidden="false" customHeight="false" outlineLevel="1" collapsed="false">
      <c r="A71" s="24" t="n">
        <v>1</v>
      </c>
      <c r="B71" s="24" t="s">
        <v>988</v>
      </c>
      <c r="C71" s="40" t="s">
        <v>2696</v>
      </c>
      <c r="D71" s="24" t="s">
        <v>73</v>
      </c>
      <c r="E71" s="24" t="s">
        <v>252</v>
      </c>
      <c r="F71" s="41" t="n">
        <f aca="false">INDEX((BOM_COEF!R297~BOM_COEF!S297~BOM_COEF!T297~BOM_COEF!U297~BOM_COEF!V297~BOM_COEF!W297~BOM_COEF!X297~BOM_COEF!Y297~BOM_COEF!Z297~BOM_COEF!AA297),1,1,INDEX(P_VAL,MATCH("AÑO_DIS",P_ID,0))-2025)</f>
        <v>70.7</v>
      </c>
      <c r="G71" s="24" t="s">
        <v>2281</v>
      </c>
      <c r="H71" s="42" t="n">
        <f aca="false">BOM_COEF!R297*DEMANDA!F10</f>
        <v>1155.581591395</v>
      </c>
      <c r="I71" s="42" t="n">
        <f aca="false">BOM_COEF!S297*DEMANDA!G10</f>
        <v>1983.971436146</v>
      </c>
      <c r="J71" s="42" t="n">
        <f aca="false">BOM_COEF!T297*DEMANDA!H10</f>
        <v>2552.277012733</v>
      </c>
      <c r="K71" s="42" t="n">
        <f aca="false">BOM_COEF!U297*DEMANDA!I10</f>
        <v>3411.581089287</v>
      </c>
      <c r="L71" s="42" t="n">
        <f aca="false">BOM_COEF!V297*DEMANDA!J10</f>
        <v>5289.808054069</v>
      </c>
      <c r="M71" s="42" t="n">
        <f aca="false">BOM_COEF!W297*DEMANDA!K10</f>
        <v>7192.20860519</v>
      </c>
      <c r="N71" s="42" t="n">
        <f aca="false">BOM_COEF!X297*DEMANDA!L10</f>
        <v>9253.26915933</v>
      </c>
      <c r="O71" s="42" t="n">
        <f aca="false">BOM_COEF!Y297*DEMANDA!M10</f>
        <v>11465.23248633</v>
      </c>
      <c r="P71" s="42" t="n">
        <f aca="false">BOM_COEF!Z297*DEMANDA!N10</f>
        <v>13358.13997665</v>
      </c>
      <c r="Q71" s="42" t="n">
        <f aca="false">BOM_COEF!AA297*DEMANDA!O10</f>
        <v>15382.1888192</v>
      </c>
      <c r="R71" s="24" t="s">
        <v>2697</v>
      </c>
    </row>
    <row r="72" customFormat="false" ht="15" hidden="false" customHeight="false" outlineLevel="1" collapsed="false">
      <c r="A72" s="24" t="n">
        <v>1</v>
      </c>
      <c r="B72" s="24" t="s">
        <v>988</v>
      </c>
      <c r="C72" s="40" t="s">
        <v>2698</v>
      </c>
      <c r="D72" s="24" t="s">
        <v>73</v>
      </c>
      <c r="E72" s="24" t="s">
        <v>255</v>
      </c>
      <c r="F72" s="41" t="n">
        <f aca="false">INDEX((BOM_COEF!R348~BOM_COEF!S348~BOM_COEF!T348~BOM_COEF!U348~BOM_COEF!V348~BOM_COEF!W348~BOM_COEF!X348~BOM_COEF!Y348~BOM_COEF!Z348~BOM_COEF!AA348),1,1,INDEX(P_VAL,MATCH("AÑO_DIS",P_ID,0))-2025)</f>
        <v>101</v>
      </c>
      <c r="G72" s="24" t="s">
        <v>2281</v>
      </c>
      <c r="H72" s="42" t="n">
        <f aca="false">BOM_COEF!R348*DEMANDA!F11</f>
        <v>1100.55389724</v>
      </c>
      <c r="I72" s="42" t="n">
        <f aca="false">BOM_COEF!S348*DEMANDA!G11</f>
        <v>1889.49660619</v>
      </c>
      <c r="J72" s="42" t="n">
        <f aca="false">BOM_COEF!T348*DEMANDA!H11</f>
        <v>2430.74001179</v>
      </c>
      <c r="K72" s="42" t="n">
        <f aca="false">BOM_COEF!U348*DEMANDA!I11</f>
        <v>3249.12484694</v>
      </c>
      <c r="L72" s="42" t="n">
        <f aca="false">BOM_COEF!V348*DEMANDA!J11</f>
        <v>5037.91243312</v>
      </c>
      <c r="M72" s="42" t="n">
        <f aca="false">BOM_COEF!W348*DEMANDA!K11</f>
        <v>6849.72248147</v>
      </c>
      <c r="N72" s="42" t="n">
        <f aca="false">BOM_COEF!X348*DEMANDA!L11</f>
        <v>8812.63729561</v>
      </c>
      <c r="O72" s="42" t="n">
        <f aca="false">BOM_COEF!Y348*DEMANDA!M11</f>
        <v>10919.2690346</v>
      </c>
      <c r="P72" s="42" t="n">
        <f aca="false">BOM_COEF!Z348*DEMANDA!N11</f>
        <v>12722.038073</v>
      </c>
      <c r="Q72" s="42" t="n">
        <f aca="false">BOM_COEF!AA348*DEMANDA!O11</f>
        <v>14649.7036306</v>
      </c>
      <c r="R72" s="24" t="s">
        <v>2699</v>
      </c>
    </row>
    <row r="73" customFormat="false" ht="15" hidden="false" customHeight="false" outlineLevel="0" collapsed="false">
      <c r="A73" s="38" t="n">
        <v>0</v>
      </c>
      <c r="B73" s="38" t="s">
        <v>573</v>
      </c>
      <c r="C73" s="38" t="s">
        <v>2070</v>
      </c>
      <c r="D73" s="38" t="s">
        <v>1778</v>
      </c>
      <c r="E73" s="38"/>
      <c r="F73" s="38"/>
      <c r="G73" s="38"/>
      <c r="H73" s="39" t="n">
        <f aca="false">SUM(H74:H77)</f>
        <v>44.4932218854725</v>
      </c>
      <c r="I73" s="39" t="n">
        <f aca="false">SUM(I74:I77)</f>
        <v>76.3886184720752</v>
      </c>
      <c r="J73" s="39" t="n">
        <f aca="false">SUM(J74:J77)</f>
        <v>98.2700211495966</v>
      </c>
      <c r="K73" s="39" t="n">
        <f aca="false">SUM(K74:K77)</f>
        <v>131.355704765957</v>
      </c>
      <c r="L73" s="39" t="n">
        <f aca="false">SUM(L74:L77)</f>
        <v>203.672856335507</v>
      </c>
      <c r="M73" s="39" t="n">
        <f aca="false">SUM(M74:M77)</f>
        <v>276.920760624579</v>
      </c>
      <c r="N73" s="39" t="n">
        <f aca="false">SUM(N74:N77)</f>
        <v>356.277532343477</v>
      </c>
      <c r="O73" s="39" t="n">
        <f aca="false">SUM(O74:O77)</f>
        <v>441.444495785071</v>
      </c>
      <c r="P73" s="39" t="n">
        <f aca="false">SUM(P74:P77)</f>
        <v>514.326889772664</v>
      </c>
      <c r="Q73" s="39" t="n">
        <f aca="false">SUM(Q74:Q77)</f>
        <v>592.25860379923</v>
      </c>
      <c r="R73" s="38"/>
    </row>
    <row r="74" customFormat="false" ht="15" hidden="false" customHeight="false" outlineLevel="1" collapsed="false">
      <c r="A74" s="24" t="n">
        <v>1</v>
      </c>
      <c r="B74" s="24" t="s">
        <v>573</v>
      </c>
      <c r="C74" s="40" t="s">
        <v>2700</v>
      </c>
      <c r="D74" s="24" t="s">
        <v>1778</v>
      </c>
      <c r="E74" s="24" t="s">
        <v>245</v>
      </c>
      <c r="F74" s="41" t="n">
        <f aca="false">INDEX((BOM_COEF!R199~BOM_COEF!S199~BOM_COEF!T199~BOM_COEF!U199~BOM_COEF!V199~BOM_COEF!W199~BOM_COEF!X199~BOM_COEF!Y199~BOM_COEF!Z199~BOM_COEF!AA199),1,1,INDEX(P_VAL,MATCH("AÑO_DIS",P_ID,0))-2025)</f>
        <v>0.209515686603281</v>
      </c>
      <c r="G74" s="24" t="s">
        <v>2281</v>
      </c>
      <c r="H74" s="42" t="n">
        <f aca="false">BOM_COEF!R199*DEMANDA!F8</f>
        <v>7.13438444686208</v>
      </c>
      <c r="I74" s="42" t="n">
        <f aca="false">BOM_COEF!S199*DEMANDA!G8</f>
        <v>12.248736963289</v>
      </c>
      <c r="J74" s="42" t="n">
        <f aca="false">BOM_COEF!T199*DEMANDA!H8</f>
        <v>15.75736889234</v>
      </c>
      <c r="K74" s="42" t="n">
        <f aca="false">BOM_COEF!U199*DEMANDA!I8</f>
        <v>21.0625811544704</v>
      </c>
      <c r="L74" s="42" t="n">
        <f aca="false">BOM_COEF!V199*DEMANDA!J8</f>
        <v>32.658467898278</v>
      </c>
      <c r="M74" s="42" t="n">
        <f aca="false">BOM_COEF!W199*DEMANDA!K8</f>
        <v>44.4035986578017</v>
      </c>
      <c r="N74" s="42" t="n">
        <f aca="false">BOM_COEF!X199*DEMANDA!L8</f>
        <v>57.1282720938016</v>
      </c>
      <c r="O74" s="42" t="n">
        <f aca="false">BOM_COEF!Y199*DEMANDA!M8</f>
        <v>70.7845962097163</v>
      </c>
      <c r="P74" s="42" t="n">
        <f aca="false">BOM_COEF!Z199*DEMANDA!N8</f>
        <v>82.4711182453091</v>
      </c>
      <c r="Q74" s="42" t="n">
        <f aca="false">BOM_COEF!AA199*DEMANDA!O8</f>
        <v>94.9672869804333</v>
      </c>
      <c r="R74" s="24" t="s">
        <v>2701</v>
      </c>
    </row>
    <row r="75" customFormat="false" ht="15" hidden="false" customHeight="false" outlineLevel="1" collapsed="false">
      <c r="A75" s="24" t="n">
        <v>1</v>
      </c>
      <c r="B75" s="24" t="s">
        <v>573</v>
      </c>
      <c r="C75" s="40" t="s">
        <v>2702</v>
      </c>
      <c r="D75" s="24" t="s">
        <v>1778</v>
      </c>
      <c r="E75" s="24" t="s">
        <v>249</v>
      </c>
      <c r="F75" s="41" t="n">
        <f aca="false">INDEX((BOM_COEF!R248~BOM_COEF!S248~BOM_COEF!T248~BOM_COEF!U248~BOM_COEF!V248~BOM_COEF!W248~BOM_COEF!X248~BOM_COEF!Y248~BOM_COEF!Z248~BOM_COEF!AA248),1,1,INDEX(P_VAL,MATCH("AÑO_DIS",P_ID,0))-2025)</f>
        <v>0.293387230928893</v>
      </c>
      <c r="G75" s="24" t="s">
        <v>2281</v>
      </c>
      <c r="H75" s="42" t="n">
        <f aca="false">BOM_COEF!R248*DEMANDA!F9</f>
        <v>21.9787937079605</v>
      </c>
      <c r="I75" s="42" t="n">
        <f aca="false">BOM_COEF!S248*DEMANDA!G9</f>
        <v>37.7345046228606</v>
      </c>
      <c r="J75" s="42" t="n">
        <f aca="false">BOM_COEF!T248*DEMANDA!H9</f>
        <v>48.5434956441707</v>
      </c>
      <c r="K75" s="42" t="n">
        <f aca="false">BOM_COEF!U248*DEMANDA!I9</f>
        <v>64.8871854048503</v>
      </c>
      <c r="L75" s="42" t="n">
        <f aca="false">BOM_COEF!V248*DEMANDA!J9</f>
        <v>100.61046387728</v>
      </c>
      <c r="M75" s="42" t="n">
        <f aca="false">BOM_COEF!W248*DEMANDA!K9</f>
        <v>136.793516256544</v>
      </c>
      <c r="N75" s="42" t="n">
        <f aca="false">BOM_COEF!X248*DEMANDA!L9</f>
        <v>175.994231340733</v>
      </c>
      <c r="O75" s="42" t="n">
        <f aca="false">BOM_COEF!Y248*DEMANDA!M9</f>
        <v>218.0650691509</v>
      </c>
      <c r="P75" s="42" t="n">
        <f aca="false">BOM_COEF!Z248*DEMANDA!N9</f>
        <v>254.067566451409</v>
      </c>
      <c r="Q75" s="42" t="n">
        <f aca="false">BOM_COEF!AA248*DEMANDA!O9</f>
        <v>292.564330531467</v>
      </c>
      <c r="R75" s="24" t="s">
        <v>2703</v>
      </c>
    </row>
    <row r="76" customFormat="false" ht="15" hidden="false" customHeight="false" outlineLevel="1" collapsed="false">
      <c r="A76" s="24" t="n">
        <v>1</v>
      </c>
      <c r="B76" s="24" t="s">
        <v>573</v>
      </c>
      <c r="C76" s="40" t="s">
        <v>2704</v>
      </c>
      <c r="D76" s="24" t="s">
        <v>1778</v>
      </c>
      <c r="E76" s="24" t="s">
        <v>252</v>
      </c>
      <c r="F76" s="41" t="n">
        <f aca="false">INDEX((BOM_COEF!R298~BOM_COEF!S298~BOM_COEF!T298~BOM_COEF!U298~BOM_COEF!V298~BOM_COEF!W298~BOM_COEF!X298~BOM_COEF!Y298~BOM_COEF!Z298~BOM_COEF!AA298),1,1,INDEX(P_VAL,MATCH("AÑO_DIS",P_ID,0))-2025)</f>
        <v>0.580900190270779</v>
      </c>
      <c r="G76" s="24" t="s">
        <v>2281</v>
      </c>
      <c r="H76" s="42" t="n">
        <f aca="false">BOM_COEF!R298*DEMANDA!F10</f>
        <v>9.49473219681422</v>
      </c>
      <c r="I76" s="42" t="n">
        <f aca="false">BOM_COEF!S298*DEMANDA!G10</f>
        <v>16.3011228394484</v>
      </c>
      <c r="J76" s="42" t="n">
        <f aca="false">BOM_COEF!T298*DEMANDA!H10</f>
        <v>20.970554488265</v>
      </c>
      <c r="K76" s="42" t="n">
        <f aca="false">BOM_COEF!U298*DEMANDA!I10</f>
        <v>28.0309491356579</v>
      </c>
      <c r="L76" s="42" t="n">
        <f aca="false">BOM_COEF!V298*DEMANDA!J10</f>
        <v>43.4632320382544</v>
      </c>
      <c r="M76" s="42" t="n">
        <f aca="false">BOM_COEF!W298*DEMANDA!K10</f>
        <v>59.0941350385008</v>
      </c>
      <c r="N76" s="42" t="n">
        <f aca="false">BOM_COEF!X298*DEMANDA!L10</f>
        <v>76.0286536814927</v>
      </c>
      <c r="O76" s="42" t="n">
        <f aca="false">BOM_COEF!Y298*DEMANDA!M10</f>
        <v>94.2030513834203</v>
      </c>
      <c r="P76" s="42" t="n">
        <f aca="false">BOM_COEF!Z298*DEMANDA!N10</f>
        <v>109.755955503532</v>
      </c>
      <c r="Q76" s="42" t="n">
        <f aca="false">BOM_COEF!AA298*DEMANDA!O10</f>
        <v>126.386370747586</v>
      </c>
      <c r="R76" s="24" t="s">
        <v>2705</v>
      </c>
    </row>
    <row r="77" customFormat="false" ht="15" hidden="false" customHeight="false" outlineLevel="1" collapsed="false">
      <c r="A77" s="24" t="n">
        <v>1</v>
      </c>
      <c r="B77" s="24" t="s">
        <v>573</v>
      </c>
      <c r="C77" s="40" t="s">
        <v>2706</v>
      </c>
      <c r="D77" s="24" t="s">
        <v>1778</v>
      </c>
      <c r="E77" s="24" t="s">
        <v>255</v>
      </c>
      <c r="F77" s="41" t="n">
        <f aca="false">INDEX((BOM_COEF!R349~BOM_COEF!S349~BOM_COEF!T349~BOM_COEF!U349~BOM_COEF!V349~BOM_COEF!W349~BOM_COEF!X349~BOM_COEF!Y349~BOM_COEF!Z349~BOM_COEF!AA349),1,1,INDEX(P_VAL,MATCH("AÑO_DIS",P_ID,0))-2025)</f>
        <v>0.540106637583224</v>
      </c>
      <c r="G77" s="24" t="s">
        <v>2281</v>
      </c>
      <c r="H77" s="42" t="n">
        <f aca="false">BOM_COEF!R349*DEMANDA!F11</f>
        <v>5.88531153383574</v>
      </c>
      <c r="I77" s="42" t="n">
        <f aca="false">BOM_COEF!S349*DEMANDA!G11</f>
        <v>10.1042540464772</v>
      </c>
      <c r="J77" s="42" t="n">
        <f aca="false">BOM_COEF!T349*DEMANDA!H11</f>
        <v>12.9986021248208</v>
      </c>
      <c r="K77" s="42" t="n">
        <f aca="false">BOM_COEF!U349*DEMANDA!I11</f>
        <v>17.3749890709789</v>
      </c>
      <c r="L77" s="42" t="n">
        <f aca="false">BOM_COEF!V349*DEMANDA!J11</f>
        <v>26.9406925216947</v>
      </c>
      <c r="M77" s="42" t="n">
        <f aca="false">BOM_COEF!W349*DEMANDA!K11</f>
        <v>36.6295106717325</v>
      </c>
      <c r="N77" s="42" t="n">
        <f aca="false">BOM_COEF!X349*DEMANDA!L11</f>
        <v>47.1263752274499</v>
      </c>
      <c r="O77" s="42" t="n">
        <f aca="false">BOM_COEF!Y349*DEMANDA!M11</f>
        <v>58.3917790410339</v>
      </c>
      <c r="P77" s="42" t="n">
        <f aca="false">BOM_COEF!Z349*DEMANDA!N11</f>
        <v>68.0322495724138</v>
      </c>
      <c r="Q77" s="42" t="n">
        <f aca="false">BOM_COEF!AA349*DEMANDA!O11</f>
        <v>78.3406155397437</v>
      </c>
      <c r="R77" s="24" t="s">
        <v>2707</v>
      </c>
    </row>
    <row r="78" customFormat="false" ht="15" hidden="false" customHeight="false" outlineLevel="0" collapsed="false">
      <c r="A78" s="38" t="n">
        <v>0</v>
      </c>
      <c r="B78" s="38" t="s">
        <v>1839</v>
      </c>
      <c r="C78" s="38" t="s">
        <v>2086</v>
      </c>
      <c r="D78" s="38" t="s">
        <v>73</v>
      </c>
      <c r="E78" s="38"/>
      <c r="F78" s="38"/>
      <c r="G78" s="38"/>
      <c r="H78" s="39" t="n">
        <f aca="false">SUM(H79:H114)</f>
        <v>69.75931702849</v>
      </c>
      <c r="I78" s="39" t="n">
        <f aca="false">SUM(I79:I114)</f>
        <v>119.766958370569</v>
      </c>
      <c r="J78" s="39" t="n">
        <f aca="false">SUM(J79:J114)</f>
        <v>174.711880024102</v>
      </c>
      <c r="K78" s="39" t="n">
        <f aca="false">SUM(K79:K114)</f>
        <v>277.850449446078</v>
      </c>
      <c r="L78" s="39" t="n">
        <f aca="false">SUM(L79:L114)</f>
        <v>452.487621785906</v>
      </c>
      <c r="M78" s="39" t="n">
        <f aca="false">SUM(M79:M114)</f>
        <v>627.138607722</v>
      </c>
      <c r="N78" s="39" t="n">
        <f aca="false">SUM(N79:N114)</f>
        <v>831.21970646692</v>
      </c>
      <c r="O78" s="39" t="n">
        <f aca="false">SUM(O79:O114)</f>
        <v>1044.41039514019</v>
      </c>
      <c r="P78" s="39" t="n">
        <f aca="false">SUM(P79:P114)</f>
        <v>1201.37731066411</v>
      </c>
      <c r="Q78" s="39" t="n">
        <f aca="false">SUM(Q79:Q114)</f>
        <v>1387.60949286517</v>
      </c>
      <c r="R78" s="38"/>
    </row>
    <row r="79" customFormat="false" ht="15" hidden="false" customHeight="false" outlineLevel="1" collapsed="false">
      <c r="A79" s="24" t="n">
        <v>1</v>
      </c>
      <c r="B79" s="24" t="s">
        <v>1839</v>
      </c>
      <c r="C79" s="40" t="s">
        <v>2708</v>
      </c>
      <c r="D79" s="24" t="s">
        <v>73</v>
      </c>
      <c r="E79" s="24" t="s">
        <v>245</v>
      </c>
      <c r="F79" s="41" t="n">
        <f aca="false">PROCESO!$I$57</f>
        <v>0.006</v>
      </c>
      <c r="G79" s="24" t="s">
        <v>2281</v>
      </c>
      <c r="H79" s="42" t="n">
        <f aca="false">PROCESO!$I$57*DEMANDA!F8</f>
        <v>0.20431074816</v>
      </c>
      <c r="I79" s="42" t="n">
        <f aca="false">PROCESO!$I$57*DEMANDA!G8</f>
        <v>0.3507728847</v>
      </c>
      <c r="J79" s="42" t="n">
        <f aca="false">PROCESO!$I$57*DEMANDA!H8</f>
        <v>0.45125123988</v>
      </c>
      <c r="K79" s="42" t="n">
        <f aca="false">PROCESO!$I$57*DEMANDA!I8</f>
        <v>0.6031791174</v>
      </c>
      <c r="L79" s="42" t="n">
        <f aca="false">PROCESO!$I$57*DEMANDA!J8</f>
        <v>0.935256021</v>
      </c>
      <c r="M79" s="42" t="n">
        <f aca="false">PROCESO!$I$57*DEMANDA!K8</f>
        <v>1.2716068962</v>
      </c>
      <c r="N79" s="42" t="n">
        <f aca="false">PROCESO!$I$57*DEMANDA!L8</f>
        <v>1.6360093992</v>
      </c>
      <c r="O79" s="42" t="n">
        <f aca="false">PROCESO!$I$57*DEMANDA!M8</f>
        <v>2.0270920242</v>
      </c>
      <c r="P79" s="42" t="n">
        <f aca="false">PROCESO!$I$57*DEMANDA!N8</f>
        <v>2.3617644936</v>
      </c>
      <c r="Q79" s="42" t="n">
        <f aca="false">PROCESO!$I$57*DEMANDA!O8</f>
        <v>2.7196231992</v>
      </c>
      <c r="R79" s="24" t="s">
        <v>2709</v>
      </c>
    </row>
    <row r="80" customFormat="false" ht="15" hidden="false" customHeight="false" outlineLevel="1" collapsed="false">
      <c r="A80" s="24" t="n">
        <v>1</v>
      </c>
      <c r="B80" s="24" t="s">
        <v>1839</v>
      </c>
      <c r="C80" s="40" t="s">
        <v>2710</v>
      </c>
      <c r="D80" s="24" t="s">
        <v>73</v>
      </c>
      <c r="E80" s="24" t="s">
        <v>245</v>
      </c>
      <c r="F80" s="41" t="n">
        <f aca="false">PROCESO!$I$59</f>
        <v>0.048</v>
      </c>
      <c r="G80" s="24" t="s">
        <v>2281</v>
      </c>
      <c r="H80" s="42" t="n">
        <f aca="false">PROCESO!$I$59*DEMANDA!F8</f>
        <v>1.63448598528</v>
      </c>
      <c r="I80" s="42" t="n">
        <f aca="false">PROCESO!$I$59*DEMANDA!G8</f>
        <v>2.8061830776</v>
      </c>
      <c r="J80" s="42" t="n">
        <f aca="false">PROCESO!$I$59*DEMANDA!H8</f>
        <v>3.61000991904</v>
      </c>
      <c r="K80" s="42" t="n">
        <f aca="false">PROCESO!$I$59*DEMANDA!I8</f>
        <v>4.8254329392</v>
      </c>
      <c r="L80" s="42" t="n">
        <f aca="false">PROCESO!$I$59*DEMANDA!J8</f>
        <v>7.482048168</v>
      </c>
      <c r="M80" s="42" t="n">
        <f aca="false">PROCESO!$I$59*DEMANDA!K8</f>
        <v>10.1728551696</v>
      </c>
      <c r="N80" s="42" t="n">
        <f aca="false">PROCESO!$I$59*DEMANDA!L8</f>
        <v>13.0880751936</v>
      </c>
      <c r="O80" s="42" t="n">
        <f aca="false">PROCESO!$I$59*DEMANDA!M8</f>
        <v>16.2167361936</v>
      </c>
      <c r="P80" s="42" t="n">
        <f aca="false">PROCESO!$I$59*DEMANDA!N8</f>
        <v>18.8941159488</v>
      </c>
      <c r="Q80" s="42" t="n">
        <f aca="false">PROCESO!$I$59*DEMANDA!O8</f>
        <v>21.7569855936</v>
      </c>
      <c r="R80" s="24" t="s">
        <v>2711</v>
      </c>
    </row>
    <row r="81" customFormat="false" ht="15" hidden="false" customHeight="false" outlineLevel="1" collapsed="false">
      <c r="A81" s="24" t="n">
        <v>1</v>
      </c>
      <c r="B81" s="24" t="s">
        <v>1839</v>
      </c>
      <c r="C81" s="40" t="s">
        <v>2712</v>
      </c>
      <c r="D81" s="24" t="s">
        <v>73</v>
      </c>
      <c r="E81" s="24" t="s">
        <v>245</v>
      </c>
      <c r="F81" s="41" t="n">
        <f aca="false">PROCESO!$I$61</f>
        <v>0.0105</v>
      </c>
      <c r="G81" s="24" t="s">
        <v>2281</v>
      </c>
      <c r="H81" s="42" t="n">
        <f aca="false">PROCESO!$I$61*DEMANDA!F8</f>
        <v>0.35754380928</v>
      </c>
      <c r="I81" s="42" t="n">
        <f aca="false">PROCESO!$I$61*DEMANDA!G8</f>
        <v>0.613852548225</v>
      </c>
      <c r="J81" s="42" t="n">
        <f aca="false">PROCESO!$I$61*DEMANDA!H8</f>
        <v>0.78968966979</v>
      </c>
      <c r="K81" s="42" t="n">
        <f aca="false">PROCESO!$I$61*DEMANDA!I8</f>
        <v>1.05556345545</v>
      </c>
      <c r="L81" s="42" t="n">
        <f aca="false">PROCESO!$I$61*DEMANDA!J8</f>
        <v>1.63669803675</v>
      </c>
      <c r="M81" s="42" t="n">
        <f aca="false">PROCESO!$I$61*DEMANDA!K8</f>
        <v>2.22531206835</v>
      </c>
      <c r="N81" s="42" t="n">
        <f aca="false">PROCESO!$I$61*DEMANDA!L8</f>
        <v>2.8630164486</v>
      </c>
      <c r="O81" s="42" t="n">
        <f aca="false">PROCESO!$I$61*DEMANDA!M8</f>
        <v>3.54741104235</v>
      </c>
      <c r="P81" s="42" t="n">
        <f aca="false">PROCESO!$I$61*DEMANDA!N8</f>
        <v>4.1330878638</v>
      </c>
      <c r="Q81" s="42" t="n">
        <f aca="false">PROCESO!$I$61*DEMANDA!O8</f>
        <v>4.7593405986</v>
      </c>
      <c r="R81" s="24" t="s">
        <v>2713</v>
      </c>
    </row>
    <row r="82" customFormat="false" ht="15" hidden="false" customHeight="false" outlineLevel="1" collapsed="false">
      <c r="A82" s="24" t="n">
        <v>1</v>
      </c>
      <c r="B82" s="24" t="s">
        <v>1839</v>
      </c>
      <c r="C82" s="40" t="s">
        <v>2714</v>
      </c>
      <c r="D82" s="24" t="s">
        <v>73</v>
      </c>
      <c r="E82" s="24" t="s">
        <v>245</v>
      </c>
      <c r="F82" s="41" t="n">
        <f aca="false">PROCESO!$I$63</f>
        <v>0.19</v>
      </c>
      <c r="G82" s="24" t="s">
        <v>2281</v>
      </c>
      <c r="H82" s="42" t="n">
        <f aca="false">PROCESO!$I$63*DEMANDA!F8</f>
        <v>6.4698403584</v>
      </c>
      <c r="I82" s="42" t="n">
        <f aca="false">PROCESO!$I$63*DEMANDA!G8</f>
        <v>11.1078080155</v>
      </c>
      <c r="J82" s="42" t="n">
        <f aca="false">PROCESO!$I$63*DEMANDA!H8</f>
        <v>14.2896225962</v>
      </c>
      <c r="K82" s="42" t="n">
        <f aca="false">PROCESO!$I$63*DEMANDA!I8</f>
        <v>19.100672051</v>
      </c>
      <c r="L82" s="42" t="n">
        <f aca="false">PROCESO!$I$63*DEMANDA!J8</f>
        <v>29.616440665</v>
      </c>
      <c r="M82" s="42" t="n">
        <f aca="false">PROCESO!$I$63*DEMANDA!K8</f>
        <v>40.267551713</v>
      </c>
      <c r="N82" s="42" t="n">
        <f aca="false">PROCESO!$I$63*DEMANDA!L8</f>
        <v>51.806964308</v>
      </c>
      <c r="O82" s="42" t="n">
        <f aca="false">PROCESO!$I$63*DEMANDA!M8</f>
        <v>64.191247433</v>
      </c>
      <c r="P82" s="42" t="n">
        <f aca="false">PROCESO!$I$63*DEMANDA!N8</f>
        <v>74.789208964</v>
      </c>
      <c r="Q82" s="42" t="n">
        <f aca="false">PROCESO!$I$63*DEMANDA!O8</f>
        <v>86.121401308</v>
      </c>
      <c r="R82" s="24" t="s">
        <v>2715</v>
      </c>
    </row>
    <row r="83" customFormat="false" ht="15" hidden="false" customHeight="false" outlineLevel="1" collapsed="false">
      <c r="A83" s="24" t="n">
        <v>1</v>
      </c>
      <c r="B83" s="24" t="s">
        <v>1839</v>
      </c>
      <c r="C83" s="40" t="s">
        <v>2716</v>
      </c>
      <c r="D83" s="24" t="s">
        <v>73</v>
      </c>
      <c r="E83" s="24" t="s">
        <v>245</v>
      </c>
      <c r="F83" s="41" t="n">
        <f aca="false">PROCESO!$I$65</f>
        <v>0.141</v>
      </c>
      <c r="G83" s="24" t="s">
        <v>2281</v>
      </c>
      <c r="H83" s="42" t="n">
        <f aca="false">PROCESO!$I$65*DEMANDA!F8</f>
        <v>4.80130258176</v>
      </c>
      <c r="I83" s="42" t="n">
        <f aca="false">PROCESO!$I$65*DEMANDA!G8</f>
        <v>8.24316279045</v>
      </c>
      <c r="J83" s="42" t="n">
        <f aca="false">PROCESO!$I$65*DEMANDA!H8</f>
        <v>10.60440413718</v>
      </c>
      <c r="K83" s="42" t="n">
        <f aca="false">PROCESO!$I$65*DEMANDA!I8</f>
        <v>14.1747092589</v>
      </c>
      <c r="L83" s="42" t="n">
        <f aca="false">PROCESO!$I$65*DEMANDA!J8</f>
        <v>21.9785164935</v>
      </c>
      <c r="M83" s="42" t="n">
        <f aca="false">PROCESO!$I$65*DEMANDA!K8</f>
        <v>29.8827620607</v>
      </c>
      <c r="N83" s="42" t="n">
        <f aca="false">PROCESO!$I$65*DEMANDA!L8</f>
        <v>38.4462208812</v>
      </c>
      <c r="O83" s="42" t="n">
        <f aca="false">PROCESO!$I$65*DEMANDA!M8</f>
        <v>47.6366625687</v>
      </c>
      <c r="P83" s="42" t="n">
        <f aca="false">PROCESO!$I$65*DEMANDA!N8</f>
        <v>55.5014655996</v>
      </c>
      <c r="Q83" s="42" t="n">
        <f aca="false">PROCESO!$I$65*DEMANDA!O8</f>
        <v>63.9111451812</v>
      </c>
      <c r="R83" s="24" t="s">
        <v>2717</v>
      </c>
    </row>
    <row r="84" customFormat="false" ht="15" hidden="false" customHeight="false" outlineLevel="1" collapsed="false">
      <c r="A84" s="24" t="n">
        <v>1</v>
      </c>
      <c r="B84" s="24" t="s">
        <v>1839</v>
      </c>
      <c r="C84" s="40" t="s">
        <v>2718</v>
      </c>
      <c r="D84" s="24" t="s">
        <v>73</v>
      </c>
      <c r="E84" s="24" t="s">
        <v>270</v>
      </c>
      <c r="F84" s="41" t="n">
        <f aca="false">PROCESO!$I$57</f>
        <v>0.006</v>
      </c>
      <c r="G84" s="24" t="s">
        <v>2281</v>
      </c>
      <c r="H84" s="42" t="n">
        <f aca="false">PROCESO!$I$57*DEMANDA!F16</f>
        <v>0</v>
      </c>
      <c r="I84" s="42" t="n">
        <f aca="false">PROCESO!$I$57*DEMANDA!G16</f>
        <v>0</v>
      </c>
      <c r="J84" s="42" t="n">
        <f aca="false">PROCESO!$I$57*DEMANDA!H16</f>
        <v>0.0864</v>
      </c>
      <c r="K84" s="42" t="n">
        <f aca="false">PROCESO!$I$57*DEMANDA!I16</f>
        <v>0.3012</v>
      </c>
      <c r="L84" s="42" t="n">
        <f aca="false">PROCESO!$I$57*DEMANDA!J16</f>
        <v>0.558</v>
      </c>
      <c r="M84" s="42" t="n">
        <f aca="false">PROCESO!$I$57*DEMANDA!K16</f>
        <v>0.81</v>
      </c>
      <c r="N84" s="42" t="n">
        <f aca="false">PROCESO!$I$57*DEMANDA!L16</f>
        <v>1.146</v>
      </c>
      <c r="O84" s="42" t="n">
        <f aca="false">PROCESO!$I$57*DEMANDA!M16</f>
        <v>1.482</v>
      </c>
      <c r="P84" s="42" t="n">
        <f aca="false">PROCESO!$I$57*DEMANDA!N16</f>
        <v>1.662</v>
      </c>
      <c r="Q84" s="42" t="n">
        <f aca="false">PROCESO!$I$57*DEMANDA!O16</f>
        <v>1.932</v>
      </c>
      <c r="R84" s="24" t="s">
        <v>2709</v>
      </c>
    </row>
    <row r="85" customFormat="false" ht="15" hidden="false" customHeight="false" outlineLevel="1" collapsed="false">
      <c r="A85" s="24" t="n">
        <v>1</v>
      </c>
      <c r="B85" s="24" t="s">
        <v>1839</v>
      </c>
      <c r="C85" s="40" t="s">
        <v>2719</v>
      </c>
      <c r="D85" s="24" t="s">
        <v>73</v>
      </c>
      <c r="E85" s="24" t="s">
        <v>270</v>
      </c>
      <c r="F85" s="41" t="n">
        <f aca="false">PROCESO!$I$59</f>
        <v>0.048</v>
      </c>
      <c r="G85" s="24" t="s">
        <v>2281</v>
      </c>
      <c r="H85" s="42" t="n">
        <f aca="false">PROCESO!$I$59*DEMANDA!F16</f>
        <v>0</v>
      </c>
      <c r="I85" s="42" t="n">
        <f aca="false">PROCESO!$I$59*DEMANDA!G16</f>
        <v>0</v>
      </c>
      <c r="J85" s="42" t="n">
        <f aca="false">PROCESO!$I$59*DEMANDA!H16</f>
        <v>0.6912</v>
      </c>
      <c r="K85" s="42" t="n">
        <f aca="false">PROCESO!$I$59*DEMANDA!I16</f>
        <v>2.4096</v>
      </c>
      <c r="L85" s="42" t="n">
        <f aca="false">PROCESO!$I$59*DEMANDA!J16</f>
        <v>4.464</v>
      </c>
      <c r="M85" s="42" t="n">
        <f aca="false">PROCESO!$I$59*DEMANDA!K16</f>
        <v>6.48</v>
      </c>
      <c r="N85" s="42" t="n">
        <f aca="false">PROCESO!$I$59*DEMANDA!L16</f>
        <v>9.168</v>
      </c>
      <c r="O85" s="42" t="n">
        <f aca="false">PROCESO!$I$59*DEMANDA!M16</f>
        <v>11.856</v>
      </c>
      <c r="P85" s="42" t="n">
        <f aca="false">PROCESO!$I$59*DEMANDA!N16</f>
        <v>13.296</v>
      </c>
      <c r="Q85" s="42" t="n">
        <f aca="false">PROCESO!$I$59*DEMANDA!O16</f>
        <v>15.456</v>
      </c>
      <c r="R85" s="24" t="s">
        <v>2711</v>
      </c>
    </row>
    <row r="86" customFormat="false" ht="15" hidden="false" customHeight="false" outlineLevel="1" collapsed="false">
      <c r="A86" s="24" t="n">
        <v>1</v>
      </c>
      <c r="B86" s="24" t="s">
        <v>1839</v>
      </c>
      <c r="C86" s="40" t="s">
        <v>2720</v>
      </c>
      <c r="D86" s="24" t="s">
        <v>73</v>
      </c>
      <c r="E86" s="24" t="s">
        <v>270</v>
      </c>
      <c r="F86" s="41" t="n">
        <f aca="false">PROCESO!$I$61</f>
        <v>0.0105</v>
      </c>
      <c r="G86" s="24" t="s">
        <v>2281</v>
      </c>
      <c r="H86" s="42" t="n">
        <f aca="false">PROCESO!$I$61*DEMANDA!F16</f>
        <v>0</v>
      </c>
      <c r="I86" s="42" t="n">
        <f aca="false">PROCESO!$I$61*DEMANDA!G16</f>
        <v>0</v>
      </c>
      <c r="J86" s="42" t="n">
        <f aca="false">PROCESO!$I$61*DEMANDA!H16</f>
        <v>0.1512</v>
      </c>
      <c r="K86" s="42" t="n">
        <f aca="false">PROCESO!$I$61*DEMANDA!I16</f>
        <v>0.5271</v>
      </c>
      <c r="L86" s="42" t="n">
        <f aca="false">PROCESO!$I$61*DEMANDA!J16</f>
        <v>0.9765</v>
      </c>
      <c r="M86" s="42" t="n">
        <f aca="false">PROCESO!$I$61*DEMANDA!K16</f>
        <v>1.4175</v>
      </c>
      <c r="N86" s="42" t="n">
        <f aca="false">PROCESO!$I$61*DEMANDA!L16</f>
        <v>2.0055</v>
      </c>
      <c r="O86" s="42" t="n">
        <f aca="false">PROCESO!$I$61*DEMANDA!M16</f>
        <v>2.5935</v>
      </c>
      <c r="P86" s="42" t="n">
        <f aca="false">PROCESO!$I$61*DEMANDA!N16</f>
        <v>2.9085</v>
      </c>
      <c r="Q86" s="42" t="n">
        <f aca="false">PROCESO!$I$61*DEMANDA!O16</f>
        <v>3.381</v>
      </c>
      <c r="R86" s="24" t="s">
        <v>2713</v>
      </c>
    </row>
    <row r="87" customFormat="false" ht="15" hidden="false" customHeight="false" outlineLevel="1" collapsed="false">
      <c r="A87" s="24" t="n">
        <v>1</v>
      </c>
      <c r="B87" s="24" t="s">
        <v>1839</v>
      </c>
      <c r="C87" s="40" t="s">
        <v>2721</v>
      </c>
      <c r="D87" s="24" t="s">
        <v>73</v>
      </c>
      <c r="E87" s="24" t="s">
        <v>270</v>
      </c>
      <c r="F87" s="41" t="n">
        <f aca="false">PROCESO!$I$63</f>
        <v>0.19</v>
      </c>
      <c r="G87" s="24" t="s">
        <v>2281</v>
      </c>
      <c r="H87" s="42" t="n">
        <f aca="false">PROCESO!$I$63*DEMANDA!F16</f>
        <v>0</v>
      </c>
      <c r="I87" s="42" t="n">
        <f aca="false">PROCESO!$I$63*DEMANDA!G16</f>
        <v>0</v>
      </c>
      <c r="J87" s="42" t="n">
        <f aca="false">PROCESO!$I$63*DEMANDA!H16</f>
        <v>2.736</v>
      </c>
      <c r="K87" s="42" t="n">
        <f aca="false">PROCESO!$I$63*DEMANDA!I16</f>
        <v>9.538</v>
      </c>
      <c r="L87" s="42" t="n">
        <f aca="false">PROCESO!$I$63*DEMANDA!J16</f>
        <v>17.67</v>
      </c>
      <c r="M87" s="42" t="n">
        <f aca="false">PROCESO!$I$63*DEMANDA!K16</f>
        <v>25.65</v>
      </c>
      <c r="N87" s="42" t="n">
        <f aca="false">PROCESO!$I$63*DEMANDA!L16</f>
        <v>36.29</v>
      </c>
      <c r="O87" s="42" t="n">
        <f aca="false">PROCESO!$I$63*DEMANDA!M16</f>
        <v>46.93</v>
      </c>
      <c r="P87" s="42" t="n">
        <f aca="false">PROCESO!$I$63*DEMANDA!N16</f>
        <v>52.63</v>
      </c>
      <c r="Q87" s="42" t="n">
        <f aca="false">PROCESO!$I$63*DEMANDA!O16</f>
        <v>61.18</v>
      </c>
      <c r="R87" s="24" t="s">
        <v>2715</v>
      </c>
    </row>
    <row r="88" customFormat="false" ht="15" hidden="false" customHeight="false" outlineLevel="1" collapsed="false">
      <c r="A88" s="24" t="n">
        <v>1</v>
      </c>
      <c r="B88" s="24" t="s">
        <v>1839</v>
      </c>
      <c r="C88" s="40" t="s">
        <v>2722</v>
      </c>
      <c r="D88" s="24" t="s">
        <v>73</v>
      </c>
      <c r="E88" s="24" t="s">
        <v>249</v>
      </c>
      <c r="F88" s="41" t="n">
        <f aca="false">PROCESO!$I$80</f>
        <v>0.0072</v>
      </c>
      <c r="G88" s="24" t="s">
        <v>2281</v>
      </c>
      <c r="H88" s="42" t="n">
        <f aca="false">PROCESO!$I$80*DEMANDA!F9</f>
        <v>0.5393803752</v>
      </c>
      <c r="I88" s="42" t="n">
        <f aca="false">PROCESO!$I$80*DEMANDA!G9</f>
        <v>0.92604041568</v>
      </c>
      <c r="J88" s="42" t="n">
        <f aca="false">PROCESO!$I$80*DEMANDA!H9</f>
        <v>1.1913032736</v>
      </c>
      <c r="K88" s="42" t="n">
        <f aca="false">PROCESO!$I$80*DEMANDA!I9</f>
        <v>1.5923928708</v>
      </c>
      <c r="L88" s="42" t="n">
        <f aca="false">PROCESO!$I$80*DEMANDA!J9</f>
        <v>2.46907589544</v>
      </c>
      <c r="M88" s="42" t="n">
        <f aca="false">PROCESO!$I$80*DEMANDA!K9</f>
        <v>3.3570422064</v>
      </c>
      <c r="N88" s="42" t="n">
        <f aca="false">PROCESO!$I$80*DEMANDA!L9</f>
        <v>4.31906481288</v>
      </c>
      <c r="O88" s="42" t="n">
        <f aca="false">PROCESO!$I$80*DEMANDA!M9</f>
        <v>5.35152294432</v>
      </c>
      <c r="P88" s="42" t="n">
        <f aca="false">PROCESO!$I$80*DEMANDA!N9</f>
        <v>6.23505826296</v>
      </c>
      <c r="Q88" s="42" t="n">
        <f aca="false">PROCESO!$I$80*DEMANDA!O9</f>
        <v>7.17980524632</v>
      </c>
      <c r="R88" s="24" t="s">
        <v>2723</v>
      </c>
    </row>
    <row r="89" customFormat="false" ht="15" hidden="false" customHeight="false" outlineLevel="1" collapsed="false">
      <c r="A89" s="24" t="n">
        <v>1</v>
      </c>
      <c r="B89" s="24" t="s">
        <v>1839</v>
      </c>
      <c r="C89" s="40" t="s">
        <v>2724</v>
      </c>
      <c r="D89" s="24" t="s">
        <v>73</v>
      </c>
      <c r="E89" s="24" t="s">
        <v>249</v>
      </c>
      <c r="F89" s="41" t="n">
        <f aca="false">PROCESO!$I$82</f>
        <v>0.063</v>
      </c>
      <c r="G89" s="24" t="s">
        <v>2281</v>
      </c>
      <c r="H89" s="42" t="n">
        <f aca="false">PROCESO!$I$82*DEMANDA!F9</f>
        <v>4.719578283</v>
      </c>
      <c r="I89" s="42" t="n">
        <f aca="false">PROCESO!$I$82*DEMANDA!G9</f>
        <v>8.1028536372</v>
      </c>
      <c r="J89" s="42" t="n">
        <f aca="false">PROCESO!$I$82*DEMANDA!H9</f>
        <v>10.423903644</v>
      </c>
      <c r="K89" s="42" t="n">
        <f aca="false">PROCESO!$I$82*DEMANDA!I9</f>
        <v>13.9334376195</v>
      </c>
      <c r="L89" s="42" t="n">
        <f aca="false">PROCESO!$I$82*DEMANDA!J9</f>
        <v>21.6044140851</v>
      </c>
      <c r="M89" s="42" t="n">
        <f aca="false">PROCESO!$I$82*DEMANDA!K9</f>
        <v>29.374119306</v>
      </c>
      <c r="N89" s="42" t="n">
        <f aca="false">PROCESO!$I$82*DEMANDA!L9</f>
        <v>37.7918171127</v>
      </c>
      <c r="O89" s="42" t="n">
        <f aca="false">PROCESO!$I$82*DEMANDA!M9</f>
        <v>46.8258257628</v>
      </c>
      <c r="P89" s="42" t="n">
        <f aca="false">PROCESO!$I$82*DEMANDA!N9</f>
        <v>54.5567598009</v>
      </c>
      <c r="Q89" s="42" t="n">
        <f aca="false">PROCESO!$I$82*DEMANDA!O9</f>
        <v>62.8232959053</v>
      </c>
      <c r="R89" s="24" t="s">
        <v>2725</v>
      </c>
    </row>
    <row r="90" customFormat="false" ht="15" hidden="false" customHeight="false" outlineLevel="1" collapsed="false">
      <c r="A90" s="24" t="n">
        <v>1</v>
      </c>
      <c r="B90" s="24" t="s">
        <v>1839</v>
      </c>
      <c r="C90" s="40" t="s">
        <v>2726</v>
      </c>
      <c r="D90" s="24" t="s">
        <v>73</v>
      </c>
      <c r="E90" s="24" t="s">
        <v>249</v>
      </c>
      <c r="F90" s="41" t="n">
        <f aca="false">PROCESO!$I$84</f>
        <v>0.0105</v>
      </c>
      <c r="G90" s="24" t="s">
        <v>2281</v>
      </c>
      <c r="H90" s="42" t="n">
        <f aca="false">PROCESO!$I$84*DEMANDA!F9</f>
        <v>0.7865963805</v>
      </c>
      <c r="I90" s="42" t="n">
        <f aca="false">PROCESO!$I$84*DEMANDA!G9</f>
        <v>1.3504756062</v>
      </c>
      <c r="J90" s="42" t="n">
        <f aca="false">PROCESO!$I$84*DEMANDA!H9</f>
        <v>1.737317274</v>
      </c>
      <c r="K90" s="42" t="n">
        <f aca="false">PROCESO!$I$84*DEMANDA!I9</f>
        <v>2.32223960325</v>
      </c>
      <c r="L90" s="42" t="n">
        <f aca="false">PROCESO!$I$84*DEMANDA!J9</f>
        <v>3.60073568085</v>
      </c>
      <c r="M90" s="42" t="n">
        <f aca="false">PROCESO!$I$84*DEMANDA!K9</f>
        <v>4.895686551</v>
      </c>
      <c r="N90" s="42" t="n">
        <f aca="false">PROCESO!$I$84*DEMANDA!L9</f>
        <v>6.29863618545</v>
      </c>
      <c r="O90" s="42" t="n">
        <f aca="false">PROCESO!$I$84*DEMANDA!M9</f>
        <v>7.8043042938</v>
      </c>
      <c r="P90" s="42" t="n">
        <f aca="false">PROCESO!$I$84*DEMANDA!N9</f>
        <v>9.09279330015</v>
      </c>
      <c r="Q90" s="42" t="n">
        <f aca="false">PROCESO!$I$84*DEMANDA!O9</f>
        <v>10.47054931755</v>
      </c>
      <c r="R90" s="24" t="s">
        <v>2727</v>
      </c>
    </row>
    <row r="91" customFormat="false" ht="15" hidden="false" customHeight="false" outlineLevel="1" collapsed="false">
      <c r="A91" s="24" t="n">
        <v>1</v>
      </c>
      <c r="B91" s="24" t="s">
        <v>1839</v>
      </c>
      <c r="C91" s="40" t="s">
        <v>2728</v>
      </c>
      <c r="D91" s="24" t="s">
        <v>73</v>
      </c>
      <c r="E91" s="24" t="s">
        <v>249</v>
      </c>
      <c r="F91" s="41" t="n">
        <f aca="false">PROCESO!$I$86</f>
        <v>0.218</v>
      </c>
      <c r="G91" s="24" t="s">
        <v>2281</v>
      </c>
      <c r="H91" s="42" t="n">
        <f aca="false">PROCESO!$I$86*DEMANDA!F9</f>
        <v>16.331239138</v>
      </c>
      <c r="I91" s="42" t="n">
        <f aca="false">PROCESO!$I$86*DEMANDA!G9</f>
        <v>28.0384459192</v>
      </c>
      <c r="J91" s="42" t="n">
        <f aca="false">PROCESO!$I$86*DEMANDA!H9</f>
        <v>36.070015784</v>
      </c>
      <c r="K91" s="42" t="n">
        <f aca="false">PROCESO!$I$86*DEMANDA!I9</f>
        <v>48.214117477</v>
      </c>
      <c r="L91" s="42" t="n">
        <f aca="false">PROCESO!$I$86*DEMANDA!J9</f>
        <v>74.7581312786</v>
      </c>
      <c r="M91" s="42" t="n">
        <f aca="false">PROCESO!$I$86*DEMANDA!K9</f>
        <v>101.643777916</v>
      </c>
      <c r="N91" s="42" t="n">
        <f aca="false">PROCESO!$I$86*DEMANDA!L9</f>
        <v>130.7716846122</v>
      </c>
      <c r="O91" s="42" t="n">
        <f aca="false">PROCESO!$I$86*DEMANDA!M9</f>
        <v>162.0322224808</v>
      </c>
      <c r="P91" s="42" t="n">
        <f aca="false">PROCESO!$I$86*DEMANDA!N9</f>
        <v>188.7837085174</v>
      </c>
      <c r="Q91" s="42" t="n">
        <f aca="false">PROCESO!$I$86*DEMANDA!O9</f>
        <v>217.3885477358</v>
      </c>
      <c r="R91" s="24" t="s">
        <v>2729</v>
      </c>
    </row>
    <row r="92" customFormat="false" ht="15" hidden="false" customHeight="false" outlineLevel="1" collapsed="false">
      <c r="A92" s="24" t="n">
        <v>1</v>
      </c>
      <c r="B92" s="24" t="s">
        <v>1839</v>
      </c>
      <c r="C92" s="40" t="s">
        <v>2730</v>
      </c>
      <c r="D92" s="24" t="s">
        <v>73</v>
      </c>
      <c r="E92" s="24" t="s">
        <v>249</v>
      </c>
      <c r="F92" s="41" t="n">
        <f aca="false">PROCESO!$I$88</f>
        <v>0.146</v>
      </c>
      <c r="G92" s="24" t="s">
        <v>2281</v>
      </c>
      <c r="H92" s="42" t="n">
        <f aca="false">PROCESO!$I$88*DEMANDA!F9</f>
        <v>10.937435386</v>
      </c>
      <c r="I92" s="42" t="n">
        <f aca="false">PROCESO!$I$88*DEMANDA!G9</f>
        <v>18.7780417624</v>
      </c>
      <c r="J92" s="42" t="n">
        <f aca="false">PROCESO!$I$88*DEMANDA!H9</f>
        <v>24.156983048</v>
      </c>
      <c r="K92" s="42" t="n">
        <f aca="false">PROCESO!$I$88*DEMANDA!I9</f>
        <v>32.290188769</v>
      </c>
      <c r="L92" s="42" t="n">
        <f aca="false">PROCESO!$I$88*DEMANDA!J9</f>
        <v>50.0673723242</v>
      </c>
      <c r="M92" s="42" t="n">
        <f aca="false">PROCESO!$I$88*DEMANDA!K9</f>
        <v>68.073355852</v>
      </c>
      <c r="N92" s="42" t="n">
        <f aca="false">PROCESO!$I$88*DEMANDA!L9</f>
        <v>87.5810364834</v>
      </c>
      <c r="O92" s="42" t="n">
        <f aca="false">PROCESO!$I$88*DEMANDA!M9</f>
        <v>108.5169930376</v>
      </c>
      <c r="P92" s="42" t="n">
        <f aca="false">PROCESO!$I$88*DEMANDA!N9</f>
        <v>126.4331258878</v>
      </c>
      <c r="Q92" s="42" t="n">
        <f aca="false">PROCESO!$I$88*DEMANDA!O9</f>
        <v>145.5904952726</v>
      </c>
      <c r="R92" s="24" t="s">
        <v>2731</v>
      </c>
    </row>
    <row r="93" customFormat="false" ht="15" hidden="false" customHeight="false" outlineLevel="1" collapsed="false">
      <c r="A93" s="24" t="n">
        <v>1</v>
      </c>
      <c r="B93" s="24" t="s">
        <v>1839</v>
      </c>
      <c r="C93" s="40" t="s">
        <v>2732</v>
      </c>
      <c r="D93" s="24" t="s">
        <v>73</v>
      </c>
      <c r="E93" s="24" t="s">
        <v>273</v>
      </c>
      <c r="F93" s="41" t="n">
        <f aca="false">PROCESO!$I$80</f>
        <v>0.0072</v>
      </c>
      <c r="G93" s="24" t="s">
        <v>2281</v>
      </c>
      <c r="H93" s="42" t="n">
        <f aca="false">PROCESO!$I$80*DEMANDA!F17</f>
        <v>0</v>
      </c>
      <c r="I93" s="42" t="n">
        <f aca="false">PROCESO!$I$80*DEMANDA!G17</f>
        <v>0</v>
      </c>
      <c r="J93" s="42" t="n">
        <f aca="false">PROCESO!$I$80*DEMANDA!H17</f>
        <v>0.22896</v>
      </c>
      <c r="K93" s="42" t="n">
        <f aca="false">PROCESO!$I$80*DEMANDA!I17</f>
        <v>0.79776</v>
      </c>
      <c r="L93" s="42" t="n">
        <f aca="false">PROCESO!$I$80*DEMANDA!J17</f>
        <v>1.47744</v>
      </c>
      <c r="M93" s="42" t="n">
        <f aca="false">PROCESO!$I$80*DEMANDA!K17</f>
        <v>2.14272</v>
      </c>
      <c r="N93" s="42" t="n">
        <f aca="false">PROCESO!$I$80*DEMANDA!L17</f>
        <v>3.02976</v>
      </c>
      <c r="O93" s="42" t="n">
        <f aca="false">PROCESO!$I$80*DEMANDA!M17</f>
        <v>3.9168</v>
      </c>
      <c r="P93" s="42" t="n">
        <f aca="false">PROCESO!$I$80*DEMANDA!N17</f>
        <v>4.38912</v>
      </c>
      <c r="Q93" s="42" t="n">
        <f aca="false">PROCESO!$I$80*DEMANDA!O17</f>
        <v>5.0976</v>
      </c>
      <c r="R93" s="24" t="s">
        <v>2723</v>
      </c>
    </row>
    <row r="94" customFormat="false" ht="15" hidden="false" customHeight="false" outlineLevel="1" collapsed="false">
      <c r="A94" s="24" t="n">
        <v>1</v>
      </c>
      <c r="B94" s="24" t="s">
        <v>1839</v>
      </c>
      <c r="C94" s="40" t="s">
        <v>2733</v>
      </c>
      <c r="D94" s="24" t="s">
        <v>73</v>
      </c>
      <c r="E94" s="24" t="s">
        <v>273</v>
      </c>
      <c r="F94" s="41" t="n">
        <f aca="false">PROCESO!$I$82</f>
        <v>0.063</v>
      </c>
      <c r="G94" s="24" t="s">
        <v>2281</v>
      </c>
      <c r="H94" s="42" t="n">
        <f aca="false">PROCESO!$I$82*DEMANDA!F17</f>
        <v>0</v>
      </c>
      <c r="I94" s="42" t="n">
        <f aca="false">PROCESO!$I$82*DEMANDA!G17</f>
        <v>0</v>
      </c>
      <c r="J94" s="42" t="n">
        <f aca="false">PROCESO!$I$82*DEMANDA!H17</f>
        <v>2.0034</v>
      </c>
      <c r="K94" s="42" t="n">
        <f aca="false">PROCESO!$I$82*DEMANDA!I17</f>
        <v>6.9804</v>
      </c>
      <c r="L94" s="42" t="n">
        <f aca="false">PROCESO!$I$82*DEMANDA!J17</f>
        <v>12.9276</v>
      </c>
      <c r="M94" s="42" t="n">
        <f aca="false">PROCESO!$I$82*DEMANDA!K17</f>
        <v>18.7488</v>
      </c>
      <c r="N94" s="42" t="n">
        <f aca="false">PROCESO!$I$82*DEMANDA!L17</f>
        <v>26.5104</v>
      </c>
      <c r="O94" s="42" t="n">
        <f aca="false">PROCESO!$I$82*DEMANDA!M17</f>
        <v>34.272</v>
      </c>
      <c r="P94" s="42" t="n">
        <f aca="false">PROCESO!$I$82*DEMANDA!N17</f>
        <v>38.4048</v>
      </c>
      <c r="Q94" s="42" t="n">
        <f aca="false">PROCESO!$I$82*DEMANDA!O17</f>
        <v>44.604</v>
      </c>
      <c r="R94" s="24" t="s">
        <v>2725</v>
      </c>
    </row>
    <row r="95" customFormat="false" ht="15" hidden="false" customHeight="false" outlineLevel="1" collapsed="false">
      <c r="A95" s="24" t="n">
        <v>1</v>
      </c>
      <c r="B95" s="24" t="s">
        <v>1839</v>
      </c>
      <c r="C95" s="40" t="s">
        <v>2734</v>
      </c>
      <c r="D95" s="24" t="s">
        <v>73</v>
      </c>
      <c r="E95" s="24" t="s">
        <v>273</v>
      </c>
      <c r="F95" s="41" t="n">
        <f aca="false">PROCESO!$I$84</f>
        <v>0.0105</v>
      </c>
      <c r="G95" s="24" t="s">
        <v>2281</v>
      </c>
      <c r="H95" s="42" t="n">
        <f aca="false">PROCESO!$I$84*DEMANDA!F17</f>
        <v>0</v>
      </c>
      <c r="I95" s="42" t="n">
        <f aca="false">PROCESO!$I$84*DEMANDA!G17</f>
        <v>0</v>
      </c>
      <c r="J95" s="42" t="n">
        <f aca="false">PROCESO!$I$84*DEMANDA!H17</f>
        <v>0.3339</v>
      </c>
      <c r="K95" s="42" t="n">
        <f aca="false">PROCESO!$I$84*DEMANDA!I17</f>
        <v>1.1634</v>
      </c>
      <c r="L95" s="42" t="n">
        <f aca="false">PROCESO!$I$84*DEMANDA!J17</f>
        <v>2.1546</v>
      </c>
      <c r="M95" s="42" t="n">
        <f aca="false">PROCESO!$I$84*DEMANDA!K17</f>
        <v>3.1248</v>
      </c>
      <c r="N95" s="42" t="n">
        <f aca="false">PROCESO!$I$84*DEMANDA!L17</f>
        <v>4.4184</v>
      </c>
      <c r="O95" s="42" t="n">
        <f aca="false">PROCESO!$I$84*DEMANDA!M17</f>
        <v>5.712</v>
      </c>
      <c r="P95" s="42" t="n">
        <f aca="false">PROCESO!$I$84*DEMANDA!N17</f>
        <v>6.4008</v>
      </c>
      <c r="Q95" s="42" t="n">
        <f aca="false">PROCESO!$I$84*DEMANDA!O17</f>
        <v>7.434</v>
      </c>
      <c r="R95" s="24" t="s">
        <v>2727</v>
      </c>
    </row>
    <row r="96" customFormat="false" ht="15" hidden="false" customHeight="false" outlineLevel="1" collapsed="false">
      <c r="A96" s="24" t="n">
        <v>1</v>
      </c>
      <c r="B96" s="24" t="s">
        <v>1839</v>
      </c>
      <c r="C96" s="40" t="s">
        <v>2735</v>
      </c>
      <c r="D96" s="24" t="s">
        <v>73</v>
      </c>
      <c r="E96" s="24" t="s">
        <v>273</v>
      </c>
      <c r="F96" s="41" t="n">
        <f aca="false">PROCESO!$I$86</f>
        <v>0.218</v>
      </c>
      <c r="G96" s="24" t="s">
        <v>2281</v>
      </c>
      <c r="H96" s="42" t="n">
        <f aca="false">PROCESO!$I$86*DEMANDA!F17</f>
        <v>0</v>
      </c>
      <c r="I96" s="42" t="n">
        <f aca="false">PROCESO!$I$86*DEMANDA!G17</f>
        <v>0</v>
      </c>
      <c r="J96" s="42" t="n">
        <f aca="false">PROCESO!$I$86*DEMANDA!H17</f>
        <v>6.9324</v>
      </c>
      <c r="K96" s="42" t="n">
        <f aca="false">PROCESO!$I$86*DEMANDA!I17</f>
        <v>24.1544</v>
      </c>
      <c r="L96" s="42" t="n">
        <f aca="false">PROCESO!$I$86*DEMANDA!J17</f>
        <v>44.7336</v>
      </c>
      <c r="M96" s="42" t="n">
        <f aca="false">PROCESO!$I$86*DEMANDA!K17</f>
        <v>64.8768</v>
      </c>
      <c r="N96" s="42" t="n">
        <f aca="false">PROCESO!$I$86*DEMANDA!L17</f>
        <v>91.7344</v>
      </c>
      <c r="O96" s="42" t="n">
        <f aca="false">PROCESO!$I$86*DEMANDA!M17</f>
        <v>118.592</v>
      </c>
      <c r="P96" s="42" t="n">
        <f aca="false">PROCESO!$I$86*DEMANDA!N17</f>
        <v>132.8928</v>
      </c>
      <c r="Q96" s="42" t="n">
        <f aca="false">PROCESO!$I$86*DEMANDA!O17</f>
        <v>154.344</v>
      </c>
      <c r="R96" s="24" t="s">
        <v>2729</v>
      </c>
    </row>
    <row r="97" customFormat="false" ht="15" hidden="false" customHeight="false" outlineLevel="1" collapsed="false">
      <c r="A97" s="24" t="n">
        <v>1</v>
      </c>
      <c r="B97" s="24" t="s">
        <v>1839</v>
      </c>
      <c r="C97" s="40" t="s">
        <v>2736</v>
      </c>
      <c r="D97" s="24" t="s">
        <v>73</v>
      </c>
      <c r="E97" s="24" t="s">
        <v>252</v>
      </c>
      <c r="F97" s="41" t="n">
        <f aca="false">PROCESO!$I$103</f>
        <v>0.0168</v>
      </c>
      <c r="G97" s="24" t="s">
        <v>2281</v>
      </c>
      <c r="H97" s="42" t="n">
        <f aca="false">PROCESO!$I$103*DEMANDA!F10</f>
        <v>0.27459364548</v>
      </c>
      <c r="I97" s="42" t="n">
        <f aca="false">PROCESO!$I$103*DEMANDA!G10</f>
        <v>0.471438757104</v>
      </c>
      <c r="J97" s="42" t="n">
        <f aca="false">PROCESO!$I$103*DEMANDA!H10</f>
        <v>0.606481666392</v>
      </c>
      <c r="K97" s="42" t="n">
        <f aca="false">PROCESO!$I$103*DEMANDA!I10</f>
        <v>0.810672734088</v>
      </c>
      <c r="L97" s="42" t="n">
        <f aca="false">PROCESO!$I$103*DEMANDA!J10</f>
        <v>1.256984092056</v>
      </c>
      <c r="M97" s="42" t="n">
        <f aca="false">PROCESO!$I$103*DEMANDA!K10</f>
        <v>1.70903966856</v>
      </c>
      <c r="N97" s="42" t="n">
        <f aca="false">PROCESO!$I$103*DEMANDA!L10</f>
        <v>2.19879663192</v>
      </c>
      <c r="O97" s="42" t="n">
        <f aca="false">PROCESO!$I$103*DEMANDA!M10</f>
        <v>2.72441167992</v>
      </c>
      <c r="P97" s="42" t="n">
        <f aca="false">PROCESO!$I$103*DEMANDA!N10</f>
        <v>3.1742114796</v>
      </c>
      <c r="Q97" s="42" t="n">
        <f aca="false">PROCESO!$I$103*DEMANDA!O10</f>
        <v>3.6551735808</v>
      </c>
      <c r="R97" s="24" t="s">
        <v>2737</v>
      </c>
    </row>
    <row r="98" customFormat="false" ht="15" hidden="false" customHeight="false" outlineLevel="1" collapsed="false">
      <c r="A98" s="24" t="n">
        <v>1</v>
      </c>
      <c r="B98" s="24" t="s">
        <v>1839</v>
      </c>
      <c r="C98" s="40" t="s">
        <v>2738</v>
      </c>
      <c r="D98" s="24" t="s">
        <v>73</v>
      </c>
      <c r="E98" s="24" t="s">
        <v>252</v>
      </c>
      <c r="F98" s="41" t="n">
        <f aca="false">PROCESO!$I$105</f>
        <v>0.12</v>
      </c>
      <c r="G98" s="24" t="s">
        <v>2281</v>
      </c>
      <c r="H98" s="42" t="n">
        <f aca="false">PROCESO!$I$105*DEMANDA!F10</f>
        <v>1.961383182</v>
      </c>
      <c r="I98" s="42" t="n">
        <f aca="false">PROCESO!$I$105*DEMANDA!G10</f>
        <v>3.3674196936</v>
      </c>
      <c r="J98" s="42" t="n">
        <f aca="false">PROCESO!$I$105*DEMANDA!H10</f>
        <v>4.3320119028</v>
      </c>
      <c r="K98" s="42" t="n">
        <f aca="false">PROCESO!$I$105*DEMANDA!I10</f>
        <v>5.7905195292</v>
      </c>
      <c r="L98" s="42" t="n">
        <f aca="false">PROCESO!$I$105*DEMANDA!J10</f>
        <v>8.9784578004</v>
      </c>
      <c r="M98" s="42" t="n">
        <f aca="false">PROCESO!$I$105*DEMANDA!K10</f>
        <v>12.207426204</v>
      </c>
      <c r="N98" s="42" t="n">
        <f aca="false">PROCESO!$I$105*DEMANDA!L10</f>
        <v>15.705690228</v>
      </c>
      <c r="O98" s="42" t="n">
        <f aca="false">PROCESO!$I$105*DEMANDA!M10</f>
        <v>19.460083428</v>
      </c>
      <c r="P98" s="42" t="n">
        <f aca="false">PROCESO!$I$105*DEMANDA!N10</f>
        <v>22.67293914</v>
      </c>
      <c r="Q98" s="42" t="n">
        <f aca="false">PROCESO!$I$105*DEMANDA!O10</f>
        <v>26.10838272</v>
      </c>
      <c r="R98" s="24" t="s">
        <v>2739</v>
      </c>
    </row>
    <row r="99" customFormat="false" ht="15" hidden="false" customHeight="false" outlineLevel="1" collapsed="false">
      <c r="A99" s="24" t="n">
        <v>1</v>
      </c>
      <c r="B99" s="24" t="s">
        <v>1839</v>
      </c>
      <c r="C99" s="40" t="s">
        <v>2740</v>
      </c>
      <c r="D99" s="24" t="s">
        <v>73</v>
      </c>
      <c r="E99" s="24" t="s">
        <v>252</v>
      </c>
      <c r="F99" s="41" t="n">
        <f aca="false">PROCESO!$I$107</f>
        <v>0.029</v>
      </c>
      <c r="G99" s="24" t="s">
        <v>2281</v>
      </c>
      <c r="H99" s="42" t="n">
        <f aca="false">PROCESO!$I$107*DEMANDA!F10</f>
        <v>0.47400093565</v>
      </c>
      <c r="I99" s="42" t="n">
        <f aca="false">PROCESO!$I$107*DEMANDA!G10</f>
        <v>0.81379309262</v>
      </c>
      <c r="J99" s="42" t="n">
        <f aca="false">PROCESO!$I$107*DEMANDA!H10</f>
        <v>1.04690287651</v>
      </c>
      <c r="K99" s="42" t="n">
        <f aca="false">PROCESO!$I$107*DEMANDA!I10</f>
        <v>1.39937555289</v>
      </c>
      <c r="L99" s="42" t="n">
        <f aca="false">PROCESO!$I$107*DEMANDA!J10</f>
        <v>2.16979396843</v>
      </c>
      <c r="M99" s="42" t="n">
        <f aca="false">PROCESO!$I$107*DEMANDA!K10</f>
        <v>2.9501279993</v>
      </c>
      <c r="N99" s="42" t="n">
        <f aca="false">PROCESO!$I$107*DEMANDA!L10</f>
        <v>3.7955418051</v>
      </c>
      <c r="O99" s="42" t="n">
        <f aca="false">PROCESO!$I$107*DEMANDA!M10</f>
        <v>4.7028534951</v>
      </c>
      <c r="P99" s="42" t="n">
        <f aca="false">PROCESO!$I$107*DEMANDA!N10</f>
        <v>5.4792936255</v>
      </c>
      <c r="Q99" s="42" t="n">
        <f aca="false">PROCESO!$I$107*DEMANDA!O10</f>
        <v>6.309525824</v>
      </c>
      <c r="R99" s="24" t="s">
        <v>2741</v>
      </c>
    </row>
    <row r="100" customFormat="false" ht="15" hidden="false" customHeight="false" outlineLevel="1" collapsed="false">
      <c r="A100" s="24" t="n">
        <v>1</v>
      </c>
      <c r="B100" s="24" t="s">
        <v>1839</v>
      </c>
      <c r="C100" s="40" t="s">
        <v>2742</v>
      </c>
      <c r="D100" s="24" t="s">
        <v>73</v>
      </c>
      <c r="E100" s="24" t="s">
        <v>252</v>
      </c>
      <c r="F100" s="41" t="n">
        <f aca="false">PROCESO!$I$109</f>
        <v>0.463</v>
      </c>
      <c r="G100" s="24" t="s">
        <v>2281</v>
      </c>
      <c r="H100" s="42" t="n">
        <f aca="false">PROCESO!$I$109*DEMANDA!F10</f>
        <v>7.56767011055</v>
      </c>
      <c r="I100" s="42" t="n">
        <f aca="false">PROCESO!$I$109*DEMANDA!G10</f>
        <v>12.99262765114</v>
      </c>
      <c r="J100" s="42" t="n">
        <f aca="false">PROCESO!$I$109*DEMANDA!H10</f>
        <v>16.71434592497</v>
      </c>
      <c r="K100" s="42" t="n">
        <f aca="false">PROCESO!$I$109*DEMANDA!I10</f>
        <v>22.34175451683</v>
      </c>
      <c r="L100" s="42" t="n">
        <f aca="false">PROCESO!$I$109*DEMANDA!J10</f>
        <v>34.64188301321</v>
      </c>
      <c r="M100" s="42" t="n">
        <f aca="false">PROCESO!$I$109*DEMANDA!K10</f>
        <v>47.1003194371</v>
      </c>
      <c r="N100" s="42" t="n">
        <f aca="false">PROCESO!$I$109*DEMANDA!L10</f>
        <v>60.5977881297</v>
      </c>
      <c r="O100" s="42" t="n">
        <f aca="false">PROCESO!$I$109*DEMANDA!M10</f>
        <v>75.0834885597</v>
      </c>
      <c r="P100" s="42" t="n">
        <f aca="false">PROCESO!$I$109*DEMANDA!N10</f>
        <v>87.4797568485</v>
      </c>
      <c r="Q100" s="42" t="n">
        <f aca="false">PROCESO!$I$109*DEMANDA!O10</f>
        <v>100.734843328</v>
      </c>
      <c r="R100" s="24" t="s">
        <v>2743</v>
      </c>
    </row>
    <row r="101" customFormat="false" ht="15" hidden="false" customHeight="false" outlineLevel="1" collapsed="false">
      <c r="A101" s="24" t="n">
        <v>1</v>
      </c>
      <c r="B101" s="24" t="s">
        <v>1839</v>
      </c>
      <c r="C101" s="40" t="s">
        <v>2744</v>
      </c>
      <c r="D101" s="24" t="s">
        <v>73</v>
      </c>
      <c r="E101" s="24" t="s">
        <v>252</v>
      </c>
      <c r="F101" s="41" t="n">
        <f aca="false">PROCESO!$I$111</f>
        <v>0.199</v>
      </c>
      <c r="G101" s="24" t="s">
        <v>2281</v>
      </c>
      <c r="H101" s="42" t="n">
        <f aca="false">PROCESO!$I$111*DEMANDA!F10</f>
        <v>3.25262711015</v>
      </c>
      <c r="I101" s="42" t="n">
        <f aca="false">PROCESO!$I$111*DEMANDA!G10</f>
        <v>5.58430432522</v>
      </c>
      <c r="J101" s="42" t="n">
        <f aca="false">PROCESO!$I$111*DEMANDA!H10</f>
        <v>7.18391973881</v>
      </c>
      <c r="K101" s="42" t="n">
        <f aca="false">PROCESO!$I$111*DEMANDA!I10</f>
        <v>9.60261155259</v>
      </c>
      <c r="L101" s="42" t="n">
        <f aca="false">PROCESO!$I$111*DEMANDA!J10</f>
        <v>14.88927585233</v>
      </c>
      <c r="M101" s="42" t="n">
        <f aca="false">PROCESO!$I$111*DEMANDA!K10</f>
        <v>20.2439817883</v>
      </c>
      <c r="N101" s="42" t="n">
        <f aca="false">PROCESO!$I$111*DEMANDA!L10</f>
        <v>26.0452696281</v>
      </c>
      <c r="O101" s="42" t="n">
        <f aca="false">PROCESO!$I$111*DEMANDA!M10</f>
        <v>32.2713050181</v>
      </c>
      <c r="P101" s="42" t="n">
        <f aca="false">PROCESO!$I$111*DEMANDA!N10</f>
        <v>37.5992907405</v>
      </c>
      <c r="Q101" s="42" t="n">
        <f aca="false">PROCESO!$I$111*DEMANDA!O10</f>
        <v>43.296401344</v>
      </c>
      <c r="R101" s="24" t="s">
        <v>2745</v>
      </c>
    </row>
    <row r="102" customFormat="false" ht="15" hidden="false" customHeight="false" outlineLevel="1" collapsed="false">
      <c r="A102" s="24" t="n">
        <v>1</v>
      </c>
      <c r="B102" s="24" t="s">
        <v>1839</v>
      </c>
      <c r="C102" s="40" t="s">
        <v>2746</v>
      </c>
      <c r="D102" s="24" t="s">
        <v>73</v>
      </c>
      <c r="E102" s="24" t="s">
        <v>276</v>
      </c>
      <c r="F102" s="41" t="n">
        <f aca="false">PROCESO!$I$103</f>
        <v>0.0168</v>
      </c>
      <c r="G102" s="24" t="s">
        <v>2281</v>
      </c>
      <c r="H102" s="42" t="n">
        <f aca="false">PROCESO!$I$103*DEMANDA!F18</f>
        <v>0</v>
      </c>
      <c r="I102" s="42" t="n">
        <f aca="false">PROCESO!$I$103*DEMANDA!G18</f>
        <v>0</v>
      </c>
      <c r="J102" s="42" t="n">
        <f aca="false">PROCESO!$I$103*DEMANDA!H18</f>
        <v>0.1176</v>
      </c>
      <c r="K102" s="42" t="n">
        <f aca="false">PROCESO!$I$103*DEMANDA!I18</f>
        <v>0.40992</v>
      </c>
      <c r="L102" s="42" t="n">
        <f aca="false">PROCESO!$I$103*DEMANDA!J18</f>
        <v>0.75936</v>
      </c>
      <c r="M102" s="42" t="n">
        <f aca="false">PROCESO!$I$103*DEMANDA!K18</f>
        <v>1.09872</v>
      </c>
      <c r="N102" s="42" t="n">
        <f aca="false">PROCESO!$I$103*DEMANDA!L18</f>
        <v>1.54896</v>
      </c>
      <c r="O102" s="42" t="n">
        <f aca="false">PROCESO!$I$103*DEMANDA!M18</f>
        <v>1.9992</v>
      </c>
      <c r="P102" s="42" t="n">
        <f aca="false">PROCESO!$I$103*DEMANDA!N18</f>
        <v>2.24112</v>
      </c>
      <c r="Q102" s="42" t="n">
        <f aca="false">PROCESO!$I$103*DEMANDA!O18</f>
        <v>2.604</v>
      </c>
      <c r="R102" s="24" t="s">
        <v>2737</v>
      </c>
    </row>
    <row r="103" customFormat="false" ht="15" hidden="false" customHeight="false" outlineLevel="1" collapsed="false">
      <c r="A103" s="24" t="n">
        <v>1</v>
      </c>
      <c r="B103" s="24" t="s">
        <v>1839</v>
      </c>
      <c r="C103" s="40" t="s">
        <v>2747</v>
      </c>
      <c r="D103" s="24" t="s">
        <v>73</v>
      </c>
      <c r="E103" s="24" t="s">
        <v>276</v>
      </c>
      <c r="F103" s="41" t="n">
        <f aca="false">PROCESO!$I$105</f>
        <v>0.12</v>
      </c>
      <c r="G103" s="24" t="s">
        <v>2281</v>
      </c>
      <c r="H103" s="42" t="n">
        <f aca="false">PROCESO!$I$105*DEMANDA!F18</f>
        <v>0</v>
      </c>
      <c r="I103" s="42" t="n">
        <f aca="false">PROCESO!$I$105*DEMANDA!G18</f>
        <v>0</v>
      </c>
      <c r="J103" s="42" t="n">
        <f aca="false">PROCESO!$I$105*DEMANDA!H18</f>
        <v>0.84</v>
      </c>
      <c r="K103" s="42" t="n">
        <f aca="false">PROCESO!$I$105*DEMANDA!I18</f>
        <v>2.928</v>
      </c>
      <c r="L103" s="42" t="n">
        <f aca="false">PROCESO!$I$105*DEMANDA!J18</f>
        <v>5.424</v>
      </c>
      <c r="M103" s="42" t="n">
        <f aca="false">PROCESO!$I$105*DEMANDA!K18</f>
        <v>7.848</v>
      </c>
      <c r="N103" s="42" t="n">
        <f aca="false">PROCESO!$I$105*DEMANDA!L18</f>
        <v>11.064</v>
      </c>
      <c r="O103" s="42" t="n">
        <f aca="false">PROCESO!$I$105*DEMANDA!M18</f>
        <v>14.28</v>
      </c>
      <c r="P103" s="42" t="n">
        <f aca="false">PROCESO!$I$105*DEMANDA!N18</f>
        <v>16.008</v>
      </c>
      <c r="Q103" s="42" t="n">
        <f aca="false">PROCESO!$I$105*DEMANDA!O18</f>
        <v>18.6</v>
      </c>
      <c r="R103" s="24" t="s">
        <v>2739</v>
      </c>
    </row>
    <row r="104" customFormat="false" ht="15" hidden="false" customHeight="false" outlineLevel="1" collapsed="false">
      <c r="A104" s="24" t="n">
        <v>1</v>
      </c>
      <c r="B104" s="24" t="s">
        <v>1839</v>
      </c>
      <c r="C104" s="40" t="s">
        <v>2748</v>
      </c>
      <c r="D104" s="24" t="s">
        <v>73</v>
      </c>
      <c r="E104" s="24" t="s">
        <v>276</v>
      </c>
      <c r="F104" s="41" t="n">
        <f aca="false">PROCESO!$I$107</f>
        <v>0.029</v>
      </c>
      <c r="G104" s="24" t="s">
        <v>2281</v>
      </c>
      <c r="H104" s="42" t="n">
        <f aca="false">PROCESO!$I$107*DEMANDA!F18</f>
        <v>0</v>
      </c>
      <c r="I104" s="42" t="n">
        <f aca="false">PROCESO!$I$107*DEMANDA!G18</f>
        <v>0</v>
      </c>
      <c r="J104" s="42" t="n">
        <f aca="false">PROCESO!$I$107*DEMANDA!H18</f>
        <v>0.203</v>
      </c>
      <c r="K104" s="42" t="n">
        <f aca="false">PROCESO!$I$107*DEMANDA!I18</f>
        <v>0.7076</v>
      </c>
      <c r="L104" s="42" t="n">
        <f aca="false">PROCESO!$I$107*DEMANDA!J18</f>
        <v>1.3108</v>
      </c>
      <c r="M104" s="42" t="n">
        <f aca="false">PROCESO!$I$107*DEMANDA!K18</f>
        <v>1.8966</v>
      </c>
      <c r="N104" s="42" t="n">
        <f aca="false">PROCESO!$I$107*DEMANDA!L18</f>
        <v>2.6738</v>
      </c>
      <c r="O104" s="42" t="n">
        <f aca="false">PROCESO!$I$107*DEMANDA!M18</f>
        <v>3.451</v>
      </c>
      <c r="P104" s="42" t="n">
        <f aca="false">PROCESO!$I$107*DEMANDA!N18</f>
        <v>3.8686</v>
      </c>
      <c r="Q104" s="42" t="n">
        <f aca="false">PROCESO!$I$107*DEMANDA!O18</f>
        <v>4.495</v>
      </c>
      <c r="R104" s="24" t="s">
        <v>2741</v>
      </c>
    </row>
    <row r="105" customFormat="false" ht="15" hidden="false" customHeight="false" outlineLevel="1" collapsed="false">
      <c r="A105" s="24" t="n">
        <v>1</v>
      </c>
      <c r="B105" s="24" t="s">
        <v>1839</v>
      </c>
      <c r="C105" s="40" t="s">
        <v>2749</v>
      </c>
      <c r="D105" s="24" t="s">
        <v>73</v>
      </c>
      <c r="E105" s="24" t="s">
        <v>276</v>
      </c>
      <c r="F105" s="41" t="n">
        <f aca="false">PROCESO!$I$109</f>
        <v>0.463</v>
      </c>
      <c r="G105" s="24" t="s">
        <v>2281</v>
      </c>
      <c r="H105" s="42" t="n">
        <f aca="false">PROCESO!$I$109*DEMANDA!F18</f>
        <v>0</v>
      </c>
      <c r="I105" s="42" t="n">
        <f aca="false">PROCESO!$I$109*DEMANDA!G18</f>
        <v>0</v>
      </c>
      <c r="J105" s="42" t="n">
        <f aca="false">PROCESO!$I$109*DEMANDA!H18</f>
        <v>3.241</v>
      </c>
      <c r="K105" s="42" t="n">
        <f aca="false">PROCESO!$I$109*DEMANDA!I18</f>
        <v>11.2972</v>
      </c>
      <c r="L105" s="42" t="n">
        <f aca="false">PROCESO!$I$109*DEMANDA!J18</f>
        <v>20.9276</v>
      </c>
      <c r="M105" s="42" t="n">
        <f aca="false">PROCESO!$I$109*DEMANDA!K18</f>
        <v>30.2802</v>
      </c>
      <c r="N105" s="42" t="n">
        <f aca="false">PROCESO!$I$109*DEMANDA!L18</f>
        <v>42.6886</v>
      </c>
      <c r="O105" s="42" t="n">
        <f aca="false">PROCESO!$I$109*DEMANDA!M18</f>
        <v>55.097</v>
      </c>
      <c r="P105" s="42" t="n">
        <f aca="false">PROCESO!$I$109*DEMANDA!N18</f>
        <v>61.7642</v>
      </c>
      <c r="Q105" s="42" t="n">
        <f aca="false">PROCESO!$I$109*DEMANDA!O18</f>
        <v>71.765</v>
      </c>
      <c r="R105" s="24" t="s">
        <v>2743</v>
      </c>
    </row>
    <row r="106" customFormat="false" ht="15" hidden="false" customHeight="false" outlineLevel="1" collapsed="false">
      <c r="A106" s="24" t="n">
        <v>1</v>
      </c>
      <c r="B106" s="24" t="s">
        <v>1839</v>
      </c>
      <c r="C106" s="40" t="s">
        <v>2750</v>
      </c>
      <c r="D106" s="24" t="s">
        <v>73</v>
      </c>
      <c r="E106" s="24" t="s">
        <v>255</v>
      </c>
      <c r="F106" s="41" t="n">
        <f aca="false">PROCESO!$I$128</f>
        <v>0.018</v>
      </c>
      <c r="G106" s="24" t="s">
        <v>2281</v>
      </c>
      <c r="H106" s="42" t="n">
        <f aca="false">PROCESO!$I$128*DEMANDA!F11</f>
        <v>0.19613831832</v>
      </c>
      <c r="I106" s="42" t="n">
        <f aca="false">PROCESO!$I$128*DEMANDA!G11</f>
        <v>0.33674196942</v>
      </c>
      <c r="J106" s="42" t="n">
        <f aca="false">PROCESO!$I$128*DEMANDA!H11</f>
        <v>0.43320119022</v>
      </c>
      <c r="K106" s="42" t="n">
        <f aca="false">PROCESO!$I$128*DEMANDA!I11</f>
        <v>0.57905195292</v>
      </c>
      <c r="L106" s="42" t="n">
        <f aca="false">PROCESO!$I$128*DEMANDA!J11</f>
        <v>0.89784578016</v>
      </c>
      <c r="M106" s="42" t="n">
        <f aca="false">PROCESO!$I$128*DEMANDA!K11</f>
        <v>1.22074262046</v>
      </c>
      <c r="N106" s="42" t="n">
        <f aca="false">PROCESO!$I$128*DEMANDA!L11</f>
        <v>1.57056902298</v>
      </c>
      <c r="O106" s="42" t="n">
        <f aca="false">PROCESO!$I$128*DEMANDA!M11</f>
        <v>1.9460083428</v>
      </c>
      <c r="P106" s="42" t="n">
        <f aca="false">PROCESO!$I$128*DEMANDA!N11</f>
        <v>2.267293914</v>
      </c>
      <c r="Q106" s="42" t="n">
        <f aca="false">PROCESO!$I$128*DEMANDA!O11</f>
        <v>2.6108382708</v>
      </c>
      <c r="R106" s="24" t="s">
        <v>2751</v>
      </c>
    </row>
    <row r="107" customFormat="false" ht="15" hidden="false" customHeight="false" outlineLevel="1" collapsed="false">
      <c r="A107" s="24" t="n">
        <v>1</v>
      </c>
      <c r="B107" s="24" t="s">
        <v>1839</v>
      </c>
      <c r="C107" s="40" t="s">
        <v>2752</v>
      </c>
      <c r="D107" s="24" t="s">
        <v>73</v>
      </c>
      <c r="E107" s="24" t="s">
        <v>255</v>
      </c>
      <c r="F107" s="41" t="n">
        <f aca="false">PROCESO!$I$130</f>
        <v>0.158</v>
      </c>
      <c r="G107" s="24" t="s">
        <v>2281</v>
      </c>
      <c r="H107" s="42" t="n">
        <f aca="false">PROCESO!$I$130*DEMANDA!F11</f>
        <v>1.72165857192</v>
      </c>
      <c r="I107" s="42" t="n">
        <f aca="false">PROCESO!$I$130*DEMANDA!G11</f>
        <v>2.95584617602</v>
      </c>
      <c r="J107" s="42" t="n">
        <f aca="false">PROCESO!$I$130*DEMANDA!H11</f>
        <v>3.80254378082</v>
      </c>
      <c r="K107" s="42" t="n">
        <f aca="false">PROCESO!$I$130*DEMANDA!I11</f>
        <v>5.08278936452</v>
      </c>
      <c r="L107" s="42" t="n">
        <f aca="false">PROCESO!$I$130*DEMANDA!J11</f>
        <v>7.88109073696</v>
      </c>
      <c r="M107" s="42" t="n">
        <f aca="false">PROCESO!$I$130*DEMANDA!K11</f>
        <v>10.71540744626</v>
      </c>
      <c r="N107" s="42" t="n">
        <f aca="false">PROCESO!$I$130*DEMANDA!L11</f>
        <v>13.78610586838</v>
      </c>
      <c r="O107" s="42" t="n">
        <f aca="false">PROCESO!$I$130*DEMANDA!M11</f>
        <v>17.0816287868</v>
      </c>
      <c r="P107" s="42" t="n">
        <f aca="false">PROCESO!$I$130*DEMANDA!N11</f>
        <v>19.901802134</v>
      </c>
      <c r="Q107" s="42" t="n">
        <f aca="false">PROCESO!$I$130*DEMANDA!O11</f>
        <v>22.9173581548</v>
      </c>
      <c r="R107" s="24" t="s">
        <v>2753</v>
      </c>
    </row>
    <row r="108" customFormat="false" ht="15" hidden="false" customHeight="false" outlineLevel="1" collapsed="false">
      <c r="A108" s="24" t="n">
        <v>1</v>
      </c>
      <c r="B108" s="24" t="s">
        <v>1839</v>
      </c>
      <c r="C108" s="40" t="s">
        <v>2754</v>
      </c>
      <c r="D108" s="24" t="s">
        <v>73</v>
      </c>
      <c r="E108" s="24" t="s">
        <v>255</v>
      </c>
      <c r="F108" s="41" t="n">
        <f aca="false">PROCESO!$I$132</f>
        <v>0.029</v>
      </c>
      <c r="G108" s="24" t="s">
        <v>2281</v>
      </c>
      <c r="H108" s="42" t="n">
        <f aca="false">PROCESO!$I$132*DEMANDA!F11</f>
        <v>0.31600062396</v>
      </c>
      <c r="I108" s="42" t="n">
        <f aca="false">PROCESO!$I$132*DEMANDA!G11</f>
        <v>0.54252872851</v>
      </c>
      <c r="J108" s="42" t="n">
        <f aca="false">PROCESO!$I$132*DEMANDA!H11</f>
        <v>0.69793525091</v>
      </c>
      <c r="K108" s="42" t="n">
        <f aca="false">PROCESO!$I$132*DEMANDA!I11</f>
        <v>0.93291703526</v>
      </c>
      <c r="L108" s="42" t="n">
        <f aca="false">PROCESO!$I$132*DEMANDA!J11</f>
        <v>1.44652931248</v>
      </c>
      <c r="M108" s="42" t="n">
        <f aca="false">PROCESO!$I$132*DEMANDA!K11</f>
        <v>1.96675199963</v>
      </c>
      <c r="N108" s="42" t="n">
        <f aca="false">PROCESO!$I$132*DEMANDA!L11</f>
        <v>2.53036120369</v>
      </c>
      <c r="O108" s="42" t="n">
        <f aca="false">PROCESO!$I$132*DEMANDA!M11</f>
        <v>3.1352356634</v>
      </c>
      <c r="P108" s="42" t="n">
        <f aca="false">PROCESO!$I$132*DEMANDA!N11</f>
        <v>3.652862417</v>
      </c>
      <c r="Q108" s="42" t="n">
        <f aca="false">PROCESO!$I$132*DEMANDA!O11</f>
        <v>4.2063505474</v>
      </c>
      <c r="R108" s="24" t="s">
        <v>2755</v>
      </c>
    </row>
    <row r="109" customFormat="false" ht="15" hidden="false" customHeight="false" outlineLevel="1" collapsed="false">
      <c r="A109" s="24" t="n">
        <v>1</v>
      </c>
      <c r="B109" s="24" t="s">
        <v>1839</v>
      </c>
      <c r="C109" s="40" t="s">
        <v>2756</v>
      </c>
      <c r="D109" s="24" t="s">
        <v>73</v>
      </c>
      <c r="E109" s="24" t="s">
        <v>255</v>
      </c>
      <c r="F109" s="41" t="n">
        <f aca="false">PROCESO!$I$134</f>
        <v>0.463</v>
      </c>
      <c r="G109" s="24" t="s">
        <v>2281</v>
      </c>
      <c r="H109" s="42" t="n">
        <f aca="false">PROCESO!$I$134*DEMANDA!F11</f>
        <v>5.04511341012</v>
      </c>
      <c r="I109" s="42" t="n">
        <f aca="false">PROCESO!$I$134*DEMANDA!G11</f>
        <v>8.66175176897</v>
      </c>
      <c r="J109" s="42" t="n">
        <f aca="false">PROCESO!$I$134*DEMANDA!H11</f>
        <v>11.14289728177</v>
      </c>
      <c r="K109" s="42" t="n">
        <f aca="false">PROCESO!$I$134*DEMANDA!I11</f>
        <v>14.89450301122</v>
      </c>
      <c r="L109" s="42" t="n">
        <f aca="false">PROCESO!$I$134*DEMANDA!J11</f>
        <v>23.09458867856</v>
      </c>
      <c r="M109" s="42" t="n">
        <f aca="false">PROCESO!$I$134*DEMANDA!K11</f>
        <v>31.40021295961</v>
      </c>
      <c r="N109" s="42" t="n">
        <f aca="false">PROCESO!$I$134*DEMANDA!L11</f>
        <v>40.39852542443</v>
      </c>
      <c r="O109" s="42" t="n">
        <f aca="false">PROCESO!$I$134*DEMANDA!M11</f>
        <v>50.0556590398</v>
      </c>
      <c r="P109" s="42" t="n">
        <f aca="false">PROCESO!$I$134*DEMANDA!N11</f>
        <v>58.319837899</v>
      </c>
      <c r="Q109" s="42" t="n">
        <f aca="false">PROCESO!$I$134*DEMANDA!O11</f>
        <v>67.1565621878</v>
      </c>
      <c r="R109" s="24" t="s">
        <v>2757</v>
      </c>
    </row>
    <row r="110" customFormat="false" ht="15" hidden="false" customHeight="false" outlineLevel="1" collapsed="false">
      <c r="A110" s="24" t="n">
        <v>1</v>
      </c>
      <c r="B110" s="24" t="s">
        <v>1839</v>
      </c>
      <c r="C110" s="40" t="s">
        <v>2758</v>
      </c>
      <c r="D110" s="24" t="s">
        <v>73</v>
      </c>
      <c r="E110" s="24" t="s">
        <v>255</v>
      </c>
      <c r="F110" s="41" t="n">
        <f aca="false">PROCESO!$I$136</f>
        <v>0.199</v>
      </c>
      <c r="G110" s="24" t="s">
        <v>2281</v>
      </c>
      <c r="H110" s="42" t="n">
        <f aca="false">PROCESO!$I$136*DEMANDA!F11</f>
        <v>2.16841807476</v>
      </c>
      <c r="I110" s="42" t="n">
        <f aca="false">PROCESO!$I$136*DEMANDA!G11</f>
        <v>3.72286955081</v>
      </c>
      <c r="J110" s="42" t="n">
        <f aca="false">PROCESO!$I$136*DEMANDA!H11</f>
        <v>4.78927982521</v>
      </c>
      <c r="K110" s="42" t="n">
        <f aca="false">PROCESO!$I$136*DEMANDA!I11</f>
        <v>6.40174103506</v>
      </c>
      <c r="L110" s="42" t="n">
        <f aca="false">PROCESO!$I$136*DEMANDA!J11</f>
        <v>9.92618390288</v>
      </c>
      <c r="M110" s="42" t="n">
        <f aca="false">PROCESO!$I$136*DEMANDA!K11</f>
        <v>13.49598785953</v>
      </c>
      <c r="N110" s="42" t="n">
        <f aca="false">PROCESO!$I$136*DEMANDA!L11</f>
        <v>17.36351308739</v>
      </c>
      <c r="O110" s="42" t="n">
        <f aca="false">PROCESO!$I$136*DEMANDA!M11</f>
        <v>21.5142033454</v>
      </c>
      <c r="P110" s="42" t="n">
        <f aca="false">PROCESO!$I$136*DEMANDA!N11</f>
        <v>25.066193827</v>
      </c>
      <c r="Q110" s="42" t="n">
        <f aca="false">PROCESO!$I$136*DEMANDA!O11</f>
        <v>28.8642675494</v>
      </c>
      <c r="R110" s="24" t="s">
        <v>2759</v>
      </c>
    </row>
    <row r="111" customFormat="false" ht="15" hidden="false" customHeight="false" outlineLevel="1" collapsed="false">
      <c r="A111" s="24" t="n">
        <v>1</v>
      </c>
      <c r="B111" s="24" t="s">
        <v>1839</v>
      </c>
      <c r="C111" s="40" t="s">
        <v>2760</v>
      </c>
      <c r="D111" s="24" t="s">
        <v>73</v>
      </c>
      <c r="E111" s="24" t="s">
        <v>279</v>
      </c>
      <c r="F111" s="41" t="n">
        <f aca="false">PROCESO!$I$128</f>
        <v>0.018</v>
      </c>
      <c r="G111" s="24" t="s">
        <v>2281</v>
      </c>
      <c r="H111" s="42" t="n">
        <f aca="false">PROCESO!$I$128*DEMANDA!F19</f>
        <v>0</v>
      </c>
      <c r="I111" s="42" t="n">
        <f aca="false">PROCESO!$I$128*DEMANDA!G19</f>
        <v>0</v>
      </c>
      <c r="J111" s="42" t="n">
        <f aca="false">PROCESO!$I$128*DEMANDA!H19</f>
        <v>0.0828</v>
      </c>
      <c r="K111" s="42" t="n">
        <f aca="false">PROCESO!$I$128*DEMANDA!I19</f>
        <v>0.288</v>
      </c>
      <c r="L111" s="42" t="n">
        <f aca="false">PROCESO!$I$128*DEMANDA!J19</f>
        <v>0.5328</v>
      </c>
      <c r="M111" s="42" t="n">
        <f aca="false">PROCESO!$I$128*DEMANDA!K19</f>
        <v>0.7704</v>
      </c>
      <c r="N111" s="42" t="n">
        <f aca="false">PROCESO!$I$128*DEMANDA!L19</f>
        <v>1.0872</v>
      </c>
      <c r="O111" s="42" t="n">
        <f aca="false">PROCESO!$I$128*DEMANDA!M19</f>
        <v>1.404</v>
      </c>
      <c r="P111" s="42" t="n">
        <f aca="false">PROCESO!$I$128*DEMANDA!N19</f>
        <v>1.5768</v>
      </c>
      <c r="Q111" s="42" t="n">
        <f aca="false">PROCESO!$I$128*DEMANDA!O19</f>
        <v>1.836</v>
      </c>
      <c r="R111" s="24" t="s">
        <v>2751</v>
      </c>
    </row>
    <row r="112" customFormat="false" ht="15" hidden="false" customHeight="false" outlineLevel="1" collapsed="false">
      <c r="A112" s="24" t="n">
        <v>1</v>
      </c>
      <c r="B112" s="24" t="s">
        <v>1839</v>
      </c>
      <c r="C112" s="40" t="s">
        <v>2761</v>
      </c>
      <c r="D112" s="24" t="s">
        <v>73</v>
      </c>
      <c r="E112" s="24" t="s">
        <v>279</v>
      </c>
      <c r="F112" s="41" t="n">
        <f aca="false">PROCESO!$I$130</f>
        <v>0.158</v>
      </c>
      <c r="G112" s="24" t="s">
        <v>2281</v>
      </c>
      <c r="H112" s="42" t="n">
        <f aca="false">PROCESO!$I$130*DEMANDA!F19</f>
        <v>0</v>
      </c>
      <c r="I112" s="42" t="n">
        <f aca="false">PROCESO!$I$130*DEMANDA!G19</f>
        <v>0</v>
      </c>
      <c r="J112" s="42" t="n">
        <f aca="false">PROCESO!$I$130*DEMANDA!H19</f>
        <v>0.7268</v>
      </c>
      <c r="K112" s="42" t="n">
        <f aca="false">PROCESO!$I$130*DEMANDA!I19</f>
        <v>2.528</v>
      </c>
      <c r="L112" s="42" t="n">
        <f aca="false">PROCESO!$I$130*DEMANDA!J19</f>
        <v>4.6768</v>
      </c>
      <c r="M112" s="42" t="n">
        <f aca="false">PROCESO!$I$130*DEMANDA!K19</f>
        <v>6.7624</v>
      </c>
      <c r="N112" s="42" t="n">
        <f aca="false">PROCESO!$I$130*DEMANDA!L19</f>
        <v>9.5432</v>
      </c>
      <c r="O112" s="42" t="n">
        <f aca="false">PROCESO!$I$130*DEMANDA!M19</f>
        <v>12.324</v>
      </c>
      <c r="P112" s="42" t="n">
        <f aca="false">PROCESO!$I$130*DEMANDA!N19</f>
        <v>13.8408</v>
      </c>
      <c r="Q112" s="42" t="n">
        <f aca="false">PROCESO!$I$130*DEMANDA!O19</f>
        <v>16.116</v>
      </c>
      <c r="R112" s="24" t="s">
        <v>2753</v>
      </c>
    </row>
    <row r="113" customFormat="false" ht="15" hidden="false" customHeight="false" outlineLevel="1" collapsed="false">
      <c r="A113" s="24" t="n">
        <v>1</v>
      </c>
      <c r="B113" s="24" t="s">
        <v>1839</v>
      </c>
      <c r="C113" s="40" t="s">
        <v>2762</v>
      </c>
      <c r="D113" s="24" t="s">
        <v>73</v>
      </c>
      <c r="E113" s="24" t="s">
        <v>279</v>
      </c>
      <c r="F113" s="41" t="n">
        <f aca="false">PROCESO!$I$132</f>
        <v>0.029</v>
      </c>
      <c r="G113" s="24" t="s">
        <v>2281</v>
      </c>
      <c r="H113" s="42" t="n">
        <f aca="false">PROCESO!$I$132*DEMANDA!F19</f>
        <v>0</v>
      </c>
      <c r="I113" s="42" t="n">
        <f aca="false">PROCESO!$I$132*DEMANDA!G19</f>
        <v>0</v>
      </c>
      <c r="J113" s="42" t="n">
        <f aca="false">PROCESO!$I$132*DEMANDA!H19</f>
        <v>0.1334</v>
      </c>
      <c r="K113" s="42" t="n">
        <f aca="false">PROCESO!$I$132*DEMANDA!I19</f>
        <v>0.464</v>
      </c>
      <c r="L113" s="42" t="n">
        <f aca="false">PROCESO!$I$132*DEMANDA!J19</f>
        <v>0.8584</v>
      </c>
      <c r="M113" s="42" t="n">
        <f aca="false">PROCESO!$I$132*DEMANDA!K19</f>
        <v>1.2412</v>
      </c>
      <c r="N113" s="42" t="n">
        <f aca="false">PROCESO!$I$132*DEMANDA!L19</f>
        <v>1.7516</v>
      </c>
      <c r="O113" s="42" t="n">
        <f aca="false">PROCESO!$I$132*DEMANDA!M19</f>
        <v>2.262</v>
      </c>
      <c r="P113" s="42" t="n">
        <f aca="false">PROCESO!$I$132*DEMANDA!N19</f>
        <v>2.5404</v>
      </c>
      <c r="Q113" s="42" t="n">
        <f aca="false">PROCESO!$I$132*DEMANDA!O19</f>
        <v>2.958</v>
      </c>
      <c r="R113" s="24" t="s">
        <v>2755</v>
      </c>
    </row>
    <row r="114" customFormat="false" ht="15" hidden="false" customHeight="false" outlineLevel="1" collapsed="false">
      <c r="A114" s="24" t="n">
        <v>1</v>
      </c>
      <c r="B114" s="24" t="s">
        <v>1839</v>
      </c>
      <c r="C114" s="40" t="s">
        <v>2763</v>
      </c>
      <c r="D114" s="24" t="s">
        <v>73</v>
      </c>
      <c r="E114" s="24" t="s">
        <v>279</v>
      </c>
      <c r="F114" s="41" t="n">
        <f aca="false">PROCESO!$I$134</f>
        <v>0.463</v>
      </c>
      <c r="G114" s="24" t="s">
        <v>2281</v>
      </c>
      <c r="H114" s="42" t="n">
        <f aca="false">PROCESO!$I$134*DEMANDA!F19</f>
        <v>0</v>
      </c>
      <c r="I114" s="42" t="n">
        <f aca="false">PROCESO!$I$134*DEMANDA!G19</f>
        <v>0</v>
      </c>
      <c r="J114" s="42" t="n">
        <f aca="false">PROCESO!$I$134*DEMANDA!H19</f>
        <v>2.1298</v>
      </c>
      <c r="K114" s="42" t="n">
        <f aca="false">PROCESO!$I$134*DEMANDA!I19</f>
        <v>7.408</v>
      </c>
      <c r="L114" s="42" t="n">
        <f aca="false">PROCESO!$I$134*DEMANDA!J19</f>
        <v>13.7048</v>
      </c>
      <c r="M114" s="42" t="n">
        <f aca="false">PROCESO!$I$134*DEMANDA!K19</f>
        <v>19.8164</v>
      </c>
      <c r="N114" s="42" t="n">
        <f aca="false">PROCESO!$I$134*DEMANDA!L19</f>
        <v>27.9652</v>
      </c>
      <c r="O114" s="42" t="n">
        <f aca="false">PROCESO!$I$134*DEMANDA!M19</f>
        <v>36.114</v>
      </c>
      <c r="P114" s="42" t="n">
        <f aca="false">PROCESO!$I$134*DEMANDA!N19</f>
        <v>40.5588</v>
      </c>
      <c r="Q114" s="42" t="n">
        <f aca="false">PROCESO!$I$134*DEMANDA!O19</f>
        <v>47.226</v>
      </c>
      <c r="R114" s="24" t="s">
        <v>2757</v>
      </c>
    </row>
    <row r="115" customFormat="false" ht="15" hidden="false" customHeight="false" outlineLevel="0" collapsed="false">
      <c r="A115" s="38" t="n">
        <v>0</v>
      </c>
      <c r="B115" s="38" t="s">
        <v>899</v>
      </c>
      <c r="C115" s="38" t="s">
        <v>2128</v>
      </c>
      <c r="D115" s="38" t="s">
        <v>82</v>
      </c>
      <c r="E115" s="38"/>
      <c r="F115" s="38"/>
      <c r="G115" s="38"/>
      <c r="H115" s="39" t="n">
        <f aca="false">SUM(H116:H116)</f>
        <v>34.05179136</v>
      </c>
      <c r="I115" s="39" t="n">
        <f aca="false">SUM(I116:I116)</f>
        <v>58.46214745</v>
      </c>
      <c r="J115" s="39" t="n">
        <f aca="false">SUM(J116:J116)</f>
        <v>75.20853998</v>
      </c>
      <c r="K115" s="39" t="n">
        <f aca="false">SUM(K116:K116)</f>
        <v>100.5298529</v>
      </c>
      <c r="L115" s="39" t="n">
        <f aca="false">SUM(L116:L116)</f>
        <v>155.8760035</v>
      </c>
      <c r="M115" s="39" t="n">
        <f aca="false">SUM(M116:M116)</f>
        <v>211.9344827</v>
      </c>
      <c r="N115" s="39" t="n">
        <f aca="false">SUM(N116:N116)</f>
        <v>272.6682332</v>
      </c>
      <c r="O115" s="39" t="n">
        <f aca="false">SUM(O116:O116)</f>
        <v>337.8486707</v>
      </c>
      <c r="P115" s="39" t="n">
        <f aca="false">SUM(P116:P116)</f>
        <v>393.6274156</v>
      </c>
      <c r="Q115" s="39" t="n">
        <f aca="false">SUM(Q116:Q116)</f>
        <v>453.2705332</v>
      </c>
      <c r="R115" s="38"/>
    </row>
    <row r="116" customFormat="false" ht="15" hidden="false" customHeight="false" outlineLevel="1" collapsed="false">
      <c r="A116" s="24" t="n">
        <v>1</v>
      </c>
      <c r="B116" s="24" t="s">
        <v>899</v>
      </c>
      <c r="C116" s="40" t="s">
        <v>2764</v>
      </c>
      <c r="D116" s="24" t="s">
        <v>82</v>
      </c>
      <c r="E116" s="24" t="s">
        <v>245</v>
      </c>
      <c r="F116" s="41" t="n">
        <f aca="false">INDEX((BOM_COEF!R169~BOM_COEF!S169~BOM_COEF!T169~BOM_COEF!U169~BOM_COEF!V169~BOM_COEF!W169~BOM_COEF!X169~BOM_COEF!Y169~BOM_COEF!Z169~BOM_COEF!AA169),1,1,INDEX(P_VAL,MATCH("AÑO_DIS",P_ID,0))-2025)</f>
        <v>1</v>
      </c>
      <c r="G116" s="24" t="s">
        <v>2281</v>
      </c>
      <c r="H116" s="42" t="n">
        <f aca="false">BOM_COEF!R169*DEMANDA!F8</f>
        <v>34.05179136</v>
      </c>
      <c r="I116" s="42" t="n">
        <f aca="false">BOM_COEF!S169*DEMANDA!G8</f>
        <v>58.46214745</v>
      </c>
      <c r="J116" s="42" t="n">
        <f aca="false">BOM_COEF!T169*DEMANDA!H8</f>
        <v>75.20853998</v>
      </c>
      <c r="K116" s="42" t="n">
        <f aca="false">BOM_COEF!U169*DEMANDA!I8</f>
        <v>100.5298529</v>
      </c>
      <c r="L116" s="42" t="n">
        <f aca="false">BOM_COEF!V169*DEMANDA!J8</f>
        <v>155.8760035</v>
      </c>
      <c r="M116" s="42" t="n">
        <f aca="false">BOM_COEF!W169*DEMANDA!K8</f>
        <v>211.9344827</v>
      </c>
      <c r="N116" s="42" t="n">
        <f aca="false">BOM_COEF!X169*DEMANDA!L8</f>
        <v>272.6682332</v>
      </c>
      <c r="O116" s="42" t="n">
        <f aca="false">BOM_COEF!Y169*DEMANDA!M8</f>
        <v>337.8486707</v>
      </c>
      <c r="P116" s="42" t="n">
        <f aca="false">BOM_COEF!Z169*DEMANDA!N8</f>
        <v>393.6274156</v>
      </c>
      <c r="Q116" s="42" t="n">
        <f aca="false">BOM_COEF!AA169*DEMANDA!O8</f>
        <v>453.2705332</v>
      </c>
      <c r="R116" s="24" t="s">
        <v>2765</v>
      </c>
    </row>
    <row r="117" customFormat="false" ht="15" hidden="false" customHeight="false" outlineLevel="0" collapsed="false">
      <c r="A117" s="38" t="n">
        <v>0</v>
      </c>
      <c r="B117" s="38" t="s">
        <v>1030</v>
      </c>
      <c r="C117" s="38" t="s">
        <v>2130</v>
      </c>
      <c r="D117" s="38" t="s">
        <v>82</v>
      </c>
      <c r="E117" s="38"/>
      <c r="F117" s="38"/>
      <c r="G117" s="38"/>
      <c r="H117" s="39" t="n">
        <f aca="false">SUM(H118:H120)</f>
        <v>102.15537409</v>
      </c>
      <c r="I117" s="39" t="n">
        <f aca="false">SUM(I118:I120)</f>
        <v>175.38644237</v>
      </c>
      <c r="J117" s="39" t="n">
        <f aca="false">SUM(J118:J120)</f>
        <v>225.62561998</v>
      </c>
      <c r="K117" s="39" t="n">
        <f aca="false">SUM(K118:K120)</f>
        <v>301.58955885</v>
      </c>
      <c r="L117" s="39" t="n">
        <f aca="false">SUM(L118:L120)</f>
        <v>467.62801049</v>
      </c>
      <c r="M117" s="39" t="n">
        <f aca="false">SUM(M118:M120)</f>
        <v>635.80344817</v>
      </c>
      <c r="N117" s="39" t="n">
        <f aca="false">SUM(N118:N120)</f>
        <v>818.00469941</v>
      </c>
      <c r="O117" s="39" t="n">
        <f aca="false">SUM(O118:O120)</f>
        <v>1013.5460121</v>
      </c>
      <c r="P117" s="39" t="n">
        <f aca="false">SUM(P118:P120)</f>
        <v>1180.8822468</v>
      </c>
      <c r="Q117" s="39" t="n">
        <f aca="false">SUM(Q118:Q120)</f>
        <v>1359.8115997</v>
      </c>
      <c r="R117" s="38"/>
    </row>
    <row r="118" customFormat="false" ht="15" hidden="false" customHeight="false" outlineLevel="1" collapsed="false">
      <c r="A118" s="24" t="n">
        <v>1</v>
      </c>
      <c r="B118" s="24" t="s">
        <v>1030</v>
      </c>
      <c r="C118" s="40" t="s">
        <v>2766</v>
      </c>
      <c r="D118" s="24" t="s">
        <v>82</v>
      </c>
      <c r="E118" s="24" t="s">
        <v>249</v>
      </c>
      <c r="F118" s="41" t="n">
        <f aca="false">INDEX((BOM_COEF!R219~BOM_COEF!S219~BOM_COEF!T219~BOM_COEF!U219~BOM_COEF!V219~BOM_COEF!W219~BOM_COEF!X219~BOM_COEF!Y219~BOM_COEF!Z219~BOM_COEF!AA219),1,1,INDEX(P_VAL,MATCH("AÑO_DIS",P_ID,0))-2025)</f>
        <v>1</v>
      </c>
      <c r="G118" s="24" t="s">
        <v>2281</v>
      </c>
      <c r="H118" s="42" t="n">
        <f aca="false">BOM_COEF!R219*DEMANDA!F9</f>
        <v>74.913941</v>
      </c>
      <c r="I118" s="42" t="n">
        <f aca="false">BOM_COEF!S219*DEMANDA!G9</f>
        <v>128.6167244</v>
      </c>
      <c r="J118" s="42" t="n">
        <f aca="false">BOM_COEF!T219*DEMANDA!H9</f>
        <v>165.458788</v>
      </c>
      <c r="K118" s="42" t="n">
        <f aca="false">BOM_COEF!U219*DEMANDA!I9</f>
        <v>221.1656765</v>
      </c>
      <c r="L118" s="42" t="n">
        <f aca="false">BOM_COEF!V219*DEMANDA!J9</f>
        <v>342.9272077</v>
      </c>
      <c r="M118" s="42" t="n">
        <f aca="false">BOM_COEF!W219*DEMANDA!K9</f>
        <v>466.255862</v>
      </c>
      <c r="N118" s="42" t="n">
        <f aca="false">BOM_COEF!X219*DEMANDA!L9</f>
        <v>599.8701129</v>
      </c>
      <c r="O118" s="42" t="n">
        <f aca="false">BOM_COEF!Y219*DEMANDA!M9</f>
        <v>743.2670756</v>
      </c>
      <c r="P118" s="42" t="n">
        <f aca="false">BOM_COEF!Z219*DEMANDA!N9</f>
        <v>865.9803143</v>
      </c>
      <c r="Q118" s="42" t="n">
        <f aca="false">BOM_COEF!AA219*DEMANDA!O9</f>
        <v>997.1951731</v>
      </c>
      <c r="R118" s="24" t="s">
        <v>2767</v>
      </c>
    </row>
    <row r="119" customFormat="false" ht="15" hidden="false" customHeight="false" outlineLevel="1" collapsed="false">
      <c r="A119" s="24" t="n">
        <v>1</v>
      </c>
      <c r="B119" s="24" t="s">
        <v>1030</v>
      </c>
      <c r="C119" s="40" t="s">
        <v>2768</v>
      </c>
      <c r="D119" s="24" t="s">
        <v>82</v>
      </c>
      <c r="E119" s="24" t="s">
        <v>252</v>
      </c>
      <c r="F119" s="41" t="n">
        <f aca="false">INDEX((BOM_COEF!R269~BOM_COEF!S269~BOM_COEF!T269~BOM_COEF!U269~BOM_COEF!V269~BOM_COEF!W269~BOM_COEF!X269~BOM_COEF!Y269~BOM_COEF!Z269~BOM_COEF!AA269),1,1,INDEX(P_VAL,MATCH("AÑO_DIS",P_ID,0))-2025)</f>
        <v>1</v>
      </c>
      <c r="G119" s="24" t="s">
        <v>2281</v>
      </c>
      <c r="H119" s="42" t="n">
        <f aca="false">BOM_COEF!R269*DEMANDA!F10</f>
        <v>16.34485985</v>
      </c>
      <c r="I119" s="42" t="n">
        <f aca="false">BOM_COEF!S269*DEMANDA!G10</f>
        <v>28.06183078</v>
      </c>
      <c r="J119" s="42" t="n">
        <f aca="false">BOM_COEF!T269*DEMANDA!H10</f>
        <v>36.10009919</v>
      </c>
      <c r="K119" s="42" t="n">
        <f aca="false">BOM_COEF!U269*DEMANDA!I10</f>
        <v>48.25432941</v>
      </c>
      <c r="L119" s="42" t="n">
        <f aca="false">BOM_COEF!V269*DEMANDA!J10</f>
        <v>74.82048167</v>
      </c>
      <c r="M119" s="42" t="n">
        <f aca="false">BOM_COEF!W269*DEMANDA!K10</f>
        <v>101.7285517</v>
      </c>
      <c r="N119" s="42" t="n">
        <f aca="false">BOM_COEF!X269*DEMANDA!L10</f>
        <v>130.8807519</v>
      </c>
      <c r="O119" s="42" t="n">
        <f aca="false">BOM_COEF!Y269*DEMANDA!M10</f>
        <v>162.1673619</v>
      </c>
      <c r="P119" s="42" t="n">
        <f aca="false">BOM_COEF!Z269*DEMANDA!N10</f>
        <v>188.9411595</v>
      </c>
      <c r="Q119" s="42" t="n">
        <f aca="false">BOM_COEF!AA269*DEMANDA!O10</f>
        <v>217.569856</v>
      </c>
      <c r="R119" s="24" t="s">
        <v>2769</v>
      </c>
    </row>
    <row r="120" customFormat="false" ht="15" hidden="false" customHeight="false" outlineLevel="1" collapsed="false">
      <c r="A120" s="24" t="n">
        <v>1</v>
      </c>
      <c r="B120" s="24" t="s">
        <v>1030</v>
      </c>
      <c r="C120" s="40" t="s">
        <v>2770</v>
      </c>
      <c r="D120" s="24" t="s">
        <v>82</v>
      </c>
      <c r="E120" s="24" t="s">
        <v>255</v>
      </c>
      <c r="F120" s="41" t="n">
        <f aca="false">INDEX((BOM_COEF!R320~BOM_COEF!S320~BOM_COEF!T320~BOM_COEF!U320~BOM_COEF!V320~BOM_COEF!W320~BOM_COEF!X320~BOM_COEF!Y320~BOM_COEF!Z320~BOM_COEF!AA320),1,1,INDEX(P_VAL,MATCH("AÑO_DIS",P_ID,0))-2025)</f>
        <v>1</v>
      </c>
      <c r="G120" s="24" t="s">
        <v>2281</v>
      </c>
      <c r="H120" s="42" t="n">
        <f aca="false">BOM_COEF!R320*DEMANDA!F11</f>
        <v>10.89657324</v>
      </c>
      <c r="I120" s="42" t="n">
        <f aca="false">BOM_COEF!S320*DEMANDA!G11</f>
        <v>18.70788719</v>
      </c>
      <c r="J120" s="42" t="n">
        <f aca="false">BOM_COEF!T320*DEMANDA!H11</f>
        <v>24.06673279</v>
      </c>
      <c r="K120" s="42" t="n">
        <f aca="false">BOM_COEF!U320*DEMANDA!I11</f>
        <v>32.16955294</v>
      </c>
      <c r="L120" s="42" t="n">
        <f aca="false">BOM_COEF!V320*DEMANDA!J11</f>
        <v>49.88032112</v>
      </c>
      <c r="M120" s="42" t="n">
        <f aca="false">BOM_COEF!W320*DEMANDA!K11</f>
        <v>67.81903447</v>
      </c>
      <c r="N120" s="42" t="n">
        <f aca="false">BOM_COEF!X320*DEMANDA!L11</f>
        <v>87.25383461</v>
      </c>
      <c r="O120" s="42" t="n">
        <f aca="false">BOM_COEF!Y320*DEMANDA!M11</f>
        <v>108.1115746</v>
      </c>
      <c r="P120" s="42" t="n">
        <f aca="false">BOM_COEF!Z320*DEMANDA!N11</f>
        <v>125.960773</v>
      </c>
      <c r="Q120" s="42" t="n">
        <f aca="false">BOM_COEF!AA320*DEMANDA!O11</f>
        <v>145.0465706</v>
      </c>
      <c r="R120" s="24" t="s">
        <v>2771</v>
      </c>
    </row>
    <row r="121" customFormat="false" ht="15" hidden="false" customHeight="false" outlineLevel="0" collapsed="false">
      <c r="A121" s="38" t="n">
        <v>0</v>
      </c>
      <c r="B121" s="38" t="s">
        <v>510</v>
      </c>
      <c r="C121" s="38" t="s">
        <v>2131</v>
      </c>
      <c r="D121" s="38" t="s">
        <v>82</v>
      </c>
      <c r="E121" s="38"/>
      <c r="F121" s="38"/>
      <c r="G121" s="38"/>
      <c r="H121" s="39" t="n">
        <f aca="false">SUM(H122:H125)</f>
        <v>136.20716545</v>
      </c>
      <c r="I121" s="39" t="n">
        <f aca="false">SUM(I122:I125)</f>
        <v>233.84858982</v>
      </c>
      <c r="J121" s="39" t="n">
        <f aca="false">SUM(J122:J125)</f>
        <v>300.83415996</v>
      </c>
      <c r="K121" s="39" t="n">
        <f aca="false">SUM(K122:K125)</f>
        <v>402.11941175</v>
      </c>
      <c r="L121" s="39" t="n">
        <f aca="false">SUM(L122:L125)</f>
        <v>623.50401399</v>
      </c>
      <c r="M121" s="39" t="n">
        <f aca="false">SUM(M122:M125)</f>
        <v>847.73793087</v>
      </c>
      <c r="N121" s="39" t="n">
        <f aca="false">SUM(N122:N125)</f>
        <v>1090.67293261</v>
      </c>
      <c r="O121" s="39" t="n">
        <f aca="false">SUM(O122:O125)</f>
        <v>1351.3946828</v>
      </c>
      <c r="P121" s="39" t="n">
        <f aca="false">SUM(P122:P125)</f>
        <v>1574.5096624</v>
      </c>
      <c r="Q121" s="39" t="n">
        <f aca="false">SUM(Q122:Q125)</f>
        <v>1813.0821329</v>
      </c>
      <c r="R121" s="38"/>
    </row>
    <row r="122" customFormat="false" ht="15" hidden="false" customHeight="false" outlineLevel="1" collapsed="false">
      <c r="A122" s="24" t="n">
        <v>1</v>
      </c>
      <c r="B122" s="24" t="s">
        <v>510</v>
      </c>
      <c r="C122" s="40" t="s">
        <v>2772</v>
      </c>
      <c r="D122" s="24" t="s">
        <v>82</v>
      </c>
      <c r="E122" s="24" t="s">
        <v>245</v>
      </c>
      <c r="F122" s="41" t="n">
        <f aca="false">INDEX((BOM_COEF!R167~BOM_COEF!S167~BOM_COEF!T167~BOM_COEF!U167~BOM_COEF!V167~BOM_COEF!W167~BOM_COEF!X167~BOM_COEF!Y167~BOM_COEF!Z167~BOM_COEF!AA167),1,1,INDEX(P_VAL,MATCH("AÑO_DIS",P_ID,0))-2025)</f>
        <v>1</v>
      </c>
      <c r="G122" s="24" t="s">
        <v>2281</v>
      </c>
      <c r="H122" s="42" t="n">
        <f aca="false">BOM_COEF!R167*DEMANDA!F8</f>
        <v>34.05179136</v>
      </c>
      <c r="I122" s="42" t="n">
        <f aca="false">BOM_COEF!S167*DEMANDA!G8</f>
        <v>58.46214745</v>
      </c>
      <c r="J122" s="42" t="n">
        <f aca="false">BOM_COEF!T167*DEMANDA!H8</f>
        <v>75.20853998</v>
      </c>
      <c r="K122" s="42" t="n">
        <f aca="false">BOM_COEF!U167*DEMANDA!I8</f>
        <v>100.5298529</v>
      </c>
      <c r="L122" s="42" t="n">
        <f aca="false">BOM_COEF!V167*DEMANDA!J8</f>
        <v>155.8760035</v>
      </c>
      <c r="M122" s="42" t="n">
        <f aca="false">BOM_COEF!W167*DEMANDA!K8</f>
        <v>211.9344827</v>
      </c>
      <c r="N122" s="42" t="n">
        <f aca="false">BOM_COEF!X167*DEMANDA!L8</f>
        <v>272.6682332</v>
      </c>
      <c r="O122" s="42" t="n">
        <f aca="false">BOM_COEF!Y167*DEMANDA!M8</f>
        <v>337.8486707</v>
      </c>
      <c r="P122" s="42" t="n">
        <f aca="false">BOM_COEF!Z167*DEMANDA!N8</f>
        <v>393.6274156</v>
      </c>
      <c r="Q122" s="42" t="n">
        <f aca="false">BOM_COEF!AA167*DEMANDA!O8</f>
        <v>453.2705332</v>
      </c>
      <c r="R122" s="24" t="s">
        <v>2773</v>
      </c>
    </row>
    <row r="123" customFormat="false" ht="15" hidden="false" customHeight="false" outlineLevel="1" collapsed="false">
      <c r="A123" s="24" t="n">
        <v>1</v>
      </c>
      <c r="B123" s="24" t="s">
        <v>510</v>
      </c>
      <c r="C123" s="40" t="s">
        <v>2774</v>
      </c>
      <c r="D123" s="24" t="s">
        <v>82</v>
      </c>
      <c r="E123" s="24" t="s">
        <v>249</v>
      </c>
      <c r="F123" s="41" t="n">
        <f aca="false">INDEX((BOM_COEF!R217~BOM_COEF!S217~BOM_COEF!T217~BOM_COEF!U217~BOM_COEF!V217~BOM_COEF!W217~BOM_COEF!X217~BOM_COEF!Y217~BOM_COEF!Z217~BOM_COEF!AA217),1,1,INDEX(P_VAL,MATCH("AÑO_DIS",P_ID,0))-2025)</f>
        <v>1</v>
      </c>
      <c r="G123" s="24" t="s">
        <v>2281</v>
      </c>
      <c r="H123" s="42" t="n">
        <f aca="false">BOM_COEF!R217*DEMANDA!F9</f>
        <v>74.913941</v>
      </c>
      <c r="I123" s="42" t="n">
        <f aca="false">BOM_COEF!S217*DEMANDA!G9</f>
        <v>128.6167244</v>
      </c>
      <c r="J123" s="42" t="n">
        <f aca="false">BOM_COEF!T217*DEMANDA!H9</f>
        <v>165.458788</v>
      </c>
      <c r="K123" s="42" t="n">
        <f aca="false">BOM_COEF!U217*DEMANDA!I9</f>
        <v>221.1656765</v>
      </c>
      <c r="L123" s="42" t="n">
        <f aca="false">BOM_COEF!V217*DEMANDA!J9</f>
        <v>342.9272077</v>
      </c>
      <c r="M123" s="42" t="n">
        <f aca="false">BOM_COEF!W217*DEMANDA!K9</f>
        <v>466.255862</v>
      </c>
      <c r="N123" s="42" t="n">
        <f aca="false">BOM_COEF!X217*DEMANDA!L9</f>
        <v>599.8701129</v>
      </c>
      <c r="O123" s="42" t="n">
        <f aca="false">BOM_COEF!Y217*DEMANDA!M9</f>
        <v>743.2670756</v>
      </c>
      <c r="P123" s="42" t="n">
        <f aca="false">BOM_COEF!Z217*DEMANDA!N9</f>
        <v>865.9803143</v>
      </c>
      <c r="Q123" s="42" t="n">
        <f aca="false">BOM_COEF!AA217*DEMANDA!O9</f>
        <v>997.1951731</v>
      </c>
      <c r="R123" s="24" t="s">
        <v>2775</v>
      </c>
    </row>
    <row r="124" customFormat="false" ht="15" hidden="false" customHeight="false" outlineLevel="1" collapsed="false">
      <c r="A124" s="24" t="n">
        <v>1</v>
      </c>
      <c r="B124" s="24" t="s">
        <v>510</v>
      </c>
      <c r="C124" s="40" t="s">
        <v>2776</v>
      </c>
      <c r="D124" s="24" t="s">
        <v>82</v>
      </c>
      <c r="E124" s="24" t="s">
        <v>252</v>
      </c>
      <c r="F124" s="41" t="n">
        <f aca="false">INDEX((BOM_COEF!R267~BOM_COEF!S267~BOM_COEF!T267~BOM_COEF!U267~BOM_COEF!V267~BOM_COEF!W267~BOM_COEF!X267~BOM_COEF!Y267~BOM_COEF!Z267~BOM_COEF!AA267),1,1,INDEX(P_VAL,MATCH("AÑO_DIS",P_ID,0))-2025)</f>
        <v>1</v>
      </c>
      <c r="G124" s="24" t="s">
        <v>2281</v>
      </c>
      <c r="H124" s="42" t="n">
        <f aca="false">BOM_COEF!R267*DEMANDA!F10</f>
        <v>16.34485985</v>
      </c>
      <c r="I124" s="42" t="n">
        <f aca="false">BOM_COEF!S267*DEMANDA!G10</f>
        <v>28.06183078</v>
      </c>
      <c r="J124" s="42" t="n">
        <f aca="false">BOM_COEF!T267*DEMANDA!H10</f>
        <v>36.10009919</v>
      </c>
      <c r="K124" s="42" t="n">
        <f aca="false">BOM_COEF!U267*DEMANDA!I10</f>
        <v>48.25432941</v>
      </c>
      <c r="L124" s="42" t="n">
        <f aca="false">BOM_COEF!V267*DEMANDA!J10</f>
        <v>74.82048167</v>
      </c>
      <c r="M124" s="42" t="n">
        <f aca="false">BOM_COEF!W267*DEMANDA!K10</f>
        <v>101.7285517</v>
      </c>
      <c r="N124" s="42" t="n">
        <f aca="false">BOM_COEF!X267*DEMANDA!L10</f>
        <v>130.8807519</v>
      </c>
      <c r="O124" s="42" t="n">
        <f aca="false">BOM_COEF!Y267*DEMANDA!M10</f>
        <v>162.1673619</v>
      </c>
      <c r="P124" s="42" t="n">
        <f aca="false">BOM_COEF!Z267*DEMANDA!N10</f>
        <v>188.9411595</v>
      </c>
      <c r="Q124" s="42" t="n">
        <f aca="false">BOM_COEF!AA267*DEMANDA!O10</f>
        <v>217.569856</v>
      </c>
      <c r="R124" s="24" t="s">
        <v>2777</v>
      </c>
    </row>
    <row r="125" customFormat="false" ht="15" hidden="false" customHeight="false" outlineLevel="1" collapsed="false">
      <c r="A125" s="24" t="n">
        <v>1</v>
      </c>
      <c r="B125" s="24" t="s">
        <v>510</v>
      </c>
      <c r="C125" s="40" t="s">
        <v>2778</v>
      </c>
      <c r="D125" s="24" t="s">
        <v>82</v>
      </c>
      <c r="E125" s="24" t="s">
        <v>255</v>
      </c>
      <c r="F125" s="41" t="n">
        <f aca="false">INDEX((BOM_COEF!R318~BOM_COEF!S318~BOM_COEF!T318~BOM_COEF!U318~BOM_COEF!V318~BOM_COEF!W318~BOM_COEF!X318~BOM_COEF!Y318~BOM_COEF!Z318~BOM_COEF!AA318),1,1,INDEX(P_VAL,MATCH("AÑO_DIS",P_ID,0))-2025)</f>
        <v>1</v>
      </c>
      <c r="G125" s="24" t="s">
        <v>2281</v>
      </c>
      <c r="H125" s="42" t="n">
        <f aca="false">BOM_COEF!R318*DEMANDA!F11</f>
        <v>10.89657324</v>
      </c>
      <c r="I125" s="42" t="n">
        <f aca="false">BOM_COEF!S318*DEMANDA!G11</f>
        <v>18.70788719</v>
      </c>
      <c r="J125" s="42" t="n">
        <f aca="false">BOM_COEF!T318*DEMANDA!H11</f>
        <v>24.06673279</v>
      </c>
      <c r="K125" s="42" t="n">
        <f aca="false">BOM_COEF!U318*DEMANDA!I11</f>
        <v>32.16955294</v>
      </c>
      <c r="L125" s="42" t="n">
        <f aca="false">BOM_COEF!V318*DEMANDA!J11</f>
        <v>49.88032112</v>
      </c>
      <c r="M125" s="42" t="n">
        <f aca="false">BOM_COEF!W318*DEMANDA!K11</f>
        <v>67.81903447</v>
      </c>
      <c r="N125" s="42" t="n">
        <f aca="false">BOM_COEF!X318*DEMANDA!L11</f>
        <v>87.25383461</v>
      </c>
      <c r="O125" s="42" t="n">
        <f aca="false">BOM_COEF!Y318*DEMANDA!M11</f>
        <v>108.1115746</v>
      </c>
      <c r="P125" s="42" t="n">
        <f aca="false">BOM_COEF!Z318*DEMANDA!N11</f>
        <v>125.960773</v>
      </c>
      <c r="Q125" s="42" t="n">
        <f aca="false">BOM_COEF!AA318*DEMANDA!O11</f>
        <v>145.0465706</v>
      </c>
      <c r="R125" s="24" t="s">
        <v>2779</v>
      </c>
    </row>
    <row r="126" customFormat="false" ht="15" hidden="false" customHeight="false" outlineLevel="0" collapsed="false">
      <c r="A126" s="38" t="n">
        <v>0</v>
      </c>
      <c r="B126" s="38" t="s">
        <v>926</v>
      </c>
      <c r="C126" s="38" t="s">
        <v>2140</v>
      </c>
      <c r="D126" s="38" t="s">
        <v>82</v>
      </c>
      <c r="E126" s="38"/>
      <c r="F126" s="38"/>
      <c r="G126" s="38"/>
      <c r="H126" s="39" t="n">
        <f aca="false">SUM(H127:H127)</f>
        <v>34.05179136</v>
      </c>
      <c r="I126" s="39" t="n">
        <f aca="false">SUM(I127:I127)</f>
        <v>58.46214745</v>
      </c>
      <c r="J126" s="39" t="n">
        <f aca="false">SUM(J127:J127)</f>
        <v>75.20853998</v>
      </c>
      <c r="K126" s="39" t="n">
        <f aca="false">SUM(K127:K127)</f>
        <v>100.5298529</v>
      </c>
      <c r="L126" s="39" t="n">
        <f aca="false">SUM(L127:L127)</f>
        <v>155.8760035</v>
      </c>
      <c r="M126" s="39" t="n">
        <f aca="false">SUM(M127:M127)</f>
        <v>211.9344827</v>
      </c>
      <c r="N126" s="39" t="n">
        <f aca="false">SUM(N127:N127)</f>
        <v>272.6682332</v>
      </c>
      <c r="O126" s="39" t="n">
        <f aca="false">SUM(O127:O127)</f>
        <v>337.8486707</v>
      </c>
      <c r="P126" s="39" t="n">
        <f aca="false">SUM(P127:P127)</f>
        <v>393.6274156</v>
      </c>
      <c r="Q126" s="39" t="n">
        <f aca="false">SUM(Q127:Q127)</f>
        <v>453.2705332</v>
      </c>
      <c r="R126" s="38"/>
    </row>
    <row r="127" customFormat="false" ht="15" hidden="false" customHeight="false" outlineLevel="1" collapsed="false">
      <c r="A127" s="24" t="n">
        <v>1</v>
      </c>
      <c r="B127" s="24" t="s">
        <v>926</v>
      </c>
      <c r="C127" s="40" t="s">
        <v>2780</v>
      </c>
      <c r="D127" s="24" t="s">
        <v>82</v>
      </c>
      <c r="E127" s="24" t="s">
        <v>245</v>
      </c>
      <c r="F127" s="41" t="n">
        <f aca="false">INDEX((BOM_COEF!R182~BOM_COEF!S182~BOM_COEF!T182~BOM_COEF!U182~BOM_COEF!V182~BOM_COEF!W182~BOM_COEF!X182~BOM_COEF!Y182~BOM_COEF!Z182~BOM_COEF!AA182),1,1,INDEX(P_VAL,MATCH("AÑO_DIS",P_ID,0))-2025)</f>
        <v>1</v>
      </c>
      <c r="G127" s="24" t="s">
        <v>2281</v>
      </c>
      <c r="H127" s="42" t="n">
        <f aca="false">BOM_COEF!R182*DEMANDA!F8</f>
        <v>34.05179136</v>
      </c>
      <c r="I127" s="42" t="n">
        <f aca="false">BOM_COEF!S182*DEMANDA!G8</f>
        <v>58.46214745</v>
      </c>
      <c r="J127" s="42" t="n">
        <f aca="false">BOM_COEF!T182*DEMANDA!H8</f>
        <v>75.20853998</v>
      </c>
      <c r="K127" s="42" t="n">
        <f aca="false">BOM_COEF!U182*DEMANDA!I8</f>
        <v>100.5298529</v>
      </c>
      <c r="L127" s="42" t="n">
        <f aca="false">BOM_COEF!V182*DEMANDA!J8</f>
        <v>155.8760035</v>
      </c>
      <c r="M127" s="42" t="n">
        <f aca="false">BOM_COEF!W182*DEMANDA!K8</f>
        <v>211.9344827</v>
      </c>
      <c r="N127" s="42" t="n">
        <f aca="false">BOM_COEF!X182*DEMANDA!L8</f>
        <v>272.6682332</v>
      </c>
      <c r="O127" s="42" t="n">
        <f aca="false">BOM_COEF!Y182*DEMANDA!M8</f>
        <v>337.8486707</v>
      </c>
      <c r="P127" s="42" t="n">
        <f aca="false">BOM_COEF!Z182*DEMANDA!N8</f>
        <v>393.6274156</v>
      </c>
      <c r="Q127" s="42" t="n">
        <f aca="false">BOM_COEF!AA182*DEMANDA!O8</f>
        <v>453.2705332</v>
      </c>
      <c r="R127" s="24" t="s">
        <v>2781</v>
      </c>
    </row>
    <row r="128" customFormat="false" ht="15" hidden="false" customHeight="false" outlineLevel="0" collapsed="false">
      <c r="A128" s="38" t="n">
        <v>0</v>
      </c>
      <c r="B128" s="38" t="s">
        <v>1056</v>
      </c>
      <c r="C128" s="38" t="s">
        <v>2141</v>
      </c>
      <c r="D128" s="38" t="s">
        <v>82</v>
      </c>
      <c r="E128" s="38"/>
      <c r="F128" s="38"/>
      <c r="G128" s="38"/>
      <c r="H128" s="39" t="n">
        <f aca="false">SUM(H129:H129)</f>
        <v>74.913941</v>
      </c>
      <c r="I128" s="39" t="n">
        <f aca="false">SUM(I129:I129)</f>
        <v>128.6167244</v>
      </c>
      <c r="J128" s="39" t="n">
        <f aca="false">SUM(J129:J129)</f>
        <v>165.458788</v>
      </c>
      <c r="K128" s="39" t="n">
        <f aca="false">SUM(K129:K129)</f>
        <v>221.1656765</v>
      </c>
      <c r="L128" s="39" t="n">
        <f aca="false">SUM(L129:L129)</f>
        <v>342.9272077</v>
      </c>
      <c r="M128" s="39" t="n">
        <f aca="false">SUM(M129:M129)</f>
        <v>466.255862</v>
      </c>
      <c r="N128" s="39" t="n">
        <f aca="false">SUM(N129:N129)</f>
        <v>599.8701129</v>
      </c>
      <c r="O128" s="39" t="n">
        <f aca="false">SUM(O129:O129)</f>
        <v>743.2670756</v>
      </c>
      <c r="P128" s="39" t="n">
        <f aca="false">SUM(P129:P129)</f>
        <v>865.9803143</v>
      </c>
      <c r="Q128" s="39" t="n">
        <f aca="false">SUM(Q129:Q129)</f>
        <v>997.1951731</v>
      </c>
      <c r="R128" s="38"/>
    </row>
    <row r="129" customFormat="false" ht="15" hidden="false" customHeight="false" outlineLevel="1" collapsed="false">
      <c r="A129" s="24" t="n">
        <v>1</v>
      </c>
      <c r="B129" s="24" t="s">
        <v>1056</v>
      </c>
      <c r="C129" s="40" t="s">
        <v>2782</v>
      </c>
      <c r="D129" s="24" t="s">
        <v>82</v>
      </c>
      <c r="E129" s="24" t="s">
        <v>249</v>
      </c>
      <c r="F129" s="41" t="n">
        <f aca="false">INDEX((BOM_COEF!R231~BOM_COEF!S231~BOM_COEF!T231~BOM_COEF!U231~BOM_COEF!V231~BOM_COEF!W231~BOM_COEF!X231~BOM_COEF!Y231~BOM_COEF!Z231~BOM_COEF!AA231),1,1,INDEX(P_VAL,MATCH("AÑO_DIS",P_ID,0))-2025)</f>
        <v>1</v>
      </c>
      <c r="G129" s="24" t="s">
        <v>2281</v>
      </c>
      <c r="H129" s="42" t="n">
        <f aca="false">BOM_COEF!R231*DEMANDA!F9</f>
        <v>74.913941</v>
      </c>
      <c r="I129" s="42" t="n">
        <f aca="false">BOM_COEF!S231*DEMANDA!G9</f>
        <v>128.6167244</v>
      </c>
      <c r="J129" s="42" t="n">
        <f aca="false">BOM_COEF!T231*DEMANDA!H9</f>
        <v>165.458788</v>
      </c>
      <c r="K129" s="42" t="n">
        <f aca="false">BOM_COEF!U231*DEMANDA!I9</f>
        <v>221.1656765</v>
      </c>
      <c r="L129" s="42" t="n">
        <f aca="false">BOM_COEF!V231*DEMANDA!J9</f>
        <v>342.9272077</v>
      </c>
      <c r="M129" s="42" t="n">
        <f aca="false">BOM_COEF!W231*DEMANDA!K9</f>
        <v>466.255862</v>
      </c>
      <c r="N129" s="42" t="n">
        <f aca="false">BOM_COEF!X231*DEMANDA!L9</f>
        <v>599.8701129</v>
      </c>
      <c r="O129" s="42" t="n">
        <f aca="false">BOM_COEF!Y231*DEMANDA!M9</f>
        <v>743.2670756</v>
      </c>
      <c r="P129" s="42" t="n">
        <f aca="false">BOM_COEF!Z231*DEMANDA!N9</f>
        <v>865.9803143</v>
      </c>
      <c r="Q129" s="42" t="n">
        <f aca="false">BOM_COEF!AA231*DEMANDA!O9</f>
        <v>997.1951731</v>
      </c>
      <c r="R129" s="24" t="s">
        <v>2783</v>
      </c>
    </row>
    <row r="130" customFormat="false" ht="15" hidden="false" customHeight="false" outlineLevel="0" collapsed="false">
      <c r="A130" s="38" t="n">
        <v>0</v>
      </c>
      <c r="B130" s="38" t="s">
        <v>1164</v>
      </c>
      <c r="C130" s="38" t="s">
        <v>2142</v>
      </c>
      <c r="D130" s="38" t="s">
        <v>82</v>
      </c>
      <c r="E130" s="38"/>
      <c r="F130" s="38"/>
      <c r="G130" s="38"/>
      <c r="H130" s="39" t="n">
        <f aca="false">SUM(H131:H131)</f>
        <v>16.34485985</v>
      </c>
      <c r="I130" s="39" t="n">
        <f aca="false">SUM(I131:I131)</f>
        <v>28.06183078</v>
      </c>
      <c r="J130" s="39" t="n">
        <f aca="false">SUM(J131:J131)</f>
        <v>36.10009919</v>
      </c>
      <c r="K130" s="39" t="n">
        <f aca="false">SUM(K131:K131)</f>
        <v>48.25432941</v>
      </c>
      <c r="L130" s="39" t="n">
        <f aca="false">SUM(L131:L131)</f>
        <v>74.82048167</v>
      </c>
      <c r="M130" s="39" t="n">
        <f aca="false">SUM(M131:M131)</f>
        <v>101.7285517</v>
      </c>
      <c r="N130" s="39" t="n">
        <f aca="false">SUM(N131:N131)</f>
        <v>130.8807519</v>
      </c>
      <c r="O130" s="39" t="n">
        <f aca="false">SUM(O131:O131)</f>
        <v>162.1673619</v>
      </c>
      <c r="P130" s="39" t="n">
        <f aca="false">SUM(P131:P131)</f>
        <v>188.9411595</v>
      </c>
      <c r="Q130" s="39" t="n">
        <f aca="false">SUM(Q131:Q131)</f>
        <v>217.569856</v>
      </c>
      <c r="R130" s="38"/>
    </row>
    <row r="131" customFormat="false" ht="15" hidden="false" customHeight="false" outlineLevel="1" collapsed="false">
      <c r="A131" s="24" t="n">
        <v>1</v>
      </c>
      <c r="B131" s="24" t="s">
        <v>1164</v>
      </c>
      <c r="C131" s="40" t="s">
        <v>2784</v>
      </c>
      <c r="D131" s="24" t="s">
        <v>82</v>
      </c>
      <c r="E131" s="24" t="s">
        <v>252</v>
      </c>
      <c r="F131" s="41" t="n">
        <f aca="false">INDEX((BOM_COEF!R281~BOM_COEF!S281~BOM_COEF!T281~BOM_COEF!U281~BOM_COEF!V281~BOM_COEF!W281~BOM_COEF!X281~BOM_COEF!Y281~BOM_COEF!Z281~BOM_COEF!AA281),1,1,INDEX(P_VAL,MATCH("AÑO_DIS",P_ID,0))-2025)</f>
        <v>1</v>
      </c>
      <c r="G131" s="24" t="s">
        <v>2281</v>
      </c>
      <c r="H131" s="42" t="n">
        <f aca="false">BOM_COEF!R281*DEMANDA!F10</f>
        <v>16.34485985</v>
      </c>
      <c r="I131" s="42" t="n">
        <f aca="false">BOM_COEF!S281*DEMANDA!G10</f>
        <v>28.06183078</v>
      </c>
      <c r="J131" s="42" t="n">
        <f aca="false">BOM_COEF!T281*DEMANDA!H10</f>
        <v>36.10009919</v>
      </c>
      <c r="K131" s="42" t="n">
        <f aca="false">BOM_COEF!U281*DEMANDA!I10</f>
        <v>48.25432941</v>
      </c>
      <c r="L131" s="42" t="n">
        <f aca="false">BOM_COEF!V281*DEMANDA!J10</f>
        <v>74.82048167</v>
      </c>
      <c r="M131" s="42" t="n">
        <f aca="false">BOM_COEF!W281*DEMANDA!K10</f>
        <v>101.7285517</v>
      </c>
      <c r="N131" s="42" t="n">
        <f aca="false">BOM_COEF!X281*DEMANDA!L10</f>
        <v>130.8807519</v>
      </c>
      <c r="O131" s="42" t="n">
        <f aca="false">BOM_COEF!Y281*DEMANDA!M10</f>
        <v>162.1673619</v>
      </c>
      <c r="P131" s="42" t="n">
        <f aca="false">BOM_COEF!Z281*DEMANDA!N10</f>
        <v>188.9411595</v>
      </c>
      <c r="Q131" s="42" t="n">
        <f aca="false">BOM_COEF!AA281*DEMANDA!O10</f>
        <v>217.569856</v>
      </c>
      <c r="R131" s="24" t="s">
        <v>2785</v>
      </c>
    </row>
    <row r="132" customFormat="false" ht="15" hidden="false" customHeight="false" outlineLevel="0" collapsed="false">
      <c r="A132" s="38" t="n">
        <v>0</v>
      </c>
      <c r="B132" s="38" t="s">
        <v>1268</v>
      </c>
      <c r="C132" s="38" t="s">
        <v>2143</v>
      </c>
      <c r="D132" s="38" t="s">
        <v>82</v>
      </c>
      <c r="E132" s="38"/>
      <c r="F132" s="38"/>
      <c r="G132" s="38"/>
      <c r="H132" s="39" t="n">
        <f aca="false">SUM(H133:H133)</f>
        <v>10.89657324</v>
      </c>
      <c r="I132" s="39" t="n">
        <f aca="false">SUM(I133:I133)</f>
        <v>18.70788719</v>
      </c>
      <c r="J132" s="39" t="n">
        <f aca="false">SUM(J133:J133)</f>
        <v>24.06673279</v>
      </c>
      <c r="K132" s="39" t="n">
        <f aca="false">SUM(K133:K133)</f>
        <v>32.16955294</v>
      </c>
      <c r="L132" s="39" t="n">
        <f aca="false">SUM(L133:L133)</f>
        <v>49.88032112</v>
      </c>
      <c r="M132" s="39" t="n">
        <f aca="false">SUM(M133:M133)</f>
        <v>67.81903447</v>
      </c>
      <c r="N132" s="39" t="n">
        <f aca="false">SUM(N133:N133)</f>
        <v>87.25383461</v>
      </c>
      <c r="O132" s="39" t="n">
        <f aca="false">SUM(O133:O133)</f>
        <v>108.1115746</v>
      </c>
      <c r="P132" s="39" t="n">
        <f aca="false">SUM(P133:P133)</f>
        <v>125.960773</v>
      </c>
      <c r="Q132" s="39" t="n">
        <f aca="false">SUM(Q133:Q133)</f>
        <v>145.0465706</v>
      </c>
      <c r="R132" s="38"/>
    </row>
    <row r="133" customFormat="false" ht="15" hidden="false" customHeight="false" outlineLevel="1" collapsed="false">
      <c r="A133" s="24" t="n">
        <v>1</v>
      </c>
      <c r="B133" s="24" t="s">
        <v>1268</v>
      </c>
      <c r="C133" s="40" t="s">
        <v>2786</v>
      </c>
      <c r="D133" s="24" t="s">
        <v>82</v>
      </c>
      <c r="E133" s="24" t="s">
        <v>255</v>
      </c>
      <c r="F133" s="41" t="n">
        <f aca="false">INDEX((BOM_COEF!R332~BOM_COEF!S332~BOM_COEF!T332~BOM_COEF!U332~BOM_COEF!V332~BOM_COEF!W332~BOM_COEF!X332~BOM_COEF!Y332~BOM_COEF!Z332~BOM_COEF!AA332),1,1,INDEX(P_VAL,MATCH("AÑO_DIS",P_ID,0))-2025)</f>
        <v>1</v>
      </c>
      <c r="G133" s="24" t="s">
        <v>2281</v>
      </c>
      <c r="H133" s="42" t="n">
        <f aca="false">BOM_COEF!R332*DEMANDA!F11</f>
        <v>10.89657324</v>
      </c>
      <c r="I133" s="42" t="n">
        <f aca="false">BOM_COEF!S332*DEMANDA!G11</f>
        <v>18.70788719</v>
      </c>
      <c r="J133" s="42" t="n">
        <f aca="false">BOM_COEF!T332*DEMANDA!H11</f>
        <v>24.06673279</v>
      </c>
      <c r="K133" s="42" t="n">
        <f aca="false">BOM_COEF!U332*DEMANDA!I11</f>
        <v>32.16955294</v>
      </c>
      <c r="L133" s="42" t="n">
        <f aca="false">BOM_COEF!V332*DEMANDA!J11</f>
        <v>49.88032112</v>
      </c>
      <c r="M133" s="42" t="n">
        <f aca="false">BOM_COEF!W332*DEMANDA!K11</f>
        <v>67.81903447</v>
      </c>
      <c r="N133" s="42" t="n">
        <f aca="false">BOM_COEF!X332*DEMANDA!L11</f>
        <v>87.25383461</v>
      </c>
      <c r="O133" s="42" t="n">
        <f aca="false">BOM_COEF!Y332*DEMANDA!M11</f>
        <v>108.1115746</v>
      </c>
      <c r="P133" s="42" t="n">
        <f aca="false">BOM_COEF!Z332*DEMANDA!N11</f>
        <v>125.960773</v>
      </c>
      <c r="Q133" s="42" t="n">
        <f aca="false">BOM_COEF!AA332*DEMANDA!O11</f>
        <v>145.0465706</v>
      </c>
      <c r="R133" s="24" t="s">
        <v>2787</v>
      </c>
    </row>
    <row r="134" customFormat="false" ht="15" hidden="false" customHeight="false" outlineLevel="0" collapsed="false">
      <c r="A134" s="38" t="n">
        <v>0</v>
      </c>
      <c r="B134" s="38" t="s">
        <v>630</v>
      </c>
      <c r="C134" s="38" t="s">
        <v>2147</v>
      </c>
      <c r="D134" s="38" t="s">
        <v>82</v>
      </c>
      <c r="E134" s="38"/>
      <c r="F134" s="38"/>
      <c r="G134" s="38"/>
      <c r="H134" s="39" t="n">
        <f aca="false">SUM(H135:H136)</f>
        <v>108.96573236</v>
      </c>
      <c r="I134" s="39" t="n">
        <f aca="false">SUM(I135:I136)</f>
        <v>187.07887185</v>
      </c>
      <c r="J134" s="39" t="n">
        <f aca="false">SUM(J135:J136)</f>
        <v>240.66732798</v>
      </c>
      <c r="K134" s="39" t="n">
        <f aca="false">SUM(K135:K136)</f>
        <v>321.6955294</v>
      </c>
      <c r="L134" s="39" t="n">
        <f aca="false">SUM(L135:L136)</f>
        <v>498.8032112</v>
      </c>
      <c r="M134" s="39" t="n">
        <f aca="false">SUM(M135:M136)</f>
        <v>678.1903447</v>
      </c>
      <c r="N134" s="39" t="n">
        <f aca="false">SUM(N135:N136)</f>
        <v>872.5383461</v>
      </c>
      <c r="O134" s="39" t="n">
        <f aca="false">SUM(O135:O136)</f>
        <v>1081.1157463</v>
      </c>
      <c r="P134" s="39" t="n">
        <f aca="false">SUM(P135:P136)</f>
        <v>1259.6077299</v>
      </c>
      <c r="Q134" s="39" t="n">
        <f aca="false">SUM(Q135:Q136)</f>
        <v>1450.4657063</v>
      </c>
      <c r="R134" s="38"/>
    </row>
    <row r="135" customFormat="false" ht="15" hidden="false" customHeight="false" outlineLevel="1" collapsed="false">
      <c r="A135" s="24" t="n">
        <v>1</v>
      </c>
      <c r="B135" s="24" t="s">
        <v>630</v>
      </c>
      <c r="C135" s="40" t="s">
        <v>2788</v>
      </c>
      <c r="D135" s="24" t="s">
        <v>82</v>
      </c>
      <c r="E135" s="24" t="s">
        <v>245</v>
      </c>
      <c r="F135" s="41" t="n">
        <f aca="false">INDEX((BOM_COEF!R168~BOM_COEF!S168~BOM_COEF!T168~BOM_COEF!U168~BOM_COEF!V168~BOM_COEF!W168~BOM_COEF!X168~BOM_COEF!Y168~BOM_COEF!Z168~BOM_COEF!AA168),1,1,INDEX(P_VAL,MATCH("AÑO_DIS",P_ID,0))-2025)</f>
        <v>1</v>
      </c>
      <c r="G135" s="24" t="s">
        <v>2281</v>
      </c>
      <c r="H135" s="42" t="n">
        <f aca="false">BOM_COEF!R168*DEMANDA!F8</f>
        <v>34.05179136</v>
      </c>
      <c r="I135" s="42" t="n">
        <f aca="false">BOM_COEF!S168*DEMANDA!G8</f>
        <v>58.46214745</v>
      </c>
      <c r="J135" s="42" t="n">
        <f aca="false">BOM_COEF!T168*DEMANDA!H8</f>
        <v>75.20853998</v>
      </c>
      <c r="K135" s="42" t="n">
        <f aca="false">BOM_COEF!U168*DEMANDA!I8</f>
        <v>100.5298529</v>
      </c>
      <c r="L135" s="42" t="n">
        <f aca="false">BOM_COEF!V168*DEMANDA!J8</f>
        <v>155.8760035</v>
      </c>
      <c r="M135" s="42" t="n">
        <f aca="false">BOM_COEF!W168*DEMANDA!K8</f>
        <v>211.9344827</v>
      </c>
      <c r="N135" s="42" t="n">
        <f aca="false">BOM_COEF!X168*DEMANDA!L8</f>
        <v>272.6682332</v>
      </c>
      <c r="O135" s="42" t="n">
        <f aca="false">BOM_COEF!Y168*DEMANDA!M8</f>
        <v>337.8486707</v>
      </c>
      <c r="P135" s="42" t="n">
        <f aca="false">BOM_COEF!Z168*DEMANDA!N8</f>
        <v>393.6274156</v>
      </c>
      <c r="Q135" s="42" t="n">
        <f aca="false">BOM_COEF!AA168*DEMANDA!O8</f>
        <v>453.2705332</v>
      </c>
      <c r="R135" s="24" t="s">
        <v>2789</v>
      </c>
    </row>
    <row r="136" customFormat="false" ht="15" hidden="false" customHeight="false" outlineLevel="1" collapsed="false">
      <c r="A136" s="24" t="n">
        <v>1</v>
      </c>
      <c r="B136" s="24" t="s">
        <v>630</v>
      </c>
      <c r="C136" s="40" t="s">
        <v>2790</v>
      </c>
      <c r="D136" s="24" t="s">
        <v>82</v>
      </c>
      <c r="E136" s="24" t="s">
        <v>249</v>
      </c>
      <c r="F136" s="41" t="n">
        <f aca="false">INDEX((BOM_COEF!R218~BOM_COEF!S218~BOM_COEF!T218~BOM_COEF!U218~BOM_COEF!V218~BOM_COEF!W218~BOM_COEF!X218~BOM_COEF!Y218~BOM_COEF!Z218~BOM_COEF!AA218),1,1,INDEX(P_VAL,MATCH("AÑO_DIS",P_ID,0))-2025)</f>
        <v>1</v>
      </c>
      <c r="G136" s="24" t="s">
        <v>2281</v>
      </c>
      <c r="H136" s="42" t="n">
        <f aca="false">BOM_COEF!R218*DEMANDA!F9</f>
        <v>74.913941</v>
      </c>
      <c r="I136" s="42" t="n">
        <f aca="false">BOM_COEF!S218*DEMANDA!G9</f>
        <v>128.6167244</v>
      </c>
      <c r="J136" s="42" t="n">
        <f aca="false">BOM_COEF!T218*DEMANDA!H9</f>
        <v>165.458788</v>
      </c>
      <c r="K136" s="42" t="n">
        <f aca="false">BOM_COEF!U218*DEMANDA!I9</f>
        <v>221.1656765</v>
      </c>
      <c r="L136" s="42" t="n">
        <f aca="false">BOM_COEF!V218*DEMANDA!J9</f>
        <v>342.9272077</v>
      </c>
      <c r="M136" s="42" t="n">
        <f aca="false">BOM_COEF!W218*DEMANDA!K9</f>
        <v>466.255862</v>
      </c>
      <c r="N136" s="42" t="n">
        <f aca="false">BOM_COEF!X218*DEMANDA!L9</f>
        <v>599.8701129</v>
      </c>
      <c r="O136" s="42" t="n">
        <f aca="false">BOM_COEF!Y218*DEMANDA!M9</f>
        <v>743.2670756</v>
      </c>
      <c r="P136" s="42" t="n">
        <f aca="false">BOM_COEF!Z218*DEMANDA!N9</f>
        <v>865.9803143</v>
      </c>
      <c r="Q136" s="42" t="n">
        <f aca="false">BOM_COEF!AA218*DEMANDA!O9</f>
        <v>997.1951731</v>
      </c>
      <c r="R136" s="24" t="s">
        <v>2791</v>
      </c>
    </row>
    <row r="137" customFormat="false" ht="15" hidden="false" customHeight="false" outlineLevel="0" collapsed="false">
      <c r="A137" s="38" t="n">
        <v>0</v>
      </c>
      <c r="B137" s="38" t="s">
        <v>1137</v>
      </c>
      <c r="C137" s="38" t="s">
        <v>2148</v>
      </c>
      <c r="D137" s="38" t="s">
        <v>82</v>
      </c>
      <c r="E137" s="38"/>
      <c r="F137" s="38"/>
      <c r="G137" s="38"/>
      <c r="H137" s="39" t="n">
        <f aca="false">SUM(H138:H139)</f>
        <v>27.24143309</v>
      </c>
      <c r="I137" s="39" t="n">
        <f aca="false">SUM(I138:I139)</f>
        <v>46.76971797</v>
      </c>
      <c r="J137" s="39" t="n">
        <f aca="false">SUM(J138:J139)</f>
        <v>60.16683198</v>
      </c>
      <c r="K137" s="39" t="n">
        <f aca="false">SUM(K138:K139)</f>
        <v>80.42388235</v>
      </c>
      <c r="L137" s="39" t="n">
        <f aca="false">SUM(L138:L139)</f>
        <v>124.70080279</v>
      </c>
      <c r="M137" s="39" t="n">
        <f aca="false">SUM(M138:M139)</f>
        <v>169.54758617</v>
      </c>
      <c r="N137" s="39" t="n">
        <f aca="false">SUM(N138:N139)</f>
        <v>218.13458651</v>
      </c>
      <c r="O137" s="39" t="n">
        <f aca="false">SUM(O138:O139)</f>
        <v>270.2789365</v>
      </c>
      <c r="P137" s="39" t="n">
        <f aca="false">SUM(P138:P139)</f>
        <v>314.9019325</v>
      </c>
      <c r="Q137" s="39" t="n">
        <f aca="false">SUM(Q138:Q139)</f>
        <v>362.6164266</v>
      </c>
      <c r="R137" s="38"/>
    </row>
    <row r="138" customFormat="false" ht="15" hidden="false" customHeight="false" outlineLevel="1" collapsed="false">
      <c r="A138" s="24" t="n">
        <v>1</v>
      </c>
      <c r="B138" s="24" t="s">
        <v>1137</v>
      </c>
      <c r="C138" s="40" t="s">
        <v>2792</v>
      </c>
      <c r="D138" s="24" t="s">
        <v>82</v>
      </c>
      <c r="E138" s="24" t="s">
        <v>252</v>
      </c>
      <c r="F138" s="41" t="n">
        <f aca="false">INDEX((BOM_COEF!R268~BOM_COEF!S268~BOM_COEF!T268~BOM_COEF!U268~BOM_COEF!V268~BOM_COEF!W268~BOM_COEF!X268~BOM_COEF!Y268~BOM_COEF!Z268~BOM_COEF!AA268),1,1,INDEX(P_VAL,MATCH("AÑO_DIS",P_ID,0))-2025)</f>
        <v>1</v>
      </c>
      <c r="G138" s="24" t="s">
        <v>2281</v>
      </c>
      <c r="H138" s="42" t="n">
        <f aca="false">BOM_COEF!R268*DEMANDA!F10</f>
        <v>16.34485985</v>
      </c>
      <c r="I138" s="42" t="n">
        <f aca="false">BOM_COEF!S268*DEMANDA!G10</f>
        <v>28.06183078</v>
      </c>
      <c r="J138" s="42" t="n">
        <f aca="false">BOM_COEF!T268*DEMANDA!H10</f>
        <v>36.10009919</v>
      </c>
      <c r="K138" s="42" t="n">
        <f aca="false">BOM_COEF!U268*DEMANDA!I10</f>
        <v>48.25432941</v>
      </c>
      <c r="L138" s="42" t="n">
        <f aca="false">BOM_COEF!V268*DEMANDA!J10</f>
        <v>74.82048167</v>
      </c>
      <c r="M138" s="42" t="n">
        <f aca="false">BOM_COEF!W268*DEMANDA!K10</f>
        <v>101.7285517</v>
      </c>
      <c r="N138" s="42" t="n">
        <f aca="false">BOM_COEF!X268*DEMANDA!L10</f>
        <v>130.8807519</v>
      </c>
      <c r="O138" s="42" t="n">
        <f aca="false">BOM_COEF!Y268*DEMANDA!M10</f>
        <v>162.1673619</v>
      </c>
      <c r="P138" s="42" t="n">
        <f aca="false">BOM_COEF!Z268*DEMANDA!N10</f>
        <v>188.9411595</v>
      </c>
      <c r="Q138" s="42" t="n">
        <f aca="false">BOM_COEF!AA268*DEMANDA!O10</f>
        <v>217.569856</v>
      </c>
      <c r="R138" s="24" t="s">
        <v>2793</v>
      </c>
    </row>
    <row r="139" customFormat="false" ht="15" hidden="false" customHeight="false" outlineLevel="1" collapsed="false">
      <c r="A139" s="24" t="n">
        <v>1</v>
      </c>
      <c r="B139" s="24" t="s">
        <v>1137</v>
      </c>
      <c r="C139" s="40" t="s">
        <v>2794</v>
      </c>
      <c r="D139" s="24" t="s">
        <v>82</v>
      </c>
      <c r="E139" s="24" t="s">
        <v>255</v>
      </c>
      <c r="F139" s="41" t="n">
        <f aca="false">INDEX((BOM_COEF!R319~BOM_COEF!S319~BOM_COEF!T319~BOM_COEF!U319~BOM_COEF!V319~BOM_COEF!W319~BOM_COEF!X319~BOM_COEF!Y319~BOM_COEF!Z319~BOM_COEF!AA319),1,1,INDEX(P_VAL,MATCH("AÑO_DIS",P_ID,0))-2025)</f>
        <v>1</v>
      </c>
      <c r="G139" s="24" t="s">
        <v>2281</v>
      </c>
      <c r="H139" s="42" t="n">
        <f aca="false">BOM_COEF!R319*DEMANDA!F11</f>
        <v>10.89657324</v>
      </c>
      <c r="I139" s="42" t="n">
        <f aca="false">BOM_COEF!S319*DEMANDA!G11</f>
        <v>18.70788719</v>
      </c>
      <c r="J139" s="42" t="n">
        <f aca="false">BOM_COEF!T319*DEMANDA!H11</f>
        <v>24.06673279</v>
      </c>
      <c r="K139" s="42" t="n">
        <f aca="false">BOM_COEF!U319*DEMANDA!I11</f>
        <v>32.16955294</v>
      </c>
      <c r="L139" s="42" t="n">
        <f aca="false">BOM_COEF!V319*DEMANDA!J11</f>
        <v>49.88032112</v>
      </c>
      <c r="M139" s="42" t="n">
        <f aca="false">BOM_COEF!W319*DEMANDA!K11</f>
        <v>67.81903447</v>
      </c>
      <c r="N139" s="42" t="n">
        <f aca="false">BOM_COEF!X319*DEMANDA!L11</f>
        <v>87.25383461</v>
      </c>
      <c r="O139" s="42" t="n">
        <f aca="false">BOM_COEF!Y319*DEMANDA!M11</f>
        <v>108.1115746</v>
      </c>
      <c r="P139" s="42" t="n">
        <f aca="false">BOM_COEF!Z319*DEMANDA!N11</f>
        <v>125.960773</v>
      </c>
      <c r="Q139" s="42" t="n">
        <f aca="false">BOM_COEF!AA319*DEMANDA!O11</f>
        <v>145.0465706</v>
      </c>
      <c r="R139" s="24" t="s">
        <v>2795</v>
      </c>
    </row>
    <row r="140" customFormat="false" ht="15" hidden="false" customHeight="false" outlineLevel="0" collapsed="false">
      <c r="A140" s="38" t="n">
        <v>0</v>
      </c>
      <c r="B140" s="38" t="s">
        <v>957</v>
      </c>
      <c r="C140" s="38" t="s">
        <v>2159</v>
      </c>
      <c r="D140" s="38" t="s">
        <v>82</v>
      </c>
      <c r="E140" s="38"/>
      <c r="F140" s="38"/>
      <c r="G140" s="38"/>
      <c r="H140" s="39" t="n">
        <f aca="false">SUM(H141:H141)</f>
        <v>68.10358272</v>
      </c>
      <c r="I140" s="39" t="n">
        <f aca="false">SUM(I141:I141)</f>
        <v>116.9242949</v>
      </c>
      <c r="J140" s="39" t="n">
        <f aca="false">SUM(J141:J141)</f>
        <v>150.41707996</v>
      </c>
      <c r="K140" s="39" t="n">
        <f aca="false">SUM(K141:K141)</f>
        <v>201.0597058</v>
      </c>
      <c r="L140" s="39" t="n">
        <f aca="false">SUM(L141:L141)</f>
        <v>311.752007</v>
      </c>
      <c r="M140" s="39" t="n">
        <f aca="false">SUM(M141:M141)</f>
        <v>423.8689654</v>
      </c>
      <c r="N140" s="39" t="n">
        <f aca="false">SUM(N141:N141)</f>
        <v>545.3364664</v>
      </c>
      <c r="O140" s="39" t="n">
        <f aca="false">SUM(O141:O141)</f>
        <v>675.6973414</v>
      </c>
      <c r="P140" s="39" t="n">
        <f aca="false">SUM(P141:P141)</f>
        <v>787.2548312</v>
      </c>
      <c r="Q140" s="39" t="n">
        <f aca="false">SUM(Q141:Q141)</f>
        <v>906.5410664</v>
      </c>
      <c r="R140" s="38"/>
    </row>
    <row r="141" customFormat="false" ht="15" hidden="false" customHeight="false" outlineLevel="1" collapsed="false">
      <c r="A141" s="24" t="n">
        <v>1</v>
      </c>
      <c r="B141" s="24" t="s">
        <v>957</v>
      </c>
      <c r="C141" s="40" t="s">
        <v>2796</v>
      </c>
      <c r="D141" s="24" t="s">
        <v>82</v>
      </c>
      <c r="E141" s="24" t="s">
        <v>245</v>
      </c>
      <c r="F141" s="41" t="n">
        <f aca="false">INDEX((BOM_COEF!R191~BOM_COEF!S191~BOM_COEF!T191~BOM_COEF!U191~BOM_COEF!V191~BOM_COEF!W191~BOM_COEF!X191~BOM_COEF!Y191~BOM_COEF!Z191~BOM_COEF!AA191),1,1,INDEX(P_VAL,MATCH("AÑO_DIS",P_ID,0))-2025)</f>
        <v>2</v>
      </c>
      <c r="G141" s="24" t="s">
        <v>2281</v>
      </c>
      <c r="H141" s="42" t="n">
        <f aca="false">BOM_COEF!R191*DEMANDA!F8</f>
        <v>68.10358272</v>
      </c>
      <c r="I141" s="42" t="n">
        <f aca="false">BOM_COEF!S191*DEMANDA!G8</f>
        <v>116.9242949</v>
      </c>
      <c r="J141" s="42" t="n">
        <f aca="false">BOM_COEF!T191*DEMANDA!H8</f>
        <v>150.41707996</v>
      </c>
      <c r="K141" s="42" t="n">
        <f aca="false">BOM_COEF!U191*DEMANDA!I8</f>
        <v>201.0597058</v>
      </c>
      <c r="L141" s="42" t="n">
        <f aca="false">BOM_COEF!V191*DEMANDA!J8</f>
        <v>311.752007</v>
      </c>
      <c r="M141" s="42" t="n">
        <f aca="false">BOM_COEF!W191*DEMANDA!K8</f>
        <v>423.8689654</v>
      </c>
      <c r="N141" s="42" t="n">
        <f aca="false">BOM_COEF!X191*DEMANDA!L8</f>
        <v>545.3364664</v>
      </c>
      <c r="O141" s="42" t="n">
        <f aca="false">BOM_COEF!Y191*DEMANDA!M8</f>
        <v>675.6973414</v>
      </c>
      <c r="P141" s="42" t="n">
        <f aca="false">BOM_COEF!Z191*DEMANDA!N8</f>
        <v>787.2548312</v>
      </c>
      <c r="Q141" s="42" t="n">
        <f aca="false">BOM_COEF!AA191*DEMANDA!O8</f>
        <v>906.5410664</v>
      </c>
      <c r="R141" s="24" t="s">
        <v>2797</v>
      </c>
    </row>
    <row r="142" customFormat="false" ht="15" hidden="false" customHeight="false" outlineLevel="0" collapsed="false">
      <c r="A142" s="38" t="n">
        <v>0</v>
      </c>
      <c r="B142" s="38" t="s">
        <v>1076</v>
      </c>
      <c r="C142" s="38" t="s">
        <v>2163</v>
      </c>
      <c r="D142" s="38" t="s">
        <v>82</v>
      </c>
      <c r="E142" s="38"/>
      <c r="F142" s="38"/>
      <c r="G142" s="38"/>
      <c r="H142" s="39" t="n">
        <f aca="false">SUM(H143:H143)</f>
        <v>149.827882</v>
      </c>
      <c r="I142" s="39" t="n">
        <f aca="false">SUM(I143:I143)</f>
        <v>257.2334488</v>
      </c>
      <c r="J142" s="39" t="n">
        <f aca="false">SUM(J143:J143)</f>
        <v>330.917576</v>
      </c>
      <c r="K142" s="39" t="n">
        <f aca="false">SUM(K143:K143)</f>
        <v>442.331353</v>
      </c>
      <c r="L142" s="39" t="n">
        <f aca="false">SUM(L143:L143)</f>
        <v>685.8544154</v>
      </c>
      <c r="M142" s="39" t="n">
        <f aca="false">SUM(M143:M143)</f>
        <v>932.511724</v>
      </c>
      <c r="N142" s="39" t="n">
        <f aca="false">SUM(N143:N143)</f>
        <v>1199.7402258</v>
      </c>
      <c r="O142" s="39" t="n">
        <f aca="false">SUM(O143:O143)</f>
        <v>1486.5341512</v>
      </c>
      <c r="P142" s="39" t="n">
        <f aca="false">SUM(P143:P143)</f>
        <v>1731.9606286</v>
      </c>
      <c r="Q142" s="39" t="n">
        <f aca="false">SUM(Q143:Q143)</f>
        <v>1994.3903462</v>
      </c>
      <c r="R142" s="38"/>
    </row>
    <row r="143" customFormat="false" ht="15" hidden="false" customHeight="false" outlineLevel="1" collapsed="false">
      <c r="A143" s="24" t="n">
        <v>1</v>
      </c>
      <c r="B143" s="24" t="s">
        <v>1076</v>
      </c>
      <c r="C143" s="40" t="s">
        <v>2798</v>
      </c>
      <c r="D143" s="24" t="s">
        <v>82</v>
      </c>
      <c r="E143" s="24" t="s">
        <v>249</v>
      </c>
      <c r="F143" s="41" t="n">
        <f aca="false">INDEX((BOM_COEF!R240~BOM_COEF!S240~BOM_COEF!T240~BOM_COEF!U240~BOM_COEF!V240~BOM_COEF!W240~BOM_COEF!X240~BOM_COEF!Y240~BOM_COEF!Z240~BOM_COEF!AA240),1,1,INDEX(P_VAL,MATCH("AÑO_DIS",P_ID,0))-2025)</f>
        <v>2</v>
      </c>
      <c r="G143" s="24" t="s">
        <v>2281</v>
      </c>
      <c r="H143" s="42" t="n">
        <f aca="false">BOM_COEF!R240*DEMANDA!F9</f>
        <v>149.827882</v>
      </c>
      <c r="I143" s="42" t="n">
        <f aca="false">BOM_COEF!S240*DEMANDA!G9</f>
        <v>257.2334488</v>
      </c>
      <c r="J143" s="42" t="n">
        <f aca="false">BOM_COEF!T240*DEMANDA!H9</f>
        <v>330.917576</v>
      </c>
      <c r="K143" s="42" t="n">
        <f aca="false">BOM_COEF!U240*DEMANDA!I9</f>
        <v>442.331353</v>
      </c>
      <c r="L143" s="42" t="n">
        <f aca="false">BOM_COEF!V240*DEMANDA!J9</f>
        <v>685.8544154</v>
      </c>
      <c r="M143" s="42" t="n">
        <f aca="false">BOM_COEF!W240*DEMANDA!K9</f>
        <v>932.511724</v>
      </c>
      <c r="N143" s="42" t="n">
        <f aca="false">BOM_COEF!X240*DEMANDA!L9</f>
        <v>1199.7402258</v>
      </c>
      <c r="O143" s="42" t="n">
        <f aca="false">BOM_COEF!Y240*DEMANDA!M9</f>
        <v>1486.5341512</v>
      </c>
      <c r="P143" s="42" t="n">
        <f aca="false">BOM_COEF!Z240*DEMANDA!N9</f>
        <v>1731.9606286</v>
      </c>
      <c r="Q143" s="42" t="n">
        <f aca="false">BOM_COEF!AA240*DEMANDA!O9</f>
        <v>1994.3903462</v>
      </c>
      <c r="R143" s="24" t="s">
        <v>2799</v>
      </c>
    </row>
    <row r="144" customFormat="false" ht="15" hidden="false" customHeight="false" outlineLevel="0" collapsed="false">
      <c r="A144" s="38" t="n">
        <v>0</v>
      </c>
      <c r="B144" s="38" t="s">
        <v>1184</v>
      </c>
      <c r="C144" s="38" t="s">
        <v>2165</v>
      </c>
      <c r="D144" s="38" t="s">
        <v>82</v>
      </c>
      <c r="E144" s="38"/>
      <c r="F144" s="38"/>
      <c r="G144" s="38"/>
      <c r="H144" s="39" t="n">
        <f aca="false">SUM(H145:H146)</f>
        <v>54.48286618</v>
      </c>
      <c r="I144" s="39" t="n">
        <f aca="false">SUM(I145:I146)</f>
        <v>93.53943594</v>
      </c>
      <c r="J144" s="39" t="n">
        <f aca="false">SUM(J145:J146)</f>
        <v>120.33366396</v>
      </c>
      <c r="K144" s="39" t="n">
        <f aca="false">SUM(K145:K146)</f>
        <v>160.8477647</v>
      </c>
      <c r="L144" s="39" t="n">
        <f aca="false">SUM(L145:L146)</f>
        <v>249.40160558</v>
      </c>
      <c r="M144" s="39" t="n">
        <f aca="false">SUM(M145:M146)</f>
        <v>339.09517234</v>
      </c>
      <c r="N144" s="39" t="n">
        <f aca="false">SUM(N145:N146)</f>
        <v>436.26917302</v>
      </c>
      <c r="O144" s="39" t="n">
        <f aca="false">SUM(O145:O146)</f>
        <v>540.557873</v>
      </c>
      <c r="P144" s="39" t="n">
        <f aca="false">SUM(P145:P146)</f>
        <v>629.803865</v>
      </c>
      <c r="Q144" s="39" t="n">
        <f aca="false">SUM(Q145:Q146)</f>
        <v>725.2328532</v>
      </c>
      <c r="R144" s="38"/>
    </row>
    <row r="145" customFormat="false" ht="15" hidden="false" customHeight="false" outlineLevel="1" collapsed="false">
      <c r="A145" s="24" t="n">
        <v>1</v>
      </c>
      <c r="B145" s="24" t="s">
        <v>1184</v>
      </c>
      <c r="C145" s="40" t="s">
        <v>2800</v>
      </c>
      <c r="D145" s="24" t="s">
        <v>82</v>
      </c>
      <c r="E145" s="24" t="s">
        <v>252</v>
      </c>
      <c r="F145" s="41" t="n">
        <f aca="false">INDEX((BOM_COEF!R290~BOM_COEF!S290~BOM_COEF!T290~BOM_COEF!U290~BOM_COEF!V290~BOM_COEF!W290~BOM_COEF!X290~BOM_COEF!Y290~BOM_COEF!Z290~BOM_COEF!AA290),1,1,INDEX(P_VAL,MATCH("AÑO_DIS",P_ID,0))-2025)</f>
        <v>2</v>
      </c>
      <c r="G145" s="24" t="s">
        <v>2281</v>
      </c>
      <c r="H145" s="42" t="n">
        <f aca="false">BOM_COEF!R290*DEMANDA!F10</f>
        <v>32.6897197</v>
      </c>
      <c r="I145" s="42" t="n">
        <f aca="false">BOM_COEF!S290*DEMANDA!G10</f>
        <v>56.12366156</v>
      </c>
      <c r="J145" s="42" t="n">
        <f aca="false">BOM_COEF!T290*DEMANDA!H10</f>
        <v>72.20019838</v>
      </c>
      <c r="K145" s="42" t="n">
        <f aca="false">BOM_COEF!U290*DEMANDA!I10</f>
        <v>96.50865882</v>
      </c>
      <c r="L145" s="42" t="n">
        <f aca="false">BOM_COEF!V290*DEMANDA!J10</f>
        <v>149.64096334</v>
      </c>
      <c r="M145" s="42" t="n">
        <f aca="false">BOM_COEF!W290*DEMANDA!K10</f>
        <v>203.4571034</v>
      </c>
      <c r="N145" s="42" t="n">
        <f aca="false">BOM_COEF!X290*DEMANDA!L10</f>
        <v>261.7615038</v>
      </c>
      <c r="O145" s="42" t="n">
        <f aca="false">BOM_COEF!Y290*DEMANDA!M10</f>
        <v>324.3347238</v>
      </c>
      <c r="P145" s="42" t="n">
        <f aca="false">BOM_COEF!Z290*DEMANDA!N10</f>
        <v>377.882319</v>
      </c>
      <c r="Q145" s="42" t="n">
        <f aca="false">BOM_COEF!AA290*DEMANDA!O10</f>
        <v>435.139712</v>
      </c>
      <c r="R145" s="24" t="s">
        <v>2801</v>
      </c>
    </row>
    <row r="146" customFormat="false" ht="15" hidden="false" customHeight="false" outlineLevel="1" collapsed="false">
      <c r="A146" s="24" t="n">
        <v>1</v>
      </c>
      <c r="B146" s="24" t="s">
        <v>1184</v>
      </c>
      <c r="C146" s="40" t="s">
        <v>2802</v>
      </c>
      <c r="D146" s="24" t="s">
        <v>82</v>
      </c>
      <c r="E146" s="24" t="s">
        <v>255</v>
      </c>
      <c r="F146" s="41" t="n">
        <f aca="false">INDEX((BOM_COEF!R341~BOM_COEF!S341~BOM_COEF!T341~BOM_COEF!U341~BOM_COEF!V341~BOM_COEF!W341~BOM_COEF!X341~BOM_COEF!Y341~BOM_COEF!Z341~BOM_COEF!AA341),1,1,INDEX(P_VAL,MATCH("AÑO_DIS",P_ID,0))-2025)</f>
        <v>2</v>
      </c>
      <c r="G146" s="24" t="s">
        <v>2281</v>
      </c>
      <c r="H146" s="42" t="n">
        <f aca="false">BOM_COEF!R341*DEMANDA!F11</f>
        <v>21.79314648</v>
      </c>
      <c r="I146" s="42" t="n">
        <f aca="false">BOM_COEF!S341*DEMANDA!G11</f>
        <v>37.41577438</v>
      </c>
      <c r="J146" s="42" t="n">
        <f aca="false">BOM_COEF!T341*DEMANDA!H11</f>
        <v>48.13346558</v>
      </c>
      <c r="K146" s="42" t="n">
        <f aca="false">BOM_COEF!U341*DEMANDA!I11</f>
        <v>64.33910588</v>
      </c>
      <c r="L146" s="42" t="n">
        <f aca="false">BOM_COEF!V341*DEMANDA!J11</f>
        <v>99.76064224</v>
      </c>
      <c r="M146" s="42" t="n">
        <f aca="false">BOM_COEF!W341*DEMANDA!K11</f>
        <v>135.63806894</v>
      </c>
      <c r="N146" s="42" t="n">
        <f aca="false">BOM_COEF!X341*DEMANDA!L11</f>
        <v>174.50766922</v>
      </c>
      <c r="O146" s="42" t="n">
        <f aca="false">BOM_COEF!Y341*DEMANDA!M11</f>
        <v>216.2231492</v>
      </c>
      <c r="P146" s="42" t="n">
        <f aca="false">BOM_COEF!Z341*DEMANDA!N11</f>
        <v>251.921546</v>
      </c>
      <c r="Q146" s="42" t="n">
        <f aca="false">BOM_COEF!AA341*DEMANDA!O11</f>
        <v>290.0931412</v>
      </c>
      <c r="R146" s="24" t="s">
        <v>2803</v>
      </c>
    </row>
    <row r="147" customFormat="false" ht="15" hidden="false" customHeight="false" outlineLevel="0" collapsed="false">
      <c r="A147" s="38" t="n">
        <v>0</v>
      </c>
      <c r="B147" s="38" t="s">
        <v>993</v>
      </c>
      <c r="C147" s="38" t="s">
        <v>2174</v>
      </c>
      <c r="D147" s="38" t="s">
        <v>82</v>
      </c>
      <c r="E147" s="38"/>
      <c r="F147" s="38"/>
      <c r="G147" s="38"/>
      <c r="H147" s="39" t="n">
        <f aca="false">SUM(H148:H148)</f>
        <v>34.05179136</v>
      </c>
      <c r="I147" s="39" t="n">
        <f aca="false">SUM(I148:I148)</f>
        <v>58.46214745</v>
      </c>
      <c r="J147" s="39" t="n">
        <f aca="false">SUM(J148:J148)</f>
        <v>75.20853998</v>
      </c>
      <c r="K147" s="39" t="n">
        <f aca="false">SUM(K148:K148)</f>
        <v>100.5298529</v>
      </c>
      <c r="L147" s="39" t="n">
        <f aca="false">SUM(L148:L148)</f>
        <v>155.8760035</v>
      </c>
      <c r="M147" s="39" t="n">
        <f aca="false">SUM(M148:M148)</f>
        <v>211.9344827</v>
      </c>
      <c r="N147" s="39" t="n">
        <f aca="false">SUM(N148:N148)</f>
        <v>272.6682332</v>
      </c>
      <c r="O147" s="39" t="n">
        <f aca="false">SUM(O148:O148)</f>
        <v>337.8486707</v>
      </c>
      <c r="P147" s="39" t="n">
        <f aca="false">SUM(P148:P148)</f>
        <v>393.6274156</v>
      </c>
      <c r="Q147" s="39" t="n">
        <f aca="false">SUM(Q148:Q148)</f>
        <v>453.2705332</v>
      </c>
      <c r="R147" s="38"/>
    </row>
    <row r="148" customFormat="false" ht="15" hidden="false" customHeight="false" outlineLevel="1" collapsed="false">
      <c r="A148" s="24" t="n">
        <v>1</v>
      </c>
      <c r="B148" s="24" t="s">
        <v>993</v>
      </c>
      <c r="C148" s="40" t="s">
        <v>2804</v>
      </c>
      <c r="D148" s="24" t="s">
        <v>82</v>
      </c>
      <c r="E148" s="24" t="s">
        <v>245</v>
      </c>
      <c r="F148" s="41" t="n">
        <f aca="false">INDEX((BOM_COEF!R200~BOM_COEF!S200~BOM_COEF!T200~BOM_COEF!U200~BOM_COEF!V200~BOM_COEF!W200~BOM_COEF!X200~BOM_COEF!Y200~BOM_COEF!Z200~BOM_COEF!AA200),1,1,INDEX(P_VAL,MATCH("AÑO_DIS",P_ID,0))-2025)</f>
        <v>1</v>
      </c>
      <c r="G148" s="24" t="s">
        <v>2281</v>
      </c>
      <c r="H148" s="42" t="n">
        <f aca="false">BOM_COEF!R200*DEMANDA!F8</f>
        <v>34.05179136</v>
      </c>
      <c r="I148" s="42" t="n">
        <f aca="false">BOM_COEF!S200*DEMANDA!G8</f>
        <v>58.46214745</v>
      </c>
      <c r="J148" s="42" t="n">
        <f aca="false">BOM_COEF!T200*DEMANDA!H8</f>
        <v>75.20853998</v>
      </c>
      <c r="K148" s="42" t="n">
        <f aca="false">BOM_COEF!U200*DEMANDA!I8</f>
        <v>100.5298529</v>
      </c>
      <c r="L148" s="42" t="n">
        <f aca="false">BOM_COEF!V200*DEMANDA!J8</f>
        <v>155.8760035</v>
      </c>
      <c r="M148" s="42" t="n">
        <f aca="false">BOM_COEF!W200*DEMANDA!K8</f>
        <v>211.9344827</v>
      </c>
      <c r="N148" s="42" t="n">
        <f aca="false">BOM_COEF!X200*DEMANDA!L8</f>
        <v>272.6682332</v>
      </c>
      <c r="O148" s="42" t="n">
        <f aca="false">BOM_COEF!Y200*DEMANDA!M8</f>
        <v>337.8486707</v>
      </c>
      <c r="P148" s="42" t="n">
        <f aca="false">BOM_COEF!Z200*DEMANDA!N8</f>
        <v>393.6274156</v>
      </c>
      <c r="Q148" s="42" t="n">
        <f aca="false">BOM_COEF!AA200*DEMANDA!O8</f>
        <v>453.2705332</v>
      </c>
      <c r="R148" s="24" t="s">
        <v>2805</v>
      </c>
    </row>
    <row r="149" customFormat="false" ht="15" hidden="false" customHeight="false" outlineLevel="0" collapsed="false">
      <c r="A149" s="38" t="n">
        <v>0</v>
      </c>
      <c r="B149" s="38" t="s">
        <v>1098</v>
      </c>
      <c r="C149" s="38" t="s">
        <v>2175</v>
      </c>
      <c r="D149" s="38" t="s">
        <v>82</v>
      </c>
      <c r="E149" s="38"/>
      <c r="F149" s="38"/>
      <c r="G149" s="38"/>
      <c r="H149" s="39" t="n">
        <f aca="false">SUM(H150:H150)</f>
        <v>74.913941</v>
      </c>
      <c r="I149" s="39" t="n">
        <f aca="false">SUM(I150:I150)</f>
        <v>128.6167244</v>
      </c>
      <c r="J149" s="39" t="n">
        <f aca="false">SUM(J150:J150)</f>
        <v>165.458788</v>
      </c>
      <c r="K149" s="39" t="n">
        <f aca="false">SUM(K150:K150)</f>
        <v>221.1656765</v>
      </c>
      <c r="L149" s="39" t="n">
        <f aca="false">SUM(L150:L150)</f>
        <v>342.9272077</v>
      </c>
      <c r="M149" s="39" t="n">
        <f aca="false">SUM(M150:M150)</f>
        <v>466.255862</v>
      </c>
      <c r="N149" s="39" t="n">
        <f aca="false">SUM(N150:N150)</f>
        <v>599.8701129</v>
      </c>
      <c r="O149" s="39" t="n">
        <f aca="false">SUM(O150:O150)</f>
        <v>743.2670756</v>
      </c>
      <c r="P149" s="39" t="n">
        <f aca="false">SUM(P150:P150)</f>
        <v>865.9803143</v>
      </c>
      <c r="Q149" s="39" t="n">
        <f aca="false">SUM(Q150:Q150)</f>
        <v>997.1951731</v>
      </c>
      <c r="R149" s="38"/>
    </row>
    <row r="150" customFormat="false" ht="15" hidden="false" customHeight="false" outlineLevel="1" collapsed="false">
      <c r="A150" s="24" t="n">
        <v>1</v>
      </c>
      <c r="B150" s="24" t="s">
        <v>1098</v>
      </c>
      <c r="C150" s="40" t="s">
        <v>2806</v>
      </c>
      <c r="D150" s="24" t="s">
        <v>82</v>
      </c>
      <c r="E150" s="24" t="s">
        <v>249</v>
      </c>
      <c r="F150" s="41" t="n">
        <f aca="false">INDEX((BOM_COEF!R249~BOM_COEF!S249~BOM_COEF!T249~BOM_COEF!U249~BOM_COEF!V249~BOM_COEF!W249~BOM_COEF!X249~BOM_COEF!Y249~BOM_COEF!Z249~BOM_COEF!AA249),1,1,INDEX(P_VAL,MATCH("AÑO_DIS",P_ID,0))-2025)</f>
        <v>1</v>
      </c>
      <c r="G150" s="24" t="s">
        <v>2281</v>
      </c>
      <c r="H150" s="42" t="n">
        <f aca="false">BOM_COEF!R249*DEMANDA!F9</f>
        <v>74.913941</v>
      </c>
      <c r="I150" s="42" t="n">
        <f aca="false">BOM_COEF!S249*DEMANDA!G9</f>
        <v>128.6167244</v>
      </c>
      <c r="J150" s="42" t="n">
        <f aca="false">BOM_COEF!T249*DEMANDA!H9</f>
        <v>165.458788</v>
      </c>
      <c r="K150" s="42" t="n">
        <f aca="false">BOM_COEF!U249*DEMANDA!I9</f>
        <v>221.1656765</v>
      </c>
      <c r="L150" s="42" t="n">
        <f aca="false">BOM_COEF!V249*DEMANDA!J9</f>
        <v>342.9272077</v>
      </c>
      <c r="M150" s="42" t="n">
        <f aca="false">BOM_COEF!W249*DEMANDA!K9</f>
        <v>466.255862</v>
      </c>
      <c r="N150" s="42" t="n">
        <f aca="false">BOM_COEF!X249*DEMANDA!L9</f>
        <v>599.8701129</v>
      </c>
      <c r="O150" s="42" t="n">
        <f aca="false">BOM_COEF!Y249*DEMANDA!M9</f>
        <v>743.2670756</v>
      </c>
      <c r="P150" s="42" t="n">
        <f aca="false">BOM_COEF!Z249*DEMANDA!N9</f>
        <v>865.9803143</v>
      </c>
      <c r="Q150" s="42" t="n">
        <f aca="false">BOM_COEF!AA249*DEMANDA!O9</f>
        <v>997.1951731</v>
      </c>
      <c r="R150" s="24" t="s">
        <v>2807</v>
      </c>
    </row>
    <row r="151" customFormat="false" ht="15" hidden="false" customHeight="false" outlineLevel="0" collapsed="false">
      <c r="A151" s="38" t="n">
        <v>0</v>
      </c>
      <c r="B151" s="38" t="s">
        <v>1205</v>
      </c>
      <c r="C151" s="38" t="s">
        <v>2176</v>
      </c>
      <c r="D151" s="38" t="s">
        <v>82</v>
      </c>
      <c r="E151" s="38"/>
      <c r="F151" s="38"/>
      <c r="G151" s="38"/>
      <c r="H151" s="39" t="n">
        <f aca="false">SUM(H152:H152)</f>
        <v>16.34485985</v>
      </c>
      <c r="I151" s="39" t="n">
        <f aca="false">SUM(I152:I152)</f>
        <v>28.06183078</v>
      </c>
      <c r="J151" s="39" t="n">
        <f aca="false">SUM(J152:J152)</f>
        <v>36.10009919</v>
      </c>
      <c r="K151" s="39" t="n">
        <f aca="false">SUM(K152:K152)</f>
        <v>48.25432941</v>
      </c>
      <c r="L151" s="39" t="n">
        <f aca="false">SUM(L152:L152)</f>
        <v>74.82048167</v>
      </c>
      <c r="M151" s="39" t="n">
        <f aca="false">SUM(M152:M152)</f>
        <v>101.7285517</v>
      </c>
      <c r="N151" s="39" t="n">
        <f aca="false">SUM(N152:N152)</f>
        <v>130.8807519</v>
      </c>
      <c r="O151" s="39" t="n">
        <f aca="false">SUM(O152:O152)</f>
        <v>162.1673619</v>
      </c>
      <c r="P151" s="39" t="n">
        <f aca="false">SUM(P152:P152)</f>
        <v>188.9411595</v>
      </c>
      <c r="Q151" s="39" t="n">
        <f aca="false">SUM(Q152:Q152)</f>
        <v>217.569856</v>
      </c>
      <c r="R151" s="38"/>
    </row>
    <row r="152" customFormat="false" ht="15" hidden="false" customHeight="false" outlineLevel="1" collapsed="false">
      <c r="A152" s="24" t="n">
        <v>1</v>
      </c>
      <c r="B152" s="24" t="s">
        <v>1205</v>
      </c>
      <c r="C152" s="40" t="s">
        <v>2808</v>
      </c>
      <c r="D152" s="24" t="s">
        <v>82</v>
      </c>
      <c r="E152" s="24" t="s">
        <v>252</v>
      </c>
      <c r="F152" s="41" t="n">
        <f aca="false">INDEX((BOM_COEF!R299~BOM_COEF!S299~BOM_COEF!T299~BOM_COEF!U299~BOM_COEF!V299~BOM_COEF!W299~BOM_COEF!X299~BOM_COEF!Y299~BOM_COEF!Z299~BOM_COEF!AA299),1,1,INDEX(P_VAL,MATCH("AÑO_DIS",P_ID,0))-2025)</f>
        <v>1</v>
      </c>
      <c r="G152" s="24" t="s">
        <v>2281</v>
      </c>
      <c r="H152" s="42" t="n">
        <f aca="false">BOM_COEF!R299*DEMANDA!F10</f>
        <v>16.34485985</v>
      </c>
      <c r="I152" s="42" t="n">
        <f aca="false">BOM_COEF!S299*DEMANDA!G10</f>
        <v>28.06183078</v>
      </c>
      <c r="J152" s="42" t="n">
        <f aca="false">BOM_COEF!T299*DEMANDA!H10</f>
        <v>36.10009919</v>
      </c>
      <c r="K152" s="42" t="n">
        <f aca="false">BOM_COEF!U299*DEMANDA!I10</f>
        <v>48.25432941</v>
      </c>
      <c r="L152" s="42" t="n">
        <f aca="false">BOM_COEF!V299*DEMANDA!J10</f>
        <v>74.82048167</v>
      </c>
      <c r="M152" s="42" t="n">
        <f aca="false">BOM_COEF!W299*DEMANDA!K10</f>
        <v>101.7285517</v>
      </c>
      <c r="N152" s="42" t="n">
        <f aca="false">BOM_COEF!X299*DEMANDA!L10</f>
        <v>130.8807519</v>
      </c>
      <c r="O152" s="42" t="n">
        <f aca="false">BOM_COEF!Y299*DEMANDA!M10</f>
        <v>162.1673619</v>
      </c>
      <c r="P152" s="42" t="n">
        <f aca="false">BOM_COEF!Z299*DEMANDA!N10</f>
        <v>188.9411595</v>
      </c>
      <c r="Q152" s="42" t="n">
        <f aca="false">BOM_COEF!AA299*DEMANDA!O10</f>
        <v>217.569856</v>
      </c>
      <c r="R152" s="24" t="s">
        <v>2809</v>
      </c>
    </row>
    <row r="153" customFormat="false" ht="15" hidden="false" customHeight="false" outlineLevel="0" collapsed="false">
      <c r="A153" s="38" t="n">
        <v>0</v>
      </c>
      <c r="B153" s="38" t="s">
        <v>1306</v>
      </c>
      <c r="C153" s="38" t="s">
        <v>2177</v>
      </c>
      <c r="D153" s="38" t="s">
        <v>82</v>
      </c>
      <c r="E153" s="38"/>
      <c r="F153" s="38"/>
      <c r="G153" s="38"/>
      <c r="H153" s="39" t="n">
        <f aca="false">SUM(H154:H154)</f>
        <v>10.89657324</v>
      </c>
      <c r="I153" s="39" t="n">
        <f aca="false">SUM(I154:I154)</f>
        <v>18.70788719</v>
      </c>
      <c r="J153" s="39" t="n">
        <f aca="false">SUM(J154:J154)</f>
        <v>24.06673279</v>
      </c>
      <c r="K153" s="39" t="n">
        <f aca="false">SUM(K154:K154)</f>
        <v>32.16955294</v>
      </c>
      <c r="L153" s="39" t="n">
        <f aca="false">SUM(L154:L154)</f>
        <v>49.88032112</v>
      </c>
      <c r="M153" s="39" t="n">
        <f aca="false">SUM(M154:M154)</f>
        <v>67.81903447</v>
      </c>
      <c r="N153" s="39" t="n">
        <f aca="false">SUM(N154:N154)</f>
        <v>87.25383461</v>
      </c>
      <c r="O153" s="39" t="n">
        <f aca="false">SUM(O154:O154)</f>
        <v>108.1115746</v>
      </c>
      <c r="P153" s="39" t="n">
        <f aca="false">SUM(P154:P154)</f>
        <v>125.960773</v>
      </c>
      <c r="Q153" s="39" t="n">
        <f aca="false">SUM(Q154:Q154)</f>
        <v>145.0465706</v>
      </c>
      <c r="R153" s="38"/>
    </row>
    <row r="154" customFormat="false" ht="15" hidden="false" customHeight="false" outlineLevel="1" collapsed="false">
      <c r="A154" s="24" t="n">
        <v>1</v>
      </c>
      <c r="B154" s="24" t="s">
        <v>1306</v>
      </c>
      <c r="C154" s="40" t="s">
        <v>2810</v>
      </c>
      <c r="D154" s="24" t="s">
        <v>82</v>
      </c>
      <c r="E154" s="24" t="s">
        <v>255</v>
      </c>
      <c r="F154" s="41" t="n">
        <f aca="false">INDEX((BOM_COEF!R350~BOM_COEF!S350~BOM_COEF!T350~BOM_COEF!U350~BOM_COEF!V350~BOM_COEF!W350~BOM_COEF!X350~BOM_COEF!Y350~BOM_COEF!Z350~BOM_COEF!AA350),1,1,INDEX(P_VAL,MATCH("AÑO_DIS",P_ID,0))-2025)</f>
        <v>1</v>
      </c>
      <c r="G154" s="24" t="s">
        <v>2281</v>
      </c>
      <c r="H154" s="42" t="n">
        <f aca="false">BOM_COEF!R350*DEMANDA!F11</f>
        <v>10.89657324</v>
      </c>
      <c r="I154" s="42" t="n">
        <f aca="false">BOM_COEF!S350*DEMANDA!G11</f>
        <v>18.70788719</v>
      </c>
      <c r="J154" s="42" t="n">
        <f aca="false">BOM_COEF!T350*DEMANDA!H11</f>
        <v>24.06673279</v>
      </c>
      <c r="K154" s="42" t="n">
        <f aca="false">BOM_COEF!U350*DEMANDA!I11</f>
        <v>32.16955294</v>
      </c>
      <c r="L154" s="42" t="n">
        <f aca="false">BOM_COEF!V350*DEMANDA!J11</f>
        <v>49.88032112</v>
      </c>
      <c r="M154" s="42" t="n">
        <f aca="false">BOM_COEF!W350*DEMANDA!K11</f>
        <v>67.81903447</v>
      </c>
      <c r="N154" s="42" t="n">
        <f aca="false">BOM_COEF!X350*DEMANDA!L11</f>
        <v>87.25383461</v>
      </c>
      <c r="O154" s="42" t="n">
        <f aca="false">BOM_COEF!Y350*DEMANDA!M11</f>
        <v>108.1115746</v>
      </c>
      <c r="P154" s="42" t="n">
        <f aca="false">BOM_COEF!Z350*DEMANDA!N11</f>
        <v>125.960773</v>
      </c>
      <c r="Q154" s="42" t="n">
        <f aca="false">BOM_COEF!AA350*DEMANDA!O11</f>
        <v>145.0465706</v>
      </c>
      <c r="R154" s="24" t="s">
        <v>2811</v>
      </c>
    </row>
    <row r="155" customFormat="false" ht="15" hidden="false" customHeight="false" outlineLevel="0" collapsed="false">
      <c r="A155" s="38" t="n">
        <v>0</v>
      </c>
      <c r="B155" s="38" t="s">
        <v>581</v>
      </c>
      <c r="C155" s="38" t="s">
        <v>2178</v>
      </c>
      <c r="D155" s="38" t="s">
        <v>82</v>
      </c>
      <c r="E155" s="38"/>
      <c r="F155" s="38"/>
      <c r="G155" s="38"/>
      <c r="H155" s="39" t="n">
        <f aca="false">SUM(H156:H159)</f>
        <v>104.450057594918</v>
      </c>
      <c r="I155" s="39" t="n">
        <f aca="false">SUM(I156:I159)</f>
        <v>179.346725052875</v>
      </c>
      <c r="J155" s="39" t="n">
        <f aca="false">SUM(J156:J159)</f>
        <v>230.721835922038</v>
      </c>
      <c r="K155" s="39" t="n">
        <f aca="false">SUM(K156:K159)</f>
        <v>308.375245693772</v>
      </c>
      <c r="L155" s="39" t="n">
        <f aca="false">SUM(L156:L159)</f>
        <v>478.047084383022</v>
      </c>
      <c r="M155" s="39" t="n">
        <f aca="false">SUM(M156:M159)</f>
        <v>649.73302711383</v>
      </c>
      <c r="N155" s="39" t="n">
        <f aca="false">SUM(N156:N159)</f>
        <v>835.47665199714</v>
      </c>
      <c r="O155" s="39" t="n">
        <f aca="false">SUM(O156:O159)</f>
        <v>1034.43606066611</v>
      </c>
      <c r="P155" s="39" t="n">
        <f aca="false">SUM(P156:P159)</f>
        <v>1204.0671955852</v>
      </c>
      <c r="Q155" s="39" t="n">
        <f aca="false">SUM(Q156:Q159)</f>
        <v>1384.80463384265</v>
      </c>
      <c r="R155" s="38"/>
    </row>
    <row r="156" customFormat="false" ht="15" hidden="false" customHeight="false" outlineLevel="1" collapsed="false">
      <c r="A156" s="24" t="n">
        <v>1</v>
      </c>
      <c r="B156" s="24" t="s">
        <v>581</v>
      </c>
      <c r="C156" s="40" t="s">
        <v>2812</v>
      </c>
      <c r="D156" s="24" t="s">
        <v>82</v>
      </c>
      <c r="E156" s="24" t="s">
        <v>245</v>
      </c>
      <c r="F156" s="41" t="n">
        <f aca="false">INDEX((BOM_COEF!R201~BOM_COEF!S201~BOM_COEF!T201~BOM_COEF!U201~BOM_COEF!V201~BOM_COEF!W201~BOM_COEF!X201~BOM_COEF!Y201~BOM_COEF!Z201~BOM_COEF!AA201),1,1,INDEX(P_VAL,MATCH("AÑO_DIS",P_ID,0))-2025)</f>
        <v>1</v>
      </c>
      <c r="G156" s="24" t="s">
        <v>582</v>
      </c>
      <c r="H156" s="42" t="n">
        <f aca="false">BOM_COEF!R201*DEMANDA!F8*(1-INDEX(PY_VAL,MATCH("P_CABA_NUE",PY_ID,0),1))</f>
        <v>26.1125143968123</v>
      </c>
      <c r="I156" s="42" t="n">
        <f aca="false">BOM_COEF!S201*DEMANDA!G8*(1-INDEX(PY_VAL,MATCH("P_CABA_NUE",PY_ID,0),2))</f>
        <v>44.8366812593841</v>
      </c>
      <c r="J156" s="42" t="n">
        <f aca="false">BOM_COEF!T201*DEMANDA!H8*(1-INDEX(PY_VAL,MATCH("P_CABA_NUE",PY_ID,0),3))</f>
        <v>57.6804589728402</v>
      </c>
      <c r="K156" s="42" t="n">
        <f aca="false">BOM_COEF!U201*DEMANDA!I8*(1-INDEX(PY_VAL,MATCH("P_CABA_NUE",PY_ID,0),4))</f>
        <v>77.0938113946851</v>
      </c>
      <c r="L156" s="42" t="n">
        <f aca="false">BOM_COEF!V201*DEMANDA!J8*(1-INDEX(PY_VAL,MATCH("P_CABA_NUE",PY_ID,0),5))</f>
        <v>119.511771097672</v>
      </c>
      <c r="M156" s="42" t="n">
        <f aca="false">BOM_COEF!W201*DEMANDA!K8*(1-INDEX(PY_VAL,MATCH("P_CABA_NUE",PY_ID,0),6))</f>
        <v>162.433256765045</v>
      </c>
      <c r="N156" s="42" t="n">
        <f aca="false">BOM_COEF!X201*DEMANDA!L8*(1-INDEX(PY_VAL,MATCH("P_CABA_NUE",PY_ID,0),7))</f>
        <v>208.869163035671</v>
      </c>
      <c r="O156" s="42" t="n">
        <f aca="false">BOM_COEF!Y201*DEMANDA!M8*(1-INDEX(PY_VAL,MATCH("P_CABA_NUE",PY_ID,0),8))</f>
        <v>258.609015166527</v>
      </c>
      <c r="P156" s="42" t="n">
        <f aca="false">BOM_COEF!Z201*DEMANDA!N8*(1-INDEX(PY_VAL,MATCH("P_CABA_NUE",PY_ID,0),9))</f>
        <v>301.016798896301</v>
      </c>
      <c r="Q156" s="42" t="n">
        <f aca="false">BOM_COEF!AA201*DEMANDA!O8*(1-INDEX(PY_VAL,MATCH("P_CABA_NUE",PY_ID,0),10))</f>
        <v>346.201158441567</v>
      </c>
      <c r="R156" s="24" t="s">
        <v>2813</v>
      </c>
    </row>
    <row r="157" customFormat="false" ht="15" hidden="false" customHeight="false" outlineLevel="1" collapsed="false">
      <c r="A157" s="24" t="n">
        <v>1</v>
      </c>
      <c r="B157" s="24" t="s">
        <v>581</v>
      </c>
      <c r="C157" s="40" t="s">
        <v>2814</v>
      </c>
      <c r="D157" s="24" t="s">
        <v>82</v>
      </c>
      <c r="E157" s="24" t="s">
        <v>249</v>
      </c>
      <c r="F157" s="41" t="n">
        <f aca="false">INDEX((BOM_COEF!R250~BOM_COEF!S250~BOM_COEF!T250~BOM_COEF!U250~BOM_COEF!V250~BOM_COEF!W250~BOM_COEF!X250~BOM_COEF!Y250~BOM_COEF!Z250~BOM_COEF!AA250),1,1,INDEX(P_VAL,MATCH("AÑO_DIS",P_ID,0))-2025)</f>
        <v>1</v>
      </c>
      <c r="G157" s="24" t="s">
        <v>582</v>
      </c>
      <c r="H157" s="42" t="n">
        <f aca="false">BOM_COEF!R250*DEMANDA!F9*(1-INDEX(PY_VAL,MATCH("P_CABA_NUE",PY_ID,0),1))</f>
        <v>57.4475316791219</v>
      </c>
      <c r="I157" s="42" t="n">
        <f aca="false">BOM_COEF!S250*DEMANDA!G9*(1-INDEX(PY_VAL,MATCH("P_CABA_NUE",PY_ID,0),2))</f>
        <v>98.6406987783143</v>
      </c>
      <c r="J157" s="42" t="n">
        <f aca="false">BOM_COEF!T250*DEMANDA!H9*(1-INDEX(PY_VAL,MATCH("P_CABA_NUE",PY_ID,0),3))</f>
        <v>126.897009773994</v>
      </c>
      <c r="K157" s="42" t="n">
        <f aca="false">BOM_COEF!U250*DEMANDA!I9*(1-INDEX(PY_VAL,MATCH("P_CABA_NUE",PY_ID,0),4))</f>
        <v>169.606385160332</v>
      </c>
      <c r="L157" s="42" t="n">
        <f aca="false">BOM_COEF!V250*DEMANDA!J9*(1-INDEX(PY_VAL,MATCH("P_CABA_NUE",PY_ID,0),5))</f>
        <v>262.925896414879</v>
      </c>
      <c r="M157" s="42" t="n">
        <f aca="false">BOM_COEF!W250*DEMANDA!K9*(1-INDEX(PY_VAL,MATCH("P_CABA_NUE",PY_ID,0),6))</f>
        <v>357.353164929085</v>
      </c>
      <c r="N157" s="42" t="n">
        <f aca="false">BOM_COEF!X250*DEMANDA!L9*(1-INDEX(PY_VAL,MATCH("P_CABA_NUE",PY_ID,0),7))</f>
        <v>459.512158571233</v>
      </c>
      <c r="O157" s="42" t="n">
        <f aca="false">BOM_COEF!Y250*DEMANDA!M9*(1-INDEX(PY_VAL,MATCH("P_CABA_NUE",PY_ID,0),8))</f>
        <v>568.939833412286</v>
      </c>
      <c r="P157" s="42" t="n">
        <f aca="false">BOM_COEF!Z250*DEMANDA!N9*(1-INDEX(PY_VAL,MATCH("P_CABA_NUE",PY_ID,0),9))</f>
        <v>662.236957556568</v>
      </c>
      <c r="Q157" s="42" t="n">
        <f aca="false">BOM_COEF!AA250*DEMANDA!O9*(1-INDEX(PY_VAL,MATCH("P_CABA_NUE",PY_ID,0),10))</f>
        <v>761.642548617275</v>
      </c>
      <c r="R157" s="24" t="s">
        <v>2815</v>
      </c>
    </row>
    <row r="158" customFormat="false" ht="15" hidden="false" customHeight="false" outlineLevel="1" collapsed="false">
      <c r="A158" s="24" t="n">
        <v>1</v>
      </c>
      <c r="B158" s="24" t="s">
        <v>581</v>
      </c>
      <c r="C158" s="40" t="s">
        <v>2816</v>
      </c>
      <c r="D158" s="24" t="s">
        <v>82</v>
      </c>
      <c r="E158" s="24" t="s">
        <v>252</v>
      </c>
      <c r="F158" s="41" t="n">
        <f aca="false">INDEX((BOM_COEF!R300~BOM_COEF!S300~BOM_COEF!T300~BOM_COEF!U300~BOM_COEF!V300~BOM_COEF!W300~BOM_COEF!X300~BOM_COEF!Y300~BOM_COEF!Z300~BOM_COEF!AA300),1,1,INDEX(P_VAL,MATCH("AÑO_DIS",P_ID,0))-2025)</f>
        <v>1</v>
      </c>
      <c r="G158" s="24" t="s">
        <v>582</v>
      </c>
      <c r="H158" s="42" t="n">
        <f aca="false">BOM_COEF!R300*DEMANDA!F10*(1-INDEX(PY_VAL,MATCH("P_CABA_NUE",PY_ID,0),1))</f>
        <v>12.5340069083228</v>
      </c>
      <c r="I158" s="42" t="n">
        <f aca="false">BOM_COEF!S300*DEMANDA!G10*(1-INDEX(PY_VAL,MATCH("P_CABA_NUE",PY_ID,0),2))</f>
        <v>21.5216070075721</v>
      </c>
      <c r="J158" s="42" t="n">
        <f aca="false">BOM_COEF!T300*DEMANDA!H10*(1-INDEX(PY_VAL,MATCH("P_CABA_NUE",PY_ID,0),3))</f>
        <v>27.6866203066565</v>
      </c>
      <c r="K158" s="42" t="n">
        <f aca="false">BOM_COEF!U300*DEMANDA!I10*(1-INDEX(PY_VAL,MATCH("P_CABA_NUE",PY_ID,0),4))</f>
        <v>37.0050294832526</v>
      </c>
      <c r="L158" s="42" t="n">
        <f aca="false">BOM_COEF!V300*DEMANDA!J10*(1-INDEX(PY_VAL,MATCH("P_CABA_NUE",PY_ID,0),5))</f>
        <v>57.3656501192156</v>
      </c>
      <c r="M158" s="42" t="n">
        <f aca="false">BOM_COEF!W300*DEMANDA!K10*(1-INDEX(PY_VAL,MATCH("P_CABA_NUE",PY_ID,0),6))</f>
        <v>77.9679632502873</v>
      </c>
      <c r="N158" s="42" t="n">
        <f aca="false">BOM_COEF!X300*DEMANDA!L10*(1-INDEX(PY_VAL,MATCH("P_CABA_NUE",PY_ID,0),7))</f>
        <v>100.257198229545</v>
      </c>
      <c r="O158" s="42" t="n">
        <f aca="false">BOM_COEF!Y300*DEMANDA!M10*(1-INDEX(PY_VAL,MATCH("P_CABA_NUE",PY_ID,0),8))</f>
        <v>124.132327252376</v>
      </c>
      <c r="P158" s="42" t="n">
        <f aca="false">BOM_COEF!Z300*DEMANDA!N10*(1-INDEX(PY_VAL,MATCH("P_CABA_NUE",PY_ID,0),9))</f>
        <v>144.488063479401</v>
      </c>
      <c r="Q158" s="42" t="n">
        <f aca="false">BOM_COEF!AA300*DEMANDA!O10*(1-INDEX(PY_VAL,MATCH("P_CABA_NUE",PY_ID,0),10))</f>
        <v>166.176556100835</v>
      </c>
      <c r="R158" s="24" t="s">
        <v>2817</v>
      </c>
    </row>
    <row r="159" customFormat="false" ht="15" hidden="false" customHeight="false" outlineLevel="1" collapsed="false">
      <c r="A159" s="24" t="n">
        <v>1</v>
      </c>
      <c r="B159" s="24" t="s">
        <v>581</v>
      </c>
      <c r="C159" s="40" t="s">
        <v>2818</v>
      </c>
      <c r="D159" s="24" t="s">
        <v>82</v>
      </c>
      <c r="E159" s="24" t="s">
        <v>255</v>
      </c>
      <c r="F159" s="41" t="n">
        <f aca="false">INDEX((BOM_COEF!R351~BOM_COEF!S351~BOM_COEF!T351~BOM_COEF!U351~BOM_COEF!V351~BOM_COEF!W351~BOM_COEF!X351~BOM_COEF!Y351~BOM_COEF!Z351~BOM_COEF!AA351),1,1,INDEX(P_VAL,MATCH("AÑO_DIS",P_ID,0))-2025)</f>
        <v>1</v>
      </c>
      <c r="G159" s="24" t="s">
        <v>582</v>
      </c>
      <c r="H159" s="42" t="n">
        <f aca="false">BOM_COEF!R351*DEMANDA!F11*(1-INDEX(PY_VAL,MATCH("P_CABA_NUE",PY_ID,0),1))</f>
        <v>8.35600461066082</v>
      </c>
      <c r="I159" s="42" t="n">
        <f aca="false">BOM_COEF!S351*DEMANDA!G11*(1-INDEX(PY_VAL,MATCH("P_CABA_NUE",PY_ID,0),2))</f>
        <v>14.3477380076045</v>
      </c>
      <c r="J159" s="42" t="n">
        <f aca="false">BOM_COEF!T351*DEMANDA!H11*(1-INDEX(PY_VAL,MATCH("P_CABA_NUE",PY_ID,0),3))</f>
        <v>18.4577468685479</v>
      </c>
      <c r="K159" s="42" t="n">
        <f aca="false">BOM_COEF!U351*DEMANDA!I11*(1-INDEX(PY_VAL,MATCH("P_CABA_NUE",PY_ID,0),4))</f>
        <v>24.6700196555017</v>
      </c>
      <c r="L159" s="42" t="n">
        <f aca="false">BOM_COEF!V351*DEMANDA!J11*(1-INDEX(PY_VAL,MATCH("P_CABA_NUE",PY_ID,0),5))</f>
        <v>38.2437667512551</v>
      </c>
      <c r="M159" s="42" t="n">
        <f aca="false">BOM_COEF!W351*DEMANDA!K11*(1-INDEX(PY_VAL,MATCH("P_CABA_NUE",PY_ID,0),6))</f>
        <v>51.9786421694129</v>
      </c>
      <c r="N159" s="42" t="n">
        <f aca="false">BOM_COEF!X351*DEMANDA!L11*(1-INDEX(PY_VAL,MATCH("P_CABA_NUE",PY_ID,0),7))</f>
        <v>66.8381321606904</v>
      </c>
      <c r="O159" s="42" t="n">
        <f aca="false">BOM_COEF!Y351*DEMANDA!M11*(1-INDEX(PY_VAL,MATCH("P_CABA_NUE",PY_ID,0),8))</f>
        <v>82.7548848349175</v>
      </c>
      <c r="P159" s="42" t="n">
        <f aca="false">BOM_COEF!Z351*DEMANDA!N11*(1-INDEX(PY_VAL,MATCH("P_CABA_NUE",PY_ID,0),9))</f>
        <v>96.3253756529342</v>
      </c>
      <c r="Q159" s="42" t="n">
        <f aca="false">BOM_COEF!AA351*DEMANDA!O11*(1-INDEX(PY_VAL,MATCH("P_CABA_NUE",PY_ID,0),10))</f>
        <v>110.784370682971</v>
      </c>
      <c r="R159" s="24" t="s">
        <v>2819</v>
      </c>
    </row>
    <row r="160" customFormat="false" ht="15" hidden="false" customHeight="false" outlineLevel="0" collapsed="false">
      <c r="A160" s="38" t="n">
        <v>0</v>
      </c>
      <c r="B160" s="38" t="s">
        <v>586</v>
      </c>
      <c r="C160" s="38" t="s">
        <v>585</v>
      </c>
      <c r="D160" s="38" t="s">
        <v>82</v>
      </c>
      <c r="E160" s="38"/>
      <c r="F160" s="38"/>
      <c r="G160" s="38"/>
      <c r="H160" s="39" t="n">
        <f aca="false">SUM(H161:H164)</f>
        <v>136.20716545</v>
      </c>
      <c r="I160" s="39" t="n">
        <f aca="false">SUM(I161:I164)</f>
        <v>233.84858982</v>
      </c>
      <c r="J160" s="39" t="n">
        <f aca="false">SUM(J161:J164)</f>
        <v>300.83415996</v>
      </c>
      <c r="K160" s="39" t="n">
        <f aca="false">SUM(K161:K164)</f>
        <v>402.11941175</v>
      </c>
      <c r="L160" s="39" t="n">
        <f aca="false">SUM(L161:L164)</f>
        <v>623.50401399</v>
      </c>
      <c r="M160" s="39" t="n">
        <f aca="false">SUM(M161:M164)</f>
        <v>847.73793087</v>
      </c>
      <c r="N160" s="39" t="n">
        <f aca="false">SUM(N161:N164)</f>
        <v>1090.67293261</v>
      </c>
      <c r="O160" s="39" t="n">
        <f aca="false">SUM(O161:O164)</f>
        <v>1351.3946828</v>
      </c>
      <c r="P160" s="39" t="n">
        <f aca="false">SUM(P161:P164)</f>
        <v>1574.5096624</v>
      </c>
      <c r="Q160" s="39" t="n">
        <f aca="false">SUM(Q161:Q164)</f>
        <v>1813.0821329</v>
      </c>
      <c r="R160" s="38"/>
    </row>
    <row r="161" customFormat="false" ht="15" hidden="false" customHeight="false" outlineLevel="1" collapsed="false">
      <c r="A161" s="24" t="n">
        <v>1</v>
      </c>
      <c r="B161" s="24" t="s">
        <v>586</v>
      </c>
      <c r="C161" s="40" t="s">
        <v>2820</v>
      </c>
      <c r="D161" s="24" t="s">
        <v>82</v>
      </c>
      <c r="E161" s="24" t="s">
        <v>245</v>
      </c>
      <c r="F161" s="41" t="n">
        <f aca="false">INDEX((BOM_COEF!R202~BOM_COEF!S202~BOM_COEF!T202~BOM_COEF!U202~BOM_COEF!V202~BOM_COEF!W202~BOM_COEF!X202~BOM_COEF!Y202~BOM_COEF!Z202~BOM_COEF!AA202),1,1,INDEX(P_VAL,MATCH("AÑO_DIS",P_ID,0))-2025)</f>
        <v>1</v>
      </c>
      <c r="G161" s="24" t="s">
        <v>2281</v>
      </c>
      <c r="H161" s="42" t="n">
        <f aca="false">BOM_COEF!R202*DEMANDA!F8</f>
        <v>34.05179136</v>
      </c>
      <c r="I161" s="42" t="n">
        <f aca="false">BOM_COEF!S202*DEMANDA!G8</f>
        <v>58.46214745</v>
      </c>
      <c r="J161" s="42" t="n">
        <f aca="false">BOM_COEF!T202*DEMANDA!H8</f>
        <v>75.20853998</v>
      </c>
      <c r="K161" s="42" t="n">
        <f aca="false">BOM_COEF!U202*DEMANDA!I8</f>
        <v>100.5298529</v>
      </c>
      <c r="L161" s="42" t="n">
        <f aca="false">BOM_COEF!V202*DEMANDA!J8</f>
        <v>155.8760035</v>
      </c>
      <c r="M161" s="42" t="n">
        <f aca="false">BOM_COEF!W202*DEMANDA!K8</f>
        <v>211.9344827</v>
      </c>
      <c r="N161" s="42" t="n">
        <f aca="false">BOM_COEF!X202*DEMANDA!L8</f>
        <v>272.6682332</v>
      </c>
      <c r="O161" s="42" t="n">
        <f aca="false">BOM_COEF!Y202*DEMANDA!M8</f>
        <v>337.8486707</v>
      </c>
      <c r="P161" s="42" t="n">
        <f aca="false">BOM_COEF!Z202*DEMANDA!N8</f>
        <v>393.6274156</v>
      </c>
      <c r="Q161" s="42" t="n">
        <f aca="false">BOM_COEF!AA202*DEMANDA!O8</f>
        <v>453.2705332</v>
      </c>
      <c r="R161" s="24" t="s">
        <v>2821</v>
      </c>
    </row>
    <row r="162" customFormat="false" ht="15" hidden="false" customHeight="false" outlineLevel="1" collapsed="false">
      <c r="A162" s="24" t="n">
        <v>1</v>
      </c>
      <c r="B162" s="24" t="s">
        <v>586</v>
      </c>
      <c r="C162" s="40" t="s">
        <v>2822</v>
      </c>
      <c r="D162" s="24" t="s">
        <v>82</v>
      </c>
      <c r="E162" s="24" t="s">
        <v>249</v>
      </c>
      <c r="F162" s="41" t="n">
        <f aca="false">INDEX((BOM_COEF!R251~BOM_COEF!S251~BOM_COEF!T251~BOM_COEF!U251~BOM_COEF!V251~BOM_COEF!W251~BOM_COEF!X251~BOM_COEF!Y251~BOM_COEF!Z251~BOM_COEF!AA251),1,1,INDEX(P_VAL,MATCH("AÑO_DIS",P_ID,0))-2025)</f>
        <v>1</v>
      </c>
      <c r="G162" s="24" t="s">
        <v>2281</v>
      </c>
      <c r="H162" s="42" t="n">
        <f aca="false">BOM_COEF!R251*DEMANDA!F9</f>
        <v>74.913941</v>
      </c>
      <c r="I162" s="42" t="n">
        <f aca="false">BOM_COEF!S251*DEMANDA!G9</f>
        <v>128.6167244</v>
      </c>
      <c r="J162" s="42" t="n">
        <f aca="false">BOM_COEF!T251*DEMANDA!H9</f>
        <v>165.458788</v>
      </c>
      <c r="K162" s="42" t="n">
        <f aca="false">BOM_COEF!U251*DEMANDA!I9</f>
        <v>221.1656765</v>
      </c>
      <c r="L162" s="42" t="n">
        <f aca="false">BOM_COEF!V251*DEMANDA!J9</f>
        <v>342.9272077</v>
      </c>
      <c r="M162" s="42" t="n">
        <f aca="false">BOM_COEF!W251*DEMANDA!K9</f>
        <v>466.255862</v>
      </c>
      <c r="N162" s="42" t="n">
        <f aca="false">BOM_COEF!X251*DEMANDA!L9</f>
        <v>599.8701129</v>
      </c>
      <c r="O162" s="42" t="n">
        <f aca="false">BOM_COEF!Y251*DEMANDA!M9</f>
        <v>743.2670756</v>
      </c>
      <c r="P162" s="42" t="n">
        <f aca="false">BOM_COEF!Z251*DEMANDA!N9</f>
        <v>865.9803143</v>
      </c>
      <c r="Q162" s="42" t="n">
        <f aca="false">BOM_COEF!AA251*DEMANDA!O9</f>
        <v>997.1951731</v>
      </c>
      <c r="R162" s="24" t="s">
        <v>2823</v>
      </c>
    </row>
    <row r="163" customFormat="false" ht="15" hidden="false" customHeight="false" outlineLevel="1" collapsed="false">
      <c r="A163" s="24" t="n">
        <v>1</v>
      </c>
      <c r="B163" s="24" t="s">
        <v>586</v>
      </c>
      <c r="C163" s="40" t="s">
        <v>2824</v>
      </c>
      <c r="D163" s="24" t="s">
        <v>82</v>
      </c>
      <c r="E163" s="24" t="s">
        <v>252</v>
      </c>
      <c r="F163" s="41" t="n">
        <f aca="false">INDEX((BOM_COEF!R301~BOM_COEF!S301~BOM_COEF!T301~BOM_COEF!U301~BOM_COEF!V301~BOM_COEF!W301~BOM_COEF!X301~BOM_COEF!Y301~BOM_COEF!Z301~BOM_COEF!AA301),1,1,INDEX(P_VAL,MATCH("AÑO_DIS",P_ID,0))-2025)</f>
        <v>1</v>
      </c>
      <c r="G163" s="24" t="s">
        <v>2281</v>
      </c>
      <c r="H163" s="42" t="n">
        <f aca="false">BOM_COEF!R301*DEMANDA!F10</f>
        <v>16.34485985</v>
      </c>
      <c r="I163" s="42" t="n">
        <f aca="false">BOM_COEF!S301*DEMANDA!G10</f>
        <v>28.06183078</v>
      </c>
      <c r="J163" s="42" t="n">
        <f aca="false">BOM_COEF!T301*DEMANDA!H10</f>
        <v>36.10009919</v>
      </c>
      <c r="K163" s="42" t="n">
        <f aca="false">BOM_COEF!U301*DEMANDA!I10</f>
        <v>48.25432941</v>
      </c>
      <c r="L163" s="42" t="n">
        <f aca="false">BOM_COEF!V301*DEMANDA!J10</f>
        <v>74.82048167</v>
      </c>
      <c r="M163" s="42" t="n">
        <f aca="false">BOM_COEF!W301*DEMANDA!K10</f>
        <v>101.7285517</v>
      </c>
      <c r="N163" s="42" t="n">
        <f aca="false">BOM_COEF!X301*DEMANDA!L10</f>
        <v>130.8807519</v>
      </c>
      <c r="O163" s="42" t="n">
        <f aca="false">BOM_COEF!Y301*DEMANDA!M10</f>
        <v>162.1673619</v>
      </c>
      <c r="P163" s="42" t="n">
        <f aca="false">BOM_COEF!Z301*DEMANDA!N10</f>
        <v>188.9411595</v>
      </c>
      <c r="Q163" s="42" t="n">
        <f aca="false">BOM_COEF!AA301*DEMANDA!O10</f>
        <v>217.569856</v>
      </c>
      <c r="R163" s="24" t="s">
        <v>2825</v>
      </c>
    </row>
    <row r="164" customFormat="false" ht="15" hidden="false" customHeight="false" outlineLevel="1" collapsed="false">
      <c r="A164" s="24" t="n">
        <v>1</v>
      </c>
      <c r="B164" s="24" t="s">
        <v>586</v>
      </c>
      <c r="C164" s="40" t="s">
        <v>2826</v>
      </c>
      <c r="D164" s="24" t="s">
        <v>82</v>
      </c>
      <c r="E164" s="24" t="s">
        <v>255</v>
      </c>
      <c r="F164" s="41" t="n">
        <f aca="false">INDEX((BOM_COEF!R352~BOM_COEF!S352~BOM_COEF!T352~BOM_COEF!U352~BOM_COEF!V352~BOM_COEF!W352~BOM_COEF!X352~BOM_COEF!Y352~BOM_COEF!Z352~BOM_COEF!AA352),1,1,INDEX(P_VAL,MATCH("AÑO_DIS",P_ID,0))-2025)</f>
        <v>1</v>
      </c>
      <c r="G164" s="24" t="s">
        <v>2281</v>
      </c>
      <c r="H164" s="42" t="n">
        <f aca="false">BOM_COEF!R352*DEMANDA!F11</f>
        <v>10.89657324</v>
      </c>
      <c r="I164" s="42" t="n">
        <f aca="false">BOM_COEF!S352*DEMANDA!G11</f>
        <v>18.70788719</v>
      </c>
      <c r="J164" s="42" t="n">
        <f aca="false">BOM_COEF!T352*DEMANDA!H11</f>
        <v>24.06673279</v>
      </c>
      <c r="K164" s="42" t="n">
        <f aca="false">BOM_COEF!U352*DEMANDA!I11</f>
        <v>32.16955294</v>
      </c>
      <c r="L164" s="42" t="n">
        <f aca="false">BOM_COEF!V352*DEMANDA!J11</f>
        <v>49.88032112</v>
      </c>
      <c r="M164" s="42" t="n">
        <f aca="false">BOM_COEF!W352*DEMANDA!K11</f>
        <v>67.81903447</v>
      </c>
      <c r="N164" s="42" t="n">
        <f aca="false">BOM_COEF!X352*DEMANDA!L11</f>
        <v>87.25383461</v>
      </c>
      <c r="O164" s="42" t="n">
        <f aca="false">BOM_COEF!Y352*DEMANDA!M11</f>
        <v>108.1115746</v>
      </c>
      <c r="P164" s="42" t="n">
        <f aca="false">BOM_COEF!Z352*DEMANDA!N11</f>
        <v>125.960773</v>
      </c>
      <c r="Q164" s="42" t="n">
        <f aca="false">BOM_COEF!AA352*DEMANDA!O11</f>
        <v>145.0465706</v>
      </c>
      <c r="R164" s="24" t="s">
        <v>2827</v>
      </c>
    </row>
    <row r="165" customFormat="false" ht="15" hidden="false" customHeight="false" outlineLevel="0" collapsed="false">
      <c r="A165" s="38" t="n">
        <v>0</v>
      </c>
      <c r="B165" s="38" t="s">
        <v>688</v>
      </c>
      <c r="C165" s="38" t="s">
        <v>1374</v>
      </c>
      <c r="D165" s="38" t="s">
        <v>82</v>
      </c>
      <c r="E165" s="38"/>
      <c r="F165" s="38"/>
      <c r="G165" s="38"/>
      <c r="H165" s="39" t="n">
        <f aca="false">SUM(H166:H169)</f>
        <v>31.7571078550822</v>
      </c>
      <c r="I165" s="39" t="n">
        <f aca="false">SUM(I166:I169)</f>
        <v>54.501864767125</v>
      </c>
      <c r="J165" s="39" t="n">
        <f aca="false">SUM(J166:J169)</f>
        <v>70.1123240379618</v>
      </c>
      <c r="K165" s="39" t="n">
        <f aca="false">SUM(K166:K169)</f>
        <v>93.7441660562283</v>
      </c>
      <c r="L165" s="39" t="n">
        <f aca="false">SUM(L166:L169)</f>
        <v>145.456929606978</v>
      </c>
      <c r="M165" s="39" t="n">
        <f aca="false">SUM(M166:M169)</f>
        <v>198.00490375617</v>
      </c>
      <c r="N165" s="39" t="n">
        <f aca="false">SUM(N166:N169)</f>
        <v>255.19628061286</v>
      </c>
      <c r="O165" s="39" t="n">
        <f aca="false">SUM(O166:O169)</f>
        <v>316.958622133893</v>
      </c>
      <c r="P165" s="39" t="n">
        <f aca="false">SUM(P166:P169)</f>
        <v>370.442466814796</v>
      </c>
      <c r="Q165" s="39" t="n">
        <f aca="false">SUM(Q166:Q169)</f>
        <v>428.277499057353</v>
      </c>
      <c r="R165" s="38"/>
    </row>
    <row r="166" customFormat="false" ht="15" hidden="false" customHeight="false" outlineLevel="1" collapsed="false">
      <c r="A166" s="24" t="n">
        <v>1</v>
      </c>
      <c r="B166" s="24" t="s">
        <v>688</v>
      </c>
      <c r="C166" s="40" t="s">
        <v>2828</v>
      </c>
      <c r="D166" s="24" t="s">
        <v>82</v>
      </c>
      <c r="E166" s="24" t="s">
        <v>245</v>
      </c>
      <c r="F166" s="41" t="n">
        <f aca="false">INDEX((BOM_COEF!R203~BOM_COEF!S203~BOM_COEF!T203~BOM_COEF!U203~BOM_COEF!V203~BOM_COEF!W203~BOM_COEF!X203~BOM_COEF!Y203~BOM_COEF!Z203~BOM_COEF!AA203),1,1,INDEX(P_VAL,MATCH("AÑO_DIS",P_ID,0))-2025)</f>
        <v>1</v>
      </c>
      <c r="G166" s="24" t="s">
        <v>689</v>
      </c>
      <c r="H166" s="42" t="n">
        <f aca="false">BOM_COEF!R203*DEMANDA!F8*INDEX(PY_VAL,MATCH("P_CABA_NUE",PY_ID,0),1)</f>
        <v>7.93927696318766</v>
      </c>
      <c r="I166" s="42" t="n">
        <f aca="false">BOM_COEF!S203*DEMANDA!G8*INDEX(PY_VAL,MATCH("P_CABA_NUE",PY_ID,0),2)</f>
        <v>13.6254661906159</v>
      </c>
      <c r="J166" s="42" t="n">
        <f aca="false">BOM_COEF!T203*DEMANDA!H8*INDEX(PY_VAL,MATCH("P_CABA_NUE",PY_ID,0),3)</f>
        <v>17.5280810071598</v>
      </c>
      <c r="K166" s="42" t="n">
        <f aca="false">BOM_COEF!U203*DEMANDA!I8*INDEX(PY_VAL,MATCH("P_CABA_NUE",PY_ID,0),4)</f>
        <v>23.4360415053149</v>
      </c>
      <c r="L166" s="42" t="n">
        <f aca="false">BOM_COEF!V203*DEMANDA!J8*INDEX(PY_VAL,MATCH("P_CABA_NUE",PY_ID,0),5)</f>
        <v>36.3642324023278</v>
      </c>
      <c r="M166" s="42" t="n">
        <f aca="false">BOM_COEF!W203*DEMANDA!K8*INDEX(PY_VAL,MATCH("P_CABA_NUE",PY_ID,0),6)</f>
        <v>49.5012259349551</v>
      </c>
      <c r="N166" s="42" t="n">
        <f aca="false">BOM_COEF!X203*DEMANDA!L8*INDEX(PY_VAL,MATCH("P_CABA_NUE",PY_ID,0),7)</f>
        <v>63.7990701643291</v>
      </c>
      <c r="O166" s="42" t="n">
        <f aca="false">BOM_COEF!Y203*DEMANDA!M8*INDEX(PY_VAL,MATCH("P_CABA_NUE",PY_ID,0),8)</f>
        <v>79.2396555334733</v>
      </c>
      <c r="P166" s="42" t="n">
        <f aca="false">BOM_COEF!Z203*DEMANDA!N8*INDEX(PY_VAL,MATCH("P_CABA_NUE",PY_ID,0),9)</f>
        <v>92.6106167036989</v>
      </c>
      <c r="Q166" s="42" t="n">
        <f aca="false">BOM_COEF!AA203*DEMANDA!O8*INDEX(PY_VAL,MATCH("P_CABA_NUE",PY_ID,0),10)</f>
        <v>107.069374758433</v>
      </c>
      <c r="R166" s="24" t="s">
        <v>2829</v>
      </c>
    </row>
    <row r="167" customFormat="false" ht="15" hidden="false" customHeight="false" outlineLevel="1" collapsed="false">
      <c r="A167" s="24" t="n">
        <v>1</v>
      </c>
      <c r="B167" s="24" t="s">
        <v>688</v>
      </c>
      <c r="C167" s="40" t="s">
        <v>2830</v>
      </c>
      <c r="D167" s="24" t="s">
        <v>82</v>
      </c>
      <c r="E167" s="24" t="s">
        <v>249</v>
      </c>
      <c r="F167" s="41" t="n">
        <f aca="false">INDEX((BOM_COEF!R252~BOM_COEF!S252~BOM_COEF!T252~BOM_COEF!U252~BOM_COEF!V252~BOM_COEF!W252~BOM_COEF!X252~BOM_COEF!Y252~BOM_COEF!Z252~BOM_COEF!AA252),1,1,INDEX(P_VAL,MATCH("AÑO_DIS",P_ID,0))-2025)</f>
        <v>1</v>
      </c>
      <c r="G167" s="24" t="s">
        <v>689</v>
      </c>
      <c r="H167" s="42" t="n">
        <f aca="false">BOM_COEF!R252*DEMANDA!F9*INDEX(PY_VAL,MATCH("P_CABA_NUE",PY_ID,0),1)</f>
        <v>17.4664093208781</v>
      </c>
      <c r="I167" s="42" t="n">
        <f aca="false">BOM_COEF!S252*DEMANDA!G9*INDEX(PY_VAL,MATCH("P_CABA_NUE",PY_ID,0),2)</f>
        <v>29.9760256216857</v>
      </c>
      <c r="J167" s="42" t="n">
        <f aca="false">BOM_COEF!T252*DEMANDA!H9*INDEX(PY_VAL,MATCH("P_CABA_NUE",PY_ID,0),3)</f>
        <v>38.5617782260063</v>
      </c>
      <c r="K167" s="42" t="n">
        <f aca="false">BOM_COEF!U252*DEMANDA!I9*INDEX(PY_VAL,MATCH("P_CABA_NUE",PY_ID,0),4)</f>
        <v>51.5592913396678</v>
      </c>
      <c r="L167" s="42" t="n">
        <f aca="false">BOM_COEF!V252*DEMANDA!J9*INDEX(PY_VAL,MATCH("P_CABA_NUE",PY_ID,0),5)</f>
        <v>80.0013112851211</v>
      </c>
      <c r="M167" s="42" t="n">
        <f aca="false">BOM_COEF!W252*DEMANDA!K9*INDEX(PY_VAL,MATCH("P_CABA_NUE",PY_ID,0),6)</f>
        <v>108.902697070915</v>
      </c>
      <c r="N167" s="42" t="n">
        <f aca="false">BOM_COEF!X252*DEMANDA!L9*INDEX(PY_VAL,MATCH("P_CABA_NUE",PY_ID,0),7)</f>
        <v>140.357954328767</v>
      </c>
      <c r="O167" s="42" t="n">
        <f aca="false">BOM_COEF!Y252*DEMANDA!M9*INDEX(PY_VAL,MATCH("P_CABA_NUE",PY_ID,0),8)</f>
        <v>174.327242187714</v>
      </c>
      <c r="P167" s="42" t="n">
        <f aca="false">BOM_COEF!Z252*DEMANDA!N9*INDEX(PY_VAL,MATCH("P_CABA_NUE",PY_ID,0),9)</f>
        <v>203.743356743432</v>
      </c>
      <c r="Q167" s="42" t="n">
        <f aca="false">BOM_COEF!AA252*DEMANDA!O9*INDEX(PY_VAL,MATCH("P_CABA_NUE",PY_ID,0),10)</f>
        <v>235.552624482725</v>
      </c>
      <c r="R167" s="24" t="s">
        <v>2831</v>
      </c>
    </row>
    <row r="168" customFormat="false" ht="15" hidden="false" customHeight="false" outlineLevel="1" collapsed="false">
      <c r="A168" s="24" t="n">
        <v>1</v>
      </c>
      <c r="B168" s="24" t="s">
        <v>688</v>
      </c>
      <c r="C168" s="40" t="s">
        <v>2832</v>
      </c>
      <c r="D168" s="24" t="s">
        <v>82</v>
      </c>
      <c r="E168" s="24" t="s">
        <v>252</v>
      </c>
      <c r="F168" s="41" t="n">
        <f aca="false">INDEX((BOM_COEF!R302~BOM_COEF!S302~BOM_COEF!T302~BOM_COEF!U302~BOM_COEF!V302~BOM_COEF!W302~BOM_COEF!X302~BOM_COEF!Y302~BOM_COEF!Z302~BOM_COEF!AA302),1,1,INDEX(P_VAL,MATCH("AÑO_DIS",P_ID,0))-2025)</f>
        <v>1</v>
      </c>
      <c r="G168" s="24" t="s">
        <v>689</v>
      </c>
      <c r="H168" s="42" t="n">
        <f aca="false">BOM_COEF!R302*DEMANDA!F10*INDEX(PY_VAL,MATCH("P_CABA_NUE",PY_ID,0),1)</f>
        <v>3.81085294167725</v>
      </c>
      <c r="I168" s="42" t="n">
        <f aca="false">BOM_COEF!S302*DEMANDA!G10*INDEX(PY_VAL,MATCH("P_CABA_NUE",PY_ID,0),2)</f>
        <v>6.5402237724279</v>
      </c>
      <c r="J168" s="42" t="n">
        <f aca="false">BOM_COEF!T302*DEMANDA!H10*INDEX(PY_VAL,MATCH("P_CABA_NUE",PY_ID,0),3)</f>
        <v>8.4134788833435</v>
      </c>
      <c r="K168" s="42" t="n">
        <f aca="false">BOM_COEF!U302*DEMANDA!I10*INDEX(PY_VAL,MATCH("P_CABA_NUE",PY_ID,0),4)</f>
        <v>11.2492999267474</v>
      </c>
      <c r="L168" s="42" t="n">
        <f aca="false">BOM_COEF!V302*DEMANDA!J10*INDEX(PY_VAL,MATCH("P_CABA_NUE",PY_ID,0),5)</f>
        <v>17.4548315507844</v>
      </c>
      <c r="M168" s="42" t="n">
        <f aca="false">BOM_COEF!W302*DEMANDA!K10*INDEX(PY_VAL,MATCH("P_CABA_NUE",PY_ID,0),6)</f>
        <v>23.7605884497127</v>
      </c>
      <c r="N168" s="42" t="n">
        <f aca="false">BOM_COEF!X302*DEMANDA!L10*INDEX(PY_VAL,MATCH("P_CABA_NUE",PY_ID,0),7)</f>
        <v>30.6235536704547</v>
      </c>
      <c r="O168" s="42" t="n">
        <f aca="false">BOM_COEF!Y302*DEMANDA!M10*INDEX(PY_VAL,MATCH("P_CABA_NUE",PY_ID,0),8)</f>
        <v>38.0350346476237</v>
      </c>
      <c r="P168" s="42" t="n">
        <f aca="false">BOM_COEF!Z302*DEMANDA!N10*INDEX(PY_VAL,MATCH("P_CABA_NUE",PY_ID,0),9)</f>
        <v>44.4530960205988</v>
      </c>
      <c r="Q168" s="42" t="n">
        <f aca="false">BOM_COEF!AA302*DEMANDA!O10*INDEX(PY_VAL,MATCH("P_CABA_NUE",PY_ID,0),10)</f>
        <v>51.3932998991655</v>
      </c>
      <c r="R168" s="24" t="s">
        <v>2833</v>
      </c>
    </row>
    <row r="169" customFormat="false" ht="15" hidden="false" customHeight="false" outlineLevel="1" collapsed="false">
      <c r="A169" s="24" t="n">
        <v>1</v>
      </c>
      <c r="B169" s="24" t="s">
        <v>688</v>
      </c>
      <c r="C169" s="40" t="s">
        <v>2834</v>
      </c>
      <c r="D169" s="24" t="s">
        <v>82</v>
      </c>
      <c r="E169" s="24" t="s">
        <v>255</v>
      </c>
      <c r="F169" s="41" t="n">
        <f aca="false">INDEX((BOM_COEF!R353~BOM_COEF!S353~BOM_COEF!T353~BOM_COEF!U353~BOM_COEF!V353~BOM_COEF!W353~BOM_COEF!X353~BOM_COEF!Y353~BOM_COEF!Z353~BOM_COEF!AA353),1,1,INDEX(P_VAL,MATCH("AÑO_DIS",P_ID,0))-2025)</f>
        <v>1</v>
      </c>
      <c r="G169" s="24" t="s">
        <v>689</v>
      </c>
      <c r="H169" s="42" t="n">
        <f aca="false">BOM_COEF!R353*DEMANDA!F11*INDEX(PY_VAL,MATCH("P_CABA_NUE",PY_ID,0),1)</f>
        <v>2.54056862933918</v>
      </c>
      <c r="I169" s="42" t="n">
        <f aca="false">BOM_COEF!S353*DEMANDA!G11*INDEX(PY_VAL,MATCH("P_CABA_NUE",PY_ID,0),2)</f>
        <v>4.36014918239548</v>
      </c>
      <c r="J169" s="42" t="n">
        <f aca="false">BOM_COEF!T353*DEMANDA!H11*INDEX(PY_VAL,MATCH("P_CABA_NUE",PY_ID,0),3)</f>
        <v>5.60898592145214</v>
      </c>
      <c r="K169" s="42" t="n">
        <f aca="false">BOM_COEF!U353*DEMANDA!I11*INDEX(PY_VAL,MATCH("P_CABA_NUE",PY_ID,0),4)</f>
        <v>7.49953328449827</v>
      </c>
      <c r="L169" s="42" t="n">
        <f aca="false">BOM_COEF!V353*DEMANDA!J11*INDEX(PY_VAL,MATCH("P_CABA_NUE",PY_ID,0),5)</f>
        <v>11.6365543687449</v>
      </c>
      <c r="M169" s="42" t="n">
        <f aca="false">BOM_COEF!W353*DEMANDA!K11*INDEX(PY_VAL,MATCH("P_CABA_NUE",PY_ID,0),6)</f>
        <v>15.8403923005871</v>
      </c>
      <c r="N169" s="42" t="n">
        <f aca="false">BOM_COEF!X353*DEMANDA!L11*INDEX(PY_VAL,MATCH("P_CABA_NUE",PY_ID,0),7)</f>
        <v>20.4157024493096</v>
      </c>
      <c r="O169" s="42" t="n">
        <f aca="false">BOM_COEF!Y353*DEMANDA!M11*INDEX(PY_VAL,MATCH("P_CABA_NUE",PY_ID,0),8)</f>
        <v>25.3566897650825</v>
      </c>
      <c r="P169" s="42" t="n">
        <f aca="false">BOM_COEF!Z353*DEMANDA!N11*INDEX(PY_VAL,MATCH("P_CABA_NUE",PY_ID,0),9)</f>
        <v>29.6353973470658</v>
      </c>
      <c r="Q169" s="42" t="n">
        <f aca="false">BOM_COEF!AA353*DEMANDA!O11*INDEX(PY_VAL,MATCH("P_CABA_NUE",PY_ID,0),10)</f>
        <v>34.2621999170293</v>
      </c>
      <c r="R169" s="24" t="s">
        <v>2835</v>
      </c>
    </row>
    <row r="170" customFormat="false" ht="15" hidden="false" customHeight="false" outlineLevel="0" collapsed="false">
      <c r="A170" s="38" t="n">
        <v>0</v>
      </c>
      <c r="B170" s="38" t="s">
        <v>590</v>
      </c>
      <c r="C170" s="38" t="s">
        <v>2190</v>
      </c>
      <c r="D170" s="38" t="s">
        <v>82</v>
      </c>
      <c r="E170" s="38"/>
      <c r="F170" s="38"/>
      <c r="G170" s="38"/>
      <c r="H170" s="39" t="n">
        <f aca="false">SUM(H171:H174)</f>
        <v>136.20716545</v>
      </c>
      <c r="I170" s="39" t="n">
        <f aca="false">SUM(I171:I174)</f>
        <v>233.84858982</v>
      </c>
      <c r="J170" s="39" t="n">
        <f aca="false">SUM(J171:J174)</f>
        <v>300.83415996</v>
      </c>
      <c r="K170" s="39" t="n">
        <f aca="false">SUM(K171:K174)</f>
        <v>402.11941175</v>
      </c>
      <c r="L170" s="39" t="n">
        <f aca="false">SUM(L171:L174)</f>
        <v>623.50401399</v>
      </c>
      <c r="M170" s="39" t="n">
        <f aca="false">SUM(M171:M174)</f>
        <v>847.73793087</v>
      </c>
      <c r="N170" s="39" t="n">
        <f aca="false">SUM(N171:N174)</f>
        <v>1090.67293261</v>
      </c>
      <c r="O170" s="39" t="n">
        <f aca="false">SUM(O171:O174)</f>
        <v>1351.3946828</v>
      </c>
      <c r="P170" s="39" t="n">
        <f aca="false">SUM(P171:P174)</f>
        <v>1574.5096624</v>
      </c>
      <c r="Q170" s="39" t="n">
        <f aca="false">SUM(Q171:Q174)</f>
        <v>1813.0821329</v>
      </c>
      <c r="R170" s="38"/>
    </row>
    <row r="171" customFormat="false" ht="15" hidden="false" customHeight="false" outlineLevel="1" collapsed="false">
      <c r="A171" s="24" t="n">
        <v>1</v>
      </c>
      <c r="B171" s="24" t="s">
        <v>590</v>
      </c>
      <c r="C171" s="40" t="s">
        <v>2836</v>
      </c>
      <c r="D171" s="24" t="s">
        <v>82</v>
      </c>
      <c r="E171" s="24" t="s">
        <v>245</v>
      </c>
      <c r="F171" s="41" t="n">
        <f aca="false">INDEX((BOM_COEF!R204~BOM_COEF!S204~BOM_COEF!T204~BOM_COEF!U204~BOM_COEF!V204~BOM_COEF!W204~BOM_COEF!X204~BOM_COEF!Y204~BOM_COEF!Z204~BOM_COEF!AA204),1,1,INDEX(P_VAL,MATCH("AÑO_DIS",P_ID,0))-2025)</f>
        <v>1</v>
      </c>
      <c r="G171" s="24" t="s">
        <v>2281</v>
      </c>
      <c r="H171" s="42" t="n">
        <f aca="false">BOM_COEF!R204*DEMANDA!F8</f>
        <v>34.05179136</v>
      </c>
      <c r="I171" s="42" t="n">
        <f aca="false">BOM_COEF!S204*DEMANDA!G8</f>
        <v>58.46214745</v>
      </c>
      <c r="J171" s="42" t="n">
        <f aca="false">BOM_COEF!T204*DEMANDA!H8</f>
        <v>75.20853998</v>
      </c>
      <c r="K171" s="42" t="n">
        <f aca="false">BOM_COEF!U204*DEMANDA!I8</f>
        <v>100.5298529</v>
      </c>
      <c r="L171" s="42" t="n">
        <f aca="false">BOM_COEF!V204*DEMANDA!J8</f>
        <v>155.8760035</v>
      </c>
      <c r="M171" s="42" t="n">
        <f aca="false">BOM_COEF!W204*DEMANDA!K8</f>
        <v>211.9344827</v>
      </c>
      <c r="N171" s="42" t="n">
        <f aca="false">BOM_COEF!X204*DEMANDA!L8</f>
        <v>272.6682332</v>
      </c>
      <c r="O171" s="42" t="n">
        <f aca="false">BOM_COEF!Y204*DEMANDA!M8</f>
        <v>337.8486707</v>
      </c>
      <c r="P171" s="42" t="n">
        <f aca="false">BOM_COEF!Z204*DEMANDA!N8</f>
        <v>393.6274156</v>
      </c>
      <c r="Q171" s="42" t="n">
        <f aca="false">BOM_COEF!AA204*DEMANDA!O8</f>
        <v>453.2705332</v>
      </c>
      <c r="R171" s="24" t="s">
        <v>2837</v>
      </c>
    </row>
    <row r="172" customFormat="false" ht="15" hidden="false" customHeight="false" outlineLevel="1" collapsed="false">
      <c r="A172" s="24" t="n">
        <v>1</v>
      </c>
      <c r="B172" s="24" t="s">
        <v>590</v>
      </c>
      <c r="C172" s="40" t="s">
        <v>2838</v>
      </c>
      <c r="D172" s="24" t="s">
        <v>82</v>
      </c>
      <c r="E172" s="24" t="s">
        <v>249</v>
      </c>
      <c r="F172" s="41" t="n">
        <f aca="false">INDEX((BOM_COEF!R253~BOM_COEF!S253~BOM_COEF!T253~BOM_COEF!U253~BOM_COEF!V253~BOM_COEF!W253~BOM_COEF!X253~BOM_COEF!Y253~BOM_COEF!Z253~BOM_COEF!AA253),1,1,INDEX(P_VAL,MATCH("AÑO_DIS",P_ID,0))-2025)</f>
        <v>1</v>
      </c>
      <c r="G172" s="24" t="s">
        <v>2281</v>
      </c>
      <c r="H172" s="42" t="n">
        <f aca="false">BOM_COEF!R253*DEMANDA!F9</f>
        <v>74.913941</v>
      </c>
      <c r="I172" s="42" t="n">
        <f aca="false">BOM_COEF!S253*DEMANDA!G9</f>
        <v>128.6167244</v>
      </c>
      <c r="J172" s="42" t="n">
        <f aca="false">BOM_COEF!T253*DEMANDA!H9</f>
        <v>165.458788</v>
      </c>
      <c r="K172" s="42" t="n">
        <f aca="false">BOM_COEF!U253*DEMANDA!I9</f>
        <v>221.1656765</v>
      </c>
      <c r="L172" s="42" t="n">
        <f aca="false">BOM_COEF!V253*DEMANDA!J9</f>
        <v>342.9272077</v>
      </c>
      <c r="M172" s="42" t="n">
        <f aca="false">BOM_COEF!W253*DEMANDA!K9</f>
        <v>466.255862</v>
      </c>
      <c r="N172" s="42" t="n">
        <f aca="false">BOM_COEF!X253*DEMANDA!L9</f>
        <v>599.8701129</v>
      </c>
      <c r="O172" s="42" t="n">
        <f aca="false">BOM_COEF!Y253*DEMANDA!M9</f>
        <v>743.2670756</v>
      </c>
      <c r="P172" s="42" t="n">
        <f aca="false">BOM_COEF!Z253*DEMANDA!N9</f>
        <v>865.9803143</v>
      </c>
      <c r="Q172" s="42" t="n">
        <f aca="false">BOM_COEF!AA253*DEMANDA!O9</f>
        <v>997.1951731</v>
      </c>
      <c r="R172" s="24" t="s">
        <v>2839</v>
      </c>
    </row>
    <row r="173" customFormat="false" ht="15" hidden="false" customHeight="false" outlineLevel="1" collapsed="false">
      <c r="A173" s="24" t="n">
        <v>1</v>
      </c>
      <c r="B173" s="24" t="s">
        <v>590</v>
      </c>
      <c r="C173" s="40" t="s">
        <v>2840</v>
      </c>
      <c r="D173" s="24" t="s">
        <v>82</v>
      </c>
      <c r="E173" s="24" t="s">
        <v>252</v>
      </c>
      <c r="F173" s="41" t="n">
        <f aca="false">INDEX((BOM_COEF!R303~BOM_COEF!S303~BOM_COEF!T303~BOM_COEF!U303~BOM_COEF!V303~BOM_COEF!W303~BOM_COEF!X303~BOM_COEF!Y303~BOM_COEF!Z303~BOM_COEF!AA303),1,1,INDEX(P_VAL,MATCH("AÑO_DIS",P_ID,0))-2025)</f>
        <v>1</v>
      </c>
      <c r="G173" s="24" t="s">
        <v>2281</v>
      </c>
      <c r="H173" s="42" t="n">
        <f aca="false">BOM_COEF!R303*DEMANDA!F10</f>
        <v>16.34485985</v>
      </c>
      <c r="I173" s="42" t="n">
        <f aca="false">BOM_COEF!S303*DEMANDA!G10</f>
        <v>28.06183078</v>
      </c>
      <c r="J173" s="42" t="n">
        <f aca="false">BOM_COEF!T303*DEMANDA!H10</f>
        <v>36.10009919</v>
      </c>
      <c r="K173" s="42" t="n">
        <f aca="false">BOM_COEF!U303*DEMANDA!I10</f>
        <v>48.25432941</v>
      </c>
      <c r="L173" s="42" t="n">
        <f aca="false">BOM_COEF!V303*DEMANDA!J10</f>
        <v>74.82048167</v>
      </c>
      <c r="M173" s="42" t="n">
        <f aca="false">BOM_COEF!W303*DEMANDA!K10</f>
        <v>101.7285517</v>
      </c>
      <c r="N173" s="42" t="n">
        <f aca="false">BOM_COEF!X303*DEMANDA!L10</f>
        <v>130.8807519</v>
      </c>
      <c r="O173" s="42" t="n">
        <f aca="false">BOM_COEF!Y303*DEMANDA!M10</f>
        <v>162.1673619</v>
      </c>
      <c r="P173" s="42" t="n">
        <f aca="false">BOM_COEF!Z303*DEMANDA!N10</f>
        <v>188.9411595</v>
      </c>
      <c r="Q173" s="42" t="n">
        <f aca="false">BOM_COEF!AA303*DEMANDA!O10</f>
        <v>217.569856</v>
      </c>
      <c r="R173" s="24" t="s">
        <v>2841</v>
      </c>
    </row>
    <row r="174" customFormat="false" ht="15" hidden="false" customHeight="false" outlineLevel="1" collapsed="false">
      <c r="A174" s="24" t="n">
        <v>1</v>
      </c>
      <c r="B174" s="24" t="s">
        <v>590</v>
      </c>
      <c r="C174" s="40" t="s">
        <v>2842</v>
      </c>
      <c r="D174" s="24" t="s">
        <v>82</v>
      </c>
      <c r="E174" s="24" t="s">
        <v>255</v>
      </c>
      <c r="F174" s="41" t="n">
        <f aca="false">INDEX((BOM_COEF!R354~BOM_COEF!S354~BOM_COEF!T354~BOM_COEF!U354~BOM_COEF!V354~BOM_COEF!W354~BOM_COEF!X354~BOM_COEF!Y354~BOM_COEF!Z354~BOM_COEF!AA354),1,1,INDEX(P_VAL,MATCH("AÑO_DIS",P_ID,0))-2025)</f>
        <v>1</v>
      </c>
      <c r="G174" s="24" t="s">
        <v>2281</v>
      </c>
      <c r="H174" s="42" t="n">
        <f aca="false">BOM_COEF!R354*DEMANDA!F11</f>
        <v>10.89657324</v>
      </c>
      <c r="I174" s="42" t="n">
        <f aca="false">BOM_COEF!S354*DEMANDA!G11</f>
        <v>18.70788719</v>
      </c>
      <c r="J174" s="42" t="n">
        <f aca="false">BOM_COEF!T354*DEMANDA!H11</f>
        <v>24.06673279</v>
      </c>
      <c r="K174" s="42" t="n">
        <f aca="false">BOM_COEF!U354*DEMANDA!I11</f>
        <v>32.16955294</v>
      </c>
      <c r="L174" s="42" t="n">
        <f aca="false">BOM_COEF!V354*DEMANDA!J11</f>
        <v>49.88032112</v>
      </c>
      <c r="M174" s="42" t="n">
        <f aca="false">BOM_COEF!W354*DEMANDA!K11</f>
        <v>67.81903447</v>
      </c>
      <c r="N174" s="42" t="n">
        <f aca="false">BOM_COEF!X354*DEMANDA!L11</f>
        <v>87.25383461</v>
      </c>
      <c r="O174" s="42" t="n">
        <f aca="false">BOM_COEF!Y354*DEMANDA!M11</f>
        <v>108.1115746</v>
      </c>
      <c r="P174" s="42" t="n">
        <f aca="false">BOM_COEF!Z354*DEMANDA!N11</f>
        <v>125.960773</v>
      </c>
      <c r="Q174" s="42" t="n">
        <f aca="false">BOM_COEF!AA354*DEMANDA!O11</f>
        <v>145.0465706</v>
      </c>
      <c r="R174" s="24" t="s">
        <v>2843</v>
      </c>
    </row>
    <row r="175" customFormat="false" ht="15" hidden="false" customHeight="false" outlineLevel="0" collapsed="false">
      <c r="A175" s="38" t="n">
        <v>0</v>
      </c>
      <c r="B175" s="38" t="s">
        <v>594</v>
      </c>
      <c r="C175" s="38" t="s">
        <v>593</v>
      </c>
      <c r="D175" s="38" t="s">
        <v>82</v>
      </c>
      <c r="E175" s="38"/>
      <c r="F175" s="38"/>
      <c r="G175" s="38"/>
      <c r="H175" s="39" t="n">
        <f aca="false">SUM(H176:H179)</f>
        <v>136.20716545</v>
      </c>
      <c r="I175" s="39" t="n">
        <f aca="false">SUM(I176:I179)</f>
        <v>233.84858982</v>
      </c>
      <c r="J175" s="39" t="n">
        <f aca="false">SUM(J176:J179)</f>
        <v>300.83415996</v>
      </c>
      <c r="K175" s="39" t="n">
        <f aca="false">SUM(K176:K179)</f>
        <v>402.11941175</v>
      </c>
      <c r="L175" s="39" t="n">
        <f aca="false">SUM(L176:L179)</f>
        <v>623.50401399</v>
      </c>
      <c r="M175" s="39" t="n">
        <f aca="false">SUM(M176:M179)</f>
        <v>847.73793087</v>
      </c>
      <c r="N175" s="39" t="n">
        <f aca="false">SUM(N176:N179)</f>
        <v>1090.67293261</v>
      </c>
      <c r="O175" s="39" t="n">
        <f aca="false">SUM(O176:O179)</f>
        <v>1351.3946828</v>
      </c>
      <c r="P175" s="39" t="n">
        <f aca="false">SUM(P176:P179)</f>
        <v>1574.5096624</v>
      </c>
      <c r="Q175" s="39" t="n">
        <f aca="false">SUM(Q176:Q179)</f>
        <v>1813.0821329</v>
      </c>
      <c r="R175" s="38"/>
    </row>
    <row r="176" customFormat="false" ht="15" hidden="false" customHeight="false" outlineLevel="1" collapsed="false">
      <c r="A176" s="24" t="n">
        <v>1</v>
      </c>
      <c r="B176" s="24" t="s">
        <v>594</v>
      </c>
      <c r="C176" s="40" t="s">
        <v>2844</v>
      </c>
      <c r="D176" s="24" t="s">
        <v>82</v>
      </c>
      <c r="E176" s="24" t="s">
        <v>245</v>
      </c>
      <c r="F176" s="41" t="n">
        <f aca="false">INDEX((BOM_COEF!R205~BOM_COEF!S205~BOM_COEF!T205~BOM_COEF!U205~BOM_COEF!V205~BOM_COEF!W205~BOM_COEF!X205~BOM_COEF!Y205~BOM_COEF!Z205~BOM_COEF!AA205),1,1,INDEX(P_VAL,MATCH("AÑO_DIS",P_ID,0))-2025)</f>
        <v>1</v>
      </c>
      <c r="G176" s="24" t="s">
        <v>2281</v>
      </c>
      <c r="H176" s="42" t="n">
        <f aca="false">BOM_COEF!R205*DEMANDA!F8</f>
        <v>34.05179136</v>
      </c>
      <c r="I176" s="42" t="n">
        <f aca="false">BOM_COEF!S205*DEMANDA!G8</f>
        <v>58.46214745</v>
      </c>
      <c r="J176" s="42" t="n">
        <f aca="false">BOM_COEF!T205*DEMANDA!H8</f>
        <v>75.20853998</v>
      </c>
      <c r="K176" s="42" t="n">
        <f aca="false">BOM_COEF!U205*DEMANDA!I8</f>
        <v>100.5298529</v>
      </c>
      <c r="L176" s="42" t="n">
        <f aca="false">BOM_COEF!V205*DEMANDA!J8</f>
        <v>155.8760035</v>
      </c>
      <c r="M176" s="42" t="n">
        <f aca="false">BOM_COEF!W205*DEMANDA!K8</f>
        <v>211.9344827</v>
      </c>
      <c r="N176" s="42" t="n">
        <f aca="false">BOM_COEF!X205*DEMANDA!L8</f>
        <v>272.6682332</v>
      </c>
      <c r="O176" s="42" t="n">
        <f aca="false">BOM_COEF!Y205*DEMANDA!M8</f>
        <v>337.8486707</v>
      </c>
      <c r="P176" s="42" t="n">
        <f aca="false">BOM_COEF!Z205*DEMANDA!N8</f>
        <v>393.6274156</v>
      </c>
      <c r="Q176" s="42" t="n">
        <f aca="false">BOM_COEF!AA205*DEMANDA!O8</f>
        <v>453.2705332</v>
      </c>
      <c r="R176" s="24" t="s">
        <v>2845</v>
      </c>
    </row>
    <row r="177" customFormat="false" ht="15" hidden="false" customHeight="false" outlineLevel="1" collapsed="false">
      <c r="A177" s="24" t="n">
        <v>1</v>
      </c>
      <c r="B177" s="24" t="s">
        <v>594</v>
      </c>
      <c r="C177" s="40" t="s">
        <v>2846</v>
      </c>
      <c r="D177" s="24" t="s">
        <v>82</v>
      </c>
      <c r="E177" s="24" t="s">
        <v>249</v>
      </c>
      <c r="F177" s="41" t="n">
        <f aca="false">INDEX((BOM_COEF!R254~BOM_COEF!S254~BOM_COEF!T254~BOM_COEF!U254~BOM_COEF!V254~BOM_COEF!W254~BOM_COEF!X254~BOM_COEF!Y254~BOM_COEF!Z254~BOM_COEF!AA254),1,1,INDEX(P_VAL,MATCH("AÑO_DIS",P_ID,0))-2025)</f>
        <v>1</v>
      </c>
      <c r="G177" s="24" t="s">
        <v>2281</v>
      </c>
      <c r="H177" s="42" t="n">
        <f aca="false">BOM_COEF!R254*DEMANDA!F9</f>
        <v>74.913941</v>
      </c>
      <c r="I177" s="42" t="n">
        <f aca="false">BOM_COEF!S254*DEMANDA!G9</f>
        <v>128.6167244</v>
      </c>
      <c r="J177" s="42" t="n">
        <f aca="false">BOM_COEF!T254*DEMANDA!H9</f>
        <v>165.458788</v>
      </c>
      <c r="K177" s="42" t="n">
        <f aca="false">BOM_COEF!U254*DEMANDA!I9</f>
        <v>221.1656765</v>
      </c>
      <c r="L177" s="42" t="n">
        <f aca="false">BOM_COEF!V254*DEMANDA!J9</f>
        <v>342.9272077</v>
      </c>
      <c r="M177" s="42" t="n">
        <f aca="false">BOM_COEF!W254*DEMANDA!K9</f>
        <v>466.255862</v>
      </c>
      <c r="N177" s="42" t="n">
        <f aca="false">BOM_COEF!X254*DEMANDA!L9</f>
        <v>599.8701129</v>
      </c>
      <c r="O177" s="42" t="n">
        <f aca="false">BOM_COEF!Y254*DEMANDA!M9</f>
        <v>743.2670756</v>
      </c>
      <c r="P177" s="42" t="n">
        <f aca="false">BOM_COEF!Z254*DEMANDA!N9</f>
        <v>865.9803143</v>
      </c>
      <c r="Q177" s="42" t="n">
        <f aca="false">BOM_COEF!AA254*DEMANDA!O9</f>
        <v>997.1951731</v>
      </c>
      <c r="R177" s="24" t="s">
        <v>2847</v>
      </c>
    </row>
    <row r="178" customFormat="false" ht="15" hidden="false" customHeight="false" outlineLevel="1" collapsed="false">
      <c r="A178" s="24" t="n">
        <v>1</v>
      </c>
      <c r="B178" s="24" t="s">
        <v>594</v>
      </c>
      <c r="C178" s="40" t="s">
        <v>2848</v>
      </c>
      <c r="D178" s="24" t="s">
        <v>82</v>
      </c>
      <c r="E178" s="24" t="s">
        <v>252</v>
      </c>
      <c r="F178" s="41" t="n">
        <f aca="false">INDEX((BOM_COEF!R304~BOM_COEF!S304~BOM_COEF!T304~BOM_COEF!U304~BOM_COEF!V304~BOM_COEF!W304~BOM_COEF!X304~BOM_COEF!Y304~BOM_COEF!Z304~BOM_COEF!AA304),1,1,INDEX(P_VAL,MATCH("AÑO_DIS",P_ID,0))-2025)</f>
        <v>1</v>
      </c>
      <c r="G178" s="24" t="s">
        <v>2281</v>
      </c>
      <c r="H178" s="42" t="n">
        <f aca="false">BOM_COEF!R304*DEMANDA!F10</f>
        <v>16.34485985</v>
      </c>
      <c r="I178" s="42" t="n">
        <f aca="false">BOM_COEF!S304*DEMANDA!G10</f>
        <v>28.06183078</v>
      </c>
      <c r="J178" s="42" t="n">
        <f aca="false">BOM_COEF!T304*DEMANDA!H10</f>
        <v>36.10009919</v>
      </c>
      <c r="K178" s="42" t="n">
        <f aca="false">BOM_COEF!U304*DEMANDA!I10</f>
        <v>48.25432941</v>
      </c>
      <c r="L178" s="42" t="n">
        <f aca="false">BOM_COEF!V304*DEMANDA!J10</f>
        <v>74.82048167</v>
      </c>
      <c r="M178" s="42" t="n">
        <f aca="false">BOM_COEF!W304*DEMANDA!K10</f>
        <v>101.7285517</v>
      </c>
      <c r="N178" s="42" t="n">
        <f aca="false">BOM_COEF!X304*DEMANDA!L10</f>
        <v>130.8807519</v>
      </c>
      <c r="O178" s="42" t="n">
        <f aca="false">BOM_COEF!Y304*DEMANDA!M10</f>
        <v>162.1673619</v>
      </c>
      <c r="P178" s="42" t="n">
        <f aca="false">BOM_COEF!Z304*DEMANDA!N10</f>
        <v>188.9411595</v>
      </c>
      <c r="Q178" s="42" t="n">
        <f aca="false">BOM_COEF!AA304*DEMANDA!O10</f>
        <v>217.569856</v>
      </c>
      <c r="R178" s="24" t="s">
        <v>2849</v>
      </c>
    </row>
    <row r="179" customFormat="false" ht="15" hidden="false" customHeight="false" outlineLevel="1" collapsed="false">
      <c r="A179" s="24" t="n">
        <v>1</v>
      </c>
      <c r="B179" s="24" t="s">
        <v>594</v>
      </c>
      <c r="C179" s="40" t="s">
        <v>2850</v>
      </c>
      <c r="D179" s="24" t="s">
        <v>82</v>
      </c>
      <c r="E179" s="24" t="s">
        <v>255</v>
      </c>
      <c r="F179" s="41" t="n">
        <f aca="false">INDEX((BOM_COEF!R355~BOM_COEF!S355~BOM_COEF!T355~BOM_COEF!U355~BOM_COEF!V355~BOM_COEF!W355~BOM_COEF!X355~BOM_COEF!Y355~BOM_COEF!Z355~BOM_COEF!AA355),1,1,INDEX(P_VAL,MATCH("AÑO_DIS",P_ID,0))-2025)</f>
        <v>1</v>
      </c>
      <c r="G179" s="24" t="s">
        <v>2281</v>
      </c>
      <c r="H179" s="42" t="n">
        <f aca="false">BOM_COEF!R355*DEMANDA!F11</f>
        <v>10.89657324</v>
      </c>
      <c r="I179" s="42" t="n">
        <f aca="false">BOM_COEF!S355*DEMANDA!G11</f>
        <v>18.70788719</v>
      </c>
      <c r="J179" s="42" t="n">
        <f aca="false">BOM_COEF!T355*DEMANDA!H11</f>
        <v>24.06673279</v>
      </c>
      <c r="K179" s="42" t="n">
        <f aca="false">BOM_COEF!U355*DEMANDA!I11</f>
        <v>32.16955294</v>
      </c>
      <c r="L179" s="42" t="n">
        <f aca="false">BOM_COEF!V355*DEMANDA!J11</f>
        <v>49.88032112</v>
      </c>
      <c r="M179" s="42" t="n">
        <f aca="false">BOM_COEF!W355*DEMANDA!K11</f>
        <v>67.81903447</v>
      </c>
      <c r="N179" s="42" t="n">
        <f aca="false">BOM_COEF!X355*DEMANDA!L11</f>
        <v>87.25383461</v>
      </c>
      <c r="O179" s="42" t="n">
        <f aca="false">BOM_COEF!Y355*DEMANDA!M11</f>
        <v>108.1115746</v>
      </c>
      <c r="P179" s="42" t="n">
        <f aca="false">BOM_COEF!Z355*DEMANDA!N11</f>
        <v>125.960773</v>
      </c>
      <c r="Q179" s="42" t="n">
        <f aca="false">BOM_COEF!AA355*DEMANDA!O11</f>
        <v>145.0465706</v>
      </c>
      <c r="R179" s="24" t="s">
        <v>2851</v>
      </c>
    </row>
    <row r="180" customFormat="false" ht="15" hidden="false" customHeight="false" outlineLevel="0" collapsed="false">
      <c r="A180" s="38" t="n">
        <v>0</v>
      </c>
      <c r="B180" s="38" t="s">
        <v>598</v>
      </c>
      <c r="C180" s="38" t="s">
        <v>2192</v>
      </c>
      <c r="D180" s="38" t="s">
        <v>82</v>
      </c>
      <c r="E180" s="38"/>
      <c r="F180" s="38"/>
      <c r="G180" s="38"/>
      <c r="H180" s="39" t="n">
        <f aca="false">SUM(H181:H184)</f>
        <v>136.20716545</v>
      </c>
      <c r="I180" s="39" t="n">
        <f aca="false">SUM(I181:I184)</f>
        <v>233.84858982</v>
      </c>
      <c r="J180" s="39" t="n">
        <f aca="false">SUM(J181:J184)</f>
        <v>300.83415996</v>
      </c>
      <c r="K180" s="39" t="n">
        <f aca="false">SUM(K181:K184)</f>
        <v>402.11941175</v>
      </c>
      <c r="L180" s="39" t="n">
        <f aca="false">SUM(L181:L184)</f>
        <v>623.50401399</v>
      </c>
      <c r="M180" s="39" t="n">
        <f aca="false">SUM(M181:M184)</f>
        <v>847.73793087</v>
      </c>
      <c r="N180" s="39" t="n">
        <f aca="false">SUM(N181:N184)</f>
        <v>1090.67293261</v>
      </c>
      <c r="O180" s="39" t="n">
        <f aca="false">SUM(O181:O184)</f>
        <v>1351.3946828</v>
      </c>
      <c r="P180" s="39" t="n">
        <f aca="false">SUM(P181:P184)</f>
        <v>1574.5096624</v>
      </c>
      <c r="Q180" s="39" t="n">
        <f aca="false">SUM(Q181:Q184)</f>
        <v>1813.0821329</v>
      </c>
      <c r="R180" s="38"/>
    </row>
    <row r="181" customFormat="false" ht="15" hidden="false" customHeight="false" outlineLevel="1" collapsed="false">
      <c r="A181" s="24" t="n">
        <v>1</v>
      </c>
      <c r="B181" s="24" t="s">
        <v>598</v>
      </c>
      <c r="C181" s="40" t="s">
        <v>2852</v>
      </c>
      <c r="D181" s="24" t="s">
        <v>82</v>
      </c>
      <c r="E181" s="24" t="s">
        <v>245</v>
      </c>
      <c r="F181" s="41" t="n">
        <f aca="false">INDEX((BOM_COEF!R206~BOM_COEF!S206~BOM_COEF!T206~BOM_COEF!U206~BOM_COEF!V206~BOM_COEF!W206~BOM_COEF!X206~BOM_COEF!Y206~BOM_COEF!Z206~BOM_COEF!AA206),1,1,INDEX(P_VAL,MATCH("AÑO_DIS",P_ID,0))-2025)</f>
        <v>1</v>
      </c>
      <c r="G181" s="24" t="s">
        <v>2281</v>
      </c>
      <c r="H181" s="42" t="n">
        <f aca="false">BOM_COEF!R206*DEMANDA!F8</f>
        <v>34.05179136</v>
      </c>
      <c r="I181" s="42" t="n">
        <f aca="false">BOM_COEF!S206*DEMANDA!G8</f>
        <v>58.46214745</v>
      </c>
      <c r="J181" s="42" t="n">
        <f aca="false">BOM_COEF!T206*DEMANDA!H8</f>
        <v>75.20853998</v>
      </c>
      <c r="K181" s="42" t="n">
        <f aca="false">BOM_COEF!U206*DEMANDA!I8</f>
        <v>100.5298529</v>
      </c>
      <c r="L181" s="42" t="n">
        <f aca="false">BOM_COEF!V206*DEMANDA!J8</f>
        <v>155.8760035</v>
      </c>
      <c r="M181" s="42" t="n">
        <f aca="false">BOM_COEF!W206*DEMANDA!K8</f>
        <v>211.9344827</v>
      </c>
      <c r="N181" s="42" t="n">
        <f aca="false">BOM_COEF!X206*DEMANDA!L8</f>
        <v>272.6682332</v>
      </c>
      <c r="O181" s="42" t="n">
        <f aca="false">BOM_COEF!Y206*DEMANDA!M8</f>
        <v>337.8486707</v>
      </c>
      <c r="P181" s="42" t="n">
        <f aca="false">BOM_COEF!Z206*DEMANDA!N8</f>
        <v>393.6274156</v>
      </c>
      <c r="Q181" s="42" t="n">
        <f aca="false">BOM_COEF!AA206*DEMANDA!O8</f>
        <v>453.2705332</v>
      </c>
      <c r="R181" s="24" t="s">
        <v>2853</v>
      </c>
    </row>
    <row r="182" customFormat="false" ht="15" hidden="false" customHeight="false" outlineLevel="1" collapsed="false">
      <c r="A182" s="24" t="n">
        <v>1</v>
      </c>
      <c r="B182" s="24" t="s">
        <v>598</v>
      </c>
      <c r="C182" s="40" t="s">
        <v>2854</v>
      </c>
      <c r="D182" s="24" t="s">
        <v>82</v>
      </c>
      <c r="E182" s="24" t="s">
        <v>249</v>
      </c>
      <c r="F182" s="41" t="n">
        <f aca="false">INDEX((BOM_COEF!R255~BOM_COEF!S255~BOM_COEF!T255~BOM_COEF!U255~BOM_COEF!V255~BOM_COEF!W255~BOM_COEF!X255~BOM_COEF!Y255~BOM_COEF!Z255~BOM_COEF!AA255),1,1,INDEX(P_VAL,MATCH("AÑO_DIS",P_ID,0))-2025)</f>
        <v>1</v>
      </c>
      <c r="G182" s="24" t="s">
        <v>2281</v>
      </c>
      <c r="H182" s="42" t="n">
        <f aca="false">BOM_COEF!R255*DEMANDA!F9</f>
        <v>74.913941</v>
      </c>
      <c r="I182" s="42" t="n">
        <f aca="false">BOM_COEF!S255*DEMANDA!G9</f>
        <v>128.6167244</v>
      </c>
      <c r="J182" s="42" t="n">
        <f aca="false">BOM_COEF!T255*DEMANDA!H9</f>
        <v>165.458788</v>
      </c>
      <c r="K182" s="42" t="n">
        <f aca="false">BOM_COEF!U255*DEMANDA!I9</f>
        <v>221.1656765</v>
      </c>
      <c r="L182" s="42" t="n">
        <f aca="false">BOM_COEF!V255*DEMANDA!J9</f>
        <v>342.9272077</v>
      </c>
      <c r="M182" s="42" t="n">
        <f aca="false">BOM_COEF!W255*DEMANDA!K9</f>
        <v>466.255862</v>
      </c>
      <c r="N182" s="42" t="n">
        <f aca="false">BOM_COEF!X255*DEMANDA!L9</f>
        <v>599.8701129</v>
      </c>
      <c r="O182" s="42" t="n">
        <f aca="false">BOM_COEF!Y255*DEMANDA!M9</f>
        <v>743.2670756</v>
      </c>
      <c r="P182" s="42" t="n">
        <f aca="false">BOM_COEF!Z255*DEMANDA!N9</f>
        <v>865.9803143</v>
      </c>
      <c r="Q182" s="42" t="n">
        <f aca="false">BOM_COEF!AA255*DEMANDA!O9</f>
        <v>997.1951731</v>
      </c>
      <c r="R182" s="24" t="s">
        <v>2855</v>
      </c>
    </row>
    <row r="183" customFormat="false" ht="15" hidden="false" customHeight="false" outlineLevel="1" collapsed="false">
      <c r="A183" s="24" t="n">
        <v>1</v>
      </c>
      <c r="B183" s="24" t="s">
        <v>598</v>
      </c>
      <c r="C183" s="40" t="s">
        <v>2856</v>
      </c>
      <c r="D183" s="24" t="s">
        <v>82</v>
      </c>
      <c r="E183" s="24" t="s">
        <v>252</v>
      </c>
      <c r="F183" s="41" t="n">
        <f aca="false">INDEX((BOM_COEF!R305~BOM_COEF!S305~BOM_COEF!T305~BOM_COEF!U305~BOM_COEF!V305~BOM_COEF!W305~BOM_COEF!X305~BOM_COEF!Y305~BOM_COEF!Z305~BOM_COEF!AA305),1,1,INDEX(P_VAL,MATCH("AÑO_DIS",P_ID,0))-2025)</f>
        <v>1</v>
      </c>
      <c r="G183" s="24" t="s">
        <v>2281</v>
      </c>
      <c r="H183" s="42" t="n">
        <f aca="false">BOM_COEF!R305*DEMANDA!F10</f>
        <v>16.34485985</v>
      </c>
      <c r="I183" s="42" t="n">
        <f aca="false">BOM_COEF!S305*DEMANDA!G10</f>
        <v>28.06183078</v>
      </c>
      <c r="J183" s="42" t="n">
        <f aca="false">BOM_COEF!T305*DEMANDA!H10</f>
        <v>36.10009919</v>
      </c>
      <c r="K183" s="42" t="n">
        <f aca="false">BOM_COEF!U305*DEMANDA!I10</f>
        <v>48.25432941</v>
      </c>
      <c r="L183" s="42" t="n">
        <f aca="false">BOM_COEF!V305*DEMANDA!J10</f>
        <v>74.82048167</v>
      </c>
      <c r="M183" s="42" t="n">
        <f aca="false">BOM_COEF!W305*DEMANDA!K10</f>
        <v>101.7285517</v>
      </c>
      <c r="N183" s="42" t="n">
        <f aca="false">BOM_COEF!X305*DEMANDA!L10</f>
        <v>130.8807519</v>
      </c>
      <c r="O183" s="42" t="n">
        <f aca="false">BOM_COEF!Y305*DEMANDA!M10</f>
        <v>162.1673619</v>
      </c>
      <c r="P183" s="42" t="n">
        <f aca="false">BOM_COEF!Z305*DEMANDA!N10</f>
        <v>188.9411595</v>
      </c>
      <c r="Q183" s="42" t="n">
        <f aca="false">BOM_COEF!AA305*DEMANDA!O10</f>
        <v>217.569856</v>
      </c>
      <c r="R183" s="24" t="s">
        <v>2857</v>
      </c>
    </row>
    <row r="184" customFormat="false" ht="15" hidden="false" customHeight="false" outlineLevel="1" collapsed="false">
      <c r="A184" s="24" t="n">
        <v>1</v>
      </c>
      <c r="B184" s="24" t="s">
        <v>598</v>
      </c>
      <c r="C184" s="40" t="s">
        <v>2858</v>
      </c>
      <c r="D184" s="24" t="s">
        <v>82</v>
      </c>
      <c r="E184" s="24" t="s">
        <v>255</v>
      </c>
      <c r="F184" s="41" t="n">
        <f aca="false">INDEX((BOM_COEF!R356~BOM_COEF!S356~BOM_COEF!T356~BOM_COEF!U356~BOM_COEF!V356~BOM_COEF!W356~BOM_COEF!X356~BOM_COEF!Y356~BOM_COEF!Z356~BOM_COEF!AA356),1,1,INDEX(P_VAL,MATCH("AÑO_DIS",P_ID,0))-2025)</f>
        <v>1</v>
      </c>
      <c r="G184" s="24" t="s">
        <v>2281</v>
      </c>
      <c r="H184" s="42" t="n">
        <f aca="false">BOM_COEF!R356*DEMANDA!F11</f>
        <v>10.89657324</v>
      </c>
      <c r="I184" s="42" t="n">
        <f aca="false">BOM_COEF!S356*DEMANDA!G11</f>
        <v>18.70788719</v>
      </c>
      <c r="J184" s="42" t="n">
        <f aca="false">BOM_COEF!T356*DEMANDA!H11</f>
        <v>24.06673279</v>
      </c>
      <c r="K184" s="42" t="n">
        <f aca="false">BOM_COEF!U356*DEMANDA!I11</f>
        <v>32.16955294</v>
      </c>
      <c r="L184" s="42" t="n">
        <f aca="false">BOM_COEF!V356*DEMANDA!J11</f>
        <v>49.88032112</v>
      </c>
      <c r="M184" s="42" t="n">
        <f aca="false">BOM_COEF!W356*DEMANDA!K11</f>
        <v>67.81903447</v>
      </c>
      <c r="N184" s="42" t="n">
        <f aca="false">BOM_COEF!X356*DEMANDA!L11</f>
        <v>87.25383461</v>
      </c>
      <c r="O184" s="42" t="n">
        <f aca="false">BOM_COEF!Y356*DEMANDA!M11</f>
        <v>108.1115746</v>
      </c>
      <c r="P184" s="42" t="n">
        <f aca="false">BOM_COEF!Z356*DEMANDA!N11</f>
        <v>125.960773</v>
      </c>
      <c r="Q184" s="42" t="n">
        <f aca="false">BOM_COEF!AA356*DEMANDA!O11</f>
        <v>145.0465706</v>
      </c>
      <c r="R184" s="24" t="s">
        <v>2859</v>
      </c>
    </row>
    <row r="185" customFormat="false" ht="15" hidden="false" customHeight="false" outlineLevel="0" collapsed="false">
      <c r="A185" s="38" t="n">
        <v>0</v>
      </c>
      <c r="B185" s="38" t="s">
        <v>614</v>
      </c>
      <c r="C185" s="38" t="s">
        <v>613</v>
      </c>
      <c r="D185" s="38" t="s">
        <v>82</v>
      </c>
      <c r="E185" s="38"/>
      <c r="F185" s="38"/>
      <c r="G185" s="38"/>
      <c r="H185" s="39" t="n">
        <f aca="false">SUM(H186:H189)</f>
        <v>0</v>
      </c>
      <c r="I185" s="39" t="n">
        <f aca="false">SUM(I186:I189)</f>
        <v>0</v>
      </c>
      <c r="J185" s="39" t="n">
        <f aca="false">SUM(J186:J189)</f>
        <v>57.8</v>
      </c>
      <c r="K185" s="39" t="n">
        <f aca="false">SUM(K186:K189)</f>
        <v>201.4</v>
      </c>
      <c r="L185" s="39" t="n">
        <f aca="false">SUM(L186:L189)</f>
        <v>373</v>
      </c>
      <c r="M185" s="39" t="n">
        <f aca="false">SUM(M186:M189)</f>
        <v>540.8</v>
      </c>
      <c r="N185" s="39" t="n">
        <f aca="false">SUM(N186:N189)</f>
        <v>764.4</v>
      </c>
      <c r="O185" s="39" t="n">
        <f aca="false">SUM(O186:O189)</f>
        <v>988</v>
      </c>
      <c r="P185" s="39" t="n">
        <f aca="false">SUM(P186:P189)</f>
        <v>1107.6</v>
      </c>
      <c r="Q185" s="39" t="n">
        <f aca="false">SUM(Q186:Q189)</f>
        <v>1287</v>
      </c>
      <c r="R185" s="38"/>
    </row>
    <row r="186" customFormat="false" ht="15" hidden="false" customHeight="false" outlineLevel="1" collapsed="false">
      <c r="A186" s="24" t="n">
        <v>1</v>
      </c>
      <c r="B186" s="24" t="s">
        <v>614</v>
      </c>
      <c r="C186" s="40" t="s">
        <v>2860</v>
      </c>
      <c r="D186" s="24" t="s">
        <v>82</v>
      </c>
      <c r="E186" s="24" t="s">
        <v>270</v>
      </c>
      <c r="F186" s="41" t="n">
        <f aca="false">INDEX((BOM_COEF!R212~BOM_COEF!S212~BOM_COEF!T212~BOM_COEF!U212~BOM_COEF!V212~BOM_COEF!W212~BOM_COEF!X212~BOM_COEF!Y212~BOM_COEF!Z212~BOM_COEF!AA212),1,1,INDEX(P_VAL,MATCH("AÑO_DIS",P_ID,0))-2025)</f>
        <v>1</v>
      </c>
      <c r="G186" s="24" t="s">
        <v>2281</v>
      </c>
      <c r="H186" s="42" t="n">
        <f aca="false">BOM_COEF!R212*DEMANDA!F16</f>
        <v>0</v>
      </c>
      <c r="I186" s="42" t="n">
        <f aca="false">BOM_COEF!S212*DEMANDA!G16</f>
        <v>0</v>
      </c>
      <c r="J186" s="42" t="n">
        <f aca="false">BOM_COEF!T212*DEMANDA!H16</f>
        <v>14.4</v>
      </c>
      <c r="K186" s="42" t="n">
        <f aca="false">BOM_COEF!U212*DEMANDA!I16</f>
        <v>50.2</v>
      </c>
      <c r="L186" s="42" t="n">
        <f aca="false">BOM_COEF!V212*DEMANDA!J16</f>
        <v>93</v>
      </c>
      <c r="M186" s="42" t="n">
        <f aca="false">BOM_COEF!W212*DEMANDA!K16</f>
        <v>135</v>
      </c>
      <c r="N186" s="42" t="n">
        <f aca="false">BOM_COEF!X212*DEMANDA!L16</f>
        <v>191</v>
      </c>
      <c r="O186" s="42" t="n">
        <f aca="false">BOM_COEF!Y212*DEMANDA!M16</f>
        <v>247</v>
      </c>
      <c r="P186" s="42" t="n">
        <f aca="false">BOM_COEF!Z212*DEMANDA!N16</f>
        <v>277</v>
      </c>
      <c r="Q186" s="42" t="n">
        <f aca="false">BOM_COEF!AA212*DEMANDA!O16</f>
        <v>322</v>
      </c>
      <c r="R186" s="24" t="s">
        <v>2861</v>
      </c>
    </row>
    <row r="187" customFormat="false" ht="15" hidden="false" customHeight="false" outlineLevel="1" collapsed="false">
      <c r="A187" s="24" t="n">
        <v>1</v>
      </c>
      <c r="B187" s="24" t="s">
        <v>614</v>
      </c>
      <c r="C187" s="40" t="s">
        <v>2862</v>
      </c>
      <c r="D187" s="24" t="s">
        <v>82</v>
      </c>
      <c r="E187" s="24" t="s">
        <v>273</v>
      </c>
      <c r="F187" s="41" t="n">
        <f aca="false">INDEX((BOM_COEF!R261~BOM_COEF!S261~BOM_COEF!T261~BOM_COEF!U261~BOM_COEF!V261~BOM_COEF!W261~BOM_COEF!X261~BOM_COEF!Y261~BOM_COEF!Z261~BOM_COEF!AA261),1,1,INDEX(P_VAL,MATCH("AÑO_DIS",P_ID,0))-2025)</f>
        <v>1</v>
      </c>
      <c r="G187" s="24" t="s">
        <v>2281</v>
      </c>
      <c r="H187" s="42" t="n">
        <f aca="false">BOM_COEF!R261*DEMANDA!F17</f>
        <v>0</v>
      </c>
      <c r="I187" s="42" t="n">
        <f aca="false">BOM_COEF!S261*DEMANDA!G17</f>
        <v>0</v>
      </c>
      <c r="J187" s="42" t="n">
        <f aca="false">BOM_COEF!T261*DEMANDA!H17</f>
        <v>31.8</v>
      </c>
      <c r="K187" s="42" t="n">
        <f aca="false">BOM_COEF!U261*DEMANDA!I17</f>
        <v>110.8</v>
      </c>
      <c r="L187" s="42" t="n">
        <f aca="false">BOM_COEF!V261*DEMANDA!J17</f>
        <v>205.2</v>
      </c>
      <c r="M187" s="42" t="n">
        <f aca="false">BOM_COEF!W261*DEMANDA!K17</f>
        <v>297.6</v>
      </c>
      <c r="N187" s="42" t="n">
        <f aca="false">BOM_COEF!X261*DEMANDA!L17</f>
        <v>420.8</v>
      </c>
      <c r="O187" s="42" t="n">
        <f aca="false">BOM_COEF!Y261*DEMANDA!M17</f>
        <v>544</v>
      </c>
      <c r="P187" s="42" t="n">
        <f aca="false">BOM_COEF!Z261*DEMANDA!N17</f>
        <v>609.6</v>
      </c>
      <c r="Q187" s="42" t="n">
        <f aca="false">BOM_COEF!AA261*DEMANDA!O17</f>
        <v>708</v>
      </c>
      <c r="R187" s="24" t="s">
        <v>2863</v>
      </c>
    </row>
    <row r="188" customFormat="false" ht="15" hidden="false" customHeight="false" outlineLevel="1" collapsed="false">
      <c r="A188" s="24" t="n">
        <v>1</v>
      </c>
      <c r="B188" s="24" t="s">
        <v>614</v>
      </c>
      <c r="C188" s="40" t="s">
        <v>2864</v>
      </c>
      <c r="D188" s="24" t="s">
        <v>82</v>
      </c>
      <c r="E188" s="24" t="s">
        <v>276</v>
      </c>
      <c r="F188" s="41" t="n">
        <f aca="false">INDEX((BOM_COEF!R312~BOM_COEF!S312~BOM_COEF!T312~BOM_COEF!U312~BOM_COEF!V312~BOM_COEF!W312~BOM_COEF!X312~BOM_COEF!Y312~BOM_COEF!Z312~BOM_COEF!AA312),1,1,INDEX(P_VAL,MATCH("AÑO_DIS",P_ID,0))-2025)</f>
        <v>1</v>
      </c>
      <c r="G188" s="24" t="s">
        <v>2281</v>
      </c>
      <c r="H188" s="42" t="n">
        <f aca="false">BOM_COEF!R312*DEMANDA!F18</f>
        <v>0</v>
      </c>
      <c r="I188" s="42" t="n">
        <f aca="false">BOM_COEF!S312*DEMANDA!G18</f>
        <v>0</v>
      </c>
      <c r="J188" s="42" t="n">
        <f aca="false">BOM_COEF!T312*DEMANDA!H18</f>
        <v>7</v>
      </c>
      <c r="K188" s="42" t="n">
        <f aca="false">BOM_COEF!U312*DEMANDA!I18</f>
        <v>24.4</v>
      </c>
      <c r="L188" s="42" t="n">
        <f aca="false">BOM_COEF!V312*DEMANDA!J18</f>
        <v>45.2</v>
      </c>
      <c r="M188" s="42" t="n">
        <f aca="false">BOM_COEF!W312*DEMANDA!K18</f>
        <v>65.4</v>
      </c>
      <c r="N188" s="42" t="n">
        <f aca="false">BOM_COEF!X312*DEMANDA!L18</f>
        <v>92.2</v>
      </c>
      <c r="O188" s="42" t="n">
        <f aca="false">BOM_COEF!Y312*DEMANDA!M18</f>
        <v>119</v>
      </c>
      <c r="P188" s="42" t="n">
        <f aca="false">BOM_COEF!Z312*DEMANDA!N18</f>
        <v>133.4</v>
      </c>
      <c r="Q188" s="42" t="n">
        <f aca="false">BOM_COEF!AA312*DEMANDA!O18</f>
        <v>155</v>
      </c>
      <c r="R188" s="24" t="s">
        <v>2865</v>
      </c>
    </row>
    <row r="189" customFormat="false" ht="15" hidden="false" customHeight="false" outlineLevel="1" collapsed="false">
      <c r="A189" s="24" t="n">
        <v>1</v>
      </c>
      <c r="B189" s="24" t="s">
        <v>614</v>
      </c>
      <c r="C189" s="40" t="s">
        <v>2866</v>
      </c>
      <c r="D189" s="24" t="s">
        <v>82</v>
      </c>
      <c r="E189" s="24" t="s">
        <v>279</v>
      </c>
      <c r="F189" s="41" t="n">
        <f aca="false">INDEX((BOM_COEF!R363~BOM_COEF!S363~BOM_COEF!T363~BOM_COEF!U363~BOM_COEF!V363~BOM_COEF!W363~BOM_COEF!X363~BOM_COEF!Y363~BOM_COEF!Z363~BOM_COEF!AA363),1,1,INDEX(P_VAL,MATCH("AÑO_DIS",P_ID,0))-2025)</f>
        <v>1</v>
      </c>
      <c r="G189" s="24" t="s">
        <v>2281</v>
      </c>
      <c r="H189" s="42" t="n">
        <f aca="false">BOM_COEF!R363*DEMANDA!F19</f>
        <v>0</v>
      </c>
      <c r="I189" s="42" t="n">
        <f aca="false">BOM_COEF!S363*DEMANDA!G19</f>
        <v>0</v>
      </c>
      <c r="J189" s="42" t="n">
        <f aca="false">BOM_COEF!T363*DEMANDA!H19</f>
        <v>4.6</v>
      </c>
      <c r="K189" s="42" t="n">
        <f aca="false">BOM_COEF!U363*DEMANDA!I19</f>
        <v>16</v>
      </c>
      <c r="L189" s="42" t="n">
        <f aca="false">BOM_COEF!V363*DEMANDA!J19</f>
        <v>29.6</v>
      </c>
      <c r="M189" s="42" t="n">
        <f aca="false">BOM_COEF!W363*DEMANDA!K19</f>
        <v>42.8</v>
      </c>
      <c r="N189" s="42" t="n">
        <f aca="false">BOM_COEF!X363*DEMANDA!L19</f>
        <v>60.4</v>
      </c>
      <c r="O189" s="42" t="n">
        <f aca="false">BOM_COEF!Y363*DEMANDA!M19</f>
        <v>78</v>
      </c>
      <c r="P189" s="42" t="n">
        <f aca="false">BOM_COEF!Z363*DEMANDA!N19</f>
        <v>87.6</v>
      </c>
      <c r="Q189" s="42" t="n">
        <f aca="false">BOM_COEF!AA363*DEMANDA!O19</f>
        <v>102</v>
      </c>
      <c r="R189" s="24" t="s">
        <v>2867</v>
      </c>
    </row>
    <row r="190" customFormat="false" ht="15" hidden="false" customHeight="false" outlineLevel="0" collapsed="false">
      <c r="A190" s="38" t="n">
        <v>0</v>
      </c>
      <c r="B190" s="38" t="s">
        <v>1632</v>
      </c>
      <c r="C190" s="38" t="s">
        <v>2203</v>
      </c>
      <c r="D190" s="38" t="s">
        <v>82</v>
      </c>
      <c r="E190" s="38"/>
      <c r="F190" s="38"/>
      <c r="G190" s="38"/>
      <c r="H190" s="39" t="n">
        <f aca="false">SUM(H191:H194)</f>
        <v>0</v>
      </c>
      <c r="I190" s="39" t="n">
        <f aca="false">SUM(I191:I194)</f>
        <v>0</v>
      </c>
      <c r="J190" s="39" t="n">
        <f aca="false">SUM(J191:J194)</f>
        <v>57.8</v>
      </c>
      <c r="K190" s="39" t="n">
        <f aca="false">SUM(K191:K194)</f>
        <v>201.4</v>
      </c>
      <c r="L190" s="39" t="n">
        <f aca="false">SUM(L191:L194)</f>
        <v>373</v>
      </c>
      <c r="M190" s="39" t="n">
        <f aca="false">SUM(M191:M194)</f>
        <v>540.8</v>
      </c>
      <c r="N190" s="39" t="n">
        <f aca="false">SUM(N191:N194)</f>
        <v>764.4</v>
      </c>
      <c r="O190" s="39" t="n">
        <f aca="false">SUM(O191:O194)</f>
        <v>988</v>
      </c>
      <c r="P190" s="39" t="n">
        <f aca="false">SUM(P191:P194)</f>
        <v>1107.6</v>
      </c>
      <c r="Q190" s="39" t="n">
        <f aca="false">SUM(Q191:Q194)</f>
        <v>1287</v>
      </c>
      <c r="R190" s="38"/>
    </row>
    <row r="191" customFormat="false" ht="15" hidden="false" customHeight="false" outlineLevel="1" collapsed="false">
      <c r="A191" s="24" t="n">
        <v>1</v>
      </c>
      <c r="B191" s="24" t="s">
        <v>1632</v>
      </c>
      <c r="C191" s="40" t="s">
        <v>2868</v>
      </c>
      <c r="D191" s="24" t="s">
        <v>82</v>
      </c>
      <c r="E191" s="24" t="s">
        <v>270</v>
      </c>
      <c r="F191" s="41" t="n">
        <f aca="false">PROCESO!$I$78</f>
        <v>1</v>
      </c>
      <c r="G191" s="24" t="s">
        <v>2281</v>
      </c>
      <c r="H191" s="42" t="n">
        <f aca="false">PROCESO!$I$78*DEMANDA!F16</f>
        <v>0</v>
      </c>
      <c r="I191" s="42" t="n">
        <f aca="false">PROCESO!$I$78*DEMANDA!G16</f>
        <v>0</v>
      </c>
      <c r="J191" s="42" t="n">
        <f aca="false">PROCESO!$I$78*DEMANDA!H16</f>
        <v>14.4</v>
      </c>
      <c r="K191" s="42" t="n">
        <f aca="false">PROCESO!$I$78*DEMANDA!I16</f>
        <v>50.2</v>
      </c>
      <c r="L191" s="42" t="n">
        <f aca="false">PROCESO!$I$78*DEMANDA!J16</f>
        <v>93</v>
      </c>
      <c r="M191" s="42" t="n">
        <f aca="false">PROCESO!$I$78*DEMANDA!K16</f>
        <v>135</v>
      </c>
      <c r="N191" s="42" t="n">
        <f aca="false">PROCESO!$I$78*DEMANDA!L16</f>
        <v>191</v>
      </c>
      <c r="O191" s="42" t="n">
        <f aca="false">PROCESO!$I$78*DEMANDA!M16</f>
        <v>247</v>
      </c>
      <c r="P191" s="42" t="n">
        <f aca="false">PROCESO!$I$78*DEMANDA!N16</f>
        <v>277</v>
      </c>
      <c r="Q191" s="42" t="n">
        <f aca="false">PROCESO!$I$78*DEMANDA!O16</f>
        <v>322</v>
      </c>
      <c r="R191" s="24" t="s">
        <v>2869</v>
      </c>
    </row>
    <row r="192" customFormat="false" ht="15" hidden="false" customHeight="false" outlineLevel="1" collapsed="false">
      <c r="A192" s="24" t="n">
        <v>1</v>
      </c>
      <c r="B192" s="24" t="s">
        <v>1632</v>
      </c>
      <c r="C192" s="40" t="s">
        <v>2870</v>
      </c>
      <c r="D192" s="24" t="s">
        <v>82</v>
      </c>
      <c r="E192" s="24" t="s">
        <v>273</v>
      </c>
      <c r="F192" s="41" t="n">
        <f aca="false">PROCESO!$I$101</f>
        <v>1</v>
      </c>
      <c r="G192" s="24" t="s">
        <v>2281</v>
      </c>
      <c r="H192" s="42" t="n">
        <f aca="false">PROCESO!$I$101*DEMANDA!F17</f>
        <v>0</v>
      </c>
      <c r="I192" s="42" t="n">
        <f aca="false">PROCESO!$I$101*DEMANDA!G17</f>
        <v>0</v>
      </c>
      <c r="J192" s="42" t="n">
        <f aca="false">PROCESO!$I$101*DEMANDA!H17</f>
        <v>31.8</v>
      </c>
      <c r="K192" s="42" t="n">
        <f aca="false">PROCESO!$I$101*DEMANDA!I17</f>
        <v>110.8</v>
      </c>
      <c r="L192" s="42" t="n">
        <f aca="false">PROCESO!$I$101*DEMANDA!J17</f>
        <v>205.2</v>
      </c>
      <c r="M192" s="42" t="n">
        <f aca="false">PROCESO!$I$101*DEMANDA!K17</f>
        <v>297.6</v>
      </c>
      <c r="N192" s="42" t="n">
        <f aca="false">PROCESO!$I$101*DEMANDA!L17</f>
        <v>420.8</v>
      </c>
      <c r="O192" s="42" t="n">
        <f aca="false">PROCESO!$I$101*DEMANDA!M17</f>
        <v>544</v>
      </c>
      <c r="P192" s="42" t="n">
        <f aca="false">PROCESO!$I$101*DEMANDA!N17</f>
        <v>609.6</v>
      </c>
      <c r="Q192" s="42" t="n">
        <f aca="false">PROCESO!$I$101*DEMANDA!O17</f>
        <v>708</v>
      </c>
      <c r="R192" s="24" t="s">
        <v>2871</v>
      </c>
    </row>
    <row r="193" customFormat="false" ht="15" hidden="false" customHeight="false" outlineLevel="1" collapsed="false">
      <c r="A193" s="24" t="n">
        <v>1</v>
      </c>
      <c r="B193" s="24" t="s">
        <v>1632</v>
      </c>
      <c r="C193" s="40" t="s">
        <v>2872</v>
      </c>
      <c r="D193" s="24" t="s">
        <v>82</v>
      </c>
      <c r="E193" s="24" t="s">
        <v>276</v>
      </c>
      <c r="F193" s="41" t="n">
        <f aca="false">PROCESO!$I$126</f>
        <v>1</v>
      </c>
      <c r="G193" s="24" t="s">
        <v>2281</v>
      </c>
      <c r="H193" s="42" t="n">
        <f aca="false">PROCESO!$I$126*DEMANDA!F18</f>
        <v>0</v>
      </c>
      <c r="I193" s="42" t="n">
        <f aca="false">PROCESO!$I$126*DEMANDA!G18</f>
        <v>0</v>
      </c>
      <c r="J193" s="42" t="n">
        <f aca="false">PROCESO!$I$126*DEMANDA!H18</f>
        <v>7</v>
      </c>
      <c r="K193" s="42" t="n">
        <f aca="false">PROCESO!$I$126*DEMANDA!I18</f>
        <v>24.4</v>
      </c>
      <c r="L193" s="42" t="n">
        <f aca="false">PROCESO!$I$126*DEMANDA!J18</f>
        <v>45.2</v>
      </c>
      <c r="M193" s="42" t="n">
        <f aca="false">PROCESO!$I$126*DEMANDA!K18</f>
        <v>65.4</v>
      </c>
      <c r="N193" s="42" t="n">
        <f aca="false">PROCESO!$I$126*DEMANDA!L18</f>
        <v>92.2</v>
      </c>
      <c r="O193" s="42" t="n">
        <f aca="false">PROCESO!$I$126*DEMANDA!M18</f>
        <v>119</v>
      </c>
      <c r="P193" s="42" t="n">
        <f aca="false">PROCESO!$I$126*DEMANDA!N18</f>
        <v>133.4</v>
      </c>
      <c r="Q193" s="42" t="n">
        <f aca="false">PROCESO!$I$126*DEMANDA!O18</f>
        <v>155</v>
      </c>
      <c r="R193" s="24" t="s">
        <v>2873</v>
      </c>
    </row>
    <row r="194" customFormat="false" ht="15" hidden="false" customHeight="false" outlineLevel="1" collapsed="false">
      <c r="A194" s="24" t="n">
        <v>1</v>
      </c>
      <c r="B194" s="24" t="s">
        <v>1632</v>
      </c>
      <c r="C194" s="40" t="s">
        <v>2874</v>
      </c>
      <c r="D194" s="24" t="s">
        <v>82</v>
      </c>
      <c r="E194" s="24" t="s">
        <v>279</v>
      </c>
      <c r="F194" s="41" t="n">
        <f aca="false">PROCESO!$I$151</f>
        <v>1</v>
      </c>
      <c r="G194" s="24" t="s">
        <v>2281</v>
      </c>
      <c r="H194" s="42" t="n">
        <f aca="false">PROCESO!$I$151*DEMANDA!F19</f>
        <v>0</v>
      </c>
      <c r="I194" s="42" t="n">
        <f aca="false">PROCESO!$I$151*DEMANDA!G19</f>
        <v>0</v>
      </c>
      <c r="J194" s="42" t="n">
        <f aca="false">PROCESO!$I$151*DEMANDA!H19</f>
        <v>4.6</v>
      </c>
      <c r="K194" s="42" t="n">
        <f aca="false">PROCESO!$I$151*DEMANDA!I19</f>
        <v>16</v>
      </c>
      <c r="L194" s="42" t="n">
        <f aca="false">PROCESO!$I$151*DEMANDA!J19</f>
        <v>29.6</v>
      </c>
      <c r="M194" s="42" t="n">
        <f aca="false">PROCESO!$I$151*DEMANDA!K19</f>
        <v>42.8</v>
      </c>
      <c r="N194" s="42" t="n">
        <f aca="false">PROCESO!$I$151*DEMANDA!L19</f>
        <v>60.4</v>
      </c>
      <c r="O194" s="42" t="n">
        <f aca="false">PROCESO!$I$151*DEMANDA!M19</f>
        <v>78</v>
      </c>
      <c r="P194" s="42" t="n">
        <f aca="false">PROCESO!$I$151*DEMANDA!N19</f>
        <v>87.6</v>
      </c>
      <c r="Q194" s="42" t="n">
        <f aca="false">PROCESO!$I$151*DEMANDA!O19</f>
        <v>102</v>
      </c>
      <c r="R194" s="24" t="s">
        <v>2875</v>
      </c>
    </row>
    <row r="195" customFormat="false" ht="15" hidden="false" customHeight="false" outlineLevel="0" collapsed="false">
      <c r="A195" s="38" t="n">
        <v>0</v>
      </c>
      <c r="B195" s="38" t="s">
        <v>1813</v>
      </c>
      <c r="C195" s="38" t="s">
        <v>2231</v>
      </c>
      <c r="D195" s="38" t="s">
        <v>82</v>
      </c>
      <c r="E195" s="38"/>
      <c r="F195" s="38"/>
      <c r="G195" s="38"/>
      <c r="H195" s="39" t="n">
        <f aca="false">SUM(H196:H199)</f>
        <v>0</v>
      </c>
      <c r="I195" s="39" t="n">
        <f aca="false">SUM(I196:I199)</f>
        <v>0</v>
      </c>
      <c r="J195" s="39" t="n">
        <f aca="false">SUM(J196:J199)</f>
        <v>6.06666666666667</v>
      </c>
      <c r="K195" s="39" t="n">
        <f aca="false">SUM(K196:K199)</f>
        <v>21.1361111111111</v>
      </c>
      <c r="L195" s="39" t="n">
        <f aca="false">SUM(L196:L199)</f>
        <v>39.1416666666667</v>
      </c>
      <c r="M195" s="39" t="n">
        <f aca="false">SUM(M196:M199)</f>
        <v>56.725</v>
      </c>
      <c r="N195" s="39" t="n">
        <f aca="false">SUM(N196:N199)</f>
        <v>80.1472222222222</v>
      </c>
      <c r="O195" s="39" t="n">
        <f aca="false">SUM(O196:O199)</f>
        <v>103.569444444444</v>
      </c>
      <c r="P195" s="39" t="n">
        <f aca="false">SUM(P196:P199)</f>
        <v>116.108333333333</v>
      </c>
      <c r="Q195" s="39" t="n">
        <f aca="false">SUM(Q196:Q199)</f>
        <v>134.916666666667</v>
      </c>
      <c r="R195" s="38"/>
    </row>
    <row r="196" customFormat="false" ht="15" hidden="false" customHeight="false" outlineLevel="1" collapsed="false">
      <c r="A196" s="24" t="n">
        <v>1</v>
      </c>
      <c r="B196" s="24" t="s">
        <v>1813</v>
      </c>
      <c r="C196" s="40" t="s">
        <v>2868</v>
      </c>
      <c r="D196" s="24" t="s">
        <v>82</v>
      </c>
      <c r="E196" s="24" t="s">
        <v>270</v>
      </c>
      <c r="F196" s="41" t="n">
        <f aca="false">PROCESO!$I$74</f>
        <v>0.0416666666666667</v>
      </c>
      <c r="G196" s="24" t="s">
        <v>2281</v>
      </c>
      <c r="H196" s="42" t="n">
        <f aca="false">PROCESO!$I$74*DEMANDA!F16</f>
        <v>0</v>
      </c>
      <c r="I196" s="42" t="n">
        <f aca="false">PROCESO!$I$74*DEMANDA!G16</f>
        <v>0</v>
      </c>
      <c r="J196" s="42" t="n">
        <f aca="false">PROCESO!$I$74*DEMANDA!H16</f>
        <v>0.6</v>
      </c>
      <c r="K196" s="42" t="n">
        <f aca="false">PROCESO!$I$74*DEMANDA!I16</f>
        <v>2.09166666666667</v>
      </c>
      <c r="L196" s="42" t="n">
        <f aca="false">PROCESO!$I$74*DEMANDA!J16</f>
        <v>3.875</v>
      </c>
      <c r="M196" s="42" t="n">
        <f aca="false">PROCESO!$I$74*DEMANDA!K16</f>
        <v>5.625</v>
      </c>
      <c r="N196" s="42" t="n">
        <f aca="false">PROCESO!$I$74*DEMANDA!L16</f>
        <v>7.95833333333333</v>
      </c>
      <c r="O196" s="42" t="n">
        <f aca="false">PROCESO!$I$74*DEMANDA!M16</f>
        <v>10.2916666666667</v>
      </c>
      <c r="P196" s="42" t="n">
        <f aca="false">PROCESO!$I$74*DEMANDA!N16</f>
        <v>11.5416666666667</v>
      </c>
      <c r="Q196" s="42" t="n">
        <f aca="false">PROCESO!$I$74*DEMANDA!O16</f>
        <v>13.4166666666667</v>
      </c>
      <c r="R196" s="24" t="s">
        <v>2876</v>
      </c>
    </row>
    <row r="197" customFormat="false" ht="15" hidden="false" customHeight="false" outlineLevel="1" collapsed="false">
      <c r="A197" s="24" t="n">
        <v>1</v>
      </c>
      <c r="B197" s="24" t="s">
        <v>1813</v>
      </c>
      <c r="C197" s="40" t="s">
        <v>2870</v>
      </c>
      <c r="D197" s="24" t="s">
        <v>82</v>
      </c>
      <c r="E197" s="24" t="s">
        <v>273</v>
      </c>
      <c r="F197" s="41" t="n">
        <f aca="false">PROCESO!$I$97</f>
        <v>0.111111111111111</v>
      </c>
      <c r="G197" s="24" t="s">
        <v>2281</v>
      </c>
      <c r="H197" s="42" t="n">
        <f aca="false">PROCESO!$I$97*DEMANDA!F17</f>
        <v>0</v>
      </c>
      <c r="I197" s="42" t="n">
        <f aca="false">PROCESO!$I$97*DEMANDA!G17</f>
        <v>0</v>
      </c>
      <c r="J197" s="42" t="n">
        <f aca="false">PROCESO!$I$97*DEMANDA!H17</f>
        <v>3.53333333333333</v>
      </c>
      <c r="K197" s="42" t="n">
        <f aca="false">PROCESO!$I$97*DEMANDA!I17</f>
        <v>12.3111111111111</v>
      </c>
      <c r="L197" s="42" t="n">
        <f aca="false">PROCESO!$I$97*DEMANDA!J17</f>
        <v>22.8</v>
      </c>
      <c r="M197" s="42" t="n">
        <f aca="false">PROCESO!$I$97*DEMANDA!K17</f>
        <v>33.0666666666667</v>
      </c>
      <c r="N197" s="42" t="n">
        <f aca="false">PROCESO!$I$97*DEMANDA!L17</f>
        <v>46.7555555555556</v>
      </c>
      <c r="O197" s="42" t="n">
        <f aca="false">PROCESO!$I$97*DEMANDA!M17</f>
        <v>60.4444444444444</v>
      </c>
      <c r="P197" s="42" t="n">
        <f aca="false">PROCESO!$I$97*DEMANDA!N17</f>
        <v>67.7333333333333</v>
      </c>
      <c r="Q197" s="42" t="n">
        <f aca="false">PROCESO!$I$97*DEMANDA!O17</f>
        <v>78.6666666666667</v>
      </c>
      <c r="R197" s="24" t="s">
        <v>2877</v>
      </c>
    </row>
    <row r="198" customFormat="false" ht="15" hidden="false" customHeight="false" outlineLevel="1" collapsed="false">
      <c r="A198" s="24" t="n">
        <v>1</v>
      </c>
      <c r="B198" s="24" t="s">
        <v>1813</v>
      </c>
      <c r="C198" s="40" t="s">
        <v>2872</v>
      </c>
      <c r="D198" s="24" t="s">
        <v>82</v>
      </c>
      <c r="E198" s="24" t="s">
        <v>276</v>
      </c>
      <c r="F198" s="41" t="n">
        <f aca="false">PROCESO!$I$122</f>
        <v>0.166666666666667</v>
      </c>
      <c r="G198" s="24" t="s">
        <v>2281</v>
      </c>
      <c r="H198" s="42" t="n">
        <f aca="false">PROCESO!$I$122*DEMANDA!F18</f>
        <v>0</v>
      </c>
      <c r="I198" s="42" t="n">
        <f aca="false">PROCESO!$I$122*DEMANDA!G18</f>
        <v>0</v>
      </c>
      <c r="J198" s="42" t="n">
        <f aca="false">PROCESO!$I$122*DEMANDA!H18</f>
        <v>1.16666666666667</v>
      </c>
      <c r="K198" s="42" t="n">
        <f aca="false">PROCESO!$I$122*DEMANDA!I18</f>
        <v>4.06666666666667</v>
      </c>
      <c r="L198" s="42" t="n">
        <f aca="false">PROCESO!$I$122*DEMANDA!J18</f>
        <v>7.53333333333333</v>
      </c>
      <c r="M198" s="42" t="n">
        <f aca="false">PROCESO!$I$122*DEMANDA!K18</f>
        <v>10.9</v>
      </c>
      <c r="N198" s="42" t="n">
        <f aca="false">PROCESO!$I$122*DEMANDA!L18</f>
        <v>15.3666666666667</v>
      </c>
      <c r="O198" s="42" t="n">
        <f aca="false">PROCESO!$I$122*DEMANDA!M18</f>
        <v>19.8333333333333</v>
      </c>
      <c r="P198" s="42" t="n">
        <f aca="false">PROCESO!$I$122*DEMANDA!N18</f>
        <v>22.2333333333333</v>
      </c>
      <c r="Q198" s="42" t="n">
        <f aca="false">PROCESO!$I$122*DEMANDA!O18</f>
        <v>25.8333333333333</v>
      </c>
      <c r="R198" s="24" t="s">
        <v>2878</v>
      </c>
    </row>
    <row r="199" customFormat="false" ht="15" hidden="false" customHeight="false" outlineLevel="1" collapsed="false">
      <c r="A199" s="24" t="n">
        <v>1</v>
      </c>
      <c r="B199" s="24" t="s">
        <v>1813</v>
      </c>
      <c r="C199" s="40" t="s">
        <v>2874</v>
      </c>
      <c r="D199" s="24" t="s">
        <v>82</v>
      </c>
      <c r="E199" s="24" t="s">
        <v>279</v>
      </c>
      <c r="F199" s="41" t="n">
        <f aca="false">PROCESO!$I$147</f>
        <v>0.166666666666667</v>
      </c>
      <c r="G199" s="24" t="s">
        <v>2281</v>
      </c>
      <c r="H199" s="42" t="n">
        <f aca="false">PROCESO!$I$147*DEMANDA!F19</f>
        <v>0</v>
      </c>
      <c r="I199" s="42" t="n">
        <f aca="false">PROCESO!$I$147*DEMANDA!G19</f>
        <v>0</v>
      </c>
      <c r="J199" s="42" t="n">
        <f aca="false">PROCESO!$I$147*DEMANDA!H19</f>
        <v>0.766666666666667</v>
      </c>
      <c r="K199" s="42" t="n">
        <f aca="false">PROCESO!$I$147*DEMANDA!I19</f>
        <v>2.66666666666667</v>
      </c>
      <c r="L199" s="42" t="n">
        <f aca="false">PROCESO!$I$147*DEMANDA!J19</f>
        <v>4.93333333333333</v>
      </c>
      <c r="M199" s="42" t="n">
        <f aca="false">PROCESO!$I$147*DEMANDA!K19</f>
        <v>7.13333333333333</v>
      </c>
      <c r="N199" s="42" t="n">
        <f aca="false">PROCESO!$I$147*DEMANDA!L19</f>
        <v>10.0666666666667</v>
      </c>
      <c r="O199" s="42" t="n">
        <f aca="false">PROCESO!$I$147*DEMANDA!M19</f>
        <v>13</v>
      </c>
      <c r="P199" s="42" t="n">
        <f aca="false">PROCESO!$I$147*DEMANDA!N19</f>
        <v>14.6</v>
      </c>
      <c r="Q199" s="42" t="n">
        <f aca="false">PROCESO!$I$147*DEMANDA!O19</f>
        <v>17</v>
      </c>
      <c r="R199" s="24" t="s">
        <v>2879</v>
      </c>
    </row>
    <row r="200" customFormat="false" ht="15" hidden="false" customHeight="false" outlineLevel="0" collapsed="false">
      <c r="A200" s="38" t="n">
        <v>0</v>
      </c>
      <c r="B200" s="38" t="s">
        <v>1816</v>
      </c>
      <c r="C200" s="38" t="s">
        <v>2234</v>
      </c>
      <c r="D200" s="38" t="s">
        <v>73</v>
      </c>
      <c r="E200" s="38"/>
      <c r="F200" s="38"/>
      <c r="G200" s="38"/>
      <c r="H200" s="39" t="n">
        <f aca="false">SUM(H201:H204)</f>
        <v>0</v>
      </c>
      <c r="I200" s="39" t="n">
        <f aca="false">SUM(I201:I204)</f>
        <v>0</v>
      </c>
      <c r="J200" s="39" t="n">
        <f aca="false">SUM(J201:J204)</f>
        <v>2.12333333333333</v>
      </c>
      <c r="K200" s="39" t="n">
        <f aca="false">SUM(K201:K204)</f>
        <v>7.39763888888889</v>
      </c>
      <c r="L200" s="39" t="n">
        <f aca="false">SUM(L201:L204)</f>
        <v>13.6995833333333</v>
      </c>
      <c r="M200" s="39" t="n">
        <f aca="false">SUM(M201:M204)</f>
        <v>19.85375</v>
      </c>
      <c r="N200" s="39" t="n">
        <f aca="false">SUM(N201:N204)</f>
        <v>28.0515277777778</v>
      </c>
      <c r="O200" s="39" t="n">
        <f aca="false">SUM(O201:O204)</f>
        <v>36.2493055555556</v>
      </c>
      <c r="P200" s="39" t="n">
        <f aca="false">SUM(P201:P204)</f>
        <v>40.6379166666667</v>
      </c>
      <c r="Q200" s="39" t="n">
        <f aca="false">SUM(Q201:Q204)</f>
        <v>47.2208333333333</v>
      </c>
      <c r="R200" s="38"/>
    </row>
    <row r="201" customFormat="false" ht="15" hidden="false" customHeight="false" outlineLevel="1" collapsed="false">
      <c r="A201" s="24" t="n">
        <v>1</v>
      </c>
      <c r="B201" s="24" t="s">
        <v>1816</v>
      </c>
      <c r="C201" s="40" t="s">
        <v>2868</v>
      </c>
      <c r="D201" s="24" t="s">
        <v>73</v>
      </c>
      <c r="E201" s="24" t="s">
        <v>270</v>
      </c>
      <c r="F201" s="41" t="n">
        <f aca="false">PROCESO!$I$75</f>
        <v>0.0145833333333333</v>
      </c>
      <c r="G201" s="24" t="s">
        <v>2281</v>
      </c>
      <c r="H201" s="42" t="n">
        <f aca="false">PROCESO!$I$75*DEMANDA!F16</f>
        <v>0</v>
      </c>
      <c r="I201" s="42" t="n">
        <f aca="false">PROCESO!$I$75*DEMANDA!G16</f>
        <v>0</v>
      </c>
      <c r="J201" s="42" t="n">
        <f aca="false">PROCESO!$I$75*DEMANDA!H16</f>
        <v>0.21</v>
      </c>
      <c r="K201" s="42" t="n">
        <f aca="false">PROCESO!$I$75*DEMANDA!I16</f>
        <v>0.732083333333333</v>
      </c>
      <c r="L201" s="42" t="n">
        <f aca="false">PROCESO!$I$75*DEMANDA!J16</f>
        <v>1.35625</v>
      </c>
      <c r="M201" s="42" t="n">
        <f aca="false">PROCESO!$I$75*DEMANDA!K16</f>
        <v>1.96875</v>
      </c>
      <c r="N201" s="42" t="n">
        <f aca="false">PROCESO!$I$75*DEMANDA!L16</f>
        <v>2.78541666666667</v>
      </c>
      <c r="O201" s="42" t="n">
        <f aca="false">PROCESO!$I$75*DEMANDA!M16</f>
        <v>3.60208333333333</v>
      </c>
      <c r="P201" s="42" t="n">
        <f aca="false">PROCESO!$I$75*DEMANDA!N16</f>
        <v>4.03958333333333</v>
      </c>
      <c r="Q201" s="42" t="n">
        <f aca="false">PROCESO!$I$75*DEMANDA!O16</f>
        <v>4.69583333333333</v>
      </c>
      <c r="R201" s="24" t="s">
        <v>2880</v>
      </c>
    </row>
    <row r="202" customFormat="false" ht="15" hidden="false" customHeight="false" outlineLevel="1" collapsed="false">
      <c r="A202" s="24" t="n">
        <v>1</v>
      </c>
      <c r="B202" s="24" t="s">
        <v>1816</v>
      </c>
      <c r="C202" s="40" t="s">
        <v>2870</v>
      </c>
      <c r="D202" s="24" t="s">
        <v>73</v>
      </c>
      <c r="E202" s="24" t="s">
        <v>273</v>
      </c>
      <c r="F202" s="41" t="n">
        <f aca="false">PROCESO!$I$98</f>
        <v>0.0388888888888889</v>
      </c>
      <c r="G202" s="24" t="s">
        <v>2281</v>
      </c>
      <c r="H202" s="42" t="n">
        <f aca="false">PROCESO!$I$98*DEMANDA!F17</f>
        <v>0</v>
      </c>
      <c r="I202" s="42" t="n">
        <f aca="false">PROCESO!$I$98*DEMANDA!G17</f>
        <v>0</v>
      </c>
      <c r="J202" s="42" t="n">
        <f aca="false">PROCESO!$I$98*DEMANDA!H17</f>
        <v>1.23666666666667</v>
      </c>
      <c r="K202" s="42" t="n">
        <f aca="false">PROCESO!$I$98*DEMANDA!I17</f>
        <v>4.30888888888889</v>
      </c>
      <c r="L202" s="42" t="n">
        <f aca="false">PROCESO!$I$98*DEMANDA!J17</f>
        <v>7.98</v>
      </c>
      <c r="M202" s="42" t="n">
        <f aca="false">PROCESO!$I$98*DEMANDA!K17</f>
        <v>11.5733333333333</v>
      </c>
      <c r="N202" s="42" t="n">
        <f aca="false">PROCESO!$I$98*DEMANDA!L17</f>
        <v>16.3644444444444</v>
      </c>
      <c r="O202" s="42" t="n">
        <f aca="false">PROCESO!$I$98*DEMANDA!M17</f>
        <v>21.1555555555556</v>
      </c>
      <c r="P202" s="42" t="n">
        <f aca="false">PROCESO!$I$98*DEMANDA!N17</f>
        <v>23.7066666666667</v>
      </c>
      <c r="Q202" s="42" t="n">
        <f aca="false">PROCESO!$I$98*DEMANDA!O17</f>
        <v>27.5333333333333</v>
      </c>
      <c r="R202" s="24" t="s">
        <v>2881</v>
      </c>
    </row>
    <row r="203" customFormat="false" ht="15" hidden="false" customHeight="false" outlineLevel="1" collapsed="false">
      <c r="A203" s="24" t="n">
        <v>1</v>
      </c>
      <c r="B203" s="24" t="s">
        <v>1816</v>
      </c>
      <c r="C203" s="40" t="s">
        <v>2872</v>
      </c>
      <c r="D203" s="24" t="s">
        <v>73</v>
      </c>
      <c r="E203" s="24" t="s">
        <v>276</v>
      </c>
      <c r="F203" s="41" t="n">
        <f aca="false">PROCESO!$I$123</f>
        <v>0.0583333333333333</v>
      </c>
      <c r="G203" s="24" t="s">
        <v>2281</v>
      </c>
      <c r="H203" s="42" t="n">
        <f aca="false">PROCESO!$I$123*DEMANDA!F18</f>
        <v>0</v>
      </c>
      <c r="I203" s="42" t="n">
        <f aca="false">PROCESO!$I$123*DEMANDA!G18</f>
        <v>0</v>
      </c>
      <c r="J203" s="42" t="n">
        <f aca="false">PROCESO!$I$123*DEMANDA!H18</f>
        <v>0.408333333333333</v>
      </c>
      <c r="K203" s="42" t="n">
        <f aca="false">PROCESO!$I$123*DEMANDA!I18</f>
        <v>1.42333333333333</v>
      </c>
      <c r="L203" s="42" t="n">
        <f aca="false">PROCESO!$I$123*DEMANDA!J18</f>
        <v>2.63666666666667</v>
      </c>
      <c r="M203" s="42" t="n">
        <f aca="false">PROCESO!$I$123*DEMANDA!K18</f>
        <v>3.815</v>
      </c>
      <c r="N203" s="42" t="n">
        <f aca="false">PROCESO!$I$123*DEMANDA!L18</f>
        <v>5.37833333333333</v>
      </c>
      <c r="O203" s="42" t="n">
        <f aca="false">PROCESO!$I$123*DEMANDA!M18</f>
        <v>6.94166666666667</v>
      </c>
      <c r="P203" s="42" t="n">
        <f aca="false">PROCESO!$I$123*DEMANDA!N18</f>
        <v>7.78166666666667</v>
      </c>
      <c r="Q203" s="42" t="n">
        <f aca="false">PROCESO!$I$123*DEMANDA!O18</f>
        <v>9.04166666666667</v>
      </c>
      <c r="R203" s="24" t="s">
        <v>2882</v>
      </c>
    </row>
    <row r="204" customFormat="false" ht="15" hidden="false" customHeight="false" outlineLevel="1" collapsed="false">
      <c r="A204" s="24" t="n">
        <v>1</v>
      </c>
      <c r="B204" s="24" t="s">
        <v>1816</v>
      </c>
      <c r="C204" s="40" t="s">
        <v>2874</v>
      </c>
      <c r="D204" s="24" t="s">
        <v>73</v>
      </c>
      <c r="E204" s="24" t="s">
        <v>279</v>
      </c>
      <c r="F204" s="41" t="n">
        <f aca="false">PROCESO!$I$148</f>
        <v>0.0583333333333333</v>
      </c>
      <c r="G204" s="24" t="s">
        <v>2281</v>
      </c>
      <c r="H204" s="42" t="n">
        <f aca="false">PROCESO!$I$148*DEMANDA!F19</f>
        <v>0</v>
      </c>
      <c r="I204" s="42" t="n">
        <f aca="false">PROCESO!$I$148*DEMANDA!G19</f>
        <v>0</v>
      </c>
      <c r="J204" s="42" t="n">
        <f aca="false">PROCESO!$I$148*DEMANDA!H19</f>
        <v>0.268333333333333</v>
      </c>
      <c r="K204" s="42" t="n">
        <f aca="false">PROCESO!$I$148*DEMANDA!I19</f>
        <v>0.933333333333333</v>
      </c>
      <c r="L204" s="42" t="n">
        <f aca="false">PROCESO!$I$148*DEMANDA!J19</f>
        <v>1.72666666666667</v>
      </c>
      <c r="M204" s="42" t="n">
        <f aca="false">PROCESO!$I$148*DEMANDA!K19</f>
        <v>2.49666666666667</v>
      </c>
      <c r="N204" s="42" t="n">
        <f aca="false">PROCESO!$I$148*DEMANDA!L19</f>
        <v>3.52333333333333</v>
      </c>
      <c r="O204" s="42" t="n">
        <f aca="false">PROCESO!$I$148*DEMANDA!M19</f>
        <v>4.55</v>
      </c>
      <c r="P204" s="42" t="n">
        <f aca="false">PROCESO!$I$148*DEMANDA!N19</f>
        <v>5.11</v>
      </c>
      <c r="Q204" s="42" t="n">
        <f aca="false">PROCESO!$I$148*DEMANDA!O19</f>
        <v>5.95</v>
      </c>
      <c r="R204" s="24" t="s">
        <v>2883</v>
      </c>
    </row>
    <row r="205" customFormat="false" ht="15" hidden="false" customHeight="false" outlineLevel="0" collapsed="false">
      <c r="A205" s="38" t="n">
        <v>0</v>
      </c>
      <c r="B205" s="38" t="s">
        <v>1818</v>
      </c>
      <c r="C205" s="38" t="s">
        <v>2238</v>
      </c>
      <c r="D205" s="38" t="s">
        <v>82</v>
      </c>
      <c r="E205" s="38"/>
      <c r="F205" s="38"/>
      <c r="G205" s="38"/>
      <c r="H205" s="39" t="n">
        <f aca="false">SUM(H206:H209)</f>
        <v>0</v>
      </c>
      <c r="I205" s="39" t="n">
        <f aca="false">SUM(I206:I209)</f>
        <v>0</v>
      </c>
      <c r="J205" s="39" t="n">
        <f aca="false">SUM(J206:J209)</f>
        <v>6.06666666666667</v>
      </c>
      <c r="K205" s="39" t="n">
        <f aca="false">SUM(K206:K209)</f>
        <v>21.1361111111111</v>
      </c>
      <c r="L205" s="39" t="n">
        <f aca="false">SUM(L206:L209)</f>
        <v>39.1416666666667</v>
      </c>
      <c r="M205" s="39" t="n">
        <f aca="false">SUM(M206:M209)</f>
        <v>56.725</v>
      </c>
      <c r="N205" s="39" t="n">
        <f aca="false">SUM(N206:N209)</f>
        <v>80.1472222222222</v>
      </c>
      <c r="O205" s="39" t="n">
        <f aca="false">SUM(O206:O209)</f>
        <v>103.569444444444</v>
      </c>
      <c r="P205" s="39" t="n">
        <f aca="false">SUM(P206:P209)</f>
        <v>116.108333333333</v>
      </c>
      <c r="Q205" s="39" t="n">
        <f aca="false">SUM(Q206:Q209)</f>
        <v>134.916666666667</v>
      </c>
      <c r="R205" s="38"/>
    </row>
    <row r="206" customFormat="false" ht="15" hidden="false" customHeight="false" outlineLevel="1" collapsed="false">
      <c r="A206" s="24" t="n">
        <v>1</v>
      </c>
      <c r="B206" s="24" t="s">
        <v>1818</v>
      </c>
      <c r="C206" s="40" t="s">
        <v>2868</v>
      </c>
      <c r="D206" s="24" t="s">
        <v>82</v>
      </c>
      <c r="E206" s="24" t="s">
        <v>270</v>
      </c>
      <c r="F206" s="41" t="n">
        <f aca="false">PROCESO!$I$77</f>
        <v>0.0416666666666667</v>
      </c>
      <c r="G206" s="24" t="s">
        <v>2281</v>
      </c>
      <c r="H206" s="42" t="n">
        <f aca="false">PROCESO!$I$77*DEMANDA!F16</f>
        <v>0</v>
      </c>
      <c r="I206" s="42" t="n">
        <f aca="false">PROCESO!$I$77*DEMANDA!G16</f>
        <v>0</v>
      </c>
      <c r="J206" s="42" t="n">
        <f aca="false">PROCESO!$I$77*DEMANDA!H16</f>
        <v>0.6</v>
      </c>
      <c r="K206" s="42" t="n">
        <f aca="false">PROCESO!$I$77*DEMANDA!I16</f>
        <v>2.09166666666667</v>
      </c>
      <c r="L206" s="42" t="n">
        <f aca="false">PROCESO!$I$77*DEMANDA!J16</f>
        <v>3.875</v>
      </c>
      <c r="M206" s="42" t="n">
        <f aca="false">PROCESO!$I$77*DEMANDA!K16</f>
        <v>5.625</v>
      </c>
      <c r="N206" s="42" t="n">
        <f aca="false">PROCESO!$I$77*DEMANDA!L16</f>
        <v>7.95833333333333</v>
      </c>
      <c r="O206" s="42" t="n">
        <f aca="false">PROCESO!$I$77*DEMANDA!M16</f>
        <v>10.2916666666667</v>
      </c>
      <c r="P206" s="42" t="n">
        <f aca="false">PROCESO!$I$77*DEMANDA!N16</f>
        <v>11.5416666666667</v>
      </c>
      <c r="Q206" s="42" t="n">
        <f aca="false">PROCESO!$I$77*DEMANDA!O16</f>
        <v>13.4166666666667</v>
      </c>
      <c r="R206" s="24" t="s">
        <v>2884</v>
      </c>
    </row>
    <row r="207" customFormat="false" ht="15" hidden="false" customHeight="false" outlineLevel="1" collapsed="false">
      <c r="A207" s="24" t="n">
        <v>1</v>
      </c>
      <c r="B207" s="24" t="s">
        <v>1818</v>
      </c>
      <c r="C207" s="40" t="s">
        <v>2870</v>
      </c>
      <c r="D207" s="24" t="s">
        <v>82</v>
      </c>
      <c r="E207" s="24" t="s">
        <v>273</v>
      </c>
      <c r="F207" s="41" t="n">
        <f aca="false">PROCESO!$I$100</f>
        <v>0.111111111111111</v>
      </c>
      <c r="G207" s="24" t="s">
        <v>2281</v>
      </c>
      <c r="H207" s="42" t="n">
        <f aca="false">PROCESO!$I$100*DEMANDA!F17</f>
        <v>0</v>
      </c>
      <c r="I207" s="42" t="n">
        <f aca="false">PROCESO!$I$100*DEMANDA!G17</f>
        <v>0</v>
      </c>
      <c r="J207" s="42" t="n">
        <f aca="false">PROCESO!$I$100*DEMANDA!H17</f>
        <v>3.53333333333333</v>
      </c>
      <c r="K207" s="42" t="n">
        <f aca="false">PROCESO!$I$100*DEMANDA!I17</f>
        <v>12.3111111111111</v>
      </c>
      <c r="L207" s="42" t="n">
        <f aca="false">PROCESO!$I$100*DEMANDA!J17</f>
        <v>22.8</v>
      </c>
      <c r="M207" s="42" t="n">
        <f aca="false">PROCESO!$I$100*DEMANDA!K17</f>
        <v>33.0666666666667</v>
      </c>
      <c r="N207" s="42" t="n">
        <f aca="false">PROCESO!$I$100*DEMANDA!L17</f>
        <v>46.7555555555556</v>
      </c>
      <c r="O207" s="42" t="n">
        <f aca="false">PROCESO!$I$100*DEMANDA!M17</f>
        <v>60.4444444444444</v>
      </c>
      <c r="P207" s="42" t="n">
        <f aca="false">PROCESO!$I$100*DEMANDA!N17</f>
        <v>67.7333333333333</v>
      </c>
      <c r="Q207" s="42" t="n">
        <f aca="false">PROCESO!$I$100*DEMANDA!O17</f>
        <v>78.6666666666667</v>
      </c>
      <c r="R207" s="24" t="s">
        <v>2885</v>
      </c>
    </row>
    <row r="208" customFormat="false" ht="15" hidden="false" customHeight="false" outlineLevel="1" collapsed="false">
      <c r="A208" s="24" t="n">
        <v>1</v>
      </c>
      <c r="B208" s="24" t="s">
        <v>1818</v>
      </c>
      <c r="C208" s="40" t="s">
        <v>2872</v>
      </c>
      <c r="D208" s="24" t="s">
        <v>82</v>
      </c>
      <c r="E208" s="24" t="s">
        <v>276</v>
      </c>
      <c r="F208" s="41" t="n">
        <f aca="false">PROCESO!$I$125</f>
        <v>0.166666666666667</v>
      </c>
      <c r="G208" s="24" t="s">
        <v>2281</v>
      </c>
      <c r="H208" s="42" t="n">
        <f aca="false">PROCESO!$I$125*DEMANDA!F18</f>
        <v>0</v>
      </c>
      <c r="I208" s="42" t="n">
        <f aca="false">PROCESO!$I$125*DEMANDA!G18</f>
        <v>0</v>
      </c>
      <c r="J208" s="42" t="n">
        <f aca="false">PROCESO!$I$125*DEMANDA!H18</f>
        <v>1.16666666666667</v>
      </c>
      <c r="K208" s="42" t="n">
        <f aca="false">PROCESO!$I$125*DEMANDA!I18</f>
        <v>4.06666666666667</v>
      </c>
      <c r="L208" s="42" t="n">
        <f aca="false">PROCESO!$I$125*DEMANDA!J18</f>
        <v>7.53333333333333</v>
      </c>
      <c r="M208" s="42" t="n">
        <f aca="false">PROCESO!$I$125*DEMANDA!K18</f>
        <v>10.9</v>
      </c>
      <c r="N208" s="42" t="n">
        <f aca="false">PROCESO!$I$125*DEMANDA!L18</f>
        <v>15.3666666666667</v>
      </c>
      <c r="O208" s="42" t="n">
        <f aca="false">PROCESO!$I$125*DEMANDA!M18</f>
        <v>19.8333333333333</v>
      </c>
      <c r="P208" s="42" t="n">
        <f aca="false">PROCESO!$I$125*DEMANDA!N18</f>
        <v>22.2333333333333</v>
      </c>
      <c r="Q208" s="42" t="n">
        <f aca="false">PROCESO!$I$125*DEMANDA!O18</f>
        <v>25.8333333333333</v>
      </c>
      <c r="R208" s="24" t="s">
        <v>2886</v>
      </c>
    </row>
    <row r="209" customFormat="false" ht="15" hidden="false" customHeight="false" outlineLevel="1" collapsed="false">
      <c r="A209" s="24" t="n">
        <v>1</v>
      </c>
      <c r="B209" s="24" t="s">
        <v>1818</v>
      </c>
      <c r="C209" s="40" t="s">
        <v>2874</v>
      </c>
      <c r="D209" s="24" t="s">
        <v>82</v>
      </c>
      <c r="E209" s="24" t="s">
        <v>279</v>
      </c>
      <c r="F209" s="41" t="n">
        <f aca="false">PROCESO!$I$150</f>
        <v>0.166666666666667</v>
      </c>
      <c r="G209" s="24" t="s">
        <v>2281</v>
      </c>
      <c r="H209" s="42" t="n">
        <f aca="false">PROCESO!$I$150*DEMANDA!F19</f>
        <v>0</v>
      </c>
      <c r="I209" s="42" t="n">
        <f aca="false">PROCESO!$I$150*DEMANDA!G19</f>
        <v>0</v>
      </c>
      <c r="J209" s="42" t="n">
        <f aca="false">PROCESO!$I$150*DEMANDA!H19</f>
        <v>0.766666666666667</v>
      </c>
      <c r="K209" s="42" t="n">
        <f aca="false">PROCESO!$I$150*DEMANDA!I19</f>
        <v>2.66666666666667</v>
      </c>
      <c r="L209" s="42" t="n">
        <f aca="false">PROCESO!$I$150*DEMANDA!J19</f>
        <v>4.93333333333333</v>
      </c>
      <c r="M209" s="42" t="n">
        <f aca="false">PROCESO!$I$150*DEMANDA!K19</f>
        <v>7.13333333333333</v>
      </c>
      <c r="N209" s="42" t="n">
        <f aca="false">PROCESO!$I$150*DEMANDA!L19</f>
        <v>10.0666666666667</v>
      </c>
      <c r="O209" s="42" t="n">
        <f aca="false">PROCESO!$I$150*DEMANDA!M19</f>
        <v>13</v>
      </c>
      <c r="P209" s="42" t="n">
        <f aca="false">PROCESO!$I$150*DEMANDA!N19</f>
        <v>14.6</v>
      </c>
      <c r="Q209" s="42" t="n">
        <f aca="false">PROCESO!$I$150*DEMANDA!O19</f>
        <v>17</v>
      </c>
      <c r="R209" s="24" t="s">
        <v>2887</v>
      </c>
    </row>
    <row r="210" customFormat="false" ht="15" hidden="false" customHeight="false" outlineLevel="0" collapsed="false">
      <c r="A210" s="38" t="n">
        <v>0</v>
      </c>
      <c r="B210" s="38" t="s">
        <v>1890</v>
      </c>
      <c r="C210" s="38" t="s">
        <v>2239</v>
      </c>
      <c r="D210" s="38" t="s">
        <v>82</v>
      </c>
      <c r="E210" s="38"/>
      <c r="F210" s="38"/>
      <c r="G210" s="38"/>
      <c r="H210" s="39" t="n">
        <f aca="false">SUM(H211:H214)</f>
        <v>0</v>
      </c>
      <c r="I210" s="39" t="n">
        <f aca="false">SUM(I211:I214)</f>
        <v>0</v>
      </c>
      <c r="J210" s="39" t="n">
        <f aca="false">SUM(J211:J214)</f>
        <v>24.2666666666667</v>
      </c>
      <c r="K210" s="39" t="n">
        <f aca="false">SUM(K211:K214)</f>
        <v>84.5444444444444</v>
      </c>
      <c r="L210" s="39" t="n">
        <f aca="false">SUM(L211:L214)</f>
        <v>156.566666666667</v>
      </c>
      <c r="M210" s="39" t="n">
        <f aca="false">SUM(M211:M214)</f>
        <v>226.9</v>
      </c>
      <c r="N210" s="39" t="n">
        <f aca="false">SUM(N211:N214)</f>
        <v>320.588888888889</v>
      </c>
      <c r="O210" s="39" t="n">
        <f aca="false">SUM(O211:O214)</f>
        <v>414.277777777778</v>
      </c>
      <c r="P210" s="39" t="n">
        <f aca="false">SUM(P211:P214)</f>
        <v>464.433333333333</v>
      </c>
      <c r="Q210" s="39" t="n">
        <f aca="false">SUM(Q211:Q214)</f>
        <v>539.666666666667</v>
      </c>
      <c r="R210" s="38"/>
    </row>
    <row r="211" customFormat="false" ht="15" hidden="false" customHeight="false" outlineLevel="1" collapsed="false">
      <c r="A211" s="24" t="n">
        <v>1</v>
      </c>
      <c r="B211" s="24" t="s">
        <v>1890</v>
      </c>
      <c r="C211" s="40" t="s">
        <v>2868</v>
      </c>
      <c r="D211" s="24" t="s">
        <v>82</v>
      </c>
      <c r="E211" s="24" t="s">
        <v>270</v>
      </c>
      <c r="F211" s="41" t="n">
        <f aca="false">PROCESO!$I$76</f>
        <v>0.166666666666667</v>
      </c>
      <c r="G211" s="24" t="s">
        <v>2281</v>
      </c>
      <c r="H211" s="42" t="n">
        <f aca="false">PROCESO!$I$76*DEMANDA!F16</f>
        <v>0</v>
      </c>
      <c r="I211" s="42" t="n">
        <f aca="false">PROCESO!$I$76*DEMANDA!G16</f>
        <v>0</v>
      </c>
      <c r="J211" s="42" t="n">
        <f aca="false">PROCESO!$I$76*DEMANDA!H16</f>
        <v>2.4</v>
      </c>
      <c r="K211" s="42" t="n">
        <f aca="false">PROCESO!$I$76*DEMANDA!I16</f>
        <v>8.36666666666667</v>
      </c>
      <c r="L211" s="42" t="n">
        <f aca="false">PROCESO!$I$76*DEMANDA!J16</f>
        <v>15.5</v>
      </c>
      <c r="M211" s="42" t="n">
        <f aca="false">PROCESO!$I$76*DEMANDA!K16</f>
        <v>22.5</v>
      </c>
      <c r="N211" s="42" t="n">
        <f aca="false">PROCESO!$I$76*DEMANDA!L16</f>
        <v>31.8333333333333</v>
      </c>
      <c r="O211" s="42" t="n">
        <f aca="false">PROCESO!$I$76*DEMANDA!M16</f>
        <v>41.1666666666667</v>
      </c>
      <c r="P211" s="42" t="n">
        <f aca="false">PROCESO!$I$76*DEMANDA!N16</f>
        <v>46.1666666666667</v>
      </c>
      <c r="Q211" s="42" t="n">
        <f aca="false">PROCESO!$I$76*DEMANDA!O16</f>
        <v>53.6666666666667</v>
      </c>
      <c r="R211" s="24" t="s">
        <v>2888</v>
      </c>
    </row>
    <row r="212" customFormat="false" ht="15" hidden="false" customHeight="false" outlineLevel="1" collapsed="false">
      <c r="A212" s="24" t="n">
        <v>1</v>
      </c>
      <c r="B212" s="24" t="s">
        <v>1890</v>
      </c>
      <c r="C212" s="40" t="s">
        <v>2870</v>
      </c>
      <c r="D212" s="24" t="s">
        <v>82</v>
      </c>
      <c r="E212" s="24" t="s">
        <v>273</v>
      </c>
      <c r="F212" s="41" t="n">
        <f aca="false">PROCESO!$I$99</f>
        <v>0.444444444444444</v>
      </c>
      <c r="G212" s="24" t="s">
        <v>2281</v>
      </c>
      <c r="H212" s="42" t="n">
        <f aca="false">PROCESO!$I$99*DEMANDA!F17</f>
        <v>0</v>
      </c>
      <c r="I212" s="42" t="n">
        <f aca="false">PROCESO!$I$99*DEMANDA!G17</f>
        <v>0</v>
      </c>
      <c r="J212" s="42" t="n">
        <f aca="false">PROCESO!$I$99*DEMANDA!H17</f>
        <v>14.1333333333333</v>
      </c>
      <c r="K212" s="42" t="n">
        <f aca="false">PROCESO!$I$99*DEMANDA!I17</f>
        <v>49.2444444444444</v>
      </c>
      <c r="L212" s="42" t="n">
        <f aca="false">PROCESO!$I$99*DEMANDA!J17</f>
        <v>91.2</v>
      </c>
      <c r="M212" s="42" t="n">
        <f aca="false">PROCESO!$I$99*DEMANDA!K17</f>
        <v>132.266666666667</v>
      </c>
      <c r="N212" s="42" t="n">
        <f aca="false">PROCESO!$I$99*DEMANDA!L17</f>
        <v>187.022222222222</v>
      </c>
      <c r="O212" s="42" t="n">
        <f aca="false">PROCESO!$I$99*DEMANDA!M17</f>
        <v>241.777777777778</v>
      </c>
      <c r="P212" s="42" t="n">
        <f aca="false">PROCESO!$I$99*DEMANDA!N17</f>
        <v>270.933333333333</v>
      </c>
      <c r="Q212" s="42" t="n">
        <f aca="false">PROCESO!$I$99*DEMANDA!O17</f>
        <v>314.666666666667</v>
      </c>
      <c r="R212" s="24" t="s">
        <v>2889</v>
      </c>
    </row>
    <row r="213" customFormat="false" ht="15" hidden="false" customHeight="false" outlineLevel="1" collapsed="false">
      <c r="A213" s="24" t="n">
        <v>1</v>
      </c>
      <c r="B213" s="24" t="s">
        <v>1890</v>
      </c>
      <c r="C213" s="40" t="s">
        <v>2872</v>
      </c>
      <c r="D213" s="24" t="s">
        <v>82</v>
      </c>
      <c r="E213" s="24" t="s">
        <v>276</v>
      </c>
      <c r="F213" s="41" t="n">
        <f aca="false">PROCESO!$I$124</f>
        <v>0.666666666666667</v>
      </c>
      <c r="G213" s="24" t="s">
        <v>2281</v>
      </c>
      <c r="H213" s="42" t="n">
        <f aca="false">PROCESO!$I$124*DEMANDA!F18</f>
        <v>0</v>
      </c>
      <c r="I213" s="42" t="n">
        <f aca="false">PROCESO!$I$124*DEMANDA!G18</f>
        <v>0</v>
      </c>
      <c r="J213" s="42" t="n">
        <f aca="false">PROCESO!$I$124*DEMANDA!H18</f>
        <v>4.66666666666667</v>
      </c>
      <c r="K213" s="42" t="n">
        <f aca="false">PROCESO!$I$124*DEMANDA!I18</f>
        <v>16.2666666666667</v>
      </c>
      <c r="L213" s="42" t="n">
        <f aca="false">PROCESO!$I$124*DEMANDA!J18</f>
        <v>30.1333333333333</v>
      </c>
      <c r="M213" s="42" t="n">
        <f aca="false">PROCESO!$I$124*DEMANDA!K18</f>
        <v>43.6</v>
      </c>
      <c r="N213" s="42" t="n">
        <f aca="false">PROCESO!$I$124*DEMANDA!L18</f>
        <v>61.4666666666667</v>
      </c>
      <c r="O213" s="42" t="n">
        <f aca="false">PROCESO!$I$124*DEMANDA!M18</f>
        <v>79.3333333333333</v>
      </c>
      <c r="P213" s="42" t="n">
        <f aca="false">PROCESO!$I$124*DEMANDA!N18</f>
        <v>88.9333333333333</v>
      </c>
      <c r="Q213" s="42" t="n">
        <f aca="false">PROCESO!$I$124*DEMANDA!O18</f>
        <v>103.333333333333</v>
      </c>
      <c r="R213" s="24" t="s">
        <v>2890</v>
      </c>
    </row>
    <row r="214" customFormat="false" ht="15" hidden="false" customHeight="false" outlineLevel="1" collapsed="false">
      <c r="A214" s="24" t="n">
        <v>1</v>
      </c>
      <c r="B214" s="24" t="s">
        <v>1890</v>
      </c>
      <c r="C214" s="40" t="s">
        <v>2874</v>
      </c>
      <c r="D214" s="24" t="s">
        <v>82</v>
      </c>
      <c r="E214" s="24" t="s">
        <v>279</v>
      </c>
      <c r="F214" s="41" t="n">
        <f aca="false">PROCESO!$I$149</f>
        <v>0.666666666666667</v>
      </c>
      <c r="G214" s="24" t="s">
        <v>2281</v>
      </c>
      <c r="H214" s="42" t="n">
        <f aca="false">PROCESO!$I$149*DEMANDA!F19</f>
        <v>0</v>
      </c>
      <c r="I214" s="42" t="n">
        <f aca="false">PROCESO!$I$149*DEMANDA!G19</f>
        <v>0</v>
      </c>
      <c r="J214" s="42" t="n">
        <f aca="false">PROCESO!$I$149*DEMANDA!H19</f>
        <v>3.06666666666667</v>
      </c>
      <c r="K214" s="42" t="n">
        <f aca="false">PROCESO!$I$149*DEMANDA!I19</f>
        <v>10.6666666666667</v>
      </c>
      <c r="L214" s="42" t="n">
        <f aca="false">PROCESO!$I$149*DEMANDA!J19</f>
        <v>19.7333333333333</v>
      </c>
      <c r="M214" s="42" t="n">
        <f aca="false">PROCESO!$I$149*DEMANDA!K19</f>
        <v>28.5333333333333</v>
      </c>
      <c r="N214" s="42" t="n">
        <f aca="false">PROCESO!$I$149*DEMANDA!L19</f>
        <v>40.2666666666667</v>
      </c>
      <c r="O214" s="42" t="n">
        <f aca="false">PROCESO!$I$149*DEMANDA!M19</f>
        <v>52</v>
      </c>
      <c r="P214" s="42" t="n">
        <f aca="false">PROCESO!$I$149*DEMANDA!N19</f>
        <v>58.4</v>
      </c>
      <c r="Q214" s="42" t="n">
        <f aca="false">PROCESO!$I$149*DEMANDA!O19</f>
        <v>68</v>
      </c>
      <c r="R214" s="24" t="s">
        <v>2891</v>
      </c>
    </row>
    <row r="215" customFormat="false" ht="15" hidden="false" customHeight="false" outlineLevel="0" collapsed="false">
      <c r="A215" s="38" t="n">
        <v>0</v>
      </c>
      <c r="B215" s="38" t="s">
        <v>1885</v>
      </c>
      <c r="C215" s="38" t="s">
        <v>2240</v>
      </c>
      <c r="D215" s="38" t="s">
        <v>82</v>
      </c>
      <c r="E215" s="38"/>
      <c r="F215" s="38"/>
      <c r="G215" s="38"/>
      <c r="H215" s="39" t="n">
        <f aca="false">SUM(H216:H219)</f>
        <v>136.20716545</v>
      </c>
      <c r="I215" s="39" t="n">
        <f aca="false">SUM(I216:I219)</f>
        <v>233.84858982</v>
      </c>
      <c r="J215" s="39" t="n">
        <f aca="false">SUM(J216:J219)</f>
        <v>300.83415996</v>
      </c>
      <c r="K215" s="39" t="n">
        <f aca="false">SUM(K216:K219)</f>
        <v>402.11941175</v>
      </c>
      <c r="L215" s="39" t="n">
        <f aca="false">SUM(L216:L219)</f>
        <v>623.50401399</v>
      </c>
      <c r="M215" s="39" t="n">
        <f aca="false">SUM(M216:M219)</f>
        <v>847.73793087</v>
      </c>
      <c r="N215" s="39" t="n">
        <f aca="false">SUM(N216:N219)</f>
        <v>1090.67293261</v>
      </c>
      <c r="O215" s="39" t="n">
        <f aca="false">SUM(O216:O219)</f>
        <v>1351.3946828</v>
      </c>
      <c r="P215" s="39" t="n">
        <f aca="false">SUM(P216:P219)</f>
        <v>1574.5096624</v>
      </c>
      <c r="Q215" s="39" t="n">
        <f aca="false">SUM(Q216:Q219)</f>
        <v>1813.0821329</v>
      </c>
      <c r="R215" s="38"/>
    </row>
    <row r="216" customFormat="false" ht="15" hidden="false" customHeight="false" outlineLevel="1" collapsed="false">
      <c r="A216" s="24" t="n">
        <v>1</v>
      </c>
      <c r="B216" s="24" t="s">
        <v>1885</v>
      </c>
      <c r="C216" s="40" t="s">
        <v>2892</v>
      </c>
      <c r="D216" s="24" t="s">
        <v>82</v>
      </c>
      <c r="E216" s="24" t="s">
        <v>245</v>
      </c>
      <c r="F216" s="41" t="n">
        <f aca="false">PROCESO!$I$73</f>
        <v>1</v>
      </c>
      <c r="G216" s="24" t="s">
        <v>2281</v>
      </c>
      <c r="H216" s="42" t="n">
        <f aca="false">PROCESO!$I$73*DEMANDA!F8</f>
        <v>34.05179136</v>
      </c>
      <c r="I216" s="42" t="n">
        <f aca="false">PROCESO!$I$73*DEMANDA!G8</f>
        <v>58.46214745</v>
      </c>
      <c r="J216" s="42" t="n">
        <f aca="false">PROCESO!$I$73*DEMANDA!H8</f>
        <v>75.20853998</v>
      </c>
      <c r="K216" s="42" t="n">
        <f aca="false">PROCESO!$I$73*DEMANDA!I8</f>
        <v>100.5298529</v>
      </c>
      <c r="L216" s="42" t="n">
        <f aca="false">PROCESO!$I$73*DEMANDA!J8</f>
        <v>155.8760035</v>
      </c>
      <c r="M216" s="42" t="n">
        <f aca="false">PROCESO!$I$73*DEMANDA!K8</f>
        <v>211.9344827</v>
      </c>
      <c r="N216" s="42" t="n">
        <f aca="false">PROCESO!$I$73*DEMANDA!L8</f>
        <v>272.6682332</v>
      </c>
      <c r="O216" s="42" t="n">
        <f aca="false">PROCESO!$I$73*DEMANDA!M8</f>
        <v>337.8486707</v>
      </c>
      <c r="P216" s="42" t="n">
        <f aca="false">PROCESO!$I$73*DEMANDA!N8</f>
        <v>393.6274156</v>
      </c>
      <c r="Q216" s="42" t="n">
        <f aca="false">PROCESO!$I$73*DEMANDA!O8</f>
        <v>453.2705332</v>
      </c>
      <c r="R216" s="24" t="s">
        <v>2893</v>
      </c>
    </row>
    <row r="217" customFormat="false" ht="15" hidden="false" customHeight="false" outlineLevel="1" collapsed="false">
      <c r="A217" s="24" t="n">
        <v>1</v>
      </c>
      <c r="B217" s="24" t="s">
        <v>1885</v>
      </c>
      <c r="C217" s="40" t="s">
        <v>2894</v>
      </c>
      <c r="D217" s="24" t="s">
        <v>82</v>
      </c>
      <c r="E217" s="24" t="s">
        <v>249</v>
      </c>
      <c r="F217" s="41" t="n">
        <f aca="false">PROCESO!$I$96</f>
        <v>1</v>
      </c>
      <c r="G217" s="24" t="s">
        <v>2281</v>
      </c>
      <c r="H217" s="42" t="n">
        <f aca="false">PROCESO!$I$96*DEMANDA!F9</f>
        <v>74.913941</v>
      </c>
      <c r="I217" s="42" t="n">
        <f aca="false">PROCESO!$I$96*DEMANDA!G9</f>
        <v>128.6167244</v>
      </c>
      <c r="J217" s="42" t="n">
        <f aca="false">PROCESO!$I$96*DEMANDA!H9</f>
        <v>165.458788</v>
      </c>
      <c r="K217" s="42" t="n">
        <f aca="false">PROCESO!$I$96*DEMANDA!I9</f>
        <v>221.1656765</v>
      </c>
      <c r="L217" s="42" t="n">
        <f aca="false">PROCESO!$I$96*DEMANDA!J9</f>
        <v>342.9272077</v>
      </c>
      <c r="M217" s="42" t="n">
        <f aca="false">PROCESO!$I$96*DEMANDA!K9</f>
        <v>466.255862</v>
      </c>
      <c r="N217" s="42" t="n">
        <f aca="false">PROCESO!$I$96*DEMANDA!L9</f>
        <v>599.8701129</v>
      </c>
      <c r="O217" s="42" t="n">
        <f aca="false">PROCESO!$I$96*DEMANDA!M9</f>
        <v>743.2670756</v>
      </c>
      <c r="P217" s="42" t="n">
        <f aca="false">PROCESO!$I$96*DEMANDA!N9</f>
        <v>865.9803143</v>
      </c>
      <c r="Q217" s="42" t="n">
        <f aca="false">PROCESO!$I$96*DEMANDA!O9</f>
        <v>997.1951731</v>
      </c>
      <c r="R217" s="24" t="s">
        <v>2895</v>
      </c>
    </row>
    <row r="218" customFormat="false" ht="15" hidden="false" customHeight="false" outlineLevel="1" collapsed="false">
      <c r="A218" s="24" t="n">
        <v>1</v>
      </c>
      <c r="B218" s="24" t="s">
        <v>1885</v>
      </c>
      <c r="C218" s="40" t="s">
        <v>2896</v>
      </c>
      <c r="D218" s="24" t="s">
        <v>82</v>
      </c>
      <c r="E218" s="24" t="s">
        <v>252</v>
      </c>
      <c r="F218" s="41" t="n">
        <f aca="false">PROCESO!$I$121</f>
        <v>1</v>
      </c>
      <c r="G218" s="24" t="s">
        <v>2281</v>
      </c>
      <c r="H218" s="42" t="n">
        <f aca="false">PROCESO!$I$121*DEMANDA!F10</f>
        <v>16.34485985</v>
      </c>
      <c r="I218" s="42" t="n">
        <f aca="false">PROCESO!$I$121*DEMANDA!G10</f>
        <v>28.06183078</v>
      </c>
      <c r="J218" s="42" t="n">
        <f aca="false">PROCESO!$I$121*DEMANDA!H10</f>
        <v>36.10009919</v>
      </c>
      <c r="K218" s="42" t="n">
        <f aca="false">PROCESO!$I$121*DEMANDA!I10</f>
        <v>48.25432941</v>
      </c>
      <c r="L218" s="42" t="n">
        <f aca="false">PROCESO!$I$121*DEMANDA!J10</f>
        <v>74.82048167</v>
      </c>
      <c r="M218" s="42" t="n">
        <f aca="false">PROCESO!$I$121*DEMANDA!K10</f>
        <v>101.7285517</v>
      </c>
      <c r="N218" s="42" t="n">
        <f aca="false">PROCESO!$I$121*DEMANDA!L10</f>
        <v>130.8807519</v>
      </c>
      <c r="O218" s="42" t="n">
        <f aca="false">PROCESO!$I$121*DEMANDA!M10</f>
        <v>162.1673619</v>
      </c>
      <c r="P218" s="42" t="n">
        <f aca="false">PROCESO!$I$121*DEMANDA!N10</f>
        <v>188.9411595</v>
      </c>
      <c r="Q218" s="42" t="n">
        <f aca="false">PROCESO!$I$121*DEMANDA!O10</f>
        <v>217.569856</v>
      </c>
      <c r="R218" s="24" t="s">
        <v>2897</v>
      </c>
    </row>
    <row r="219" customFormat="false" ht="15" hidden="false" customHeight="false" outlineLevel="1" collapsed="false">
      <c r="A219" s="24" t="n">
        <v>1</v>
      </c>
      <c r="B219" s="24" t="s">
        <v>1885</v>
      </c>
      <c r="C219" s="40" t="s">
        <v>2898</v>
      </c>
      <c r="D219" s="24" t="s">
        <v>82</v>
      </c>
      <c r="E219" s="24" t="s">
        <v>255</v>
      </c>
      <c r="F219" s="41" t="n">
        <f aca="false">PROCESO!$I$146</f>
        <v>1</v>
      </c>
      <c r="G219" s="24" t="s">
        <v>2281</v>
      </c>
      <c r="H219" s="42" t="n">
        <f aca="false">PROCESO!$I$146*DEMANDA!F11</f>
        <v>10.89657324</v>
      </c>
      <c r="I219" s="42" t="n">
        <f aca="false">PROCESO!$I$146*DEMANDA!G11</f>
        <v>18.70788719</v>
      </c>
      <c r="J219" s="42" t="n">
        <f aca="false">PROCESO!$I$146*DEMANDA!H11</f>
        <v>24.06673279</v>
      </c>
      <c r="K219" s="42" t="n">
        <f aca="false">PROCESO!$I$146*DEMANDA!I11</f>
        <v>32.16955294</v>
      </c>
      <c r="L219" s="42" t="n">
        <f aca="false">PROCESO!$I$146*DEMANDA!J11</f>
        <v>49.88032112</v>
      </c>
      <c r="M219" s="42" t="n">
        <f aca="false">PROCESO!$I$146*DEMANDA!K11</f>
        <v>67.81903447</v>
      </c>
      <c r="N219" s="42" t="n">
        <f aca="false">PROCESO!$I$146*DEMANDA!L11</f>
        <v>87.25383461</v>
      </c>
      <c r="O219" s="42" t="n">
        <f aca="false">PROCESO!$I$146*DEMANDA!M11</f>
        <v>108.1115746</v>
      </c>
      <c r="P219" s="42" t="n">
        <f aca="false">PROCESO!$I$146*DEMANDA!N11</f>
        <v>125.960773</v>
      </c>
      <c r="Q219" s="42" t="n">
        <f aca="false">PROCESO!$I$146*DEMANDA!O11</f>
        <v>145.0465706</v>
      </c>
      <c r="R219" s="24" t="s">
        <v>2899</v>
      </c>
    </row>
    <row r="220" customFormat="false" ht="15" hidden="false" customHeight="false" outlineLevel="0" collapsed="false">
      <c r="A220" s="38" t="n">
        <v>0</v>
      </c>
      <c r="B220" s="38" t="s">
        <v>710</v>
      </c>
      <c r="C220" s="38" t="s">
        <v>2246</v>
      </c>
      <c r="D220" s="38" t="s">
        <v>82</v>
      </c>
      <c r="E220" s="38"/>
      <c r="F220" s="38"/>
      <c r="G220" s="38"/>
      <c r="H220" s="39" t="n">
        <f aca="false">SUM(H221:H222)</f>
        <v>0</v>
      </c>
      <c r="I220" s="39" t="n">
        <f aca="false">SUM(I221:I222)</f>
        <v>0</v>
      </c>
      <c r="J220" s="39" t="n">
        <f aca="false">SUM(J221:J222)</f>
        <v>46.2</v>
      </c>
      <c r="K220" s="39" t="n">
        <f aca="false">SUM(K221:K222)</f>
        <v>161</v>
      </c>
      <c r="L220" s="39" t="n">
        <f aca="false">SUM(L221:L222)</f>
        <v>298.2</v>
      </c>
      <c r="M220" s="39" t="n">
        <f aca="false">SUM(M221:M222)</f>
        <v>432.6</v>
      </c>
      <c r="N220" s="39" t="n">
        <f aca="false">SUM(N221:N222)</f>
        <v>611.8</v>
      </c>
      <c r="O220" s="39" t="n">
        <f aca="false">SUM(O221:O222)</f>
        <v>791</v>
      </c>
      <c r="P220" s="39" t="n">
        <f aca="false">SUM(P221:P222)</f>
        <v>886.6</v>
      </c>
      <c r="Q220" s="39" t="n">
        <f aca="false">SUM(Q221:Q222)</f>
        <v>1030</v>
      </c>
      <c r="R220" s="38"/>
    </row>
    <row r="221" customFormat="false" ht="15" hidden="false" customHeight="false" outlineLevel="1" collapsed="false">
      <c r="A221" s="24" t="n">
        <v>1</v>
      </c>
      <c r="B221" s="24" t="s">
        <v>710</v>
      </c>
      <c r="C221" s="40" t="s">
        <v>2900</v>
      </c>
      <c r="D221" s="24" t="s">
        <v>82</v>
      </c>
      <c r="E221" s="24" t="s">
        <v>270</v>
      </c>
      <c r="F221" s="41" t="n">
        <f aca="false">INDEX((BOM_COEF!R211~BOM_COEF!S211~BOM_COEF!T211~BOM_COEF!U211~BOM_COEF!V211~BOM_COEF!W211~BOM_COEF!X211~BOM_COEF!Y211~BOM_COEF!Z211~BOM_COEF!AA211),1,1,INDEX(P_VAL,MATCH("AÑO_DIS",P_ID,0))-2025)</f>
        <v>1</v>
      </c>
      <c r="G221" s="24" t="s">
        <v>2281</v>
      </c>
      <c r="H221" s="42" t="n">
        <f aca="false">BOM_COEF!R211*DEMANDA!F16</f>
        <v>0</v>
      </c>
      <c r="I221" s="42" t="n">
        <f aca="false">BOM_COEF!S211*DEMANDA!G16</f>
        <v>0</v>
      </c>
      <c r="J221" s="42" t="n">
        <f aca="false">BOM_COEF!T211*DEMANDA!H16</f>
        <v>14.4</v>
      </c>
      <c r="K221" s="42" t="n">
        <f aca="false">BOM_COEF!U211*DEMANDA!I16</f>
        <v>50.2</v>
      </c>
      <c r="L221" s="42" t="n">
        <f aca="false">BOM_COEF!V211*DEMANDA!J16</f>
        <v>93</v>
      </c>
      <c r="M221" s="42" t="n">
        <f aca="false">BOM_COEF!W211*DEMANDA!K16</f>
        <v>135</v>
      </c>
      <c r="N221" s="42" t="n">
        <f aca="false">BOM_COEF!X211*DEMANDA!L16</f>
        <v>191</v>
      </c>
      <c r="O221" s="42" t="n">
        <f aca="false">BOM_COEF!Y211*DEMANDA!M16</f>
        <v>247</v>
      </c>
      <c r="P221" s="42" t="n">
        <f aca="false">BOM_COEF!Z211*DEMANDA!N16</f>
        <v>277</v>
      </c>
      <c r="Q221" s="42" t="n">
        <f aca="false">BOM_COEF!AA211*DEMANDA!O16</f>
        <v>322</v>
      </c>
      <c r="R221" s="24" t="s">
        <v>2901</v>
      </c>
    </row>
    <row r="222" customFormat="false" ht="15" hidden="false" customHeight="false" outlineLevel="1" collapsed="false">
      <c r="A222" s="24" t="n">
        <v>1</v>
      </c>
      <c r="B222" s="24" t="s">
        <v>710</v>
      </c>
      <c r="C222" s="40" t="s">
        <v>2902</v>
      </c>
      <c r="D222" s="24" t="s">
        <v>82</v>
      </c>
      <c r="E222" s="24" t="s">
        <v>273</v>
      </c>
      <c r="F222" s="41" t="n">
        <f aca="false">INDEX((BOM_COEF!R260~BOM_COEF!S260~BOM_COEF!T260~BOM_COEF!U260~BOM_COEF!V260~BOM_COEF!W260~BOM_COEF!X260~BOM_COEF!Y260~BOM_COEF!Z260~BOM_COEF!AA260),1,1,INDEX(P_VAL,MATCH("AÑO_DIS",P_ID,0))-2025)</f>
        <v>1</v>
      </c>
      <c r="G222" s="24" t="s">
        <v>2281</v>
      </c>
      <c r="H222" s="42" t="n">
        <f aca="false">BOM_COEF!R260*DEMANDA!F17</f>
        <v>0</v>
      </c>
      <c r="I222" s="42" t="n">
        <f aca="false">BOM_COEF!S260*DEMANDA!G17</f>
        <v>0</v>
      </c>
      <c r="J222" s="42" t="n">
        <f aca="false">BOM_COEF!T260*DEMANDA!H17</f>
        <v>31.8</v>
      </c>
      <c r="K222" s="42" t="n">
        <f aca="false">BOM_COEF!U260*DEMANDA!I17</f>
        <v>110.8</v>
      </c>
      <c r="L222" s="42" t="n">
        <f aca="false">BOM_COEF!V260*DEMANDA!J17</f>
        <v>205.2</v>
      </c>
      <c r="M222" s="42" t="n">
        <f aca="false">BOM_COEF!W260*DEMANDA!K17</f>
        <v>297.6</v>
      </c>
      <c r="N222" s="42" t="n">
        <f aca="false">BOM_COEF!X260*DEMANDA!L17</f>
        <v>420.8</v>
      </c>
      <c r="O222" s="42" t="n">
        <f aca="false">BOM_COEF!Y260*DEMANDA!M17</f>
        <v>544</v>
      </c>
      <c r="P222" s="42" t="n">
        <f aca="false">BOM_COEF!Z260*DEMANDA!N17</f>
        <v>609.6</v>
      </c>
      <c r="Q222" s="42" t="n">
        <f aca="false">BOM_COEF!AA260*DEMANDA!O17</f>
        <v>708</v>
      </c>
      <c r="R222" s="24" t="s">
        <v>2903</v>
      </c>
    </row>
    <row r="223" customFormat="false" ht="15" hidden="false" customHeight="false" outlineLevel="0" collapsed="false">
      <c r="A223" s="38" t="n">
        <v>0</v>
      </c>
      <c r="B223" s="38" t="s">
        <v>1225</v>
      </c>
      <c r="C223" s="38" t="s">
        <v>2247</v>
      </c>
      <c r="D223" s="38" t="s">
        <v>82</v>
      </c>
      <c r="E223" s="38"/>
      <c r="F223" s="38"/>
      <c r="G223" s="38"/>
      <c r="H223" s="39" t="n">
        <f aca="false">SUM(H224:H225)</f>
        <v>0</v>
      </c>
      <c r="I223" s="39" t="n">
        <f aca="false">SUM(I224:I225)</f>
        <v>0</v>
      </c>
      <c r="J223" s="39" t="n">
        <f aca="false">SUM(J224:J225)</f>
        <v>11.6</v>
      </c>
      <c r="K223" s="39" t="n">
        <f aca="false">SUM(K224:K225)</f>
        <v>40.4</v>
      </c>
      <c r="L223" s="39" t="n">
        <f aca="false">SUM(L224:L225)</f>
        <v>74.8</v>
      </c>
      <c r="M223" s="39" t="n">
        <f aca="false">SUM(M224:M225)</f>
        <v>108.2</v>
      </c>
      <c r="N223" s="39" t="n">
        <f aca="false">SUM(N224:N225)</f>
        <v>152.6</v>
      </c>
      <c r="O223" s="39" t="n">
        <f aca="false">SUM(O224:O225)</f>
        <v>197</v>
      </c>
      <c r="P223" s="39" t="n">
        <f aca="false">SUM(P224:P225)</f>
        <v>221</v>
      </c>
      <c r="Q223" s="39" t="n">
        <f aca="false">SUM(Q224:Q225)</f>
        <v>257</v>
      </c>
      <c r="R223" s="38"/>
    </row>
    <row r="224" customFormat="false" ht="15" hidden="false" customHeight="false" outlineLevel="1" collapsed="false">
      <c r="A224" s="24" t="n">
        <v>1</v>
      </c>
      <c r="B224" s="24" t="s">
        <v>1225</v>
      </c>
      <c r="C224" s="40" t="s">
        <v>2904</v>
      </c>
      <c r="D224" s="24" t="s">
        <v>82</v>
      </c>
      <c r="E224" s="24" t="s">
        <v>276</v>
      </c>
      <c r="F224" s="41" t="n">
        <f aca="false">INDEX((BOM_COEF!R311~BOM_COEF!S311~BOM_COEF!T311~BOM_COEF!U311~BOM_COEF!V311~BOM_COEF!W311~BOM_COEF!X311~BOM_COEF!Y311~BOM_COEF!Z311~BOM_COEF!AA311),1,1,INDEX(P_VAL,MATCH("AÑO_DIS",P_ID,0))-2025)</f>
        <v>1</v>
      </c>
      <c r="G224" s="24" t="s">
        <v>2281</v>
      </c>
      <c r="H224" s="42" t="n">
        <f aca="false">BOM_COEF!R311*DEMANDA!F18</f>
        <v>0</v>
      </c>
      <c r="I224" s="42" t="n">
        <f aca="false">BOM_COEF!S311*DEMANDA!G18</f>
        <v>0</v>
      </c>
      <c r="J224" s="42" t="n">
        <f aca="false">BOM_COEF!T311*DEMANDA!H18</f>
        <v>7</v>
      </c>
      <c r="K224" s="42" t="n">
        <f aca="false">BOM_COEF!U311*DEMANDA!I18</f>
        <v>24.4</v>
      </c>
      <c r="L224" s="42" t="n">
        <f aca="false">BOM_COEF!V311*DEMANDA!J18</f>
        <v>45.2</v>
      </c>
      <c r="M224" s="42" t="n">
        <f aca="false">BOM_COEF!W311*DEMANDA!K18</f>
        <v>65.4</v>
      </c>
      <c r="N224" s="42" t="n">
        <f aca="false">BOM_COEF!X311*DEMANDA!L18</f>
        <v>92.2</v>
      </c>
      <c r="O224" s="42" t="n">
        <f aca="false">BOM_COEF!Y311*DEMANDA!M18</f>
        <v>119</v>
      </c>
      <c r="P224" s="42" t="n">
        <f aca="false">BOM_COEF!Z311*DEMANDA!N18</f>
        <v>133.4</v>
      </c>
      <c r="Q224" s="42" t="n">
        <f aca="false">BOM_COEF!AA311*DEMANDA!O18</f>
        <v>155</v>
      </c>
      <c r="R224" s="24" t="s">
        <v>2905</v>
      </c>
    </row>
    <row r="225" customFormat="false" ht="15" hidden="false" customHeight="false" outlineLevel="1" collapsed="false">
      <c r="A225" s="24" t="n">
        <v>1</v>
      </c>
      <c r="B225" s="24" t="s">
        <v>1225</v>
      </c>
      <c r="C225" s="40" t="s">
        <v>2906</v>
      </c>
      <c r="D225" s="24" t="s">
        <v>82</v>
      </c>
      <c r="E225" s="24" t="s">
        <v>279</v>
      </c>
      <c r="F225" s="41" t="n">
        <f aca="false">INDEX((BOM_COEF!R362~BOM_COEF!S362~BOM_COEF!T362~BOM_COEF!U362~BOM_COEF!V362~BOM_COEF!W362~BOM_COEF!X362~BOM_COEF!Y362~BOM_COEF!Z362~BOM_COEF!AA362),1,1,INDEX(P_VAL,MATCH("AÑO_DIS",P_ID,0))-2025)</f>
        <v>1</v>
      </c>
      <c r="G225" s="24" t="s">
        <v>2281</v>
      </c>
      <c r="H225" s="42" t="n">
        <f aca="false">BOM_COEF!R362*DEMANDA!F19</f>
        <v>0</v>
      </c>
      <c r="I225" s="42" t="n">
        <f aca="false">BOM_COEF!S362*DEMANDA!G19</f>
        <v>0</v>
      </c>
      <c r="J225" s="42" t="n">
        <f aca="false">BOM_COEF!T362*DEMANDA!H19</f>
        <v>4.6</v>
      </c>
      <c r="K225" s="42" t="n">
        <f aca="false">BOM_COEF!U362*DEMANDA!I19</f>
        <v>16</v>
      </c>
      <c r="L225" s="42" t="n">
        <f aca="false">BOM_COEF!V362*DEMANDA!J19</f>
        <v>29.6</v>
      </c>
      <c r="M225" s="42" t="n">
        <f aca="false">BOM_COEF!W362*DEMANDA!K19</f>
        <v>42.8</v>
      </c>
      <c r="N225" s="42" t="n">
        <f aca="false">BOM_COEF!X362*DEMANDA!L19</f>
        <v>60.4</v>
      </c>
      <c r="O225" s="42" t="n">
        <f aca="false">BOM_COEF!Y362*DEMANDA!M19</f>
        <v>78</v>
      </c>
      <c r="P225" s="42" t="n">
        <f aca="false">BOM_COEF!Z362*DEMANDA!N19</f>
        <v>87.6</v>
      </c>
      <c r="Q225" s="42" t="n">
        <f aca="false">BOM_COEF!AA362*DEMANDA!O19</f>
        <v>102</v>
      </c>
      <c r="R225" s="24" t="s">
        <v>2907</v>
      </c>
    </row>
    <row r="226" customFormat="false" ht="15" hidden="false" customHeight="false" outlineLevel="0" collapsed="false">
      <c r="A226" s="38" t="n">
        <v>0</v>
      </c>
      <c r="B226" s="38" t="s">
        <v>1881</v>
      </c>
      <c r="C226" s="38" t="s">
        <v>2248</v>
      </c>
      <c r="D226" s="38" t="s">
        <v>82</v>
      </c>
      <c r="E226" s="38"/>
      <c r="F226" s="38"/>
      <c r="G226" s="38"/>
      <c r="H226" s="39" t="n">
        <f aca="false">SUM(H227:H228)</f>
        <v>34.05179136</v>
      </c>
      <c r="I226" s="39" t="n">
        <f aca="false">SUM(I227:I228)</f>
        <v>58.46214745</v>
      </c>
      <c r="J226" s="39" t="n">
        <f aca="false">SUM(J227:J228)</f>
        <v>89.60853998</v>
      </c>
      <c r="K226" s="39" t="n">
        <f aca="false">SUM(K227:K228)</f>
        <v>150.7298529</v>
      </c>
      <c r="L226" s="39" t="n">
        <f aca="false">SUM(L227:L228)</f>
        <v>248.8760035</v>
      </c>
      <c r="M226" s="39" t="n">
        <f aca="false">SUM(M227:M228)</f>
        <v>346.9344827</v>
      </c>
      <c r="N226" s="39" t="n">
        <f aca="false">SUM(N227:N228)</f>
        <v>463.6682332</v>
      </c>
      <c r="O226" s="39" t="n">
        <f aca="false">SUM(O227:O228)</f>
        <v>584.8486707</v>
      </c>
      <c r="P226" s="39" t="n">
        <f aca="false">SUM(P227:P228)</f>
        <v>670.6274156</v>
      </c>
      <c r="Q226" s="39" t="n">
        <f aca="false">SUM(Q227:Q228)</f>
        <v>775.2705332</v>
      </c>
      <c r="R226" s="38"/>
    </row>
    <row r="227" customFormat="false" ht="15" hidden="false" customHeight="false" outlineLevel="1" collapsed="false">
      <c r="A227" s="24" t="n">
        <v>1</v>
      </c>
      <c r="B227" s="24" t="s">
        <v>1881</v>
      </c>
      <c r="C227" s="40" t="s">
        <v>2908</v>
      </c>
      <c r="D227" s="24" t="s">
        <v>82</v>
      </c>
      <c r="E227" s="24" t="s">
        <v>245</v>
      </c>
      <c r="F227" s="41" t="n">
        <f aca="false">PROCESO!$I$72</f>
        <v>1</v>
      </c>
      <c r="G227" s="24" t="s">
        <v>2281</v>
      </c>
      <c r="H227" s="42" t="n">
        <f aca="false">PROCESO!$I$72*DEMANDA!F8</f>
        <v>34.05179136</v>
      </c>
      <c r="I227" s="42" t="n">
        <f aca="false">PROCESO!$I$72*DEMANDA!G8</f>
        <v>58.46214745</v>
      </c>
      <c r="J227" s="42" t="n">
        <f aca="false">PROCESO!$I$72*DEMANDA!H8</f>
        <v>75.20853998</v>
      </c>
      <c r="K227" s="42" t="n">
        <f aca="false">PROCESO!$I$72*DEMANDA!I8</f>
        <v>100.5298529</v>
      </c>
      <c r="L227" s="42" t="n">
        <f aca="false">PROCESO!$I$72*DEMANDA!J8</f>
        <v>155.8760035</v>
      </c>
      <c r="M227" s="42" t="n">
        <f aca="false">PROCESO!$I$72*DEMANDA!K8</f>
        <v>211.9344827</v>
      </c>
      <c r="N227" s="42" t="n">
        <f aca="false">PROCESO!$I$72*DEMANDA!L8</f>
        <v>272.6682332</v>
      </c>
      <c r="O227" s="42" t="n">
        <f aca="false">PROCESO!$I$72*DEMANDA!M8</f>
        <v>337.8486707</v>
      </c>
      <c r="P227" s="42" t="n">
        <f aca="false">PROCESO!$I$72*DEMANDA!N8</f>
        <v>393.6274156</v>
      </c>
      <c r="Q227" s="42" t="n">
        <f aca="false">PROCESO!$I$72*DEMANDA!O8</f>
        <v>453.2705332</v>
      </c>
      <c r="R227" s="24" t="s">
        <v>2909</v>
      </c>
    </row>
    <row r="228" customFormat="false" ht="15" hidden="false" customHeight="false" outlineLevel="1" collapsed="false">
      <c r="A228" s="24" t="n">
        <v>1</v>
      </c>
      <c r="B228" s="24" t="s">
        <v>1881</v>
      </c>
      <c r="C228" s="40" t="s">
        <v>2910</v>
      </c>
      <c r="D228" s="24" t="s">
        <v>82</v>
      </c>
      <c r="E228" s="24" t="s">
        <v>270</v>
      </c>
      <c r="F228" s="41" t="n">
        <f aca="false">PROCESO!$I$72</f>
        <v>1</v>
      </c>
      <c r="G228" s="24" t="s">
        <v>2281</v>
      </c>
      <c r="H228" s="42" t="n">
        <f aca="false">PROCESO!$I$72*DEMANDA!F16</f>
        <v>0</v>
      </c>
      <c r="I228" s="42" t="n">
        <f aca="false">PROCESO!$I$72*DEMANDA!G16</f>
        <v>0</v>
      </c>
      <c r="J228" s="42" t="n">
        <f aca="false">PROCESO!$I$72*DEMANDA!H16</f>
        <v>14.4</v>
      </c>
      <c r="K228" s="42" t="n">
        <f aca="false">PROCESO!$I$72*DEMANDA!I16</f>
        <v>50.2</v>
      </c>
      <c r="L228" s="42" t="n">
        <f aca="false">PROCESO!$I$72*DEMANDA!J16</f>
        <v>93</v>
      </c>
      <c r="M228" s="42" t="n">
        <f aca="false">PROCESO!$I$72*DEMANDA!K16</f>
        <v>135</v>
      </c>
      <c r="N228" s="42" t="n">
        <f aca="false">PROCESO!$I$72*DEMANDA!L16</f>
        <v>191</v>
      </c>
      <c r="O228" s="42" t="n">
        <f aca="false">PROCESO!$I$72*DEMANDA!M16</f>
        <v>247</v>
      </c>
      <c r="P228" s="42" t="n">
        <f aca="false">PROCESO!$I$72*DEMANDA!N16</f>
        <v>277</v>
      </c>
      <c r="Q228" s="42" t="n">
        <f aca="false">PROCESO!$I$72*DEMANDA!O16</f>
        <v>322</v>
      </c>
      <c r="R228" s="24" t="s">
        <v>2909</v>
      </c>
    </row>
    <row r="229" customFormat="false" ht="15" hidden="false" customHeight="false" outlineLevel="0" collapsed="false">
      <c r="A229" s="38" t="n">
        <v>0</v>
      </c>
      <c r="B229" s="38" t="s">
        <v>1901</v>
      </c>
      <c r="C229" s="38" t="s">
        <v>2255</v>
      </c>
      <c r="D229" s="38" t="s">
        <v>82</v>
      </c>
      <c r="E229" s="38"/>
      <c r="F229" s="38"/>
      <c r="G229" s="38"/>
      <c r="H229" s="39" t="n">
        <f aca="false">SUM(H230:H231)</f>
        <v>74.913941</v>
      </c>
      <c r="I229" s="39" t="n">
        <f aca="false">SUM(I230:I231)</f>
        <v>128.6167244</v>
      </c>
      <c r="J229" s="39" t="n">
        <f aca="false">SUM(J230:J231)</f>
        <v>197.258788</v>
      </c>
      <c r="K229" s="39" t="n">
        <f aca="false">SUM(K230:K231)</f>
        <v>331.9656765</v>
      </c>
      <c r="L229" s="39" t="n">
        <f aca="false">SUM(L230:L231)</f>
        <v>548.1272077</v>
      </c>
      <c r="M229" s="39" t="n">
        <f aca="false">SUM(M230:M231)</f>
        <v>763.855862</v>
      </c>
      <c r="N229" s="39" t="n">
        <f aca="false">SUM(N230:N231)</f>
        <v>1020.6701129</v>
      </c>
      <c r="O229" s="39" t="n">
        <f aca="false">SUM(O230:O231)</f>
        <v>1287.2670756</v>
      </c>
      <c r="P229" s="39" t="n">
        <f aca="false">SUM(P230:P231)</f>
        <v>1475.5803143</v>
      </c>
      <c r="Q229" s="39" t="n">
        <f aca="false">SUM(Q230:Q231)</f>
        <v>1705.1951731</v>
      </c>
      <c r="R229" s="38"/>
    </row>
    <row r="230" customFormat="false" ht="15" hidden="false" customHeight="false" outlineLevel="1" collapsed="false">
      <c r="A230" s="24" t="n">
        <v>1</v>
      </c>
      <c r="B230" s="24" t="s">
        <v>1901</v>
      </c>
      <c r="C230" s="40" t="s">
        <v>2911</v>
      </c>
      <c r="D230" s="24" t="s">
        <v>82</v>
      </c>
      <c r="E230" s="24" t="s">
        <v>249</v>
      </c>
      <c r="F230" s="41" t="n">
        <f aca="false">PROCESO!$I$95</f>
        <v>1</v>
      </c>
      <c r="G230" s="24" t="s">
        <v>2281</v>
      </c>
      <c r="H230" s="42" t="n">
        <f aca="false">PROCESO!$I$95*DEMANDA!F9</f>
        <v>74.913941</v>
      </c>
      <c r="I230" s="42" t="n">
        <f aca="false">PROCESO!$I$95*DEMANDA!G9</f>
        <v>128.6167244</v>
      </c>
      <c r="J230" s="42" t="n">
        <f aca="false">PROCESO!$I$95*DEMANDA!H9</f>
        <v>165.458788</v>
      </c>
      <c r="K230" s="42" t="n">
        <f aca="false">PROCESO!$I$95*DEMANDA!I9</f>
        <v>221.1656765</v>
      </c>
      <c r="L230" s="42" t="n">
        <f aca="false">PROCESO!$I$95*DEMANDA!J9</f>
        <v>342.9272077</v>
      </c>
      <c r="M230" s="42" t="n">
        <f aca="false">PROCESO!$I$95*DEMANDA!K9</f>
        <v>466.255862</v>
      </c>
      <c r="N230" s="42" t="n">
        <f aca="false">PROCESO!$I$95*DEMANDA!L9</f>
        <v>599.8701129</v>
      </c>
      <c r="O230" s="42" t="n">
        <f aca="false">PROCESO!$I$95*DEMANDA!M9</f>
        <v>743.2670756</v>
      </c>
      <c r="P230" s="42" t="n">
        <f aca="false">PROCESO!$I$95*DEMANDA!N9</f>
        <v>865.9803143</v>
      </c>
      <c r="Q230" s="42" t="n">
        <f aca="false">PROCESO!$I$95*DEMANDA!O9</f>
        <v>997.1951731</v>
      </c>
      <c r="R230" s="24" t="s">
        <v>2912</v>
      </c>
    </row>
    <row r="231" customFormat="false" ht="15" hidden="false" customHeight="false" outlineLevel="1" collapsed="false">
      <c r="A231" s="24" t="n">
        <v>1</v>
      </c>
      <c r="B231" s="24" t="s">
        <v>1901</v>
      </c>
      <c r="C231" s="40" t="s">
        <v>2913</v>
      </c>
      <c r="D231" s="24" t="s">
        <v>82</v>
      </c>
      <c r="E231" s="24" t="s">
        <v>273</v>
      </c>
      <c r="F231" s="41" t="n">
        <f aca="false">PROCESO!$I$95</f>
        <v>1</v>
      </c>
      <c r="G231" s="24" t="s">
        <v>2281</v>
      </c>
      <c r="H231" s="42" t="n">
        <f aca="false">PROCESO!$I$95*DEMANDA!F17</f>
        <v>0</v>
      </c>
      <c r="I231" s="42" t="n">
        <f aca="false">PROCESO!$I$95*DEMANDA!G17</f>
        <v>0</v>
      </c>
      <c r="J231" s="42" t="n">
        <f aca="false">PROCESO!$I$95*DEMANDA!H17</f>
        <v>31.8</v>
      </c>
      <c r="K231" s="42" t="n">
        <f aca="false">PROCESO!$I$95*DEMANDA!I17</f>
        <v>110.8</v>
      </c>
      <c r="L231" s="42" t="n">
        <f aca="false">PROCESO!$I$95*DEMANDA!J17</f>
        <v>205.2</v>
      </c>
      <c r="M231" s="42" t="n">
        <f aca="false">PROCESO!$I$95*DEMANDA!K17</f>
        <v>297.6</v>
      </c>
      <c r="N231" s="42" t="n">
        <f aca="false">PROCESO!$I$95*DEMANDA!L17</f>
        <v>420.8</v>
      </c>
      <c r="O231" s="42" t="n">
        <f aca="false">PROCESO!$I$95*DEMANDA!M17</f>
        <v>544</v>
      </c>
      <c r="P231" s="42" t="n">
        <f aca="false">PROCESO!$I$95*DEMANDA!N17</f>
        <v>609.6</v>
      </c>
      <c r="Q231" s="42" t="n">
        <f aca="false">PROCESO!$I$95*DEMANDA!O17</f>
        <v>708</v>
      </c>
      <c r="R231" s="24" t="s">
        <v>2912</v>
      </c>
    </row>
    <row r="232" customFormat="false" ht="15" hidden="false" customHeight="false" outlineLevel="0" collapsed="false">
      <c r="A232" s="38" t="n">
        <v>0</v>
      </c>
      <c r="B232" s="38" t="s">
        <v>1918</v>
      </c>
      <c r="C232" s="38" t="s">
        <v>2256</v>
      </c>
      <c r="D232" s="38" t="s">
        <v>82</v>
      </c>
      <c r="E232" s="38"/>
      <c r="F232" s="38"/>
      <c r="G232" s="38"/>
      <c r="H232" s="39" t="n">
        <f aca="false">SUM(H233:H234)</f>
        <v>16.34485985</v>
      </c>
      <c r="I232" s="39" t="n">
        <f aca="false">SUM(I233:I234)</f>
        <v>28.06183078</v>
      </c>
      <c r="J232" s="39" t="n">
        <f aca="false">SUM(J233:J234)</f>
        <v>43.10009919</v>
      </c>
      <c r="K232" s="39" t="n">
        <f aca="false">SUM(K233:K234)</f>
        <v>72.65432941</v>
      </c>
      <c r="L232" s="39" t="n">
        <f aca="false">SUM(L233:L234)</f>
        <v>120.02048167</v>
      </c>
      <c r="M232" s="39" t="n">
        <f aca="false">SUM(M233:M234)</f>
        <v>167.1285517</v>
      </c>
      <c r="N232" s="39" t="n">
        <f aca="false">SUM(N233:N234)</f>
        <v>223.0807519</v>
      </c>
      <c r="O232" s="39" t="n">
        <f aca="false">SUM(O233:O234)</f>
        <v>281.1673619</v>
      </c>
      <c r="P232" s="39" t="n">
        <f aca="false">SUM(P233:P234)</f>
        <v>322.3411595</v>
      </c>
      <c r="Q232" s="39" t="n">
        <f aca="false">SUM(Q233:Q234)</f>
        <v>372.569856</v>
      </c>
      <c r="R232" s="38"/>
    </row>
    <row r="233" customFormat="false" ht="15" hidden="false" customHeight="false" outlineLevel="1" collapsed="false">
      <c r="A233" s="24" t="n">
        <v>1</v>
      </c>
      <c r="B233" s="24" t="s">
        <v>1918</v>
      </c>
      <c r="C233" s="40" t="s">
        <v>2914</v>
      </c>
      <c r="D233" s="24" t="s">
        <v>82</v>
      </c>
      <c r="E233" s="24" t="s">
        <v>252</v>
      </c>
      <c r="F233" s="41" t="n">
        <f aca="false">PROCESO!$I$120</f>
        <v>1</v>
      </c>
      <c r="G233" s="24" t="s">
        <v>2281</v>
      </c>
      <c r="H233" s="42" t="n">
        <f aca="false">PROCESO!$I$120*DEMANDA!F10</f>
        <v>16.34485985</v>
      </c>
      <c r="I233" s="42" t="n">
        <f aca="false">PROCESO!$I$120*DEMANDA!G10</f>
        <v>28.06183078</v>
      </c>
      <c r="J233" s="42" t="n">
        <f aca="false">PROCESO!$I$120*DEMANDA!H10</f>
        <v>36.10009919</v>
      </c>
      <c r="K233" s="42" t="n">
        <f aca="false">PROCESO!$I$120*DEMANDA!I10</f>
        <v>48.25432941</v>
      </c>
      <c r="L233" s="42" t="n">
        <f aca="false">PROCESO!$I$120*DEMANDA!J10</f>
        <v>74.82048167</v>
      </c>
      <c r="M233" s="42" t="n">
        <f aca="false">PROCESO!$I$120*DEMANDA!K10</f>
        <v>101.7285517</v>
      </c>
      <c r="N233" s="42" t="n">
        <f aca="false">PROCESO!$I$120*DEMANDA!L10</f>
        <v>130.8807519</v>
      </c>
      <c r="O233" s="42" t="n">
        <f aca="false">PROCESO!$I$120*DEMANDA!M10</f>
        <v>162.1673619</v>
      </c>
      <c r="P233" s="42" t="n">
        <f aca="false">PROCESO!$I$120*DEMANDA!N10</f>
        <v>188.9411595</v>
      </c>
      <c r="Q233" s="42" t="n">
        <f aca="false">PROCESO!$I$120*DEMANDA!O10</f>
        <v>217.569856</v>
      </c>
      <c r="R233" s="24" t="s">
        <v>2915</v>
      </c>
    </row>
    <row r="234" customFormat="false" ht="15" hidden="false" customHeight="false" outlineLevel="1" collapsed="false">
      <c r="A234" s="24" t="n">
        <v>1</v>
      </c>
      <c r="B234" s="24" t="s">
        <v>1918</v>
      </c>
      <c r="C234" s="40" t="s">
        <v>2916</v>
      </c>
      <c r="D234" s="24" t="s">
        <v>82</v>
      </c>
      <c r="E234" s="24" t="s">
        <v>276</v>
      </c>
      <c r="F234" s="41" t="n">
        <f aca="false">PROCESO!$I$120</f>
        <v>1</v>
      </c>
      <c r="G234" s="24" t="s">
        <v>2281</v>
      </c>
      <c r="H234" s="42" t="n">
        <f aca="false">PROCESO!$I$120*DEMANDA!F18</f>
        <v>0</v>
      </c>
      <c r="I234" s="42" t="n">
        <f aca="false">PROCESO!$I$120*DEMANDA!G18</f>
        <v>0</v>
      </c>
      <c r="J234" s="42" t="n">
        <f aca="false">PROCESO!$I$120*DEMANDA!H18</f>
        <v>7</v>
      </c>
      <c r="K234" s="42" t="n">
        <f aca="false">PROCESO!$I$120*DEMANDA!I18</f>
        <v>24.4</v>
      </c>
      <c r="L234" s="42" t="n">
        <f aca="false">PROCESO!$I$120*DEMANDA!J18</f>
        <v>45.2</v>
      </c>
      <c r="M234" s="42" t="n">
        <f aca="false">PROCESO!$I$120*DEMANDA!K18</f>
        <v>65.4</v>
      </c>
      <c r="N234" s="42" t="n">
        <f aca="false">PROCESO!$I$120*DEMANDA!L18</f>
        <v>92.2</v>
      </c>
      <c r="O234" s="42" t="n">
        <f aca="false">PROCESO!$I$120*DEMANDA!M18</f>
        <v>119</v>
      </c>
      <c r="P234" s="42" t="n">
        <f aca="false">PROCESO!$I$120*DEMANDA!N18</f>
        <v>133.4</v>
      </c>
      <c r="Q234" s="42" t="n">
        <f aca="false">PROCESO!$I$120*DEMANDA!O18</f>
        <v>155</v>
      </c>
      <c r="R234" s="24" t="s">
        <v>2915</v>
      </c>
    </row>
    <row r="235" customFormat="false" ht="15" hidden="false" customHeight="false" outlineLevel="0" collapsed="false">
      <c r="A235" s="38" t="n">
        <v>0</v>
      </c>
      <c r="B235" s="38" t="s">
        <v>1924</v>
      </c>
      <c r="C235" s="38" t="s">
        <v>2257</v>
      </c>
      <c r="D235" s="38" t="s">
        <v>82</v>
      </c>
      <c r="E235" s="38"/>
      <c r="F235" s="38"/>
      <c r="G235" s="38"/>
      <c r="H235" s="39" t="n">
        <f aca="false">SUM(H236:H237)</f>
        <v>10.89657324</v>
      </c>
      <c r="I235" s="39" t="n">
        <f aca="false">SUM(I236:I237)</f>
        <v>18.70788719</v>
      </c>
      <c r="J235" s="39" t="n">
        <f aca="false">SUM(J236:J237)</f>
        <v>28.66673279</v>
      </c>
      <c r="K235" s="39" t="n">
        <f aca="false">SUM(K236:K237)</f>
        <v>48.16955294</v>
      </c>
      <c r="L235" s="39" t="n">
        <f aca="false">SUM(L236:L237)</f>
        <v>79.48032112</v>
      </c>
      <c r="M235" s="39" t="n">
        <f aca="false">SUM(M236:M237)</f>
        <v>110.61903447</v>
      </c>
      <c r="N235" s="39" t="n">
        <f aca="false">SUM(N236:N237)</f>
        <v>147.65383461</v>
      </c>
      <c r="O235" s="39" t="n">
        <f aca="false">SUM(O236:O237)</f>
        <v>186.1115746</v>
      </c>
      <c r="P235" s="39" t="n">
        <f aca="false">SUM(P236:P237)</f>
        <v>213.560773</v>
      </c>
      <c r="Q235" s="39" t="n">
        <f aca="false">SUM(Q236:Q237)</f>
        <v>247.0465706</v>
      </c>
      <c r="R235" s="38"/>
    </row>
    <row r="236" customFormat="false" ht="15" hidden="false" customHeight="false" outlineLevel="1" collapsed="false">
      <c r="A236" s="24" t="n">
        <v>1</v>
      </c>
      <c r="B236" s="24" t="s">
        <v>1924</v>
      </c>
      <c r="C236" s="40" t="s">
        <v>2917</v>
      </c>
      <c r="D236" s="24" t="s">
        <v>82</v>
      </c>
      <c r="E236" s="24" t="s">
        <v>255</v>
      </c>
      <c r="F236" s="41" t="n">
        <f aca="false">PROCESO!$I$145</f>
        <v>1</v>
      </c>
      <c r="G236" s="24" t="s">
        <v>2281</v>
      </c>
      <c r="H236" s="42" t="n">
        <f aca="false">PROCESO!$I$145*DEMANDA!F11</f>
        <v>10.89657324</v>
      </c>
      <c r="I236" s="42" t="n">
        <f aca="false">PROCESO!$I$145*DEMANDA!G11</f>
        <v>18.70788719</v>
      </c>
      <c r="J236" s="42" t="n">
        <f aca="false">PROCESO!$I$145*DEMANDA!H11</f>
        <v>24.06673279</v>
      </c>
      <c r="K236" s="42" t="n">
        <f aca="false">PROCESO!$I$145*DEMANDA!I11</f>
        <v>32.16955294</v>
      </c>
      <c r="L236" s="42" t="n">
        <f aca="false">PROCESO!$I$145*DEMANDA!J11</f>
        <v>49.88032112</v>
      </c>
      <c r="M236" s="42" t="n">
        <f aca="false">PROCESO!$I$145*DEMANDA!K11</f>
        <v>67.81903447</v>
      </c>
      <c r="N236" s="42" t="n">
        <f aca="false">PROCESO!$I$145*DEMANDA!L11</f>
        <v>87.25383461</v>
      </c>
      <c r="O236" s="42" t="n">
        <f aca="false">PROCESO!$I$145*DEMANDA!M11</f>
        <v>108.1115746</v>
      </c>
      <c r="P236" s="42" t="n">
        <f aca="false">PROCESO!$I$145*DEMANDA!N11</f>
        <v>125.960773</v>
      </c>
      <c r="Q236" s="42" t="n">
        <f aca="false">PROCESO!$I$145*DEMANDA!O11</f>
        <v>145.0465706</v>
      </c>
      <c r="R236" s="24" t="s">
        <v>2918</v>
      </c>
    </row>
    <row r="237" customFormat="false" ht="15" hidden="false" customHeight="false" outlineLevel="1" collapsed="false">
      <c r="A237" s="24" t="n">
        <v>1</v>
      </c>
      <c r="B237" s="24" t="s">
        <v>1924</v>
      </c>
      <c r="C237" s="40" t="s">
        <v>2919</v>
      </c>
      <c r="D237" s="24" t="s">
        <v>82</v>
      </c>
      <c r="E237" s="24" t="s">
        <v>279</v>
      </c>
      <c r="F237" s="41" t="n">
        <f aca="false">PROCESO!$I$145</f>
        <v>1</v>
      </c>
      <c r="G237" s="24" t="s">
        <v>2281</v>
      </c>
      <c r="H237" s="42" t="n">
        <f aca="false">PROCESO!$I$145*DEMANDA!F19</f>
        <v>0</v>
      </c>
      <c r="I237" s="42" t="n">
        <f aca="false">PROCESO!$I$145*DEMANDA!G19</f>
        <v>0</v>
      </c>
      <c r="J237" s="42" t="n">
        <f aca="false">PROCESO!$I$145*DEMANDA!H19</f>
        <v>4.6</v>
      </c>
      <c r="K237" s="42" t="n">
        <f aca="false">PROCESO!$I$145*DEMANDA!I19</f>
        <v>16</v>
      </c>
      <c r="L237" s="42" t="n">
        <f aca="false">PROCESO!$I$145*DEMANDA!J19</f>
        <v>29.6</v>
      </c>
      <c r="M237" s="42" t="n">
        <f aca="false">PROCESO!$I$145*DEMANDA!K19</f>
        <v>42.8</v>
      </c>
      <c r="N237" s="42" t="n">
        <f aca="false">PROCESO!$I$145*DEMANDA!L19</f>
        <v>60.4</v>
      </c>
      <c r="O237" s="42" t="n">
        <f aca="false">PROCESO!$I$145*DEMANDA!M19</f>
        <v>78</v>
      </c>
      <c r="P237" s="42" t="n">
        <f aca="false">PROCESO!$I$145*DEMANDA!N19</f>
        <v>87.6</v>
      </c>
      <c r="Q237" s="42" t="n">
        <f aca="false">PROCESO!$I$145*DEMANDA!O19</f>
        <v>102</v>
      </c>
      <c r="R237" s="24" t="s">
        <v>2918</v>
      </c>
    </row>
  </sheetData>
  <autoFilter ref="A3:R2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8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2920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8" t="n">
        <v>0</v>
      </c>
      <c r="B4" s="38" t="s">
        <v>1777</v>
      </c>
      <c r="C4" s="38" t="s">
        <v>2088</v>
      </c>
      <c r="D4" s="38" t="s">
        <v>1778</v>
      </c>
      <c r="E4" s="38"/>
      <c r="F4" s="38"/>
      <c r="G4" s="38"/>
      <c r="H4" s="39" t="n">
        <f aca="false">SUM(H5:H40)</f>
        <v>30.253109725347</v>
      </c>
      <c r="I4" s="39" t="n">
        <f aca="false">SUM(I5:I40)</f>
        <v>51.940344134118</v>
      </c>
      <c r="J4" s="39" t="n">
        <f aca="false">SUM(J5:J40)</f>
        <v>73.897136101995</v>
      </c>
      <c r="K4" s="39" t="n">
        <f aca="false">SUM(K5:K40)</f>
        <v>113.977904663793</v>
      </c>
      <c r="L4" s="39" t="n">
        <f aca="false">SUM(L5:L40)</f>
        <v>184.161140050659</v>
      </c>
      <c r="M4" s="39" t="n">
        <f aca="false">SUM(M5:M40)</f>
        <v>254.492339563424</v>
      </c>
      <c r="N4" s="39" t="n">
        <f aca="false">SUM(N5:N40)</f>
        <v>335.795315733242</v>
      </c>
      <c r="O4" s="39" t="n">
        <f aca="false">SUM(O5:O40)</f>
        <v>421.04892438631</v>
      </c>
      <c r="P4" s="39" t="n">
        <f aca="false">SUM(P5:P40)</f>
        <v>485.25009562702</v>
      </c>
      <c r="Q4" s="39" t="n">
        <f aca="false">SUM(Q5:Q40)</f>
        <v>560.20698562221</v>
      </c>
      <c r="R4" s="38"/>
    </row>
    <row r="5" customFormat="false" ht="15" hidden="false" customHeight="false" outlineLevel="1" collapsed="false">
      <c r="A5" s="24" t="n">
        <v>1</v>
      </c>
      <c r="B5" s="24" t="s">
        <v>1777</v>
      </c>
      <c r="C5" s="40" t="s">
        <v>2708</v>
      </c>
      <c r="D5" s="24" t="s">
        <v>1778</v>
      </c>
      <c r="E5" s="24" t="s">
        <v>245</v>
      </c>
      <c r="F5" s="41" t="n">
        <f aca="false">PROCESO!$I$56</f>
        <v>0.0034</v>
      </c>
      <c r="G5" s="24" t="s">
        <v>2281</v>
      </c>
      <c r="H5" s="42" t="n">
        <f aca="false">PROCESO!$I$56*DEMANDA!F8</f>
        <v>0.115776090624</v>
      </c>
      <c r="I5" s="42" t="n">
        <f aca="false">PROCESO!$I$56*DEMANDA!G8</f>
        <v>0.19877130133</v>
      </c>
      <c r="J5" s="42" t="n">
        <f aca="false">PROCESO!$I$56*DEMANDA!H8</f>
        <v>0.255709035932</v>
      </c>
      <c r="K5" s="42" t="n">
        <f aca="false">PROCESO!$I$56*DEMANDA!I8</f>
        <v>0.34180149986</v>
      </c>
      <c r="L5" s="42" t="n">
        <f aca="false">PROCESO!$I$56*DEMANDA!J8</f>
        <v>0.5299784119</v>
      </c>
      <c r="M5" s="42" t="n">
        <f aca="false">PROCESO!$I$56*DEMANDA!K8</f>
        <v>0.72057724118</v>
      </c>
      <c r="N5" s="42" t="n">
        <f aca="false">PROCESO!$I$56*DEMANDA!L8</f>
        <v>0.92707199288</v>
      </c>
      <c r="O5" s="42" t="n">
        <f aca="false">PROCESO!$I$56*DEMANDA!M8</f>
        <v>1.14868548038</v>
      </c>
      <c r="P5" s="42" t="n">
        <f aca="false">PROCESO!$I$56*DEMANDA!N8</f>
        <v>1.33833321304</v>
      </c>
      <c r="Q5" s="42" t="n">
        <f aca="false">PROCESO!$I$56*DEMANDA!O8</f>
        <v>1.54111981288</v>
      </c>
      <c r="R5" s="24" t="s">
        <v>2921</v>
      </c>
    </row>
    <row r="6" customFormat="false" ht="15" hidden="false" customHeight="false" outlineLevel="1" collapsed="false">
      <c r="A6" s="24" t="n">
        <v>1</v>
      </c>
      <c r="B6" s="24" t="s">
        <v>1777</v>
      </c>
      <c r="C6" s="40" t="s">
        <v>2710</v>
      </c>
      <c r="D6" s="24" t="s">
        <v>1778</v>
      </c>
      <c r="E6" s="24" t="s">
        <v>245</v>
      </c>
      <c r="F6" s="41" t="n">
        <f aca="false">PROCESO!$I$58</f>
        <v>0.018</v>
      </c>
      <c r="G6" s="24" t="s">
        <v>2281</v>
      </c>
      <c r="H6" s="42" t="n">
        <f aca="false">PROCESO!$I$58*DEMANDA!F8</f>
        <v>0.61293224448</v>
      </c>
      <c r="I6" s="42" t="n">
        <f aca="false">PROCESO!$I$58*DEMANDA!G8</f>
        <v>1.0523186541</v>
      </c>
      <c r="J6" s="42" t="n">
        <f aca="false">PROCESO!$I$58*DEMANDA!H8</f>
        <v>1.35375371964</v>
      </c>
      <c r="K6" s="42" t="n">
        <f aca="false">PROCESO!$I$58*DEMANDA!I8</f>
        <v>1.8095373522</v>
      </c>
      <c r="L6" s="42" t="n">
        <f aca="false">PROCESO!$I$58*DEMANDA!J8</f>
        <v>2.805768063</v>
      </c>
      <c r="M6" s="42" t="n">
        <f aca="false">PROCESO!$I$58*DEMANDA!K8</f>
        <v>3.8148206886</v>
      </c>
      <c r="N6" s="42" t="n">
        <f aca="false">PROCESO!$I$58*DEMANDA!L8</f>
        <v>4.9080281976</v>
      </c>
      <c r="O6" s="42" t="n">
        <f aca="false">PROCESO!$I$58*DEMANDA!M8</f>
        <v>6.0812760726</v>
      </c>
      <c r="P6" s="42" t="n">
        <f aca="false">PROCESO!$I$58*DEMANDA!N8</f>
        <v>7.0852934808</v>
      </c>
      <c r="Q6" s="42" t="n">
        <f aca="false">PROCESO!$I$58*DEMANDA!O8</f>
        <v>8.1588695976</v>
      </c>
      <c r="R6" s="24" t="s">
        <v>2922</v>
      </c>
    </row>
    <row r="7" customFormat="false" ht="15" hidden="false" customHeight="false" outlineLevel="1" collapsed="false">
      <c r="A7" s="24" t="n">
        <v>1</v>
      </c>
      <c r="B7" s="24" t="s">
        <v>1777</v>
      </c>
      <c r="C7" s="40" t="s">
        <v>2712</v>
      </c>
      <c r="D7" s="24" t="s">
        <v>1778</v>
      </c>
      <c r="E7" s="24" t="s">
        <v>245</v>
      </c>
      <c r="F7" s="41" t="n">
        <f aca="false">PROCESO!$I$60</f>
        <v>0.01</v>
      </c>
      <c r="G7" s="24" t="s">
        <v>2281</v>
      </c>
      <c r="H7" s="42" t="n">
        <f aca="false">PROCESO!$I$60*DEMANDA!F8</f>
        <v>0.3405179136</v>
      </c>
      <c r="I7" s="42" t="n">
        <f aca="false">PROCESO!$I$60*DEMANDA!G8</f>
        <v>0.5846214745</v>
      </c>
      <c r="J7" s="42" t="n">
        <f aca="false">PROCESO!$I$60*DEMANDA!H8</f>
        <v>0.7520853998</v>
      </c>
      <c r="K7" s="42" t="n">
        <f aca="false">PROCESO!$I$60*DEMANDA!I8</f>
        <v>1.005298529</v>
      </c>
      <c r="L7" s="42" t="n">
        <f aca="false">PROCESO!$I$60*DEMANDA!J8</f>
        <v>1.558760035</v>
      </c>
      <c r="M7" s="42" t="n">
        <f aca="false">PROCESO!$I$60*DEMANDA!K8</f>
        <v>2.119344827</v>
      </c>
      <c r="N7" s="42" t="n">
        <f aca="false">PROCESO!$I$60*DEMANDA!L8</f>
        <v>2.726682332</v>
      </c>
      <c r="O7" s="42" t="n">
        <f aca="false">PROCESO!$I$60*DEMANDA!M8</f>
        <v>3.378486707</v>
      </c>
      <c r="P7" s="42" t="n">
        <f aca="false">PROCESO!$I$60*DEMANDA!N8</f>
        <v>3.936274156</v>
      </c>
      <c r="Q7" s="42" t="n">
        <f aca="false">PROCESO!$I$60*DEMANDA!O8</f>
        <v>4.532705332</v>
      </c>
      <c r="R7" s="24" t="s">
        <v>2923</v>
      </c>
    </row>
    <row r="8" customFormat="false" ht="15" hidden="false" customHeight="false" outlineLevel="1" collapsed="false">
      <c r="A8" s="24" t="n">
        <v>1</v>
      </c>
      <c r="B8" s="24" t="s">
        <v>1777</v>
      </c>
      <c r="C8" s="40" t="s">
        <v>2714</v>
      </c>
      <c r="D8" s="24" t="s">
        <v>1778</v>
      </c>
      <c r="E8" s="24" t="s">
        <v>245</v>
      </c>
      <c r="F8" s="41" t="n">
        <f aca="false">PROCESO!$I$62</f>
        <v>0.066</v>
      </c>
      <c r="G8" s="24" t="s">
        <v>2281</v>
      </c>
      <c r="H8" s="42" t="n">
        <f aca="false">PROCESO!$I$62*DEMANDA!F8</f>
        <v>2.24741822976</v>
      </c>
      <c r="I8" s="42" t="n">
        <f aca="false">PROCESO!$I$62*DEMANDA!G8</f>
        <v>3.8585017317</v>
      </c>
      <c r="J8" s="42" t="n">
        <f aca="false">PROCESO!$I$62*DEMANDA!H8</f>
        <v>4.96376363868</v>
      </c>
      <c r="K8" s="42" t="n">
        <f aca="false">PROCESO!$I$62*DEMANDA!I8</f>
        <v>6.6349702914</v>
      </c>
      <c r="L8" s="42" t="n">
        <f aca="false">PROCESO!$I$62*DEMANDA!J8</f>
        <v>10.287816231</v>
      </c>
      <c r="M8" s="42" t="n">
        <f aca="false">PROCESO!$I$62*DEMANDA!K8</f>
        <v>13.9876758582</v>
      </c>
      <c r="N8" s="42" t="n">
        <f aca="false">PROCESO!$I$62*DEMANDA!L8</f>
        <v>17.9961033912</v>
      </c>
      <c r="O8" s="42" t="n">
        <f aca="false">PROCESO!$I$62*DEMANDA!M8</f>
        <v>22.2980122662</v>
      </c>
      <c r="P8" s="42" t="n">
        <f aca="false">PROCESO!$I$62*DEMANDA!N8</f>
        <v>25.9794094296</v>
      </c>
      <c r="Q8" s="42" t="n">
        <f aca="false">PROCESO!$I$62*DEMANDA!O8</f>
        <v>29.9158551912</v>
      </c>
      <c r="R8" s="24" t="s">
        <v>2924</v>
      </c>
    </row>
    <row r="9" customFormat="false" ht="15" hidden="false" customHeight="false" outlineLevel="1" collapsed="false">
      <c r="A9" s="24" t="n">
        <v>1</v>
      </c>
      <c r="B9" s="24" t="s">
        <v>1777</v>
      </c>
      <c r="C9" s="40" t="s">
        <v>2716</v>
      </c>
      <c r="D9" s="24" t="s">
        <v>1778</v>
      </c>
      <c r="E9" s="24" t="s">
        <v>245</v>
      </c>
      <c r="F9" s="41" t="n">
        <f aca="false">PROCESO!$I$64</f>
        <v>0.096</v>
      </c>
      <c r="G9" s="24" t="s">
        <v>2281</v>
      </c>
      <c r="H9" s="42" t="n">
        <f aca="false">PROCESO!$I$64*DEMANDA!F8</f>
        <v>3.26897197056</v>
      </c>
      <c r="I9" s="42" t="n">
        <f aca="false">PROCESO!$I$64*DEMANDA!G8</f>
        <v>5.6123661552</v>
      </c>
      <c r="J9" s="42" t="n">
        <f aca="false">PROCESO!$I$64*DEMANDA!H8</f>
        <v>7.22001983808</v>
      </c>
      <c r="K9" s="42" t="n">
        <f aca="false">PROCESO!$I$64*DEMANDA!I8</f>
        <v>9.6508658784</v>
      </c>
      <c r="L9" s="42" t="n">
        <f aca="false">PROCESO!$I$64*DEMANDA!J8</f>
        <v>14.964096336</v>
      </c>
      <c r="M9" s="42" t="n">
        <f aca="false">PROCESO!$I$64*DEMANDA!K8</f>
        <v>20.3457103392</v>
      </c>
      <c r="N9" s="42" t="n">
        <f aca="false">PROCESO!$I$64*DEMANDA!L8</f>
        <v>26.1761503872</v>
      </c>
      <c r="O9" s="42" t="n">
        <f aca="false">PROCESO!$I$64*DEMANDA!M8</f>
        <v>32.4334723872</v>
      </c>
      <c r="P9" s="42" t="n">
        <f aca="false">PROCESO!$I$64*DEMANDA!N8</f>
        <v>37.7882318976</v>
      </c>
      <c r="Q9" s="42" t="n">
        <f aca="false">PROCESO!$I$64*DEMANDA!O8</f>
        <v>43.5139711872</v>
      </c>
      <c r="R9" s="24" t="s">
        <v>2925</v>
      </c>
    </row>
    <row r="10" customFormat="false" ht="15" hidden="false" customHeight="false" outlineLevel="1" collapsed="false">
      <c r="A10" s="24" t="n">
        <v>1</v>
      </c>
      <c r="B10" s="24" t="s">
        <v>1777</v>
      </c>
      <c r="C10" s="40" t="s">
        <v>2718</v>
      </c>
      <c r="D10" s="24" t="s">
        <v>1778</v>
      </c>
      <c r="E10" s="24" t="s">
        <v>270</v>
      </c>
      <c r="F10" s="41" t="n">
        <f aca="false">PROCESO!$I$56</f>
        <v>0.0034</v>
      </c>
      <c r="G10" s="24" t="s">
        <v>2281</v>
      </c>
      <c r="H10" s="42" t="n">
        <f aca="false">PROCESO!$I$56*DEMANDA!F16</f>
        <v>0</v>
      </c>
      <c r="I10" s="42" t="n">
        <f aca="false">PROCESO!$I$56*DEMANDA!G16</f>
        <v>0</v>
      </c>
      <c r="J10" s="42" t="n">
        <f aca="false">PROCESO!$I$56*DEMANDA!H16</f>
        <v>0.04896</v>
      </c>
      <c r="K10" s="42" t="n">
        <f aca="false">PROCESO!$I$56*DEMANDA!I16</f>
        <v>0.17068</v>
      </c>
      <c r="L10" s="42" t="n">
        <f aca="false">PROCESO!$I$56*DEMANDA!J16</f>
        <v>0.3162</v>
      </c>
      <c r="M10" s="42" t="n">
        <f aca="false">PROCESO!$I$56*DEMANDA!K16</f>
        <v>0.459</v>
      </c>
      <c r="N10" s="42" t="n">
        <f aca="false">PROCESO!$I$56*DEMANDA!L16</f>
        <v>0.6494</v>
      </c>
      <c r="O10" s="42" t="n">
        <f aca="false">PROCESO!$I$56*DEMANDA!M16</f>
        <v>0.8398</v>
      </c>
      <c r="P10" s="42" t="n">
        <f aca="false">PROCESO!$I$56*DEMANDA!N16</f>
        <v>0.9418</v>
      </c>
      <c r="Q10" s="42" t="n">
        <f aca="false">PROCESO!$I$56*DEMANDA!O16</f>
        <v>1.0948</v>
      </c>
      <c r="R10" s="24" t="s">
        <v>2921</v>
      </c>
    </row>
    <row r="11" customFormat="false" ht="15" hidden="false" customHeight="false" outlineLevel="1" collapsed="false">
      <c r="A11" s="24" t="n">
        <v>1</v>
      </c>
      <c r="B11" s="24" t="s">
        <v>1777</v>
      </c>
      <c r="C11" s="40" t="s">
        <v>2719</v>
      </c>
      <c r="D11" s="24" t="s">
        <v>1778</v>
      </c>
      <c r="E11" s="24" t="s">
        <v>270</v>
      </c>
      <c r="F11" s="41" t="n">
        <f aca="false">PROCESO!$I$58</f>
        <v>0.018</v>
      </c>
      <c r="G11" s="24" t="s">
        <v>2281</v>
      </c>
      <c r="H11" s="42" t="n">
        <f aca="false">PROCESO!$I$58*DEMANDA!F16</f>
        <v>0</v>
      </c>
      <c r="I11" s="42" t="n">
        <f aca="false">PROCESO!$I$58*DEMANDA!G16</f>
        <v>0</v>
      </c>
      <c r="J11" s="42" t="n">
        <f aca="false">PROCESO!$I$58*DEMANDA!H16</f>
        <v>0.2592</v>
      </c>
      <c r="K11" s="42" t="n">
        <f aca="false">PROCESO!$I$58*DEMANDA!I16</f>
        <v>0.9036</v>
      </c>
      <c r="L11" s="42" t="n">
        <f aca="false">PROCESO!$I$58*DEMANDA!J16</f>
        <v>1.674</v>
      </c>
      <c r="M11" s="42" t="n">
        <f aca="false">PROCESO!$I$58*DEMANDA!K16</f>
        <v>2.43</v>
      </c>
      <c r="N11" s="42" t="n">
        <f aca="false">PROCESO!$I$58*DEMANDA!L16</f>
        <v>3.438</v>
      </c>
      <c r="O11" s="42" t="n">
        <f aca="false">PROCESO!$I$58*DEMANDA!M16</f>
        <v>4.446</v>
      </c>
      <c r="P11" s="42" t="n">
        <f aca="false">PROCESO!$I$58*DEMANDA!N16</f>
        <v>4.986</v>
      </c>
      <c r="Q11" s="42" t="n">
        <f aca="false">PROCESO!$I$58*DEMANDA!O16</f>
        <v>5.796</v>
      </c>
      <c r="R11" s="24" t="s">
        <v>2922</v>
      </c>
    </row>
    <row r="12" customFormat="false" ht="15" hidden="false" customHeight="false" outlineLevel="1" collapsed="false">
      <c r="A12" s="24" t="n">
        <v>1</v>
      </c>
      <c r="B12" s="24" t="s">
        <v>1777</v>
      </c>
      <c r="C12" s="40" t="s">
        <v>2720</v>
      </c>
      <c r="D12" s="24" t="s">
        <v>1778</v>
      </c>
      <c r="E12" s="24" t="s">
        <v>270</v>
      </c>
      <c r="F12" s="41" t="n">
        <f aca="false">PROCESO!$I$60</f>
        <v>0.01</v>
      </c>
      <c r="G12" s="24" t="s">
        <v>2281</v>
      </c>
      <c r="H12" s="42" t="n">
        <f aca="false">PROCESO!$I$60*DEMANDA!F16</f>
        <v>0</v>
      </c>
      <c r="I12" s="42" t="n">
        <f aca="false">PROCESO!$I$60*DEMANDA!G16</f>
        <v>0</v>
      </c>
      <c r="J12" s="42" t="n">
        <f aca="false">PROCESO!$I$60*DEMANDA!H16</f>
        <v>0.144</v>
      </c>
      <c r="K12" s="42" t="n">
        <f aca="false">PROCESO!$I$60*DEMANDA!I16</f>
        <v>0.502</v>
      </c>
      <c r="L12" s="42" t="n">
        <f aca="false">PROCESO!$I$60*DEMANDA!J16</f>
        <v>0.93</v>
      </c>
      <c r="M12" s="42" t="n">
        <f aca="false">PROCESO!$I$60*DEMANDA!K16</f>
        <v>1.35</v>
      </c>
      <c r="N12" s="42" t="n">
        <f aca="false">PROCESO!$I$60*DEMANDA!L16</f>
        <v>1.91</v>
      </c>
      <c r="O12" s="42" t="n">
        <f aca="false">PROCESO!$I$60*DEMANDA!M16</f>
        <v>2.47</v>
      </c>
      <c r="P12" s="42" t="n">
        <f aca="false">PROCESO!$I$60*DEMANDA!N16</f>
        <v>2.77</v>
      </c>
      <c r="Q12" s="42" t="n">
        <f aca="false">PROCESO!$I$60*DEMANDA!O16</f>
        <v>3.22</v>
      </c>
      <c r="R12" s="24" t="s">
        <v>2923</v>
      </c>
    </row>
    <row r="13" customFormat="false" ht="15" hidden="false" customHeight="false" outlineLevel="1" collapsed="false">
      <c r="A13" s="24" t="n">
        <v>1</v>
      </c>
      <c r="B13" s="24" t="s">
        <v>1777</v>
      </c>
      <c r="C13" s="40" t="s">
        <v>2721</v>
      </c>
      <c r="D13" s="24" t="s">
        <v>1778</v>
      </c>
      <c r="E13" s="24" t="s">
        <v>270</v>
      </c>
      <c r="F13" s="41" t="n">
        <f aca="false">PROCESO!$I$62</f>
        <v>0.066</v>
      </c>
      <c r="G13" s="24" t="s">
        <v>2281</v>
      </c>
      <c r="H13" s="42" t="n">
        <f aca="false">PROCESO!$I$62*DEMANDA!F16</f>
        <v>0</v>
      </c>
      <c r="I13" s="42" t="n">
        <f aca="false">PROCESO!$I$62*DEMANDA!G16</f>
        <v>0</v>
      </c>
      <c r="J13" s="42" t="n">
        <f aca="false">PROCESO!$I$62*DEMANDA!H16</f>
        <v>0.9504</v>
      </c>
      <c r="K13" s="42" t="n">
        <f aca="false">PROCESO!$I$62*DEMANDA!I16</f>
        <v>3.3132</v>
      </c>
      <c r="L13" s="42" t="n">
        <f aca="false">PROCESO!$I$62*DEMANDA!J16</f>
        <v>6.138</v>
      </c>
      <c r="M13" s="42" t="n">
        <f aca="false">PROCESO!$I$62*DEMANDA!K16</f>
        <v>8.91</v>
      </c>
      <c r="N13" s="42" t="n">
        <f aca="false">PROCESO!$I$62*DEMANDA!L16</f>
        <v>12.606</v>
      </c>
      <c r="O13" s="42" t="n">
        <f aca="false">PROCESO!$I$62*DEMANDA!M16</f>
        <v>16.302</v>
      </c>
      <c r="P13" s="42" t="n">
        <f aca="false">PROCESO!$I$62*DEMANDA!N16</f>
        <v>18.282</v>
      </c>
      <c r="Q13" s="42" t="n">
        <f aca="false">PROCESO!$I$62*DEMANDA!O16</f>
        <v>21.252</v>
      </c>
      <c r="R13" s="24" t="s">
        <v>2924</v>
      </c>
    </row>
    <row r="14" customFormat="false" ht="15" hidden="false" customHeight="false" outlineLevel="1" collapsed="false">
      <c r="A14" s="24" t="n">
        <v>1</v>
      </c>
      <c r="B14" s="24" t="s">
        <v>1777</v>
      </c>
      <c r="C14" s="40" t="s">
        <v>2722</v>
      </c>
      <c r="D14" s="24" t="s">
        <v>1778</v>
      </c>
      <c r="E14" s="24" t="s">
        <v>249</v>
      </c>
      <c r="F14" s="41" t="n">
        <f aca="false">PROCESO!$I$79</f>
        <v>0.0041</v>
      </c>
      <c r="G14" s="24" t="s">
        <v>2281</v>
      </c>
      <c r="H14" s="42" t="n">
        <f aca="false">PROCESO!$I$79*DEMANDA!F9</f>
        <v>0.3071471581</v>
      </c>
      <c r="I14" s="42" t="n">
        <f aca="false">PROCESO!$I$79*DEMANDA!G9</f>
        <v>0.52732857004</v>
      </c>
      <c r="J14" s="42" t="n">
        <f aca="false">PROCESO!$I$79*DEMANDA!H9</f>
        <v>0.6783810308</v>
      </c>
      <c r="K14" s="42" t="n">
        <f aca="false">PROCESO!$I$79*DEMANDA!I9</f>
        <v>0.90677927365</v>
      </c>
      <c r="L14" s="42" t="n">
        <f aca="false">PROCESO!$I$79*DEMANDA!J9</f>
        <v>1.40600155157</v>
      </c>
      <c r="M14" s="42" t="n">
        <f aca="false">PROCESO!$I$79*DEMANDA!K9</f>
        <v>1.9116490342</v>
      </c>
      <c r="N14" s="42" t="n">
        <f aca="false">PROCESO!$I$79*DEMANDA!L9</f>
        <v>2.45946746289</v>
      </c>
      <c r="O14" s="42" t="n">
        <f aca="false">PROCESO!$I$79*DEMANDA!M9</f>
        <v>3.04739500996</v>
      </c>
      <c r="P14" s="42" t="n">
        <f aca="false">PROCESO!$I$79*DEMANDA!N9</f>
        <v>3.55051928863</v>
      </c>
      <c r="Q14" s="42" t="n">
        <f aca="false">PROCESO!$I$79*DEMANDA!O9</f>
        <v>4.08850020971</v>
      </c>
      <c r="R14" s="24" t="s">
        <v>2926</v>
      </c>
    </row>
    <row r="15" customFormat="false" ht="15" hidden="false" customHeight="false" outlineLevel="1" collapsed="false">
      <c r="A15" s="24" t="n">
        <v>1</v>
      </c>
      <c r="B15" s="24" t="s">
        <v>1777</v>
      </c>
      <c r="C15" s="40" t="s">
        <v>2724</v>
      </c>
      <c r="D15" s="24" t="s">
        <v>1778</v>
      </c>
      <c r="E15" s="24" t="s">
        <v>249</v>
      </c>
      <c r="F15" s="41" t="n">
        <f aca="false">PROCESO!$I$81</f>
        <v>0.022</v>
      </c>
      <c r="G15" s="24" t="s">
        <v>2281</v>
      </c>
      <c r="H15" s="42" t="n">
        <f aca="false">PROCESO!$I$81*DEMANDA!F9</f>
        <v>1.648106702</v>
      </c>
      <c r="I15" s="42" t="n">
        <f aca="false">PROCESO!$I$81*DEMANDA!G9</f>
        <v>2.8295679368</v>
      </c>
      <c r="J15" s="42" t="n">
        <f aca="false">PROCESO!$I$81*DEMANDA!H9</f>
        <v>3.640093336</v>
      </c>
      <c r="K15" s="42" t="n">
        <f aca="false">PROCESO!$I$81*DEMANDA!I9</f>
        <v>4.865644883</v>
      </c>
      <c r="L15" s="42" t="n">
        <f aca="false">PROCESO!$I$81*DEMANDA!J9</f>
        <v>7.5443985694</v>
      </c>
      <c r="M15" s="42" t="n">
        <f aca="false">PROCESO!$I$81*DEMANDA!K9</f>
        <v>10.257628964</v>
      </c>
      <c r="N15" s="42" t="n">
        <f aca="false">PROCESO!$I$81*DEMANDA!L9</f>
        <v>13.1971424838</v>
      </c>
      <c r="O15" s="42" t="n">
        <f aca="false">PROCESO!$I$81*DEMANDA!M9</f>
        <v>16.3518756632</v>
      </c>
      <c r="P15" s="42" t="n">
        <f aca="false">PROCESO!$I$81*DEMANDA!N9</f>
        <v>19.0515669146</v>
      </c>
      <c r="Q15" s="42" t="n">
        <f aca="false">PROCESO!$I$81*DEMANDA!O9</f>
        <v>21.9382938082</v>
      </c>
      <c r="R15" s="24" t="s">
        <v>2927</v>
      </c>
    </row>
    <row r="16" customFormat="false" ht="15" hidden="false" customHeight="false" outlineLevel="1" collapsed="false">
      <c r="A16" s="24" t="n">
        <v>1</v>
      </c>
      <c r="B16" s="24" t="s">
        <v>1777</v>
      </c>
      <c r="C16" s="40" t="s">
        <v>2726</v>
      </c>
      <c r="D16" s="24" t="s">
        <v>1778</v>
      </c>
      <c r="E16" s="24" t="s">
        <v>249</v>
      </c>
      <c r="F16" s="41" t="n">
        <f aca="false">PROCESO!$I$83</f>
        <v>0.01</v>
      </c>
      <c r="G16" s="24" t="s">
        <v>2281</v>
      </c>
      <c r="H16" s="42" t="n">
        <f aca="false">PROCESO!$I$83*DEMANDA!F9</f>
        <v>0.74913941</v>
      </c>
      <c r="I16" s="42" t="n">
        <f aca="false">PROCESO!$I$83*DEMANDA!G9</f>
        <v>1.286167244</v>
      </c>
      <c r="J16" s="42" t="n">
        <f aca="false">PROCESO!$I$83*DEMANDA!H9</f>
        <v>1.65458788</v>
      </c>
      <c r="K16" s="42" t="n">
        <f aca="false">PROCESO!$I$83*DEMANDA!I9</f>
        <v>2.211656765</v>
      </c>
      <c r="L16" s="42" t="n">
        <f aca="false">PROCESO!$I$83*DEMANDA!J9</f>
        <v>3.429272077</v>
      </c>
      <c r="M16" s="42" t="n">
        <f aca="false">PROCESO!$I$83*DEMANDA!K9</f>
        <v>4.66255862</v>
      </c>
      <c r="N16" s="42" t="n">
        <f aca="false">PROCESO!$I$83*DEMANDA!L9</f>
        <v>5.998701129</v>
      </c>
      <c r="O16" s="42" t="n">
        <f aca="false">PROCESO!$I$83*DEMANDA!M9</f>
        <v>7.432670756</v>
      </c>
      <c r="P16" s="42" t="n">
        <f aca="false">PROCESO!$I$83*DEMANDA!N9</f>
        <v>8.659803143</v>
      </c>
      <c r="Q16" s="42" t="n">
        <f aca="false">PROCESO!$I$83*DEMANDA!O9</f>
        <v>9.971951731</v>
      </c>
      <c r="R16" s="24" t="s">
        <v>2928</v>
      </c>
    </row>
    <row r="17" customFormat="false" ht="15" hidden="false" customHeight="false" outlineLevel="1" collapsed="false">
      <c r="A17" s="24" t="n">
        <v>1</v>
      </c>
      <c r="B17" s="24" t="s">
        <v>1777</v>
      </c>
      <c r="C17" s="40" t="s">
        <v>2728</v>
      </c>
      <c r="D17" s="24" t="s">
        <v>1778</v>
      </c>
      <c r="E17" s="24" t="s">
        <v>249</v>
      </c>
      <c r="F17" s="41" t="n">
        <f aca="false">PROCESO!$I$85</f>
        <v>0.075</v>
      </c>
      <c r="G17" s="24" t="s">
        <v>2281</v>
      </c>
      <c r="H17" s="42" t="n">
        <f aca="false">PROCESO!$I$85*DEMANDA!F9</f>
        <v>5.618545575</v>
      </c>
      <c r="I17" s="42" t="n">
        <f aca="false">PROCESO!$I$85*DEMANDA!G9</f>
        <v>9.64625433</v>
      </c>
      <c r="J17" s="42" t="n">
        <f aca="false">PROCESO!$I$85*DEMANDA!H9</f>
        <v>12.4094091</v>
      </c>
      <c r="K17" s="42" t="n">
        <f aca="false">PROCESO!$I$85*DEMANDA!I9</f>
        <v>16.5874257375</v>
      </c>
      <c r="L17" s="42" t="n">
        <f aca="false">PROCESO!$I$85*DEMANDA!J9</f>
        <v>25.7195405775</v>
      </c>
      <c r="M17" s="42" t="n">
        <f aca="false">PROCESO!$I$85*DEMANDA!K9</f>
        <v>34.96918965</v>
      </c>
      <c r="N17" s="42" t="n">
        <f aca="false">PROCESO!$I$85*DEMANDA!L9</f>
        <v>44.9902584675</v>
      </c>
      <c r="O17" s="42" t="n">
        <f aca="false">PROCESO!$I$85*DEMANDA!M9</f>
        <v>55.74503067</v>
      </c>
      <c r="P17" s="42" t="n">
        <f aca="false">PROCESO!$I$85*DEMANDA!N9</f>
        <v>64.9485235725</v>
      </c>
      <c r="Q17" s="42" t="n">
        <f aca="false">PROCESO!$I$85*DEMANDA!O9</f>
        <v>74.7896379825</v>
      </c>
      <c r="R17" s="24" t="s">
        <v>2929</v>
      </c>
    </row>
    <row r="18" customFormat="false" ht="15" hidden="false" customHeight="false" outlineLevel="1" collapsed="false">
      <c r="A18" s="24" t="n">
        <v>1</v>
      </c>
      <c r="B18" s="24" t="s">
        <v>1777</v>
      </c>
      <c r="C18" s="40" t="s">
        <v>2730</v>
      </c>
      <c r="D18" s="24" t="s">
        <v>1778</v>
      </c>
      <c r="E18" s="24" t="s">
        <v>249</v>
      </c>
      <c r="F18" s="41" t="n">
        <f aca="false">PROCESO!$I$87</f>
        <v>0.098</v>
      </c>
      <c r="G18" s="24" t="s">
        <v>2281</v>
      </c>
      <c r="H18" s="42" t="n">
        <f aca="false">PROCESO!$I$87*DEMANDA!F9</f>
        <v>7.341566218</v>
      </c>
      <c r="I18" s="42" t="n">
        <f aca="false">PROCESO!$I$87*DEMANDA!G9</f>
        <v>12.6044389912</v>
      </c>
      <c r="J18" s="42" t="n">
        <f aca="false">PROCESO!$I$87*DEMANDA!H9</f>
        <v>16.214961224</v>
      </c>
      <c r="K18" s="42" t="n">
        <f aca="false">PROCESO!$I$87*DEMANDA!I9</f>
        <v>21.674236297</v>
      </c>
      <c r="L18" s="42" t="n">
        <f aca="false">PROCESO!$I$87*DEMANDA!J9</f>
        <v>33.6068663546</v>
      </c>
      <c r="M18" s="42" t="n">
        <f aca="false">PROCESO!$I$87*DEMANDA!K9</f>
        <v>45.693074476</v>
      </c>
      <c r="N18" s="42" t="n">
        <f aca="false">PROCESO!$I$87*DEMANDA!L9</f>
        <v>58.7872710642</v>
      </c>
      <c r="O18" s="42" t="n">
        <f aca="false">PROCESO!$I$87*DEMANDA!M9</f>
        <v>72.8401734088</v>
      </c>
      <c r="P18" s="42" t="n">
        <f aca="false">PROCESO!$I$87*DEMANDA!N9</f>
        <v>84.8660708014</v>
      </c>
      <c r="Q18" s="42" t="n">
        <f aca="false">PROCESO!$I$87*DEMANDA!O9</f>
        <v>97.7251269638</v>
      </c>
      <c r="R18" s="24" t="s">
        <v>2930</v>
      </c>
    </row>
    <row r="19" customFormat="false" ht="15" hidden="false" customHeight="false" outlineLevel="1" collapsed="false">
      <c r="A19" s="24" t="n">
        <v>1</v>
      </c>
      <c r="B19" s="24" t="s">
        <v>1777</v>
      </c>
      <c r="C19" s="40" t="s">
        <v>2732</v>
      </c>
      <c r="D19" s="24" t="s">
        <v>1778</v>
      </c>
      <c r="E19" s="24" t="s">
        <v>273</v>
      </c>
      <c r="F19" s="41" t="n">
        <f aca="false">PROCESO!$I$79</f>
        <v>0.0041</v>
      </c>
      <c r="G19" s="24" t="s">
        <v>2281</v>
      </c>
      <c r="H19" s="42" t="n">
        <f aca="false">PROCESO!$I$79*DEMANDA!F17</f>
        <v>0</v>
      </c>
      <c r="I19" s="42" t="n">
        <f aca="false">PROCESO!$I$79*DEMANDA!G17</f>
        <v>0</v>
      </c>
      <c r="J19" s="42" t="n">
        <f aca="false">PROCESO!$I$79*DEMANDA!H17</f>
        <v>0.13038</v>
      </c>
      <c r="K19" s="42" t="n">
        <f aca="false">PROCESO!$I$79*DEMANDA!I17</f>
        <v>0.45428</v>
      </c>
      <c r="L19" s="42" t="n">
        <f aca="false">PROCESO!$I$79*DEMANDA!J17</f>
        <v>0.84132</v>
      </c>
      <c r="M19" s="42" t="n">
        <f aca="false">PROCESO!$I$79*DEMANDA!K17</f>
        <v>1.22016</v>
      </c>
      <c r="N19" s="42" t="n">
        <f aca="false">PROCESO!$I$79*DEMANDA!L17</f>
        <v>1.72528</v>
      </c>
      <c r="O19" s="42" t="n">
        <f aca="false">PROCESO!$I$79*DEMANDA!M17</f>
        <v>2.2304</v>
      </c>
      <c r="P19" s="42" t="n">
        <f aca="false">PROCESO!$I$79*DEMANDA!N17</f>
        <v>2.49936</v>
      </c>
      <c r="Q19" s="42" t="n">
        <f aca="false">PROCESO!$I$79*DEMANDA!O17</f>
        <v>2.9028</v>
      </c>
      <c r="R19" s="24" t="s">
        <v>2926</v>
      </c>
    </row>
    <row r="20" customFormat="false" ht="15" hidden="false" customHeight="false" outlineLevel="1" collapsed="false">
      <c r="A20" s="24" t="n">
        <v>1</v>
      </c>
      <c r="B20" s="24" t="s">
        <v>1777</v>
      </c>
      <c r="C20" s="40" t="s">
        <v>2733</v>
      </c>
      <c r="D20" s="24" t="s">
        <v>1778</v>
      </c>
      <c r="E20" s="24" t="s">
        <v>273</v>
      </c>
      <c r="F20" s="41" t="n">
        <f aca="false">PROCESO!$I$81</f>
        <v>0.022</v>
      </c>
      <c r="G20" s="24" t="s">
        <v>2281</v>
      </c>
      <c r="H20" s="42" t="n">
        <f aca="false">PROCESO!$I$81*DEMANDA!F17</f>
        <v>0</v>
      </c>
      <c r="I20" s="42" t="n">
        <f aca="false">PROCESO!$I$81*DEMANDA!G17</f>
        <v>0</v>
      </c>
      <c r="J20" s="42" t="n">
        <f aca="false">PROCESO!$I$81*DEMANDA!H17</f>
        <v>0.6996</v>
      </c>
      <c r="K20" s="42" t="n">
        <f aca="false">PROCESO!$I$81*DEMANDA!I17</f>
        <v>2.4376</v>
      </c>
      <c r="L20" s="42" t="n">
        <f aca="false">PROCESO!$I$81*DEMANDA!J17</f>
        <v>4.5144</v>
      </c>
      <c r="M20" s="42" t="n">
        <f aca="false">PROCESO!$I$81*DEMANDA!K17</f>
        <v>6.5472</v>
      </c>
      <c r="N20" s="42" t="n">
        <f aca="false">PROCESO!$I$81*DEMANDA!L17</f>
        <v>9.2576</v>
      </c>
      <c r="O20" s="42" t="n">
        <f aca="false">PROCESO!$I$81*DEMANDA!M17</f>
        <v>11.968</v>
      </c>
      <c r="P20" s="42" t="n">
        <f aca="false">PROCESO!$I$81*DEMANDA!N17</f>
        <v>13.4112</v>
      </c>
      <c r="Q20" s="42" t="n">
        <f aca="false">PROCESO!$I$81*DEMANDA!O17</f>
        <v>15.576</v>
      </c>
      <c r="R20" s="24" t="s">
        <v>2927</v>
      </c>
    </row>
    <row r="21" customFormat="false" ht="15" hidden="false" customHeight="false" outlineLevel="1" collapsed="false">
      <c r="A21" s="24" t="n">
        <v>1</v>
      </c>
      <c r="B21" s="24" t="s">
        <v>1777</v>
      </c>
      <c r="C21" s="40" t="s">
        <v>2734</v>
      </c>
      <c r="D21" s="24" t="s">
        <v>1778</v>
      </c>
      <c r="E21" s="24" t="s">
        <v>273</v>
      </c>
      <c r="F21" s="41" t="n">
        <f aca="false">PROCESO!$I$83</f>
        <v>0.01</v>
      </c>
      <c r="G21" s="24" t="s">
        <v>2281</v>
      </c>
      <c r="H21" s="42" t="n">
        <f aca="false">PROCESO!$I$83*DEMANDA!F17</f>
        <v>0</v>
      </c>
      <c r="I21" s="42" t="n">
        <f aca="false">PROCESO!$I$83*DEMANDA!G17</f>
        <v>0</v>
      </c>
      <c r="J21" s="42" t="n">
        <f aca="false">PROCESO!$I$83*DEMANDA!H17</f>
        <v>0.318</v>
      </c>
      <c r="K21" s="42" t="n">
        <f aca="false">PROCESO!$I$83*DEMANDA!I17</f>
        <v>1.108</v>
      </c>
      <c r="L21" s="42" t="n">
        <f aca="false">PROCESO!$I$83*DEMANDA!J17</f>
        <v>2.052</v>
      </c>
      <c r="M21" s="42" t="n">
        <f aca="false">PROCESO!$I$83*DEMANDA!K17</f>
        <v>2.976</v>
      </c>
      <c r="N21" s="42" t="n">
        <f aca="false">PROCESO!$I$83*DEMANDA!L17</f>
        <v>4.208</v>
      </c>
      <c r="O21" s="42" t="n">
        <f aca="false">PROCESO!$I$83*DEMANDA!M17</f>
        <v>5.44</v>
      </c>
      <c r="P21" s="42" t="n">
        <f aca="false">PROCESO!$I$83*DEMANDA!N17</f>
        <v>6.096</v>
      </c>
      <c r="Q21" s="42" t="n">
        <f aca="false">PROCESO!$I$83*DEMANDA!O17</f>
        <v>7.08</v>
      </c>
      <c r="R21" s="24" t="s">
        <v>2928</v>
      </c>
    </row>
    <row r="22" customFormat="false" ht="15" hidden="false" customHeight="false" outlineLevel="1" collapsed="false">
      <c r="A22" s="24" t="n">
        <v>1</v>
      </c>
      <c r="B22" s="24" t="s">
        <v>1777</v>
      </c>
      <c r="C22" s="40" t="s">
        <v>2735</v>
      </c>
      <c r="D22" s="24" t="s">
        <v>1778</v>
      </c>
      <c r="E22" s="24" t="s">
        <v>273</v>
      </c>
      <c r="F22" s="41" t="n">
        <f aca="false">PROCESO!$I$85</f>
        <v>0.075</v>
      </c>
      <c r="G22" s="24" t="s">
        <v>2281</v>
      </c>
      <c r="H22" s="42" t="n">
        <f aca="false">PROCESO!$I$85*DEMANDA!F17</f>
        <v>0</v>
      </c>
      <c r="I22" s="42" t="n">
        <f aca="false">PROCESO!$I$85*DEMANDA!G17</f>
        <v>0</v>
      </c>
      <c r="J22" s="42" t="n">
        <f aca="false">PROCESO!$I$85*DEMANDA!H17</f>
        <v>2.385</v>
      </c>
      <c r="K22" s="42" t="n">
        <f aca="false">PROCESO!$I$85*DEMANDA!I17</f>
        <v>8.31</v>
      </c>
      <c r="L22" s="42" t="n">
        <f aca="false">PROCESO!$I$85*DEMANDA!J17</f>
        <v>15.39</v>
      </c>
      <c r="M22" s="42" t="n">
        <f aca="false">PROCESO!$I$85*DEMANDA!K17</f>
        <v>22.32</v>
      </c>
      <c r="N22" s="42" t="n">
        <f aca="false">PROCESO!$I$85*DEMANDA!L17</f>
        <v>31.56</v>
      </c>
      <c r="O22" s="42" t="n">
        <f aca="false">PROCESO!$I$85*DEMANDA!M17</f>
        <v>40.8</v>
      </c>
      <c r="P22" s="42" t="n">
        <f aca="false">PROCESO!$I$85*DEMANDA!N17</f>
        <v>45.72</v>
      </c>
      <c r="Q22" s="42" t="n">
        <f aca="false">PROCESO!$I$85*DEMANDA!O17</f>
        <v>53.1</v>
      </c>
      <c r="R22" s="24" t="s">
        <v>2929</v>
      </c>
    </row>
    <row r="23" customFormat="false" ht="15" hidden="false" customHeight="false" outlineLevel="1" collapsed="false">
      <c r="A23" s="24" t="n">
        <v>1</v>
      </c>
      <c r="B23" s="24" t="s">
        <v>1777</v>
      </c>
      <c r="C23" s="40" t="s">
        <v>2736</v>
      </c>
      <c r="D23" s="24" t="s">
        <v>1778</v>
      </c>
      <c r="E23" s="24" t="s">
        <v>252</v>
      </c>
      <c r="F23" s="41" t="n">
        <f aca="false">PROCESO!$I$102</f>
        <v>0.0095</v>
      </c>
      <c r="G23" s="24" t="s">
        <v>2281</v>
      </c>
      <c r="H23" s="42" t="n">
        <f aca="false">PROCESO!$I$102*DEMANDA!F10</f>
        <v>0.155276168575</v>
      </c>
      <c r="I23" s="42" t="n">
        <f aca="false">PROCESO!$I$102*DEMANDA!G10</f>
        <v>0.26658739241</v>
      </c>
      <c r="J23" s="42" t="n">
        <f aca="false">PROCESO!$I$102*DEMANDA!H10</f>
        <v>0.342950942305</v>
      </c>
      <c r="K23" s="42" t="n">
        <f aca="false">PROCESO!$I$102*DEMANDA!I10</f>
        <v>0.458416129395</v>
      </c>
      <c r="L23" s="42" t="n">
        <f aca="false">PROCESO!$I$102*DEMANDA!J10</f>
        <v>0.710794575865</v>
      </c>
      <c r="M23" s="42" t="n">
        <f aca="false">PROCESO!$I$102*DEMANDA!K10</f>
        <v>0.96642124115</v>
      </c>
      <c r="N23" s="42" t="n">
        <f aca="false">PROCESO!$I$102*DEMANDA!L10</f>
        <v>1.24336714305</v>
      </c>
      <c r="O23" s="42" t="n">
        <f aca="false">PROCESO!$I$102*DEMANDA!M10</f>
        <v>1.54058993805</v>
      </c>
      <c r="P23" s="42" t="n">
        <f aca="false">PROCESO!$I$102*DEMANDA!N10</f>
        <v>1.79494101525</v>
      </c>
      <c r="Q23" s="42" t="n">
        <f aca="false">PROCESO!$I$102*DEMANDA!O10</f>
        <v>2.066913632</v>
      </c>
      <c r="R23" s="24" t="s">
        <v>2931</v>
      </c>
    </row>
    <row r="24" customFormat="false" ht="15" hidden="false" customHeight="false" outlineLevel="1" collapsed="false">
      <c r="A24" s="24" t="n">
        <v>1</v>
      </c>
      <c r="B24" s="24" t="s">
        <v>1777</v>
      </c>
      <c r="C24" s="40" t="s">
        <v>2738</v>
      </c>
      <c r="D24" s="24" t="s">
        <v>1778</v>
      </c>
      <c r="E24" s="24" t="s">
        <v>252</v>
      </c>
      <c r="F24" s="41" t="n">
        <f aca="false">PROCESO!$I$104</f>
        <v>0.032</v>
      </c>
      <c r="G24" s="24" t="s">
        <v>2281</v>
      </c>
      <c r="H24" s="42" t="n">
        <f aca="false">PROCESO!$I$104*DEMANDA!F10</f>
        <v>0.5230355152</v>
      </c>
      <c r="I24" s="42" t="n">
        <f aca="false">PROCESO!$I$104*DEMANDA!G10</f>
        <v>0.89797858496</v>
      </c>
      <c r="J24" s="42" t="n">
        <f aca="false">PROCESO!$I$104*DEMANDA!H10</f>
        <v>1.15520317408</v>
      </c>
      <c r="K24" s="42" t="n">
        <f aca="false">PROCESO!$I$104*DEMANDA!I10</f>
        <v>1.54413854112</v>
      </c>
      <c r="L24" s="42" t="n">
        <f aca="false">PROCESO!$I$104*DEMANDA!J10</f>
        <v>2.39425541344</v>
      </c>
      <c r="M24" s="42" t="n">
        <f aca="false">PROCESO!$I$104*DEMANDA!K10</f>
        <v>3.2553136544</v>
      </c>
      <c r="N24" s="42" t="n">
        <f aca="false">PROCESO!$I$104*DEMANDA!L10</f>
        <v>4.1881840608</v>
      </c>
      <c r="O24" s="42" t="n">
        <f aca="false">PROCESO!$I$104*DEMANDA!M10</f>
        <v>5.1893555808</v>
      </c>
      <c r="P24" s="42" t="n">
        <f aca="false">PROCESO!$I$104*DEMANDA!N10</f>
        <v>6.046117104</v>
      </c>
      <c r="Q24" s="42" t="n">
        <f aca="false">PROCESO!$I$104*DEMANDA!O10</f>
        <v>6.962235392</v>
      </c>
      <c r="R24" s="24" t="s">
        <v>2932</v>
      </c>
    </row>
    <row r="25" customFormat="false" ht="15" hidden="false" customHeight="false" outlineLevel="1" collapsed="false">
      <c r="A25" s="24" t="n">
        <v>1</v>
      </c>
      <c r="B25" s="24" t="s">
        <v>1777</v>
      </c>
      <c r="C25" s="40" t="s">
        <v>2740</v>
      </c>
      <c r="D25" s="24" t="s">
        <v>1778</v>
      </c>
      <c r="E25" s="24" t="s">
        <v>252</v>
      </c>
      <c r="F25" s="41" t="n">
        <f aca="false">PROCESO!$I$106</f>
        <v>0.017</v>
      </c>
      <c r="G25" s="24" t="s">
        <v>2281</v>
      </c>
      <c r="H25" s="42" t="n">
        <f aca="false">PROCESO!$I$106*DEMANDA!F10</f>
        <v>0.27786261745</v>
      </c>
      <c r="I25" s="42" t="n">
        <f aca="false">PROCESO!$I$106*DEMANDA!G10</f>
        <v>0.47705112326</v>
      </c>
      <c r="J25" s="42" t="n">
        <f aca="false">PROCESO!$I$106*DEMANDA!H10</f>
        <v>0.61370168623</v>
      </c>
      <c r="K25" s="42" t="n">
        <f aca="false">PROCESO!$I$106*DEMANDA!I10</f>
        <v>0.82032359997</v>
      </c>
      <c r="L25" s="42" t="n">
        <f aca="false">PROCESO!$I$106*DEMANDA!J10</f>
        <v>1.27194818839</v>
      </c>
      <c r="M25" s="42" t="n">
        <f aca="false">PROCESO!$I$106*DEMANDA!K10</f>
        <v>1.7293853789</v>
      </c>
      <c r="N25" s="42" t="n">
        <f aca="false">PROCESO!$I$106*DEMANDA!L10</f>
        <v>2.2249727823</v>
      </c>
      <c r="O25" s="42" t="n">
        <f aca="false">PROCESO!$I$106*DEMANDA!M10</f>
        <v>2.7568451523</v>
      </c>
      <c r="P25" s="42" t="n">
        <f aca="false">PROCESO!$I$106*DEMANDA!N10</f>
        <v>3.2119997115</v>
      </c>
      <c r="Q25" s="42" t="n">
        <f aca="false">PROCESO!$I$106*DEMANDA!O10</f>
        <v>3.698687552</v>
      </c>
      <c r="R25" s="24" t="s">
        <v>2933</v>
      </c>
    </row>
    <row r="26" customFormat="false" ht="15" hidden="false" customHeight="false" outlineLevel="1" collapsed="false">
      <c r="A26" s="24" t="n">
        <v>1</v>
      </c>
      <c r="B26" s="24" t="s">
        <v>1777</v>
      </c>
      <c r="C26" s="40" t="s">
        <v>2742</v>
      </c>
      <c r="D26" s="24" t="s">
        <v>1778</v>
      </c>
      <c r="E26" s="24" t="s">
        <v>252</v>
      </c>
      <c r="F26" s="41" t="n">
        <f aca="false">PROCESO!$I$108</f>
        <v>0.122</v>
      </c>
      <c r="G26" s="24" t="s">
        <v>2281</v>
      </c>
      <c r="H26" s="42" t="n">
        <f aca="false">PROCESO!$I$108*DEMANDA!F10</f>
        <v>1.9940729017</v>
      </c>
      <c r="I26" s="42" t="n">
        <f aca="false">PROCESO!$I$108*DEMANDA!G10</f>
        <v>3.42354335516</v>
      </c>
      <c r="J26" s="42" t="n">
        <f aca="false">PROCESO!$I$108*DEMANDA!H10</f>
        <v>4.40421210118</v>
      </c>
      <c r="K26" s="42" t="n">
        <f aca="false">PROCESO!$I$108*DEMANDA!I10</f>
        <v>5.88702818802</v>
      </c>
      <c r="L26" s="42" t="n">
        <f aca="false">PROCESO!$I$108*DEMANDA!J10</f>
        <v>9.12809876374</v>
      </c>
      <c r="M26" s="42" t="n">
        <f aca="false">PROCESO!$I$108*DEMANDA!K10</f>
        <v>12.4108833074</v>
      </c>
      <c r="N26" s="42" t="n">
        <f aca="false">PROCESO!$I$108*DEMANDA!L10</f>
        <v>15.9674517318</v>
      </c>
      <c r="O26" s="42" t="n">
        <f aca="false">PROCESO!$I$108*DEMANDA!M10</f>
        <v>19.7844181518</v>
      </c>
      <c r="P26" s="42" t="n">
        <f aca="false">PROCESO!$I$108*DEMANDA!N10</f>
        <v>23.050821459</v>
      </c>
      <c r="Q26" s="42" t="n">
        <f aca="false">PROCESO!$I$108*DEMANDA!O10</f>
        <v>26.543522432</v>
      </c>
      <c r="R26" s="24" t="s">
        <v>2934</v>
      </c>
    </row>
    <row r="27" customFormat="false" ht="15" hidden="false" customHeight="false" outlineLevel="1" collapsed="false">
      <c r="A27" s="24" t="n">
        <v>1</v>
      </c>
      <c r="B27" s="24" t="s">
        <v>1777</v>
      </c>
      <c r="C27" s="40" t="s">
        <v>2744</v>
      </c>
      <c r="D27" s="24" t="s">
        <v>1778</v>
      </c>
      <c r="E27" s="24" t="s">
        <v>252</v>
      </c>
      <c r="F27" s="41" t="n">
        <f aca="false">PROCESO!$I$110</f>
        <v>0.109</v>
      </c>
      <c r="G27" s="24" t="s">
        <v>2281</v>
      </c>
      <c r="H27" s="42" t="n">
        <f aca="false">PROCESO!$I$110*DEMANDA!F10</f>
        <v>1.78158972365</v>
      </c>
      <c r="I27" s="42" t="n">
        <f aca="false">PROCESO!$I$110*DEMANDA!G10</f>
        <v>3.05873955502</v>
      </c>
      <c r="J27" s="42" t="n">
        <f aca="false">PROCESO!$I$110*DEMANDA!H10</f>
        <v>3.93491081171</v>
      </c>
      <c r="K27" s="42" t="n">
        <f aca="false">PROCESO!$I$110*DEMANDA!I10</f>
        <v>5.25972190569</v>
      </c>
      <c r="L27" s="42" t="n">
        <f aca="false">PROCESO!$I$110*DEMANDA!J10</f>
        <v>8.15543250203</v>
      </c>
      <c r="M27" s="42" t="n">
        <f aca="false">PROCESO!$I$110*DEMANDA!K10</f>
        <v>11.0884121353</v>
      </c>
      <c r="N27" s="42" t="n">
        <f aca="false">PROCESO!$I$110*DEMANDA!L10</f>
        <v>14.2660019571</v>
      </c>
      <c r="O27" s="42" t="n">
        <f aca="false">PROCESO!$I$110*DEMANDA!M10</f>
        <v>17.6762424471</v>
      </c>
      <c r="P27" s="42" t="n">
        <f aca="false">PROCESO!$I$110*DEMANDA!N10</f>
        <v>20.5945863855</v>
      </c>
      <c r="Q27" s="42" t="n">
        <f aca="false">PROCESO!$I$110*DEMANDA!O10</f>
        <v>23.715114304</v>
      </c>
      <c r="R27" s="24" t="s">
        <v>2935</v>
      </c>
    </row>
    <row r="28" customFormat="false" ht="15" hidden="false" customHeight="false" outlineLevel="1" collapsed="false">
      <c r="A28" s="24" t="n">
        <v>1</v>
      </c>
      <c r="B28" s="24" t="s">
        <v>1777</v>
      </c>
      <c r="C28" s="40" t="s">
        <v>2746</v>
      </c>
      <c r="D28" s="24" t="s">
        <v>1778</v>
      </c>
      <c r="E28" s="24" t="s">
        <v>276</v>
      </c>
      <c r="F28" s="41" t="n">
        <f aca="false">PROCESO!$I$102</f>
        <v>0.0095</v>
      </c>
      <c r="G28" s="24" t="s">
        <v>2281</v>
      </c>
      <c r="H28" s="42" t="n">
        <f aca="false">PROCESO!$I$102*DEMANDA!F18</f>
        <v>0</v>
      </c>
      <c r="I28" s="42" t="n">
        <f aca="false">PROCESO!$I$102*DEMANDA!G18</f>
        <v>0</v>
      </c>
      <c r="J28" s="42" t="n">
        <f aca="false">PROCESO!$I$102*DEMANDA!H18</f>
        <v>0.0665</v>
      </c>
      <c r="K28" s="42" t="n">
        <f aca="false">PROCESO!$I$102*DEMANDA!I18</f>
        <v>0.2318</v>
      </c>
      <c r="L28" s="42" t="n">
        <f aca="false">PROCESO!$I$102*DEMANDA!J18</f>
        <v>0.4294</v>
      </c>
      <c r="M28" s="42" t="n">
        <f aca="false">PROCESO!$I$102*DEMANDA!K18</f>
        <v>0.6213</v>
      </c>
      <c r="N28" s="42" t="n">
        <f aca="false">PROCESO!$I$102*DEMANDA!L18</f>
        <v>0.8759</v>
      </c>
      <c r="O28" s="42" t="n">
        <f aca="false">PROCESO!$I$102*DEMANDA!M18</f>
        <v>1.1305</v>
      </c>
      <c r="P28" s="42" t="n">
        <f aca="false">PROCESO!$I$102*DEMANDA!N18</f>
        <v>1.2673</v>
      </c>
      <c r="Q28" s="42" t="n">
        <f aca="false">PROCESO!$I$102*DEMANDA!O18</f>
        <v>1.4725</v>
      </c>
      <c r="R28" s="24" t="s">
        <v>2931</v>
      </c>
    </row>
    <row r="29" customFormat="false" ht="15" hidden="false" customHeight="false" outlineLevel="1" collapsed="false">
      <c r="A29" s="24" t="n">
        <v>1</v>
      </c>
      <c r="B29" s="24" t="s">
        <v>1777</v>
      </c>
      <c r="C29" s="40" t="s">
        <v>2747</v>
      </c>
      <c r="D29" s="24" t="s">
        <v>1778</v>
      </c>
      <c r="E29" s="24" t="s">
        <v>276</v>
      </c>
      <c r="F29" s="41" t="n">
        <f aca="false">PROCESO!$I$104</f>
        <v>0.032</v>
      </c>
      <c r="G29" s="24" t="s">
        <v>2281</v>
      </c>
      <c r="H29" s="42" t="n">
        <f aca="false">PROCESO!$I$104*DEMANDA!F18</f>
        <v>0</v>
      </c>
      <c r="I29" s="42" t="n">
        <f aca="false">PROCESO!$I$104*DEMANDA!G18</f>
        <v>0</v>
      </c>
      <c r="J29" s="42" t="n">
        <f aca="false">PROCESO!$I$104*DEMANDA!H18</f>
        <v>0.224</v>
      </c>
      <c r="K29" s="42" t="n">
        <f aca="false">PROCESO!$I$104*DEMANDA!I18</f>
        <v>0.7808</v>
      </c>
      <c r="L29" s="42" t="n">
        <f aca="false">PROCESO!$I$104*DEMANDA!J18</f>
        <v>1.4464</v>
      </c>
      <c r="M29" s="42" t="n">
        <f aca="false">PROCESO!$I$104*DEMANDA!K18</f>
        <v>2.0928</v>
      </c>
      <c r="N29" s="42" t="n">
        <f aca="false">PROCESO!$I$104*DEMANDA!L18</f>
        <v>2.9504</v>
      </c>
      <c r="O29" s="42" t="n">
        <f aca="false">PROCESO!$I$104*DEMANDA!M18</f>
        <v>3.808</v>
      </c>
      <c r="P29" s="42" t="n">
        <f aca="false">PROCESO!$I$104*DEMANDA!N18</f>
        <v>4.2688</v>
      </c>
      <c r="Q29" s="42" t="n">
        <f aca="false">PROCESO!$I$104*DEMANDA!O18</f>
        <v>4.96</v>
      </c>
      <c r="R29" s="24" t="s">
        <v>2932</v>
      </c>
    </row>
    <row r="30" customFormat="false" ht="15" hidden="false" customHeight="false" outlineLevel="1" collapsed="false">
      <c r="A30" s="24" t="n">
        <v>1</v>
      </c>
      <c r="B30" s="24" t="s">
        <v>1777</v>
      </c>
      <c r="C30" s="40" t="s">
        <v>2748</v>
      </c>
      <c r="D30" s="24" t="s">
        <v>1778</v>
      </c>
      <c r="E30" s="24" t="s">
        <v>276</v>
      </c>
      <c r="F30" s="41" t="n">
        <f aca="false">PROCESO!$I$106</f>
        <v>0.017</v>
      </c>
      <c r="G30" s="24" t="s">
        <v>2281</v>
      </c>
      <c r="H30" s="42" t="n">
        <f aca="false">PROCESO!$I$106*DEMANDA!F18</f>
        <v>0</v>
      </c>
      <c r="I30" s="42" t="n">
        <f aca="false">PROCESO!$I$106*DEMANDA!G18</f>
        <v>0</v>
      </c>
      <c r="J30" s="42" t="n">
        <f aca="false">PROCESO!$I$106*DEMANDA!H18</f>
        <v>0.119</v>
      </c>
      <c r="K30" s="42" t="n">
        <f aca="false">PROCESO!$I$106*DEMANDA!I18</f>
        <v>0.4148</v>
      </c>
      <c r="L30" s="42" t="n">
        <f aca="false">PROCESO!$I$106*DEMANDA!J18</f>
        <v>0.7684</v>
      </c>
      <c r="M30" s="42" t="n">
        <f aca="false">PROCESO!$I$106*DEMANDA!K18</f>
        <v>1.1118</v>
      </c>
      <c r="N30" s="42" t="n">
        <f aca="false">PROCESO!$I$106*DEMANDA!L18</f>
        <v>1.5674</v>
      </c>
      <c r="O30" s="42" t="n">
        <f aca="false">PROCESO!$I$106*DEMANDA!M18</f>
        <v>2.023</v>
      </c>
      <c r="P30" s="42" t="n">
        <f aca="false">PROCESO!$I$106*DEMANDA!N18</f>
        <v>2.2678</v>
      </c>
      <c r="Q30" s="42" t="n">
        <f aca="false">PROCESO!$I$106*DEMANDA!O18</f>
        <v>2.635</v>
      </c>
      <c r="R30" s="24" t="s">
        <v>2933</v>
      </c>
    </row>
    <row r="31" customFormat="false" ht="15" hidden="false" customHeight="false" outlineLevel="1" collapsed="false">
      <c r="A31" s="24" t="n">
        <v>1</v>
      </c>
      <c r="B31" s="24" t="s">
        <v>1777</v>
      </c>
      <c r="C31" s="40" t="s">
        <v>2749</v>
      </c>
      <c r="D31" s="24" t="s">
        <v>1778</v>
      </c>
      <c r="E31" s="24" t="s">
        <v>276</v>
      </c>
      <c r="F31" s="41" t="n">
        <f aca="false">PROCESO!$I$108</f>
        <v>0.122</v>
      </c>
      <c r="G31" s="24" t="s">
        <v>2281</v>
      </c>
      <c r="H31" s="42" t="n">
        <f aca="false">PROCESO!$I$108*DEMANDA!F18</f>
        <v>0</v>
      </c>
      <c r="I31" s="42" t="n">
        <f aca="false">PROCESO!$I$108*DEMANDA!G18</f>
        <v>0</v>
      </c>
      <c r="J31" s="42" t="n">
        <f aca="false">PROCESO!$I$108*DEMANDA!H18</f>
        <v>0.854</v>
      </c>
      <c r="K31" s="42" t="n">
        <f aca="false">PROCESO!$I$108*DEMANDA!I18</f>
        <v>2.9768</v>
      </c>
      <c r="L31" s="42" t="n">
        <f aca="false">PROCESO!$I$108*DEMANDA!J18</f>
        <v>5.5144</v>
      </c>
      <c r="M31" s="42" t="n">
        <f aca="false">PROCESO!$I$108*DEMANDA!K18</f>
        <v>7.9788</v>
      </c>
      <c r="N31" s="42" t="n">
        <f aca="false">PROCESO!$I$108*DEMANDA!L18</f>
        <v>11.2484</v>
      </c>
      <c r="O31" s="42" t="n">
        <f aca="false">PROCESO!$I$108*DEMANDA!M18</f>
        <v>14.518</v>
      </c>
      <c r="P31" s="42" t="n">
        <f aca="false">PROCESO!$I$108*DEMANDA!N18</f>
        <v>16.2748</v>
      </c>
      <c r="Q31" s="42" t="n">
        <f aca="false">PROCESO!$I$108*DEMANDA!O18</f>
        <v>18.91</v>
      </c>
      <c r="R31" s="24" t="s">
        <v>2934</v>
      </c>
    </row>
    <row r="32" customFormat="false" ht="15" hidden="false" customHeight="false" outlineLevel="1" collapsed="false">
      <c r="A32" s="24" t="n">
        <v>1</v>
      </c>
      <c r="B32" s="24" t="s">
        <v>1777</v>
      </c>
      <c r="C32" s="40" t="s">
        <v>2750</v>
      </c>
      <c r="D32" s="24" t="s">
        <v>1778</v>
      </c>
      <c r="E32" s="24" t="s">
        <v>255</v>
      </c>
      <c r="F32" s="41" t="n">
        <f aca="false">PROCESO!$I$127</f>
        <v>0.0102</v>
      </c>
      <c r="G32" s="24" t="s">
        <v>2281</v>
      </c>
      <c r="H32" s="42" t="n">
        <f aca="false">PROCESO!$I$127*DEMANDA!F11</f>
        <v>0.111145047048</v>
      </c>
      <c r="I32" s="42" t="n">
        <f aca="false">PROCESO!$I$127*DEMANDA!G11</f>
        <v>0.190820449338</v>
      </c>
      <c r="J32" s="42" t="n">
        <f aca="false">PROCESO!$I$127*DEMANDA!H11</f>
        <v>0.245480674458</v>
      </c>
      <c r="K32" s="42" t="n">
        <f aca="false">PROCESO!$I$127*DEMANDA!I11</f>
        <v>0.328129439988</v>
      </c>
      <c r="L32" s="42" t="n">
        <f aca="false">PROCESO!$I$127*DEMANDA!J11</f>
        <v>0.508779275424</v>
      </c>
      <c r="M32" s="42" t="n">
        <f aca="false">PROCESO!$I$127*DEMANDA!K11</f>
        <v>0.691754151594</v>
      </c>
      <c r="N32" s="42" t="n">
        <f aca="false">PROCESO!$I$127*DEMANDA!L11</f>
        <v>0.889989113022</v>
      </c>
      <c r="O32" s="42" t="n">
        <f aca="false">PROCESO!$I$127*DEMANDA!M11</f>
        <v>1.10273806092</v>
      </c>
      <c r="P32" s="42" t="n">
        <f aca="false">PROCESO!$I$127*DEMANDA!N11</f>
        <v>1.2847998846</v>
      </c>
      <c r="Q32" s="42" t="n">
        <f aca="false">PROCESO!$I$127*DEMANDA!O11</f>
        <v>1.47947502012</v>
      </c>
      <c r="R32" s="24" t="s">
        <v>2936</v>
      </c>
    </row>
    <row r="33" customFormat="false" ht="15" hidden="false" customHeight="false" outlineLevel="1" collapsed="false">
      <c r="A33" s="24" t="n">
        <v>1</v>
      </c>
      <c r="B33" s="24" t="s">
        <v>1777</v>
      </c>
      <c r="C33" s="40" t="s">
        <v>2752</v>
      </c>
      <c r="D33" s="24" t="s">
        <v>1778</v>
      </c>
      <c r="E33" s="24" t="s">
        <v>255</v>
      </c>
      <c r="F33" s="41" t="n">
        <f aca="false">PROCESO!$I$129</f>
        <v>0.042</v>
      </c>
      <c r="G33" s="24" t="s">
        <v>2281</v>
      </c>
      <c r="H33" s="42" t="n">
        <f aca="false">PROCESO!$I$129*DEMANDA!F11</f>
        <v>0.45765607608</v>
      </c>
      <c r="I33" s="42" t="n">
        <f aca="false">PROCESO!$I$129*DEMANDA!G11</f>
        <v>0.78573126198</v>
      </c>
      <c r="J33" s="42" t="n">
        <f aca="false">PROCESO!$I$129*DEMANDA!H11</f>
        <v>1.01080277718</v>
      </c>
      <c r="K33" s="42" t="n">
        <f aca="false">PROCESO!$I$129*DEMANDA!I11</f>
        <v>1.35112122348</v>
      </c>
      <c r="L33" s="42" t="n">
        <f aca="false">PROCESO!$I$129*DEMANDA!J11</f>
        <v>2.09497348704</v>
      </c>
      <c r="M33" s="42" t="n">
        <f aca="false">PROCESO!$I$129*DEMANDA!K11</f>
        <v>2.84839944774</v>
      </c>
      <c r="N33" s="42" t="n">
        <f aca="false">PROCESO!$I$129*DEMANDA!L11</f>
        <v>3.66466105362</v>
      </c>
      <c r="O33" s="42" t="n">
        <f aca="false">PROCESO!$I$129*DEMANDA!M11</f>
        <v>4.5406861332</v>
      </c>
      <c r="P33" s="42" t="n">
        <f aca="false">PROCESO!$I$129*DEMANDA!N11</f>
        <v>5.290352466</v>
      </c>
      <c r="Q33" s="42" t="n">
        <f aca="false">PROCESO!$I$129*DEMANDA!O11</f>
        <v>6.0919559652</v>
      </c>
      <c r="R33" s="24" t="s">
        <v>2937</v>
      </c>
    </row>
    <row r="34" customFormat="false" ht="15" hidden="false" customHeight="false" outlineLevel="1" collapsed="false">
      <c r="A34" s="24" t="n">
        <v>1</v>
      </c>
      <c r="B34" s="24" t="s">
        <v>1777</v>
      </c>
      <c r="C34" s="40" t="s">
        <v>2754</v>
      </c>
      <c r="D34" s="24" t="s">
        <v>1778</v>
      </c>
      <c r="E34" s="24" t="s">
        <v>255</v>
      </c>
      <c r="F34" s="41" t="n">
        <f aca="false">PROCESO!$I$131</f>
        <v>0.017</v>
      </c>
      <c r="G34" s="24" t="s">
        <v>2281</v>
      </c>
      <c r="H34" s="42" t="n">
        <f aca="false">PROCESO!$I$131*DEMANDA!F11</f>
        <v>0.18524174508</v>
      </c>
      <c r="I34" s="42" t="n">
        <f aca="false">PROCESO!$I$131*DEMANDA!G11</f>
        <v>0.31803408223</v>
      </c>
      <c r="J34" s="42" t="n">
        <f aca="false">PROCESO!$I$131*DEMANDA!H11</f>
        <v>0.40913445743</v>
      </c>
      <c r="K34" s="42" t="n">
        <f aca="false">PROCESO!$I$131*DEMANDA!I11</f>
        <v>0.54688239998</v>
      </c>
      <c r="L34" s="42" t="n">
        <f aca="false">PROCESO!$I$131*DEMANDA!J11</f>
        <v>0.84796545904</v>
      </c>
      <c r="M34" s="42" t="n">
        <f aca="false">PROCESO!$I$131*DEMANDA!K11</f>
        <v>1.15292358599</v>
      </c>
      <c r="N34" s="42" t="n">
        <f aca="false">PROCESO!$I$131*DEMANDA!L11</f>
        <v>1.48331518837</v>
      </c>
      <c r="O34" s="42" t="n">
        <f aca="false">PROCESO!$I$131*DEMANDA!M11</f>
        <v>1.8378967682</v>
      </c>
      <c r="P34" s="42" t="n">
        <f aca="false">PROCESO!$I$131*DEMANDA!N11</f>
        <v>2.141333141</v>
      </c>
      <c r="Q34" s="42" t="n">
        <f aca="false">PROCESO!$I$131*DEMANDA!O11</f>
        <v>2.4657917002</v>
      </c>
      <c r="R34" s="24" t="s">
        <v>2938</v>
      </c>
    </row>
    <row r="35" customFormat="false" ht="15" hidden="false" customHeight="false" outlineLevel="1" collapsed="false">
      <c r="A35" s="24" t="n">
        <v>1</v>
      </c>
      <c r="B35" s="24" t="s">
        <v>1777</v>
      </c>
      <c r="C35" s="40" t="s">
        <v>2756</v>
      </c>
      <c r="D35" s="24" t="s">
        <v>1778</v>
      </c>
      <c r="E35" s="24" t="s">
        <v>255</v>
      </c>
      <c r="F35" s="41" t="n">
        <f aca="false">PROCESO!$I$133</f>
        <v>0.122</v>
      </c>
      <c r="G35" s="24" t="s">
        <v>2281</v>
      </c>
      <c r="H35" s="42" t="n">
        <f aca="false">PROCESO!$I$133*DEMANDA!F11</f>
        <v>1.32938193528</v>
      </c>
      <c r="I35" s="42" t="n">
        <f aca="false">PROCESO!$I$133*DEMANDA!G11</f>
        <v>2.28236223718</v>
      </c>
      <c r="J35" s="42" t="n">
        <f aca="false">PROCESO!$I$133*DEMANDA!H11</f>
        <v>2.93614140038</v>
      </c>
      <c r="K35" s="42" t="n">
        <f aca="false">PROCESO!$I$133*DEMANDA!I11</f>
        <v>3.92468545868</v>
      </c>
      <c r="L35" s="42" t="n">
        <f aca="false">PROCESO!$I$133*DEMANDA!J11</f>
        <v>6.08539917664</v>
      </c>
      <c r="M35" s="42" t="n">
        <f aca="false">PROCESO!$I$133*DEMANDA!K11</f>
        <v>8.27392220534</v>
      </c>
      <c r="N35" s="42" t="n">
        <f aca="false">PROCESO!$I$133*DEMANDA!L11</f>
        <v>10.64496782242</v>
      </c>
      <c r="O35" s="42" t="n">
        <f aca="false">PROCESO!$I$133*DEMANDA!M11</f>
        <v>13.1896121012</v>
      </c>
      <c r="P35" s="42" t="n">
        <f aca="false">PROCESO!$I$133*DEMANDA!N11</f>
        <v>15.367214306</v>
      </c>
      <c r="Q35" s="42" t="n">
        <f aca="false">PROCESO!$I$133*DEMANDA!O11</f>
        <v>17.6956816132</v>
      </c>
      <c r="R35" s="24" t="s">
        <v>2939</v>
      </c>
    </row>
    <row r="36" customFormat="false" ht="15" hidden="false" customHeight="false" outlineLevel="1" collapsed="false">
      <c r="A36" s="24" t="n">
        <v>1</v>
      </c>
      <c r="B36" s="24" t="s">
        <v>1777</v>
      </c>
      <c r="C36" s="40" t="s">
        <v>2758</v>
      </c>
      <c r="D36" s="24" t="s">
        <v>1778</v>
      </c>
      <c r="E36" s="24" t="s">
        <v>255</v>
      </c>
      <c r="F36" s="41" t="n">
        <f aca="false">PROCESO!$I$135</f>
        <v>0.109</v>
      </c>
      <c r="G36" s="24" t="s">
        <v>2281</v>
      </c>
      <c r="H36" s="42" t="n">
        <f aca="false">PROCESO!$I$135*DEMANDA!F11</f>
        <v>1.18772648316</v>
      </c>
      <c r="I36" s="42" t="n">
        <f aca="false">PROCESO!$I$135*DEMANDA!G11</f>
        <v>2.03915970371</v>
      </c>
      <c r="J36" s="42" t="n">
        <f aca="false">PROCESO!$I$135*DEMANDA!H11</f>
        <v>2.62327387411</v>
      </c>
      <c r="K36" s="42" t="n">
        <f aca="false">PROCESO!$I$135*DEMANDA!I11</f>
        <v>3.50648127046</v>
      </c>
      <c r="L36" s="42" t="n">
        <f aca="false">PROCESO!$I$135*DEMANDA!J11</f>
        <v>5.43695500208</v>
      </c>
      <c r="M36" s="42" t="n">
        <f aca="false">PROCESO!$I$135*DEMANDA!K11</f>
        <v>7.39227475723</v>
      </c>
      <c r="N36" s="42" t="n">
        <f aca="false">PROCESO!$I$135*DEMANDA!L11</f>
        <v>9.51066797249</v>
      </c>
      <c r="O36" s="42" t="n">
        <f aca="false">PROCESO!$I$135*DEMANDA!M11</f>
        <v>11.7841616314</v>
      </c>
      <c r="P36" s="42" t="n">
        <f aca="false">PROCESO!$I$135*DEMANDA!N11</f>
        <v>13.729724257</v>
      </c>
      <c r="Q36" s="42" t="n">
        <f aca="false">PROCESO!$I$135*DEMANDA!O11</f>
        <v>15.8100761954</v>
      </c>
      <c r="R36" s="24" t="s">
        <v>2940</v>
      </c>
    </row>
    <row r="37" customFormat="false" ht="15" hidden="false" customHeight="false" outlineLevel="1" collapsed="false">
      <c r="A37" s="24" t="n">
        <v>1</v>
      </c>
      <c r="B37" s="24" t="s">
        <v>1777</v>
      </c>
      <c r="C37" s="40" t="s">
        <v>2760</v>
      </c>
      <c r="D37" s="24" t="s">
        <v>1778</v>
      </c>
      <c r="E37" s="24" t="s">
        <v>279</v>
      </c>
      <c r="F37" s="41" t="n">
        <f aca="false">PROCESO!$I$127</f>
        <v>0.0102</v>
      </c>
      <c r="G37" s="24" t="s">
        <v>2281</v>
      </c>
      <c r="H37" s="42" t="n">
        <f aca="false">PROCESO!$I$127*DEMANDA!F19</f>
        <v>0</v>
      </c>
      <c r="I37" s="42" t="n">
        <f aca="false">PROCESO!$I$127*DEMANDA!G19</f>
        <v>0</v>
      </c>
      <c r="J37" s="42" t="n">
        <f aca="false">PROCESO!$I$127*DEMANDA!H19</f>
        <v>0.04692</v>
      </c>
      <c r="K37" s="42" t="n">
        <f aca="false">PROCESO!$I$127*DEMANDA!I19</f>
        <v>0.1632</v>
      </c>
      <c r="L37" s="42" t="n">
        <f aca="false">PROCESO!$I$127*DEMANDA!J19</f>
        <v>0.30192</v>
      </c>
      <c r="M37" s="42" t="n">
        <f aca="false">PROCESO!$I$127*DEMANDA!K19</f>
        <v>0.43656</v>
      </c>
      <c r="N37" s="42" t="n">
        <f aca="false">PROCESO!$I$127*DEMANDA!L19</f>
        <v>0.61608</v>
      </c>
      <c r="O37" s="42" t="n">
        <f aca="false">PROCESO!$I$127*DEMANDA!M19</f>
        <v>0.7956</v>
      </c>
      <c r="P37" s="42" t="n">
        <f aca="false">PROCESO!$I$127*DEMANDA!N19</f>
        <v>0.89352</v>
      </c>
      <c r="Q37" s="42" t="n">
        <f aca="false">PROCESO!$I$127*DEMANDA!O19</f>
        <v>1.0404</v>
      </c>
      <c r="R37" s="24" t="s">
        <v>2936</v>
      </c>
    </row>
    <row r="38" customFormat="false" ht="15" hidden="false" customHeight="false" outlineLevel="1" collapsed="false">
      <c r="A38" s="24" t="n">
        <v>1</v>
      </c>
      <c r="B38" s="24" t="s">
        <v>1777</v>
      </c>
      <c r="C38" s="40" t="s">
        <v>2761</v>
      </c>
      <c r="D38" s="24" t="s">
        <v>1778</v>
      </c>
      <c r="E38" s="24" t="s">
        <v>279</v>
      </c>
      <c r="F38" s="41" t="n">
        <f aca="false">PROCESO!$I$129</f>
        <v>0.042</v>
      </c>
      <c r="G38" s="24" t="s">
        <v>2281</v>
      </c>
      <c r="H38" s="42" t="n">
        <f aca="false">PROCESO!$I$129*DEMANDA!F19</f>
        <v>0</v>
      </c>
      <c r="I38" s="42" t="n">
        <f aca="false">PROCESO!$I$129*DEMANDA!G19</f>
        <v>0</v>
      </c>
      <c r="J38" s="42" t="n">
        <f aca="false">PROCESO!$I$129*DEMANDA!H19</f>
        <v>0.1932</v>
      </c>
      <c r="K38" s="42" t="n">
        <f aca="false">PROCESO!$I$129*DEMANDA!I19</f>
        <v>0.672</v>
      </c>
      <c r="L38" s="42" t="n">
        <f aca="false">PROCESO!$I$129*DEMANDA!J19</f>
        <v>1.2432</v>
      </c>
      <c r="M38" s="42" t="n">
        <f aca="false">PROCESO!$I$129*DEMANDA!K19</f>
        <v>1.7976</v>
      </c>
      <c r="N38" s="42" t="n">
        <f aca="false">PROCESO!$I$129*DEMANDA!L19</f>
        <v>2.5368</v>
      </c>
      <c r="O38" s="42" t="n">
        <f aca="false">PROCESO!$I$129*DEMANDA!M19</f>
        <v>3.276</v>
      </c>
      <c r="P38" s="42" t="n">
        <f aca="false">PROCESO!$I$129*DEMANDA!N19</f>
        <v>3.6792</v>
      </c>
      <c r="Q38" s="42" t="n">
        <f aca="false">PROCESO!$I$129*DEMANDA!O19</f>
        <v>4.284</v>
      </c>
      <c r="R38" s="24" t="s">
        <v>2937</v>
      </c>
    </row>
    <row r="39" customFormat="false" ht="15" hidden="false" customHeight="false" outlineLevel="1" collapsed="false">
      <c r="A39" s="24" t="n">
        <v>1</v>
      </c>
      <c r="B39" s="24" t="s">
        <v>1777</v>
      </c>
      <c r="C39" s="40" t="s">
        <v>2762</v>
      </c>
      <c r="D39" s="24" t="s">
        <v>1778</v>
      </c>
      <c r="E39" s="24" t="s">
        <v>279</v>
      </c>
      <c r="F39" s="41" t="n">
        <f aca="false">PROCESO!$I$131</f>
        <v>0.017</v>
      </c>
      <c r="G39" s="24" t="s">
        <v>2281</v>
      </c>
      <c r="H39" s="42" t="n">
        <f aca="false">PROCESO!$I$131*DEMANDA!F19</f>
        <v>0</v>
      </c>
      <c r="I39" s="42" t="n">
        <f aca="false">PROCESO!$I$131*DEMANDA!G19</f>
        <v>0</v>
      </c>
      <c r="J39" s="42" t="n">
        <f aca="false">PROCESO!$I$131*DEMANDA!H19</f>
        <v>0.0782</v>
      </c>
      <c r="K39" s="42" t="n">
        <f aca="false">PROCESO!$I$131*DEMANDA!I19</f>
        <v>0.272</v>
      </c>
      <c r="L39" s="42" t="n">
        <f aca="false">PROCESO!$I$131*DEMANDA!J19</f>
        <v>0.5032</v>
      </c>
      <c r="M39" s="42" t="n">
        <f aca="false">PROCESO!$I$131*DEMANDA!K19</f>
        <v>0.7276</v>
      </c>
      <c r="N39" s="42" t="n">
        <f aca="false">PROCESO!$I$131*DEMANDA!L19</f>
        <v>1.0268</v>
      </c>
      <c r="O39" s="42" t="n">
        <f aca="false">PROCESO!$I$131*DEMANDA!M19</f>
        <v>1.326</v>
      </c>
      <c r="P39" s="42" t="n">
        <f aca="false">PROCESO!$I$131*DEMANDA!N19</f>
        <v>1.4892</v>
      </c>
      <c r="Q39" s="42" t="n">
        <f aca="false">PROCESO!$I$131*DEMANDA!O19</f>
        <v>1.734</v>
      </c>
      <c r="R39" s="24" t="s">
        <v>2938</v>
      </c>
    </row>
    <row r="40" customFormat="false" ht="15" hidden="false" customHeight="false" outlineLevel="1" collapsed="false">
      <c r="A40" s="24" t="n">
        <v>1</v>
      </c>
      <c r="B40" s="24" t="s">
        <v>1777</v>
      </c>
      <c r="C40" s="40" t="s">
        <v>2763</v>
      </c>
      <c r="D40" s="24" t="s">
        <v>1778</v>
      </c>
      <c r="E40" s="24" t="s">
        <v>279</v>
      </c>
      <c r="F40" s="41" t="n">
        <f aca="false">PROCESO!$I$133</f>
        <v>0.122</v>
      </c>
      <c r="G40" s="24" t="s">
        <v>2281</v>
      </c>
      <c r="H40" s="42" t="n">
        <f aca="false">PROCESO!$I$133*DEMANDA!F19</f>
        <v>0</v>
      </c>
      <c r="I40" s="42" t="n">
        <f aca="false">PROCESO!$I$133*DEMANDA!G19</f>
        <v>0</v>
      </c>
      <c r="J40" s="42" t="n">
        <f aca="false">PROCESO!$I$133*DEMANDA!H19</f>
        <v>0.5612</v>
      </c>
      <c r="K40" s="42" t="n">
        <f aca="false">PROCESO!$I$133*DEMANDA!I19</f>
        <v>1.952</v>
      </c>
      <c r="L40" s="42" t="n">
        <f aca="false">PROCESO!$I$133*DEMANDA!J19</f>
        <v>3.6112</v>
      </c>
      <c r="M40" s="42" t="n">
        <f aca="false">PROCESO!$I$133*DEMANDA!K19</f>
        <v>5.2216</v>
      </c>
      <c r="N40" s="42" t="n">
        <f aca="false">PROCESO!$I$133*DEMANDA!L19</f>
        <v>7.3688</v>
      </c>
      <c r="O40" s="42" t="n">
        <f aca="false">PROCESO!$I$133*DEMANDA!M19</f>
        <v>9.516</v>
      </c>
      <c r="P40" s="42" t="n">
        <f aca="false">PROCESO!$I$133*DEMANDA!N19</f>
        <v>10.6872</v>
      </c>
      <c r="Q40" s="42" t="n">
        <f aca="false">PROCESO!$I$133*DEMANDA!O19</f>
        <v>12.444</v>
      </c>
      <c r="R40" s="24" t="s">
        <v>2939</v>
      </c>
    </row>
    <row r="41" customFormat="false" ht="15" hidden="false" customHeight="false" outlineLevel="0" collapsed="false">
      <c r="A41" s="38" t="n">
        <v>0</v>
      </c>
      <c r="B41" s="38" t="s">
        <v>1788</v>
      </c>
      <c r="C41" s="38" t="s">
        <v>2092</v>
      </c>
      <c r="D41" s="38" t="s">
        <v>82</v>
      </c>
      <c r="E41" s="38"/>
      <c r="F41" s="38"/>
      <c r="G41" s="38"/>
      <c r="H41" s="39" t="n">
        <f aca="false">SUM(H42:H49)</f>
        <v>17.4398292571225</v>
      </c>
      <c r="I41" s="39" t="n">
        <f aca="false">SUM(I42:I49)</f>
        <v>29.9417395926423</v>
      </c>
      <c r="J41" s="39" t="n">
        <f aca="false">SUM(J42:J49)</f>
        <v>45.9233700060255</v>
      </c>
      <c r="K41" s="39" t="n">
        <f aca="false">SUM(K42:K49)</f>
        <v>77.2862623615195</v>
      </c>
      <c r="L41" s="39" t="n">
        <f aca="false">SUM(L42:L49)</f>
        <v>127.611255446477</v>
      </c>
      <c r="M41" s="39" t="n">
        <f aca="false">SUM(M42:M49)</f>
        <v>177.7887519305</v>
      </c>
      <c r="N41" s="39" t="n">
        <f aca="false">SUM(N42:N49)</f>
        <v>237.48872661673</v>
      </c>
      <c r="O41" s="39" t="n">
        <f aca="false">SUM(O42:O49)</f>
        <v>299.466098785048</v>
      </c>
      <c r="P41" s="39" t="n">
        <f aca="false">SUM(P42:P49)</f>
        <v>343.353727666028</v>
      </c>
      <c r="Q41" s="39" t="n">
        <f aca="false">SUM(Q42:Q49)</f>
        <v>396.880623216292</v>
      </c>
      <c r="R41" s="38"/>
    </row>
    <row r="42" customFormat="false" ht="15" hidden="false" customHeight="false" outlineLevel="1" collapsed="false">
      <c r="A42" s="24" t="n">
        <v>1</v>
      </c>
      <c r="B42" s="24" t="s">
        <v>1788</v>
      </c>
      <c r="C42" s="40" t="s">
        <v>2941</v>
      </c>
      <c r="D42" s="24" t="s">
        <v>82</v>
      </c>
      <c r="E42" s="24" t="s">
        <v>245</v>
      </c>
      <c r="F42" s="41" t="n">
        <f aca="false">PROCESO!$I$66</f>
        <v>0.098875</v>
      </c>
      <c r="G42" s="24" t="s">
        <v>2281</v>
      </c>
      <c r="H42" s="42" t="n">
        <f aca="false">PROCESO!$I$66*DEMANDA!F8</f>
        <v>3.36687087072</v>
      </c>
      <c r="I42" s="42" t="n">
        <f aca="false">PROCESO!$I$66*DEMANDA!G8</f>
        <v>5.78044482911875</v>
      </c>
      <c r="J42" s="42" t="n">
        <f aca="false">PROCESO!$I$66*DEMANDA!H8</f>
        <v>7.4362443905225</v>
      </c>
      <c r="K42" s="42" t="n">
        <f aca="false">PROCESO!$I$66*DEMANDA!I8</f>
        <v>9.9398892054875</v>
      </c>
      <c r="L42" s="42" t="n">
        <f aca="false">PROCESO!$I$66*DEMANDA!J8</f>
        <v>15.4122398460625</v>
      </c>
      <c r="M42" s="42" t="n">
        <f aca="false">PROCESO!$I$66*DEMANDA!K8</f>
        <v>20.9550219769625</v>
      </c>
      <c r="N42" s="42" t="n">
        <f aca="false">PROCESO!$I$66*DEMANDA!L8</f>
        <v>26.96007155765</v>
      </c>
      <c r="O42" s="42" t="n">
        <f aca="false">PROCESO!$I$66*DEMANDA!M8</f>
        <v>33.4047873154625</v>
      </c>
      <c r="P42" s="42" t="n">
        <f aca="false">PROCESO!$I$66*DEMANDA!N8</f>
        <v>38.91991071745</v>
      </c>
      <c r="Q42" s="42" t="n">
        <f aca="false">PROCESO!$I$66*DEMANDA!O8</f>
        <v>44.81712397015</v>
      </c>
      <c r="R42" s="24" t="s">
        <v>2942</v>
      </c>
    </row>
    <row r="43" customFormat="false" ht="15" hidden="false" customHeight="false" outlineLevel="1" collapsed="false">
      <c r="A43" s="24" t="n">
        <v>1</v>
      </c>
      <c r="B43" s="24" t="s">
        <v>1788</v>
      </c>
      <c r="C43" s="40" t="s">
        <v>2943</v>
      </c>
      <c r="D43" s="24" t="s">
        <v>82</v>
      </c>
      <c r="E43" s="24" t="s">
        <v>270</v>
      </c>
      <c r="F43" s="41" t="n">
        <f aca="false">PROCESO!$I$66</f>
        <v>0.098875</v>
      </c>
      <c r="G43" s="24" t="s">
        <v>2281</v>
      </c>
      <c r="H43" s="42" t="n">
        <f aca="false">PROCESO!$I$66*DEMANDA!F16</f>
        <v>0</v>
      </c>
      <c r="I43" s="42" t="n">
        <f aca="false">PROCESO!$I$66*DEMANDA!G16</f>
        <v>0</v>
      </c>
      <c r="J43" s="42" t="n">
        <f aca="false">PROCESO!$I$66*DEMANDA!H16</f>
        <v>1.4238</v>
      </c>
      <c r="K43" s="42" t="n">
        <f aca="false">PROCESO!$I$66*DEMANDA!I16</f>
        <v>4.963525</v>
      </c>
      <c r="L43" s="42" t="n">
        <f aca="false">PROCESO!$I$66*DEMANDA!J16</f>
        <v>9.195375</v>
      </c>
      <c r="M43" s="42" t="n">
        <f aca="false">PROCESO!$I$66*DEMANDA!K16</f>
        <v>13.348125</v>
      </c>
      <c r="N43" s="42" t="n">
        <f aca="false">PROCESO!$I$66*DEMANDA!L16</f>
        <v>18.885125</v>
      </c>
      <c r="O43" s="42" t="n">
        <f aca="false">PROCESO!$I$66*DEMANDA!M16</f>
        <v>24.422125</v>
      </c>
      <c r="P43" s="42" t="n">
        <f aca="false">PROCESO!$I$66*DEMANDA!N16</f>
        <v>27.388375</v>
      </c>
      <c r="Q43" s="42" t="n">
        <f aca="false">PROCESO!$I$66*DEMANDA!O16</f>
        <v>31.83775</v>
      </c>
      <c r="R43" s="24" t="s">
        <v>2942</v>
      </c>
    </row>
    <row r="44" customFormat="false" ht="15" hidden="false" customHeight="false" outlineLevel="1" collapsed="false">
      <c r="A44" s="24" t="n">
        <v>1</v>
      </c>
      <c r="B44" s="24" t="s">
        <v>1788</v>
      </c>
      <c r="C44" s="40" t="s">
        <v>2944</v>
      </c>
      <c r="D44" s="24" t="s">
        <v>82</v>
      </c>
      <c r="E44" s="24" t="s">
        <v>249</v>
      </c>
      <c r="F44" s="41" t="n">
        <f aca="false">PROCESO!$I$89</f>
        <v>0.111175</v>
      </c>
      <c r="G44" s="24" t="s">
        <v>2281</v>
      </c>
      <c r="H44" s="42" t="n">
        <f aca="false">PROCESO!$I$89*DEMANDA!F9</f>
        <v>8.328557390675</v>
      </c>
      <c r="I44" s="42" t="n">
        <f aca="false">PROCESO!$I$89*DEMANDA!G9</f>
        <v>14.29896433517</v>
      </c>
      <c r="J44" s="42" t="n">
        <f aca="false">PROCESO!$I$89*DEMANDA!H9</f>
        <v>18.3948807559</v>
      </c>
      <c r="K44" s="42" t="n">
        <f aca="false">PROCESO!$I$89*DEMANDA!I9</f>
        <v>24.5880940848875</v>
      </c>
      <c r="L44" s="42" t="n">
        <f aca="false">PROCESO!$I$89*DEMANDA!J9</f>
        <v>38.1249323160475</v>
      </c>
      <c r="M44" s="42" t="n">
        <f aca="false">PROCESO!$I$89*DEMANDA!K9</f>
        <v>51.83599545785</v>
      </c>
      <c r="N44" s="42" t="n">
        <f aca="false">PROCESO!$I$89*DEMANDA!L9</f>
        <v>66.6905598016575</v>
      </c>
      <c r="O44" s="42" t="n">
        <f aca="false">PROCESO!$I$89*DEMANDA!M9</f>
        <v>82.63271712983</v>
      </c>
      <c r="P44" s="42" t="n">
        <f aca="false">PROCESO!$I$89*DEMANDA!N9</f>
        <v>96.2753614423025</v>
      </c>
      <c r="Q44" s="42" t="n">
        <f aca="false">PROCESO!$I$89*DEMANDA!O9</f>
        <v>110.863173369393</v>
      </c>
      <c r="R44" s="24" t="s">
        <v>2945</v>
      </c>
    </row>
    <row r="45" customFormat="false" ht="15" hidden="false" customHeight="false" outlineLevel="1" collapsed="false">
      <c r="A45" s="24" t="n">
        <v>1</v>
      </c>
      <c r="B45" s="24" t="s">
        <v>1788</v>
      </c>
      <c r="C45" s="40" t="s">
        <v>2946</v>
      </c>
      <c r="D45" s="24" t="s">
        <v>82</v>
      </c>
      <c r="E45" s="24" t="s">
        <v>273</v>
      </c>
      <c r="F45" s="41" t="n">
        <f aca="false">PROCESO!$I$89</f>
        <v>0.111175</v>
      </c>
      <c r="G45" s="24" t="s">
        <v>2281</v>
      </c>
      <c r="H45" s="42" t="n">
        <f aca="false">PROCESO!$I$89*DEMANDA!F17</f>
        <v>0</v>
      </c>
      <c r="I45" s="42" t="n">
        <f aca="false">PROCESO!$I$89*DEMANDA!G17</f>
        <v>0</v>
      </c>
      <c r="J45" s="42" t="n">
        <f aca="false">PROCESO!$I$89*DEMANDA!H17</f>
        <v>3.535365</v>
      </c>
      <c r="K45" s="42" t="n">
        <f aca="false">PROCESO!$I$89*DEMANDA!I17</f>
        <v>12.31819</v>
      </c>
      <c r="L45" s="42" t="n">
        <f aca="false">PROCESO!$I$89*DEMANDA!J17</f>
        <v>22.81311</v>
      </c>
      <c r="M45" s="42" t="n">
        <f aca="false">PROCESO!$I$89*DEMANDA!K17</f>
        <v>33.08568</v>
      </c>
      <c r="N45" s="42" t="n">
        <f aca="false">PROCESO!$I$89*DEMANDA!L17</f>
        <v>46.78244</v>
      </c>
      <c r="O45" s="42" t="n">
        <f aca="false">PROCESO!$I$89*DEMANDA!M17</f>
        <v>60.4792</v>
      </c>
      <c r="P45" s="42" t="n">
        <f aca="false">PROCESO!$I$89*DEMANDA!N17</f>
        <v>67.77228</v>
      </c>
      <c r="Q45" s="42" t="n">
        <f aca="false">PROCESO!$I$89*DEMANDA!O17</f>
        <v>78.7119</v>
      </c>
      <c r="R45" s="24" t="s">
        <v>2945</v>
      </c>
    </row>
    <row r="46" customFormat="false" ht="15" hidden="false" customHeight="false" outlineLevel="1" collapsed="false">
      <c r="A46" s="24" t="n">
        <v>1</v>
      </c>
      <c r="B46" s="24" t="s">
        <v>1788</v>
      </c>
      <c r="C46" s="40" t="s">
        <v>2947</v>
      </c>
      <c r="D46" s="24" t="s">
        <v>82</v>
      </c>
      <c r="E46" s="24" t="s">
        <v>252</v>
      </c>
      <c r="F46" s="41" t="n">
        <f aca="false">PROCESO!$I$112</f>
        <v>0.20695</v>
      </c>
      <c r="G46" s="24" t="s">
        <v>2281</v>
      </c>
      <c r="H46" s="42" t="n">
        <f aca="false">PROCESO!$I$112*DEMANDA!F10</f>
        <v>3.3825687459575</v>
      </c>
      <c r="I46" s="42" t="n">
        <f aca="false">PROCESO!$I$112*DEMANDA!G10</f>
        <v>5.807395879921</v>
      </c>
      <c r="J46" s="42" t="n">
        <f aca="false">PROCESO!$I$112*DEMANDA!H10</f>
        <v>7.4709155273705</v>
      </c>
      <c r="K46" s="42" t="n">
        <f aca="false">PROCESO!$I$112*DEMANDA!I10</f>
        <v>9.9862334713995</v>
      </c>
      <c r="L46" s="42" t="n">
        <f aca="false">PROCESO!$I$112*DEMANDA!J10</f>
        <v>15.4840986816065</v>
      </c>
      <c r="M46" s="42" t="n">
        <f aca="false">PROCESO!$I$112*DEMANDA!K10</f>
        <v>21.052723774315</v>
      </c>
      <c r="N46" s="42" t="n">
        <f aca="false">PROCESO!$I$112*DEMANDA!L10</f>
        <v>27.085771605705</v>
      </c>
      <c r="O46" s="42" t="n">
        <f aca="false">PROCESO!$I$112*DEMANDA!M10</f>
        <v>33.560535545205</v>
      </c>
      <c r="P46" s="42" t="n">
        <f aca="false">PROCESO!$I$112*DEMANDA!N10</f>
        <v>39.101372958525</v>
      </c>
      <c r="Q46" s="42" t="n">
        <f aca="false">PROCESO!$I$112*DEMANDA!O10</f>
        <v>45.0260816992</v>
      </c>
      <c r="R46" s="24" t="s">
        <v>2948</v>
      </c>
    </row>
    <row r="47" customFormat="false" ht="15" hidden="false" customHeight="false" outlineLevel="1" collapsed="false">
      <c r="A47" s="24" t="n">
        <v>1</v>
      </c>
      <c r="B47" s="24" t="s">
        <v>1788</v>
      </c>
      <c r="C47" s="40" t="s">
        <v>2949</v>
      </c>
      <c r="D47" s="24" t="s">
        <v>82</v>
      </c>
      <c r="E47" s="24" t="s">
        <v>276</v>
      </c>
      <c r="F47" s="41" t="n">
        <f aca="false">PROCESO!$I$112</f>
        <v>0.20695</v>
      </c>
      <c r="G47" s="24" t="s">
        <v>2281</v>
      </c>
      <c r="H47" s="42" t="n">
        <f aca="false">PROCESO!$I$112*DEMANDA!F18</f>
        <v>0</v>
      </c>
      <c r="I47" s="42" t="n">
        <f aca="false">PROCESO!$I$112*DEMANDA!G18</f>
        <v>0</v>
      </c>
      <c r="J47" s="42" t="n">
        <f aca="false">PROCESO!$I$112*DEMANDA!H18</f>
        <v>1.44865</v>
      </c>
      <c r="K47" s="42" t="n">
        <f aca="false">PROCESO!$I$112*DEMANDA!I18</f>
        <v>5.04958</v>
      </c>
      <c r="L47" s="42" t="n">
        <f aca="false">PROCESO!$I$112*DEMANDA!J18</f>
        <v>9.35414</v>
      </c>
      <c r="M47" s="42" t="n">
        <f aca="false">PROCESO!$I$112*DEMANDA!K18</f>
        <v>13.53453</v>
      </c>
      <c r="N47" s="42" t="n">
        <f aca="false">PROCESO!$I$112*DEMANDA!L18</f>
        <v>19.08079</v>
      </c>
      <c r="O47" s="42" t="n">
        <f aca="false">PROCESO!$I$112*DEMANDA!M18</f>
        <v>24.62705</v>
      </c>
      <c r="P47" s="42" t="n">
        <f aca="false">PROCESO!$I$112*DEMANDA!N18</f>
        <v>27.60713</v>
      </c>
      <c r="Q47" s="42" t="n">
        <f aca="false">PROCESO!$I$112*DEMANDA!O18</f>
        <v>32.07725</v>
      </c>
      <c r="R47" s="24" t="s">
        <v>2948</v>
      </c>
    </row>
    <row r="48" customFormat="false" ht="15" hidden="false" customHeight="false" outlineLevel="1" collapsed="false">
      <c r="A48" s="24" t="n">
        <v>1</v>
      </c>
      <c r="B48" s="24" t="s">
        <v>1788</v>
      </c>
      <c r="C48" s="40" t="s">
        <v>2950</v>
      </c>
      <c r="D48" s="24" t="s">
        <v>82</v>
      </c>
      <c r="E48" s="24" t="s">
        <v>255</v>
      </c>
      <c r="F48" s="41" t="n">
        <f aca="false">PROCESO!$I$137</f>
        <v>0.21675</v>
      </c>
      <c r="G48" s="24" t="s">
        <v>2281</v>
      </c>
      <c r="H48" s="42" t="n">
        <f aca="false">PROCESO!$I$137*DEMANDA!F11</f>
        <v>2.36183224977</v>
      </c>
      <c r="I48" s="42" t="n">
        <f aca="false">PROCESO!$I$137*DEMANDA!G11</f>
        <v>4.0549345484325</v>
      </c>
      <c r="J48" s="42" t="n">
        <f aca="false">PROCESO!$I$137*DEMANDA!H11</f>
        <v>5.2164643322325</v>
      </c>
      <c r="K48" s="42" t="n">
        <f aca="false">PROCESO!$I$137*DEMANDA!I11</f>
        <v>6.972750599745</v>
      </c>
      <c r="L48" s="42" t="n">
        <f aca="false">PROCESO!$I$137*DEMANDA!J11</f>
        <v>10.81155960276</v>
      </c>
      <c r="M48" s="42" t="n">
        <f aca="false">PROCESO!$I$137*DEMANDA!K11</f>
        <v>14.6997757213725</v>
      </c>
      <c r="N48" s="42" t="n">
        <f aca="false">PROCESO!$I$137*DEMANDA!L11</f>
        <v>18.9122686517175</v>
      </c>
      <c r="O48" s="42" t="n">
        <f aca="false">PROCESO!$I$137*DEMANDA!M11</f>
        <v>23.43318379455</v>
      </c>
      <c r="P48" s="42" t="n">
        <f aca="false">PROCESO!$I$137*DEMANDA!N11</f>
        <v>27.30199754775</v>
      </c>
      <c r="Q48" s="42" t="n">
        <f aca="false">PROCESO!$I$137*DEMANDA!O11</f>
        <v>31.43884417755</v>
      </c>
      <c r="R48" s="24" t="s">
        <v>2951</v>
      </c>
    </row>
    <row r="49" customFormat="false" ht="15" hidden="false" customHeight="false" outlineLevel="1" collapsed="false">
      <c r="A49" s="24" t="n">
        <v>1</v>
      </c>
      <c r="B49" s="24" t="s">
        <v>1788</v>
      </c>
      <c r="C49" s="40" t="s">
        <v>2952</v>
      </c>
      <c r="D49" s="24" t="s">
        <v>82</v>
      </c>
      <c r="E49" s="24" t="s">
        <v>279</v>
      </c>
      <c r="F49" s="41" t="n">
        <f aca="false">PROCESO!$I$137</f>
        <v>0.21675</v>
      </c>
      <c r="G49" s="24" t="s">
        <v>2281</v>
      </c>
      <c r="H49" s="42" t="n">
        <f aca="false">PROCESO!$I$137*DEMANDA!F19</f>
        <v>0</v>
      </c>
      <c r="I49" s="42" t="n">
        <f aca="false">PROCESO!$I$137*DEMANDA!G19</f>
        <v>0</v>
      </c>
      <c r="J49" s="42" t="n">
        <f aca="false">PROCESO!$I$137*DEMANDA!H19</f>
        <v>0.99705</v>
      </c>
      <c r="K49" s="42" t="n">
        <f aca="false">PROCESO!$I$137*DEMANDA!I19</f>
        <v>3.468</v>
      </c>
      <c r="L49" s="42" t="n">
        <f aca="false">PROCESO!$I$137*DEMANDA!J19</f>
        <v>6.4158</v>
      </c>
      <c r="M49" s="42" t="n">
        <f aca="false">PROCESO!$I$137*DEMANDA!K19</f>
        <v>9.2769</v>
      </c>
      <c r="N49" s="42" t="n">
        <f aca="false">PROCESO!$I$137*DEMANDA!L19</f>
        <v>13.0917</v>
      </c>
      <c r="O49" s="42" t="n">
        <f aca="false">PROCESO!$I$137*DEMANDA!M19</f>
        <v>16.9065</v>
      </c>
      <c r="P49" s="42" t="n">
        <f aca="false">PROCESO!$I$137*DEMANDA!N19</f>
        <v>18.9873</v>
      </c>
      <c r="Q49" s="42" t="n">
        <f aca="false">PROCESO!$I$137*DEMANDA!O19</f>
        <v>22.1085</v>
      </c>
      <c r="R49" s="24" t="s">
        <v>2951</v>
      </c>
    </row>
    <row r="50" customFormat="false" ht="15" hidden="false" customHeight="false" outlineLevel="0" collapsed="false">
      <c r="A50" s="38" t="n">
        <v>0</v>
      </c>
      <c r="B50" s="38" t="s">
        <v>1872</v>
      </c>
      <c r="C50" s="38" t="s">
        <v>2097</v>
      </c>
      <c r="D50" s="38" t="s">
        <v>82</v>
      </c>
      <c r="E50" s="38"/>
      <c r="F50" s="38"/>
      <c r="G50" s="38"/>
      <c r="H50" s="39" t="n">
        <f aca="false">SUM(H51:H58)</f>
        <v>5.788804531625</v>
      </c>
      <c r="I50" s="39" t="n">
        <f aca="false">SUM(I51:I58)</f>
        <v>9.938565067875</v>
      </c>
      <c r="J50" s="39" t="n">
        <f aca="false">SUM(J51:J58)</f>
        <v>13.80045179725</v>
      </c>
      <c r="K50" s="39" t="n">
        <f aca="false">SUM(K51:K58)</f>
        <v>20.625074999375</v>
      </c>
      <c r="L50" s="39" t="n">
        <f aca="false">SUM(L51:L58)</f>
        <v>33.043920593875</v>
      </c>
      <c r="M50" s="39" t="n">
        <f aca="false">SUM(M51:M58)</f>
        <v>45.496362061625</v>
      </c>
      <c r="N50" s="39" t="n">
        <f aca="false">SUM(N51:N58)</f>
        <v>59.706099634875</v>
      </c>
      <c r="O50" s="39" t="n">
        <f aca="false">SUM(O51:O58)</f>
        <v>74.67177401375</v>
      </c>
      <c r="P50" s="39" t="n">
        <f aca="false">SUM(P51:P58)</f>
        <v>86.25416065375</v>
      </c>
      <c r="Q50" s="39" t="n">
        <f aca="false">SUM(Q51:Q58)</f>
        <v>99.54349065</v>
      </c>
      <c r="R50" s="38"/>
    </row>
    <row r="51" customFormat="false" ht="15" hidden="false" customHeight="false" outlineLevel="1" collapsed="false">
      <c r="A51" s="24" t="n">
        <v>1</v>
      </c>
      <c r="B51" s="24" t="s">
        <v>1872</v>
      </c>
      <c r="C51" s="40" t="s">
        <v>2953</v>
      </c>
      <c r="D51" s="24" t="s">
        <v>82</v>
      </c>
      <c r="E51" s="24" t="s">
        <v>245</v>
      </c>
      <c r="F51" s="41" t="n">
        <f aca="false">PROCESO!$I$69</f>
        <v>0.025</v>
      </c>
      <c r="G51" s="24" t="s">
        <v>2281</v>
      </c>
      <c r="H51" s="42" t="n">
        <f aca="false">PROCESO!$I$69*DEMANDA!F8</f>
        <v>0.851294784</v>
      </c>
      <c r="I51" s="42" t="n">
        <f aca="false">PROCESO!$I$69*DEMANDA!G8</f>
        <v>1.46155368625</v>
      </c>
      <c r="J51" s="42" t="n">
        <f aca="false">PROCESO!$I$69*DEMANDA!H8</f>
        <v>1.8802134995</v>
      </c>
      <c r="K51" s="42" t="n">
        <f aca="false">PROCESO!$I$69*DEMANDA!I8</f>
        <v>2.5132463225</v>
      </c>
      <c r="L51" s="42" t="n">
        <f aca="false">PROCESO!$I$69*DEMANDA!J8</f>
        <v>3.8969000875</v>
      </c>
      <c r="M51" s="42" t="n">
        <f aca="false">PROCESO!$I$69*DEMANDA!K8</f>
        <v>5.2983620675</v>
      </c>
      <c r="N51" s="42" t="n">
        <f aca="false">PROCESO!$I$69*DEMANDA!L8</f>
        <v>6.81670583</v>
      </c>
      <c r="O51" s="42" t="n">
        <f aca="false">PROCESO!$I$69*DEMANDA!M8</f>
        <v>8.4462167675</v>
      </c>
      <c r="P51" s="42" t="n">
        <f aca="false">PROCESO!$I$69*DEMANDA!N8</f>
        <v>9.84068539</v>
      </c>
      <c r="Q51" s="42" t="n">
        <f aca="false">PROCESO!$I$69*DEMANDA!O8</f>
        <v>11.33176333</v>
      </c>
      <c r="R51" s="24" t="s">
        <v>2954</v>
      </c>
    </row>
    <row r="52" customFormat="false" ht="15" hidden="false" customHeight="false" outlineLevel="1" collapsed="false">
      <c r="A52" s="24" t="n">
        <v>1</v>
      </c>
      <c r="B52" s="24" t="s">
        <v>1872</v>
      </c>
      <c r="C52" s="40" t="s">
        <v>2955</v>
      </c>
      <c r="D52" s="24" t="s">
        <v>82</v>
      </c>
      <c r="E52" s="24" t="s">
        <v>249</v>
      </c>
      <c r="F52" s="41" t="n">
        <f aca="false">PROCESO!$I$92</f>
        <v>0.025</v>
      </c>
      <c r="G52" s="24" t="s">
        <v>2281</v>
      </c>
      <c r="H52" s="42" t="n">
        <f aca="false">PROCESO!$I$92*DEMANDA!F9</f>
        <v>1.872848525</v>
      </c>
      <c r="I52" s="42" t="n">
        <f aca="false">PROCESO!$I$92*DEMANDA!G9</f>
        <v>3.21541811</v>
      </c>
      <c r="J52" s="42" t="n">
        <f aca="false">PROCESO!$I$92*DEMANDA!H9</f>
        <v>4.1364697</v>
      </c>
      <c r="K52" s="42" t="n">
        <f aca="false">PROCESO!$I$92*DEMANDA!I9</f>
        <v>5.5291419125</v>
      </c>
      <c r="L52" s="42" t="n">
        <f aca="false">PROCESO!$I$92*DEMANDA!J9</f>
        <v>8.5731801925</v>
      </c>
      <c r="M52" s="42" t="n">
        <f aca="false">PROCESO!$I$92*DEMANDA!K9</f>
        <v>11.65639655</v>
      </c>
      <c r="N52" s="42" t="n">
        <f aca="false">PROCESO!$I$92*DEMANDA!L9</f>
        <v>14.9967528225</v>
      </c>
      <c r="O52" s="42" t="n">
        <f aca="false">PROCESO!$I$92*DEMANDA!M9</f>
        <v>18.58167689</v>
      </c>
      <c r="P52" s="42" t="n">
        <f aca="false">PROCESO!$I$92*DEMANDA!N9</f>
        <v>21.6495078575</v>
      </c>
      <c r="Q52" s="42" t="n">
        <f aca="false">PROCESO!$I$92*DEMANDA!O9</f>
        <v>24.9298793275</v>
      </c>
      <c r="R52" s="24" t="s">
        <v>2956</v>
      </c>
    </row>
    <row r="53" customFormat="false" ht="15" hidden="false" customHeight="false" outlineLevel="1" collapsed="false">
      <c r="A53" s="24" t="n">
        <v>1</v>
      </c>
      <c r="B53" s="24" t="s">
        <v>1872</v>
      </c>
      <c r="C53" s="40" t="s">
        <v>2957</v>
      </c>
      <c r="D53" s="24" t="s">
        <v>82</v>
      </c>
      <c r="E53" s="24" t="s">
        <v>252</v>
      </c>
      <c r="F53" s="41" t="n">
        <f aca="false">PROCESO!$I$114</f>
        <v>0.0875</v>
      </c>
      <c r="G53" s="24" t="s">
        <v>2281</v>
      </c>
      <c r="H53" s="42" t="n">
        <f aca="false">PROCESO!$I$114*DEMANDA!F10</f>
        <v>1.430175236875</v>
      </c>
      <c r="I53" s="42" t="n">
        <f aca="false">PROCESO!$I$114*DEMANDA!G10</f>
        <v>2.45541019325</v>
      </c>
      <c r="J53" s="42" t="n">
        <f aca="false">PROCESO!$I$114*DEMANDA!H10</f>
        <v>3.158758679125</v>
      </c>
      <c r="K53" s="42" t="n">
        <f aca="false">PROCESO!$I$114*DEMANDA!I10</f>
        <v>4.222253823375</v>
      </c>
      <c r="L53" s="42" t="n">
        <f aca="false">PROCESO!$I$114*DEMANDA!J10</f>
        <v>6.546792146125</v>
      </c>
      <c r="M53" s="42" t="n">
        <f aca="false">PROCESO!$I$114*DEMANDA!K10</f>
        <v>8.90124827375</v>
      </c>
      <c r="N53" s="42" t="n">
        <f aca="false">PROCESO!$I$114*DEMANDA!L10</f>
        <v>11.45206579125</v>
      </c>
      <c r="O53" s="42" t="n">
        <f aca="false">PROCESO!$I$114*DEMANDA!M10</f>
        <v>14.18964416625</v>
      </c>
      <c r="P53" s="42" t="n">
        <f aca="false">PROCESO!$I$114*DEMANDA!N10</f>
        <v>16.53235145625</v>
      </c>
      <c r="Q53" s="42" t="n">
        <f aca="false">PROCESO!$I$114*DEMANDA!O10</f>
        <v>19.0373624</v>
      </c>
      <c r="R53" s="24" t="s">
        <v>2958</v>
      </c>
    </row>
    <row r="54" customFormat="false" ht="15" hidden="false" customHeight="false" outlineLevel="1" collapsed="false">
      <c r="A54" s="24" t="n">
        <v>1</v>
      </c>
      <c r="B54" s="24" t="s">
        <v>1872</v>
      </c>
      <c r="C54" s="40" t="s">
        <v>2959</v>
      </c>
      <c r="D54" s="24" t="s">
        <v>82</v>
      </c>
      <c r="E54" s="24" t="s">
        <v>252</v>
      </c>
      <c r="F54" s="41" t="n">
        <f aca="false">PROCESO!$I$117</f>
        <v>0.025</v>
      </c>
      <c r="G54" s="24" t="s">
        <v>2281</v>
      </c>
      <c r="H54" s="42" t="n">
        <f aca="false">PROCESO!$I$117*DEMANDA!F10</f>
        <v>0.40862149625</v>
      </c>
      <c r="I54" s="42" t="n">
        <f aca="false">PROCESO!$I$117*DEMANDA!G10</f>
        <v>0.7015457695</v>
      </c>
      <c r="J54" s="42" t="n">
        <f aca="false">PROCESO!$I$117*DEMANDA!H10</f>
        <v>0.90250247975</v>
      </c>
      <c r="K54" s="42" t="n">
        <f aca="false">PROCESO!$I$117*DEMANDA!I10</f>
        <v>1.20635823525</v>
      </c>
      <c r="L54" s="42" t="n">
        <f aca="false">PROCESO!$I$117*DEMANDA!J10</f>
        <v>1.87051204175</v>
      </c>
      <c r="M54" s="42" t="n">
        <f aca="false">PROCESO!$I$117*DEMANDA!K10</f>
        <v>2.5432137925</v>
      </c>
      <c r="N54" s="42" t="n">
        <f aca="false">PROCESO!$I$117*DEMANDA!L10</f>
        <v>3.2720187975</v>
      </c>
      <c r="O54" s="42" t="n">
        <f aca="false">PROCESO!$I$117*DEMANDA!M10</f>
        <v>4.0541840475</v>
      </c>
      <c r="P54" s="42" t="n">
        <f aca="false">PROCESO!$I$117*DEMANDA!N10</f>
        <v>4.7235289875</v>
      </c>
      <c r="Q54" s="42" t="n">
        <f aca="false">PROCESO!$I$117*DEMANDA!O10</f>
        <v>5.4392464</v>
      </c>
      <c r="R54" s="24" t="s">
        <v>2960</v>
      </c>
    </row>
    <row r="55" customFormat="false" ht="15" hidden="false" customHeight="false" outlineLevel="1" collapsed="false">
      <c r="A55" s="24" t="n">
        <v>1</v>
      </c>
      <c r="B55" s="24" t="s">
        <v>1872</v>
      </c>
      <c r="C55" s="40" t="s">
        <v>2961</v>
      </c>
      <c r="D55" s="24" t="s">
        <v>82</v>
      </c>
      <c r="E55" s="24" t="s">
        <v>276</v>
      </c>
      <c r="F55" s="41" t="n">
        <f aca="false">PROCESO!$I$114</f>
        <v>0.0875</v>
      </c>
      <c r="G55" s="24" t="s">
        <v>2281</v>
      </c>
      <c r="H55" s="42" t="n">
        <f aca="false">PROCESO!$I$114*DEMANDA!F18</f>
        <v>0</v>
      </c>
      <c r="I55" s="42" t="n">
        <f aca="false">PROCESO!$I$114*DEMANDA!G18</f>
        <v>0</v>
      </c>
      <c r="J55" s="42" t="n">
        <f aca="false">PROCESO!$I$114*DEMANDA!H18</f>
        <v>0.6125</v>
      </c>
      <c r="K55" s="42" t="n">
        <f aca="false">PROCESO!$I$114*DEMANDA!I18</f>
        <v>2.135</v>
      </c>
      <c r="L55" s="42" t="n">
        <f aca="false">PROCESO!$I$114*DEMANDA!J18</f>
        <v>3.955</v>
      </c>
      <c r="M55" s="42" t="n">
        <f aca="false">PROCESO!$I$114*DEMANDA!K18</f>
        <v>5.7225</v>
      </c>
      <c r="N55" s="42" t="n">
        <f aca="false">PROCESO!$I$114*DEMANDA!L18</f>
        <v>8.0675</v>
      </c>
      <c r="O55" s="42" t="n">
        <f aca="false">PROCESO!$I$114*DEMANDA!M18</f>
        <v>10.4125</v>
      </c>
      <c r="P55" s="42" t="n">
        <f aca="false">PROCESO!$I$114*DEMANDA!N18</f>
        <v>11.6725</v>
      </c>
      <c r="Q55" s="42" t="n">
        <f aca="false">PROCESO!$I$114*DEMANDA!O18</f>
        <v>13.5625</v>
      </c>
      <c r="R55" s="24" t="s">
        <v>2958</v>
      </c>
    </row>
    <row r="56" customFormat="false" ht="15" hidden="false" customHeight="false" outlineLevel="1" collapsed="false">
      <c r="A56" s="24" t="n">
        <v>1</v>
      </c>
      <c r="B56" s="24" t="s">
        <v>1872</v>
      </c>
      <c r="C56" s="40" t="s">
        <v>2962</v>
      </c>
      <c r="D56" s="24" t="s">
        <v>82</v>
      </c>
      <c r="E56" s="24" t="s">
        <v>255</v>
      </c>
      <c r="F56" s="41" t="n">
        <f aca="false">PROCESO!$I$139</f>
        <v>0.0875</v>
      </c>
      <c r="G56" s="24" t="s">
        <v>2281</v>
      </c>
      <c r="H56" s="42" t="n">
        <f aca="false">PROCESO!$I$139*DEMANDA!F11</f>
        <v>0.9534501585</v>
      </c>
      <c r="I56" s="42" t="n">
        <f aca="false">PROCESO!$I$139*DEMANDA!G11</f>
        <v>1.636940129125</v>
      </c>
      <c r="J56" s="42" t="n">
        <f aca="false">PROCESO!$I$139*DEMANDA!H11</f>
        <v>2.105839119125</v>
      </c>
      <c r="K56" s="42" t="n">
        <f aca="false">PROCESO!$I$139*DEMANDA!I11</f>
        <v>2.81483588225</v>
      </c>
      <c r="L56" s="42" t="n">
        <f aca="false">PROCESO!$I$139*DEMANDA!J11</f>
        <v>4.364528098</v>
      </c>
      <c r="M56" s="42" t="n">
        <f aca="false">PROCESO!$I$139*DEMANDA!K11</f>
        <v>5.934165516125</v>
      </c>
      <c r="N56" s="42" t="n">
        <f aca="false">PROCESO!$I$139*DEMANDA!L11</f>
        <v>7.634710528375</v>
      </c>
      <c r="O56" s="42" t="n">
        <f aca="false">PROCESO!$I$139*DEMANDA!M11</f>
        <v>9.4597627775</v>
      </c>
      <c r="P56" s="42" t="n">
        <f aca="false">PROCESO!$I$139*DEMANDA!N11</f>
        <v>11.0215676375</v>
      </c>
      <c r="Q56" s="42" t="n">
        <f aca="false">PROCESO!$I$139*DEMANDA!O11</f>
        <v>12.6915749275</v>
      </c>
      <c r="R56" s="24" t="s">
        <v>2963</v>
      </c>
    </row>
    <row r="57" customFormat="false" ht="15" hidden="false" customHeight="false" outlineLevel="1" collapsed="false">
      <c r="A57" s="24" t="n">
        <v>1</v>
      </c>
      <c r="B57" s="24" t="s">
        <v>1872</v>
      </c>
      <c r="C57" s="40" t="s">
        <v>2964</v>
      </c>
      <c r="D57" s="24" t="s">
        <v>82</v>
      </c>
      <c r="E57" s="24" t="s">
        <v>255</v>
      </c>
      <c r="F57" s="41" t="n">
        <f aca="false">PROCESO!$I$142</f>
        <v>0.025</v>
      </c>
      <c r="G57" s="24" t="s">
        <v>2281</v>
      </c>
      <c r="H57" s="42" t="n">
        <f aca="false">PROCESO!$I$142*DEMANDA!F11</f>
        <v>0.272414331</v>
      </c>
      <c r="I57" s="42" t="n">
        <f aca="false">PROCESO!$I$142*DEMANDA!G11</f>
        <v>0.46769717975</v>
      </c>
      <c r="J57" s="42" t="n">
        <f aca="false">PROCESO!$I$142*DEMANDA!H11</f>
        <v>0.60166831975</v>
      </c>
      <c r="K57" s="42" t="n">
        <f aca="false">PROCESO!$I$142*DEMANDA!I11</f>
        <v>0.8042388235</v>
      </c>
      <c r="L57" s="42" t="n">
        <f aca="false">PROCESO!$I$142*DEMANDA!J11</f>
        <v>1.247008028</v>
      </c>
      <c r="M57" s="42" t="n">
        <f aca="false">PROCESO!$I$142*DEMANDA!K11</f>
        <v>1.69547586175</v>
      </c>
      <c r="N57" s="42" t="n">
        <f aca="false">PROCESO!$I$142*DEMANDA!L11</f>
        <v>2.18134586525</v>
      </c>
      <c r="O57" s="42" t="n">
        <f aca="false">PROCESO!$I$142*DEMANDA!M11</f>
        <v>2.702789365</v>
      </c>
      <c r="P57" s="42" t="n">
        <f aca="false">PROCESO!$I$142*DEMANDA!N11</f>
        <v>3.149019325</v>
      </c>
      <c r="Q57" s="42" t="n">
        <f aca="false">PROCESO!$I$142*DEMANDA!O11</f>
        <v>3.626164265</v>
      </c>
      <c r="R57" s="24" t="s">
        <v>2965</v>
      </c>
    </row>
    <row r="58" customFormat="false" ht="15" hidden="false" customHeight="false" outlineLevel="1" collapsed="false">
      <c r="A58" s="24" t="n">
        <v>1</v>
      </c>
      <c r="B58" s="24" t="s">
        <v>1872</v>
      </c>
      <c r="C58" s="40" t="s">
        <v>2966</v>
      </c>
      <c r="D58" s="24" t="s">
        <v>82</v>
      </c>
      <c r="E58" s="24" t="s">
        <v>279</v>
      </c>
      <c r="F58" s="41" t="n">
        <f aca="false">PROCESO!$I$139</f>
        <v>0.0875</v>
      </c>
      <c r="G58" s="24" t="s">
        <v>2281</v>
      </c>
      <c r="H58" s="42" t="n">
        <f aca="false">PROCESO!$I$139*DEMANDA!F19</f>
        <v>0</v>
      </c>
      <c r="I58" s="42" t="n">
        <f aca="false">PROCESO!$I$139*DEMANDA!G19</f>
        <v>0</v>
      </c>
      <c r="J58" s="42" t="n">
        <f aca="false">PROCESO!$I$139*DEMANDA!H19</f>
        <v>0.4025</v>
      </c>
      <c r="K58" s="42" t="n">
        <f aca="false">PROCESO!$I$139*DEMANDA!I19</f>
        <v>1.4</v>
      </c>
      <c r="L58" s="42" t="n">
        <f aca="false">PROCESO!$I$139*DEMANDA!J19</f>
        <v>2.59</v>
      </c>
      <c r="M58" s="42" t="n">
        <f aca="false">PROCESO!$I$139*DEMANDA!K19</f>
        <v>3.745</v>
      </c>
      <c r="N58" s="42" t="n">
        <f aca="false">PROCESO!$I$139*DEMANDA!L19</f>
        <v>5.285</v>
      </c>
      <c r="O58" s="42" t="n">
        <f aca="false">PROCESO!$I$139*DEMANDA!M19</f>
        <v>6.825</v>
      </c>
      <c r="P58" s="42" t="n">
        <f aca="false">PROCESO!$I$139*DEMANDA!N19</f>
        <v>7.665</v>
      </c>
      <c r="Q58" s="42" t="n">
        <f aca="false">PROCESO!$I$139*DEMANDA!O19</f>
        <v>8.925</v>
      </c>
      <c r="R58" s="24" t="s">
        <v>2963</v>
      </c>
    </row>
    <row r="59" customFormat="false" ht="15" hidden="false" customHeight="false" outlineLevel="0" collapsed="false">
      <c r="A59" s="38" t="n">
        <v>0</v>
      </c>
      <c r="B59" s="38" t="s">
        <v>1791</v>
      </c>
      <c r="C59" s="38" t="s">
        <v>2099</v>
      </c>
      <c r="D59" s="38" t="s">
        <v>82</v>
      </c>
      <c r="E59" s="38"/>
      <c r="F59" s="38"/>
      <c r="G59" s="38"/>
      <c r="H59" s="39" t="n">
        <f aca="false">SUM(H60:H67)</f>
        <v>1.27694217609375</v>
      </c>
      <c r="I59" s="39" t="n">
        <f aca="false">SUM(I60:I67)</f>
        <v>2.19233052969375</v>
      </c>
      <c r="J59" s="39" t="n">
        <f aca="false">SUM(J60:J67)</f>
        <v>3.0740702493625</v>
      </c>
      <c r="K59" s="39" t="n">
        <f aca="false">SUM(K60:K67)</f>
        <v>4.65361948515625</v>
      </c>
      <c r="L59" s="39" t="n">
        <f aca="false">SUM(L60:L67)</f>
        <v>7.48160013098125</v>
      </c>
      <c r="M59" s="39" t="n">
        <f aca="false">SUM(M60:M67)</f>
        <v>10.3144181018187</v>
      </c>
      <c r="N59" s="39" t="n">
        <f aca="false">SUM(N60:N67)</f>
        <v>13.5631837429562</v>
      </c>
      <c r="O59" s="39" t="n">
        <f aca="false">SUM(O60:O67)</f>
        <v>16.9787001499375</v>
      </c>
      <c r="P59" s="39" t="n">
        <f aca="false">SUM(P60:P67)</f>
        <v>19.5954030854375</v>
      </c>
      <c r="Q59" s="39" t="n">
        <f aca="false">SUM(Q60:Q67)</f>
        <v>22.619519996375</v>
      </c>
      <c r="R59" s="38"/>
    </row>
    <row r="60" customFormat="false" ht="15" hidden="false" customHeight="false" outlineLevel="1" collapsed="false">
      <c r="A60" s="24" t="n">
        <v>1</v>
      </c>
      <c r="B60" s="24" t="s">
        <v>1791</v>
      </c>
      <c r="C60" s="40" t="s">
        <v>2953</v>
      </c>
      <c r="D60" s="24" t="s">
        <v>82</v>
      </c>
      <c r="E60" s="24" t="s">
        <v>245</v>
      </c>
      <c r="F60" s="41" t="n">
        <f aca="false">PROCESO!$I$70</f>
        <v>0.005</v>
      </c>
      <c r="G60" s="24" t="s">
        <v>2281</v>
      </c>
      <c r="H60" s="42" t="n">
        <f aca="false">PROCESO!$I$70*DEMANDA!F8</f>
        <v>0.1702589568</v>
      </c>
      <c r="I60" s="42" t="n">
        <f aca="false">PROCESO!$I$70*DEMANDA!G8</f>
        <v>0.29231073725</v>
      </c>
      <c r="J60" s="42" t="n">
        <f aca="false">PROCESO!$I$70*DEMANDA!H8</f>
        <v>0.3760426999</v>
      </c>
      <c r="K60" s="42" t="n">
        <f aca="false">PROCESO!$I$70*DEMANDA!I8</f>
        <v>0.5026492645</v>
      </c>
      <c r="L60" s="42" t="n">
        <f aca="false">PROCESO!$I$70*DEMANDA!J8</f>
        <v>0.7793800175</v>
      </c>
      <c r="M60" s="42" t="n">
        <f aca="false">PROCESO!$I$70*DEMANDA!K8</f>
        <v>1.0596724135</v>
      </c>
      <c r="N60" s="42" t="n">
        <f aca="false">PROCESO!$I$70*DEMANDA!L8</f>
        <v>1.363341166</v>
      </c>
      <c r="O60" s="42" t="n">
        <f aca="false">PROCESO!$I$70*DEMANDA!M8</f>
        <v>1.6892433535</v>
      </c>
      <c r="P60" s="42" t="n">
        <f aca="false">PROCESO!$I$70*DEMANDA!N8</f>
        <v>1.968137078</v>
      </c>
      <c r="Q60" s="42" t="n">
        <f aca="false">PROCESO!$I$70*DEMANDA!O8</f>
        <v>2.266352666</v>
      </c>
      <c r="R60" s="24" t="s">
        <v>2967</v>
      </c>
    </row>
    <row r="61" customFormat="false" ht="15" hidden="false" customHeight="false" outlineLevel="1" collapsed="false">
      <c r="A61" s="24" t="n">
        <v>1</v>
      </c>
      <c r="B61" s="24" t="s">
        <v>1791</v>
      </c>
      <c r="C61" s="40" t="s">
        <v>2955</v>
      </c>
      <c r="D61" s="24" t="s">
        <v>82</v>
      </c>
      <c r="E61" s="24" t="s">
        <v>249</v>
      </c>
      <c r="F61" s="41" t="n">
        <f aca="false">PROCESO!$I$93</f>
        <v>0.005</v>
      </c>
      <c r="G61" s="24" t="s">
        <v>2281</v>
      </c>
      <c r="H61" s="42" t="n">
        <f aca="false">PROCESO!$I$93*DEMANDA!F9</f>
        <v>0.374569705</v>
      </c>
      <c r="I61" s="42" t="n">
        <f aca="false">PROCESO!$I$93*DEMANDA!G9</f>
        <v>0.643083622</v>
      </c>
      <c r="J61" s="42" t="n">
        <f aca="false">PROCESO!$I$93*DEMANDA!H9</f>
        <v>0.82729394</v>
      </c>
      <c r="K61" s="42" t="n">
        <f aca="false">PROCESO!$I$93*DEMANDA!I9</f>
        <v>1.1058283825</v>
      </c>
      <c r="L61" s="42" t="n">
        <f aca="false">PROCESO!$I$93*DEMANDA!J9</f>
        <v>1.7146360385</v>
      </c>
      <c r="M61" s="42" t="n">
        <f aca="false">PROCESO!$I$93*DEMANDA!K9</f>
        <v>2.33127931</v>
      </c>
      <c r="N61" s="42" t="n">
        <f aca="false">PROCESO!$I$93*DEMANDA!L9</f>
        <v>2.9993505645</v>
      </c>
      <c r="O61" s="42" t="n">
        <f aca="false">PROCESO!$I$93*DEMANDA!M9</f>
        <v>3.716335378</v>
      </c>
      <c r="P61" s="42" t="n">
        <f aca="false">PROCESO!$I$93*DEMANDA!N9</f>
        <v>4.3299015715</v>
      </c>
      <c r="Q61" s="42" t="n">
        <f aca="false">PROCESO!$I$93*DEMANDA!O9</f>
        <v>4.9859758655</v>
      </c>
      <c r="R61" s="24" t="s">
        <v>2968</v>
      </c>
    </row>
    <row r="62" customFormat="false" ht="15" hidden="false" customHeight="false" outlineLevel="1" collapsed="false">
      <c r="A62" s="24" t="n">
        <v>1</v>
      </c>
      <c r="B62" s="24" t="s">
        <v>1791</v>
      </c>
      <c r="C62" s="40" t="s">
        <v>2957</v>
      </c>
      <c r="D62" s="24" t="s">
        <v>82</v>
      </c>
      <c r="E62" s="24" t="s">
        <v>252</v>
      </c>
      <c r="F62" s="41" t="n">
        <f aca="false">PROCESO!$I$115</f>
        <v>0.021875</v>
      </c>
      <c r="G62" s="24" t="s">
        <v>2281</v>
      </c>
      <c r="H62" s="42" t="n">
        <f aca="false">PROCESO!$I$115*DEMANDA!F10</f>
        <v>0.35754380921875</v>
      </c>
      <c r="I62" s="42" t="n">
        <f aca="false">PROCESO!$I$115*DEMANDA!G10</f>
        <v>0.6138525483125</v>
      </c>
      <c r="J62" s="42" t="n">
        <f aca="false">PROCESO!$I$115*DEMANDA!H10</f>
        <v>0.78968966978125</v>
      </c>
      <c r="K62" s="42" t="n">
        <f aca="false">PROCESO!$I$115*DEMANDA!I10</f>
        <v>1.05556345584375</v>
      </c>
      <c r="L62" s="42" t="n">
        <f aca="false">PROCESO!$I$115*DEMANDA!J10</f>
        <v>1.63669803653125</v>
      </c>
      <c r="M62" s="42" t="n">
        <f aca="false">PROCESO!$I$115*DEMANDA!K10</f>
        <v>2.2253120684375</v>
      </c>
      <c r="N62" s="42" t="n">
        <f aca="false">PROCESO!$I$115*DEMANDA!L10</f>
        <v>2.8630164478125</v>
      </c>
      <c r="O62" s="42" t="n">
        <f aca="false">PROCESO!$I$115*DEMANDA!M10</f>
        <v>3.5474110415625</v>
      </c>
      <c r="P62" s="42" t="n">
        <f aca="false">PROCESO!$I$115*DEMANDA!N10</f>
        <v>4.1330878640625</v>
      </c>
      <c r="Q62" s="42" t="n">
        <f aca="false">PROCESO!$I$115*DEMANDA!O10</f>
        <v>4.7593406</v>
      </c>
      <c r="R62" s="24" t="s">
        <v>2969</v>
      </c>
    </row>
    <row r="63" customFormat="false" ht="15" hidden="false" customHeight="false" outlineLevel="1" collapsed="false">
      <c r="A63" s="24" t="n">
        <v>1</v>
      </c>
      <c r="B63" s="24" t="s">
        <v>1791</v>
      </c>
      <c r="C63" s="40" t="s">
        <v>2959</v>
      </c>
      <c r="D63" s="24" t="s">
        <v>82</v>
      </c>
      <c r="E63" s="24" t="s">
        <v>252</v>
      </c>
      <c r="F63" s="41" t="n">
        <f aca="false">PROCESO!$I$118</f>
        <v>0.005</v>
      </c>
      <c r="G63" s="24" t="s">
        <v>2281</v>
      </c>
      <c r="H63" s="42" t="n">
        <f aca="false">PROCESO!$I$118*DEMANDA!F10</f>
        <v>0.08172429925</v>
      </c>
      <c r="I63" s="42" t="n">
        <f aca="false">PROCESO!$I$118*DEMANDA!G10</f>
        <v>0.1403091539</v>
      </c>
      <c r="J63" s="42" t="n">
        <f aca="false">PROCESO!$I$118*DEMANDA!H10</f>
        <v>0.18050049595</v>
      </c>
      <c r="K63" s="42" t="n">
        <f aca="false">PROCESO!$I$118*DEMANDA!I10</f>
        <v>0.24127164705</v>
      </c>
      <c r="L63" s="42" t="n">
        <f aca="false">PROCESO!$I$118*DEMANDA!J10</f>
        <v>0.37410240835</v>
      </c>
      <c r="M63" s="42" t="n">
        <f aca="false">PROCESO!$I$118*DEMANDA!K10</f>
        <v>0.5086427585</v>
      </c>
      <c r="N63" s="42" t="n">
        <f aca="false">PROCESO!$I$118*DEMANDA!L10</f>
        <v>0.6544037595</v>
      </c>
      <c r="O63" s="42" t="n">
        <f aca="false">PROCESO!$I$118*DEMANDA!M10</f>
        <v>0.8108368095</v>
      </c>
      <c r="P63" s="42" t="n">
        <f aca="false">PROCESO!$I$118*DEMANDA!N10</f>
        <v>0.9447057975</v>
      </c>
      <c r="Q63" s="42" t="n">
        <f aca="false">PROCESO!$I$118*DEMANDA!O10</f>
        <v>1.08784928</v>
      </c>
      <c r="R63" s="24" t="s">
        <v>2970</v>
      </c>
    </row>
    <row r="64" customFormat="false" ht="15" hidden="false" customHeight="false" outlineLevel="1" collapsed="false">
      <c r="A64" s="24" t="n">
        <v>1</v>
      </c>
      <c r="B64" s="24" t="s">
        <v>1791</v>
      </c>
      <c r="C64" s="40" t="s">
        <v>2961</v>
      </c>
      <c r="D64" s="24" t="s">
        <v>82</v>
      </c>
      <c r="E64" s="24" t="s">
        <v>276</v>
      </c>
      <c r="F64" s="41" t="n">
        <f aca="false">PROCESO!$I$115</f>
        <v>0.021875</v>
      </c>
      <c r="G64" s="24" t="s">
        <v>2281</v>
      </c>
      <c r="H64" s="42" t="n">
        <f aca="false">PROCESO!$I$115*DEMANDA!F18</f>
        <v>0</v>
      </c>
      <c r="I64" s="42" t="n">
        <f aca="false">PROCESO!$I$115*DEMANDA!G18</f>
        <v>0</v>
      </c>
      <c r="J64" s="42" t="n">
        <f aca="false">PROCESO!$I$115*DEMANDA!H18</f>
        <v>0.153125</v>
      </c>
      <c r="K64" s="42" t="n">
        <f aca="false">PROCESO!$I$115*DEMANDA!I18</f>
        <v>0.53375</v>
      </c>
      <c r="L64" s="42" t="n">
        <f aca="false">PROCESO!$I$115*DEMANDA!J18</f>
        <v>0.98875</v>
      </c>
      <c r="M64" s="42" t="n">
        <f aca="false">PROCESO!$I$115*DEMANDA!K18</f>
        <v>1.430625</v>
      </c>
      <c r="N64" s="42" t="n">
        <f aca="false">PROCESO!$I$115*DEMANDA!L18</f>
        <v>2.016875</v>
      </c>
      <c r="O64" s="42" t="n">
        <f aca="false">PROCESO!$I$115*DEMANDA!M18</f>
        <v>2.603125</v>
      </c>
      <c r="P64" s="42" t="n">
        <f aca="false">PROCESO!$I$115*DEMANDA!N18</f>
        <v>2.918125</v>
      </c>
      <c r="Q64" s="42" t="n">
        <f aca="false">PROCESO!$I$115*DEMANDA!O18</f>
        <v>3.390625</v>
      </c>
      <c r="R64" s="24" t="s">
        <v>2969</v>
      </c>
    </row>
    <row r="65" customFormat="false" ht="15" hidden="false" customHeight="false" outlineLevel="1" collapsed="false">
      <c r="A65" s="24" t="n">
        <v>1</v>
      </c>
      <c r="B65" s="24" t="s">
        <v>1791</v>
      </c>
      <c r="C65" s="40" t="s">
        <v>2962</v>
      </c>
      <c r="D65" s="24" t="s">
        <v>82</v>
      </c>
      <c r="E65" s="24" t="s">
        <v>255</v>
      </c>
      <c r="F65" s="41" t="n">
        <f aca="false">PROCESO!$I$140</f>
        <v>0.021875</v>
      </c>
      <c r="G65" s="24" t="s">
        <v>2281</v>
      </c>
      <c r="H65" s="42" t="n">
        <f aca="false">PROCESO!$I$140*DEMANDA!F11</f>
        <v>0.238362539625</v>
      </c>
      <c r="I65" s="42" t="n">
        <f aca="false">PROCESO!$I$140*DEMANDA!G11</f>
        <v>0.40923503228125</v>
      </c>
      <c r="J65" s="42" t="n">
        <f aca="false">PROCESO!$I$140*DEMANDA!H11</f>
        <v>0.52645977978125</v>
      </c>
      <c r="K65" s="42" t="n">
        <f aca="false">PROCESO!$I$140*DEMANDA!I11</f>
        <v>0.7037089705625</v>
      </c>
      <c r="L65" s="42" t="n">
        <f aca="false">PROCESO!$I$140*DEMANDA!J11</f>
        <v>1.0911320245</v>
      </c>
      <c r="M65" s="42" t="n">
        <f aca="false">PROCESO!$I$140*DEMANDA!K11</f>
        <v>1.48354137903125</v>
      </c>
      <c r="N65" s="42" t="n">
        <f aca="false">PROCESO!$I$140*DEMANDA!L11</f>
        <v>1.90867763209375</v>
      </c>
      <c r="O65" s="42" t="n">
        <f aca="false">PROCESO!$I$140*DEMANDA!M11</f>
        <v>2.364940694375</v>
      </c>
      <c r="P65" s="42" t="n">
        <f aca="false">PROCESO!$I$140*DEMANDA!N11</f>
        <v>2.755391909375</v>
      </c>
      <c r="Q65" s="42" t="n">
        <f aca="false">PROCESO!$I$140*DEMANDA!O11</f>
        <v>3.172893731875</v>
      </c>
      <c r="R65" s="24" t="s">
        <v>2971</v>
      </c>
    </row>
    <row r="66" customFormat="false" ht="15" hidden="false" customHeight="false" outlineLevel="1" collapsed="false">
      <c r="A66" s="24" t="n">
        <v>1</v>
      </c>
      <c r="B66" s="24" t="s">
        <v>1791</v>
      </c>
      <c r="C66" s="40" t="s">
        <v>2964</v>
      </c>
      <c r="D66" s="24" t="s">
        <v>82</v>
      </c>
      <c r="E66" s="24" t="s">
        <v>255</v>
      </c>
      <c r="F66" s="41" t="n">
        <f aca="false">PROCESO!$I$143</f>
        <v>0.005</v>
      </c>
      <c r="G66" s="24" t="s">
        <v>2281</v>
      </c>
      <c r="H66" s="42" t="n">
        <f aca="false">PROCESO!$I$143*DEMANDA!F11</f>
        <v>0.0544828662</v>
      </c>
      <c r="I66" s="42" t="n">
        <f aca="false">PROCESO!$I$143*DEMANDA!G11</f>
        <v>0.09353943595</v>
      </c>
      <c r="J66" s="42" t="n">
        <f aca="false">PROCESO!$I$143*DEMANDA!H11</f>
        <v>0.12033366395</v>
      </c>
      <c r="K66" s="42" t="n">
        <f aca="false">PROCESO!$I$143*DEMANDA!I11</f>
        <v>0.1608477647</v>
      </c>
      <c r="L66" s="42" t="n">
        <f aca="false">PROCESO!$I$143*DEMANDA!J11</f>
        <v>0.2494016056</v>
      </c>
      <c r="M66" s="42" t="n">
        <f aca="false">PROCESO!$I$143*DEMANDA!K11</f>
        <v>0.33909517235</v>
      </c>
      <c r="N66" s="42" t="n">
        <f aca="false">PROCESO!$I$143*DEMANDA!L11</f>
        <v>0.43626917305</v>
      </c>
      <c r="O66" s="42" t="n">
        <f aca="false">PROCESO!$I$143*DEMANDA!M11</f>
        <v>0.540557873</v>
      </c>
      <c r="P66" s="42" t="n">
        <f aca="false">PROCESO!$I$143*DEMANDA!N11</f>
        <v>0.629803865</v>
      </c>
      <c r="Q66" s="42" t="n">
        <f aca="false">PROCESO!$I$143*DEMANDA!O11</f>
        <v>0.725232853</v>
      </c>
      <c r="R66" s="24" t="s">
        <v>2972</v>
      </c>
    </row>
    <row r="67" customFormat="false" ht="15" hidden="false" customHeight="false" outlineLevel="1" collapsed="false">
      <c r="A67" s="24" t="n">
        <v>1</v>
      </c>
      <c r="B67" s="24" t="s">
        <v>1791</v>
      </c>
      <c r="C67" s="40" t="s">
        <v>2966</v>
      </c>
      <c r="D67" s="24" t="s">
        <v>82</v>
      </c>
      <c r="E67" s="24" t="s">
        <v>279</v>
      </c>
      <c r="F67" s="41" t="n">
        <f aca="false">PROCESO!$I$140</f>
        <v>0.021875</v>
      </c>
      <c r="G67" s="24" t="s">
        <v>2281</v>
      </c>
      <c r="H67" s="42" t="n">
        <f aca="false">PROCESO!$I$140*DEMANDA!F19</f>
        <v>0</v>
      </c>
      <c r="I67" s="42" t="n">
        <f aca="false">PROCESO!$I$140*DEMANDA!G19</f>
        <v>0</v>
      </c>
      <c r="J67" s="42" t="n">
        <f aca="false">PROCESO!$I$140*DEMANDA!H19</f>
        <v>0.100625</v>
      </c>
      <c r="K67" s="42" t="n">
        <f aca="false">PROCESO!$I$140*DEMANDA!I19</f>
        <v>0.35</v>
      </c>
      <c r="L67" s="42" t="n">
        <f aca="false">PROCESO!$I$140*DEMANDA!J19</f>
        <v>0.6475</v>
      </c>
      <c r="M67" s="42" t="n">
        <f aca="false">PROCESO!$I$140*DEMANDA!K19</f>
        <v>0.93625</v>
      </c>
      <c r="N67" s="42" t="n">
        <f aca="false">PROCESO!$I$140*DEMANDA!L19</f>
        <v>1.32125</v>
      </c>
      <c r="O67" s="42" t="n">
        <f aca="false">PROCESO!$I$140*DEMANDA!M19</f>
        <v>1.70625</v>
      </c>
      <c r="P67" s="42" t="n">
        <f aca="false">PROCESO!$I$140*DEMANDA!N19</f>
        <v>1.91625</v>
      </c>
      <c r="Q67" s="42" t="n">
        <f aca="false">PROCESO!$I$140*DEMANDA!O19</f>
        <v>2.23125</v>
      </c>
      <c r="R67" s="24" t="s">
        <v>2971</v>
      </c>
    </row>
    <row r="68" customFormat="false" ht="15" hidden="false" customHeight="false" outlineLevel="0" collapsed="false">
      <c r="A68" s="38" t="n">
        <v>0</v>
      </c>
      <c r="B68" s="38" t="s">
        <v>1869</v>
      </c>
      <c r="C68" s="38" t="s">
        <v>2101</v>
      </c>
      <c r="D68" s="38" t="s">
        <v>82</v>
      </c>
      <c r="E68" s="38"/>
      <c r="F68" s="38"/>
      <c r="G68" s="38"/>
      <c r="H68" s="39" t="n">
        <f aca="false">SUM(H69:H72)</f>
        <v>2.04310748175</v>
      </c>
      <c r="I68" s="39" t="n">
        <f aca="false">SUM(I69:I72)</f>
        <v>3.5077288473</v>
      </c>
      <c r="J68" s="39" t="n">
        <f aca="false">SUM(J69:J72)</f>
        <v>4.5125123994</v>
      </c>
      <c r="K68" s="39" t="n">
        <f aca="false">SUM(K69:K72)</f>
        <v>6.03179117625</v>
      </c>
      <c r="L68" s="39" t="n">
        <f aca="false">SUM(L69:L72)</f>
        <v>9.35256020985</v>
      </c>
      <c r="M68" s="39" t="n">
        <f aca="false">SUM(M69:M72)</f>
        <v>12.71606896305</v>
      </c>
      <c r="N68" s="39" t="n">
        <f aca="false">SUM(N69:N72)</f>
        <v>16.36009398915</v>
      </c>
      <c r="O68" s="39" t="n">
        <f aca="false">SUM(O69:O72)</f>
        <v>20.270920242</v>
      </c>
      <c r="P68" s="39" t="n">
        <f aca="false">SUM(P69:P72)</f>
        <v>23.617644936</v>
      </c>
      <c r="Q68" s="39" t="n">
        <f aca="false">SUM(Q69:Q72)</f>
        <v>27.1962319935</v>
      </c>
      <c r="R68" s="38"/>
    </row>
    <row r="69" customFormat="false" ht="15" hidden="false" customHeight="false" outlineLevel="1" collapsed="false">
      <c r="A69" s="24" t="n">
        <v>1</v>
      </c>
      <c r="B69" s="24" t="s">
        <v>1869</v>
      </c>
      <c r="C69" s="40" t="s">
        <v>2953</v>
      </c>
      <c r="D69" s="24" t="s">
        <v>82</v>
      </c>
      <c r="E69" s="24" t="s">
        <v>245</v>
      </c>
      <c r="F69" s="41" t="n">
        <f aca="false">PROCESO!$I$68</f>
        <v>0.015</v>
      </c>
      <c r="G69" s="24" t="s">
        <v>2281</v>
      </c>
      <c r="H69" s="42" t="n">
        <f aca="false">PROCESO!$I$68*DEMANDA!F8</f>
        <v>0.5107768704</v>
      </c>
      <c r="I69" s="42" t="n">
        <f aca="false">PROCESO!$I$68*DEMANDA!G8</f>
        <v>0.87693221175</v>
      </c>
      <c r="J69" s="42" t="n">
        <f aca="false">PROCESO!$I$68*DEMANDA!H8</f>
        <v>1.1281280997</v>
      </c>
      <c r="K69" s="42" t="n">
        <f aca="false">PROCESO!$I$68*DEMANDA!I8</f>
        <v>1.5079477935</v>
      </c>
      <c r="L69" s="42" t="n">
        <f aca="false">PROCESO!$I$68*DEMANDA!J8</f>
        <v>2.3381400525</v>
      </c>
      <c r="M69" s="42" t="n">
        <f aca="false">PROCESO!$I$68*DEMANDA!K8</f>
        <v>3.1790172405</v>
      </c>
      <c r="N69" s="42" t="n">
        <f aca="false">PROCESO!$I$68*DEMANDA!L8</f>
        <v>4.090023498</v>
      </c>
      <c r="O69" s="42" t="n">
        <f aca="false">PROCESO!$I$68*DEMANDA!M8</f>
        <v>5.0677300605</v>
      </c>
      <c r="P69" s="42" t="n">
        <f aca="false">PROCESO!$I$68*DEMANDA!N8</f>
        <v>5.904411234</v>
      </c>
      <c r="Q69" s="42" t="n">
        <f aca="false">PROCESO!$I$68*DEMANDA!O8</f>
        <v>6.799057998</v>
      </c>
      <c r="R69" s="24" t="s">
        <v>2973</v>
      </c>
    </row>
    <row r="70" customFormat="false" ht="15" hidden="false" customHeight="false" outlineLevel="1" collapsed="false">
      <c r="A70" s="24" t="n">
        <v>1</v>
      </c>
      <c r="B70" s="24" t="s">
        <v>1869</v>
      </c>
      <c r="C70" s="40" t="s">
        <v>2955</v>
      </c>
      <c r="D70" s="24" t="s">
        <v>82</v>
      </c>
      <c r="E70" s="24" t="s">
        <v>249</v>
      </c>
      <c r="F70" s="41" t="n">
        <f aca="false">PROCESO!$I$91</f>
        <v>0.015</v>
      </c>
      <c r="G70" s="24" t="s">
        <v>2281</v>
      </c>
      <c r="H70" s="42" t="n">
        <f aca="false">PROCESO!$I$91*DEMANDA!F9</f>
        <v>1.123709115</v>
      </c>
      <c r="I70" s="42" t="n">
        <f aca="false">PROCESO!$I$91*DEMANDA!G9</f>
        <v>1.929250866</v>
      </c>
      <c r="J70" s="42" t="n">
        <f aca="false">PROCESO!$I$91*DEMANDA!H9</f>
        <v>2.48188182</v>
      </c>
      <c r="K70" s="42" t="n">
        <f aca="false">PROCESO!$I$91*DEMANDA!I9</f>
        <v>3.3174851475</v>
      </c>
      <c r="L70" s="42" t="n">
        <f aca="false">PROCESO!$I$91*DEMANDA!J9</f>
        <v>5.1439081155</v>
      </c>
      <c r="M70" s="42" t="n">
        <f aca="false">PROCESO!$I$91*DEMANDA!K9</f>
        <v>6.99383793</v>
      </c>
      <c r="N70" s="42" t="n">
        <f aca="false">PROCESO!$I$91*DEMANDA!L9</f>
        <v>8.9980516935</v>
      </c>
      <c r="O70" s="42" t="n">
        <f aca="false">PROCESO!$I$91*DEMANDA!M9</f>
        <v>11.149006134</v>
      </c>
      <c r="P70" s="42" t="n">
        <f aca="false">PROCESO!$I$91*DEMANDA!N9</f>
        <v>12.9897047145</v>
      </c>
      <c r="Q70" s="42" t="n">
        <f aca="false">PROCESO!$I$91*DEMANDA!O9</f>
        <v>14.9579275965</v>
      </c>
      <c r="R70" s="24" t="s">
        <v>2974</v>
      </c>
    </row>
    <row r="71" customFormat="false" ht="15" hidden="false" customHeight="false" outlineLevel="1" collapsed="false">
      <c r="A71" s="24" t="n">
        <v>1</v>
      </c>
      <c r="B71" s="24" t="s">
        <v>1869</v>
      </c>
      <c r="C71" s="40" t="s">
        <v>2959</v>
      </c>
      <c r="D71" s="24" t="s">
        <v>82</v>
      </c>
      <c r="E71" s="24" t="s">
        <v>252</v>
      </c>
      <c r="F71" s="41" t="n">
        <f aca="false">PROCESO!$I$116</f>
        <v>0.015</v>
      </c>
      <c r="G71" s="24" t="s">
        <v>2281</v>
      </c>
      <c r="H71" s="42" t="n">
        <f aca="false">PROCESO!$I$116*DEMANDA!F10</f>
        <v>0.24517289775</v>
      </c>
      <c r="I71" s="42" t="n">
        <f aca="false">PROCESO!$I$116*DEMANDA!G10</f>
        <v>0.4209274617</v>
      </c>
      <c r="J71" s="42" t="n">
        <f aca="false">PROCESO!$I$116*DEMANDA!H10</f>
        <v>0.54150148785</v>
      </c>
      <c r="K71" s="42" t="n">
        <f aca="false">PROCESO!$I$116*DEMANDA!I10</f>
        <v>0.72381494115</v>
      </c>
      <c r="L71" s="42" t="n">
        <f aca="false">PROCESO!$I$116*DEMANDA!J10</f>
        <v>1.12230722505</v>
      </c>
      <c r="M71" s="42" t="n">
        <f aca="false">PROCESO!$I$116*DEMANDA!K10</f>
        <v>1.5259282755</v>
      </c>
      <c r="N71" s="42" t="n">
        <f aca="false">PROCESO!$I$116*DEMANDA!L10</f>
        <v>1.9632112785</v>
      </c>
      <c r="O71" s="42" t="n">
        <f aca="false">PROCESO!$I$116*DEMANDA!M10</f>
        <v>2.4325104285</v>
      </c>
      <c r="P71" s="42" t="n">
        <f aca="false">PROCESO!$I$116*DEMANDA!N10</f>
        <v>2.8341173925</v>
      </c>
      <c r="Q71" s="42" t="n">
        <f aca="false">PROCESO!$I$116*DEMANDA!O10</f>
        <v>3.26354784</v>
      </c>
      <c r="R71" s="24" t="s">
        <v>2975</v>
      </c>
    </row>
    <row r="72" customFormat="false" ht="15" hidden="false" customHeight="false" outlineLevel="1" collapsed="false">
      <c r="A72" s="24" t="n">
        <v>1</v>
      </c>
      <c r="B72" s="24" t="s">
        <v>1869</v>
      </c>
      <c r="C72" s="40" t="s">
        <v>2964</v>
      </c>
      <c r="D72" s="24" t="s">
        <v>82</v>
      </c>
      <c r="E72" s="24" t="s">
        <v>255</v>
      </c>
      <c r="F72" s="41" t="n">
        <f aca="false">PROCESO!$I$141</f>
        <v>0.015</v>
      </c>
      <c r="G72" s="24" t="s">
        <v>2281</v>
      </c>
      <c r="H72" s="42" t="n">
        <f aca="false">PROCESO!$I$141*DEMANDA!F11</f>
        <v>0.1634485986</v>
      </c>
      <c r="I72" s="42" t="n">
        <f aca="false">PROCESO!$I$141*DEMANDA!G11</f>
        <v>0.28061830785</v>
      </c>
      <c r="J72" s="42" t="n">
        <f aca="false">PROCESO!$I$141*DEMANDA!H11</f>
        <v>0.36100099185</v>
      </c>
      <c r="K72" s="42" t="n">
        <f aca="false">PROCESO!$I$141*DEMANDA!I11</f>
        <v>0.4825432941</v>
      </c>
      <c r="L72" s="42" t="n">
        <f aca="false">PROCESO!$I$141*DEMANDA!J11</f>
        <v>0.7482048168</v>
      </c>
      <c r="M72" s="42" t="n">
        <f aca="false">PROCESO!$I$141*DEMANDA!K11</f>
        <v>1.01728551705</v>
      </c>
      <c r="N72" s="42" t="n">
        <f aca="false">PROCESO!$I$141*DEMANDA!L11</f>
        <v>1.30880751915</v>
      </c>
      <c r="O72" s="42" t="n">
        <f aca="false">PROCESO!$I$141*DEMANDA!M11</f>
        <v>1.621673619</v>
      </c>
      <c r="P72" s="42" t="n">
        <f aca="false">PROCESO!$I$141*DEMANDA!N11</f>
        <v>1.889411595</v>
      </c>
      <c r="Q72" s="42" t="n">
        <f aca="false">PROCESO!$I$141*DEMANDA!O11</f>
        <v>2.175698559</v>
      </c>
      <c r="R72" s="24" t="s">
        <v>2976</v>
      </c>
    </row>
    <row r="73" customFormat="false" ht="15" hidden="false" customHeight="false" outlineLevel="0" collapsed="false">
      <c r="A73" s="38" t="n">
        <v>0</v>
      </c>
      <c r="B73" s="38" t="s">
        <v>1877</v>
      </c>
      <c r="C73" s="38" t="s">
        <v>2102</v>
      </c>
      <c r="D73" s="38" t="s">
        <v>82</v>
      </c>
      <c r="E73" s="38"/>
      <c r="F73" s="38"/>
      <c r="G73" s="38"/>
      <c r="H73" s="39" t="n">
        <f aca="false">SUM(H74:H77)</f>
        <v>1.3620716545</v>
      </c>
      <c r="I73" s="39" t="n">
        <f aca="false">SUM(I74:I77)</f>
        <v>2.3384858982</v>
      </c>
      <c r="J73" s="39" t="n">
        <f aca="false">SUM(J74:J77)</f>
        <v>3.0083415996</v>
      </c>
      <c r="K73" s="39" t="n">
        <f aca="false">SUM(K74:K77)</f>
        <v>4.0211941175</v>
      </c>
      <c r="L73" s="39" t="n">
        <f aca="false">SUM(L74:L77)</f>
        <v>6.2350401399</v>
      </c>
      <c r="M73" s="39" t="n">
        <f aca="false">SUM(M74:M77)</f>
        <v>8.4773793087</v>
      </c>
      <c r="N73" s="39" t="n">
        <f aca="false">SUM(N74:N77)</f>
        <v>10.9067293261</v>
      </c>
      <c r="O73" s="39" t="n">
        <f aca="false">SUM(O74:O77)</f>
        <v>13.513946828</v>
      </c>
      <c r="P73" s="39" t="n">
        <f aca="false">SUM(P74:P77)</f>
        <v>15.745096624</v>
      </c>
      <c r="Q73" s="39" t="n">
        <f aca="false">SUM(Q74:Q77)</f>
        <v>18.130821329</v>
      </c>
      <c r="R73" s="38"/>
    </row>
    <row r="74" customFormat="false" ht="15" hidden="false" customHeight="false" outlineLevel="1" collapsed="false">
      <c r="A74" s="24" t="n">
        <v>1</v>
      </c>
      <c r="B74" s="24" t="s">
        <v>1877</v>
      </c>
      <c r="C74" s="40" t="s">
        <v>2953</v>
      </c>
      <c r="D74" s="24" t="s">
        <v>82</v>
      </c>
      <c r="E74" s="24" t="s">
        <v>245</v>
      </c>
      <c r="F74" s="41" t="n">
        <f aca="false">PROCESO!$I$71</f>
        <v>0.01</v>
      </c>
      <c r="G74" s="24" t="s">
        <v>2281</v>
      </c>
      <c r="H74" s="42" t="n">
        <f aca="false">PROCESO!$I$71*DEMANDA!F8</f>
        <v>0.3405179136</v>
      </c>
      <c r="I74" s="42" t="n">
        <f aca="false">PROCESO!$I$71*DEMANDA!G8</f>
        <v>0.5846214745</v>
      </c>
      <c r="J74" s="42" t="n">
        <f aca="false">PROCESO!$I$71*DEMANDA!H8</f>
        <v>0.7520853998</v>
      </c>
      <c r="K74" s="42" t="n">
        <f aca="false">PROCESO!$I$71*DEMANDA!I8</f>
        <v>1.005298529</v>
      </c>
      <c r="L74" s="42" t="n">
        <f aca="false">PROCESO!$I$71*DEMANDA!J8</f>
        <v>1.558760035</v>
      </c>
      <c r="M74" s="42" t="n">
        <f aca="false">PROCESO!$I$71*DEMANDA!K8</f>
        <v>2.119344827</v>
      </c>
      <c r="N74" s="42" t="n">
        <f aca="false">PROCESO!$I$71*DEMANDA!L8</f>
        <v>2.726682332</v>
      </c>
      <c r="O74" s="42" t="n">
        <f aca="false">PROCESO!$I$71*DEMANDA!M8</f>
        <v>3.378486707</v>
      </c>
      <c r="P74" s="42" t="n">
        <f aca="false">PROCESO!$I$71*DEMANDA!N8</f>
        <v>3.936274156</v>
      </c>
      <c r="Q74" s="42" t="n">
        <f aca="false">PROCESO!$I$71*DEMANDA!O8</f>
        <v>4.532705332</v>
      </c>
      <c r="R74" s="24" t="s">
        <v>2977</v>
      </c>
    </row>
    <row r="75" customFormat="false" ht="15" hidden="false" customHeight="false" outlineLevel="1" collapsed="false">
      <c r="A75" s="24" t="n">
        <v>1</v>
      </c>
      <c r="B75" s="24" t="s">
        <v>1877</v>
      </c>
      <c r="C75" s="40" t="s">
        <v>2955</v>
      </c>
      <c r="D75" s="24" t="s">
        <v>82</v>
      </c>
      <c r="E75" s="24" t="s">
        <v>249</v>
      </c>
      <c r="F75" s="41" t="n">
        <f aca="false">PROCESO!$I$94</f>
        <v>0.01</v>
      </c>
      <c r="G75" s="24" t="s">
        <v>2281</v>
      </c>
      <c r="H75" s="42" t="n">
        <f aca="false">PROCESO!$I$94*DEMANDA!F9</f>
        <v>0.74913941</v>
      </c>
      <c r="I75" s="42" t="n">
        <f aca="false">PROCESO!$I$94*DEMANDA!G9</f>
        <v>1.286167244</v>
      </c>
      <c r="J75" s="42" t="n">
        <f aca="false">PROCESO!$I$94*DEMANDA!H9</f>
        <v>1.65458788</v>
      </c>
      <c r="K75" s="42" t="n">
        <f aca="false">PROCESO!$I$94*DEMANDA!I9</f>
        <v>2.211656765</v>
      </c>
      <c r="L75" s="42" t="n">
        <f aca="false">PROCESO!$I$94*DEMANDA!J9</f>
        <v>3.429272077</v>
      </c>
      <c r="M75" s="42" t="n">
        <f aca="false">PROCESO!$I$94*DEMANDA!K9</f>
        <v>4.66255862</v>
      </c>
      <c r="N75" s="42" t="n">
        <f aca="false">PROCESO!$I$94*DEMANDA!L9</f>
        <v>5.998701129</v>
      </c>
      <c r="O75" s="42" t="n">
        <f aca="false">PROCESO!$I$94*DEMANDA!M9</f>
        <v>7.432670756</v>
      </c>
      <c r="P75" s="42" t="n">
        <f aca="false">PROCESO!$I$94*DEMANDA!N9</f>
        <v>8.659803143</v>
      </c>
      <c r="Q75" s="42" t="n">
        <f aca="false">PROCESO!$I$94*DEMANDA!O9</f>
        <v>9.971951731</v>
      </c>
      <c r="R75" s="24" t="s">
        <v>2978</v>
      </c>
    </row>
    <row r="76" customFormat="false" ht="15" hidden="false" customHeight="false" outlineLevel="1" collapsed="false">
      <c r="A76" s="24" t="n">
        <v>1</v>
      </c>
      <c r="B76" s="24" t="s">
        <v>1877</v>
      </c>
      <c r="C76" s="40" t="s">
        <v>2959</v>
      </c>
      <c r="D76" s="24" t="s">
        <v>82</v>
      </c>
      <c r="E76" s="24" t="s">
        <v>252</v>
      </c>
      <c r="F76" s="41" t="n">
        <f aca="false">PROCESO!$I$119</f>
        <v>0.01</v>
      </c>
      <c r="G76" s="24" t="s">
        <v>2281</v>
      </c>
      <c r="H76" s="42" t="n">
        <f aca="false">PROCESO!$I$119*DEMANDA!F10</f>
        <v>0.1634485985</v>
      </c>
      <c r="I76" s="42" t="n">
        <f aca="false">PROCESO!$I$119*DEMANDA!G10</f>
        <v>0.2806183078</v>
      </c>
      <c r="J76" s="42" t="n">
        <f aca="false">PROCESO!$I$119*DEMANDA!H10</f>
        <v>0.3610009919</v>
      </c>
      <c r="K76" s="42" t="n">
        <f aca="false">PROCESO!$I$119*DEMANDA!I10</f>
        <v>0.4825432941</v>
      </c>
      <c r="L76" s="42" t="n">
        <f aca="false">PROCESO!$I$119*DEMANDA!J10</f>
        <v>0.7482048167</v>
      </c>
      <c r="M76" s="42" t="n">
        <f aca="false">PROCESO!$I$119*DEMANDA!K10</f>
        <v>1.017285517</v>
      </c>
      <c r="N76" s="42" t="n">
        <f aca="false">PROCESO!$I$119*DEMANDA!L10</f>
        <v>1.308807519</v>
      </c>
      <c r="O76" s="42" t="n">
        <f aca="false">PROCESO!$I$119*DEMANDA!M10</f>
        <v>1.621673619</v>
      </c>
      <c r="P76" s="42" t="n">
        <f aca="false">PROCESO!$I$119*DEMANDA!N10</f>
        <v>1.889411595</v>
      </c>
      <c r="Q76" s="42" t="n">
        <f aca="false">PROCESO!$I$119*DEMANDA!O10</f>
        <v>2.17569856</v>
      </c>
      <c r="R76" s="24" t="s">
        <v>2979</v>
      </c>
    </row>
    <row r="77" customFormat="false" ht="15" hidden="false" customHeight="false" outlineLevel="1" collapsed="false">
      <c r="A77" s="24" t="n">
        <v>1</v>
      </c>
      <c r="B77" s="24" t="s">
        <v>1877</v>
      </c>
      <c r="C77" s="40" t="s">
        <v>2964</v>
      </c>
      <c r="D77" s="24" t="s">
        <v>82</v>
      </c>
      <c r="E77" s="24" t="s">
        <v>255</v>
      </c>
      <c r="F77" s="41" t="n">
        <f aca="false">PROCESO!$I$144</f>
        <v>0.01</v>
      </c>
      <c r="G77" s="24" t="s">
        <v>2281</v>
      </c>
      <c r="H77" s="42" t="n">
        <f aca="false">PROCESO!$I$144*DEMANDA!F11</f>
        <v>0.1089657324</v>
      </c>
      <c r="I77" s="42" t="n">
        <f aca="false">PROCESO!$I$144*DEMANDA!G11</f>
        <v>0.1870788719</v>
      </c>
      <c r="J77" s="42" t="n">
        <f aca="false">PROCESO!$I$144*DEMANDA!H11</f>
        <v>0.2406673279</v>
      </c>
      <c r="K77" s="42" t="n">
        <f aca="false">PROCESO!$I$144*DEMANDA!I11</f>
        <v>0.3216955294</v>
      </c>
      <c r="L77" s="42" t="n">
        <f aca="false">PROCESO!$I$144*DEMANDA!J11</f>
        <v>0.4988032112</v>
      </c>
      <c r="M77" s="42" t="n">
        <f aca="false">PROCESO!$I$144*DEMANDA!K11</f>
        <v>0.6781903447</v>
      </c>
      <c r="N77" s="42" t="n">
        <f aca="false">PROCESO!$I$144*DEMANDA!L11</f>
        <v>0.8725383461</v>
      </c>
      <c r="O77" s="42" t="n">
        <f aca="false">PROCESO!$I$144*DEMANDA!M11</f>
        <v>1.081115746</v>
      </c>
      <c r="P77" s="42" t="n">
        <f aca="false">PROCESO!$I$144*DEMANDA!N11</f>
        <v>1.25960773</v>
      </c>
      <c r="Q77" s="42" t="n">
        <f aca="false">PROCESO!$I$144*DEMANDA!O11</f>
        <v>1.450465706</v>
      </c>
      <c r="R77" s="24" t="s">
        <v>2980</v>
      </c>
    </row>
    <row r="78" customFormat="false" ht="15" hidden="false" customHeight="false" outlineLevel="0" collapsed="false">
      <c r="A78" s="38" t="n">
        <v>0</v>
      </c>
      <c r="B78" s="38" t="s">
        <v>1865</v>
      </c>
      <c r="C78" s="38" t="s">
        <v>2104</v>
      </c>
      <c r="D78" s="38" t="s">
        <v>82</v>
      </c>
      <c r="E78" s="38"/>
      <c r="F78" s="38"/>
      <c r="G78" s="38"/>
      <c r="H78" s="39" t="n">
        <f aca="false">SUM(H79:H86)</f>
        <v>0.340517913625</v>
      </c>
      <c r="I78" s="39" t="n">
        <f aca="false">SUM(I79:I86)</f>
        <v>0.58462147455</v>
      </c>
      <c r="J78" s="39" t="n">
        <f aca="false">SUM(J79:J86)</f>
        <v>0.8965853999</v>
      </c>
      <c r="K78" s="39" t="n">
        <f aca="false">SUM(K79:K86)</f>
        <v>1.508798529375</v>
      </c>
      <c r="L78" s="39" t="n">
        <f aca="false">SUM(L79:L86)</f>
        <v>2.491260034975</v>
      </c>
      <c r="M78" s="39" t="n">
        <f aca="false">SUM(M79:M86)</f>
        <v>3.471344827175</v>
      </c>
      <c r="N78" s="39" t="n">
        <f aca="false">SUM(N79:N86)</f>
        <v>4.637682331525</v>
      </c>
      <c r="O78" s="39" t="n">
        <f aca="false">SUM(O79:O86)</f>
        <v>5.848486707</v>
      </c>
      <c r="P78" s="39" t="n">
        <f aca="false">SUM(P79:P86)</f>
        <v>6.705274156</v>
      </c>
      <c r="Q78" s="39" t="n">
        <f aca="false">SUM(Q79:Q86)</f>
        <v>7.75020533225</v>
      </c>
      <c r="R78" s="38"/>
    </row>
    <row r="79" customFormat="false" ht="15" hidden="false" customHeight="false" outlineLevel="1" collapsed="false">
      <c r="A79" s="24" t="n">
        <v>1</v>
      </c>
      <c r="B79" s="24" t="s">
        <v>1865</v>
      </c>
      <c r="C79" s="40" t="s">
        <v>2712</v>
      </c>
      <c r="D79" s="24" t="s">
        <v>82</v>
      </c>
      <c r="E79" s="24" t="s">
        <v>245</v>
      </c>
      <c r="F79" s="41" t="n">
        <f aca="false">PROCESO!$I$67</f>
        <v>0.0025</v>
      </c>
      <c r="G79" s="24" t="s">
        <v>2281</v>
      </c>
      <c r="H79" s="42" t="n">
        <f aca="false">PROCESO!$I$67*DEMANDA!F8</f>
        <v>0.0851294784</v>
      </c>
      <c r="I79" s="42" t="n">
        <f aca="false">PROCESO!$I$67*DEMANDA!G8</f>
        <v>0.146155368625</v>
      </c>
      <c r="J79" s="42" t="n">
        <f aca="false">PROCESO!$I$67*DEMANDA!H8</f>
        <v>0.18802134995</v>
      </c>
      <c r="K79" s="42" t="n">
        <f aca="false">PROCESO!$I$67*DEMANDA!I8</f>
        <v>0.25132463225</v>
      </c>
      <c r="L79" s="42" t="n">
        <f aca="false">PROCESO!$I$67*DEMANDA!J8</f>
        <v>0.38969000875</v>
      </c>
      <c r="M79" s="42" t="n">
        <f aca="false">PROCESO!$I$67*DEMANDA!K8</f>
        <v>0.52983620675</v>
      </c>
      <c r="N79" s="42" t="n">
        <f aca="false">PROCESO!$I$67*DEMANDA!L8</f>
        <v>0.681670583</v>
      </c>
      <c r="O79" s="42" t="n">
        <f aca="false">PROCESO!$I$67*DEMANDA!M8</f>
        <v>0.84462167675</v>
      </c>
      <c r="P79" s="42" t="n">
        <f aca="false">PROCESO!$I$67*DEMANDA!N8</f>
        <v>0.984068539</v>
      </c>
      <c r="Q79" s="42" t="n">
        <f aca="false">PROCESO!$I$67*DEMANDA!O8</f>
        <v>1.133176333</v>
      </c>
      <c r="R79" s="24" t="s">
        <v>2981</v>
      </c>
    </row>
    <row r="80" customFormat="false" ht="15" hidden="false" customHeight="false" outlineLevel="1" collapsed="false">
      <c r="A80" s="24" t="n">
        <v>1</v>
      </c>
      <c r="B80" s="24" t="s">
        <v>1865</v>
      </c>
      <c r="C80" s="40" t="s">
        <v>2720</v>
      </c>
      <c r="D80" s="24" t="s">
        <v>82</v>
      </c>
      <c r="E80" s="24" t="s">
        <v>270</v>
      </c>
      <c r="F80" s="41" t="n">
        <f aca="false">PROCESO!$I$67</f>
        <v>0.0025</v>
      </c>
      <c r="G80" s="24" t="s">
        <v>2281</v>
      </c>
      <c r="H80" s="42" t="n">
        <f aca="false">PROCESO!$I$67*DEMANDA!F16</f>
        <v>0</v>
      </c>
      <c r="I80" s="42" t="n">
        <f aca="false">PROCESO!$I$67*DEMANDA!G16</f>
        <v>0</v>
      </c>
      <c r="J80" s="42" t="n">
        <f aca="false">PROCESO!$I$67*DEMANDA!H16</f>
        <v>0.036</v>
      </c>
      <c r="K80" s="42" t="n">
        <f aca="false">PROCESO!$I$67*DEMANDA!I16</f>
        <v>0.1255</v>
      </c>
      <c r="L80" s="42" t="n">
        <f aca="false">PROCESO!$I$67*DEMANDA!J16</f>
        <v>0.2325</v>
      </c>
      <c r="M80" s="42" t="n">
        <f aca="false">PROCESO!$I$67*DEMANDA!K16</f>
        <v>0.3375</v>
      </c>
      <c r="N80" s="42" t="n">
        <f aca="false">PROCESO!$I$67*DEMANDA!L16</f>
        <v>0.4775</v>
      </c>
      <c r="O80" s="42" t="n">
        <f aca="false">PROCESO!$I$67*DEMANDA!M16</f>
        <v>0.6175</v>
      </c>
      <c r="P80" s="42" t="n">
        <f aca="false">PROCESO!$I$67*DEMANDA!N16</f>
        <v>0.6925</v>
      </c>
      <c r="Q80" s="42" t="n">
        <f aca="false">PROCESO!$I$67*DEMANDA!O16</f>
        <v>0.805</v>
      </c>
      <c r="R80" s="24" t="s">
        <v>2981</v>
      </c>
    </row>
    <row r="81" customFormat="false" ht="15" hidden="false" customHeight="false" outlineLevel="1" collapsed="false">
      <c r="A81" s="24" t="n">
        <v>1</v>
      </c>
      <c r="B81" s="24" t="s">
        <v>1865</v>
      </c>
      <c r="C81" s="40" t="s">
        <v>2726</v>
      </c>
      <c r="D81" s="24" t="s">
        <v>82</v>
      </c>
      <c r="E81" s="24" t="s">
        <v>249</v>
      </c>
      <c r="F81" s="41" t="n">
        <f aca="false">PROCESO!$I$90</f>
        <v>0.0025</v>
      </c>
      <c r="G81" s="24" t="s">
        <v>2281</v>
      </c>
      <c r="H81" s="42" t="n">
        <f aca="false">PROCESO!$I$90*DEMANDA!F9</f>
        <v>0.1872848525</v>
      </c>
      <c r="I81" s="42" t="n">
        <f aca="false">PROCESO!$I$90*DEMANDA!G9</f>
        <v>0.321541811</v>
      </c>
      <c r="J81" s="42" t="n">
        <f aca="false">PROCESO!$I$90*DEMANDA!H9</f>
        <v>0.41364697</v>
      </c>
      <c r="K81" s="42" t="n">
        <f aca="false">PROCESO!$I$90*DEMANDA!I9</f>
        <v>0.55291419125</v>
      </c>
      <c r="L81" s="42" t="n">
        <f aca="false">PROCESO!$I$90*DEMANDA!J9</f>
        <v>0.85731801925</v>
      </c>
      <c r="M81" s="42" t="n">
        <f aca="false">PROCESO!$I$90*DEMANDA!K9</f>
        <v>1.165639655</v>
      </c>
      <c r="N81" s="42" t="n">
        <f aca="false">PROCESO!$I$90*DEMANDA!L9</f>
        <v>1.49967528225</v>
      </c>
      <c r="O81" s="42" t="n">
        <f aca="false">PROCESO!$I$90*DEMANDA!M9</f>
        <v>1.858167689</v>
      </c>
      <c r="P81" s="42" t="n">
        <f aca="false">PROCESO!$I$90*DEMANDA!N9</f>
        <v>2.16495078575</v>
      </c>
      <c r="Q81" s="42" t="n">
        <f aca="false">PROCESO!$I$90*DEMANDA!O9</f>
        <v>2.49298793275</v>
      </c>
      <c r="R81" s="24" t="s">
        <v>2982</v>
      </c>
    </row>
    <row r="82" customFormat="false" ht="15" hidden="false" customHeight="false" outlineLevel="1" collapsed="false">
      <c r="A82" s="24" t="n">
        <v>1</v>
      </c>
      <c r="B82" s="24" t="s">
        <v>1865</v>
      </c>
      <c r="C82" s="40" t="s">
        <v>2734</v>
      </c>
      <c r="D82" s="24" t="s">
        <v>82</v>
      </c>
      <c r="E82" s="24" t="s">
        <v>273</v>
      </c>
      <c r="F82" s="41" t="n">
        <f aca="false">PROCESO!$I$90</f>
        <v>0.0025</v>
      </c>
      <c r="G82" s="24" t="s">
        <v>2281</v>
      </c>
      <c r="H82" s="42" t="n">
        <f aca="false">PROCESO!$I$90*DEMANDA!F17</f>
        <v>0</v>
      </c>
      <c r="I82" s="42" t="n">
        <f aca="false">PROCESO!$I$90*DEMANDA!G17</f>
        <v>0</v>
      </c>
      <c r="J82" s="42" t="n">
        <f aca="false">PROCESO!$I$90*DEMANDA!H17</f>
        <v>0.0795</v>
      </c>
      <c r="K82" s="42" t="n">
        <f aca="false">PROCESO!$I$90*DEMANDA!I17</f>
        <v>0.277</v>
      </c>
      <c r="L82" s="42" t="n">
        <f aca="false">PROCESO!$I$90*DEMANDA!J17</f>
        <v>0.513</v>
      </c>
      <c r="M82" s="42" t="n">
        <f aca="false">PROCESO!$I$90*DEMANDA!K17</f>
        <v>0.744</v>
      </c>
      <c r="N82" s="42" t="n">
        <f aca="false">PROCESO!$I$90*DEMANDA!L17</f>
        <v>1.052</v>
      </c>
      <c r="O82" s="42" t="n">
        <f aca="false">PROCESO!$I$90*DEMANDA!M17</f>
        <v>1.36</v>
      </c>
      <c r="P82" s="42" t="n">
        <f aca="false">PROCESO!$I$90*DEMANDA!N17</f>
        <v>1.524</v>
      </c>
      <c r="Q82" s="42" t="n">
        <f aca="false">PROCESO!$I$90*DEMANDA!O17</f>
        <v>1.77</v>
      </c>
      <c r="R82" s="24" t="s">
        <v>2982</v>
      </c>
    </row>
    <row r="83" customFormat="false" ht="15" hidden="false" customHeight="false" outlineLevel="1" collapsed="false">
      <c r="A83" s="24" t="n">
        <v>1</v>
      </c>
      <c r="B83" s="24" t="s">
        <v>1865</v>
      </c>
      <c r="C83" s="40" t="s">
        <v>2740</v>
      </c>
      <c r="D83" s="24" t="s">
        <v>82</v>
      </c>
      <c r="E83" s="24" t="s">
        <v>252</v>
      </c>
      <c r="F83" s="41" t="n">
        <f aca="false">PROCESO!$I$113</f>
        <v>0.0025</v>
      </c>
      <c r="G83" s="24" t="s">
        <v>2281</v>
      </c>
      <c r="H83" s="42" t="n">
        <f aca="false">PROCESO!$I$113*DEMANDA!F10</f>
        <v>0.040862149625</v>
      </c>
      <c r="I83" s="42" t="n">
        <f aca="false">PROCESO!$I$113*DEMANDA!G10</f>
        <v>0.07015457695</v>
      </c>
      <c r="J83" s="42" t="n">
        <f aca="false">PROCESO!$I$113*DEMANDA!H10</f>
        <v>0.090250247975</v>
      </c>
      <c r="K83" s="42" t="n">
        <f aca="false">PROCESO!$I$113*DEMANDA!I10</f>
        <v>0.120635823525</v>
      </c>
      <c r="L83" s="42" t="n">
        <f aca="false">PROCESO!$I$113*DEMANDA!J10</f>
        <v>0.187051204175</v>
      </c>
      <c r="M83" s="42" t="n">
        <f aca="false">PROCESO!$I$113*DEMANDA!K10</f>
        <v>0.25432137925</v>
      </c>
      <c r="N83" s="42" t="n">
        <f aca="false">PROCESO!$I$113*DEMANDA!L10</f>
        <v>0.32720187975</v>
      </c>
      <c r="O83" s="42" t="n">
        <f aca="false">PROCESO!$I$113*DEMANDA!M10</f>
        <v>0.40541840475</v>
      </c>
      <c r="P83" s="42" t="n">
        <f aca="false">PROCESO!$I$113*DEMANDA!N10</f>
        <v>0.47235289875</v>
      </c>
      <c r="Q83" s="42" t="n">
        <f aca="false">PROCESO!$I$113*DEMANDA!O10</f>
        <v>0.54392464</v>
      </c>
      <c r="R83" s="24" t="s">
        <v>2983</v>
      </c>
    </row>
    <row r="84" customFormat="false" ht="15" hidden="false" customHeight="false" outlineLevel="1" collapsed="false">
      <c r="A84" s="24" t="n">
        <v>1</v>
      </c>
      <c r="B84" s="24" t="s">
        <v>1865</v>
      </c>
      <c r="C84" s="40" t="s">
        <v>2748</v>
      </c>
      <c r="D84" s="24" t="s">
        <v>82</v>
      </c>
      <c r="E84" s="24" t="s">
        <v>276</v>
      </c>
      <c r="F84" s="41" t="n">
        <f aca="false">PROCESO!$I$113</f>
        <v>0.0025</v>
      </c>
      <c r="G84" s="24" t="s">
        <v>2281</v>
      </c>
      <c r="H84" s="42" t="n">
        <f aca="false">PROCESO!$I$113*DEMANDA!F18</f>
        <v>0</v>
      </c>
      <c r="I84" s="42" t="n">
        <f aca="false">PROCESO!$I$113*DEMANDA!G18</f>
        <v>0</v>
      </c>
      <c r="J84" s="42" t="n">
        <f aca="false">PROCESO!$I$113*DEMANDA!H18</f>
        <v>0.0175</v>
      </c>
      <c r="K84" s="42" t="n">
        <f aca="false">PROCESO!$I$113*DEMANDA!I18</f>
        <v>0.061</v>
      </c>
      <c r="L84" s="42" t="n">
        <f aca="false">PROCESO!$I$113*DEMANDA!J18</f>
        <v>0.113</v>
      </c>
      <c r="M84" s="42" t="n">
        <f aca="false">PROCESO!$I$113*DEMANDA!K18</f>
        <v>0.1635</v>
      </c>
      <c r="N84" s="42" t="n">
        <f aca="false">PROCESO!$I$113*DEMANDA!L18</f>
        <v>0.2305</v>
      </c>
      <c r="O84" s="42" t="n">
        <f aca="false">PROCESO!$I$113*DEMANDA!M18</f>
        <v>0.2975</v>
      </c>
      <c r="P84" s="42" t="n">
        <f aca="false">PROCESO!$I$113*DEMANDA!N18</f>
        <v>0.3335</v>
      </c>
      <c r="Q84" s="42" t="n">
        <f aca="false">PROCESO!$I$113*DEMANDA!O18</f>
        <v>0.3875</v>
      </c>
      <c r="R84" s="24" t="s">
        <v>2983</v>
      </c>
    </row>
    <row r="85" customFormat="false" ht="15" hidden="false" customHeight="false" outlineLevel="1" collapsed="false">
      <c r="A85" s="24" t="n">
        <v>1</v>
      </c>
      <c r="B85" s="24" t="s">
        <v>1865</v>
      </c>
      <c r="C85" s="40" t="s">
        <v>2754</v>
      </c>
      <c r="D85" s="24" t="s">
        <v>82</v>
      </c>
      <c r="E85" s="24" t="s">
        <v>255</v>
      </c>
      <c r="F85" s="41" t="n">
        <f aca="false">PROCESO!$I$138</f>
        <v>0.0025</v>
      </c>
      <c r="G85" s="24" t="s">
        <v>2281</v>
      </c>
      <c r="H85" s="42" t="n">
        <f aca="false">PROCESO!$I$138*DEMANDA!F11</f>
        <v>0.0272414331</v>
      </c>
      <c r="I85" s="42" t="n">
        <f aca="false">PROCESO!$I$138*DEMANDA!G11</f>
        <v>0.046769717975</v>
      </c>
      <c r="J85" s="42" t="n">
        <f aca="false">PROCESO!$I$138*DEMANDA!H11</f>
        <v>0.060166831975</v>
      </c>
      <c r="K85" s="42" t="n">
        <f aca="false">PROCESO!$I$138*DEMANDA!I11</f>
        <v>0.08042388235</v>
      </c>
      <c r="L85" s="42" t="n">
        <f aca="false">PROCESO!$I$138*DEMANDA!J11</f>
        <v>0.1247008028</v>
      </c>
      <c r="M85" s="42" t="n">
        <f aca="false">PROCESO!$I$138*DEMANDA!K11</f>
        <v>0.169547586175</v>
      </c>
      <c r="N85" s="42" t="n">
        <f aca="false">PROCESO!$I$138*DEMANDA!L11</f>
        <v>0.218134586525</v>
      </c>
      <c r="O85" s="42" t="n">
        <f aca="false">PROCESO!$I$138*DEMANDA!M11</f>
        <v>0.2702789365</v>
      </c>
      <c r="P85" s="42" t="n">
        <f aca="false">PROCESO!$I$138*DEMANDA!N11</f>
        <v>0.3149019325</v>
      </c>
      <c r="Q85" s="42" t="n">
        <f aca="false">PROCESO!$I$138*DEMANDA!O11</f>
        <v>0.3626164265</v>
      </c>
      <c r="R85" s="24" t="s">
        <v>2984</v>
      </c>
    </row>
    <row r="86" customFormat="false" ht="15" hidden="false" customHeight="false" outlineLevel="1" collapsed="false">
      <c r="A86" s="24" t="n">
        <v>1</v>
      </c>
      <c r="B86" s="24" t="s">
        <v>1865</v>
      </c>
      <c r="C86" s="40" t="s">
        <v>2762</v>
      </c>
      <c r="D86" s="24" t="s">
        <v>82</v>
      </c>
      <c r="E86" s="24" t="s">
        <v>279</v>
      </c>
      <c r="F86" s="41" t="n">
        <f aca="false">PROCESO!$I$138</f>
        <v>0.0025</v>
      </c>
      <c r="G86" s="24" t="s">
        <v>2281</v>
      </c>
      <c r="H86" s="42" t="n">
        <f aca="false">PROCESO!$I$138*DEMANDA!F19</f>
        <v>0</v>
      </c>
      <c r="I86" s="42" t="n">
        <f aca="false">PROCESO!$I$138*DEMANDA!G19</f>
        <v>0</v>
      </c>
      <c r="J86" s="42" t="n">
        <f aca="false">PROCESO!$I$138*DEMANDA!H19</f>
        <v>0.0115</v>
      </c>
      <c r="K86" s="42" t="n">
        <f aca="false">PROCESO!$I$138*DEMANDA!I19</f>
        <v>0.04</v>
      </c>
      <c r="L86" s="42" t="n">
        <f aca="false">PROCESO!$I$138*DEMANDA!J19</f>
        <v>0.074</v>
      </c>
      <c r="M86" s="42" t="n">
        <f aca="false">PROCESO!$I$138*DEMANDA!K19</f>
        <v>0.107</v>
      </c>
      <c r="N86" s="42" t="n">
        <f aca="false">PROCESO!$I$138*DEMANDA!L19</f>
        <v>0.151</v>
      </c>
      <c r="O86" s="42" t="n">
        <f aca="false">PROCESO!$I$138*DEMANDA!M19</f>
        <v>0.195</v>
      </c>
      <c r="P86" s="42" t="n">
        <f aca="false">PROCESO!$I$138*DEMANDA!N19</f>
        <v>0.219</v>
      </c>
      <c r="Q86" s="42" t="n">
        <f aca="false">PROCESO!$I$138*DEMANDA!O19</f>
        <v>0.255</v>
      </c>
      <c r="R86" s="24" t="s">
        <v>2984</v>
      </c>
    </row>
  </sheetData>
  <autoFilter ref="A3:R8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6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2985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8" t="n">
        <v>0</v>
      </c>
      <c r="B4" s="38" t="s">
        <v>715</v>
      </c>
      <c r="C4" s="38" t="s">
        <v>1979</v>
      </c>
      <c r="D4" s="38" t="s">
        <v>1748</v>
      </c>
      <c r="E4" s="38"/>
      <c r="F4" s="38"/>
      <c r="G4" s="38"/>
      <c r="H4" s="39" t="n">
        <f aca="false">SUM(H5:H5)</f>
        <v>5.25</v>
      </c>
      <c r="I4" s="39" t="n">
        <f aca="false">SUM(I5:I5)</f>
        <v>18.5125</v>
      </c>
      <c r="J4" s="39" t="n">
        <f aca="false">SUM(J5:J5)</f>
        <v>23.7583333333333</v>
      </c>
      <c r="K4" s="39" t="n">
        <f aca="false">SUM(K5:K5)</f>
        <v>41.6375</v>
      </c>
      <c r="L4" s="39" t="n">
        <f aca="false">SUM(L5:L5)</f>
        <v>45.1041666666667</v>
      </c>
      <c r="M4" s="39" t="n">
        <f aca="false">SUM(M5:M5)</f>
        <v>52.7291666666667</v>
      </c>
      <c r="N4" s="39" t="n">
        <f aca="false">SUM(N5:N5)</f>
        <v>50.8833333333333</v>
      </c>
      <c r="O4" s="39" t="n">
        <f aca="false">SUM(O5:O5)</f>
        <v>41.1625</v>
      </c>
      <c r="P4" s="39" t="n">
        <f aca="false">SUM(P5:P5)</f>
        <v>30.6</v>
      </c>
      <c r="Q4" s="39" t="n">
        <f aca="false">SUM(Q5:Q5)</f>
        <v>31.85</v>
      </c>
      <c r="R4" s="38"/>
    </row>
    <row r="5" customFormat="false" ht="15" hidden="false" customHeight="false" outlineLevel="1" collapsed="false">
      <c r="A5" s="24" t="n">
        <v>1</v>
      </c>
      <c r="B5" s="24" t="s">
        <v>715</v>
      </c>
      <c r="C5" s="40" t="s">
        <v>2986</v>
      </c>
      <c r="D5" s="24" t="s">
        <v>1748</v>
      </c>
      <c r="E5" s="24" t="s">
        <v>372</v>
      </c>
      <c r="F5" s="41" t="n">
        <f aca="false">INDEX((BOM_COEF!R81~BOM_COEF!S81~BOM_COEF!T81~BOM_COEF!U81~BOM_COEF!V81~BOM_COEF!W81~BOM_COEF!X81~BOM_COEF!Y81~BOM_COEF!Z81~BOM_COEF!AA81),1,1,INDEX(P_VAL,MATCH("AÑO_DIS",P_ID,0))-2025)</f>
        <v>0.0833333333333333</v>
      </c>
      <c r="G5" s="24" t="s">
        <v>2281</v>
      </c>
      <c r="H5" s="42" t="n">
        <f aca="false">BOM_COEF!R81*DEMANDA!F49</f>
        <v>5.25</v>
      </c>
      <c r="I5" s="42" t="n">
        <f aca="false">BOM_COEF!S81*DEMANDA!G49</f>
        <v>18.5125</v>
      </c>
      <c r="J5" s="42" t="n">
        <f aca="false">BOM_COEF!T81*DEMANDA!H49</f>
        <v>23.7583333333333</v>
      </c>
      <c r="K5" s="42" t="n">
        <f aca="false">BOM_COEF!U81*DEMANDA!I49</f>
        <v>41.6375</v>
      </c>
      <c r="L5" s="42" t="n">
        <f aca="false">BOM_COEF!V81*DEMANDA!J49</f>
        <v>45.1041666666667</v>
      </c>
      <c r="M5" s="42" t="n">
        <f aca="false">BOM_COEF!W81*DEMANDA!K49</f>
        <v>52.7291666666667</v>
      </c>
      <c r="N5" s="42" t="n">
        <f aca="false">BOM_COEF!X81*DEMANDA!L49</f>
        <v>50.8833333333333</v>
      </c>
      <c r="O5" s="42" t="n">
        <f aca="false">BOM_COEF!Y81*DEMANDA!M49</f>
        <v>41.1625</v>
      </c>
      <c r="P5" s="42" t="n">
        <f aca="false">BOM_COEF!Z81*DEMANDA!N49</f>
        <v>30.6</v>
      </c>
      <c r="Q5" s="42" t="n">
        <f aca="false">BOM_COEF!AA81*DEMANDA!O49</f>
        <v>31.85</v>
      </c>
      <c r="R5" s="24" t="s">
        <v>2290</v>
      </c>
    </row>
    <row r="6" customFormat="false" ht="15" hidden="false" customHeight="false" outlineLevel="0" collapsed="false">
      <c r="A6" s="38" t="n">
        <v>0</v>
      </c>
      <c r="B6" s="38" t="s">
        <v>799</v>
      </c>
      <c r="C6" s="38" t="s">
        <v>1982</v>
      </c>
      <c r="D6" s="38" t="s">
        <v>1748</v>
      </c>
      <c r="E6" s="38"/>
      <c r="F6" s="38"/>
      <c r="G6" s="38"/>
      <c r="H6" s="39" t="n">
        <f aca="false">SUM(H7:H7)</f>
        <v>0.133333333333333</v>
      </c>
      <c r="I6" s="39" t="n">
        <f aca="false">SUM(I7:I7)</f>
        <v>0.206666666666667</v>
      </c>
      <c r="J6" s="39" t="n">
        <f aca="false">SUM(J7:J7)</f>
        <v>0.483333333333333</v>
      </c>
      <c r="K6" s="39" t="n">
        <f aca="false">SUM(K7:K7)</f>
        <v>0.706666666666667</v>
      </c>
      <c r="L6" s="39" t="n">
        <f aca="false">SUM(L7:L7)</f>
        <v>0.673333333333333</v>
      </c>
      <c r="M6" s="39" t="n">
        <f aca="false">SUM(M7:M7)</f>
        <v>0.836666666666667</v>
      </c>
      <c r="N6" s="39" t="n">
        <f aca="false">SUM(N7:N7)</f>
        <v>0.74</v>
      </c>
      <c r="O6" s="39" t="n">
        <f aca="false">SUM(O7:O7)</f>
        <v>0.503333333333333</v>
      </c>
      <c r="P6" s="39" t="n">
        <f aca="false">SUM(P7:P7)</f>
        <v>0.52</v>
      </c>
      <c r="Q6" s="39" t="n">
        <f aca="false">SUM(Q7:Q7)</f>
        <v>0.47</v>
      </c>
      <c r="R6" s="38"/>
    </row>
    <row r="7" customFormat="false" ht="15" hidden="false" customHeight="false" outlineLevel="1" collapsed="false">
      <c r="A7" s="24" t="n">
        <v>1</v>
      </c>
      <c r="B7" s="24" t="s">
        <v>799</v>
      </c>
      <c r="C7" s="40" t="s">
        <v>2987</v>
      </c>
      <c r="D7" s="24" t="s">
        <v>1748</v>
      </c>
      <c r="E7" s="24" t="s">
        <v>375</v>
      </c>
      <c r="F7" s="41" t="n">
        <f aca="false">INDEX((BOM_COEF!R122~BOM_COEF!S122~BOM_COEF!T122~BOM_COEF!U122~BOM_COEF!V122~BOM_COEF!W122~BOM_COEF!X122~BOM_COEF!Y122~BOM_COEF!Z122~BOM_COEF!AA122),1,1,INDEX(P_VAL,MATCH("AÑO_DIS",P_ID,0))-2025)</f>
        <v>0.0666666666666667</v>
      </c>
      <c r="G7" s="24" t="s">
        <v>2281</v>
      </c>
      <c r="H7" s="42" t="n">
        <f aca="false">BOM_COEF!R122*DEMANDA!F50</f>
        <v>0.133333333333333</v>
      </c>
      <c r="I7" s="42" t="n">
        <f aca="false">BOM_COEF!S122*DEMANDA!G50</f>
        <v>0.206666666666667</v>
      </c>
      <c r="J7" s="42" t="n">
        <f aca="false">BOM_COEF!T122*DEMANDA!H50</f>
        <v>0.483333333333333</v>
      </c>
      <c r="K7" s="42" t="n">
        <f aca="false">BOM_COEF!U122*DEMANDA!I50</f>
        <v>0.706666666666667</v>
      </c>
      <c r="L7" s="42" t="n">
        <f aca="false">BOM_COEF!V122*DEMANDA!J50</f>
        <v>0.673333333333333</v>
      </c>
      <c r="M7" s="42" t="n">
        <f aca="false">BOM_COEF!W122*DEMANDA!K50</f>
        <v>0.836666666666667</v>
      </c>
      <c r="N7" s="42" t="n">
        <f aca="false">BOM_COEF!X122*DEMANDA!L50</f>
        <v>0.74</v>
      </c>
      <c r="O7" s="42" t="n">
        <f aca="false">BOM_COEF!Y122*DEMANDA!M50</f>
        <v>0.503333333333333</v>
      </c>
      <c r="P7" s="42" t="n">
        <f aca="false">BOM_COEF!Z122*DEMANDA!N50</f>
        <v>0.52</v>
      </c>
      <c r="Q7" s="42" t="n">
        <f aca="false">BOM_COEF!AA122*DEMANDA!O50</f>
        <v>0.47</v>
      </c>
      <c r="R7" s="24" t="s">
        <v>2294</v>
      </c>
    </row>
    <row r="8" customFormat="false" ht="15" hidden="false" customHeight="false" outlineLevel="0" collapsed="false">
      <c r="A8" s="38" t="n">
        <v>0</v>
      </c>
      <c r="B8" s="38" t="s">
        <v>718</v>
      </c>
      <c r="C8" s="38" t="s">
        <v>1996</v>
      </c>
      <c r="D8" s="38" t="s">
        <v>73</v>
      </c>
      <c r="E8" s="38"/>
      <c r="F8" s="38"/>
      <c r="G8" s="38"/>
      <c r="H8" s="39" t="n">
        <f aca="false">SUM(H9:H9)</f>
        <v>44.034732</v>
      </c>
      <c r="I8" s="39" t="n">
        <f aca="false">SUM(I9:I9)</f>
        <v>155.2748526</v>
      </c>
      <c r="J8" s="39" t="n">
        <f aca="false">SUM(J9:J9)</f>
        <v>199.2746364</v>
      </c>
      <c r="K8" s="39" t="n">
        <f aca="false">SUM(K9:K9)</f>
        <v>349.2373626</v>
      </c>
      <c r="L8" s="39" t="n">
        <f aca="false">SUM(L9:L9)</f>
        <v>378.314265</v>
      </c>
      <c r="M8" s="39" t="n">
        <f aca="false">SUM(M9:M9)</f>
        <v>442.269471</v>
      </c>
      <c r="N8" s="39" t="n">
        <f aca="false">SUM(N9:N9)</f>
        <v>426.7874184</v>
      </c>
      <c r="O8" s="39" t="n">
        <f aca="false">SUM(O9:O9)</f>
        <v>345.2532678</v>
      </c>
      <c r="P8" s="39" t="n">
        <f aca="false">SUM(P9:P9)</f>
        <v>256.6595808</v>
      </c>
      <c r="Q8" s="39" t="n">
        <f aca="false">SUM(Q9:Q9)</f>
        <v>267.1440408</v>
      </c>
      <c r="R8" s="38"/>
    </row>
    <row r="9" customFormat="false" ht="15" hidden="false" customHeight="false" outlineLevel="1" collapsed="false">
      <c r="A9" s="24" t="n">
        <v>1</v>
      </c>
      <c r="B9" s="24" t="s">
        <v>718</v>
      </c>
      <c r="C9" s="40" t="s">
        <v>2988</v>
      </c>
      <c r="D9" s="24" t="s">
        <v>73</v>
      </c>
      <c r="E9" s="24" t="s">
        <v>372</v>
      </c>
      <c r="F9" s="41" t="n">
        <f aca="false">INDEX((BOM_COEF!R82~BOM_COEF!S82~BOM_COEF!T82~BOM_COEF!U82~BOM_COEF!V82~BOM_COEF!W82~BOM_COEF!X82~BOM_COEF!Y82~BOM_COEF!Z82~BOM_COEF!AA82),1,1,INDEX(P_VAL,MATCH("AÑO_DIS",P_ID,0))-2025)</f>
        <v>0.698964</v>
      </c>
      <c r="G9" s="24" t="s">
        <v>2281</v>
      </c>
      <c r="H9" s="42" t="n">
        <f aca="false">BOM_COEF!R82*DEMANDA!F49</f>
        <v>44.034732</v>
      </c>
      <c r="I9" s="42" t="n">
        <f aca="false">BOM_COEF!S82*DEMANDA!G49</f>
        <v>155.2748526</v>
      </c>
      <c r="J9" s="42" t="n">
        <f aca="false">BOM_COEF!T82*DEMANDA!H49</f>
        <v>199.2746364</v>
      </c>
      <c r="K9" s="42" t="n">
        <f aca="false">BOM_COEF!U82*DEMANDA!I49</f>
        <v>349.2373626</v>
      </c>
      <c r="L9" s="42" t="n">
        <f aca="false">BOM_COEF!V82*DEMANDA!J49</f>
        <v>378.314265</v>
      </c>
      <c r="M9" s="42" t="n">
        <f aca="false">BOM_COEF!W82*DEMANDA!K49</f>
        <v>442.269471</v>
      </c>
      <c r="N9" s="42" t="n">
        <f aca="false">BOM_COEF!X82*DEMANDA!L49</f>
        <v>426.7874184</v>
      </c>
      <c r="O9" s="42" t="n">
        <f aca="false">BOM_COEF!Y82*DEMANDA!M49</f>
        <v>345.2532678</v>
      </c>
      <c r="P9" s="42" t="n">
        <f aca="false">BOM_COEF!Z82*DEMANDA!N49</f>
        <v>256.6595808</v>
      </c>
      <c r="Q9" s="42" t="n">
        <f aca="false">BOM_COEF!AA82*DEMANDA!O49</f>
        <v>267.1440408</v>
      </c>
      <c r="R9" s="24" t="s">
        <v>2314</v>
      </c>
    </row>
    <row r="10" customFormat="false" ht="15" hidden="false" customHeight="false" outlineLevel="0" collapsed="false">
      <c r="A10" s="38" t="n">
        <v>0</v>
      </c>
      <c r="B10" s="38" t="s">
        <v>721</v>
      </c>
      <c r="C10" s="38" t="s">
        <v>1999</v>
      </c>
      <c r="D10" s="38" t="s">
        <v>73</v>
      </c>
      <c r="E10" s="38"/>
      <c r="F10" s="38"/>
      <c r="G10" s="38"/>
      <c r="H10" s="39" t="n">
        <f aca="false">SUM(H11:H11)</f>
        <v>28.2645216</v>
      </c>
      <c r="I10" s="39" t="n">
        <f aca="false">SUM(I11:I11)</f>
        <v>99.66608688</v>
      </c>
      <c r="J10" s="39" t="n">
        <f aca="false">SUM(J11:J11)</f>
        <v>127.90817632</v>
      </c>
      <c r="K10" s="39" t="n">
        <f aca="false">SUM(K11:K11)</f>
        <v>224.16457488</v>
      </c>
      <c r="L10" s="39" t="n">
        <f aca="false">SUM(L11:L11)</f>
        <v>242.828132</v>
      </c>
      <c r="M10" s="39" t="n">
        <f aca="false">SUM(M11:M11)</f>
        <v>283.8789848</v>
      </c>
      <c r="N10" s="39" t="n">
        <f aca="false">SUM(N11:N11)</f>
        <v>273.94153792</v>
      </c>
      <c r="O10" s="39" t="n">
        <f aca="false">SUM(O11:O11)</f>
        <v>221.60730864</v>
      </c>
      <c r="P10" s="39" t="n">
        <f aca="false">SUM(P11:P11)</f>
        <v>164.74178304</v>
      </c>
      <c r="Q10" s="39" t="n">
        <f aca="false">SUM(Q11:Q11)</f>
        <v>171.47143104</v>
      </c>
      <c r="R10" s="38"/>
    </row>
    <row r="11" customFormat="false" ht="15" hidden="false" customHeight="false" outlineLevel="1" collapsed="false">
      <c r="A11" s="24" t="n">
        <v>1</v>
      </c>
      <c r="B11" s="24" t="s">
        <v>721</v>
      </c>
      <c r="C11" s="40" t="s">
        <v>2989</v>
      </c>
      <c r="D11" s="24" t="s">
        <v>73</v>
      </c>
      <c r="E11" s="24" t="s">
        <v>372</v>
      </c>
      <c r="F11" s="41" t="n">
        <f aca="false">INDEX((BOM_COEF!R83~BOM_COEF!S83~BOM_COEF!T83~BOM_COEF!U83~BOM_COEF!V83~BOM_COEF!W83~BOM_COEF!X83~BOM_COEF!Y83~BOM_COEF!Z83~BOM_COEF!AA83),1,1,INDEX(P_VAL,MATCH("AÑO_DIS",P_ID,0))-2025)</f>
        <v>0.4486432</v>
      </c>
      <c r="G11" s="24" t="s">
        <v>2281</v>
      </c>
      <c r="H11" s="42" t="n">
        <f aca="false">BOM_COEF!R83*DEMANDA!F49</f>
        <v>28.2645216</v>
      </c>
      <c r="I11" s="42" t="n">
        <f aca="false">BOM_COEF!S83*DEMANDA!G49</f>
        <v>99.66608688</v>
      </c>
      <c r="J11" s="42" t="n">
        <f aca="false">BOM_COEF!T83*DEMANDA!H49</f>
        <v>127.90817632</v>
      </c>
      <c r="K11" s="42" t="n">
        <f aca="false">BOM_COEF!U83*DEMANDA!I49</f>
        <v>224.16457488</v>
      </c>
      <c r="L11" s="42" t="n">
        <f aca="false">BOM_COEF!V83*DEMANDA!J49</f>
        <v>242.828132</v>
      </c>
      <c r="M11" s="42" t="n">
        <f aca="false">BOM_COEF!W83*DEMANDA!K49</f>
        <v>283.8789848</v>
      </c>
      <c r="N11" s="42" t="n">
        <f aca="false">BOM_COEF!X83*DEMANDA!L49</f>
        <v>273.94153792</v>
      </c>
      <c r="O11" s="42" t="n">
        <f aca="false">BOM_COEF!Y83*DEMANDA!M49</f>
        <v>221.60730864</v>
      </c>
      <c r="P11" s="42" t="n">
        <f aca="false">BOM_COEF!Z83*DEMANDA!N49</f>
        <v>164.74178304</v>
      </c>
      <c r="Q11" s="42" t="n">
        <f aca="false">BOM_COEF!AA83*DEMANDA!O49</f>
        <v>171.47143104</v>
      </c>
      <c r="R11" s="24" t="s">
        <v>2318</v>
      </c>
    </row>
    <row r="12" customFormat="false" ht="15" hidden="false" customHeight="false" outlineLevel="0" collapsed="false">
      <c r="A12" s="38" t="n">
        <v>0</v>
      </c>
      <c r="B12" s="38" t="s">
        <v>802</v>
      </c>
      <c r="C12" s="38" t="s">
        <v>2000</v>
      </c>
      <c r="D12" s="38" t="s">
        <v>73</v>
      </c>
      <c r="E12" s="38"/>
      <c r="F12" s="38"/>
      <c r="G12" s="38"/>
      <c r="H12" s="39" t="n">
        <f aca="false">SUM(H13:H13)</f>
        <v>1.9563456</v>
      </c>
      <c r="I12" s="39" t="n">
        <f aca="false">SUM(I13:I13)</f>
        <v>3.03233568</v>
      </c>
      <c r="J12" s="39" t="n">
        <f aca="false">SUM(J13:J13)</f>
        <v>7.0917528</v>
      </c>
      <c r="K12" s="39" t="n">
        <f aca="false">SUM(K13:K13)</f>
        <v>10.36863168</v>
      </c>
      <c r="L12" s="39" t="n">
        <f aca="false">SUM(L13:L13)</f>
        <v>9.87954528</v>
      </c>
      <c r="M12" s="39" t="n">
        <f aca="false">SUM(M13:M13)</f>
        <v>12.27606864</v>
      </c>
      <c r="N12" s="39" t="n">
        <f aca="false">SUM(N13:N13)</f>
        <v>10.85771808</v>
      </c>
      <c r="O12" s="39" t="n">
        <f aca="false">SUM(O13:O13)</f>
        <v>7.38520464</v>
      </c>
      <c r="P12" s="39" t="n">
        <f aca="false">SUM(P13:P13)</f>
        <v>7.62974784</v>
      </c>
      <c r="Q12" s="39" t="n">
        <f aca="false">SUM(Q13:Q13)</f>
        <v>6.89611824</v>
      </c>
      <c r="R12" s="38"/>
    </row>
    <row r="13" customFormat="false" ht="15" hidden="false" customHeight="false" outlineLevel="1" collapsed="false">
      <c r="A13" s="24" t="n">
        <v>1</v>
      </c>
      <c r="B13" s="24" t="s">
        <v>802</v>
      </c>
      <c r="C13" s="40" t="s">
        <v>2990</v>
      </c>
      <c r="D13" s="24" t="s">
        <v>73</v>
      </c>
      <c r="E13" s="24" t="s">
        <v>375</v>
      </c>
      <c r="F13" s="41" t="n">
        <f aca="false">INDEX((BOM_COEF!R123~BOM_COEF!S123~BOM_COEF!T123~BOM_COEF!U123~BOM_COEF!V123~BOM_COEF!W123~BOM_COEF!X123~BOM_COEF!Y123~BOM_COEF!Z123~BOM_COEF!AA123),1,1,INDEX(P_VAL,MATCH("AÑO_DIS",P_ID,0))-2025)</f>
        <v>0.9781728</v>
      </c>
      <c r="G13" s="24" t="s">
        <v>2281</v>
      </c>
      <c r="H13" s="42" t="n">
        <f aca="false">BOM_COEF!R123*DEMANDA!F50</f>
        <v>1.9563456</v>
      </c>
      <c r="I13" s="42" t="n">
        <f aca="false">BOM_COEF!S123*DEMANDA!G50</f>
        <v>3.03233568</v>
      </c>
      <c r="J13" s="42" t="n">
        <f aca="false">BOM_COEF!T123*DEMANDA!H50</f>
        <v>7.0917528</v>
      </c>
      <c r="K13" s="42" t="n">
        <f aca="false">BOM_COEF!U123*DEMANDA!I50</f>
        <v>10.36863168</v>
      </c>
      <c r="L13" s="42" t="n">
        <f aca="false">BOM_COEF!V123*DEMANDA!J50</f>
        <v>9.87954528</v>
      </c>
      <c r="M13" s="42" t="n">
        <f aca="false">BOM_COEF!W123*DEMANDA!K50</f>
        <v>12.27606864</v>
      </c>
      <c r="N13" s="42" t="n">
        <f aca="false">BOM_COEF!X123*DEMANDA!L50</f>
        <v>10.85771808</v>
      </c>
      <c r="O13" s="42" t="n">
        <f aca="false">BOM_COEF!Y123*DEMANDA!M50</f>
        <v>7.38520464</v>
      </c>
      <c r="P13" s="42" t="n">
        <f aca="false">BOM_COEF!Z123*DEMANDA!N50</f>
        <v>7.62974784</v>
      </c>
      <c r="Q13" s="42" t="n">
        <f aca="false">BOM_COEF!AA123*DEMANDA!O50</f>
        <v>6.89611824</v>
      </c>
      <c r="R13" s="24" t="s">
        <v>2322</v>
      </c>
    </row>
    <row r="14" customFormat="false" ht="15" hidden="false" customHeight="false" outlineLevel="0" collapsed="false">
      <c r="A14" s="38" t="n">
        <v>0</v>
      </c>
      <c r="B14" s="38" t="s">
        <v>805</v>
      </c>
      <c r="C14" s="38" t="s">
        <v>2004</v>
      </c>
      <c r="D14" s="38" t="s">
        <v>73</v>
      </c>
      <c r="E14" s="38"/>
      <c r="F14" s="38"/>
      <c r="G14" s="38"/>
      <c r="H14" s="39" t="n">
        <f aca="false">SUM(H15:H15)</f>
        <v>1.6184502</v>
      </c>
      <c r="I14" s="39" t="n">
        <f aca="false">SUM(I15:I15)</f>
        <v>2.50859781</v>
      </c>
      <c r="J14" s="39" t="n">
        <f aca="false">SUM(J15:J15)</f>
        <v>5.866881975</v>
      </c>
      <c r="K14" s="39" t="n">
        <f aca="false">SUM(K15:K15)</f>
        <v>8.57778606</v>
      </c>
      <c r="L14" s="39" t="n">
        <f aca="false">SUM(L15:L15)</f>
        <v>8.17317351</v>
      </c>
      <c r="M14" s="39" t="n">
        <f aca="false">SUM(M15:M15)</f>
        <v>10.155775005</v>
      </c>
      <c r="N14" s="39" t="n">
        <f aca="false">SUM(N15:N15)</f>
        <v>8.98239861</v>
      </c>
      <c r="O14" s="39" t="n">
        <f aca="false">SUM(O15:O15)</f>
        <v>6.109649505</v>
      </c>
      <c r="P14" s="39" t="n">
        <f aca="false">SUM(P15:P15)</f>
        <v>6.31195578</v>
      </c>
      <c r="Q14" s="39" t="n">
        <f aca="false">SUM(Q15:Q15)</f>
        <v>5.705036955</v>
      </c>
      <c r="R14" s="38"/>
    </row>
    <row r="15" customFormat="false" ht="15" hidden="false" customHeight="false" outlineLevel="1" collapsed="false">
      <c r="A15" s="24" t="n">
        <v>1</v>
      </c>
      <c r="B15" s="24" t="s">
        <v>805</v>
      </c>
      <c r="C15" s="40" t="s">
        <v>2991</v>
      </c>
      <c r="D15" s="24" t="s">
        <v>73</v>
      </c>
      <c r="E15" s="24" t="s">
        <v>375</v>
      </c>
      <c r="F15" s="41" t="n">
        <f aca="false">INDEX((BOM_COEF!R124~BOM_COEF!S124~BOM_COEF!T124~BOM_COEF!U124~BOM_COEF!V124~BOM_COEF!W124~BOM_COEF!X124~BOM_COEF!Y124~BOM_COEF!Z124~BOM_COEF!AA124),1,1,INDEX(P_VAL,MATCH("AÑO_DIS",P_ID,0))-2025)</f>
        <v>0.8092251</v>
      </c>
      <c r="G15" s="24" t="s">
        <v>2281</v>
      </c>
      <c r="H15" s="42" t="n">
        <f aca="false">BOM_COEF!R124*DEMANDA!F50</f>
        <v>1.6184502</v>
      </c>
      <c r="I15" s="42" t="n">
        <f aca="false">BOM_COEF!S124*DEMANDA!G50</f>
        <v>2.50859781</v>
      </c>
      <c r="J15" s="42" t="n">
        <f aca="false">BOM_COEF!T124*DEMANDA!H50</f>
        <v>5.866881975</v>
      </c>
      <c r="K15" s="42" t="n">
        <f aca="false">BOM_COEF!U124*DEMANDA!I50</f>
        <v>8.57778606</v>
      </c>
      <c r="L15" s="42" t="n">
        <f aca="false">BOM_COEF!V124*DEMANDA!J50</f>
        <v>8.17317351</v>
      </c>
      <c r="M15" s="42" t="n">
        <f aca="false">BOM_COEF!W124*DEMANDA!K50</f>
        <v>10.155775005</v>
      </c>
      <c r="N15" s="42" t="n">
        <f aca="false">BOM_COEF!X124*DEMANDA!L50</f>
        <v>8.98239861</v>
      </c>
      <c r="O15" s="42" t="n">
        <f aca="false">BOM_COEF!Y124*DEMANDA!M50</f>
        <v>6.109649505</v>
      </c>
      <c r="P15" s="42" t="n">
        <f aca="false">BOM_COEF!Z124*DEMANDA!N50</f>
        <v>6.31195578</v>
      </c>
      <c r="Q15" s="42" t="n">
        <f aca="false">BOM_COEF!AA124*DEMANDA!O50</f>
        <v>5.705036955</v>
      </c>
      <c r="R15" s="24" t="s">
        <v>2326</v>
      </c>
    </row>
    <row r="16" customFormat="false" ht="15" hidden="false" customHeight="false" outlineLevel="0" collapsed="false">
      <c r="A16" s="38" t="n">
        <v>0</v>
      </c>
      <c r="B16" s="38" t="s">
        <v>883</v>
      </c>
      <c r="C16" s="38" t="s">
        <v>2007</v>
      </c>
      <c r="D16" s="38" t="s">
        <v>1748</v>
      </c>
      <c r="E16" s="38"/>
      <c r="F16" s="38"/>
      <c r="G16" s="38"/>
      <c r="H16" s="39" t="n">
        <f aca="false">SUM(H17:H17)</f>
        <v>0.166666666666667</v>
      </c>
      <c r="I16" s="39" t="n">
        <f aca="false">SUM(I17:I17)</f>
        <v>0.341666666666667</v>
      </c>
      <c r="J16" s="39" t="n">
        <f aca="false">SUM(J17:J17)</f>
        <v>0.691666666666667</v>
      </c>
      <c r="K16" s="39" t="n">
        <f aca="false">SUM(K17:K17)</f>
        <v>0.891666666666667</v>
      </c>
      <c r="L16" s="39" t="n">
        <f aca="false">SUM(L17:L17)</f>
        <v>0.933333333333333</v>
      </c>
      <c r="M16" s="39" t="n">
        <f aca="false">SUM(M17:M17)</f>
        <v>1.14166666666667</v>
      </c>
      <c r="N16" s="39" t="n">
        <f aca="false">SUM(N17:N17)</f>
        <v>1.025</v>
      </c>
      <c r="O16" s="39" t="n">
        <f aca="false">SUM(O17:O17)</f>
        <v>0.733333333333333</v>
      </c>
      <c r="P16" s="39" t="n">
        <f aca="false">SUM(P17:P17)</f>
        <v>0.758333333333333</v>
      </c>
      <c r="Q16" s="39" t="n">
        <f aca="false">SUM(Q17:Q17)</f>
        <v>0.616666666666667</v>
      </c>
      <c r="R16" s="38"/>
    </row>
    <row r="17" customFormat="false" ht="15" hidden="false" customHeight="false" outlineLevel="1" collapsed="false">
      <c r="A17" s="24" t="n">
        <v>1</v>
      </c>
      <c r="B17" s="24" t="s">
        <v>883</v>
      </c>
      <c r="C17" s="40" t="s">
        <v>2992</v>
      </c>
      <c r="D17" s="24" t="s">
        <v>1748</v>
      </c>
      <c r="E17" s="24" t="s">
        <v>402</v>
      </c>
      <c r="F17" s="41" t="n">
        <f aca="false">INDEX((BOM_COEF!R213~BOM_COEF!S213~BOM_COEF!T213~BOM_COEF!U213~BOM_COEF!V213~BOM_COEF!W213~BOM_COEF!X213~BOM_COEF!Y213~BOM_COEF!Z213~BOM_COEF!AA213),1,1,INDEX(P_VAL,MATCH("AÑO_DIS",P_ID,0))-2025)</f>
        <v>0.166666666666667</v>
      </c>
      <c r="G17" s="24" t="s">
        <v>2281</v>
      </c>
      <c r="H17" s="42" t="n">
        <f aca="false">BOM_COEF!R213*DEMANDA!F59</f>
        <v>0.166666666666667</v>
      </c>
      <c r="I17" s="42" t="n">
        <f aca="false">BOM_COEF!S213*DEMANDA!G59</f>
        <v>0.341666666666667</v>
      </c>
      <c r="J17" s="42" t="n">
        <f aca="false">BOM_COEF!T213*DEMANDA!H59</f>
        <v>0.691666666666667</v>
      </c>
      <c r="K17" s="42" t="n">
        <f aca="false">BOM_COEF!U213*DEMANDA!I59</f>
        <v>0.891666666666667</v>
      </c>
      <c r="L17" s="42" t="n">
        <f aca="false">BOM_COEF!V213*DEMANDA!J59</f>
        <v>0.933333333333333</v>
      </c>
      <c r="M17" s="42" t="n">
        <f aca="false">BOM_COEF!W213*DEMANDA!K59</f>
        <v>1.14166666666667</v>
      </c>
      <c r="N17" s="42" t="n">
        <f aca="false">BOM_COEF!X213*DEMANDA!L59</f>
        <v>1.025</v>
      </c>
      <c r="O17" s="42" t="n">
        <f aca="false">BOM_COEF!Y213*DEMANDA!M59</f>
        <v>0.733333333333333</v>
      </c>
      <c r="P17" s="42" t="n">
        <f aca="false">BOM_COEF!Z213*DEMANDA!N59</f>
        <v>0.758333333333333</v>
      </c>
      <c r="Q17" s="42" t="n">
        <f aca="false">BOM_COEF!AA213*DEMANDA!O59</f>
        <v>0.616666666666667</v>
      </c>
      <c r="R17" s="24" t="s">
        <v>2596</v>
      </c>
    </row>
    <row r="18" customFormat="false" ht="15" hidden="false" customHeight="false" outlineLevel="0" collapsed="false">
      <c r="A18" s="38" t="n">
        <v>0</v>
      </c>
      <c r="B18" s="38" t="s">
        <v>1121</v>
      </c>
      <c r="C18" s="38" t="s">
        <v>2010</v>
      </c>
      <c r="D18" s="38" t="s">
        <v>1748</v>
      </c>
      <c r="E18" s="38"/>
      <c r="F18" s="38"/>
      <c r="G18" s="38"/>
      <c r="H18" s="39" t="n">
        <f aca="false">SUM(H19:H19)</f>
        <v>0.333333333333333</v>
      </c>
      <c r="I18" s="39" t="n">
        <f aca="false">SUM(I19:I19)</f>
        <v>0.0166666666666667</v>
      </c>
      <c r="J18" s="39" t="n">
        <f aca="false">SUM(J19:J19)</f>
        <v>0.35</v>
      </c>
      <c r="K18" s="39" t="n">
        <f aca="false">SUM(K19:K19)</f>
        <v>0.366666666666667</v>
      </c>
      <c r="L18" s="39" t="n">
        <f aca="false">SUM(L19:L19)</f>
        <v>0.716666666666667</v>
      </c>
      <c r="M18" s="39" t="n">
        <f aca="false">SUM(M19:M19)</f>
        <v>0.416666666666667</v>
      </c>
      <c r="N18" s="39" t="n">
        <f aca="false">SUM(N19:N19)</f>
        <v>0.433333333333333</v>
      </c>
      <c r="O18" s="39" t="n">
        <f aca="false">SUM(O19:O19)</f>
        <v>0.45</v>
      </c>
      <c r="P18" s="39" t="n">
        <f aca="false">SUM(P19:P19)</f>
        <v>0.466666666666667</v>
      </c>
      <c r="Q18" s="39" t="n">
        <f aca="false">SUM(Q19:Q19)</f>
        <v>0.15</v>
      </c>
      <c r="R18" s="38"/>
    </row>
    <row r="19" customFormat="false" ht="15" hidden="false" customHeight="false" outlineLevel="1" collapsed="false">
      <c r="A19" s="24" t="n">
        <v>1</v>
      </c>
      <c r="B19" s="24" t="s">
        <v>1121</v>
      </c>
      <c r="C19" s="40" t="s">
        <v>2993</v>
      </c>
      <c r="D19" s="24" t="s">
        <v>1748</v>
      </c>
      <c r="E19" s="24" t="s">
        <v>405</v>
      </c>
      <c r="F19" s="41" t="n">
        <f aca="false">INDEX((BOM_COEF!R313~BOM_COEF!S313~BOM_COEF!T313~BOM_COEF!U313~BOM_COEF!V313~BOM_COEF!W313~BOM_COEF!X313~BOM_COEF!Y313~BOM_COEF!Z313~BOM_COEF!AA313),1,1,INDEX(P_VAL,MATCH("AÑO_DIS",P_ID,0))-2025)</f>
        <v>0.333333333333333</v>
      </c>
      <c r="G19" s="24" t="s">
        <v>2281</v>
      </c>
      <c r="H19" s="42" t="n">
        <f aca="false">BOM_COEF!R313*DEMANDA!F60</f>
        <v>0.333333333333333</v>
      </c>
      <c r="I19" s="42" t="n">
        <f aca="false">BOM_COEF!S313*DEMANDA!G60</f>
        <v>0.0166666666666667</v>
      </c>
      <c r="J19" s="42" t="n">
        <f aca="false">BOM_COEF!T313*DEMANDA!H60</f>
        <v>0.35</v>
      </c>
      <c r="K19" s="42" t="n">
        <f aca="false">BOM_COEF!U313*DEMANDA!I60</f>
        <v>0.366666666666667</v>
      </c>
      <c r="L19" s="42" t="n">
        <f aca="false">BOM_COEF!V313*DEMANDA!J60</f>
        <v>0.716666666666667</v>
      </c>
      <c r="M19" s="42" t="n">
        <f aca="false">BOM_COEF!W313*DEMANDA!K60</f>
        <v>0.416666666666667</v>
      </c>
      <c r="N19" s="42" t="n">
        <f aca="false">BOM_COEF!X313*DEMANDA!L60</f>
        <v>0.433333333333333</v>
      </c>
      <c r="O19" s="42" t="n">
        <f aca="false">BOM_COEF!Y313*DEMANDA!M60</f>
        <v>0.45</v>
      </c>
      <c r="P19" s="42" t="n">
        <f aca="false">BOM_COEF!Z313*DEMANDA!N60</f>
        <v>0.466666666666667</v>
      </c>
      <c r="Q19" s="42" t="n">
        <f aca="false">BOM_COEF!AA313*DEMANDA!O60</f>
        <v>0.15</v>
      </c>
      <c r="R19" s="24" t="s">
        <v>2994</v>
      </c>
    </row>
    <row r="20" customFormat="false" ht="15" hidden="false" customHeight="false" outlineLevel="0" collapsed="false">
      <c r="A20" s="38" t="n">
        <v>0</v>
      </c>
      <c r="B20" s="38" t="s">
        <v>1018</v>
      </c>
      <c r="C20" s="38" t="s">
        <v>2023</v>
      </c>
      <c r="D20" s="38" t="s">
        <v>82</v>
      </c>
      <c r="E20" s="38"/>
      <c r="F20" s="38"/>
      <c r="G20" s="38"/>
      <c r="H20" s="39" t="n">
        <f aca="false">SUM(H21:H22)</f>
        <v>2</v>
      </c>
      <c r="I20" s="39" t="n">
        <f aca="false">SUM(I21:I22)</f>
        <v>4.1</v>
      </c>
      <c r="J20" s="39" t="n">
        <f aca="false">SUM(J21:J22)</f>
        <v>8.3</v>
      </c>
      <c r="K20" s="39" t="n">
        <f aca="false">SUM(K21:K22)</f>
        <v>10.7</v>
      </c>
      <c r="L20" s="39" t="n">
        <f aca="false">SUM(L21:L22)</f>
        <v>11.2</v>
      </c>
      <c r="M20" s="39" t="n">
        <f aca="false">SUM(M21:M22)</f>
        <v>13.7</v>
      </c>
      <c r="N20" s="39" t="n">
        <f aca="false">SUM(N21:N22)</f>
        <v>12.3</v>
      </c>
      <c r="O20" s="39" t="n">
        <f aca="false">SUM(O21:O22)</f>
        <v>8.8</v>
      </c>
      <c r="P20" s="39" t="n">
        <f aca="false">SUM(P21:P22)</f>
        <v>9.1</v>
      </c>
      <c r="Q20" s="39" t="n">
        <f aca="false">SUM(Q21:Q22)</f>
        <v>7.4</v>
      </c>
      <c r="R20" s="38"/>
    </row>
    <row r="21" customFormat="false" ht="15" hidden="false" customHeight="false" outlineLevel="1" collapsed="false">
      <c r="A21" s="24" t="n">
        <v>1</v>
      </c>
      <c r="B21" s="24" t="s">
        <v>1018</v>
      </c>
      <c r="C21" s="40" t="s">
        <v>2995</v>
      </c>
      <c r="D21" s="24" t="s">
        <v>82</v>
      </c>
      <c r="E21" s="24" t="s">
        <v>402</v>
      </c>
      <c r="F21" s="41" t="n">
        <f aca="false">INDEX((BOM_COEF!R214~BOM_COEF!S214~BOM_COEF!T214~BOM_COEF!U214~BOM_COEF!V214~BOM_COEF!W214~BOM_COEF!X214~BOM_COEF!Y214~BOM_COEF!Z214~BOM_COEF!AA214),1,1,INDEX(P_VAL,MATCH("AÑO_DIS",P_ID,0))-2025)</f>
        <v>1</v>
      </c>
      <c r="G21" s="24" t="s">
        <v>2281</v>
      </c>
      <c r="H21" s="42" t="n">
        <f aca="false">BOM_COEF!R214*DEMANDA!F59</f>
        <v>1</v>
      </c>
      <c r="I21" s="42" t="n">
        <f aca="false">BOM_COEF!S214*DEMANDA!G59</f>
        <v>2.05</v>
      </c>
      <c r="J21" s="42" t="n">
        <f aca="false">BOM_COEF!T214*DEMANDA!H59</f>
        <v>4.15</v>
      </c>
      <c r="K21" s="42" t="n">
        <f aca="false">BOM_COEF!U214*DEMANDA!I59</f>
        <v>5.35</v>
      </c>
      <c r="L21" s="42" t="n">
        <f aca="false">BOM_COEF!V214*DEMANDA!J59</f>
        <v>5.6</v>
      </c>
      <c r="M21" s="42" t="n">
        <f aca="false">BOM_COEF!W214*DEMANDA!K59</f>
        <v>6.85</v>
      </c>
      <c r="N21" s="42" t="n">
        <f aca="false">BOM_COEF!X214*DEMANDA!L59</f>
        <v>6.15</v>
      </c>
      <c r="O21" s="42" t="n">
        <f aca="false">BOM_COEF!Y214*DEMANDA!M59</f>
        <v>4.4</v>
      </c>
      <c r="P21" s="42" t="n">
        <f aca="false">BOM_COEF!Z214*DEMANDA!N59</f>
        <v>4.55</v>
      </c>
      <c r="Q21" s="42" t="n">
        <f aca="false">BOM_COEF!AA214*DEMANDA!O59</f>
        <v>3.7</v>
      </c>
      <c r="R21" s="24" t="s">
        <v>2613</v>
      </c>
    </row>
    <row r="22" customFormat="false" ht="15" hidden="false" customHeight="false" outlineLevel="1" collapsed="false">
      <c r="A22" s="24" t="n">
        <v>1</v>
      </c>
      <c r="B22" s="24" t="s">
        <v>1018</v>
      </c>
      <c r="C22" s="40" t="s">
        <v>2996</v>
      </c>
      <c r="D22" s="24" t="s">
        <v>82</v>
      </c>
      <c r="E22" s="24" t="s">
        <v>402</v>
      </c>
      <c r="F22" s="41" t="n">
        <f aca="false">INDEX((BOM_COEF!R215~BOM_COEF!S215~BOM_COEF!T215~BOM_COEF!U215~BOM_COEF!V215~BOM_COEF!W215~BOM_COEF!X215~BOM_COEF!Y215~BOM_COEF!Z215~BOM_COEF!AA215),1,1,INDEX(P_VAL,MATCH("AÑO_DIS",P_ID,0))-2025)</f>
        <v>1</v>
      </c>
      <c r="G22" s="24" t="s">
        <v>2281</v>
      </c>
      <c r="H22" s="42" t="n">
        <f aca="false">BOM_COEF!R215*DEMANDA!F59</f>
        <v>1</v>
      </c>
      <c r="I22" s="42" t="n">
        <f aca="false">BOM_COEF!S215*DEMANDA!G59</f>
        <v>2.05</v>
      </c>
      <c r="J22" s="42" t="n">
        <f aca="false">BOM_COEF!T215*DEMANDA!H59</f>
        <v>4.15</v>
      </c>
      <c r="K22" s="42" t="n">
        <f aca="false">BOM_COEF!U215*DEMANDA!I59</f>
        <v>5.35</v>
      </c>
      <c r="L22" s="42" t="n">
        <f aca="false">BOM_COEF!V215*DEMANDA!J59</f>
        <v>5.6</v>
      </c>
      <c r="M22" s="42" t="n">
        <f aca="false">BOM_COEF!W215*DEMANDA!K59</f>
        <v>6.85</v>
      </c>
      <c r="N22" s="42" t="n">
        <f aca="false">BOM_COEF!X215*DEMANDA!L59</f>
        <v>6.15</v>
      </c>
      <c r="O22" s="42" t="n">
        <f aca="false">BOM_COEF!Y215*DEMANDA!M59</f>
        <v>4.4</v>
      </c>
      <c r="P22" s="42" t="n">
        <f aca="false">BOM_COEF!Z215*DEMANDA!N59</f>
        <v>4.55</v>
      </c>
      <c r="Q22" s="42" t="n">
        <f aca="false">BOM_COEF!AA215*DEMANDA!O59</f>
        <v>3.7</v>
      </c>
      <c r="R22" s="24" t="s">
        <v>2615</v>
      </c>
    </row>
    <row r="23" customFormat="false" ht="15" hidden="false" customHeight="false" outlineLevel="0" collapsed="false">
      <c r="A23" s="38" t="n">
        <v>0</v>
      </c>
      <c r="B23" s="38" t="s">
        <v>1124</v>
      </c>
      <c r="C23" s="38" t="s">
        <v>2026</v>
      </c>
      <c r="D23" s="38" t="s">
        <v>82</v>
      </c>
      <c r="E23" s="38"/>
      <c r="F23" s="38"/>
      <c r="G23" s="38"/>
      <c r="H23" s="39" t="n">
        <f aca="false">SUM(H24:H25)</f>
        <v>2</v>
      </c>
      <c r="I23" s="39" t="n">
        <f aca="false">SUM(I24:I25)</f>
        <v>0.1</v>
      </c>
      <c r="J23" s="39" t="n">
        <f aca="false">SUM(J24:J25)</f>
        <v>2.1</v>
      </c>
      <c r="K23" s="39" t="n">
        <f aca="false">SUM(K24:K25)</f>
        <v>2.2</v>
      </c>
      <c r="L23" s="39" t="n">
        <f aca="false">SUM(L24:L25)</f>
        <v>4.3</v>
      </c>
      <c r="M23" s="39" t="n">
        <f aca="false">SUM(M24:M25)</f>
        <v>2.5</v>
      </c>
      <c r="N23" s="39" t="n">
        <f aca="false">SUM(N24:N25)</f>
        <v>2.6</v>
      </c>
      <c r="O23" s="39" t="n">
        <f aca="false">SUM(O24:O25)</f>
        <v>2.7</v>
      </c>
      <c r="P23" s="39" t="n">
        <f aca="false">SUM(P24:P25)</f>
        <v>2.8</v>
      </c>
      <c r="Q23" s="39" t="n">
        <f aca="false">SUM(Q24:Q25)</f>
        <v>0.9</v>
      </c>
      <c r="R23" s="38"/>
    </row>
    <row r="24" customFormat="false" ht="15" hidden="false" customHeight="false" outlineLevel="1" collapsed="false">
      <c r="A24" s="24" t="n">
        <v>1</v>
      </c>
      <c r="B24" s="24" t="s">
        <v>1124</v>
      </c>
      <c r="C24" s="40" t="s">
        <v>2997</v>
      </c>
      <c r="D24" s="24" t="s">
        <v>82</v>
      </c>
      <c r="E24" s="24" t="s">
        <v>405</v>
      </c>
      <c r="F24" s="41" t="n">
        <f aca="false">INDEX((BOM_COEF!R314~BOM_COEF!S314~BOM_COEF!T314~BOM_COEF!U314~BOM_COEF!V314~BOM_COEF!W314~BOM_COEF!X314~BOM_COEF!Y314~BOM_COEF!Z314~BOM_COEF!AA314),1,1,INDEX(P_VAL,MATCH("AÑO_DIS",P_ID,0))-2025)</f>
        <v>1</v>
      </c>
      <c r="G24" s="24" t="s">
        <v>2281</v>
      </c>
      <c r="H24" s="42" t="n">
        <f aca="false">BOM_COEF!R314*DEMANDA!F60</f>
        <v>1</v>
      </c>
      <c r="I24" s="42" t="n">
        <f aca="false">BOM_COEF!S314*DEMANDA!G60</f>
        <v>0.05</v>
      </c>
      <c r="J24" s="42" t="n">
        <f aca="false">BOM_COEF!T314*DEMANDA!H60</f>
        <v>1.05</v>
      </c>
      <c r="K24" s="42" t="n">
        <f aca="false">BOM_COEF!U314*DEMANDA!I60</f>
        <v>1.1</v>
      </c>
      <c r="L24" s="42" t="n">
        <f aca="false">BOM_COEF!V314*DEMANDA!J60</f>
        <v>2.15</v>
      </c>
      <c r="M24" s="42" t="n">
        <f aca="false">BOM_COEF!W314*DEMANDA!K60</f>
        <v>1.25</v>
      </c>
      <c r="N24" s="42" t="n">
        <f aca="false">BOM_COEF!X314*DEMANDA!L60</f>
        <v>1.3</v>
      </c>
      <c r="O24" s="42" t="n">
        <f aca="false">BOM_COEF!Y314*DEMANDA!M60</f>
        <v>1.35</v>
      </c>
      <c r="P24" s="42" t="n">
        <f aca="false">BOM_COEF!Z314*DEMANDA!N60</f>
        <v>1.4</v>
      </c>
      <c r="Q24" s="42" t="n">
        <f aca="false">BOM_COEF!AA314*DEMANDA!O60</f>
        <v>0.45</v>
      </c>
      <c r="R24" s="24" t="s">
        <v>2629</v>
      </c>
    </row>
    <row r="25" customFormat="false" ht="15" hidden="false" customHeight="false" outlineLevel="1" collapsed="false">
      <c r="A25" s="24" t="n">
        <v>1</v>
      </c>
      <c r="B25" s="24" t="s">
        <v>1124</v>
      </c>
      <c r="C25" s="40" t="s">
        <v>2998</v>
      </c>
      <c r="D25" s="24" t="s">
        <v>82</v>
      </c>
      <c r="E25" s="24" t="s">
        <v>405</v>
      </c>
      <c r="F25" s="41" t="n">
        <f aca="false">INDEX((BOM_COEF!R315~BOM_COEF!S315~BOM_COEF!T315~BOM_COEF!U315~BOM_COEF!V315~BOM_COEF!W315~BOM_COEF!X315~BOM_COEF!Y315~BOM_COEF!Z315~BOM_COEF!AA315),1,1,INDEX(P_VAL,MATCH("AÑO_DIS",P_ID,0))-2025)</f>
        <v>1</v>
      </c>
      <c r="G25" s="24" t="s">
        <v>2281</v>
      </c>
      <c r="H25" s="42" t="n">
        <f aca="false">BOM_COEF!R315*DEMANDA!F60</f>
        <v>1</v>
      </c>
      <c r="I25" s="42" t="n">
        <f aca="false">BOM_COEF!S315*DEMANDA!G60</f>
        <v>0.05</v>
      </c>
      <c r="J25" s="42" t="n">
        <f aca="false">BOM_COEF!T315*DEMANDA!H60</f>
        <v>1.05</v>
      </c>
      <c r="K25" s="42" t="n">
        <f aca="false">BOM_COEF!U315*DEMANDA!I60</f>
        <v>1.1</v>
      </c>
      <c r="L25" s="42" t="n">
        <f aca="false">BOM_COEF!V315*DEMANDA!J60</f>
        <v>2.15</v>
      </c>
      <c r="M25" s="42" t="n">
        <f aca="false">BOM_COEF!W315*DEMANDA!K60</f>
        <v>1.25</v>
      </c>
      <c r="N25" s="42" t="n">
        <f aca="false">BOM_COEF!X315*DEMANDA!L60</f>
        <v>1.3</v>
      </c>
      <c r="O25" s="42" t="n">
        <f aca="false">BOM_COEF!Y315*DEMANDA!M60</f>
        <v>1.35</v>
      </c>
      <c r="P25" s="42" t="n">
        <f aca="false">BOM_COEF!Z315*DEMANDA!N60</f>
        <v>1.4</v>
      </c>
      <c r="Q25" s="42" t="n">
        <f aca="false">BOM_COEF!AA315*DEMANDA!O60</f>
        <v>0.45</v>
      </c>
      <c r="R25" s="24" t="s">
        <v>2631</v>
      </c>
    </row>
    <row r="26" customFormat="false" ht="15" hidden="false" customHeight="false" outlineLevel="0" collapsed="false">
      <c r="A26" s="38" t="n">
        <v>0</v>
      </c>
      <c r="B26" s="38" t="s">
        <v>625</v>
      </c>
      <c r="C26" s="38" t="s">
        <v>2036</v>
      </c>
      <c r="D26" s="38" t="s">
        <v>82</v>
      </c>
      <c r="E26" s="38"/>
      <c r="F26" s="38"/>
      <c r="G26" s="38"/>
      <c r="H26" s="39" t="n">
        <f aca="false">SUM(H27:H28)</f>
        <v>65</v>
      </c>
      <c r="I26" s="39" t="n">
        <f aca="false">SUM(I27:I28)</f>
        <v>225.25</v>
      </c>
      <c r="J26" s="39" t="n">
        <f aca="false">SUM(J27:J28)</f>
        <v>292.35</v>
      </c>
      <c r="K26" s="39" t="n">
        <f aca="false">SUM(K27:K28)</f>
        <v>510.25</v>
      </c>
      <c r="L26" s="39" t="n">
        <f aca="false">SUM(L27:L28)</f>
        <v>551.35</v>
      </c>
      <c r="M26" s="39" t="n">
        <f aca="false">SUM(M27:M28)</f>
        <v>645.3</v>
      </c>
      <c r="N26" s="39" t="n">
        <f aca="false">SUM(N27:N28)</f>
        <v>621.7</v>
      </c>
      <c r="O26" s="39" t="n">
        <f aca="false">SUM(O27:O28)</f>
        <v>501.5</v>
      </c>
      <c r="P26" s="39" t="n">
        <f aca="false">SUM(P27:P28)</f>
        <v>375</v>
      </c>
      <c r="Q26" s="39" t="n">
        <f aca="false">SUM(Q27:Q28)</f>
        <v>389.25</v>
      </c>
      <c r="R26" s="38"/>
    </row>
    <row r="27" customFormat="false" ht="15" hidden="false" customHeight="false" outlineLevel="1" collapsed="false">
      <c r="A27" s="24" t="n">
        <v>1</v>
      </c>
      <c r="B27" s="24" t="s">
        <v>625</v>
      </c>
      <c r="C27" s="40" t="s">
        <v>2999</v>
      </c>
      <c r="D27" s="24" t="s">
        <v>82</v>
      </c>
      <c r="E27" s="24" t="s">
        <v>372</v>
      </c>
      <c r="F27" s="41" t="n">
        <f aca="false">INDEX((BOM_COEF!R84~BOM_COEF!S84~BOM_COEF!T84~BOM_COEF!U84~BOM_COEF!V84~BOM_COEF!W84~BOM_COEF!X84~BOM_COEF!Y84~BOM_COEF!Z84~BOM_COEF!AA84),1,1,INDEX(P_VAL,MATCH("AÑO_DIS",P_ID,0))-2025)</f>
        <v>1</v>
      </c>
      <c r="G27" s="24" t="s">
        <v>2281</v>
      </c>
      <c r="H27" s="42" t="n">
        <f aca="false">BOM_COEF!R84*DEMANDA!F49</f>
        <v>63</v>
      </c>
      <c r="I27" s="42" t="n">
        <f aca="false">BOM_COEF!S84*DEMANDA!G49</f>
        <v>222.15</v>
      </c>
      <c r="J27" s="42" t="n">
        <f aca="false">BOM_COEF!T84*DEMANDA!H49</f>
        <v>285.1</v>
      </c>
      <c r="K27" s="42" t="n">
        <f aca="false">BOM_COEF!U84*DEMANDA!I49</f>
        <v>499.65</v>
      </c>
      <c r="L27" s="42" t="n">
        <f aca="false">BOM_COEF!V84*DEMANDA!J49</f>
        <v>541.25</v>
      </c>
      <c r="M27" s="42" t="n">
        <f aca="false">BOM_COEF!W84*DEMANDA!K49</f>
        <v>632.75</v>
      </c>
      <c r="N27" s="42" t="n">
        <f aca="false">BOM_COEF!X84*DEMANDA!L49</f>
        <v>610.6</v>
      </c>
      <c r="O27" s="42" t="n">
        <f aca="false">BOM_COEF!Y84*DEMANDA!M49</f>
        <v>493.95</v>
      </c>
      <c r="P27" s="42" t="n">
        <f aca="false">BOM_COEF!Z84*DEMANDA!N49</f>
        <v>367.2</v>
      </c>
      <c r="Q27" s="42" t="n">
        <f aca="false">BOM_COEF!AA84*DEMANDA!O49</f>
        <v>382.2</v>
      </c>
      <c r="R27" s="24" t="s">
        <v>2338</v>
      </c>
    </row>
    <row r="28" customFormat="false" ht="15" hidden="false" customHeight="false" outlineLevel="1" collapsed="false">
      <c r="A28" s="24" t="n">
        <v>1</v>
      </c>
      <c r="B28" s="24" t="s">
        <v>625</v>
      </c>
      <c r="C28" s="40" t="s">
        <v>3000</v>
      </c>
      <c r="D28" s="24" t="s">
        <v>82</v>
      </c>
      <c r="E28" s="24" t="s">
        <v>375</v>
      </c>
      <c r="F28" s="41" t="n">
        <f aca="false">INDEX((BOM_COEF!R125~BOM_COEF!S125~BOM_COEF!T125~BOM_COEF!U125~BOM_COEF!V125~BOM_COEF!W125~BOM_COEF!X125~BOM_COEF!Y125~BOM_COEF!Z125~BOM_COEF!AA125),1,1,INDEX(P_VAL,MATCH("AÑO_DIS",P_ID,0))-2025)</f>
        <v>1</v>
      </c>
      <c r="G28" s="24" t="s">
        <v>2281</v>
      </c>
      <c r="H28" s="42" t="n">
        <f aca="false">BOM_COEF!R125*DEMANDA!F50</f>
        <v>2</v>
      </c>
      <c r="I28" s="42" t="n">
        <f aca="false">BOM_COEF!S125*DEMANDA!G50</f>
        <v>3.1</v>
      </c>
      <c r="J28" s="42" t="n">
        <f aca="false">BOM_COEF!T125*DEMANDA!H50</f>
        <v>7.25</v>
      </c>
      <c r="K28" s="42" t="n">
        <f aca="false">BOM_COEF!U125*DEMANDA!I50</f>
        <v>10.6</v>
      </c>
      <c r="L28" s="42" t="n">
        <f aca="false">BOM_COEF!V125*DEMANDA!J50</f>
        <v>10.1</v>
      </c>
      <c r="M28" s="42" t="n">
        <f aca="false">BOM_COEF!W125*DEMANDA!K50</f>
        <v>12.55</v>
      </c>
      <c r="N28" s="42" t="n">
        <f aca="false">BOM_COEF!X125*DEMANDA!L50</f>
        <v>11.1</v>
      </c>
      <c r="O28" s="42" t="n">
        <f aca="false">BOM_COEF!Y125*DEMANDA!M50</f>
        <v>7.55</v>
      </c>
      <c r="P28" s="42" t="n">
        <f aca="false">BOM_COEF!Z125*DEMANDA!N50</f>
        <v>7.8</v>
      </c>
      <c r="Q28" s="42" t="n">
        <f aca="false">BOM_COEF!AA125*DEMANDA!O50</f>
        <v>7.05</v>
      </c>
      <c r="R28" s="24" t="s">
        <v>2342</v>
      </c>
    </row>
    <row r="29" customFormat="false" ht="15" hidden="false" customHeight="false" outlineLevel="0" collapsed="false">
      <c r="A29" s="38" t="n">
        <v>0</v>
      </c>
      <c r="B29" s="38" t="s">
        <v>891</v>
      </c>
      <c r="C29" s="38" t="s">
        <v>2037</v>
      </c>
      <c r="D29" s="38" t="s">
        <v>82</v>
      </c>
      <c r="E29" s="38"/>
      <c r="F29" s="38"/>
      <c r="G29" s="38"/>
      <c r="H29" s="39" t="n">
        <f aca="false">SUM(H30:H30)</f>
        <v>1</v>
      </c>
      <c r="I29" s="39" t="n">
        <f aca="false">SUM(I30:I30)</f>
        <v>2.05</v>
      </c>
      <c r="J29" s="39" t="n">
        <f aca="false">SUM(J30:J30)</f>
        <v>4.15</v>
      </c>
      <c r="K29" s="39" t="n">
        <f aca="false">SUM(K30:K30)</f>
        <v>5.35</v>
      </c>
      <c r="L29" s="39" t="n">
        <f aca="false">SUM(L30:L30)</f>
        <v>5.6</v>
      </c>
      <c r="M29" s="39" t="n">
        <f aca="false">SUM(M30:M30)</f>
        <v>6.85</v>
      </c>
      <c r="N29" s="39" t="n">
        <f aca="false">SUM(N30:N30)</f>
        <v>6.15</v>
      </c>
      <c r="O29" s="39" t="n">
        <f aca="false">SUM(O30:O30)</f>
        <v>4.4</v>
      </c>
      <c r="P29" s="39" t="n">
        <f aca="false">SUM(P30:P30)</f>
        <v>4.55</v>
      </c>
      <c r="Q29" s="39" t="n">
        <f aca="false">SUM(Q30:Q30)</f>
        <v>3.7</v>
      </c>
      <c r="R29" s="38"/>
    </row>
    <row r="30" customFormat="false" ht="15" hidden="false" customHeight="false" outlineLevel="1" collapsed="false">
      <c r="A30" s="24" t="n">
        <v>1</v>
      </c>
      <c r="B30" s="24" t="s">
        <v>891</v>
      </c>
      <c r="C30" s="40" t="s">
        <v>3001</v>
      </c>
      <c r="D30" s="24" t="s">
        <v>82</v>
      </c>
      <c r="E30" s="24" t="s">
        <v>402</v>
      </c>
      <c r="F30" s="41" t="n">
        <f aca="false">INDEX((BOM_COEF!R216~BOM_COEF!S216~BOM_COEF!T216~BOM_COEF!U216~BOM_COEF!V216~BOM_COEF!W216~BOM_COEF!X216~BOM_COEF!Y216~BOM_COEF!Z216~BOM_COEF!AA216),1,1,INDEX(P_VAL,MATCH("AÑO_DIS",P_ID,0))-2025)</f>
        <v>1</v>
      </c>
      <c r="G30" s="24" t="s">
        <v>2281</v>
      </c>
      <c r="H30" s="42" t="n">
        <f aca="false">BOM_COEF!R216*DEMANDA!F59</f>
        <v>1</v>
      </c>
      <c r="I30" s="42" t="n">
        <f aca="false">BOM_COEF!S216*DEMANDA!G59</f>
        <v>2.05</v>
      </c>
      <c r="J30" s="42" t="n">
        <f aca="false">BOM_COEF!T216*DEMANDA!H59</f>
        <v>4.15</v>
      </c>
      <c r="K30" s="42" t="n">
        <f aca="false">BOM_COEF!U216*DEMANDA!I59</f>
        <v>5.35</v>
      </c>
      <c r="L30" s="42" t="n">
        <f aca="false">BOM_COEF!V216*DEMANDA!J59</f>
        <v>5.6</v>
      </c>
      <c r="M30" s="42" t="n">
        <f aca="false">BOM_COEF!W216*DEMANDA!K59</f>
        <v>6.85</v>
      </c>
      <c r="N30" s="42" t="n">
        <f aca="false">BOM_COEF!X216*DEMANDA!L59</f>
        <v>6.15</v>
      </c>
      <c r="O30" s="42" t="n">
        <f aca="false">BOM_COEF!Y216*DEMANDA!M59</f>
        <v>4.4</v>
      </c>
      <c r="P30" s="42" t="n">
        <f aca="false">BOM_COEF!Z216*DEMANDA!N59</f>
        <v>4.55</v>
      </c>
      <c r="Q30" s="42" t="n">
        <f aca="false">BOM_COEF!AA216*DEMANDA!O59</f>
        <v>3.7</v>
      </c>
      <c r="R30" s="24" t="s">
        <v>2641</v>
      </c>
    </row>
    <row r="31" customFormat="false" ht="15" hidden="false" customHeight="false" outlineLevel="0" collapsed="false">
      <c r="A31" s="38" t="n">
        <v>0</v>
      </c>
      <c r="B31" s="38" t="s">
        <v>1129</v>
      </c>
      <c r="C31" s="38" t="s">
        <v>2041</v>
      </c>
      <c r="D31" s="38" t="s">
        <v>82</v>
      </c>
      <c r="E31" s="38"/>
      <c r="F31" s="38"/>
      <c r="G31" s="38"/>
      <c r="H31" s="39" t="n">
        <f aca="false">SUM(H32:H32)</f>
        <v>1</v>
      </c>
      <c r="I31" s="39" t="n">
        <f aca="false">SUM(I32:I32)</f>
        <v>0.05</v>
      </c>
      <c r="J31" s="39" t="n">
        <f aca="false">SUM(J32:J32)</f>
        <v>1.05</v>
      </c>
      <c r="K31" s="39" t="n">
        <f aca="false">SUM(K32:K32)</f>
        <v>1.1</v>
      </c>
      <c r="L31" s="39" t="n">
        <f aca="false">SUM(L32:L32)</f>
        <v>2.15</v>
      </c>
      <c r="M31" s="39" t="n">
        <f aca="false">SUM(M32:M32)</f>
        <v>1.25</v>
      </c>
      <c r="N31" s="39" t="n">
        <f aca="false">SUM(N32:N32)</f>
        <v>1.3</v>
      </c>
      <c r="O31" s="39" t="n">
        <f aca="false">SUM(O32:O32)</f>
        <v>1.35</v>
      </c>
      <c r="P31" s="39" t="n">
        <f aca="false">SUM(P32:P32)</f>
        <v>1.4</v>
      </c>
      <c r="Q31" s="39" t="n">
        <f aca="false">SUM(Q32:Q32)</f>
        <v>0.45</v>
      </c>
      <c r="R31" s="38"/>
    </row>
    <row r="32" customFormat="false" ht="15" hidden="false" customHeight="false" outlineLevel="1" collapsed="false">
      <c r="A32" s="24" t="n">
        <v>1</v>
      </c>
      <c r="B32" s="24" t="s">
        <v>1129</v>
      </c>
      <c r="C32" s="40" t="s">
        <v>3002</v>
      </c>
      <c r="D32" s="24" t="s">
        <v>82</v>
      </c>
      <c r="E32" s="24" t="s">
        <v>405</v>
      </c>
      <c r="F32" s="41" t="n">
        <f aca="false">INDEX((BOM_COEF!R316~BOM_COEF!S316~BOM_COEF!T316~BOM_COEF!U316~BOM_COEF!V316~BOM_COEF!W316~BOM_COEF!X316~BOM_COEF!Y316~BOM_COEF!Z316~BOM_COEF!AA316),1,1,INDEX(P_VAL,MATCH("AÑO_DIS",P_ID,0))-2025)</f>
        <v>1</v>
      </c>
      <c r="G32" s="24" t="s">
        <v>2281</v>
      </c>
      <c r="H32" s="42" t="n">
        <f aca="false">BOM_COEF!R316*DEMANDA!F60</f>
        <v>1</v>
      </c>
      <c r="I32" s="42" t="n">
        <f aca="false">BOM_COEF!S316*DEMANDA!G60</f>
        <v>0.05</v>
      </c>
      <c r="J32" s="42" t="n">
        <f aca="false">BOM_COEF!T316*DEMANDA!H60</f>
        <v>1.05</v>
      </c>
      <c r="K32" s="42" t="n">
        <f aca="false">BOM_COEF!U316*DEMANDA!I60</f>
        <v>1.1</v>
      </c>
      <c r="L32" s="42" t="n">
        <f aca="false">BOM_COEF!V316*DEMANDA!J60</f>
        <v>2.15</v>
      </c>
      <c r="M32" s="42" t="n">
        <f aca="false">BOM_COEF!W316*DEMANDA!K60</f>
        <v>1.25</v>
      </c>
      <c r="N32" s="42" t="n">
        <f aca="false">BOM_COEF!X316*DEMANDA!L60</f>
        <v>1.3</v>
      </c>
      <c r="O32" s="42" t="n">
        <f aca="false">BOM_COEF!Y316*DEMANDA!M60</f>
        <v>1.35</v>
      </c>
      <c r="P32" s="42" t="n">
        <f aca="false">BOM_COEF!Z316*DEMANDA!N60</f>
        <v>1.4</v>
      </c>
      <c r="Q32" s="42" t="n">
        <f aca="false">BOM_COEF!AA316*DEMANDA!O60</f>
        <v>0.45</v>
      </c>
      <c r="R32" s="24" t="s">
        <v>2649</v>
      </c>
    </row>
    <row r="33" customFormat="false" ht="15" hidden="false" customHeight="false" outlineLevel="0" collapsed="false">
      <c r="A33" s="38" t="n">
        <v>0</v>
      </c>
      <c r="B33" s="38" t="s">
        <v>951</v>
      </c>
      <c r="C33" s="38" t="s">
        <v>2044</v>
      </c>
      <c r="D33" s="38" t="s">
        <v>1737</v>
      </c>
      <c r="E33" s="38"/>
      <c r="F33" s="38"/>
      <c r="G33" s="38"/>
      <c r="H33" s="39" t="n">
        <f aca="false">SUM(H34:H35)</f>
        <v>0.545614035087719</v>
      </c>
      <c r="I33" s="39" t="n">
        <f aca="false">SUM(I34:I35)</f>
        <v>0.560614035087719</v>
      </c>
      <c r="J33" s="39" t="n">
        <f aca="false">SUM(J34:J35)</f>
        <v>1.39956140350877</v>
      </c>
      <c r="K33" s="39" t="n">
        <f aca="false">SUM(K34:K35)</f>
        <v>1.73350877192982</v>
      </c>
      <c r="L33" s="39" t="n">
        <f aca="false">SUM(L34:L35)</f>
        <v>2.0930701754386</v>
      </c>
      <c r="M33" s="39" t="n">
        <f aca="false">SUM(M34:M35)</f>
        <v>2.17535087719298</v>
      </c>
      <c r="N33" s="39" t="n">
        <f aca="false">SUM(N34:N35)</f>
        <v>2.00263157894737</v>
      </c>
      <c r="O33" s="39" t="n">
        <f aca="false">SUM(O34:O35)</f>
        <v>1.54991228070175</v>
      </c>
      <c r="P33" s="39" t="n">
        <f aca="false">SUM(P34:P35)</f>
        <v>1.60385964912281</v>
      </c>
      <c r="Q33" s="39" t="n">
        <f aca="false">SUM(Q34:Q35)</f>
        <v>1.11219298245614</v>
      </c>
      <c r="R33" s="38"/>
    </row>
    <row r="34" customFormat="false" ht="15" hidden="false" customHeight="false" outlineLevel="1" collapsed="false">
      <c r="A34" s="24" t="n">
        <v>1</v>
      </c>
      <c r="B34" s="24" t="s">
        <v>951</v>
      </c>
      <c r="C34" s="40" t="s">
        <v>3003</v>
      </c>
      <c r="D34" s="24" t="s">
        <v>1737</v>
      </c>
      <c r="E34" s="24" t="s">
        <v>402</v>
      </c>
      <c r="F34" s="41" t="n">
        <f aca="false">INDEX((BOM_COEF!R245~BOM_COEF!S245~BOM_COEF!T245~BOM_COEF!U245~BOM_COEF!V245~BOM_COEF!W245~BOM_COEF!X245~BOM_COEF!Y245~BOM_COEF!Z245~BOM_COEF!AA245),1,1,INDEX(P_VAL,MATCH("AÑO_DIS",P_ID,0))-2025)</f>
        <v>0.266666666666667</v>
      </c>
      <c r="G34" s="24" t="s">
        <v>2281</v>
      </c>
      <c r="H34" s="42" t="n">
        <f aca="false">BOM_COEF!R245*DEMANDA!F59</f>
        <v>0.266666666666667</v>
      </c>
      <c r="I34" s="42" t="n">
        <f aca="false">BOM_COEF!S245*DEMANDA!G59</f>
        <v>0.546666666666667</v>
      </c>
      <c r="J34" s="42" t="n">
        <f aca="false">BOM_COEF!T245*DEMANDA!H59</f>
        <v>1.10666666666667</v>
      </c>
      <c r="K34" s="42" t="n">
        <f aca="false">BOM_COEF!U245*DEMANDA!I59</f>
        <v>1.42666666666667</v>
      </c>
      <c r="L34" s="42" t="n">
        <f aca="false">BOM_COEF!V245*DEMANDA!J59</f>
        <v>1.49333333333333</v>
      </c>
      <c r="M34" s="42" t="n">
        <f aca="false">BOM_COEF!W245*DEMANDA!K59</f>
        <v>1.82666666666667</v>
      </c>
      <c r="N34" s="42" t="n">
        <f aca="false">BOM_COEF!X245*DEMANDA!L59</f>
        <v>1.64</v>
      </c>
      <c r="O34" s="42" t="n">
        <f aca="false">BOM_COEF!Y245*DEMANDA!M59</f>
        <v>1.17333333333333</v>
      </c>
      <c r="P34" s="42" t="n">
        <f aca="false">BOM_COEF!Z245*DEMANDA!N59</f>
        <v>1.21333333333333</v>
      </c>
      <c r="Q34" s="42" t="n">
        <f aca="false">BOM_COEF!AA245*DEMANDA!O59</f>
        <v>0.986666666666667</v>
      </c>
      <c r="R34" s="24" t="s">
        <v>2657</v>
      </c>
    </row>
    <row r="35" customFormat="false" ht="15" hidden="false" customHeight="false" outlineLevel="1" collapsed="false">
      <c r="A35" s="24" t="n">
        <v>1</v>
      </c>
      <c r="B35" s="24" t="s">
        <v>951</v>
      </c>
      <c r="C35" s="40" t="s">
        <v>3004</v>
      </c>
      <c r="D35" s="24" t="s">
        <v>1737</v>
      </c>
      <c r="E35" s="24" t="s">
        <v>405</v>
      </c>
      <c r="F35" s="41" t="n">
        <f aca="false">INDEX((BOM_COEF!R346~BOM_COEF!S346~BOM_COEF!T346~BOM_COEF!U346~BOM_COEF!V346~BOM_COEF!W346~BOM_COEF!X346~BOM_COEF!Y346~BOM_COEF!Z346~BOM_COEF!AA346),1,1,INDEX(P_VAL,MATCH("AÑO_DIS",P_ID,0))-2025)</f>
        <v>0.278947368421053</v>
      </c>
      <c r="G35" s="24" t="s">
        <v>2281</v>
      </c>
      <c r="H35" s="42" t="n">
        <f aca="false">BOM_COEF!R346*DEMANDA!F60</f>
        <v>0.278947368421053</v>
      </c>
      <c r="I35" s="42" t="n">
        <f aca="false">BOM_COEF!S346*DEMANDA!G60</f>
        <v>0.0139473684210526</v>
      </c>
      <c r="J35" s="42" t="n">
        <f aca="false">BOM_COEF!T346*DEMANDA!H60</f>
        <v>0.292894736842105</v>
      </c>
      <c r="K35" s="42" t="n">
        <f aca="false">BOM_COEF!U346*DEMANDA!I60</f>
        <v>0.306842105263158</v>
      </c>
      <c r="L35" s="42" t="n">
        <f aca="false">BOM_COEF!V346*DEMANDA!J60</f>
        <v>0.599736842105263</v>
      </c>
      <c r="M35" s="42" t="n">
        <f aca="false">BOM_COEF!W346*DEMANDA!K60</f>
        <v>0.348684210526316</v>
      </c>
      <c r="N35" s="42" t="n">
        <f aca="false">BOM_COEF!X346*DEMANDA!L60</f>
        <v>0.362631578947368</v>
      </c>
      <c r="O35" s="42" t="n">
        <f aca="false">BOM_COEF!Y346*DEMANDA!M60</f>
        <v>0.376578947368421</v>
      </c>
      <c r="P35" s="42" t="n">
        <f aca="false">BOM_COEF!Z346*DEMANDA!N60</f>
        <v>0.390526315789474</v>
      </c>
      <c r="Q35" s="42" t="n">
        <f aca="false">BOM_COEF!AA346*DEMANDA!O60</f>
        <v>0.125526315789474</v>
      </c>
      <c r="R35" s="24" t="s">
        <v>2661</v>
      </c>
    </row>
    <row r="36" customFormat="false" ht="15" hidden="false" customHeight="false" outlineLevel="0" collapsed="false">
      <c r="A36" s="38" t="n">
        <v>0</v>
      </c>
      <c r="B36" s="38" t="s">
        <v>1073</v>
      </c>
      <c r="C36" s="38" t="s">
        <v>2050</v>
      </c>
      <c r="D36" s="38" t="s">
        <v>1737</v>
      </c>
      <c r="E36" s="38"/>
      <c r="F36" s="38"/>
      <c r="G36" s="38"/>
      <c r="H36" s="39" t="n">
        <f aca="false">SUM(H37:H38)</f>
        <v>0.138245614035088</v>
      </c>
      <c r="I36" s="39" t="n">
        <f aca="false">SUM(I37:I38)</f>
        <v>0.131122807017544</v>
      </c>
      <c r="J36" s="39" t="n">
        <f aca="false">SUM(J37:J38)</f>
        <v>0.337684210526316</v>
      </c>
      <c r="K36" s="39" t="n">
        <f aca="false">SUM(K37:K38)</f>
        <v>0.416017543859649</v>
      </c>
      <c r="L36" s="39" t="n">
        <f aca="false">SUM(L37:L38)</f>
        <v>0.511491228070175</v>
      </c>
      <c r="M36" s="39" t="n">
        <f aca="false">SUM(M37:M38)</f>
        <v>0.52059649122807</v>
      </c>
      <c r="N36" s="39" t="n">
        <f aca="false">SUM(N37:N38)</f>
        <v>0.480929824561404</v>
      </c>
      <c r="O36" s="39" t="n">
        <f aca="false">SUM(O37:O38)</f>
        <v>0.376052631578947</v>
      </c>
      <c r="P36" s="39" t="n">
        <f aca="false">SUM(P37:P38)</f>
        <v>0.389175438596491</v>
      </c>
      <c r="Q36" s="39" t="n">
        <f aca="false">SUM(Q37:Q38)</f>
        <v>0.264052631578947</v>
      </c>
      <c r="R36" s="38"/>
    </row>
    <row r="37" customFormat="false" ht="15" hidden="false" customHeight="false" outlineLevel="1" collapsed="false">
      <c r="A37" s="24" t="n">
        <v>1</v>
      </c>
      <c r="B37" s="24" t="s">
        <v>1073</v>
      </c>
      <c r="C37" s="40" t="s">
        <v>3005</v>
      </c>
      <c r="D37" s="24" t="s">
        <v>1737</v>
      </c>
      <c r="E37" s="24" t="s">
        <v>402</v>
      </c>
      <c r="F37" s="41" t="n">
        <f aca="false">INDEX((BOM_COEF!R239~BOM_COEF!S239~BOM_COEF!T239~BOM_COEF!U239~BOM_COEF!V239~BOM_COEF!W239~BOM_COEF!X239~BOM_COEF!Y239~BOM_COEF!Z239~BOM_COEF!AA239),1,1,INDEX(P_VAL,MATCH("AÑO_DIS",P_ID,0))-2025)</f>
        <v>0.0621052631578947</v>
      </c>
      <c r="G37" s="24" t="s">
        <v>2281</v>
      </c>
      <c r="H37" s="42" t="n">
        <f aca="false">BOM_COEF!R239*DEMANDA!F59</f>
        <v>0.0621052631578947</v>
      </c>
      <c r="I37" s="42" t="n">
        <f aca="false">BOM_COEF!S239*DEMANDA!G59</f>
        <v>0.127315789473684</v>
      </c>
      <c r="J37" s="42" t="n">
        <f aca="false">BOM_COEF!T239*DEMANDA!H59</f>
        <v>0.257736842105263</v>
      </c>
      <c r="K37" s="42" t="n">
        <f aca="false">BOM_COEF!U239*DEMANDA!I59</f>
        <v>0.332263157894737</v>
      </c>
      <c r="L37" s="42" t="n">
        <f aca="false">BOM_COEF!V239*DEMANDA!J59</f>
        <v>0.347789473684211</v>
      </c>
      <c r="M37" s="42" t="n">
        <f aca="false">BOM_COEF!W239*DEMANDA!K59</f>
        <v>0.425421052631579</v>
      </c>
      <c r="N37" s="42" t="n">
        <f aca="false">BOM_COEF!X239*DEMANDA!L59</f>
        <v>0.381947368421053</v>
      </c>
      <c r="O37" s="42" t="n">
        <f aca="false">BOM_COEF!Y239*DEMANDA!M59</f>
        <v>0.273263157894737</v>
      </c>
      <c r="P37" s="42" t="n">
        <f aca="false">BOM_COEF!Z239*DEMANDA!N59</f>
        <v>0.282578947368421</v>
      </c>
      <c r="Q37" s="42" t="n">
        <f aca="false">BOM_COEF!AA239*DEMANDA!O59</f>
        <v>0.229789473684211</v>
      </c>
      <c r="R37" s="24" t="s">
        <v>2663</v>
      </c>
    </row>
    <row r="38" customFormat="false" ht="15" hidden="false" customHeight="false" outlineLevel="1" collapsed="false">
      <c r="A38" s="24" t="n">
        <v>1</v>
      </c>
      <c r="B38" s="24" t="s">
        <v>1073</v>
      </c>
      <c r="C38" s="40" t="s">
        <v>3006</v>
      </c>
      <c r="D38" s="24" t="s">
        <v>1737</v>
      </c>
      <c r="E38" s="24" t="s">
        <v>405</v>
      </c>
      <c r="F38" s="41" t="n">
        <f aca="false">INDEX((BOM_COEF!R340~BOM_COEF!S340~BOM_COEF!T340~BOM_COEF!U340~BOM_COEF!V340~BOM_COEF!W340~BOM_COEF!X340~BOM_COEF!Y340~BOM_COEF!Z340~BOM_COEF!AA340),1,1,INDEX(P_VAL,MATCH("AÑO_DIS",P_ID,0))-2025)</f>
        <v>0.076140350877193</v>
      </c>
      <c r="G38" s="24" t="s">
        <v>2281</v>
      </c>
      <c r="H38" s="42" t="n">
        <f aca="false">BOM_COEF!R340*DEMANDA!F60</f>
        <v>0.076140350877193</v>
      </c>
      <c r="I38" s="42" t="n">
        <f aca="false">BOM_COEF!S340*DEMANDA!G60</f>
        <v>0.00380701754385965</v>
      </c>
      <c r="J38" s="42" t="n">
        <f aca="false">BOM_COEF!T340*DEMANDA!H60</f>
        <v>0.0799473684210526</v>
      </c>
      <c r="K38" s="42" t="n">
        <f aca="false">BOM_COEF!U340*DEMANDA!I60</f>
        <v>0.0837543859649123</v>
      </c>
      <c r="L38" s="42" t="n">
        <f aca="false">BOM_COEF!V340*DEMANDA!J60</f>
        <v>0.163701754385965</v>
      </c>
      <c r="M38" s="42" t="n">
        <f aca="false">BOM_COEF!W340*DEMANDA!K60</f>
        <v>0.0951754385964912</v>
      </c>
      <c r="N38" s="42" t="n">
        <f aca="false">BOM_COEF!X340*DEMANDA!L60</f>
        <v>0.0989824561403509</v>
      </c>
      <c r="O38" s="42" t="n">
        <f aca="false">BOM_COEF!Y340*DEMANDA!M60</f>
        <v>0.102789473684211</v>
      </c>
      <c r="P38" s="42" t="n">
        <f aca="false">BOM_COEF!Z340*DEMANDA!N60</f>
        <v>0.10659649122807</v>
      </c>
      <c r="Q38" s="42" t="n">
        <f aca="false">BOM_COEF!AA340*DEMANDA!O60</f>
        <v>0.0342631578947368</v>
      </c>
      <c r="R38" s="24" t="s">
        <v>2667</v>
      </c>
    </row>
    <row r="39" customFormat="false" ht="15" hidden="false" customHeight="false" outlineLevel="0" collapsed="false">
      <c r="A39" s="38" t="n">
        <v>0</v>
      </c>
      <c r="B39" s="38" t="s">
        <v>1081</v>
      </c>
      <c r="C39" s="38" t="s">
        <v>2055</v>
      </c>
      <c r="D39" s="38" t="s">
        <v>1737</v>
      </c>
      <c r="E39" s="38"/>
      <c r="F39" s="38"/>
      <c r="G39" s="38"/>
      <c r="H39" s="39" t="n">
        <f aca="false">SUM(H40:H41)</f>
        <v>0.190909090909091</v>
      </c>
      <c r="I39" s="39" t="n">
        <f aca="false">SUM(I40:I41)</f>
        <v>0.191363636363636</v>
      </c>
      <c r="J39" s="39" t="n">
        <f aca="false">SUM(J40:J41)</f>
        <v>0.482272727272727</v>
      </c>
      <c r="K39" s="39" t="n">
        <f aca="false">SUM(K40:K41)</f>
        <v>0.596363636363636</v>
      </c>
      <c r="L39" s="39" t="n">
        <f aca="false">SUM(L40:L41)</f>
        <v>0.724090909090909</v>
      </c>
      <c r="M39" s="39" t="n">
        <f aca="false">SUM(M40:M41)</f>
        <v>0.747727272727273</v>
      </c>
      <c r="N39" s="39" t="n">
        <f aca="false">SUM(N40:N41)</f>
        <v>0.689090909090909</v>
      </c>
      <c r="O39" s="39" t="n">
        <f aca="false">SUM(O40:O41)</f>
        <v>0.535</v>
      </c>
      <c r="P39" s="39" t="n">
        <f aca="false">SUM(P40:P41)</f>
        <v>0.553636363636364</v>
      </c>
      <c r="Q39" s="39" t="n">
        <f aca="false">SUM(Q40:Q41)</f>
        <v>0.381363636363636</v>
      </c>
      <c r="R39" s="38"/>
    </row>
    <row r="40" customFormat="false" ht="15" hidden="false" customHeight="false" outlineLevel="1" collapsed="false">
      <c r="A40" s="24" t="n">
        <v>1</v>
      </c>
      <c r="B40" s="24" t="s">
        <v>1081</v>
      </c>
      <c r="C40" s="40" t="s">
        <v>3007</v>
      </c>
      <c r="D40" s="24" t="s">
        <v>1737</v>
      </c>
      <c r="E40" s="24" t="s">
        <v>402</v>
      </c>
      <c r="F40" s="41" t="n">
        <f aca="false">INDEX((BOM_COEF!R242~BOM_COEF!S242~BOM_COEF!T242~BOM_COEF!U242~BOM_COEF!V242~BOM_COEF!W242~BOM_COEF!X242~BOM_COEF!Y242~BOM_COEF!Z242~BOM_COEF!AA242),1,1,INDEX(P_VAL,MATCH("AÑO_DIS",P_ID,0))-2025)</f>
        <v>0.0909090909090909</v>
      </c>
      <c r="G40" s="24" t="s">
        <v>2281</v>
      </c>
      <c r="H40" s="42" t="n">
        <f aca="false">BOM_COEF!R242*DEMANDA!F59</f>
        <v>0.0909090909090909</v>
      </c>
      <c r="I40" s="42" t="n">
        <f aca="false">BOM_COEF!S242*DEMANDA!G59</f>
        <v>0.186363636363636</v>
      </c>
      <c r="J40" s="42" t="n">
        <f aca="false">BOM_COEF!T242*DEMANDA!H59</f>
        <v>0.377272727272727</v>
      </c>
      <c r="K40" s="42" t="n">
        <f aca="false">BOM_COEF!U242*DEMANDA!I59</f>
        <v>0.486363636363636</v>
      </c>
      <c r="L40" s="42" t="n">
        <f aca="false">BOM_COEF!V242*DEMANDA!J59</f>
        <v>0.509090909090909</v>
      </c>
      <c r="M40" s="42" t="n">
        <f aca="false">BOM_COEF!W242*DEMANDA!K59</f>
        <v>0.622727272727273</v>
      </c>
      <c r="N40" s="42" t="n">
        <f aca="false">BOM_COEF!X242*DEMANDA!L59</f>
        <v>0.559090909090909</v>
      </c>
      <c r="O40" s="42" t="n">
        <f aca="false">BOM_COEF!Y242*DEMANDA!M59</f>
        <v>0.4</v>
      </c>
      <c r="P40" s="42" t="n">
        <f aca="false">BOM_COEF!Z242*DEMANDA!N59</f>
        <v>0.413636363636364</v>
      </c>
      <c r="Q40" s="42" t="n">
        <f aca="false">BOM_COEF!AA242*DEMANDA!O59</f>
        <v>0.336363636363636</v>
      </c>
      <c r="R40" s="24" t="s">
        <v>2671</v>
      </c>
    </row>
    <row r="41" customFormat="false" ht="15" hidden="false" customHeight="false" outlineLevel="1" collapsed="false">
      <c r="A41" s="24" t="n">
        <v>1</v>
      </c>
      <c r="B41" s="24" t="s">
        <v>1081</v>
      </c>
      <c r="C41" s="40" t="s">
        <v>3008</v>
      </c>
      <c r="D41" s="24" t="s">
        <v>1737</v>
      </c>
      <c r="E41" s="24" t="s">
        <v>405</v>
      </c>
      <c r="F41" s="41" t="n">
        <f aca="false">INDEX((BOM_COEF!R343~BOM_COEF!S343~BOM_COEF!T343~BOM_COEF!U343~BOM_COEF!V343~BOM_COEF!W343~BOM_COEF!X343~BOM_COEF!Y343~BOM_COEF!Z343~BOM_COEF!AA343),1,1,INDEX(P_VAL,MATCH("AÑO_DIS",P_ID,0))-2025)</f>
        <v>0.1</v>
      </c>
      <c r="G41" s="24" t="s">
        <v>2281</v>
      </c>
      <c r="H41" s="42" t="n">
        <f aca="false">BOM_COEF!R343*DEMANDA!F60</f>
        <v>0.1</v>
      </c>
      <c r="I41" s="42" t="n">
        <f aca="false">BOM_COEF!S343*DEMANDA!G60</f>
        <v>0.005</v>
      </c>
      <c r="J41" s="42" t="n">
        <f aca="false">BOM_COEF!T343*DEMANDA!H60</f>
        <v>0.105</v>
      </c>
      <c r="K41" s="42" t="n">
        <f aca="false">BOM_COEF!U343*DEMANDA!I60</f>
        <v>0.11</v>
      </c>
      <c r="L41" s="42" t="n">
        <f aca="false">BOM_COEF!V343*DEMANDA!J60</f>
        <v>0.215</v>
      </c>
      <c r="M41" s="42" t="n">
        <f aca="false">BOM_COEF!W343*DEMANDA!K60</f>
        <v>0.125</v>
      </c>
      <c r="N41" s="42" t="n">
        <f aca="false">BOM_COEF!X343*DEMANDA!L60</f>
        <v>0.13</v>
      </c>
      <c r="O41" s="42" t="n">
        <f aca="false">BOM_COEF!Y343*DEMANDA!M60</f>
        <v>0.135</v>
      </c>
      <c r="P41" s="42" t="n">
        <f aca="false">BOM_COEF!Z343*DEMANDA!N60</f>
        <v>0.14</v>
      </c>
      <c r="Q41" s="42" t="n">
        <f aca="false">BOM_COEF!AA343*DEMANDA!O60</f>
        <v>0.045</v>
      </c>
      <c r="R41" s="24" t="s">
        <v>2675</v>
      </c>
    </row>
    <row r="42" customFormat="false" ht="15" hidden="false" customHeight="false" outlineLevel="0" collapsed="false">
      <c r="A42" s="38" t="n">
        <v>0</v>
      </c>
      <c r="B42" s="38" t="s">
        <v>971</v>
      </c>
      <c r="C42" s="38" t="s">
        <v>2057</v>
      </c>
      <c r="D42" s="38" t="s">
        <v>82</v>
      </c>
      <c r="E42" s="38"/>
      <c r="F42" s="38"/>
      <c r="G42" s="38"/>
      <c r="H42" s="39" t="n">
        <f aca="false">SUM(H43:H44)</f>
        <v>8</v>
      </c>
      <c r="I42" s="39" t="n">
        <f aca="false">SUM(I43:I44)</f>
        <v>8.4</v>
      </c>
      <c r="J42" s="39" t="n">
        <f aca="false">SUM(J43:J44)</f>
        <v>20.8</v>
      </c>
      <c r="K42" s="39" t="n">
        <f aca="false">SUM(K43:K44)</f>
        <v>25.8</v>
      </c>
      <c r="L42" s="39" t="n">
        <f aca="false">SUM(L43:L44)</f>
        <v>31</v>
      </c>
      <c r="M42" s="39" t="n">
        <f aca="false">SUM(M43:M44)</f>
        <v>32.4</v>
      </c>
      <c r="N42" s="39" t="n">
        <f aca="false">SUM(N43:N44)</f>
        <v>29.8</v>
      </c>
      <c r="O42" s="39" t="n">
        <f aca="false">SUM(O43:O44)</f>
        <v>23</v>
      </c>
      <c r="P42" s="39" t="n">
        <f aca="false">SUM(P43:P44)</f>
        <v>23.8</v>
      </c>
      <c r="Q42" s="39" t="n">
        <f aca="false">SUM(Q43:Q44)</f>
        <v>16.6</v>
      </c>
      <c r="R42" s="38"/>
    </row>
    <row r="43" customFormat="false" ht="15" hidden="false" customHeight="false" outlineLevel="1" collapsed="false">
      <c r="A43" s="24" t="n">
        <v>1</v>
      </c>
      <c r="B43" s="24" t="s">
        <v>971</v>
      </c>
      <c r="C43" s="40" t="s">
        <v>3009</v>
      </c>
      <c r="D43" s="24" t="s">
        <v>82</v>
      </c>
      <c r="E43" s="24" t="s">
        <v>402</v>
      </c>
      <c r="F43" s="41" t="n">
        <f aca="false">INDEX((BOM_COEF!R243~BOM_COEF!S243~BOM_COEF!T243~BOM_COEF!U243~BOM_COEF!V243~BOM_COEF!W243~BOM_COEF!X243~BOM_COEF!Y243~BOM_COEF!Z243~BOM_COEF!AA243),1,1,INDEX(P_VAL,MATCH("AÑO_DIS",P_ID,0))-2025)</f>
        <v>4</v>
      </c>
      <c r="G43" s="24" t="s">
        <v>2281</v>
      </c>
      <c r="H43" s="42" t="n">
        <f aca="false">BOM_COEF!R243*DEMANDA!F59</f>
        <v>4</v>
      </c>
      <c r="I43" s="42" t="n">
        <f aca="false">BOM_COEF!S243*DEMANDA!G59</f>
        <v>8.2</v>
      </c>
      <c r="J43" s="42" t="n">
        <f aca="false">BOM_COEF!T243*DEMANDA!H59</f>
        <v>16.6</v>
      </c>
      <c r="K43" s="42" t="n">
        <f aca="false">BOM_COEF!U243*DEMANDA!I59</f>
        <v>21.4</v>
      </c>
      <c r="L43" s="42" t="n">
        <f aca="false">BOM_COEF!V243*DEMANDA!J59</f>
        <v>22.4</v>
      </c>
      <c r="M43" s="42" t="n">
        <f aca="false">BOM_COEF!W243*DEMANDA!K59</f>
        <v>27.4</v>
      </c>
      <c r="N43" s="42" t="n">
        <f aca="false">BOM_COEF!X243*DEMANDA!L59</f>
        <v>24.6</v>
      </c>
      <c r="O43" s="42" t="n">
        <f aca="false">BOM_COEF!Y243*DEMANDA!M59</f>
        <v>17.6</v>
      </c>
      <c r="P43" s="42" t="n">
        <f aca="false">BOM_COEF!Z243*DEMANDA!N59</f>
        <v>18.2</v>
      </c>
      <c r="Q43" s="42" t="n">
        <f aca="false">BOM_COEF!AA243*DEMANDA!O59</f>
        <v>14.8</v>
      </c>
      <c r="R43" s="24" t="s">
        <v>2679</v>
      </c>
    </row>
    <row r="44" customFormat="false" ht="15" hidden="false" customHeight="false" outlineLevel="1" collapsed="false">
      <c r="A44" s="24" t="n">
        <v>1</v>
      </c>
      <c r="B44" s="24" t="s">
        <v>971</v>
      </c>
      <c r="C44" s="40" t="s">
        <v>3010</v>
      </c>
      <c r="D44" s="24" t="s">
        <v>82</v>
      </c>
      <c r="E44" s="24" t="s">
        <v>405</v>
      </c>
      <c r="F44" s="41" t="n">
        <f aca="false">INDEX((BOM_COEF!R344~BOM_COEF!S344~BOM_COEF!T344~BOM_COEF!U344~BOM_COEF!V344~BOM_COEF!W344~BOM_COEF!X344~BOM_COEF!Y344~BOM_COEF!Z344~BOM_COEF!AA344),1,1,INDEX(P_VAL,MATCH("AÑO_DIS",P_ID,0))-2025)</f>
        <v>4</v>
      </c>
      <c r="G44" s="24" t="s">
        <v>2281</v>
      </c>
      <c r="H44" s="42" t="n">
        <f aca="false">BOM_COEF!R344*DEMANDA!F60</f>
        <v>4</v>
      </c>
      <c r="I44" s="42" t="n">
        <f aca="false">BOM_COEF!S344*DEMANDA!G60</f>
        <v>0.2</v>
      </c>
      <c r="J44" s="42" t="n">
        <f aca="false">BOM_COEF!T344*DEMANDA!H60</f>
        <v>4.2</v>
      </c>
      <c r="K44" s="42" t="n">
        <f aca="false">BOM_COEF!U344*DEMANDA!I60</f>
        <v>4.4</v>
      </c>
      <c r="L44" s="42" t="n">
        <f aca="false">BOM_COEF!V344*DEMANDA!J60</f>
        <v>8.6</v>
      </c>
      <c r="M44" s="42" t="n">
        <f aca="false">BOM_COEF!W344*DEMANDA!K60</f>
        <v>5</v>
      </c>
      <c r="N44" s="42" t="n">
        <f aca="false">BOM_COEF!X344*DEMANDA!L60</f>
        <v>5.2</v>
      </c>
      <c r="O44" s="42" t="n">
        <f aca="false">BOM_COEF!Y344*DEMANDA!M60</f>
        <v>5.4</v>
      </c>
      <c r="P44" s="42" t="n">
        <f aca="false">BOM_COEF!Z344*DEMANDA!N60</f>
        <v>5.6</v>
      </c>
      <c r="Q44" s="42" t="n">
        <f aca="false">BOM_COEF!AA344*DEMANDA!O60</f>
        <v>1.8</v>
      </c>
      <c r="R44" s="24" t="s">
        <v>2683</v>
      </c>
    </row>
    <row r="45" customFormat="false" ht="15" hidden="false" customHeight="false" outlineLevel="0" collapsed="false">
      <c r="A45" s="38" t="n">
        <v>0</v>
      </c>
      <c r="B45" s="38" t="s">
        <v>976</v>
      </c>
      <c r="C45" s="38" t="s">
        <v>2060</v>
      </c>
      <c r="D45" s="38" t="s">
        <v>82</v>
      </c>
      <c r="E45" s="38"/>
      <c r="F45" s="38"/>
      <c r="G45" s="38"/>
      <c r="H45" s="39" t="n">
        <f aca="false">SUM(H46:H47)</f>
        <v>4</v>
      </c>
      <c r="I45" s="39" t="n">
        <f aca="false">SUM(I46:I47)</f>
        <v>4.2</v>
      </c>
      <c r="J45" s="39" t="n">
        <f aca="false">SUM(J46:J47)</f>
        <v>10.4</v>
      </c>
      <c r="K45" s="39" t="n">
        <f aca="false">SUM(K46:K47)</f>
        <v>12.9</v>
      </c>
      <c r="L45" s="39" t="n">
        <f aca="false">SUM(L46:L47)</f>
        <v>15.5</v>
      </c>
      <c r="M45" s="39" t="n">
        <f aca="false">SUM(M46:M47)</f>
        <v>16.2</v>
      </c>
      <c r="N45" s="39" t="n">
        <f aca="false">SUM(N46:N47)</f>
        <v>14.9</v>
      </c>
      <c r="O45" s="39" t="n">
        <f aca="false">SUM(O46:O47)</f>
        <v>11.5</v>
      </c>
      <c r="P45" s="39" t="n">
        <f aca="false">SUM(P46:P47)</f>
        <v>11.9</v>
      </c>
      <c r="Q45" s="39" t="n">
        <f aca="false">SUM(Q46:Q47)</f>
        <v>8.3</v>
      </c>
      <c r="R45" s="38"/>
    </row>
    <row r="46" customFormat="false" ht="15" hidden="false" customHeight="false" outlineLevel="1" collapsed="false">
      <c r="A46" s="24" t="n">
        <v>1</v>
      </c>
      <c r="B46" s="24" t="s">
        <v>976</v>
      </c>
      <c r="C46" s="40" t="s">
        <v>3011</v>
      </c>
      <c r="D46" s="24" t="s">
        <v>82</v>
      </c>
      <c r="E46" s="24" t="s">
        <v>402</v>
      </c>
      <c r="F46" s="41" t="n">
        <f aca="false">INDEX((BOM_COEF!R244~BOM_COEF!S244~BOM_COEF!T244~BOM_COEF!U244~BOM_COEF!V244~BOM_COEF!W244~BOM_COEF!X244~BOM_COEF!Y244~BOM_COEF!Z244~BOM_COEF!AA244),1,1,INDEX(P_VAL,MATCH("AÑO_DIS",P_ID,0))-2025)</f>
        <v>2</v>
      </c>
      <c r="G46" s="24" t="s">
        <v>2281</v>
      </c>
      <c r="H46" s="42" t="n">
        <f aca="false">BOM_COEF!R244*DEMANDA!F59</f>
        <v>2</v>
      </c>
      <c r="I46" s="42" t="n">
        <f aca="false">BOM_COEF!S244*DEMANDA!G59</f>
        <v>4.1</v>
      </c>
      <c r="J46" s="42" t="n">
        <f aca="false">BOM_COEF!T244*DEMANDA!H59</f>
        <v>8.3</v>
      </c>
      <c r="K46" s="42" t="n">
        <f aca="false">BOM_COEF!U244*DEMANDA!I59</f>
        <v>10.7</v>
      </c>
      <c r="L46" s="42" t="n">
        <f aca="false">BOM_COEF!V244*DEMANDA!J59</f>
        <v>11.2</v>
      </c>
      <c r="M46" s="42" t="n">
        <f aca="false">BOM_COEF!W244*DEMANDA!K59</f>
        <v>13.7</v>
      </c>
      <c r="N46" s="42" t="n">
        <f aca="false">BOM_COEF!X244*DEMANDA!L59</f>
        <v>12.3</v>
      </c>
      <c r="O46" s="42" t="n">
        <f aca="false">BOM_COEF!Y244*DEMANDA!M59</f>
        <v>8.8</v>
      </c>
      <c r="P46" s="42" t="n">
        <f aca="false">BOM_COEF!Z244*DEMANDA!N59</f>
        <v>9.1</v>
      </c>
      <c r="Q46" s="42" t="n">
        <f aca="false">BOM_COEF!AA244*DEMANDA!O59</f>
        <v>7.4</v>
      </c>
      <c r="R46" s="24" t="s">
        <v>2687</v>
      </c>
    </row>
    <row r="47" customFormat="false" ht="15" hidden="false" customHeight="false" outlineLevel="1" collapsed="false">
      <c r="A47" s="24" t="n">
        <v>1</v>
      </c>
      <c r="B47" s="24" t="s">
        <v>976</v>
      </c>
      <c r="C47" s="40" t="s">
        <v>3012</v>
      </c>
      <c r="D47" s="24" t="s">
        <v>82</v>
      </c>
      <c r="E47" s="24" t="s">
        <v>405</v>
      </c>
      <c r="F47" s="41" t="n">
        <f aca="false">INDEX((BOM_COEF!R345~BOM_COEF!S345~BOM_COEF!T345~BOM_COEF!U345~BOM_COEF!V345~BOM_COEF!W345~BOM_COEF!X345~BOM_COEF!Y345~BOM_COEF!Z345~BOM_COEF!AA345),1,1,INDEX(P_VAL,MATCH("AÑO_DIS",P_ID,0))-2025)</f>
        <v>2</v>
      </c>
      <c r="G47" s="24" t="s">
        <v>2281</v>
      </c>
      <c r="H47" s="42" t="n">
        <f aca="false">BOM_COEF!R345*DEMANDA!F60</f>
        <v>2</v>
      </c>
      <c r="I47" s="42" t="n">
        <f aca="false">BOM_COEF!S345*DEMANDA!G60</f>
        <v>0.1</v>
      </c>
      <c r="J47" s="42" t="n">
        <f aca="false">BOM_COEF!T345*DEMANDA!H60</f>
        <v>2.1</v>
      </c>
      <c r="K47" s="42" t="n">
        <f aca="false">BOM_COEF!U345*DEMANDA!I60</f>
        <v>2.2</v>
      </c>
      <c r="L47" s="42" t="n">
        <f aca="false">BOM_COEF!V345*DEMANDA!J60</f>
        <v>4.3</v>
      </c>
      <c r="M47" s="42" t="n">
        <f aca="false">BOM_COEF!W345*DEMANDA!K60</f>
        <v>2.5</v>
      </c>
      <c r="N47" s="42" t="n">
        <f aca="false">BOM_COEF!X345*DEMANDA!L60</f>
        <v>2.6</v>
      </c>
      <c r="O47" s="42" t="n">
        <f aca="false">BOM_COEF!Y345*DEMANDA!M60</f>
        <v>2.7</v>
      </c>
      <c r="P47" s="42" t="n">
        <f aca="false">BOM_COEF!Z345*DEMANDA!N60</f>
        <v>2.8</v>
      </c>
      <c r="Q47" s="42" t="n">
        <f aca="false">BOM_COEF!AA345*DEMANDA!O60</f>
        <v>0.9</v>
      </c>
      <c r="R47" s="24" t="s">
        <v>2691</v>
      </c>
    </row>
    <row r="48" customFormat="false" ht="15" hidden="false" customHeight="false" outlineLevel="0" collapsed="false">
      <c r="A48" s="38" t="n">
        <v>0</v>
      </c>
      <c r="B48" s="38" t="s">
        <v>568</v>
      </c>
      <c r="C48" s="38" t="s">
        <v>2061</v>
      </c>
      <c r="D48" s="38" t="s">
        <v>73</v>
      </c>
      <c r="E48" s="38"/>
      <c r="F48" s="38"/>
      <c r="G48" s="38"/>
      <c r="H48" s="39" t="n">
        <f aca="false">SUM(H49:H56)</f>
        <v>1600.52413091501</v>
      </c>
      <c r="I48" s="39" t="n">
        <f aca="false">SUM(I49:I56)</f>
        <v>6496.91798469224</v>
      </c>
      <c r="J48" s="39" t="n">
        <f aca="false">SUM(J49:J56)</f>
        <v>12802.561054201</v>
      </c>
      <c r="K48" s="39" t="n">
        <f aca="false">SUM(K49:K56)</f>
        <v>23782.8019643535</v>
      </c>
      <c r="L48" s="39" t="n">
        <f aca="false">SUM(L49:L56)</f>
        <v>33654.505226986</v>
      </c>
      <c r="M48" s="39" t="n">
        <f aca="false">SUM(M49:M56)</f>
        <v>44832.4453533451</v>
      </c>
      <c r="N48" s="39" t="n">
        <f aca="false">SUM(N49:N56)</f>
        <v>54380.1235583609</v>
      </c>
      <c r="O48" s="39" t="n">
        <f aca="false">SUM(O49:O56)</f>
        <v>60071.543022588</v>
      </c>
      <c r="P48" s="39" t="n">
        <f aca="false">SUM(P49:P56)</f>
        <v>63819.6722396666</v>
      </c>
      <c r="Q48" s="39" t="n">
        <f aca="false">SUM(Q49:Q56)</f>
        <v>68380.8383053248</v>
      </c>
      <c r="R48" s="38"/>
    </row>
    <row r="49" customFormat="false" ht="15" hidden="false" customHeight="false" outlineLevel="1" collapsed="false">
      <c r="A49" s="24" t="n">
        <v>1</v>
      </c>
      <c r="B49" s="24" t="s">
        <v>568</v>
      </c>
      <c r="C49" s="40" t="s">
        <v>3013</v>
      </c>
      <c r="D49" s="24" t="s">
        <v>73</v>
      </c>
      <c r="E49" s="24" t="s">
        <v>282</v>
      </c>
      <c r="F49" s="41" t="n">
        <f aca="false">INDEX((BOM_COEF!R383~BOM_COEF!S383~BOM_COEF!T383~BOM_COEF!U383~BOM_COEF!V383~BOM_COEF!W383~BOM_COEF!X383~BOM_COEF!Y383~BOM_COEF!Z383~BOM_COEF!AA383),1,1,INDEX(P_VAL,MATCH("AÑO_DIS",P_ID,0))-2025)</f>
        <v>0.097633</v>
      </c>
      <c r="G49" s="24" t="s">
        <v>2281</v>
      </c>
      <c r="H49" s="42" t="n">
        <f aca="false">BOM_COEF!R383*DEMANDA!F20</f>
        <v>339.54135458736</v>
      </c>
      <c r="I49" s="42" t="n">
        <f aca="false">BOM_COEF!S383*DEMANDA!G20</f>
        <v>1656.94009954704</v>
      </c>
      <c r="J49" s="42" t="n">
        <f aca="false">BOM_COEF!T383*DEMANDA!H20</f>
        <v>2982.42854148787</v>
      </c>
      <c r="K49" s="42" t="n">
        <f aca="false">BOM_COEF!U383*DEMANDA!I20</f>
        <v>5472.50104358734</v>
      </c>
      <c r="L49" s="42" t="n">
        <f aca="false">BOM_COEF!V383*DEMANDA!J20</f>
        <v>8227.80779842868</v>
      </c>
      <c r="M49" s="42" t="n">
        <f aca="false">BOM_COEF!W383*DEMANDA!K20</f>
        <v>11463.3476240147</v>
      </c>
      <c r="N49" s="42" t="n">
        <f aca="false">BOM_COEF!X383*DEMANDA!L20</f>
        <v>14412.1120174416</v>
      </c>
      <c r="O49" s="42" t="n">
        <f aca="false">BOM_COEF!Y383*DEMANDA!M20</f>
        <v>16735.5789700266</v>
      </c>
      <c r="P49" s="42" t="n">
        <f aca="false">BOM_COEF!Z383*DEMANDA!N20</f>
        <v>17934.812101976</v>
      </c>
      <c r="Q49" s="42" t="n">
        <f aca="false">BOM_COEF!AA383*DEMANDA!O20</f>
        <v>19163.6679411131</v>
      </c>
      <c r="R49" s="24" t="s">
        <v>3014</v>
      </c>
    </row>
    <row r="50" customFormat="false" ht="15" hidden="false" customHeight="false" outlineLevel="1" collapsed="false">
      <c r="A50" s="24" t="n">
        <v>1</v>
      </c>
      <c r="B50" s="24" t="s">
        <v>568</v>
      </c>
      <c r="C50" s="40" t="s">
        <v>3015</v>
      </c>
      <c r="D50" s="24" t="s">
        <v>73</v>
      </c>
      <c r="E50" s="24" t="s">
        <v>286</v>
      </c>
      <c r="F50" s="41" t="n">
        <f aca="false">INDEX((BOM_COEF!R397~BOM_COEF!S397~BOM_COEF!T397~BOM_COEF!U397~BOM_COEF!V397~BOM_COEF!W397~BOM_COEF!X397~BOM_COEF!Y397~BOM_COEF!Z397~BOM_COEF!AA397),1,1,INDEX(P_VAL,MATCH("AÑO_DIS",P_ID,0))-2025)</f>
        <v>0.1690825</v>
      </c>
      <c r="G50" s="24" t="s">
        <v>2281</v>
      </c>
      <c r="H50" s="42" t="n">
        <f aca="false">BOM_COEF!R397*DEMANDA!F21</f>
        <v>55.8024364742499</v>
      </c>
      <c r="I50" s="42" t="n">
        <f aca="false">BOM_COEF!S397*DEMANDA!G21</f>
        <v>217.68883731816</v>
      </c>
      <c r="J50" s="42" t="n">
        <f aca="false">BOM_COEF!T397*DEMANDA!H21</f>
        <v>498.344210656479</v>
      </c>
      <c r="K50" s="42" t="n">
        <f aca="false">BOM_COEF!U397*DEMANDA!I21</f>
        <v>917.530351679726</v>
      </c>
      <c r="L50" s="42" t="n">
        <f aca="false">BOM_COEF!V397*DEMANDA!J21</f>
        <v>1327.50459003654</v>
      </c>
      <c r="M50" s="42" t="n">
        <f aca="false">BOM_COEF!W397*DEMANDA!K21</f>
        <v>1762.61069163762</v>
      </c>
      <c r="N50" s="42" t="n">
        <f aca="false">BOM_COEF!X397*DEMANDA!L21</f>
        <v>2166.0252656039</v>
      </c>
      <c r="O50" s="42" t="n">
        <f aca="false">BOM_COEF!Y397*DEMANDA!M21</f>
        <v>2411.81353587945</v>
      </c>
      <c r="P50" s="42" t="n">
        <f aca="false">BOM_COEF!Z397*DEMANDA!N21</f>
        <v>2609.5439595547</v>
      </c>
      <c r="Q50" s="42" t="n">
        <f aca="false">BOM_COEF!AA397*DEMANDA!O21</f>
        <v>2810.27985052652</v>
      </c>
      <c r="R50" s="24" t="s">
        <v>3016</v>
      </c>
    </row>
    <row r="51" customFormat="false" ht="15" hidden="false" customHeight="false" outlineLevel="1" collapsed="false">
      <c r="A51" s="24" t="n">
        <v>1</v>
      </c>
      <c r="B51" s="24" t="s">
        <v>568</v>
      </c>
      <c r="C51" s="40" t="s">
        <v>3017</v>
      </c>
      <c r="D51" s="24" t="s">
        <v>73</v>
      </c>
      <c r="E51" s="24" t="s">
        <v>290</v>
      </c>
      <c r="F51" s="41" t="n">
        <f aca="false">INDEX((BOM_COEF!R412~BOM_COEF!S412~BOM_COEF!T412~BOM_COEF!U412~BOM_COEF!V412~BOM_COEF!W412~BOM_COEF!X412~BOM_COEF!Y412~BOM_COEF!Z412~BOM_COEF!AA412),1,1,INDEX(P_VAL,MATCH("AÑO_DIS",P_ID,0))-2025)</f>
        <v>0.388165</v>
      </c>
      <c r="G51" s="24" t="s">
        <v>2281</v>
      </c>
      <c r="H51" s="42" t="n">
        <f aca="false">BOM_COEF!R412*DEMANDA!F22</f>
        <v>757.1429884554</v>
      </c>
      <c r="I51" s="42" t="n">
        <f aca="false">BOM_COEF!S412*DEMANDA!G22</f>
        <v>3048.2294570936</v>
      </c>
      <c r="J51" s="42" t="n">
        <f aca="false">BOM_COEF!T412*DEMANDA!H22</f>
        <v>6900.32105342685</v>
      </c>
      <c r="K51" s="42" t="n">
        <f aca="false">BOM_COEF!U412*DEMANDA!I22</f>
        <v>13045.5136056283</v>
      </c>
      <c r="L51" s="42" t="n">
        <f aca="false">BOM_COEF!V412*DEMANDA!J22</f>
        <v>18790.8512562602</v>
      </c>
      <c r="M51" s="42" t="n">
        <f aca="false">BOM_COEF!W412*DEMANDA!K22</f>
        <v>24969.2403537906</v>
      </c>
      <c r="N51" s="42" t="n">
        <f aca="false">BOM_COEF!X412*DEMANDA!L22</f>
        <v>30557.9567493902</v>
      </c>
      <c r="O51" s="42" t="n">
        <f aca="false">BOM_COEF!Y412*DEMANDA!M22</f>
        <v>33864.613481556</v>
      </c>
      <c r="P51" s="42" t="n">
        <f aca="false">BOM_COEF!Z412*DEMANDA!N22</f>
        <v>36529.1616928498</v>
      </c>
      <c r="Q51" s="42" t="n">
        <f aca="false">BOM_COEF!AA412*DEMANDA!O22</f>
        <v>39241.609069673</v>
      </c>
      <c r="R51" s="24" t="s">
        <v>3018</v>
      </c>
    </row>
    <row r="52" customFormat="false" ht="15" hidden="false" customHeight="false" outlineLevel="1" collapsed="false">
      <c r="A52" s="24" t="n">
        <v>1</v>
      </c>
      <c r="B52" s="24" t="s">
        <v>568</v>
      </c>
      <c r="C52" s="40" t="s">
        <v>3019</v>
      </c>
      <c r="D52" s="24" t="s">
        <v>73</v>
      </c>
      <c r="E52" s="24" t="s">
        <v>336</v>
      </c>
      <c r="F52" s="41" t="n">
        <f aca="false">INDEX((BOM_COEF!R412~BOM_COEF!S412~BOM_COEF!T412~BOM_COEF!U412~BOM_COEF!V412~BOM_COEF!W412~BOM_COEF!X412~BOM_COEF!Y412~BOM_COEF!Z412~BOM_COEF!AA412),1,1,INDEX(P_VAL,MATCH("AÑO_DIS",P_ID,0))-2025)</f>
        <v>0.388165</v>
      </c>
      <c r="G52" s="24" t="s">
        <v>2281</v>
      </c>
      <c r="H52" s="42" t="n">
        <f aca="false">BOM_COEF!R412*DEMANDA!F37</f>
        <v>24.4566</v>
      </c>
      <c r="I52" s="42" t="n">
        <f aca="false">BOM_COEF!S412*DEMANDA!G37</f>
        <v>109.46676</v>
      </c>
      <c r="J52" s="42" t="n">
        <f aca="false">BOM_COEF!T412*DEMANDA!H37</f>
        <v>214.666305</v>
      </c>
      <c r="K52" s="42" t="n">
        <f aca="false">BOM_COEF!U412*DEMANDA!I37</f>
        <v>397.899875</v>
      </c>
      <c r="L52" s="42" t="n">
        <f aca="false">BOM_COEF!V412*DEMANDA!J37</f>
        <v>588.0927</v>
      </c>
      <c r="M52" s="42" t="n">
        <f aca="false">BOM_COEF!W412*DEMANDA!K37</f>
        <v>804.31932</v>
      </c>
      <c r="N52" s="42" t="n">
        <f aca="false">BOM_COEF!X412*DEMANDA!L37</f>
        <v>1001.11622</v>
      </c>
      <c r="O52" s="42" t="n">
        <f aca="false">BOM_COEF!Y412*DEMANDA!M37</f>
        <v>1142.83136</v>
      </c>
      <c r="P52" s="42" t="n">
        <f aca="false">BOM_COEF!Z412*DEMANDA!N37</f>
        <v>1228.20152</v>
      </c>
      <c r="Q52" s="42" t="n">
        <f aca="false">BOM_COEF!AA412*DEMANDA!O37</f>
        <v>1315.10302</v>
      </c>
      <c r="R52" s="24" t="s">
        <v>3018</v>
      </c>
    </row>
    <row r="53" customFormat="false" ht="15" hidden="false" customHeight="false" outlineLevel="1" collapsed="false">
      <c r="A53" s="24" t="n">
        <v>1</v>
      </c>
      <c r="B53" s="24" t="s">
        <v>568</v>
      </c>
      <c r="C53" s="40" t="s">
        <v>3020</v>
      </c>
      <c r="D53" s="24" t="s">
        <v>73</v>
      </c>
      <c r="E53" s="24" t="s">
        <v>293</v>
      </c>
      <c r="F53" s="41" t="n">
        <f aca="false">INDEX((BOM_COEF!R427~BOM_COEF!S427~BOM_COEF!T427~BOM_COEF!U427~BOM_COEF!V427~BOM_COEF!W427~BOM_COEF!X427~BOM_COEF!Y427~BOM_COEF!Z427~BOM_COEF!AA427),1,1,INDEX(P_VAL,MATCH("AÑO_DIS",P_ID,0))-2025)</f>
        <v>0.62633</v>
      </c>
      <c r="G53" s="24" t="s">
        <v>2281</v>
      </c>
      <c r="H53" s="42" t="n">
        <f aca="false">BOM_COEF!R427*DEMANDA!F23</f>
        <v>74.130451398</v>
      </c>
      <c r="I53" s="42" t="n">
        <f aca="false">BOM_COEF!S427*DEMANDA!G23</f>
        <v>274.168155733444</v>
      </c>
      <c r="J53" s="42" t="n">
        <f aca="false">BOM_COEF!T427*DEMANDA!H23</f>
        <v>642.01347862977</v>
      </c>
      <c r="K53" s="42" t="n">
        <f aca="false">BOM_COEF!U427*DEMANDA!I23</f>
        <v>1227.98113345818</v>
      </c>
      <c r="L53" s="42" t="n">
        <f aca="false">BOM_COEF!V427*DEMANDA!J23</f>
        <v>1781.97969726056</v>
      </c>
      <c r="M53" s="42" t="n">
        <f aca="false">BOM_COEF!W427*DEMANDA!K23</f>
        <v>2386.71437390214</v>
      </c>
      <c r="N53" s="42" t="n">
        <f aca="false">BOM_COEF!X427*DEMANDA!L23</f>
        <v>2921.1413959252</v>
      </c>
      <c r="O53" s="42" t="n">
        <f aca="false">BOM_COEF!Y427*DEMANDA!M23</f>
        <v>3234.94864512592</v>
      </c>
      <c r="P53" s="42" t="n">
        <f aca="false">BOM_COEF!Z427*DEMANDA!N23</f>
        <v>3489.79250528608</v>
      </c>
      <c r="Q53" s="42" t="n">
        <f aca="false">BOM_COEF!AA427*DEMANDA!O23</f>
        <v>3749.18059901215</v>
      </c>
      <c r="R53" s="24" t="s">
        <v>3021</v>
      </c>
    </row>
    <row r="54" customFormat="false" ht="15" hidden="false" customHeight="false" outlineLevel="1" collapsed="false">
      <c r="A54" s="24" t="n">
        <v>1</v>
      </c>
      <c r="B54" s="24" t="s">
        <v>568</v>
      </c>
      <c r="C54" s="40" t="s">
        <v>3022</v>
      </c>
      <c r="D54" s="24" t="s">
        <v>73</v>
      </c>
      <c r="E54" s="24" t="s">
        <v>339</v>
      </c>
      <c r="F54" s="41" t="n">
        <f aca="false">INDEX((BOM_COEF!R427~BOM_COEF!S427~BOM_COEF!T427~BOM_COEF!U427~BOM_COEF!V427~BOM_COEF!W427~BOM_COEF!X427~BOM_COEF!Y427~BOM_COEF!Z427~BOM_COEF!AA427),1,1,INDEX(P_VAL,MATCH("AÑO_DIS",P_ID,0))-2025)</f>
        <v>0.62633</v>
      </c>
      <c r="G54" s="24" t="s">
        <v>2281</v>
      </c>
      <c r="H54" s="42" t="n">
        <f aca="false">BOM_COEF!R427*DEMANDA!F38</f>
        <v>1.2528</v>
      </c>
      <c r="I54" s="42" t="n">
        <f aca="false">BOM_COEF!S427*DEMANDA!G38</f>
        <v>3.1318</v>
      </c>
      <c r="J54" s="42" t="n">
        <f aca="false">BOM_COEF!T427*DEMANDA!H38</f>
        <v>7.51644</v>
      </c>
      <c r="K54" s="42" t="n">
        <f aca="false">BOM_COEF!U427*DEMANDA!I38</f>
        <v>13.78058</v>
      </c>
      <c r="L54" s="42" t="n">
        <f aca="false">BOM_COEF!V427*DEMANDA!J38</f>
        <v>19.41716</v>
      </c>
      <c r="M54" s="42" t="n">
        <f aca="false">BOM_COEF!W427*DEMANDA!K38</f>
        <v>26.30754</v>
      </c>
      <c r="N54" s="42" t="n">
        <f aca="false">BOM_COEF!X427*DEMANDA!L38</f>
        <v>31.94436</v>
      </c>
      <c r="O54" s="42" t="n">
        <f aca="false">BOM_COEF!Y427*DEMANDA!M38</f>
        <v>35.07728</v>
      </c>
      <c r="P54" s="42" t="n">
        <f aca="false">BOM_COEF!Z427*DEMANDA!N38</f>
        <v>38.20796</v>
      </c>
      <c r="Q54" s="42" t="n">
        <f aca="false">BOM_COEF!AA427*DEMANDA!O38</f>
        <v>40.71145</v>
      </c>
      <c r="R54" s="24" t="s">
        <v>3021</v>
      </c>
    </row>
    <row r="55" customFormat="false" ht="15" hidden="false" customHeight="false" outlineLevel="1" collapsed="false">
      <c r="A55" s="24" t="n">
        <v>1</v>
      </c>
      <c r="B55" s="24" t="s">
        <v>568</v>
      </c>
      <c r="C55" s="40" t="s">
        <v>3023</v>
      </c>
      <c r="D55" s="24" t="s">
        <v>73</v>
      </c>
      <c r="E55" s="24" t="s">
        <v>372</v>
      </c>
      <c r="F55" s="41" t="n">
        <f aca="false">INDEX((BOM_COEF!R105~BOM_COEF!S105~BOM_COEF!T105~BOM_COEF!U105~BOM_COEF!V105~BOM_COEF!W105~BOM_COEF!X105~BOM_COEF!Y105~BOM_COEF!Z105~BOM_COEF!AA105),1,1,INDEX(P_VAL,MATCH("AÑO_DIS",P_ID,0))-2025)</f>
        <v>5.2015</v>
      </c>
      <c r="G55" s="24" t="s">
        <v>2281</v>
      </c>
      <c r="H55" s="42" t="n">
        <f aca="false">BOM_COEF!R105*DEMANDA!F49</f>
        <v>327.6945</v>
      </c>
      <c r="I55" s="42" t="n">
        <f aca="false">BOM_COEF!S105*DEMANDA!G49</f>
        <v>1155.513225</v>
      </c>
      <c r="J55" s="42" t="n">
        <f aca="false">BOM_COEF!T105*DEMANDA!H49</f>
        <v>1482.94765</v>
      </c>
      <c r="K55" s="42" t="n">
        <f aca="false">BOM_COEF!U105*DEMANDA!I49</f>
        <v>2598.929475</v>
      </c>
      <c r="L55" s="42" t="n">
        <f aca="false">BOM_COEF!V105*DEMANDA!J49</f>
        <v>2815.311875</v>
      </c>
      <c r="M55" s="42" t="n">
        <f aca="false">BOM_COEF!W105*DEMANDA!K49</f>
        <v>3291.249125</v>
      </c>
      <c r="N55" s="42" t="n">
        <f aca="false">BOM_COEF!X105*DEMANDA!L49</f>
        <v>3176.0359</v>
      </c>
      <c r="O55" s="42" t="n">
        <f aca="false">BOM_COEF!Y105*DEMANDA!M49</f>
        <v>2569.280925</v>
      </c>
      <c r="P55" s="42" t="n">
        <f aca="false">BOM_COEF!Z105*DEMANDA!N49</f>
        <v>1909.9908</v>
      </c>
      <c r="Q55" s="42" t="n">
        <f aca="false">BOM_COEF!AA105*DEMANDA!O49</f>
        <v>1988.0133</v>
      </c>
      <c r="R55" s="24" t="s">
        <v>2350</v>
      </c>
    </row>
    <row r="56" customFormat="false" ht="15" hidden="false" customHeight="false" outlineLevel="1" collapsed="false">
      <c r="A56" s="24" t="n">
        <v>1</v>
      </c>
      <c r="B56" s="24" t="s">
        <v>568</v>
      </c>
      <c r="C56" s="40" t="s">
        <v>3024</v>
      </c>
      <c r="D56" s="24" t="s">
        <v>73</v>
      </c>
      <c r="E56" s="24" t="s">
        <v>375</v>
      </c>
      <c r="F56" s="41" t="n">
        <f aca="false">INDEX((BOM_COEF!R146~BOM_COEF!S146~BOM_COEF!T146~BOM_COEF!U146~BOM_COEF!V146~BOM_COEF!W146~BOM_COEF!X146~BOM_COEF!Y146~BOM_COEF!Z146~BOM_COEF!AA146),1,1,INDEX(P_VAL,MATCH("AÑO_DIS",P_ID,0))-2025)</f>
        <v>10.2515</v>
      </c>
      <c r="G56" s="24" t="s">
        <v>2281</v>
      </c>
      <c r="H56" s="42" t="n">
        <f aca="false">BOM_COEF!R146*DEMANDA!F50</f>
        <v>20.503</v>
      </c>
      <c r="I56" s="42" t="n">
        <f aca="false">BOM_COEF!S146*DEMANDA!G50</f>
        <v>31.77965</v>
      </c>
      <c r="J56" s="42" t="n">
        <f aca="false">BOM_COEF!T146*DEMANDA!H50</f>
        <v>74.323375</v>
      </c>
      <c r="K56" s="42" t="n">
        <f aca="false">BOM_COEF!U146*DEMANDA!I50</f>
        <v>108.6659</v>
      </c>
      <c r="L56" s="42" t="n">
        <f aca="false">BOM_COEF!V146*DEMANDA!J50</f>
        <v>103.54015</v>
      </c>
      <c r="M56" s="42" t="n">
        <f aca="false">BOM_COEF!W146*DEMANDA!K50</f>
        <v>128.656325</v>
      </c>
      <c r="N56" s="42" t="n">
        <f aca="false">BOM_COEF!X146*DEMANDA!L50</f>
        <v>113.79165</v>
      </c>
      <c r="O56" s="42" t="n">
        <f aca="false">BOM_COEF!Y146*DEMANDA!M50</f>
        <v>77.398825</v>
      </c>
      <c r="P56" s="42" t="n">
        <f aca="false">BOM_COEF!Z146*DEMANDA!N50</f>
        <v>79.9617</v>
      </c>
      <c r="Q56" s="42" t="n">
        <f aca="false">BOM_COEF!AA146*DEMANDA!O50</f>
        <v>72.273075</v>
      </c>
      <c r="R56" s="24" t="s">
        <v>2352</v>
      </c>
    </row>
    <row r="57" customFormat="false" ht="15" hidden="false" customHeight="false" outlineLevel="0" collapsed="false">
      <c r="A57" s="38" t="n">
        <v>0</v>
      </c>
      <c r="B57" s="38" t="s">
        <v>988</v>
      </c>
      <c r="C57" s="38" t="s">
        <v>2068</v>
      </c>
      <c r="D57" s="38" t="s">
        <v>73</v>
      </c>
      <c r="E57" s="38"/>
      <c r="F57" s="38"/>
      <c r="G57" s="38"/>
      <c r="H57" s="39" t="n">
        <f aca="false">SUM(H58:H65)</f>
        <v>432.575584381757</v>
      </c>
      <c r="I57" s="39" t="n">
        <f aca="false">SUM(I58:I65)</f>
        <v>1442.13182500322</v>
      </c>
      <c r="J57" s="39" t="n">
        <f aca="false">SUM(J58:J65)</f>
        <v>3214.27098623765</v>
      </c>
      <c r="K57" s="39" t="n">
        <f aca="false">SUM(K58:K65)</f>
        <v>5595.45053913361</v>
      </c>
      <c r="L57" s="39" t="n">
        <f aca="false">SUM(L58:L65)</f>
        <v>8003.81672347291</v>
      </c>
      <c r="M57" s="39" t="n">
        <f aca="false">SUM(M58:M65)</f>
        <v>10438.6435640765</v>
      </c>
      <c r="N57" s="39" t="n">
        <f aca="false">SUM(N58:N65)</f>
        <v>12715.8992790936</v>
      </c>
      <c r="O57" s="39" t="n">
        <f aca="false">SUM(O58:O65)</f>
        <v>14138.5863767184</v>
      </c>
      <c r="P57" s="39" t="n">
        <f aca="false">SUM(P58:P65)</f>
        <v>15326.1283235432</v>
      </c>
      <c r="Q57" s="39" t="n">
        <f aca="false">SUM(Q58:Q65)</f>
        <v>16365.6875034153</v>
      </c>
      <c r="R57" s="38"/>
    </row>
    <row r="58" customFormat="false" ht="15" hidden="false" customHeight="false" outlineLevel="1" collapsed="false">
      <c r="A58" s="24" t="n">
        <v>1</v>
      </c>
      <c r="B58" s="24" t="s">
        <v>988</v>
      </c>
      <c r="C58" s="40" t="s">
        <v>3025</v>
      </c>
      <c r="D58" s="24" t="s">
        <v>73</v>
      </c>
      <c r="E58" s="24" t="s">
        <v>296</v>
      </c>
      <c r="F58" s="41" t="n">
        <f aca="false">INDEX((BOM_COEF!R442~BOM_COEF!S442~BOM_COEF!T442~BOM_COEF!U442~BOM_COEF!V442~BOM_COEF!W442~BOM_COEF!X442~BOM_COEF!Y442~BOM_COEF!Z442~BOM_COEF!AA442),1,1,INDEX(P_VAL,MATCH("AÑO_DIS",P_ID,0))-2025)</f>
        <v>1.90510025</v>
      </c>
      <c r="G58" s="24" t="s">
        <v>2281</v>
      </c>
      <c r="H58" s="42" t="n">
        <f aca="false">BOM_COEF!R442*DEMANDA!F24</f>
        <v>33.6046815058884</v>
      </c>
      <c r="I58" s="42" t="n">
        <f aca="false">BOM_COEF!S442*DEMANDA!G24</f>
        <v>163.821671849756</v>
      </c>
      <c r="J58" s="42" t="n">
        <f aca="false">BOM_COEF!T442*DEMANDA!H24</f>
        <v>356.02338572865</v>
      </c>
      <c r="K58" s="42" t="n">
        <f aca="false">BOM_COEF!U442*DEMANDA!I24</f>
        <v>641.274513048812</v>
      </c>
      <c r="L58" s="42" t="n">
        <f aca="false">BOM_COEF!V442*DEMANDA!J24</f>
        <v>922.356353557902</v>
      </c>
      <c r="M58" s="42" t="n">
        <f aca="false">BOM_COEF!W442*DEMANDA!K24</f>
        <v>1225.46170940802</v>
      </c>
      <c r="N58" s="42" t="n">
        <f aca="false">BOM_COEF!X442*DEMANDA!L24</f>
        <v>1509.71955977292</v>
      </c>
      <c r="O58" s="42" t="n">
        <f aca="false">BOM_COEF!Y442*DEMANDA!M24</f>
        <v>1695.0330954471</v>
      </c>
      <c r="P58" s="42" t="n">
        <f aca="false">BOM_COEF!Z442*DEMANDA!N24</f>
        <v>1839.08466241944</v>
      </c>
      <c r="Q58" s="42" t="n">
        <f aca="false">BOM_COEF!AA442*DEMANDA!O24</f>
        <v>1984.99958676513</v>
      </c>
      <c r="R58" s="24" t="s">
        <v>3026</v>
      </c>
    </row>
    <row r="59" customFormat="false" ht="15" hidden="false" customHeight="false" outlineLevel="1" collapsed="false">
      <c r="A59" s="24" t="n">
        <v>1</v>
      </c>
      <c r="B59" s="24" t="s">
        <v>988</v>
      </c>
      <c r="C59" s="40" t="s">
        <v>3027</v>
      </c>
      <c r="D59" s="24" t="s">
        <v>73</v>
      </c>
      <c r="E59" s="24" t="s">
        <v>300</v>
      </c>
      <c r="F59" s="41" t="n">
        <f aca="false">INDEX((BOM_COEF!R457~BOM_COEF!S457~BOM_COEF!T457~BOM_COEF!U457~BOM_COEF!V457~BOM_COEF!W457~BOM_COEF!X457~BOM_COEF!Y457~BOM_COEF!Z457~BOM_COEF!AA457),1,1,INDEX(P_VAL,MATCH("AÑO_DIS",P_ID,0))-2025)</f>
        <v>3.8102005</v>
      </c>
      <c r="G59" s="24" t="s">
        <v>2281</v>
      </c>
      <c r="H59" s="42" t="n">
        <f aca="false">BOM_COEF!R457*DEMANDA!F25</f>
        <v>147.860598610667</v>
      </c>
      <c r="I59" s="42" t="n">
        <f aca="false">BOM_COEF!S457*DEMANDA!G25</f>
        <v>720.815356215134</v>
      </c>
      <c r="J59" s="42" t="n">
        <f aca="false">BOM_COEF!T457*DEMANDA!H25</f>
        <v>1566.50289697744</v>
      </c>
      <c r="K59" s="42" t="n">
        <f aca="false">BOM_COEF!U457*DEMANDA!I25</f>
        <v>2821.60785718614</v>
      </c>
      <c r="L59" s="42" t="n">
        <f aca="false">BOM_COEF!V457*DEMANDA!J25</f>
        <v>4058.36795588339</v>
      </c>
      <c r="M59" s="42" t="n">
        <f aca="false">BOM_COEF!W457*DEMANDA!K25</f>
        <v>5392.03152185254</v>
      </c>
      <c r="N59" s="42" t="n">
        <f aca="false">BOM_COEF!X457*DEMANDA!L25</f>
        <v>6642.76606277222</v>
      </c>
      <c r="O59" s="42" t="n">
        <f aca="false">BOM_COEF!Y457*DEMANDA!M25</f>
        <v>7458.14561844307</v>
      </c>
      <c r="P59" s="42" t="n">
        <f aca="false">BOM_COEF!Z457*DEMANDA!N25</f>
        <v>8091.97251502659</v>
      </c>
      <c r="Q59" s="42" t="n">
        <f aca="false">BOM_COEF!AA457*DEMANDA!O25</f>
        <v>8733.99817643227</v>
      </c>
      <c r="R59" s="24" t="s">
        <v>3028</v>
      </c>
    </row>
    <row r="60" customFormat="false" ht="15" hidden="false" customHeight="false" outlineLevel="1" collapsed="false">
      <c r="A60" s="24" t="n">
        <v>1</v>
      </c>
      <c r="B60" s="24" t="s">
        <v>988</v>
      </c>
      <c r="C60" s="40" t="s">
        <v>3029</v>
      </c>
      <c r="D60" s="24" t="s">
        <v>73</v>
      </c>
      <c r="E60" s="24" t="s">
        <v>366</v>
      </c>
      <c r="F60" s="41" t="n">
        <f aca="false">INDEX((BOM_COEF!R457~BOM_COEF!S457~BOM_COEF!T457~BOM_COEF!U457~BOM_COEF!V457~BOM_COEF!W457~BOM_COEF!X457~BOM_COEF!Y457~BOM_COEF!Z457~BOM_COEF!AA457),1,1,INDEX(P_VAL,MATCH("AÑO_DIS",P_ID,0))-2025)</f>
        <v>3.8102005</v>
      </c>
      <c r="G60" s="24" t="s">
        <v>2281</v>
      </c>
      <c r="H60" s="42" t="n">
        <f aca="false">BOM_COEF!R457*DEMANDA!F47</f>
        <v>3.81054</v>
      </c>
      <c r="I60" s="42" t="n">
        <f aca="false">BOM_COEF!S457*DEMANDA!G47</f>
        <v>11.431038</v>
      </c>
      <c r="J60" s="42" t="n">
        <f aca="false">BOM_COEF!T457*DEMANDA!H47</f>
        <v>26.6727615</v>
      </c>
      <c r="K60" s="42" t="n">
        <f aca="false">BOM_COEF!U457*DEMANDA!I47</f>
        <v>45.725898</v>
      </c>
      <c r="L60" s="42" t="n">
        <f aca="false">BOM_COEF!V457*DEMANDA!J47</f>
        <v>64.775882</v>
      </c>
      <c r="M60" s="42" t="n">
        <f aca="false">BOM_COEF!W457*DEMANDA!K47</f>
        <v>87.6390735</v>
      </c>
      <c r="N60" s="42" t="n">
        <f aca="false">BOM_COEF!X457*DEMANDA!L47</f>
        <v>106.689688</v>
      </c>
      <c r="O60" s="42" t="n">
        <f aca="false">BOM_COEF!Y457*DEMANDA!M47</f>
        <v>118.123733</v>
      </c>
      <c r="P60" s="42" t="n">
        <f aca="false">BOM_COEF!Z457*DEMANDA!N47</f>
        <v>129.551764</v>
      </c>
      <c r="Q60" s="42" t="n">
        <f aca="false">BOM_COEF!AA457*DEMANDA!O47</f>
        <v>137.167218</v>
      </c>
      <c r="R60" s="24" t="s">
        <v>3028</v>
      </c>
    </row>
    <row r="61" customFormat="false" ht="15" hidden="false" customHeight="false" outlineLevel="1" collapsed="false">
      <c r="A61" s="24" t="n">
        <v>1</v>
      </c>
      <c r="B61" s="24" t="s">
        <v>988</v>
      </c>
      <c r="C61" s="40" t="s">
        <v>3030</v>
      </c>
      <c r="D61" s="24" t="s">
        <v>73</v>
      </c>
      <c r="E61" s="24" t="s">
        <v>303</v>
      </c>
      <c r="F61" s="41" t="n">
        <f aca="false">INDEX((BOM_COEF!R472~BOM_COEF!S472~BOM_COEF!T472~BOM_COEF!U472~BOM_COEF!V472~BOM_COEF!W472~BOM_COEF!X472~BOM_COEF!Y472~BOM_COEF!Z472~BOM_COEF!AA472),1,1,INDEX(P_VAL,MATCH("AÑO_DIS",P_ID,0))-2025)</f>
        <v>5.33428069999999</v>
      </c>
      <c r="G61" s="24" t="s">
        <v>2281</v>
      </c>
      <c r="H61" s="42" t="n">
        <f aca="false">BOM_COEF!R472*DEMANDA!F26</f>
        <v>45.1646919407131</v>
      </c>
      <c r="I61" s="42" t="n">
        <f aca="false">BOM_COEF!S472*DEMANDA!G26</f>
        <v>220.176326955403</v>
      </c>
      <c r="J61" s="42" t="n">
        <f aca="false">BOM_COEF!T472*DEMANDA!H26</f>
        <v>478.495430344621</v>
      </c>
      <c r="K61" s="42" t="n">
        <f aca="false">BOM_COEF!U472*DEMANDA!I26</f>
        <v>861.872945622956</v>
      </c>
      <c r="L61" s="42" t="n">
        <f aca="false">BOM_COEF!V472*DEMANDA!J26</f>
        <v>1239.64693920316</v>
      </c>
      <c r="M61" s="42" t="n">
        <f aca="false">BOM_COEF!W472*DEMANDA!K26</f>
        <v>1647.02053748705</v>
      </c>
      <c r="N61" s="42" t="n">
        <f aca="false">BOM_COEF!X472*DEMANDA!L26</f>
        <v>2029.06308831346</v>
      </c>
      <c r="O61" s="42" t="n">
        <f aca="false">BOM_COEF!Y472*DEMANDA!M26</f>
        <v>2278.12447996082</v>
      </c>
      <c r="P61" s="42" t="n">
        <f aca="false">BOM_COEF!Z472*DEMANDA!N26</f>
        <v>2471.72978650511</v>
      </c>
      <c r="Q61" s="42" t="n">
        <f aca="false">BOM_COEF!AA472*DEMANDA!O26</f>
        <v>2667.83944322541</v>
      </c>
      <c r="R61" s="24" t="s">
        <v>3031</v>
      </c>
    </row>
    <row r="62" customFormat="false" ht="15" hidden="false" customHeight="false" outlineLevel="1" collapsed="false">
      <c r="A62" s="24" t="n">
        <v>1</v>
      </c>
      <c r="B62" s="24" t="s">
        <v>988</v>
      </c>
      <c r="C62" s="40" t="s">
        <v>3032</v>
      </c>
      <c r="D62" s="24" t="s">
        <v>73</v>
      </c>
      <c r="E62" s="24" t="s">
        <v>306</v>
      </c>
      <c r="F62" s="41" t="n">
        <f aca="false">INDEX((BOM_COEF!R487~BOM_COEF!S487~BOM_COEF!T487~BOM_COEF!U487~BOM_COEF!V487~BOM_COEF!W487~BOM_COEF!X487~BOM_COEF!Y487~BOM_COEF!Z487~BOM_COEF!AA487),1,1,INDEX(P_VAL,MATCH("AÑO_DIS",P_ID,0))-2025)</f>
        <v>7.620401</v>
      </c>
      <c r="G62" s="24" t="s">
        <v>2281</v>
      </c>
      <c r="H62" s="42" t="n">
        <f aca="false">BOM_COEF!R487*DEMANDA!F27</f>
        <v>43.0139923244887</v>
      </c>
      <c r="I62" s="42" t="n">
        <f aca="false">BOM_COEF!S487*DEMANDA!G27</f>
        <v>209.691739982929</v>
      </c>
      <c r="J62" s="42" t="n">
        <f aca="false">BOM_COEF!T487*DEMANDA!H27</f>
        <v>455.709933686947</v>
      </c>
      <c r="K62" s="42" t="n">
        <f aca="false">BOM_COEF!U487*DEMANDA!I27</f>
        <v>820.831376275704</v>
      </c>
      <c r="L62" s="42" t="n">
        <f aca="false">BOM_COEF!V487*DEMANDA!J27</f>
        <v>1180.61613282846</v>
      </c>
      <c r="M62" s="42" t="n">
        <f aca="false">BOM_COEF!W487*DEMANDA!K27</f>
        <v>1568.59098782888</v>
      </c>
      <c r="N62" s="42" t="n">
        <f aca="false">BOM_COEF!X487*DEMANDA!L27</f>
        <v>1932.44103623499</v>
      </c>
      <c r="O62" s="42" t="n">
        <f aca="false">BOM_COEF!Y487*DEMANDA!M27</f>
        <v>2169.64236186745</v>
      </c>
      <c r="P62" s="42" t="n">
        <f aca="false">BOM_COEF!Z487*DEMANDA!N27</f>
        <v>2354.02836759206</v>
      </c>
      <c r="Q62" s="42" t="n">
        <f aca="false">BOM_COEF!AA487*DEMANDA!O27</f>
        <v>2540.79946999251</v>
      </c>
      <c r="R62" s="24" t="s">
        <v>3033</v>
      </c>
    </row>
    <row r="63" customFormat="false" ht="15" hidden="false" customHeight="false" outlineLevel="1" collapsed="false">
      <c r="A63" s="24" t="n">
        <v>1</v>
      </c>
      <c r="B63" s="24" t="s">
        <v>988</v>
      </c>
      <c r="C63" s="40" t="s">
        <v>3034</v>
      </c>
      <c r="D63" s="24" t="s">
        <v>73</v>
      </c>
      <c r="E63" s="24" t="s">
        <v>369</v>
      </c>
      <c r="F63" s="41" t="n">
        <f aca="false">INDEX((BOM_COEF!R487~BOM_COEF!S487~BOM_COEF!T487~BOM_COEF!U487~BOM_COEF!V487~BOM_COEF!W487~BOM_COEF!X487~BOM_COEF!Y487~BOM_COEF!Z487~BOM_COEF!AA487),1,1,INDEX(P_VAL,MATCH("AÑO_DIS",P_ID,0))-2025)</f>
        <v>7.620401</v>
      </c>
      <c r="G63" s="24" t="s">
        <v>2281</v>
      </c>
      <c r="H63" s="42" t="n">
        <f aca="false">BOM_COEF!R487*DEMANDA!F48</f>
        <v>7.62108</v>
      </c>
      <c r="I63" s="42" t="n">
        <f aca="false">BOM_COEF!S487*DEMANDA!G48</f>
        <v>7.620692</v>
      </c>
      <c r="J63" s="42" t="n">
        <f aca="false">BOM_COEF!T487*DEMANDA!H48</f>
        <v>15.241578</v>
      </c>
      <c r="K63" s="42" t="n">
        <f aca="false">BOM_COEF!U487*DEMANDA!I48</f>
        <v>22.862949</v>
      </c>
      <c r="L63" s="42" t="n">
        <f aca="false">BOM_COEF!V487*DEMANDA!J48</f>
        <v>38.10346</v>
      </c>
      <c r="M63" s="42" t="n">
        <f aca="false">BOM_COEF!W487*DEMANDA!K48</f>
        <v>45.724734</v>
      </c>
      <c r="N63" s="42" t="n">
        <f aca="false">BOM_COEF!X487*DEMANDA!L48</f>
        <v>53.344844</v>
      </c>
      <c r="O63" s="42" t="n">
        <f aca="false">BOM_COEF!Y487*DEMANDA!M48</f>
        <v>60.967088</v>
      </c>
      <c r="P63" s="42" t="n">
        <f aca="false">BOM_COEF!Z487*DEMANDA!N48</f>
        <v>68.586228</v>
      </c>
      <c r="Q63" s="42" t="n">
        <f aca="false">BOM_COEF!AA487*DEMANDA!O48</f>
        <v>68.583609</v>
      </c>
      <c r="R63" s="24" t="s">
        <v>3033</v>
      </c>
    </row>
    <row r="64" customFormat="false" ht="15" hidden="false" customHeight="false" outlineLevel="1" collapsed="false">
      <c r="A64" s="24" t="n">
        <v>1</v>
      </c>
      <c r="B64" s="24" t="s">
        <v>988</v>
      </c>
      <c r="C64" s="40" t="s">
        <v>3035</v>
      </c>
      <c r="D64" s="24" t="s">
        <v>73</v>
      </c>
      <c r="E64" s="24" t="s">
        <v>402</v>
      </c>
      <c r="F64" s="41" t="n">
        <f aca="false">INDEX((BOM_COEF!R247~BOM_COEF!S247~BOM_COEF!T247~BOM_COEF!U247~BOM_COEF!V247~BOM_COEF!W247~BOM_COEF!X247~BOM_COEF!Y247~BOM_COEF!Z247~BOM_COEF!AA247),1,1,INDEX(P_VAL,MATCH("AÑO_DIS",P_ID,0))-2025)</f>
        <v>50.5</v>
      </c>
      <c r="G64" s="24" t="s">
        <v>2281</v>
      </c>
      <c r="H64" s="42" t="n">
        <f aca="false">BOM_COEF!R247*DEMANDA!F59</f>
        <v>50.5</v>
      </c>
      <c r="I64" s="42" t="n">
        <f aca="false">BOM_COEF!S247*DEMANDA!G59</f>
        <v>103.525</v>
      </c>
      <c r="J64" s="42" t="n">
        <f aca="false">BOM_COEF!T247*DEMANDA!H59</f>
        <v>209.575</v>
      </c>
      <c r="K64" s="42" t="n">
        <f aca="false">BOM_COEF!U247*DEMANDA!I59</f>
        <v>270.175</v>
      </c>
      <c r="L64" s="42" t="n">
        <f aca="false">BOM_COEF!V247*DEMANDA!J59</f>
        <v>282.8</v>
      </c>
      <c r="M64" s="42" t="n">
        <f aca="false">BOM_COEF!W247*DEMANDA!K59</f>
        <v>345.925</v>
      </c>
      <c r="N64" s="42" t="n">
        <f aca="false">BOM_COEF!X247*DEMANDA!L59</f>
        <v>310.575</v>
      </c>
      <c r="O64" s="42" t="n">
        <f aca="false">BOM_COEF!Y247*DEMANDA!M59</f>
        <v>222.2</v>
      </c>
      <c r="P64" s="42" t="n">
        <f aca="false">BOM_COEF!Z247*DEMANDA!N59</f>
        <v>229.775</v>
      </c>
      <c r="Q64" s="42" t="n">
        <f aca="false">BOM_COEF!AA247*DEMANDA!O59</f>
        <v>186.85</v>
      </c>
      <c r="R64" s="24" t="s">
        <v>2695</v>
      </c>
    </row>
    <row r="65" customFormat="false" ht="15" hidden="false" customHeight="false" outlineLevel="1" collapsed="false">
      <c r="A65" s="24" t="n">
        <v>1</v>
      </c>
      <c r="B65" s="24" t="s">
        <v>988</v>
      </c>
      <c r="C65" s="40" t="s">
        <v>3036</v>
      </c>
      <c r="D65" s="24" t="s">
        <v>73</v>
      </c>
      <c r="E65" s="24" t="s">
        <v>405</v>
      </c>
      <c r="F65" s="41" t="n">
        <f aca="false">INDEX((BOM_COEF!R348~BOM_COEF!S348~BOM_COEF!T348~BOM_COEF!U348~BOM_COEF!V348~BOM_COEF!W348~BOM_COEF!X348~BOM_COEF!Y348~BOM_COEF!Z348~BOM_COEF!AA348),1,1,INDEX(P_VAL,MATCH("AÑO_DIS",P_ID,0))-2025)</f>
        <v>101</v>
      </c>
      <c r="G65" s="24" t="s">
        <v>2281</v>
      </c>
      <c r="H65" s="42" t="n">
        <f aca="false">BOM_COEF!R348*DEMANDA!F60</f>
        <v>101</v>
      </c>
      <c r="I65" s="42" t="n">
        <f aca="false">BOM_COEF!S348*DEMANDA!G60</f>
        <v>5.05</v>
      </c>
      <c r="J65" s="42" t="n">
        <f aca="false">BOM_COEF!T348*DEMANDA!H60</f>
        <v>106.05</v>
      </c>
      <c r="K65" s="42" t="n">
        <f aca="false">BOM_COEF!U348*DEMANDA!I60</f>
        <v>111.1</v>
      </c>
      <c r="L65" s="42" t="n">
        <f aca="false">BOM_COEF!V348*DEMANDA!J60</f>
        <v>217.15</v>
      </c>
      <c r="M65" s="42" t="n">
        <f aca="false">BOM_COEF!W348*DEMANDA!K60</f>
        <v>126.25</v>
      </c>
      <c r="N65" s="42" t="n">
        <f aca="false">BOM_COEF!X348*DEMANDA!L60</f>
        <v>131.3</v>
      </c>
      <c r="O65" s="42" t="n">
        <f aca="false">BOM_COEF!Y348*DEMANDA!M60</f>
        <v>136.35</v>
      </c>
      <c r="P65" s="42" t="n">
        <f aca="false">BOM_COEF!Z348*DEMANDA!N60</f>
        <v>141.4</v>
      </c>
      <c r="Q65" s="42" t="n">
        <f aca="false">BOM_COEF!AA348*DEMANDA!O60</f>
        <v>45.45</v>
      </c>
      <c r="R65" s="24" t="s">
        <v>2699</v>
      </c>
    </row>
    <row r="66" customFormat="false" ht="15" hidden="false" customHeight="false" outlineLevel="0" collapsed="false">
      <c r="A66" s="38" t="n">
        <v>0</v>
      </c>
      <c r="B66" s="38" t="s">
        <v>573</v>
      </c>
      <c r="C66" s="38" t="s">
        <v>2070</v>
      </c>
      <c r="D66" s="38" t="s">
        <v>1778</v>
      </c>
      <c r="E66" s="38"/>
      <c r="F66" s="38"/>
      <c r="G66" s="38"/>
      <c r="H66" s="39" t="n">
        <f aca="false">SUM(H67:H88)</f>
        <v>105.174841857904</v>
      </c>
      <c r="I66" s="39" t="n">
        <f aca="false">SUM(I67:I88)</f>
        <v>447.926558174469</v>
      </c>
      <c r="J66" s="39" t="n">
        <f aca="false">SUM(J67:J88)</f>
        <v>966.19044782668</v>
      </c>
      <c r="K66" s="39" t="n">
        <f aca="false">SUM(K67:K88)</f>
        <v>1789.60534946369</v>
      </c>
      <c r="L66" s="39" t="n">
        <f aca="false">SUM(L67:L88)</f>
        <v>2589.11822954941</v>
      </c>
      <c r="M66" s="39" t="n">
        <f aca="false">SUM(M67:M88)</f>
        <v>3460.59079239573</v>
      </c>
      <c r="N66" s="39" t="n">
        <f aca="false">SUM(N67:N88)</f>
        <v>4256.4347001147</v>
      </c>
      <c r="O66" s="39" t="n">
        <f aca="false">SUM(O67:O88)</f>
        <v>4762.85267795468</v>
      </c>
      <c r="P66" s="39" t="n">
        <f aca="false">SUM(P67:P88)</f>
        <v>5138.05662125997</v>
      </c>
      <c r="Q66" s="39" t="n">
        <f aca="false">SUM(Q67:Q88)</f>
        <v>5521.34150062402</v>
      </c>
      <c r="R66" s="38"/>
    </row>
    <row r="67" customFormat="false" ht="15" hidden="false" customHeight="false" outlineLevel="1" collapsed="false">
      <c r="A67" s="24" t="n">
        <v>1</v>
      </c>
      <c r="B67" s="24" t="s">
        <v>573</v>
      </c>
      <c r="C67" s="40" t="s">
        <v>3037</v>
      </c>
      <c r="D67" s="24" t="s">
        <v>1778</v>
      </c>
      <c r="E67" s="24" t="s">
        <v>282</v>
      </c>
      <c r="F67" s="41" t="n">
        <f aca="false">INDEX((BOM_COEF!R384~BOM_COEF!S384~BOM_COEF!T384~BOM_COEF!U384~BOM_COEF!V384~BOM_COEF!W384~BOM_COEF!X384~BOM_COEF!Y384~BOM_COEF!Z384~BOM_COEF!AA384),1,1,INDEX(P_VAL,MATCH("AÑO_DIS",P_ID,0))-2025)</f>
        <v>0.00404672042660542</v>
      </c>
      <c r="G67" s="24" t="s">
        <v>2281</v>
      </c>
      <c r="H67" s="42" t="n">
        <f aca="false">BOM_COEF!R384*DEMANDA!F20</f>
        <v>14.072397944346</v>
      </c>
      <c r="I67" s="42" t="n">
        <f aca="false">BOM_COEF!S384*DEMANDA!G20</f>
        <v>68.6752155608447</v>
      </c>
      <c r="J67" s="42" t="n">
        <f aca="false">BOM_COEF!T384*DEMANDA!H20</f>
        <v>123.611484373035</v>
      </c>
      <c r="K67" s="42" t="n">
        <f aca="false">BOM_COEF!U384*DEMANDA!I20</f>
        <v>226.811845243237</v>
      </c>
      <c r="L67" s="42" t="n">
        <f aca="false">BOM_COEF!V384*DEMANDA!J20</f>
        <v>341.018045434929</v>
      </c>
      <c r="M67" s="42" t="n">
        <f aca="false">BOM_COEF!W384*DEMANDA!K20</f>
        <v>475.116635982046</v>
      </c>
      <c r="N67" s="42" t="n">
        <f aca="false">BOM_COEF!X384*DEMANDA!L20</f>
        <v>597.33897426673</v>
      </c>
      <c r="O67" s="42" t="n">
        <f aca="false">BOM_COEF!Y384*DEMANDA!M20</f>
        <v>693.625527653934</v>
      </c>
      <c r="P67" s="42" t="n">
        <f aca="false">BOM_COEF!Z384*DEMANDA!N20</f>
        <v>743.344365606912</v>
      </c>
      <c r="Q67" s="42" t="n">
        <f aca="false">BOM_COEF!AA384*DEMANDA!O20</f>
        <v>794.301173844765</v>
      </c>
      <c r="R67" s="24" t="s">
        <v>3038</v>
      </c>
    </row>
    <row r="68" customFormat="false" ht="15" hidden="false" customHeight="false" outlineLevel="1" collapsed="false">
      <c r="A68" s="24" t="n">
        <v>1</v>
      </c>
      <c r="B68" s="24" t="s">
        <v>573</v>
      </c>
      <c r="C68" s="40" t="s">
        <v>3039</v>
      </c>
      <c r="D68" s="24" t="s">
        <v>1778</v>
      </c>
      <c r="E68" s="24" t="s">
        <v>286</v>
      </c>
      <c r="F68" s="41" t="n">
        <f aca="false">INDEX((BOM_COEF!R398~BOM_COEF!S398~BOM_COEF!T398~BOM_COEF!U398~BOM_COEF!V398~BOM_COEF!W398~BOM_COEF!X398~BOM_COEF!Y398~BOM_COEF!Z398~BOM_COEF!AA398),1,1,INDEX(P_VAL,MATCH("AÑO_DIS",P_ID,0))-2025)</f>
        <v>0.0212126473975284</v>
      </c>
      <c r="G68" s="24" t="s">
        <v>2281</v>
      </c>
      <c r="H68" s="42" t="n">
        <f aca="false">BOM_COEF!R398*DEMANDA!F21</f>
        <v>7.00010295003692</v>
      </c>
      <c r="I68" s="42" t="n">
        <f aca="false">BOM_COEF!S398*DEMANDA!G21</f>
        <v>27.3094597457452</v>
      </c>
      <c r="J68" s="42" t="n">
        <f aca="false">BOM_COEF!T398*DEMANDA!H21</f>
        <v>62.5172613998582</v>
      </c>
      <c r="K68" s="42" t="n">
        <f aca="false">BOM_COEF!U398*DEMANDA!I21</f>
        <v>115.100742629029</v>
      </c>
      <c r="L68" s="42" t="n">
        <f aca="false">BOM_COEF!V398*DEMANDA!J21</f>
        <v>166.537860234465</v>
      </c>
      <c r="M68" s="42" t="n">
        <f aca="false">BOM_COEF!W398*DEMANDA!K21</f>
        <v>221.119441139155</v>
      </c>
      <c r="N68" s="42" t="n">
        <f aca="false">BOM_COEF!X398*DEMANDA!L21</f>
        <v>271.731800895342</v>
      </c>
      <c r="O68" s="42" t="n">
        <f aca="false">BOM_COEF!Y398*DEMANDA!M21</f>
        <v>302.557438866891</v>
      </c>
      <c r="P68" s="42" t="n">
        <f aca="false">BOM_COEF!Z398*DEMANDA!N21</f>
        <v>327.372026035744</v>
      </c>
      <c r="Q68" s="42" t="n">
        <f aca="false">BOM_COEF!AA398*DEMANDA!O21</f>
        <v>352.570346177742</v>
      </c>
      <c r="R68" s="24" t="s">
        <v>3040</v>
      </c>
    </row>
    <row r="69" customFormat="false" ht="15" hidden="false" customHeight="false" outlineLevel="1" collapsed="false">
      <c r="A69" s="24" t="n">
        <v>1</v>
      </c>
      <c r="B69" s="24" t="s">
        <v>573</v>
      </c>
      <c r="C69" s="40" t="s">
        <v>3041</v>
      </c>
      <c r="D69" s="24" t="s">
        <v>1778</v>
      </c>
      <c r="E69" s="24" t="s">
        <v>290</v>
      </c>
      <c r="F69" s="41" t="n">
        <f aca="false">INDEX((BOM_COEF!R413~BOM_COEF!S413~BOM_COEF!T413~BOM_COEF!U413~BOM_COEF!V413~BOM_COEF!W413~BOM_COEF!X413~BOM_COEF!Y413~BOM_COEF!Z413~BOM_COEF!AA413),1,1,INDEX(P_VAL,MATCH("AÑO_DIS",P_ID,0))-2025)</f>
        <v>0.0236602605587818</v>
      </c>
      <c r="G69" s="24" t="s">
        <v>2281</v>
      </c>
      <c r="H69" s="42" t="n">
        <f aca="false">BOM_COEF!R413*DEMANDA!F22</f>
        <v>46.1468325273299</v>
      </c>
      <c r="I69" s="42" t="n">
        <f aca="false">BOM_COEF!S413*DEMANDA!G22</f>
        <v>185.795000251915</v>
      </c>
      <c r="J69" s="42" t="n">
        <f aca="false">BOM_COEF!T413*DEMANDA!H22</f>
        <v>420.581408512248</v>
      </c>
      <c r="K69" s="42" t="n">
        <f aca="false">BOM_COEF!U413*DEMANDA!I22</f>
        <v>795.11650338695</v>
      </c>
      <c r="L69" s="42" t="n">
        <f aca="false">BOM_COEF!V413*DEMANDA!J22</f>
        <v>1145.33576393536</v>
      </c>
      <c r="M69" s="42" t="n">
        <f aca="false">BOM_COEF!W413*DEMANDA!K22</f>
        <v>1521.89995163526</v>
      </c>
      <c r="N69" s="42" t="n">
        <f aca="false">BOM_COEF!X413*DEMANDA!L22</f>
        <v>1862.56174670142</v>
      </c>
      <c r="O69" s="42" t="n">
        <f aca="false">BOM_COEF!Y413*DEMANDA!M22</f>
        <v>2064.05517580579</v>
      </c>
      <c r="P69" s="42" t="n">
        <f aca="false">BOM_COEF!Z413*DEMANDA!N22</f>
        <v>2226.51729518959</v>
      </c>
      <c r="Q69" s="42" t="n">
        <f aca="false">BOM_COEF!AA413*DEMANDA!O22</f>
        <v>2391.93821012795</v>
      </c>
      <c r="R69" s="24" t="s">
        <v>3042</v>
      </c>
    </row>
    <row r="70" customFormat="false" ht="15" hidden="false" customHeight="false" outlineLevel="1" collapsed="false">
      <c r="A70" s="24" t="n">
        <v>1</v>
      </c>
      <c r="B70" s="24" t="s">
        <v>573</v>
      </c>
      <c r="C70" s="40" t="s">
        <v>3043</v>
      </c>
      <c r="D70" s="24" t="s">
        <v>1778</v>
      </c>
      <c r="E70" s="24" t="s">
        <v>336</v>
      </c>
      <c r="F70" s="41" t="n">
        <f aca="false">INDEX((BOM_COEF!R413~BOM_COEF!S413~BOM_COEF!T413~BOM_COEF!U413~BOM_COEF!V413~BOM_COEF!W413~BOM_COEF!X413~BOM_COEF!Y413~BOM_COEF!Z413~BOM_COEF!AA413),1,1,INDEX(P_VAL,MATCH("AÑO_DIS",P_ID,0))-2025)</f>
        <v>0.0236602605587818</v>
      </c>
      <c r="G70" s="24" t="s">
        <v>2281</v>
      </c>
      <c r="H70" s="42" t="n">
        <f aca="false">BOM_COEF!R413*DEMANDA!F37</f>
        <v>1.49059641520325</v>
      </c>
      <c r="I70" s="42" t="n">
        <f aca="false">BOM_COEF!S413*DEMANDA!G37</f>
        <v>6.67219347757646</v>
      </c>
      <c r="J70" s="42" t="n">
        <f aca="false">BOM_COEF!T413*DEMANDA!H37</f>
        <v>13.0841240890063</v>
      </c>
      <c r="K70" s="42" t="n">
        <f aca="false">BOM_COEF!U413*DEMANDA!I37</f>
        <v>24.2517670727513</v>
      </c>
      <c r="L70" s="42" t="n">
        <f aca="false">BOM_COEF!V413*DEMANDA!J37</f>
        <v>35.8452947465544</v>
      </c>
      <c r="M70" s="42" t="n">
        <f aca="false">BOM_COEF!W413*DEMANDA!K37</f>
        <v>49.0240598777958</v>
      </c>
      <c r="N70" s="42" t="n">
        <f aca="false">BOM_COEF!X413*DEMANDA!L37</f>
        <v>61.0198119810982</v>
      </c>
      <c r="O70" s="42" t="n">
        <f aca="false">BOM_COEF!Y413*DEMANDA!M37</f>
        <v>69.6558070850535</v>
      </c>
      <c r="P70" s="42" t="n">
        <f aca="false">BOM_COEF!Z413*DEMANDA!N37</f>
        <v>74.8610644079855</v>
      </c>
      <c r="Q70" s="42" t="n">
        <f aca="false">BOM_COEF!AA413*DEMANDA!O37</f>
        <v>80.1609627731526</v>
      </c>
      <c r="R70" s="24" t="s">
        <v>3042</v>
      </c>
    </row>
    <row r="71" customFormat="false" ht="15" hidden="false" customHeight="false" outlineLevel="1" collapsed="false">
      <c r="A71" s="24" t="n">
        <v>1</v>
      </c>
      <c r="B71" s="24" t="s">
        <v>573</v>
      </c>
      <c r="C71" s="40" t="s">
        <v>3044</v>
      </c>
      <c r="D71" s="24" t="s">
        <v>1778</v>
      </c>
      <c r="E71" s="24" t="s">
        <v>293</v>
      </c>
      <c r="F71" s="41" t="n">
        <f aca="false">INDEX((BOM_COEF!R428~BOM_COEF!S428~BOM_COEF!T428~BOM_COEF!U428~BOM_COEF!V428~BOM_COEF!W428~BOM_COEF!X428~BOM_COEF!Y428~BOM_COEF!Z428~BOM_COEF!AA428),1,1,INDEX(P_VAL,MATCH("AÑO_DIS",P_ID,0))-2025)</f>
        <v>0.0587427158700788</v>
      </c>
      <c r="G71" s="24" t="s">
        <v>2281</v>
      </c>
      <c r="H71" s="42" t="n">
        <f aca="false">BOM_COEF!R428*DEMANDA!F23</f>
        <v>6.95182637898052</v>
      </c>
      <c r="I71" s="42" t="n">
        <f aca="false">BOM_COEF!S428*DEMANDA!G23</f>
        <v>25.7126605672029</v>
      </c>
      <c r="J71" s="42" t="n">
        <f aca="false">BOM_COEF!T428*DEMANDA!H23</f>
        <v>60.2098046839879</v>
      </c>
      <c r="K71" s="42" t="n">
        <f aca="false">BOM_COEF!U428*DEMANDA!I23</f>
        <v>115.159799512366</v>
      </c>
      <c r="L71" s="42" t="n">
        <f aca="false">BOM_COEF!V428*DEMANDA!J23</f>
        <v>167.121666521531</v>
      </c>
      <c r="M71" s="42" t="n">
        <f aca="false">BOM_COEF!W428*DEMANDA!K23</f>
        <v>223.832693662159</v>
      </c>
      <c r="N71" s="42" t="n">
        <f aca="false">BOM_COEF!X428*DEMANDA!L23</f>
        <v>273.957115775528</v>
      </c>
      <c r="O71" s="42" t="n">
        <f aca="false">BOM_COEF!Y428*DEMANDA!M23</f>
        <v>303.37761281479</v>
      </c>
      <c r="P71" s="42" t="n">
        <f aca="false">BOM_COEF!Z428*DEMANDA!N23</f>
        <v>327.287645417253</v>
      </c>
      <c r="Q71" s="42" t="n">
        <f aca="false">BOM_COEF!AA428*DEMANDA!O23</f>
        <v>351.63101028752</v>
      </c>
      <c r="R71" s="24" t="s">
        <v>3045</v>
      </c>
    </row>
    <row r="72" customFormat="false" ht="15" hidden="false" customHeight="false" outlineLevel="1" collapsed="false">
      <c r="A72" s="24" t="n">
        <v>1</v>
      </c>
      <c r="B72" s="24" t="s">
        <v>573</v>
      </c>
      <c r="C72" s="40" t="s">
        <v>3046</v>
      </c>
      <c r="D72" s="24" t="s">
        <v>1778</v>
      </c>
      <c r="E72" s="24" t="s">
        <v>339</v>
      </c>
      <c r="F72" s="41" t="n">
        <f aca="false">INDEX((BOM_COEF!R428~BOM_COEF!S428~BOM_COEF!T428~BOM_COEF!U428~BOM_COEF!V428~BOM_COEF!W428~BOM_COEF!X428~BOM_COEF!Y428~BOM_COEF!Z428~BOM_COEF!AA428),1,1,INDEX(P_VAL,MATCH("AÑO_DIS",P_ID,0))-2025)</f>
        <v>0.0587427158700788</v>
      </c>
      <c r="G72" s="24" t="s">
        <v>2281</v>
      </c>
      <c r="H72" s="42" t="n">
        <f aca="false">BOM_COEF!R428*DEMANDA!F38</f>
        <v>0.117485431740158</v>
      </c>
      <c r="I72" s="42" t="n">
        <f aca="false">BOM_COEF!S428*DEMANDA!G38</f>
        <v>0.293713579350394</v>
      </c>
      <c r="J72" s="42" t="n">
        <f aca="false">BOM_COEF!T428*DEMANDA!H38</f>
        <v>0.704912590440946</v>
      </c>
      <c r="K72" s="42" t="n">
        <f aca="false">BOM_COEF!U428*DEMANDA!I38</f>
        <v>1.29233974914173</v>
      </c>
      <c r="L72" s="42" t="n">
        <f aca="false">BOM_COEF!V428*DEMANDA!J38</f>
        <v>1.82102419197244</v>
      </c>
      <c r="M72" s="42" t="n">
        <f aca="false">BOM_COEF!W428*DEMANDA!K38</f>
        <v>2.46719406654331</v>
      </c>
      <c r="N72" s="42" t="n">
        <f aca="false">BOM_COEF!X428*DEMANDA!L38</f>
        <v>2.99587850937402</v>
      </c>
      <c r="O72" s="42" t="n">
        <f aca="false">BOM_COEF!Y428*DEMANDA!M38</f>
        <v>3.28959208872441</v>
      </c>
      <c r="P72" s="42" t="n">
        <f aca="false">BOM_COEF!Z428*DEMANDA!N38</f>
        <v>3.58330566807481</v>
      </c>
      <c r="Q72" s="42" t="n">
        <f aca="false">BOM_COEF!AA428*DEMANDA!O38</f>
        <v>3.81827653155512</v>
      </c>
      <c r="R72" s="24" t="s">
        <v>3045</v>
      </c>
    </row>
    <row r="73" customFormat="false" ht="15" hidden="false" customHeight="false" outlineLevel="1" collapsed="false">
      <c r="A73" s="24" t="n">
        <v>1</v>
      </c>
      <c r="B73" s="24" t="s">
        <v>573</v>
      </c>
      <c r="C73" s="40" t="s">
        <v>3047</v>
      </c>
      <c r="D73" s="24" t="s">
        <v>1778</v>
      </c>
      <c r="E73" s="24" t="s">
        <v>296</v>
      </c>
      <c r="F73" s="41" t="n">
        <f aca="false">INDEX((BOM_COEF!R443~BOM_COEF!S443~BOM_COEF!T443~BOM_COEF!U443~BOM_COEF!V443~BOM_COEF!W443~BOM_COEF!X443~BOM_COEF!Y443~BOM_COEF!Z443~BOM_COEF!AA443),1,1,INDEX(P_VAL,MATCH("AÑO_DIS",P_ID,0))-2025)</f>
        <v>0.209515686603281</v>
      </c>
      <c r="G73" s="24" t="s">
        <v>2281</v>
      </c>
      <c r="H73" s="42" t="n">
        <f aca="false">BOM_COEF!R443*DEMANDA!F24</f>
        <v>3.69538591317283</v>
      </c>
      <c r="I73" s="42" t="n">
        <f aca="false">BOM_COEF!S443*DEMANDA!G24</f>
        <v>18.0157970211099</v>
      </c>
      <c r="J73" s="42" t="n">
        <f aca="false">BOM_COEF!T443*DEMANDA!H24</f>
        <v>39.1521056981176</v>
      </c>
      <c r="K73" s="42" t="n">
        <f aca="false">BOM_COEF!U443*DEMANDA!I24</f>
        <v>70.5195484113304</v>
      </c>
      <c r="L73" s="42" t="n">
        <f aca="false">BOM_COEF!V443*DEMANDA!J24</f>
        <v>101.433373614146</v>
      </c>
      <c r="M73" s="42" t="n">
        <f aca="false">BOM_COEF!W443*DEMANDA!K24</f>
        <v>134.764760684308</v>
      </c>
      <c r="N73" s="42" t="n">
        <f aca="false">BOM_COEF!X443*DEMANDA!L24</f>
        <v>166.026880574219</v>
      </c>
      <c r="O73" s="42" t="n">
        <f aca="false">BOM_COEF!Y443*DEMANDA!M24</f>
        <v>186.401435637738</v>
      </c>
      <c r="P73" s="42" t="n">
        <f aca="false">BOM_COEF!Z443*DEMANDA!N24</f>
        <v>202.247819892668</v>
      </c>
      <c r="Q73" s="42" t="n">
        <f aca="false">BOM_COEF!AA443*DEMANDA!O24</f>
        <v>218.302712063748</v>
      </c>
      <c r="R73" s="24" t="s">
        <v>3048</v>
      </c>
    </row>
    <row r="74" customFormat="false" ht="15" hidden="false" customHeight="false" outlineLevel="1" collapsed="false">
      <c r="A74" s="24" t="n">
        <v>1</v>
      </c>
      <c r="B74" s="24" t="s">
        <v>573</v>
      </c>
      <c r="C74" s="40" t="s">
        <v>3049</v>
      </c>
      <c r="D74" s="24" t="s">
        <v>1778</v>
      </c>
      <c r="E74" s="24" t="s">
        <v>300</v>
      </c>
      <c r="F74" s="41" t="n">
        <f aca="false">INDEX((BOM_COEF!R458~BOM_COEF!S458~BOM_COEF!T458~BOM_COEF!U458~BOM_COEF!V458~BOM_COEF!W458~BOM_COEF!X458~BOM_COEF!Y458~BOM_COEF!Z458~BOM_COEF!AA458),1,1,INDEX(P_VAL,MATCH("AÑO_DIS",P_ID,0))-2025)</f>
        <v>0.293387230928893</v>
      </c>
      <c r="G74" s="24" t="s">
        <v>2281</v>
      </c>
      <c r="H74" s="42" t="n">
        <f aca="false">BOM_COEF!R458*DEMANDA!F25</f>
        <v>11.3843212746414</v>
      </c>
      <c r="I74" s="42" t="n">
        <f aca="false">BOM_COEF!S458*DEMANDA!G25</f>
        <v>55.5010021061032</v>
      </c>
      <c r="J74" s="42" t="n">
        <f aca="false">BOM_COEF!T458*DEMANDA!H25</f>
        <v>120.615318751457</v>
      </c>
      <c r="K74" s="42" t="n">
        <f aca="false">BOM_COEF!U458*DEMANDA!I25</f>
        <v>217.248540243968</v>
      </c>
      <c r="L74" s="42" t="n">
        <f aca="false">BOM_COEF!V458*DEMANDA!J25</f>
        <v>312.484308949156</v>
      </c>
      <c r="M74" s="42" t="n">
        <f aca="false">BOM_COEF!W458*DEMANDA!K25</f>
        <v>415.167825084153</v>
      </c>
      <c r="N74" s="42" t="n">
        <f aca="false">BOM_COEF!X458*DEMANDA!L25</f>
        <v>511.476580044218</v>
      </c>
      <c r="O74" s="42" t="n">
        <f aca="false">BOM_COEF!Y458*DEMANDA!M25</f>
        <v>574.244173409618</v>
      </c>
      <c r="P74" s="42" t="n">
        <f aca="false">BOM_COEF!Z458*DEMANDA!N25</f>
        <v>623.061897511764</v>
      </c>
      <c r="Q74" s="42" t="n">
        <f aca="false">BOM_COEF!AA458*DEMANDA!O25</f>
        <v>672.521968311501</v>
      </c>
      <c r="R74" s="24" t="s">
        <v>3050</v>
      </c>
    </row>
    <row r="75" customFormat="false" ht="15" hidden="false" customHeight="false" outlineLevel="1" collapsed="false">
      <c r="A75" s="24" t="n">
        <v>1</v>
      </c>
      <c r="B75" s="24" t="s">
        <v>573</v>
      </c>
      <c r="C75" s="40" t="s">
        <v>3051</v>
      </c>
      <c r="D75" s="24" t="s">
        <v>1778</v>
      </c>
      <c r="E75" s="24" t="s">
        <v>366</v>
      </c>
      <c r="F75" s="41" t="n">
        <f aca="false">INDEX((BOM_COEF!R458~BOM_COEF!S458~BOM_COEF!T458~BOM_COEF!U458~BOM_COEF!V458~BOM_COEF!W458~BOM_COEF!X458~BOM_COEF!Y458~BOM_COEF!Z458~BOM_COEF!AA458),1,1,INDEX(P_VAL,MATCH("AÑO_DIS",P_ID,0))-2025)</f>
        <v>0.293387230928893</v>
      </c>
      <c r="G75" s="24" t="s">
        <v>2281</v>
      </c>
      <c r="H75" s="42" t="n">
        <f aca="false">BOM_COEF!R458*DEMANDA!F47</f>
        <v>0.293387230928893</v>
      </c>
      <c r="I75" s="42" t="n">
        <f aca="false">BOM_COEF!S458*DEMANDA!G47</f>
        <v>0.880161692786679</v>
      </c>
      <c r="J75" s="42" t="n">
        <f aca="false">BOM_COEF!T458*DEMANDA!H47</f>
        <v>2.05371061650225</v>
      </c>
      <c r="K75" s="42" t="n">
        <f aca="false">BOM_COEF!U458*DEMANDA!I47</f>
        <v>3.52064677114671</v>
      </c>
      <c r="L75" s="42" t="n">
        <f aca="false">BOM_COEF!V458*DEMANDA!J47</f>
        <v>4.98758292579118</v>
      </c>
      <c r="M75" s="42" t="n">
        <f aca="false">BOM_COEF!W458*DEMANDA!K47</f>
        <v>6.74790631136454</v>
      </c>
      <c r="N75" s="42" t="n">
        <f aca="false">BOM_COEF!X458*DEMANDA!L47</f>
        <v>8.214842466009</v>
      </c>
      <c r="O75" s="42" t="n">
        <f aca="false">BOM_COEF!Y458*DEMANDA!M47</f>
        <v>9.09500415879568</v>
      </c>
      <c r="P75" s="42" t="n">
        <f aca="false">BOM_COEF!Z458*DEMANDA!N47</f>
        <v>9.97516585158236</v>
      </c>
      <c r="Q75" s="42" t="n">
        <f aca="false">BOM_COEF!AA458*DEMANDA!O47</f>
        <v>10.5619403134401</v>
      </c>
      <c r="R75" s="24" t="s">
        <v>3050</v>
      </c>
    </row>
    <row r="76" customFormat="false" ht="15" hidden="false" customHeight="false" outlineLevel="1" collapsed="false">
      <c r="A76" s="24" t="n">
        <v>1</v>
      </c>
      <c r="B76" s="24" t="s">
        <v>573</v>
      </c>
      <c r="C76" s="40" t="s">
        <v>3052</v>
      </c>
      <c r="D76" s="24" t="s">
        <v>1778</v>
      </c>
      <c r="E76" s="24" t="s">
        <v>303</v>
      </c>
      <c r="F76" s="41" t="n">
        <f aca="false">INDEX((BOM_COEF!R473~BOM_COEF!S473~BOM_COEF!T473~BOM_COEF!U473~BOM_COEF!V473~BOM_COEF!W473~BOM_COEF!X473~BOM_COEF!Y473~BOM_COEF!Z473~BOM_COEF!AA473),1,1,INDEX(P_VAL,MATCH("AÑO_DIS",P_ID,0))-2025)</f>
        <v>0.580900190270779</v>
      </c>
      <c r="G76" s="24" t="s">
        <v>2281</v>
      </c>
      <c r="H76" s="42" t="n">
        <f aca="false">BOM_COEF!R473*DEMANDA!F26</f>
        <v>4.91797153269642</v>
      </c>
      <c r="I76" s="42" t="n">
        <f aca="false">BOM_COEF!S473*DEMANDA!G26</f>
        <v>23.9761635110443</v>
      </c>
      <c r="J76" s="42" t="n">
        <f aca="false">BOM_COEF!T473*DEMANDA!H26</f>
        <v>52.1052322480537</v>
      </c>
      <c r="K76" s="42" t="n">
        <f aca="false">BOM_COEF!U473*DEMANDA!I26</f>
        <v>93.8503149043734</v>
      </c>
      <c r="L76" s="42" t="n">
        <f aca="false">BOM_COEF!V473*DEMANDA!J26</f>
        <v>134.991704700028</v>
      </c>
      <c r="M76" s="42" t="n">
        <f aca="false">BOM_COEF!W473*DEMANDA!K26</f>
        <v>179.350485251801</v>
      </c>
      <c r="N76" s="42" t="n">
        <f aca="false">BOM_COEF!X473*DEMANDA!L26</f>
        <v>220.95539993944</v>
      </c>
      <c r="O76" s="42" t="n">
        <f aca="false">BOM_COEF!Y473*DEMANDA!M26</f>
        <v>248.070695617612</v>
      </c>
      <c r="P76" s="42" t="n">
        <f aca="false">BOM_COEF!Z473*DEMANDA!N26</f>
        <v>269.159715469179</v>
      </c>
      <c r="Q76" s="42" t="n">
        <f aca="false">BOM_COEF!AA473*DEMANDA!O26</f>
        <v>290.526225997356</v>
      </c>
      <c r="R76" s="24" t="s">
        <v>3053</v>
      </c>
    </row>
    <row r="77" customFormat="false" ht="15" hidden="false" customHeight="false" outlineLevel="1" collapsed="false">
      <c r="A77" s="24" t="n">
        <v>1</v>
      </c>
      <c r="B77" s="24" t="s">
        <v>573</v>
      </c>
      <c r="C77" s="40" t="s">
        <v>3054</v>
      </c>
      <c r="D77" s="24" t="s">
        <v>1778</v>
      </c>
      <c r="E77" s="24" t="s">
        <v>306</v>
      </c>
      <c r="F77" s="41" t="n">
        <f aca="false">INDEX((BOM_COEF!R488~BOM_COEF!S488~BOM_COEF!T488~BOM_COEF!U488~BOM_COEF!V488~BOM_COEF!W488~BOM_COEF!X488~BOM_COEF!Y488~BOM_COEF!Z488~BOM_COEF!AA488),1,1,INDEX(P_VAL,MATCH("AÑO_DIS",P_ID,0))-2025)</f>
        <v>0.540106637583224</v>
      </c>
      <c r="G77" s="24" t="s">
        <v>2281</v>
      </c>
      <c r="H77" s="42" t="n">
        <f aca="false">BOM_COEF!R488*DEMANDA!F27</f>
        <v>3.04840557551032</v>
      </c>
      <c r="I77" s="42" t="n">
        <f aca="false">BOM_COEF!S488*DEMANDA!G27</f>
        <v>14.8616294440394</v>
      </c>
      <c r="J77" s="42" t="n">
        <f aca="false">BOM_COEF!T488*DEMANDA!H27</f>
        <v>32.2974379682906</v>
      </c>
      <c r="K77" s="42" t="n">
        <f aca="false">BOM_COEF!U488*DEMANDA!I27</f>
        <v>58.173135232434</v>
      </c>
      <c r="L77" s="42" t="n">
        <f aca="false">BOM_COEF!V488*DEMANDA!J27</f>
        <v>83.6746334556611</v>
      </c>
      <c r="M77" s="42" t="n">
        <f aca="false">BOM_COEF!W488*DEMANDA!K27</f>
        <v>111.170431851558</v>
      </c>
      <c r="N77" s="42" t="n">
        <f aca="false">BOM_COEF!X488*DEMANDA!L27</f>
        <v>136.959246011874</v>
      </c>
      <c r="O77" s="42" t="n">
        <f aca="false">BOM_COEF!Y488*DEMANDA!M27</f>
        <v>153.766667133763</v>
      </c>
      <c r="P77" s="42" t="n">
        <f aca="false">BOM_COEF!Z488*DEMANDA!N27</f>
        <v>166.838700002004</v>
      </c>
      <c r="Q77" s="42" t="n">
        <f aca="false">BOM_COEF!AA488*DEMANDA!O27</f>
        <v>180.082735608125</v>
      </c>
      <c r="R77" s="24" t="s">
        <v>3055</v>
      </c>
    </row>
    <row r="78" customFormat="false" ht="15" hidden="false" customHeight="false" outlineLevel="1" collapsed="false">
      <c r="A78" s="24" t="n">
        <v>1</v>
      </c>
      <c r="B78" s="24" t="s">
        <v>573</v>
      </c>
      <c r="C78" s="40" t="s">
        <v>3056</v>
      </c>
      <c r="D78" s="24" t="s">
        <v>1778</v>
      </c>
      <c r="E78" s="24" t="s">
        <v>369</v>
      </c>
      <c r="F78" s="41" t="n">
        <f aca="false">INDEX((BOM_COEF!R488~BOM_COEF!S488~BOM_COEF!T488~BOM_COEF!U488~BOM_COEF!V488~BOM_COEF!W488~BOM_COEF!X488~BOM_COEF!Y488~BOM_COEF!Z488~BOM_COEF!AA488),1,1,INDEX(P_VAL,MATCH("AÑO_DIS",P_ID,0))-2025)</f>
        <v>0.540106637583224</v>
      </c>
      <c r="G78" s="24" t="s">
        <v>2281</v>
      </c>
      <c r="H78" s="42" t="n">
        <f aca="false">BOM_COEF!R488*DEMANDA!F48</f>
        <v>0.540106637583224</v>
      </c>
      <c r="I78" s="42" t="n">
        <f aca="false">BOM_COEF!S488*DEMANDA!G48</f>
        <v>0.540106637583224</v>
      </c>
      <c r="J78" s="42" t="n">
        <f aca="false">BOM_COEF!T488*DEMANDA!H48</f>
        <v>1.08021327516645</v>
      </c>
      <c r="K78" s="42" t="n">
        <f aca="false">BOM_COEF!U488*DEMANDA!I48</f>
        <v>1.62031991274967</v>
      </c>
      <c r="L78" s="42" t="n">
        <f aca="false">BOM_COEF!V488*DEMANDA!J48</f>
        <v>2.70053318791612</v>
      </c>
      <c r="M78" s="42" t="n">
        <f aca="false">BOM_COEF!W488*DEMANDA!K48</f>
        <v>3.24063982549935</v>
      </c>
      <c r="N78" s="42" t="n">
        <f aca="false">BOM_COEF!X488*DEMANDA!L48</f>
        <v>3.78074646308257</v>
      </c>
      <c r="O78" s="42" t="n">
        <f aca="false">BOM_COEF!Y488*DEMANDA!M48</f>
        <v>4.32085310066579</v>
      </c>
      <c r="P78" s="42" t="n">
        <f aca="false">BOM_COEF!Z488*DEMANDA!N48</f>
        <v>4.86095973824902</v>
      </c>
      <c r="Q78" s="42" t="n">
        <f aca="false">BOM_COEF!AA488*DEMANDA!O48</f>
        <v>4.86095973824902</v>
      </c>
      <c r="R78" s="24" t="s">
        <v>3055</v>
      </c>
    </row>
    <row r="79" customFormat="false" ht="15" hidden="false" customHeight="false" outlineLevel="1" collapsed="false">
      <c r="A79" s="24" t="n">
        <v>1</v>
      </c>
      <c r="B79" s="24" t="s">
        <v>573</v>
      </c>
      <c r="C79" s="40" t="s">
        <v>3057</v>
      </c>
      <c r="D79" s="24" t="s">
        <v>1778</v>
      </c>
      <c r="E79" s="24" t="s">
        <v>318</v>
      </c>
      <c r="F79" s="41" t="n">
        <f aca="false">INDEX((BOM_COEF!R544~BOM_COEF!S544~BOM_COEF!T544~BOM_COEF!U544~BOM_COEF!V544~BOM_COEF!W544~BOM_COEF!X544~BOM_COEF!Y544~BOM_COEF!Z544~BOM_COEF!AA544),1,1,INDEX(P_VAL,MATCH("AÑO_DIS",P_ID,0))-2025)</f>
        <v>0.00498587866181224</v>
      </c>
      <c r="G79" s="24" t="s">
        <v>2281</v>
      </c>
      <c r="H79" s="42" t="n">
        <f aca="false">BOM_COEF!R544*DEMANDA!F31</f>
        <v>0.0340411726148029</v>
      </c>
      <c r="I79" s="42" t="n">
        <f aca="false">BOM_COEF!S544*DEMANDA!G31</f>
        <v>0.234700825114627</v>
      </c>
      <c r="J79" s="42" t="n">
        <f aca="false">BOM_COEF!T544*DEMANDA!H31</f>
        <v>0.443193139970556</v>
      </c>
      <c r="K79" s="42" t="n">
        <f aca="false">BOM_COEF!U544*DEMANDA!I31</f>
        <v>0.795260067878562</v>
      </c>
      <c r="L79" s="42" t="n">
        <f aca="false">BOM_COEF!V544*DEMANDA!J31</f>
        <v>1.09587719300058</v>
      </c>
      <c r="M79" s="42" t="n">
        <f aca="false">BOM_COEF!W544*DEMANDA!K31</f>
        <v>1.45522767259756</v>
      </c>
      <c r="N79" s="42" t="n">
        <f aca="false">BOM_COEF!X544*DEMANDA!L31</f>
        <v>1.83901227274814</v>
      </c>
      <c r="O79" s="42" t="n">
        <f aca="false">BOM_COEF!Y544*DEMANDA!M31</f>
        <v>2.03627748455437</v>
      </c>
      <c r="P79" s="42" t="n">
        <f aca="false">BOM_COEF!Z544*DEMANDA!N31</f>
        <v>2.22261468390654</v>
      </c>
      <c r="Q79" s="42" t="n">
        <f aca="false">BOM_COEF!AA544*DEMANDA!O31</f>
        <v>2.41056864366204</v>
      </c>
      <c r="R79" s="24" t="s">
        <v>3058</v>
      </c>
    </row>
    <row r="80" customFormat="false" ht="15" hidden="false" customHeight="false" outlineLevel="1" collapsed="false">
      <c r="A80" s="24" t="n">
        <v>1</v>
      </c>
      <c r="B80" s="24" t="s">
        <v>573</v>
      </c>
      <c r="C80" s="40" t="s">
        <v>3059</v>
      </c>
      <c r="D80" s="24" t="s">
        <v>1778</v>
      </c>
      <c r="E80" s="24" t="s">
        <v>351</v>
      </c>
      <c r="F80" s="41" t="n">
        <f aca="false">INDEX((BOM_COEF!R544~BOM_COEF!S544~BOM_COEF!T544~BOM_COEF!U544~BOM_COEF!V544~BOM_COEF!W544~BOM_COEF!X544~BOM_COEF!Y544~BOM_COEF!Z544~BOM_COEF!AA544),1,1,INDEX(P_VAL,MATCH("AÑO_DIS",P_ID,0))-2025)</f>
        <v>0.00498587866181224</v>
      </c>
      <c r="G80" s="24" t="s">
        <v>2281</v>
      </c>
      <c r="H80" s="42" t="n">
        <f aca="false">BOM_COEF!R544*DEMANDA!F42</f>
        <v>0.00498587866181224</v>
      </c>
      <c r="I80" s="42" t="n">
        <f aca="false">BOM_COEF!S544*DEMANDA!G42</f>
        <v>0.00498587866181224</v>
      </c>
      <c r="J80" s="42" t="n">
        <f aca="false">BOM_COEF!T544*DEMANDA!H42</f>
        <v>0.00498587866181224</v>
      </c>
      <c r="K80" s="42" t="n">
        <f aca="false">BOM_COEF!U544*DEMANDA!I42</f>
        <v>0.00997175732362448</v>
      </c>
      <c r="L80" s="42" t="n">
        <f aca="false">BOM_COEF!V544*DEMANDA!J42</f>
        <v>0.0149576359854367</v>
      </c>
      <c r="M80" s="42" t="n">
        <f aca="false">BOM_COEF!W544*DEMANDA!K42</f>
        <v>0.019943514647249</v>
      </c>
      <c r="N80" s="42" t="n">
        <f aca="false">BOM_COEF!X544*DEMANDA!L42</f>
        <v>0.019943514647249</v>
      </c>
      <c r="O80" s="42" t="n">
        <f aca="false">BOM_COEF!Y544*DEMANDA!M42</f>
        <v>0.0249293933090612</v>
      </c>
      <c r="P80" s="42" t="n">
        <f aca="false">BOM_COEF!Z544*DEMANDA!N42</f>
        <v>0.0249293933090612</v>
      </c>
      <c r="Q80" s="42" t="n">
        <f aca="false">BOM_COEF!AA544*DEMANDA!O42</f>
        <v>0.0299152719708734</v>
      </c>
      <c r="R80" s="24" t="s">
        <v>3058</v>
      </c>
    </row>
    <row r="81" customFormat="false" ht="15" hidden="false" customHeight="false" outlineLevel="1" collapsed="false">
      <c r="A81" s="24" t="n">
        <v>1</v>
      </c>
      <c r="B81" s="24" t="s">
        <v>573</v>
      </c>
      <c r="C81" s="40" t="s">
        <v>3060</v>
      </c>
      <c r="D81" s="24" t="s">
        <v>1778</v>
      </c>
      <c r="E81" s="24" t="s">
        <v>321</v>
      </c>
      <c r="F81" s="41" t="n">
        <f aca="false">INDEX((BOM_COEF!R556~BOM_COEF!S556~BOM_COEF!T556~BOM_COEF!U556~BOM_COEF!V556~BOM_COEF!W556~BOM_COEF!X556~BOM_COEF!Y556~BOM_COEF!Z556~BOM_COEF!AA556),1,1,INDEX(P_VAL,MATCH("AÑO_DIS",P_ID,0))-2025)</f>
        <v>0.0309266445844518</v>
      </c>
      <c r="G81" s="24" t="s">
        <v>2281</v>
      </c>
      <c r="H81" s="42" t="n">
        <f aca="false">BOM_COEF!R556*DEMANDA!F32</f>
        <v>2.53382639602149</v>
      </c>
      <c r="I81" s="42" t="n">
        <f aca="false">BOM_COEF!S556*DEMANDA!G32</f>
        <v>10.3727611918951</v>
      </c>
      <c r="J81" s="42" t="n">
        <f aca="false">BOM_COEF!T556*DEMANDA!H32</f>
        <v>23.0897818827341</v>
      </c>
      <c r="K81" s="42" t="n">
        <f aca="false">BOM_COEF!U556*DEMANDA!I32</f>
        <v>42.0262122847684</v>
      </c>
      <c r="L81" s="42" t="n">
        <f aca="false">BOM_COEF!V556*DEMANDA!J32</f>
        <v>60.6510320043914</v>
      </c>
      <c r="M81" s="42" t="n">
        <f aca="false">BOM_COEF!W556*DEMANDA!K32</f>
        <v>80.3641666869035</v>
      </c>
      <c r="N81" s="42" t="n">
        <f aca="false">BOM_COEF!X556*DEMANDA!L32</f>
        <v>98.8806311960275</v>
      </c>
      <c r="O81" s="42" t="n">
        <f aca="false">BOM_COEF!Y556*DEMANDA!M32</f>
        <v>110.672217763443</v>
      </c>
      <c r="P81" s="42" t="n">
        <f aca="false">BOM_COEF!Z556*DEMANDA!N32</f>
        <v>119.709247579198</v>
      </c>
      <c r="Q81" s="42" t="n">
        <f aca="false">BOM_COEF!AA556*DEMANDA!O32</f>
        <v>128.888635214106</v>
      </c>
      <c r="R81" s="24" t="s">
        <v>3061</v>
      </c>
    </row>
    <row r="82" customFormat="false" ht="15" hidden="false" customHeight="false" outlineLevel="1" collapsed="false">
      <c r="A82" s="24" t="n">
        <v>1</v>
      </c>
      <c r="B82" s="24" t="s">
        <v>573</v>
      </c>
      <c r="C82" s="40" t="s">
        <v>3062</v>
      </c>
      <c r="D82" s="24" t="s">
        <v>1778</v>
      </c>
      <c r="E82" s="24" t="s">
        <v>354</v>
      </c>
      <c r="F82" s="41" t="n">
        <f aca="false">INDEX((BOM_COEF!R556~BOM_COEF!S556~BOM_COEF!T556~BOM_COEF!U556~BOM_COEF!V556~BOM_COEF!W556~BOM_COEF!X556~BOM_COEF!Y556~BOM_COEF!Z556~BOM_COEF!AA556),1,1,INDEX(P_VAL,MATCH("AÑO_DIS",P_ID,0))-2025)</f>
        <v>0.0309266445844518</v>
      </c>
      <c r="G82" s="24" t="s">
        <v>2281</v>
      </c>
      <c r="H82" s="42" t="n">
        <f aca="false">BOM_COEF!R556*DEMANDA!F43</f>
        <v>0.0309266445844518</v>
      </c>
      <c r="I82" s="42" t="n">
        <f aca="false">BOM_COEF!S556*DEMANDA!G43</f>
        <v>0.123706578337807</v>
      </c>
      <c r="J82" s="42" t="n">
        <f aca="false">BOM_COEF!T556*DEMANDA!H43</f>
        <v>0.278339801260066</v>
      </c>
      <c r="K82" s="42" t="n">
        <f aca="false">BOM_COEF!U556*DEMANDA!I43</f>
        <v>0.463899668766776</v>
      </c>
      <c r="L82" s="42" t="n">
        <f aca="false">BOM_COEF!V556*DEMANDA!J43</f>
        <v>0.680386180857939</v>
      </c>
      <c r="M82" s="42" t="n">
        <f aca="false">BOM_COEF!W556*DEMANDA!K43</f>
        <v>0.896872692949101</v>
      </c>
      <c r="N82" s="42" t="n">
        <f aca="false">BOM_COEF!X556*DEMANDA!L43</f>
        <v>1.08243256045581</v>
      </c>
      <c r="O82" s="42" t="n">
        <f aca="false">BOM_COEF!Y556*DEMANDA!M43</f>
        <v>1.20613913879362</v>
      </c>
      <c r="P82" s="42" t="n">
        <f aca="false">BOM_COEF!Z556*DEMANDA!N43</f>
        <v>1.29891907254697</v>
      </c>
      <c r="Q82" s="42" t="n">
        <f aca="false">BOM_COEF!AA556*DEMANDA!O43</f>
        <v>1.39169900630033</v>
      </c>
      <c r="R82" s="24" t="s">
        <v>3061</v>
      </c>
    </row>
    <row r="83" customFormat="false" ht="15" hidden="false" customHeight="false" outlineLevel="1" collapsed="false">
      <c r="A83" s="24" t="n">
        <v>1</v>
      </c>
      <c r="B83" s="24" t="s">
        <v>573</v>
      </c>
      <c r="C83" s="40" t="s">
        <v>3063</v>
      </c>
      <c r="D83" s="24" t="s">
        <v>1778</v>
      </c>
      <c r="E83" s="24" t="s">
        <v>333</v>
      </c>
      <c r="F83" s="41" t="n">
        <f aca="false">INDEX((BOM_COEF!R601~BOM_COEF!S601~BOM_COEF!T601~BOM_COEF!U601~BOM_COEF!V601~BOM_COEF!W601~BOM_COEF!X601~BOM_COEF!Y601~BOM_COEF!Z601~BOM_COEF!AA601),1,1,INDEX(P_VAL,MATCH("AÑO_DIS",P_ID,0))-2025)</f>
        <v>0.0601296966614556</v>
      </c>
      <c r="G83" s="24" t="s">
        <v>2281</v>
      </c>
      <c r="H83" s="42" t="n">
        <f aca="false">BOM_COEF!R601*DEMANDA!F36</f>
        <v>0.410536541734523</v>
      </c>
      <c r="I83" s="42" t="n">
        <f aca="false">BOM_COEF!S601*DEMANDA!G36</f>
        <v>2.8304919508824</v>
      </c>
      <c r="J83" s="42" t="n">
        <f aca="false">BOM_COEF!T601*DEMANDA!H36</f>
        <v>5.3449092680449</v>
      </c>
      <c r="K83" s="42" t="n">
        <f aca="false">BOM_COEF!U601*DEMANDA!I36</f>
        <v>8.91598225892065</v>
      </c>
      <c r="L83" s="42" t="n">
        <f aca="false">BOM_COEF!V601*DEMANDA!J36</f>
        <v>12.3401803259438</v>
      </c>
      <c r="M83" s="42" t="n">
        <f aca="false">BOM_COEF!W601*DEMANDA!K36</f>
        <v>15.3790805854232</v>
      </c>
      <c r="N83" s="42" t="n">
        <f aca="false">BOM_COEF!X601*DEMANDA!L36</f>
        <v>19.7476688134257</v>
      </c>
      <c r="O83" s="42" t="n">
        <f aca="false">BOM_COEF!Y601*DEMANDA!M36</f>
        <v>22.0620710299087</v>
      </c>
      <c r="P83" s="42" t="n">
        <f aca="false">BOM_COEF!Z601*DEMANDA!N36</f>
        <v>24.1529992023787</v>
      </c>
      <c r="Q83" s="42" t="n">
        <f aca="false">BOM_COEF!AA601*DEMANDA!O36</f>
        <v>26.2578437557661</v>
      </c>
      <c r="R83" s="24" t="s">
        <v>3064</v>
      </c>
    </row>
    <row r="84" customFormat="false" ht="15" hidden="false" customHeight="false" outlineLevel="1" collapsed="false">
      <c r="A84" s="24" t="n">
        <v>1</v>
      </c>
      <c r="B84" s="24" t="s">
        <v>573</v>
      </c>
      <c r="C84" s="40" t="s">
        <v>3065</v>
      </c>
      <c r="D84" s="24" t="s">
        <v>1778</v>
      </c>
      <c r="E84" s="24" t="s">
        <v>363</v>
      </c>
      <c r="F84" s="41" t="n">
        <f aca="false">INDEX((BOM_COEF!R601~BOM_COEF!S601~BOM_COEF!T601~BOM_COEF!U601~BOM_COEF!V601~BOM_COEF!W601~BOM_COEF!X601~BOM_COEF!Y601~BOM_COEF!Z601~BOM_COEF!AA601),1,1,INDEX(P_VAL,MATCH("AÑO_DIS",P_ID,0))-2025)</f>
        <v>0.0601296966614556</v>
      </c>
      <c r="G84" s="24" t="s">
        <v>2281</v>
      </c>
      <c r="H84" s="42" t="n">
        <f aca="false">BOM_COEF!R601*DEMANDA!F46</f>
        <v>0.0601296966614556</v>
      </c>
      <c r="I84" s="42" t="n">
        <f aca="false">BOM_COEF!S601*DEMANDA!G46</f>
        <v>0.0601296966614556</v>
      </c>
      <c r="J84" s="42" t="n">
        <f aca="false">BOM_COEF!T601*DEMANDA!H46</f>
        <v>0.0601296966614556</v>
      </c>
      <c r="K84" s="42" t="n">
        <f aca="false">BOM_COEF!U601*DEMANDA!I46</f>
        <v>0.120259393322911</v>
      </c>
      <c r="L84" s="42" t="n">
        <f aca="false">BOM_COEF!V601*DEMANDA!J46</f>
        <v>0.180389089984367</v>
      </c>
      <c r="M84" s="42" t="n">
        <f aca="false">BOM_COEF!W601*DEMANDA!K46</f>
        <v>0.180389089984367</v>
      </c>
      <c r="N84" s="42" t="n">
        <f aca="false">BOM_COEF!X601*DEMANDA!L46</f>
        <v>0.240518786645823</v>
      </c>
      <c r="O84" s="42" t="n">
        <f aca="false">BOM_COEF!Y601*DEMANDA!M46</f>
        <v>0.240518786645823</v>
      </c>
      <c r="P84" s="42" t="n">
        <f aca="false">BOM_COEF!Z601*DEMANDA!N46</f>
        <v>0.300648483307278</v>
      </c>
      <c r="Q84" s="42" t="n">
        <f aca="false">BOM_COEF!AA601*DEMANDA!O46</f>
        <v>0.300648483307278</v>
      </c>
      <c r="R84" s="24" t="s">
        <v>3064</v>
      </c>
    </row>
    <row r="85" customFormat="false" ht="15" hidden="false" customHeight="false" outlineLevel="1" collapsed="false">
      <c r="A85" s="24" t="n">
        <v>1</v>
      </c>
      <c r="B85" s="24" t="s">
        <v>573</v>
      </c>
      <c r="C85" s="40" t="s">
        <v>3066</v>
      </c>
      <c r="D85" s="24" t="s">
        <v>1778</v>
      </c>
      <c r="E85" s="24" t="s">
        <v>372</v>
      </c>
      <c r="F85" s="41" t="n">
        <f aca="false">INDEX((BOM_COEF!R106~BOM_COEF!S106~BOM_COEF!T106~BOM_COEF!U106~BOM_COEF!V106~BOM_COEF!W106~BOM_COEF!X106~BOM_COEF!Y106~BOM_COEF!Z106~BOM_COEF!AA106),1,1,INDEX(P_VAL,MATCH("AÑO_DIS",P_ID,0))-2025)</f>
        <v>0.0236602605587818</v>
      </c>
      <c r="G85" s="24" t="s">
        <v>2281</v>
      </c>
      <c r="H85" s="42" t="n">
        <f aca="false">BOM_COEF!R106*DEMANDA!F49</f>
        <v>1.49059641520325</v>
      </c>
      <c r="I85" s="42" t="n">
        <f aca="false">BOM_COEF!S106*DEMANDA!G49</f>
        <v>5.25612688313337</v>
      </c>
      <c r="J85" s="42" t="n">
        <f aca="false">BOM_COEF!T106*DEMANDA!H49</f>
        <v>6.74554028530868</v>
      </c>
      <c r="K85" s="42" t="n">
        <f aca="false">BOM_COEF!U106*DEMANDA!I49</f>
        <v>11.8218491881953</v>
      </c>
      <c r="L85" s="42" t="n">
        <f aca="false">BOM_COEF!V106*DEMANDA!J49</f>
        <v>12.8061160274406</v>
      </c>
      <c r="M85" s="42" t="n">
        <f aca="false">BOM_COEF!W106*DEMANDA!K49</f>
        <v>14.9710298685692</v>
      </c>
      <c r="N85" s="42" t="n">
        <f aca="false">BOM_COEF!X106*DEMANDA!L49</f>
        <v>14.4469550971922</v>
      </c>
      <c r="O85" s="42" t="n">
        <f aca="false">BOM_COEF!Y106*DEMANDA!M49</f>
        <v>11.6869857030103</v>
      </c>
      <c r="P85" s="42" t="n">
        <f aca="false">BOM_COEF!Z106*DEMANDA!N49</f>
        <v>8.68804767718467</v>
      </c>
      <c r="Q85" s="42" t="n">
        <f aca="false">BOM_COEF!AA106*DEMANDA!O49</f>
        <v>9.04295158556639</v>
      </c>
      <c r="R85" s="24" t="s">
        <v>2358</v>
      </c>
    </row>
    <row r="86" customFormat="false" ht="15" hidden="false" customHeight="false" outlineLevel="1" collapsed="false">
      <c r="A86" s="24" t="n">
        <v>1</v>
      </c>
      <c r="B86" s="24" t="s">
        <v>573</v>
      </c>
      <c r="C86" s="40" t="s">
        <v>3067</v>
      </c>
      <c r="D86" s="24" t="s">
        <v>1778</v>
      </c>
      <c r="E86" s="24" t="s">
        <v>375</v>
      </c>
      <c r="F86" s="41" t="n">
        <f aca="false">INDEX((BOM_COEF!R147~BOM_COEF!S147~BOM_COEF!T147~BOM_COEF!U147~BOM_COEF!V147~BOM_COEF!W147~BOM_COEF!X147~BOM_COEF!Y147~BOM_COEF!Z147~BOM_COEF!AA147),1,1,INDEX(P_VAL,MATCH("AÑO_DIS",P_ID,0))-2025)</f>
        <v>0.0587427158700788</v>
      </c>
      <c r="G86" s="24" t="s">
        <v>2281</v>
      </c>
      <c r="H86" s="42" t="n">
        <f aca="false">BOM_COEF!R147*DEMANDA!F50</f>
        <v>0.117485431740158</v>
      </c>
      <c r="I86" s="42" t="n">
        <f aca="false">BOM_COEF!S147*DEMANDA!G50</f>
        <v>0.182102419197244</v>
      </c>
      <c r="J86" s="42" t="n">
        <f aca="false">BOM_COEF!T147*DEMANDA!H50</f>
        <v>0.425884690058071</v>
      </c>
      <c r="K86" s="42" t="n">
        <f aca="false">BOM_COEF!U147*DEMANDA!I50</f>
        <v>0.622672788222835</v>
      </c>
      <c r="L86" s="42" t="n">
        <f aca="false">BOM_COEF!V147*DEMANDA!J50</f>
        <v>0.593301430287796</v>
      </c>
      <c r="M86" s="42" t="n">
        <f aca="false">BOM_COEF!W147*DEMANDA!K50</f>
        <v>0.737221084169489</v>
      </c>
      <c r="N86" s="42" t="n">
        <f aca="false">BOM_COEF!X147*DEMANDA!L50</f>
        <v>0.652044146157875</v>
      </c>
      <c r="O86" s="42" t="n">
        <f aca="false">BOM_COEF!Y147*DEMANDA!M50</f>
        <v>0.443507504819095</v>
      </c>
      <c r="P86" s="42" t="n">
        <f aca="false">BOM_COEF!Z147*DEMANDA!N50</f>
        <v>0.458193183786615</v>
      </c>
      <c r="Q86" s="42" t="n">
        <f aca="false">BOM_COEF!AA147*DEMANDA!O50</f>
        <v>0.414136146884056</v>
      </c>
      <c r="R86" s="24" t="s">
        <v>2360</v>
      </c>
    </row>
    <row r="87" customFormat="false" ht="15" hidden="false" customHeight="false" outlineLevel="1" collapsed="false">
      <c r="A87" s="24" t="n">
        <v>1</v>
      </c>
      <c r="B87" s="24" t="s">
        <v>573</v>
      </c>
      <c r="C87" s="40" t="s">
        <v>3068</v>
      </c>
      <c r="D87" s="24" t="s">
        <v>1778</v>
      </c>
      <c r="E87" s="24" t="s">
        <v>402</v>
      </c>
      <c r="F87" s="41" t="n">
        <f aca="false">INDEX((BOM_COEF!R248~BOM_COEF!S248~BOM_COEF!T248~BOM_COEF!U248~BOM_COEF!V248~BOM_COEF!W248~BOM_COEF!X248~BOM_COEF!Y248~BOM_COEF!Z248~BOM_COEF!AA248),1,1,INDEX(P_VAL,MATCH("AÑO_DIS",P_ID,0))-2025)</f>
        <v>0.293387230928893</v>
      </c>
      <c r="G87" s="24" t="s">
        <v>2281</v>
      </c>
      <c r="H87" s="42" t="n">
        <f aca="false">BOM_COEF!R248*DEMANDA!F59</f>
        <v>0.293387230928893</v>
      </c>
      <c r="I87" s="42" t="n">
        <f aca="false">BOM_COEF!S248*DEMANDA!G59</f>
        <v>0.60144382340423</v>
      </c>
      <c r="J87" s="42" t="n">
        <f aca="false">BOM_COEF!T248*DEMANDA!H59</f>
        <v>1.21755700835491</v>
      </c>
      <c r="K87" s="42" t="n">
        <f aca="false">BOM_COEF!U248*DEMANDA!I59</f>
        <v>1.56962168546958</v>
      </c>
      <c r="L87" s="42" t="n">
        <f aca="false">BOM_COEF!V248*DEMANDA!J59</f>
        <v>1.6429684932018</v>
      </c>
      <c r="M87" s="42" t="n">
        <f aca="false">BOM_COEF!W248*DEMANDA!K59</f>
        <v>2.00970253186292</v>
      </c>
      <c r="N87" s="42" t="n">
        <f aca="false">BOM_COEF!X248*DEMANDA!L59</f>
        <v>1.80433147021269</v>
      </c>
      <c r="O87" s="42" t="n">
        <f aca="false">BOM_COEF!Y248*DEMANDA!M59</f>
        <v>1.29090381608713</v>
      </c>
      <c r="P87" s="42" t="n">
        <f aca="false">BOM_COEF!Z248*DEMANDA!N59</f>
        <v>1.33491190072646</v>
      </c>
      <c r="Q87" s="42" t="n">
        <f aca="false">BOM_COEF!AA248*DEMANDA!O59</f>
        <v>1.0855327544369</v>
      </c>
      <c r="R87" s="24" t="s">
        <v>2703</v>
      </c>
    </row>
    <row r="88" customFormat="false" ht="15" hidden="false" customHeight="false" outlineLevel="1" collapsed="false">
      <c r="A88" s="24" t="n">
        <v>1</v>
      </c>
      <c r="B88" s="24" t="s">
        <v>573</v>
      </c>
      <c r="C88" s="40" t="s">
        <v>3069</v>
      </c>
      <c r="D88" s="24" t="s">
        <v>1778</v>
      </c>
      <c r="E88" s="24" t="s">
        <v>405</v>
      </c>
      <c r="F88" s="41" t="n">
        <f aca="false">INDEX((BOM_COEF!R349~BOM_COEF!S349~BOM_COEF!T349~BOM_COEF!U349~BOM_COEF!V349~BOM_COEF!W349~BOM_COEF!X349~BOM_COEF!Y349~BOM_COEF!Z349~BOM_COEF!AA349),1,1,INDEX(P_VAL,MATCH("AÑO_DIS",P_ID,0))-2025)</f>
        <v>0.540106637583224</v>
      </c>
      <c r="G88" s="24" t="s">
        <v>2281</v>
      </c>
      <c r="H88" s="42" t="n">
        <f aca="false">BOM_COEF!R349*DEMANDA!F60</f>
        <v>0.540106637583224</v>
      </c>
      <c r="I88" s="42" t="n">
        <f aca="false">BOM_COEF!S349*DEMANDA!G60</f>
        <v>0.0270053318791612</v>
      </c>
      <c r="J88" s="42" t="n">
        <f aca="false">BOM_COEF!T349*DEMANDA!H60</f>
        <v>0.567111969462385</v>
      </c>
      <c r="K88" s="42" t="n">
        <f aca="false">BOM_COEF!U349*DEMANDA!I60</f>
        <v>0.594117301341547</v>
      </c>
      <c r="L88" s="42" t="n">
        <f aca="false">BOM_COEF!V349*DEMANDA!J60</f>
        <v>1.16122927080393</v>
      </c>
      <c r="M88" s="42" t="n">
        <f aca="false">BOM_COEF!W349*DEMANDA!K60</f>
        <v>0.67513329697903</v>
      </c>
      <c r="N88" s="42" t="n">
        <f aca="false">BOM_COEF!X349*DEMANDA!L60</f>
        <v>0.702138628858191</v>
      </c>
      <c r="O88" s="42" t="n">
        <f aca="false">BOM_COEF!Y349*DEMANDA!M60</f>
        <v>0.729143960737353</v>
      </c>
      <c r="P88" s="42" t="n">
        <f aca="false">BOM_COEF!Z349*DEMANDA!N60</f>
        <v>0.756149292616514</v>
      </c>
      <c r="Q88" s="42" t="n">
        <f aca="false">BOM_COEF!AA349*DEMANDA!O60</f>
        <v>0.243047986912451</v>
      </c>
      <c r="R88" s="24" t="s">
        <v>2707</v>
      </c>
    </row>
    <row r="89" customFormat="false" ht="15" hidden="false" customHeight="false" outlineLevel="0" collapsed="false">
      <c r="A89" s="38" t="n">
        <v>0</v>
      </c>
      <c r="B89" s="38" t="s">
        <v>1589</v>
      </c>
      <c r="C89" s="38" t="s">
        <v>2077</v>
      </c>
      <c r="D89" s="38" t="s">
        <v>1778</v>
      </c>
      <c r="E89" s="38"/>
      <c r="F89" s="38"/>
      <c r="G89" s="38"/>
      <c r="H89" s="39" t="n">
        <f aca="false">SUM(H90:H91)</f>
        <v>0.542584025864901</v>
      </c>
      <c r="I89" s="39" t="n">
        <f aca="false">SUM(I90:I91)</f>
        <v>3.22258888809001</v>
      </c>
      <c r="J89" s="39" t="n">
        <f aca="false">SUM(J90:J91)</f>
        <v>6.6063083874387</v>
      </c>
      <c r="K89" s="39" t="n">
        <f aca="false">SUM(K90:K91)</f>
        <v>11.4613397462205</v>
      </c>
      <c r="L89" s="39" t="n">
        <f aca="false">SUM(L90:L91)</f>
        <v>16.427425275278</v>
      </c>
      <c r="M89" s="39" t="n">
        <f aca="false">SUM(M90:M91)</f>
        <v>21.5642909762906</v>
      </c>
      <c r="N89" s="39" t="n">
        <f aca="false">SUM(N90:N91)</f>
        <v>27.0024506698928</v>
      </c>
      <c r="O89" s="39" t="n">
        <f aca="false">SUM(O90:O91)</f>
        <v>30.6293129005766</v>
      </c>
      <c r="P89" s="39" t="n">
        <f aca="false">SUM(P90:P91)</f>
        <v>33.4673091362721</v>
      </c>
      <c r="Q89" s="39" t="n">
        <f aca="false">SUM(Q90:Q91)</f>
        <v>36.3274606009924</v>
      </c>
      <c r="R89" s="38"/>
    </row>
    <row r="90" customFormat="false" ht="15" hidden="false" customHeight="false" outlineLevel="1" collapsed="false">
      <c r="A90" s="24" t="n">
        <v>1</v>
      </c>
      <c r="B90" s="24" t="s">
        <v>1589</v>
      </c>
      <c r="C90" s="40" t="s">
        <v>3070</v>
      </c>
      <c r="D90" s="24" t="s">
        <v>1778</v>
      </c>
      <c r="E90" s="24" t="s">
        <v>330</v>
      </c>
      <c r="F90" s="41" t="n">
        <f aca="false">INDEX((BOM_COEF!R589~BOM_COEF!S589~BOM_COEF!T589~BOM_COEF!U589~BOM_COEF!V589~BOM_COEF!W589~BOM_COEF!X589~BOM_COEF!Y589~BOM_COEF!Z589~BOM_COEF!AA589),1,1,INDEX(P_VAL,MATCH("AÑO_DIS",P_ID,0))-2025)</f>
        <v>0.028249708038138</v>
      </c>
      <c r="G90" s="24" t="s">
        <v>2281</v>
      </c>
      <c r="H90" s="42" t="n">
        <f aca="false">BOM_COEF!R589*DEMANDA!F35</f>
        <v>0.514334317826763</v>
      </c>
      <c r="I90" s="42" t="n">
        <f aca="false">BOM_COEF!S589*DEMANDA!G35</f>
        <v>3.16608947201373</v>
      </c>
      <c r="J90" s="42" t="n">
        <f aca="false">BOM_COEF!T589*DEMANDA!H35</f>
        <v>6.52155926332429</v>
      </c>
      <c r="K90" s="42" t="n">
        <f aca="false">BOM_COEF!U589*DEMANDA!I35</f>
        <v>11.3200912060298</v>
      </c>
      <c r="L90" s="42" t="n">
        <f aca="false">BOM_COEF!V589*DEMANDA!J35</f>
        <v>16.2296773190111</v>
      </c>
      <c r="M90" s="42" t="n">
        <f aca="false">BOM_COEF!W589*DEMANDA!K35</f>
        <v>21.3100436039474</v>
      </c>
      <c r="N90" s="42" t="n">
        <f aca="false">BOM_COEF!X589*DEMANDA!L35</f>
        <v>26.6917038814733</v>
      </c>
      <c r="O90" s="42" t="n">
        <f aca="false">BOM_COEF!Y589*DEMANDA!M35</f>
        <v>30.290316404119</v>
      </c>
      <c r="P90" s="42" t="n">
        <f aca="false">BOM_COEF!Z589*DEMANDA!N35</f>
        <v>33.1000629317763</v>
      </c>
      <c r="Q90" s="42" t="n">
        <f aca="false">BOM_COEF!AA589*DEMANDA!O35</f>
        <v>35.9319646884584</v>
      </c>
      <c r="R90" s="24" t="s">
        <v>3071</v>
      </c>
    </row>
    <row r="91" customFormat="false" ht="15" hidden="false" customHeight="false" outlineLevel="1" collapsed="false">
      <c r="A91" s="24" t="n">
        <v>1</v>
      </c>
      <c r="B91" s="24" t="s">
        <v>1589</v>
      </c>
      <c r="C91" s="40" t="s">
        <v>3072</v>
      </c>
      <c r="D91" s="24" t="s">
        <v>1778</v>
      </c>
      <c r="E91" s="24" t="s">
        <v>360</v>
      </c>
      <c r="F91" s="41" t="n">
        <f aca="false">INDEX((BOM_COEF!R589~BOM_COEF!S589~BOM_COEF!T589~BOM_COEF!U589~BOM_COEF!V589~BOM_COEF!W589~BOM_COEF!X589~BOM_COEF!Y589~BOM_COEF!Z589~BOM_COEF!AA589),1,1,INDEX(P_VAL,MATCH("AÑO_DIS",P_ID,0))-2025)</f>
        <v>0.028249708038138</v>
      </c>
      <c r="G91" s="24" t="s">
        <v>2281</v>
      </c>
      <c r="H91" s="42" t="n">
        <f aca="false">BOM_COEF!R589*DEMANDA!F45</f>
        <v>0.028249708038138</v>
      </c>
      <c r="I91" s="42" t="n">
        <f aca="false">BOM_COEF!S589*DEMANDA!G45</f>
        <v>0.0564994160762761</v>
      </c>
      <c r="J91" s="42" t="n">
        <f aca="false">BOM_COEF!T589*DEMANDA!H45</f>
        <v>0.0847491241144141</v>
      </c>
      <c r="K91" s="42" t="n">
        <f aca="false">BOM_COEF!U589*DEMANDA!I45</f>
        <v>0.14124854019069</v>
      </c>
      <c r="L91" s="42" t="n">
        <f aca="false">BOM_COEF!V589*DEMANDA!J45</f>
        <v>0.197747956266966</v>
      </c>
      <c r="M91" s="42" t="n">
        <f aca="false">BOM_COEF!W589*DEMANDA!K45</f>
        <v>0.254247372343242</v>
      </c>
      <c r="N91" s="42" t="n">
        <f aca="false">BOM_COEF!X589*DEMANDA!L45</f>
        <v>0.310746788419518</v>
      </c>
      <c r="O91" s="42" t="n">
        <f aca="false">BOM_COEF!Y589*DEMANDA!M45</f>
        <v>0.338996496457656</v>
      </c>
      <c r="P91" s="42" t="n">
        <f aca="false">BOM_COEF!Z589*DEMANDA!N45</f>
        <v>0.367246204495795</v>
      </c>
      <c r="Q91" s="42" t="n">
        <f aca="false">BOM_COEF!AA589*DEMANDA!O45</f>
        <v>0.395495912533933</v>
      </c>
      <c r="R91" s="24" t="s">
        <v>3071</v>
      </c>
    </row>
    <row r="92" customFormat="false" ht="15" hidden="false" customHeight="false" outlineLevel="0" collapsed="false">
      <c r="A92" s="38" t="n">
        <v>0</v>
      </c>
      <c r="B92" s="38" t="s">
        <v>1784</v>
      </c>
      <c r="C92" s="38" t="s">
        <v>2079</v>
      </c>
      <c r="D92" s="38" t="s">
        <v>73</v>
      </c>
      <c r="E92" s="38"/>
      <c r="F92" s="38"/>
      <c r="G92" s="38"/>
      <c r="H92" s="39" t="n">
        <f aca="false">SUM(H93:H94)</f>
        <v>2.40675</v>
      </c>
      <c r="I92" s="39" t="n">
        <f aca="false">SUM(I93:I94)</f>
        <v>8.3058375</v>
      </c>
      <c r="J92" s="39" t="n">
        <f aca="false">SUM(J93:J94)</f>
        <v>10.8091125</v>
      </c>
      <c r="K92" s="39" t="n">
        <f aca="false">SUM(K93:K94)</f>
        <v>18.8470875</v>
      </c>
      <c r="L92" s="39" t="n">
        <f aca="false">SUM(L93:L94)</f>
        <v>20.3530125</v>
      </c>
      <c r="M92" s="39" t="n">
        <f aca="false">SUM(M93:M94)</f>
        <v>23.827725</v>
      </c>
      <c r="N92" s="39" t="n">
        <f aca="false">SUM(N93:N94)</f>
        <v>22.947375</v>
      </c>
      <c r="O92" s="39" t="n">
        <f aca="false">SUM(O93:O94)</f>
        <v>18.498075</v>
      </c>
      <c r="P92" s="39" t="n">
        <f aca="false">SUM(P93:P94)</f>
        <v>13.85145</v>
      </c>
      <c r="Q92" s="39" t="n">
        <f aca="false">SUM(Q93:Q94)</f>
        <v>14.3683875</v>
      </c>
      <c r="R92" s="38"/>
    </row>
    <row r="93" customFormat="false" ht="15" hidden="false" customHeight="false" outlineLevel="1" collapsed="false">
      <c r="A93" s="24" t="n">
        <v>1</v>
      </c>
      <c r="B93" s="24" t="s">
        <v>1784</v>
      </c>
      <c r="C93" s="40" t="s">
        <v>3073</v>
      </c>
      <c r="D93" s="24" t="s">
        <v>73</v>
      </c>
      <c r="E93" s="24" t="s">
        <v>372</v>
      </c>
      <c r="F93" s="41" t="n">
        <f aca="false">PROCESO!$I$31</f>
        <v>0.03675</v>
      </c>
      <c r="G93" s="24" t="s">
        <v>2281</v>
      </c>
      <c r="H93" s="42" t="n">
        <f aca="false">PROCESO!$I$31*DEMANDA!F49</f>
        <v>2.31525</v>
      </c>
      <c r="I93" s="42" t="n">
        <f aca="false">PROCESO!$I$31*DEMANDA!G49</f>
        <v>8.1640125</v>
      </c>
      <c r="J93" s="42" t="n">
        <f aca="false">PROCESO!$I$31*DEMANDA!H49</f>
        <v>10.477425</v>
      </c>
      <c r="K93" s="42" t="n">
        <f aca="false">PROCESO!$I$31*DEMANDA!I49</f>
        <v>18.3621375</v>
      </c>
      <c r="L93" s="42" t="n">
        <f aca="false">PROCESO!$I$31*DEMANDA!J49</f>
        <v>19.8909375</v>
      </c>
      <c r="M93" s="42" t="n">
        <f aca="false">PROCESO!$I$31*DEMANDA!K49</f>
        <v>23.2535625</v>
      </c>
      <c r="N93" s="42" t="n">
        <f aca="false">PROCESO!$I$31*DEMANDA!L49</f>
        <v>22.43955</v>
      </c>
      <c r="O93" s="42" t="n">
        <f aca="false">PROCESO!$I$31*DEMANDA!M49</f>
        <v>18.1526625</v>
      </c>
      <c r="P93" s="42" t="n">
        <f aca="false">PROCESO!$I$31*DEMANDA!N49</f>
        <v>13.4946</v>
      </c>
      <c r="Q93" s="42" t="n">
        <f aca="false">PROCESO!$I$31*DEMANDA!O49</f>
        <v>14.04585</v>
      </c>
      <c r="R93" s="24" t="s">
        <v>2368</v>
      </c>
    </row>
    <row r="94" customFormat="false" ht="15" hidden="false" customHeight="false" outlineLevel="1" collapsed="false">
      <c r="A94" s="24" t="n">
        <v>1</v>
      </c>
      <c r="B94" s="24" t="s">
        <v>1784</v>
      </c>
      <c r="C94" s="40" t="s">
        <v>3074</v>
      </c>
      <c r="D94" s="24" t="s">
        <v>73</v>
      </c>
      <c r="E94" s="24" t="s">
        <v>375</v>
      </c>
      <c r="F94" s="41" t="n">
        <f aca="false">PROCESO!$I$44</f>
        <v>0.04575</v>
      </c>
      <c r="G94" s="24" t="s">
        <v>2281</v>
      </c>
      <c r="H94" s="42" t="n">
        <f aca="false">PROCESO!$I$44*DEMANDA!F50</f>
        <v>0.0915</v>
      </c>
      <c r="I94" s="42" t="n">
        <f aca="false">PROCESO!$I$44*DEMANDA!G50</f>
        <v>0.141825</v>
      </c>
      <c r="J94" s="42" t="n">
        <f aca="false">PROCESO!$I$44*DEMANDA!H50</f>
        <v>0.3316875</v>
      </c>
      <c r="K94" s="42" t="n">
        <f aca="false">PROCESO!$I$44*DEMANDA!I50</f>
        <v>0.48495</v>
      </c>
      <c r="L94" s="42" t="n">
        <f aca="false">PROCESO!$I$44*DEMANDA!J50</f>
        <v>0.462075</v>
      </c>
      <c r="M94" s="42" t="n">
        <f aca="false">PROCESO!$I$44*DEMANDA!K50</f>
        <v>0.5741625</v>
      </c>
      <c r="N94" s="42" t="n">
        <f aca="false">PROCESO!$I$44*DEMANDA!L50</f>
        <v>0.507825</v>
      </c>
      <c r="O94" s="42" t="n">
        <f aca="false">PROCESO!$I$44*DEMANDA!M50</f>
        <v>0.3454125</v>
      </c>
      <c r="P94" s="42" t="n">
        <f aca="false">PROCESO!$I$44*DEMANDA!N50</f>
        <v>0.35685</v>
      </c>
      <c r="Q94" s="42" t="n">
        <f aca="false">PROCESO!$I$44*DEMANDA!O50</f>
        <v>0.3225375</v>
      </c>
      <c r="R94" s="24" t="s">
        <v>2371</v>
      </c>
    </row>
    <row r="95" customFormat="false" ht="15" hidden="false" customHeight="false" outlineLevel="0" collapsed="false">
      <c r="A95" s="38" t="n">
        <v>0</v>
      </c>
      <c r="B95" s="38" t="s">
        <v>1839</v>
      </c>
      <c r="C95" s="38" t="s">
        <v>2086</v>
      </c>
      <c r="D95" s="38" t="s">
        <v>73</v>
      </c>
      <c r="E95" s="38"/>
      <c r="F95" s="38"/>
      <c r="G95" s="38"/>
      <c r="H95" s="39" t="n">
        <f aca="false">SUM(H96:H105)</f>
        <v>1.3117</v>
      </c>
      <c r="I95" s="39" t="n">
        <f aca="false">SUM(I96:I105)</f>
        <v>0.954985</v>
      </c>
      <c r="J95" s="39" t="n">
        <f aca="false">SUM(J96:J105)</f>
        <v>2.755855</v>
      </c>
      <c r="K95" s="39" t="n">
        <f aca="false">SUM(K96:K105)</f>
        <v>3.332845</v>
      </c>
      <c r="L95" s="39" t="n">
        <f aca="false">SUM(L96:L105)</f>
        <v>4.35437</v>
      </c>
      <c r="M95" s="39" t="n">
        <f aca="false">SUM(M96:M105)</f>
        <v>4.129945</v>
      </c>
      <c r="N95" s="39" t="n">
        <f aca="false">SUM(N96:N105)</f>
        <v>3.862005</v>
      </c>
      <c r="O95" s="39" t="n">
        <f aca="false">SUM(O96:O105)</f>
        <v>3.12713</v>
      </c>
      <c r="P95" s="39" t="n">
        <f aca="false">SUM(P96:P105)</f>
        <v>3.237185</v>
      </c>
      <c r="Q95" s="39" t="n">
        <f aca="false">SUM(Q96:Q105)</f>
        <v>2.03554</v>
      </c>
      <c r="R95" s="38"/>
    </row>
    <row r="96" customFormat="false" ht="15" hidden="false" customHeight="false" outlineLevel="1" collapsed="false">
      <c r="A96" s="24" t="n">
        <v>1</v>
      </c>
      <c r="B96" s="24" t="s">
        <v>1839</v>
      </c>
      <c r="C96" s="40" t="s">
        <v>3075</v>
      </c>
      <c r="D96" s="24" t="s">
        <v>73</v>
      </c>
      <c r="E96" s="24" t="s">
        <v>402</v>
      </c>
      <c r="F96" s="41" t="n">
        <f aca="false">PROCESO!$I$80</f>
        <v>0.0072</v>
      </c>
      <c r="G96" s="24" t="s">
        <v>2281</v>
      </c>
      <c r="H96" s="42" t="n">
        <f aca="false">PROCESO!$I$80*DEMANDA!F59</f>
        <v>0.0072</v>
      </c>
      <c r="I96" s="42" t="n">
        <f aca="false">PROCESO!$I$80*DEMANDA!G59</f>
        <v>0.01476</v>
      </c>
      <c r="J96" s="42" t="n">
        <f aca="false">PROCESO!$I$80*DEMANDA!H59</f>
        <v>0.02988</v>
      </c>
      <c r="K96" s="42" t="n">
        <f aca="false">PROCESO!$I$80*DEMANDA!I59</f>
        <v>0.03852</v>
      </c>
      <c r="L96" s="42" t="n">
        <f aca="false">PROCESO!$I$80*DEMANDA!J59</f>
        <v>0.04032</v>
      </c>
      <c r="M96" s="42" t="n">
        <f aca="false">PROCESO!$I$80*DEMANDA!K59</f>
        <v>0.04932</v>
      </c>
      <c r="N96" s="42" t="n">
        <f aca="false">PROCESO!$I$80*DEMANDA!L59</f>
        <v>0.04428</v>
      </c>
      <c r="O96" s="42" t="n">
        <f aca="false">PROCESO!$I$80*DEMANDA!M59</f>
        <v>0.03168</v>
      </c>
      <c r="P96" s="42" t="n">
        <f aca="false">PROCESO!$I$80*DEMANDA!N59</f>
        <v>0.03276</v>
      </c>
      <c r="Q96" s="42" t="n">
        <f aca="false">PROCESO!$I$80*DEMANDA!O59</f>
        <v>0.02664</v>
      </c>
      <c r="R96" s="24" t="s">
        <v>2723</v>
      </c>
    </row>
    <row r="97" customFormat="false" ht="15" hidden="false" customHeight="false" outlineLevel="1" collapsed="false">
      <c r="A97" s="24" t="n">
        <v>1</v>
      </c>
      <c r="B97" s="24" t="s">
        <v>1839</v>
      </c>
      <c r="C97" s="40" t="s">
        <v>3076</v>
      </c>
      <c r="D97" s="24" t="s">
        <v>73</v>
      </c>
      <c r="E97" s="24" t="s">
        <v>402</v>
      </c>
      <c r="F97" s="41" t="n">
        <f aca="false">PROCESO!$I$82</f>
        <v>0.063</v>
      </c>
      <c r="G97" s="24" t="s">
        <v>2281</v>
      </c>
      <c r="H97" s="42" t="n">
        <f aca="false">PROCESO!$I$82*DEMANDA!F59</f>
        <v>0.063</v>
      </c>
      <c r="I97" s="42" t="n">
        <f aca="false">PROCESO!$I$82*DEMANDA!G59</f>
        <v>0.12915</v>
      </c>
      <c r="J97" s="42" t="n">
        <f aca="false">PROCESO!$I$82*DEMANDA!H59</f>
        <v>0.26145</v>
      </c>
      <c r="K97" s="42" t="n">
        <f aca="false">PROCESO!$I$82*DEMANDA!I59</f>
        <v>0.33705</v>
      </c>
      <c r="L97" s="42" t="n">
        <f aca="false">PROCESO!$I$82*DEMANDA!J59</f>
        <v>0.3528</v>
      </c>
      <c r="M97" s="42" t="n">
        <f aca="false">PROCESO!$I$82*DEMANDA!K59</f>
        <v>0.43155</v>
      </c>
      <c r="N97" s="42" t="n">
        <f aca="false">PROCESO!$I$82*DEMANDA!L59</f>
        <v>0.38745</v>
      </c>
      <c r="O97" s="42" t="n">
        <f aca="false">PROCESO!$I$82*DEMANDA!M59</f>
        <v>0.2772</v>
      </c>
      <c r="P97" s="42" t="n">
        <f aca="false">PROCESO!$I$82*DEMANDA!N59</f>
        <v>0.28665</v>
      </c>
      <c r="Q97" s="42" t="n">
        <f aca="false">PROCESO!$I$82*DEMANDA!O59</f>
        <v>0.2331</v>
      </c>
      <c r="R97" s="24" t="s">
        <v>2725</v>
      </c>
    </row>
    <row r="98" customFormat="false" ht="15" hidden="false" customHeight="false" outlineLevel="1" collapsed="false">
      <c r="A98" s="24" t="n">
        <v>1</v>
      </c>
      <c r="B98" s="24" t="s">
        <v>1839</v>
      </c>
      <c r="C98" s="40" t="s">
        <v>3077</v>
      </c>
      <c r="D98" s="24" t="s">
        <v>73</v>
      </c>
      <c r="E98" s="24" t="s">
        <v>402</v>
      </c>
      <c r="F98" s="41" t="n">
        <f aca="false">PROCESO!$I$84</f>
        <v>0.0105</v>
      </c>
      <c r="G98" s="24" t="s">
        <v>2281</v>
      </c>
      <c r="H98" s="42" t="n">
        <f aca="false">PROCESO!$I$84*DEMANDA!F59</f>
        <v>0.0105</v>
      </c>
      <c r="I98" s="42" t="n">
        <f aca="false">PROCESO!$I$84*DEMANDA!G59</f>
        <v>0.021525</v>
      </c>
      <c r="J98" s="42" t="n">
        <f aca="false">PROCESO!$I$84*DEMANDA!H59</f>
        <v>0.043575</v>
      </c>
      <c r="K98" s="42" t="n">
        <f aca="false">PROCESO!$I$84*DEMANDA!I59</f>
        <v>0.056175</v>
      </c>
      <c r="L98" s="42" t="n">
        <f aca="false">PROCESO!$I$84*DEMANDA!J59</f>
        <v>0.0588</v>
      </c>
      <c r="M98" s="42" t="n">
        <f aca="false">PROCESO!$I$84*DEMANDA!K59</f>
        <v>0.071925</v>
      </c>
      <c r="N98" s="42" t="n">
        <f aca="false">PROCESO!$I$84*DEMANDA!L59</f>
        <v>0.064575</v>
      </c>
      <c r="O98" s="42" t="n">
        <f aca="false">PROCESO!$I$84*DEMANDA!M59</f>
        <v>0.0462</v>
      </c>
      <c r="P98" s="42" t="n">
        <f aca="false">PROCESO!$I$84*DEMANDA!N59</f>
        <v>0.047775</v>
      </c>
      <c r="Q98" s="42" t="n">
        <f aca="false">PROCESO!$I$84*DEMANDA!O59</f>
        <v>0.03885</v>
      </c>
      <c r="R98" s="24" t="s">
        <v>2727</v>
      </c>
    </row>
    <row r="99" customFormat="false" ht="15" hidden="false" customHeight="false" outlineLevel="1" collapsed="false">
      <c r="A99" s="24" t="n">
        <v>1</v>
      </c>
      <c r="B99" s="24" t="s">
        <v>1839</v>
      </c>
      <c r="C99" s="40" t="s">
        <v>3078</v>
      </c>
      <c r="D99" s="24" t="s">
        <v>73</v>
      </c>
      <c r="E99" s="24" t="s">
        <v>402</v>
      </c>
      <c r="F99" s="41" t="n">
        <f aca="false">PROCESO!$I$86</f>
        <v>0.218</v>
      </c>
      <c r="G99" s="24" t="s">
        <v>2281</v>
      </c>
      <c r="H99" s="42" t="n">
        <f aca="false">PROCESO!$I$86*DEMANDA!F59</f>
        <v>0.218</v>
      </c>
      <c r="I99" s="42" t="n">
        <f aca="false">PROCESO!$I$86*DEMANDA!G59</f>
        <v>0.4469</v>
      </c>
      <c r="J99" s="42" t="n">
        <f aca="false">PROCESO!$I$86*DEMANDA!H59</f>
        <v>0.9047</v>
      </c>
      <c r="K99" s="42" t="n">
        <f aca="false">PROCESO!$I$86*DEMANDA!I59</f>
        <v>1.1663</v>
      </c>
      <c r="L99" s="42" t="n">
        <f aca="false">PROCESO!$I$86*DEMANDA!J59</f>
        <v>1.2208</v>
      </c>
      <c r="M99" s="42" t="n">
        <f aca="false">PROCESO!$I$86*DEMANDA!K59</f>
        <v>1.4933</v>
      </c>
      <c r="N99" s="42" t="n">
        <f aca="false">PROCESO!$I$86*DEMANDA!L59</f>
        <v>1.3407</v>
      </c>
      <c r="O99" s="42" t="n">
        <f aca="false">PROCESO!$I$86*DEMANDA!M59</f>
        <v>0.9592</v>
      </c>
      <c r="P99" s="42" t="n">
        <f aca="false">PROCESO!$I$86*DEMANDA!N59</f>
        <v>0.9919</v>
      </c>
      <c r="Q99" s="42" t="n">
        <f aca="false">PROCESO!$I$86*DEMANDA!O59</f>
        <v>0.8066</v>
      </c>
      <c r="R99" s="24" t="s">
        <v>2729</v>
      </c>
    </row>
    <row r="100" customFormat="false" ht="15" hidden="false" customHeight="false" outlineLevel="1" collapsed="false">
      <c r="A100" s="24" t="n">
        <v>1</v>
      </c>
      <c r="B100" s="24" t="s">
        <v>1839</v>
      </c>
      <c r="C100" s="40" t="s">
        <v>3079</v>
      </c>
      <c r="D100" s="24" t="s">
        <v>73</v>
      </c>
      <c r="E100" s="24" t="s">
        <v>402</v>
      </c>
      <c r="F100" s="41" t="n">
        <f aca="false">PROCESO!$I$88</f>
        <v>0.146</v>
      </c>
      <c r="G100" s="24" t="s">
        <v>2281</v>
      </c>
      <c r="H100" s="42" t="n">
        <f aca="false">PROCESO!$I$88*DEMANDA!F59</f>
        <v>0.146</v>
      </c>
      <c r="I100" s="42" t="n">
        <f aca="false">PROCESO!$I$88*DEMANDA!G59</f>
        <v>0.2993</v>
      </c>
      <c r="J100" s="42" t="n">
        <f aca="false">PROCESO!$I$88*DEMANDA!H59</f>
        <v>0.6059</v>
      </c>
      <c r="K100" s="42" t="n">
        <f aca="false">PROCESO!$I$88*DEMANDA!I59</f>
        <v>0.7811</v>
      </c>
      <c r="L100" s="42" t="n">
        <f aca="false">PROCESO!$I$88*DEMANDA!J59</f>
        <v>0.8176</v>
      </c>
      <c r="M100" s="42" t="n">
        <f aca="false">PROCESO!$I$88*DEMANDA!K59</f>
        <v>1.0001</v>
      </c>
      <c r="N100" s="42" t="n">
        <f aca="false">PROCESO!$I$88*DEMANDA!L59</f>
        <v>0.8979</v>
      </c>
      <c r="O100" s="42" t="n">
        <f aca="false">PROCESO!$I$88*DEMANDA!M59</f>
        <v>0.6424</v>
      </c>
      <c r="P100" s="42" t="n">
        <f aca="false">PROCESO!$I$88*DEMANDA!N59</f>
        <v>0.6643</v>
      </c>
      <c r="Q100" s="42" t="n">
        <f aca="false">PROCESO!$I$88*DEMANDA!O59</f>
        <v>0.5402</v>
      </c>
      <c r="R100" s="24" t="s">
        <v>2731</v>
      </c>
    </row>
    <row r="101" customFormat="false" ht="15" hidden="false" customHeight="false" outlineLevel="1" collapsed="false">
      <c r="A101" s="24" t="n">
        <v>1</v>
      </c>
      <c r="B101" s="24" t="s">
        <v>1839</v>
      </c>
      <c r="C101" s="40" t="s">
        <v>3080</v>
      </c>
      <c r="D101" s="24" t="s">
        <v>73</v>
      </c>
      <c r="E101" s="24" t="s">
        <v>405</v>
      </c>
      <c r="F101" s="41" t="n">
        <f aca="false">PROCESO!$I$128</f>
        <v>0.018</v>
      </c>
      <c r="G101" s="24" t="s">
        <v>2281</v>
      </c>
      <c r="H101" s="42" t="n">
        <f aca="false">PROCESO!$I$128*DEMANDA!F60</f>
        <v>0.018</v>
      </c>
      <c r="I101" s="42" t="n">
        <f aca="false">PROCESO!$I$128*DEMANDA!G60</f>
        <v>0.0009</v>
      </c>
      <c r="J101" s="42" t="n">
        <f aca="false">PROCESO!$I$128*DEMANDA!H60</f>
        <v>0.0189</v>
      </c>
      <c r="K101" s="42" t="n">
        <f aca="false">PROCESO!$I$128*DEMANDA!I60</f>
        <v>0.0198</v>
      </c>
      <c r="L101" s="42" t="n">
        <f aca="false">PROCESO!$I$128*DEMANDA!J60</f>
        <v>0.0387</v>
      </c>
      <c r="M101" s="42" t="n">
        <f aca="false">PROCESO!$I$128*DEMANDA!K60</f>
        <v>0.0225</v>
      </c>
      <c r="N101" s="42" t="n">
        <f aca="false">PROCESO!$I$128*DEMANDA!L60</f>
        <v>0.0234</v>
      </c>
      <c r="O101" s="42" t="n">
        <f aca="false">PROCESO!$I$128*DEMANDA!M60</f>
        <v>0.0243</v>
      </c>
      <c r="P101" s="42" t="n">
        <f aca="false">PROCESO!$I$128*DEMANDA!N60</f>
        <v>0.0252</v>
      </c>
      <c r="Q101" s="42" t="n">
        <f aca="false">PROCESO!$I$128*DEMANDA!O60</f>
        <v>0.0081</v>
      </c>
      <c r="R101" s="24" t="s">
        <v>2751</v>
      </c>
    </row>
    <row r="102" customFormat="false" ht="15" hidden="false" customHeight="false" outlineLevel="1" collapsed="false">
      <c r="A102" s="24" t="n">
        <v>1</v>
      </c>
      <c r="B102" s="24" t="s">
        <v>1839</v>
      </c>
      <c r="C102" s="40" t="s">
        <v>3081</v>
      </c>
      <c r="D102" s="24" t="s">
        <v>73</v>
      </c>
      <c r="E102" s="24" t="s">
        <v>405</v>
      </c>
      <c r="F102" s="41" t="n">
        <f aca="false">PROCESO!$I$130</f>
        <v>0.158</v>
      </c>
      <c r="G102" s="24" t="s">
        <v>2281</v>
      </c>
      <c r="H102" s="42" t="n">
        <f aca="false">PROCESO!$I$130*DEMANDA!F60</f>
        <v>0.158</v>
      </c>
      <c r="I102" s="42" t="n">
        <f aca="false">PROCESO!$I$130*DEMANDA!G60</f>
        <v>0.0079</v>
      </c>
      <c r="J102" s="42" t="n">
        <f aca="false">PROCESO!$I$130*DEMANDA!H60</f>
        <v>0.1659</v>
      </c>
      <c r="K102" s="42" t="n">
        <f aca="false">PROCESO!$I$130*DEMANDA!I60</f>
        <v>0.1738</v>
      </c>
      <c r="L102" s="42" t="n">
        <f aca="false">PROCESO!$I$130*DEMANDA!J60</f>
        <v>0.3397</v>
      </c>
      <c r="M102" s="42" t="n">
        <f aca="false">PROCESO!$I$130*DEMANDA!K60</f>
        <v>0.1975</v>
      </c>
      <c r="N102" s="42" t="n">
        <f aca="false">PROCESO!$I$130*DEMANDA!L60</f>
        <v>0.2054</v>
      </c>
      <c r="O102" s="42" t="n">
        <f aca="false">PROCESO!$I$130*DEMANDA!M60</f>
        <v>0.2133</v>
      </c>
      <c r="P102" s="42" t="n">
        <f aca="false">PROCESO!$I$130*DEMANDA!N60</f>
        <v>0.2212</v>
      </c>
      <c r="Q102" s="42" t="n">
        <f aca="false">PROCESO!$I$130*DEMANDA!O60</f>
        <v>0.0711</v>
      </c>
      <c r="R102" s="24" t="s">
        <v>2753</v>
      </c>
    </row>
    <row r="103" customFormat="false" ht="15" hidden="false" customHeight="false" outlineLevel="1" collapsed="false">
      <c r="A103" s="24" t="n">
        <v>1</v>
      </c>
      <c r="B103" s="24" t="s">
        <v>1839</v>
      </c>
      <c r="C103" s="40" t="s">
        <v>3082</v>
      </c>
      <c r="D103" s="24" t="s">
        <v>73</v>
      </c>
      <c r="E103" s="24" t="s">
        <v>405</v>
      </c>
      <c r="F103" s="41" t="n">
        <f aca="false">PROCESO!$I$132</f>
        <v>0.029</v>
      </c>
      <c r="G103" s="24" t="s">
        <v>2281</v>
      </c>
      <c r="H103" s="42" t="n">
        <f aca="false">PROCESO!$I$132*DEMANDA!F60</f>
        <v>0.029</v>
      </c>
      <c r="I103" s="42" t="n">
        <f aca="false">PROCESO!$I$132*DEMANDA!G60</f>
        <v>0.00145</v>
      </c>
      <c r="J103" s="42" t="n">
        <f aca="false">PROCESO!$I$132*DEMANDA!H60</f>
        <v>0.03045</v>
      </c>
      <c r="K103" s="42" t="n">
        <f aca="false">PROCESO!$I$132*DEMANDA!I60</f>
        <v>0.0319</v>
      </c>
      <c r="L103" s="42" t="n">
        <f aca="false">PROCESO!$I$132*DEMANDA!J60</f>
        <v>0.06235</v>
      </c>
      <c r="M103" s="42" t="n">
        <f aca="false">PROCESO!$I$132*DEMANDA!K60</f>
        <v>0.03625</v>
      </c>
      <c r="N103" s="42" t="n">
        <f aca="false">PROCESO!$I$132*DEMANDA!L60</f>
        <v>0.0377</v>
      </c>
      <c r="O103" s="42" t="n">
        <f aca="false">PROCESO!$I$132*DEMANDA!M60</f>
        <v>0.03915</v>
      </c>
      <c r="P103" s="42" t="n">
        <f aca="false">PROCESO!$I$132*DEMANDA!N60</f>
        <v>0.0406</v>
      </c>
      <c r="Q103" s="42" t="n">
        <f aca="false">PROCESO!$I$132*DEMANDA!O60</f>
        <v>0.01305</v>
      </c>
      <c r="R103" s="24" t="s">
        <v>2755</v>
      </c>
    </row>
    <row r="104" customFormat="false" ht="15" hidden="false" customHeight="false" outlineLevel="1" collapsed="false">
      <c r="A104" s="24" t="n">
        <v>1</v>
      </c>
      <c r="B104" s="24" t="s">
        <v>1839</v>
      </c>
      <c r="C104" s="40" t="s">
        <v>3083</v>
      </c>
      <c r="D104" s="24" t="s">
        <v>73</v>
      </c>
      <c r="E104" s="24" t="s">
        <v>405</v>
      </c>
      <c r="F104" s="41" t="n">
        <f aca="false">PROCESO!$I$134</f>
        <v>0.463</v>
      </c>
      <c r="G104" s="24" t="s">
        <v>2281</v>
      </c>
      <c r="H104" s="42" t="n">
        <f aca="false">PROCESO!$I$134*DEMANDA!F60</f>
        <v>0.463</v>
      </c>
      <c r="I104" s="42" t="n">
        <f aca="false">PROCESO!$I$134*DEMANDA!G60</f>
        <v>0.02315</v>
      </c>
      <c r="J104" s="42" t="n">
        <f aca="false">PROCESO!$I$134*DEMANDA!H60</f>
        <v>0.48615</v>
      </c>
      <c r="K104" s="42" t="n">
        <f aca="false">PROCESO!$I$134*DEMANDA!I60</f>
        <v>0.5093</v>
      </c>
      <c r="L104" s="42" t="n">
        <f aca="false">PROCESO!$I$134*DEMANDA!J60</f>
        <v>0.99545</v>
      </c>
      <c r="M104" s="42" t="n">
        <f aca="false">PROCESO!$I$134*DEMANDA!K60</f>
        <v>0.57875</v>
      </c>
      <c r="N104" s="42" t="n">
        <f aca="false">PROCESO!$I$134*DEMANDA!L60</f>
        <v>0.6019</v>
      </c>
      <c r="O104" s="42" t="n">
        <f aca="false">PROCESO!$I$134*DEMANDA!M60</f>
        <v>0.62505</v>
      </c>
      <c r="P104" s="42" t="n">
        <f aca="false">PROCESO!$I$134*DEMANDA!N60</f>
        <v>0.6482</v>
      </c>
      <c r="Q104" s="42" t="n">
        <f aca="false">PROCESO!$I$134*DEMANDA!O60</f>
        <v>0.20835</v>
      </c>
      <c r="R104" s="24" t="s">
        <v>2757</v>
      </c>
    </row>
    <row r="105" customFormat="false" ht="15" hidden="false" customHeight="false" outlineLevel="1" collapsed="false">
      <c r="A105" s="24" t="n">
        <v>1</v>
      </c>
      <c r="B105" s="24" t="s">
        <v>1839</v>
      </c>
      <c r="C105" s="40" t="s">
        <v>3084</v>
      </c>
      <c r="D105" s="24" t="s">
        <v>73</v>
      </c>
      <c r="E105" s="24" t="s">
        <v>405</v>
      </c>
      <c r="F105" s="41" t="n">
        <f aca="false">PROCESO!$I$136</f>
        <v>0.199</v>
      </c>
      <c r="G105" s="24" t="s">
        <v>2281</v>
      </c>
      <c r="H105" s="42" t="n">
        <f aca="false">PROCESO!$I$136*DEMANDA!F60</f>
        <v>0.199</v>
      </c>
      <c r="I105" s="42" t="n">
        <f aca="false">PROCESO!$I$136*DEMANDA!G60</f>
        <v>0.00995</v>
      </c>
      <c r="J105" s="42" t="n">
        <f aca="false">PROCESO!$I$136*DEMANDA!H60</f>
        <v>0.20895</v>
      </c>
      <c r="K105" s="42" t="n">
        <f aca="false">PROCESO!$I$136*DEMANDA!I60</f>
        <v>0.2189</v>
      </c>
      <c r="L105" s="42" t="n">
        <f aca="false">PROCESO!$I$136*DEMANDA!J60</f>
        <v>0.42785</v>
      </c>
      <c r="M105" s="42" t="n">
        <f aca="false">PROCESO!$I$136*DEMANDA!K60</f>
        <v>0.24875</v>
      </c>
      <c r="N105" s="42" t="n">
        <f aca="false">PROCESO!$I$136*DEMANDA!L60</f>
        <v>0.2587</v>
      </c>
      <c r="O105" s="42" t="n">
        <f aca="false">PROCESO!$I$136*DEMANDA!M60</f>
        <v>0.26865</v>
      </c>
      <c r="P105" s="42" t="n">
        <f aca="false">PROCESO!$I$136*DEMANDA!N60</f>
        <v>0.2786</v>
      </c>
      <c r="Q105" s="42" t="n">
        <f aca="false">PROCESO!$I$136*DEMANDA!O60</f>
        <v>0.08955</v>
      </c>
      <c r="R105" s="24" t="s">
        <v>2759</v>
      </c>
    </row>
    <row r="106" customFormat="false" ht="15" hidden="false" customHeight="false" outlineLevel="0" collapsed="false">
      <c r="A106" s="38" t="n">
        <v>0</v>
      </c>
      <c r="B106" s="38" t="s">
        <v>1803</v>
      </c>
      <c r="C106" s="38" t="s">
        <v>2112</v>
      </c>
      <c r="D106" s="38" t="s">
        <v>73</v>
      </c>
      <c r="E106" s="38"/>
      <c r="F106" s="38"/>
      <c r="G106" s="38"/>
      <c r="H106" s="39" t="n">
        <f aca="false">SUM(H107:H108)</f>
        <v>1.66618428421053</v>
      </c>
      <c r="I106" s="39" t="n">
        <f aca="false">SUM(I107:I108)</f>
        <v>5.70868182684211</v>
      </c>
      <c r="J106" s="39" t="n">
        <f aca="false">SUM(J107:J108)</f>
        <v>7.46423775852632</v>
      </c>
      <c r="K106" s="39" t="n">
        <f aca="false">SUM(K107:K108)</f>
        <v>12.9926276531579</v>
      </c>
      <c r="L106" s="39" t="n">
        <f aca="false">SUM(L107:L108)</f>
        <v>14.0160945643158</v>
      </c>
      <c r="M106" s="39" t="n">
        <f aca="false">SUM(M107:M108)</f>
        <v>16.4168596929474</v>
      </c>
      <c r="N106" s="39" t="n">
        <f aca="false">SUM(N107:N108)</f>
        <v>15.7995701654737</v>
      </c>
      <c r="O106" s="39" t="n">
        <f aca="false">SUM(O107:O108)</f>
        <v>12.7209411405263</v>
      </c>
      <c r="P106" s="39" t="n">
        <f aca="false">SUM(P107:P108)</f>
        <v>9.54888727578947</v>
      </c>
      <c r="Q106" s="39" t="n">
        <f aca="false">SUM(Q107:Q108)</f>
        <v>9.89391126315789</v>
      </c>
      <c r="R106" s="38"/>
    </row>
    <row r="107" customFormat="false" ht="15" hidden="false" customHeight="false" outlineLevel="1" collapsed="false">
      <c r="A107" s="24" t="n">
        <v>1</v>
      </c>
      <c r="B107" s="24" t="s">
        <v>1803</v>
      </c>
      <c r="C107" s="40" t="s">
        <v>3085</v>
      </c>
      <c r="D107" s="24" t="s">
        <v>73</v>
      </c>
      <c r="E107" s="24" t="s">
        <v>372</v>
      </c>
      <c r="F107" s="41" t="n">
        <f aca="false">PROCESO!$I$36</f>
        <v>0.0251092063157895</v>
      </c>
      <c r="G107" s="24" t="s">
        <v>2281</v>
      </c>
      <c r="H107" s="42" t="n">
        <f aca="false">PROCESO!$I$36*DEMANDA!F49</f>
        <v>1.58187999789474</v>
      </c>
      <c r="I107" s="42" t="n">
        <f aca="false">PROCESO!$I$36*DEMANDA!G49</f>
        <v>5.57801018305263</v>
      </c>
      <c r="J107" s="42" t="n">
        <f aca="false">PROCESO!$I$36*DEMANDA!H49</f>
        <v>7.15863472063158</v>
      </c>
      <c r="K107" s="42" t="n">
        <f aca="false">PROCESO!$I$36*DEMANDA!I49</f>
        <v>12.5458149356842</v>
      </c>
      <c r="L107" s="42" t="n">
        <f aca="false">PROCESO!$I$36*DEMANDA!J49</f>
        <v>13.5903579184211</v>
      </c>
      <c r="M107" s="42" t="n">
        <f aca="false">PROCESO!$I$36*DEMANDA!K49</f>
        <v>15.8878502963158</v>
      </c>
      <c r="N107" s="42" t="n">
        <f aca="false">PROCESO!$I$36*DEMANDA!L49</f>
        <v>15.3316813764211</v>
      </c>
      <c r="O107" s="42" t="n">
        <f aca="false">PROCESO!$I$36*DEMANDA!M49</f>
        <v>12.4026924596842</v>
      </c>
      <c r="P107" s="42" t="n">
        <f aca="false">PROCESO!$I$36*DEMANDA!N49</f>
        <v>9.22010055915789</v>
      </c>
      <c r="Q107" s="42" t="n">
        <f aca="false">PROCESO!$I$36*DEMANDA!O49</f>
        <v>9.59673865389474</v>
      </c>
      <c r="R107" s="24" t="s">
        <v>2380</v>
      </c>
    </row>
    <row r="108" customFormat="false" ht="15" hidden="false" customHeight="false" outlineLevel="1" collapsed="false">
      <c r="A108" s="24" t="n">
        <v>1</v>
      </c>
      <c r="B108" s="24" t="s">
        <v>1803</v>
      </c>
      <c r="C108" s="40" t="s">
        <v>3086</v>
      </c>
      <c r="D108" s="24" t="s">
        <v>73</v>
      </c>
      <c r="E108" s="24" t="s">
        <v>375</v>
      </c>
      <c r="F108" s="41" t="n">
        <f aca="false">PROCESO!$I$49</f>
        <v>0.0421521431578947</v>
      </c>
      <c r="G108" s="24" t="s">
        <v>2281</v>
      </c>
      <c r="H108" s="42" t="n">
        <f aca="false">PROCESO!$I$49*DEMANDA!F50</f>
        <v>0.0843042863157895</v>
      </c>
      <c r="I108" s="42" t="n">
        <f aca="false">PROCESO!$I$49*DEMANDA!G50</f>
        <v>0.130671643789474</v>
      </c>
      <c r="J108" s="42" t="n">
        <f aca="false">PROCESO!$I$49*DEMANDA!H50</f>
        <v>0.305603037894737</v>
      </c>
      <c r="K108" s="42" t="n">
        <f aca="false">PROCESO!$I$49*DEMANDA!I50</f>
        <v>0.446812717473684</v>
      </c>
      <c r="L108" s="42" t="n">
        <f aca="false">PROCESO!$I$49*DEMANDA!J50</f>
        <v>0.425736645894737</v>
      </c>
      <c r="M108" s="42" t="n">
        <f aca="false">PROCESO!$I$49*DEMANDA!K50</f>
        <v>0.529009396631579</v>
      </c>
      <c r="N108" s="42" t="n">
        <f aca="false">PROCESO!$I$49*DEMANDA!L50</f>
        <v>0.467888789052632</v>
      </c>
      <c r="O108" s="42" t="n">
        <f aca="false">PROCESO!$I$49*DEMANDA!M50</f>
        <v>0.318248680842105</v>
      </c>
      <c r="P108" s="42" t="n">
        <f aca="false">PROCESO!$I$49*DEMANDA!N50</f>
        <v>0.328786716631579</v>
      </c>
      <c r="Q108" s="42" t="n">
        <f aca="false">PROCESO!$I$49*DEMANDA!O50</f>
        <v>0.297172609263158</v>
      </c>
      <c r="R108" s="24" t="s">
        <v>2383</v>
      </c>
    </row>
    <row r="109" customFormat="false" ht="15" hidden="false" customHeight="false" outlineLevel="0" collapsed="false">
      <c r="A109" s="38" t="n">
        <v>0</v>
      </c>
      <c r="B109" s="38" t="s">
        <v>519</v>
      </c>
      <c r="C109" s="38" t="s">
        <v>2120</v>
      </c>
      <c r="D109" s="38" t="s">
        <v>82</v>
      </c>
      <c r="E109" s="38"/>
      <c r="F109" s="38"/>
      <c r="G109" s="38"/>
      <c r="H109" s="39" t="n">
        <f aca="false">SUM(H110:H110)</f>
        <v>104.32446372</v>
      </c>
      <c r="I109" s="39" t="n">
        <f aca="false">SUM(I110:I110)</f>
        <v>509.1175692</v>
      </c>
      <c r="J109" s="39" t="n">
        <f aca="false">SUM(J110:J110)</f>
        <v>916.3826853</v>
      </c>
      <c r="K109" s="39" t="n">
        <f aca="false">SUM(K110:K110)</f>
        <v>1681.4493318</v>
      </c>
      <c r="L109" s="39" t="n">
        <f aca="false">SUM(L110:L110)</f>
        <v>2528.1067839</v>
      </c>
      <c r="M109" s="39" t="n">
        <f aca="false">SUM(M110:M110)</f>
        <v>3522.234693</v>
      </c>
      <c r="N109" s="39" t="n">
        <f aca="false">SUM(N110:N110)</f>
        <v>4428.319068</v>
      </c>
      <c r="O109" s="39" t="n">
        <f aca="false">SUM(O110:O110)</f>
        <v>5142.130821</v>
      </c>
      <c r="P109" s="39" t="n">
        <f aca="false">SUM(P110:P110)</f>
        <v>5510.71698</v>
      </c>
      <c r="Q109" s="39" t="n">
        <f aca="false">SUM(Q110:Q110)</f>
        <v>5888.480721</v>
      </c>
      <c r="R109" s="38"/>
    </row>
    <row r="110" customFormat="false" ht="15" hidden="false" customHeight="false" outlineLevel="1" collapsed="false">
      <c r="A110" s="24" t="n">
        <v>1</v>
      </c>
      <c r="B110" s="24" t="s">
        <v>519</v>
      </c>
      <c r="C110" s="40" t="s">
        <v>3087</v>
      </c>
      <c r="D110" s="24" t="s">
        <v>82</v>
      </c>
      <c r="E110" s="24" t="s">
        <v>282</v>
      </c>
      <c r="F110" s="41" t="n">
        <f aca="false">INDEX((BOM_COEF!R394~BOM_COEF!S394~BOM_COEF!T394~BOM_COEF!U394~BOM_COEF!V394~BOM_COEF!W394~BOM_COEF!X394~BOM_COEF!Y394~BOM_COEF!Z394~BOM_COEF!AA394),1,1,INDEX(P_VAL,MATCH("AÑO_DIS",P_ID,0))-2025)</f>
        <v>0.03</v>
      </c>
      <c r="G110" s="24" t="s">
        <v>2281</v>
      </c>
      <c r="H110" s="42" t="n">
        <f aca="false">BOM_COEF!R394*DEMANDA!F20</f>
        <v>104.32446372</v>
      </c>
      <c r="I110" s="42" t="n">
        <f aca="false">BOM_COEF!S394*DEMANDA!G20</f>
        <v>509.1175692</v>
      </c>
      <c r="J110" s="42" t="n">
        <f aca="false">BOM_COEF!T394*DEMANDA!H20</f>
        <v>916.3826853</v>
      </c>
      <c r="K110" s="42" t="n">
        <f aca="false">BOM_COEF!U394*DEMANDA!I20</f>
        <v>1681.4493318</v>
      </c>
      <c r="L110" s="42" t="n">
        <f aca="false">BOM_COEF!V394*DEMANDA!J20</f>
        <v>2528.1067839</v>
      </c>
      <c r="M110" s="42" t="n">
        <f aca="false">BOM_COEF!W394*DEMANDA!K20</f>
        <v>3522.234693</v>
      </c>
      <c r="N110" s="42" t="n">
        <f aca="false">BOM_COEF!X394*DEMANDA!L20</f>
        <v>4428.319068</v>
      </c>
      <c r="O110" s="42" t="n">
        <f aca="false">BOM_COEF!Y394*DEMANDA!M20</f>
        <v>5142.130821</v>
      </c>
      <c r="P110" s="42" t="n">
        <f aca="false">BOM_COEF!Z394*DEMANDA!N20</f>
        <v>5510.71698</v>
      </c>
      <c r="Q110" s="42" t="n">
        <f aca="false">BOM_COEF!AA394*DEMANDA!O20</f>
        <v>5888.480721</v>
      </c>
      <c r="R110" s="24" t="s">
        <v>3088</v>
      </c>
    </row>
    <row r="111" customFormat="false" ht="15" hidden="false" customHeight="false" outlineLevel="0" collapsed="false">
      <c r="A111" s="38" t="n">
        <v>0</v>
      </c>
      <c r="B111" s="38" t="s">
        <v>634</v>
      </c>
      <c r="C111" s="38" t="s">
        <v>2125</v>
      </c>
      <c r="D111" s="38" t="s">
        <v>82</v>
      </c>
      <c r="E111" s="38"/>
      <c r="F111" s="38"/>
      <c r="G111" s="38"/>
      <c r="H111" s="39" t="n">
        <f aca="false">SUM(H112:H118)</f>
        <v>138.91203191</v>
      </c>
      <c r="I111" s="39" t="n">
        <f aca="false">SUM(I112:I118)</f>
        <v>521.192473657</v>
      </c>
      <c r="J111" s="39" t="n">
        <f aca="false">SUM(J112:J118)</f>
        <v>961.74003141</v>
      </c>
      <c r="K111" s="39" t="n">
        <f aca="false">SUM(K112:K118)</f>
        <v>1771.42064443</v>
      </c>
      <c r="L111" s="39" t="n">
        <f aca="false">SUM(L112:L118)</f>
        <v>2370.83273626</v>
      </c>
      <c r="M111" s="39" t="n">
        <f aca="false">SUM(M112:M118)</f>
        <v>3065.44131096</v>
      </c>
      <c r="N111" s="39" t="n">
        <f aca="false">SUM(N112:N118)</f>
        <v>3586.4402251</v>
      </c>
      <c r="O111" s="39" t="n">
        <f aca="false">SUM(O112:O118)</f>
        <v>3791.44385882</v>
      </c>
      <c r="P111" s="39" t="n">
        <f aca="false">SUM(P112:P118)</f>
        <v>3924.99245304</v>
      </c>
      <c r="Q111" s="39" t="n">
        <f aca="false">SUM(Q112:Q118)</f>
        <v>4203.89664675</v>
      </c>
      <c r="R111" s="38"/>
    </row>
    <row r="112" customFormat="false" ht="15" hidden="false" customHeight="false" outlineLevel="1" collapsed="false">
      <c r="A112" s="24" t="n">
        <v>1</v>
      </c>
      <c r="B112" s="24" t="s">
        <v>634</v>
      </c>
      <c r="C112" s="40" t="s">
        <v>3089</v>
      </c>
      <c r="D112" s="24" t="s">
        <v>82</v>
      </c>
      <c r="E112" s="24" t="s">
        <v>286</v>
      </c>
      <c r="F112" s="41" t="n">
        <f aca="false">INDEX((BOM_COEF!R408~BOM_COEF!S408~BOM_COEF!T408~BOM_COEF!U408~BOM_COEF!V408~BOM_COEF!W408~BOM_COEF!X408~BOM_COEF!Y408~BOM_COEF!Z408~BOM_COEF!AA408),1,1,INDEX(P_VAL,MATCH("AÑO_DIS",P_ID,0))-2025)</f>
        <v>0.03</v>
      </c>
      <c r="G112" s="24" t="s">
        <v>2281</v>
      </c>
      <c r="H112" s="42" t="n">
        <f aca="false">BOM_COEF!R408*DEMANDA!F21</f>
        <v>9.899900025</v>
      </c>
      <c r="I112" s="42" t="n">
        <f aca="false">BOM_COEF!S408*DEMANDA!G21</f>
        <v>38.62242072</v>
      </c>
      <c r="J112" s="42" t="n">
        <f aca="false">BOM_COEF!T408*DEMANDA!H21</f>
        <v>88.41507648</v>
      </c>
      <c r="K112" s="42" t="n">
        <f aca="false">BOM_COEF!U408*DEMANDA!I21</f>
        <v>162.78129807</v>
      </c>
      <c r="L112" s="42" t="n">
        <f aca="false">BOM_COEF!V408*DEMANDA!J21</f>
        <v>235.52627418</v>
      </c>
      <c r="M112" s="42" t="n">
        <f aca="false">BOM_COEF!W408*DEMANDA!K21</f>
        <v>312.7183095</v>
      </c>
      <c r="N112" s="42" t="n">
        <f aca="false">BOM_COEF!X408*DEMANDA!L21</f>
        <v>384.2968713</v>
      </c>
      <c r="O112" s="42" t="n">
        <f aca="false">BOM_COEF!Y408*DEMANDA!M21</f>
        <v>427.8920493</v>
      </c>
      <c r="P112" s="42" t="n">
        <f aca="false">BOM_COEF!Z408*DEMANDA!N21</f>
        <v>462.9860949</v>
      </c>
      <c r="Q112" s="42" t="n">
        <f aca="false">BOM_COEF!AA408*DEMANDA!O21</f>
        <v>498.6228351</v>
      </c>
      <c r="R112" s="24" t="s">
        <v>3090</v>
      </c>
    </row>
    <row r="113" customFormat="false" ht="15" hidden="false" customHeight="false" outlineLevel="1" collapsed="false">
      <c r="A113" s="24" t="n">
        <v>1</v>
      </c>
      <c r="B113" s="24" t="s">
        <v>634</v>
      </c>
      <c r="C113" s="40" t="s">
        <v>3091</v>
      </c>
      <c r="D113" s="24" t="s">
        <v>82</v>
      </c>
      <c r="E113" s="24" t="s">
        <v>290</v>
      </c>
      <c r="F113" s="41" t="n">
        <f aca="false">INDEX((BOM_COEF!R423~BOM_COEF!S423~BOM_COEF!T423~BOM_COEF!U423~BOM_COEF!V423~BOM_COEF!W423~BOM_COEF!X423~BOM_COEF!Y423~BOM_COEF!Z423~BOM_COEF!AA423),1,1,INDEX(P_VAL,MATCH("AÑO_DIS",P_ID,0))-2025)</f>
        <v>0.03</v>
      </c>
      <c r="G113" s="24" t="s">
        <v>2281</v>
      </c>
      <c r="H113" s="42" t="n">
        <f aca="false">BOM_COEF!R423*DEMANDA!F22</f>
        <v>58.51182291</v>
      </c>
      <c r="I113" s="42" t="n">
        <f aca="false">BOM_COEF!S423*DEMANDA!G22</f>
        <v>235.5785556</v>
      </c>
      <c r="J113" s="42" t="n">
        <f aca="false">BOM_COEF!T423*DEMANDA!H22</f>
        <v>533.2757103</v>
      </c>
      <c r="K113" s="42" t="n">
        <f aca="false">BOM_COEF!U423*DEMANDA!I22</f>
        <v>1008.1670505</v>
      </c>
      <c r="L113" s="42" t="n">
        <f aca="false">BOM_COEF!V423*DEMANDA!J22</f>
        <v>1452.2271567</v>
      </c>
      <c r="M113" s="42" t="n">
        <f aca="false">BOM_COEF!W423*DEMANDA!K22</f>
        <v>1929.6912828</v>
      </c>
      <c r="N113" s="42" t="n">
        <f aca="false">BOM_COEF!X423*DEMANDA!L22</f>
        <v>2361.6330117</v>
      </c>
      <c r="O113" s="42" t="n">
        <f aca="false">BOM_COEF!Y423*DEMANDA!M22</f>
        <v>2617.116372</v>
      </c>
      <c r="P113" s="42" t="n">
        <f aca="false">BOM_COEF!Z423*DEMANDA!N22</f>
        <v>2823.1100283</v>
      </c>
      <c r="Q113" s="42" t="n">
        <f aca="false">BOM_COEF!AA423*DEMANDA!O22</f>
        <v>3032.855286</v>
      </c>
      <c r="R113" s="24" t="s">
        <v>3092</v>
      </c>
    </row>
    <row r="114" customFormat="false" ht="15" hidden="false" customHeight="false" outlineLevel="1" collapsed="false">
      <c r="A114" s="24" t="n">
        <v>1</v>
      </c>
      <c r="B114" s="24" t="s">
        <v>634</v>
      </c>
      <c r="C114" s="40" t="s">
        <v>3093</v>
      </c>
      <c r="D114" s="24" t="s">
        <v>82</v>
      </c>
      <c r="E114" s="24" t="s">
        <v>336</v>
      </c>
      <c r="F114" s="41" t="n">
        <f aca="false">INDEX((BOM_COEF!R423~BOM_COEF!S423~BOM_COEF!T423~BOM_COEF!U423~BOM_COEF!V423~BOM_COEF!W423~BOM_COEF!X423~BOM_COEF!Y423~BOM_COEF!Z423~BOM_COEF!AA423),1,1,INDEX(P_VAL,MATCH("AÑO_DIS",P_ID,0))-2025)</f>
        <v>0.03</v>
      </c>
      <c r="G114" s="24" t="s">
        <v>2281</v>
      </c>
      <c r="H114" s="42" t="n">
        <f aca="false">BOM_COEF!R423*DEMANDA!F37</f>
        <v>1.89</v>
      </c>
      <c r="I114" s="42" t="n">
        <f aca="false">BOM_COEF!S423*DEMANDA!G37</f>
        <v>8.46</v>
      </c>
      <c r="J114" s="42" t="n">
        <f aca="false">BOM_COEF!T423*DEMANDA!H37</f>
        <v>16.59</v>
      </c>
      <c r="K114" s="42" t="n">
        <f aca="false">BOM_COEF!U423*DEMANDA!I37</f>
        <v>30.75</v>
      </c>
      <c r="L114" s="42" t="n">
        <f aca="false">BOM_COEF!V423*DEMANDA!J37</f>
        <v>45.45</v>
      </c>
      <c r="M114" s="42" t="n">
        <f aca="false">BOM_COEF!W423*DEMANDA!K37</f>
        <v>62.16</v>
      </c>
      <c r="N114" s="42" t="n">
        <f aca="false">BOM_COEF!X423*DEMANDA!L37</f>
        <v>77.37</v>
      </c>
      <c r="O114" s="42" t="n">
        <f aca="false">BOM_COEF!Y423*DEMANDA!M37</f>
        <v>88.32</v>
      </c>
      <c r="P114" s="42" t="n">
        <f aca="false">BOM_COEF!Z423*DEMANDA!N37</f>
        <v>94.92</v>
      </c>
      <c r="Q114" s="42" t="n">
        <f aca="false">BOM_COEF!AA423*DEMANDA!O37</f>
        <v>101.64</v>
      </c>
      <c r="R114" s="24" t="s">
        <v>3092</v>
      </c>
    </row>
    <row r="115" customFormat="false" ht="15" hidden="false" customHeight="false" outlineLevel="1" collapsed="false">
      <c r="A115" s="24" t="n">
        <v>1</v>
      </c>
      <c r="B115" s="24" t="s">
        <v>634</v>
      </c>
      <c r="C115" s="40" t="s">
        <v>3094</v>
      </c>
      <c r="D115" s="24" t="s">
        <v>82</v>
      </c>
      <c r="E115" s="24" t="s">
        <v>293</v>
      </c>
      <c r="F115" s="41" t="n">
        <f aca="false">INDEX((BOM_COEF!R438~BOM_COEF!S438~BOM_COEF!T438~BOM_COEF!U438~BOM_COEF!V438~BOM_COEF!W438~BOM_COEF!X438~BOM_COEF!Y438~BOM_COEF!Z438~BOM_COEF!AA438),1,1,INDEX(P_VAL,MATCH("AÑO_DIS",P_ID,0))-2025)</f>
        <v>0.03</v>
      </c>
      <c r="G115" s="24" t="s">
        <v>2281</v>
      </c>
      <c r="H115" s="42" t="n">
        <f aca="false">BOM_COEF!R438*DEMANDA!F23</f>
        <v>3.550308975</v>
      </c>
      <c r="I115" s="42" t="n">
        <f aca="false">BOM_COEF!S438*DEMANDA!G23</f>
        <v>13.131497337</v>
      </c>
      <c r="J115" s="42" t="n">
        <f aca="false">BOM_COEF!T438*DEMANDA!H23</f>
        <v>30.74924463</v>
      </c>
      <c r="K115" s="42" t="n">
        <f aca="false">BOM_COEF!U438*DEMANDA!I23</f>
        <v>58.81229586</v>
      </c>
      <c r="L115" s="42" t="n">
        <f aca="false">BOM_COEF!V438*DEMANDA!J23</f>
        <v>85.34930538</v>
      </c>
      <c r="M115" s="42" t="n">
        <f aca="false">BOM_COEF!W438*DEMANDA!K23</f>
        <v>114.31171866</v>
      </c>
      <c r="N115" s="42" t="n">
        <f aca="false">BOM_COEF!X438*DEMANDA!L23</f>
        <v>139.9103421</v>
      </c>
      <c r="O115" s="42" t="n">
        <f aca="false">BOM_COEF!Y438*DEMANDA!M23</f>
        <v>154.93543752</v>
      </c>
      <c r="P115" s="42" t="n">
        <f aca="false">BOM_COEF!Z438*DEMANDA!N23</f>
        <v>167.14632984</v>
      </c>
      <c r="Q115" s="42" t="n">
        <f aca="false">BOM_COEF!AA438*DEMANDA!O23</f>
        <v>179.57852565</v>
      </c>
      <c r="R115" s="24" t="s">
        <v>3095</v>
      </c>
    </row>
    <row r="116" customFormat="false" ht="15" hidden="false" customHeight="false" outlineLevel="1" collapsed="false">
      <c r="A116" s="24" t="n">
        <v>1</v>
      </c>
      <c r="B116" s="24" t="s">
        <v>634</v>
      </c>
      <c r="C116" s="40" t="s">
        <v>3096</v>
      </c>
      <c r="D116" s="24" t="s">
        <v>82</v>
      </c>
      <c r="E116" s="24" t="s">
        <v>339</v>
      </c>
      <c r="F116" s="41" t="n">
        <f aca="false">INDEX((BOM_COEF!R438~BOM_COEF!S438~BOM_COEF!T438~BOM_COEF!U438~BOM_COEF!V438~BOM_COEF!W438~BOM_COEF!X438~BOM_COEF!Y438~BOM_COEF!Z438~BOM_COEF!AA438),1,1,INDEX(P_VAL,MATCH("AÑO_DIS",P_ID,0))-2025)</f>
        <v>0.03</v>
      </c>
      <c r="G116" s="24" t="s">
        <v>2281</v>
      </c>
      <c r="H116" s="42" t="n">
        <f aca="false">BOM_COEF!R438*DEMANDA!F38</f>
        <v>0.06</v>
      </c>
      <c r="I116" s="42" t="n">
        <f aca="false">BOM_COEF!S438*DEMANDA!G38</f>
        <v>0.15</v>
      </c>
      <c r="J116" s="42" t="n">
        <f aca="false">BOM_COEF!T438*DEMANDA!H38</f>
        <v>0.36</v>
      </c>
      <c r="K116" s="42" t="n">
        <f aca="false">BOM_COEF!U438*DEMANDA!I38</f>
        <v>0.66</v>
      </c>
      <c r="L116" s="42" t="n">
        <f aca="false">BOM_COEF!V438*DEMANDA!J38</f>
        <v>0.93</v>
      </c>
      <c r="M116" s="42" t="n">
        <f aca="false">BOM_COEF!W438*DEMANDA!K38</f>
        <v>1.26</v>
      </c>
      <c r="N116" s="42" t="n">
        <f aca="false">BOM_COEF!X438*DEMANDA!L38</f>
        <v>1.53</v>
      </c>
      <c r="O116" s="42" t="n">
        <f aca="false">BOM_COEF!Y438*DEMANDA!M38</f>
        <v>1.68</v>
      </c>
      <c r="P116" s="42" t="n">
        <f aca="false">BOM_COEF!Z438*DEMANDA!N38</f>
        <v>1.83</v>
      </c>
      <c r="Q116" s="42" t="n">
        <f aca="false">BOM_COEF!AA438*DEMANDA!O38</f>
        <v>1.95</v>
      </c>
      <c r="R116" s="24" t="s">
        <v>3095</v>
      </c>
    </row>
    <row r="117" customFormat="false" ht="15" hidden="false" customHeight="false" outlineLevel="1" collapsed="false">
      <c r="A117" s="24" t="n">
        <v>1</v>
      </c>
      <c r="B117" s="24" t="s">
        <v>634</v>
      </c>
      <c r="C117" s="40" t="s">
        <v>3097</v>
      </c>
      <c r="D117" s="24" t="s">
        <v>82</v>
      </c>
      <c r="E117" s="24" t="s">
        <v>372</v>
      </c>
      <c r="F117" s="41" t="n">
        <f aca="false">INDEX((BOM_COEF!R87~BOM_COEF!S87~BOM_COEF!T87~BOM_COEF!U87~BOM_COEF!V87~BOM_COEF!W87~BOM_COEF!X87~BOM_COEF!Y87~BOM_COEF!Z87~BOM_COEF!AA87),1,1,INDEX(P_VAL,MATCH("AÑO_DIS",P_ID,0))-2025)</f>
        <v>1</v>
      </c>
      <c r="G117" s="24" t="s">
        <v>2281</v>
      </c>
      <c r="H117" s="42" t="n">
        <f aca="false">BOM_COEF!R87*DEMANDA!F49</f>
        <v>63</v>
      </c>
      <c r="I117" s="42" t="n">
        <f aca="false">BOM_COEF!S87*DEMANDA!G49</f>
        <v>222.15</v>
      </c>
      <c r="J117" s="42" t="n">
        <f aca="false">BOM_COEF!T87*DEMANDA!H49</f>
        <v>285.1</v>
      </c>
      <c r="K117" s="42" t="n">
        <f aca="false">BOM_COEF!U87*DEMANDA!I49</f>
        <v>499.65</v>
      </c>
      <c r="L117" s="42" t="n">
        <f aca="false">BOM_COEF!V87*DEMANDA!J49</f>
        <v>541.25</v>
      </c>
      <c r="M117" s="42" t="n">
        <f aca="false">BOM_COEF!W87*DEMANDA!K49</f>
        <v>632.75</v>
      </c>
      <c r="N117" s="42" t="n">
        <f aca="false">BOM_COEF!X87*DEMANDA!L49</f>
        <v>610.6</v>
      </c>
      <c r="O117" s="42" t="n">
        <f aca="false">BOM_COEF!Y87*DEMANDA!M49</f>
        <v>493.95</v>
      </c>
      <c r="P117" s="42" t="n">
        <f aca="false">BOM_COEF!Z87*DEMANDA!N49</f>
        <v>367.2</v>
      </c>
      <c r="Q117" s="42" t="n">
        <f aca="false">BOM_COEF!AA87*DEMANDA!O49</f>
        <v>382.2</v>
      </c>
      <c r="R117" s="24" t="s">
        <v>2390</v>
      </c>
    </row>
    <row r="118" customFormat="false" ht="15" hidden="false" customHeight="false" outlineLevel="1" collapsed="false">
      <c r="A118" s="24" t="n">
        <v>1</v>
      </c>
      <c r="B118" s="24" t="s">
        <v>634</v>
      </c>
      <c r="C118" s="40" t="s">
        <v>3098</v>
      </c>
      <c r="D118" s="24" t="s">
        <v>82</v>
      </c>
      <c r="E118" s="24" t="s">
        <v>375</v>
      </c>
      <c r="F118" s="41" t="n">
        <f aca="false">INDEX((BOM_COEF!R128~BOM_COEF!S128~BOM_COEF!T128~BOM_COEF!U128~BOM_COEF!V128~BOM_COEF!W128~BOM_COEF!X128~BOM_COEF!Y128~BOM_COEF!Z128~BOM_COEF!AA128),1,1,INDEX(P_VAL,MATCH("AÑO_DIS",P_ID,0))-2025)</f>
        <v>1</v>
      </c>
      <c r="G118" s="24" t="s">
        <v>2281</v>
      </c>
      <c r="H118" s="42" t="n">
        <f aca="false">BOM_COEF!R128*DEMANDA!F50</f>
        <v>2</v>
      </c>
      <c r="I118" s="42" t="n">
        <f aca="false">BOM_COEF!S128*DEMANDA!G50</f>
        <v>3.1</v>
      </c>
      <c r="J118" s="42" t="n">
        <f aca="false">BOM_COEF!T128*DEMANDA!H50</f>
        <v>7.25</v>
      </c>
      <c r="K118" s="42" t="n">
        <f aca="false">BOM_COEF!U128*DEMANDA!I50</f>
        <v>10.6</v>
      </c>
      <c r="L118" s="42" t="n">
        <f aca="false">BOM_COEF!V128*DEMANDA!J50</f>
        <v>10.1</v>
      </c>
      <c r="M118" s="42" t="n">
        <f aca="false">BOM_COEF!W128*DEMANDA!K50</f>
        <v>12.55</v>
      </c>
      <c r="N118" s="42" t="n">
        <f aca="false">BOM_COEF!X128*DEMANDA!L50</f>
        <v>11.1</v>
      </c>
      <c r="O118" s="42" t="n">
        <f aca="false">BOM_COEF!Y128*DEMANDA!M50</f>
        <v>7.55</v>
      </c>
      <c r="P118" s="42" t="n">
        <f aca="false">BOM_COEF!Z128*DEMANDA!N50</f>
        <v>7.8</v>
      </c>
      <c r="Q118" s="42" t="n">
        <f aca="false">BOM_COEF!AA128*DEMANDA!O50</f>
        <v>7.05</v>
      </c>
      <c r="R118" s="24" t="s">
        <v>2392</v>
      </c>
    </row>
    <row r="119" customFormat="false" ht="15" hidden="false" customHeight="false" outlineLevel="0" collapsed="false">
      <c r="A119" s="38" t="n">
        <v>0</v>
      </c>
      <c r="B119" s="38" t="s">
        <v>899</v>
      </c>
      <c r="C119" s="38" t="s">
        <v>2128</v>
      </c>
      <c r="D119" s="38" t="s">
        <v>82</v>
      </c>
      <c r="E119" s="38"/>
      <c r="F119" s="38"/>
      <c r="G119" s="38"/>
      <c r="H119" s="39" t="n">
        <f aca="false">SUM(H120:H120)</f>
        <v>0.5291325876</v>
      </c>
      <c r="I119" s="39" t="n">
        <f aca="false">SUM(I120:I120)</f>
        <v>2.579634582</v>
      </c>
      <c r="J119" s="39" t="n">
        <f aca="false">SUM(J120:J120)</f>
        <v>5.606087019</v>
      </c>
      <c r="K119" s="39" t="n">
        <f aca="false">SUM(K120:K120)</f>
        <v>10.097508624</v>
      </c>
      <c r="L119" s="39" t="n">
        <f aca="false">SUM(L120:L120)</f>
        <v>14.523977931</v>
      </c>
      <c r="M119" s="39" t="n">
        <f aca="false">SUM(M120:M120)</f>
        <v>19.296611562</v>
      </c>
      <c r="N119" s="39" t="n">
        <f aca="false">SUM(N120:N120)</f>
        <v>23.772952269</v>
      </c>
      <c r="O119" s="39" t="n">
        <f aca="false">SUM(O120:O120)</f>
        <v>26.69033121</v>
      </c>
      <c r="P119" s="39" t="n">
        <f aca="false">SUM(P120:P120)</f>
        <v>28.959333285</v>
      </c>
      <c r="Q119" s="39" t="n">
        <f aca="false">SUM(Q120:Q120)</f>
        <v>31.25819106</v>
      </c>
      <c r="R119" s="38"/>
    </row>
    <row r="120" customFormat="false" ht="15" hidden="false" customHeight="false" outlineLevel="1" collapsed="false">
      <c r="A120" s="24" t="n">
        <v>1</v>
      </c>
      <c r="B120" s="24" t="s">
        <v>899</v>
      </c>
      <c r="C120" s="40" t="s">
        <v>3099</v>
      </c>
      <c r="D120" s="24" t="s">
        <v>82</v>
      </c>
      <c r="E120" s="24" t="s">
        <v>296</v>
      </c>
      <c r="F120" s="41" t="n">
        <f aca="false">INDEX((BOM_COEF!R453~BOM_COEF!S453~BOM_COEF!T453~BOM_COEF!U453~BOM_COEF!V453~BOM_COEF!W453~BOM_COEF!X453~BOM_COEF!Y453~BOM_COEF!Z453~BOM_COEF!AA453),1,1,INDEX(P_VAL,MATCH("AÑO_DIS",P_ID,0))-2025)</f>
        <v>0.03</v>
      </c>
      <c r="G120" s="24" t="s">
        <v>2281</v>
      </c>
      <c r="H120" s="42" t="n">
        <f aca="false">BOM_COEF!R453*DEMANDA!F24</f>
        <v>0.5291325876</v>
      </c>
      <c r="I120" s="42" t="n">
        <f aca="false">BOM_COEF!S453*DEMANDA!G24</f>
        <v>2.579634582</v>
      </c>
      <c r="J120" s="42" t="n">
        <f aca="false">BOM_COEF!T453*DEMANDA!H24</f>
        <v>5.606087019</v>
      </c>
      <c r="K120" s="42" t="n">
        <f aca="false">BOM_COEF!U453*DEMANDA!I24</f>
        <v>10.097508624</v>
      </c>
      <c r="L120" s="42" t="n">
        <f aca="false">BOM_COEF!V453*DEMANDA!J24</f>
        <v>14.523977931</v>
      </c>
      <c r="M120" s="42" t="n">
        <f aca="false">BOM_COEF!W453*DEMANDA!K24</f>
        <v>19.296611562</v>
      </c>
      <c r="N120" s="42" t="n">
        <f aca="false">BOM_COEF!X453*DEMANDA!L24</f>
        <v>23.772952269</v>
      </c>
      <c r="O120" s="42" t="n">
        <f aca="false">BOM_COEF!Y453*DEMANDA!M24</f>
        <v>26.69033121</v>
      </c>
      <c r="P120" s="42" t="n">
        <f aca="false">BOM_COEF!Z453*DEMANDA!N24</f>
        <v>28.959333285</v>
      </c>
      <c r="Q120" s="42" t="n">
        <f aca="false">BOM_COEF!AA453*DEMANDA!O24</f>
        <v>31.25819106</v>
      </c>
      <c r="R120" s="24" t="s">
        <v>3100</v>
      </c>
    </row>
    <row r="121" customFormat="false" ht="15" hidden="false" customHeight="false" outlineLevel="0" collapsed="false">
      <c r="A121" s="38" t="n">
        <v>0</v>
      </c>
      <c r="B121" s="38" t="s">
        <v>1030</v>
      </c>
      <c r="C121" s="38" t="s">
        <v>2130</v>
      </c>
      <c r="D121" s="38" t="s">
        <v>82</v>
      </c>
      <c r="E121" s="38"/>
      <c r="F121" s="38"/>
      <c r="G121" s="38"/>
      <c r="H121" s="39" t="n">
        <f aca="false">SUM(H122:H128)</f>
        <v>3.64739776265</v>
      </c>
      <c r="I121" s="39" t="n">
        <f aca="false">SUM(I122:I128)</f>
        <v>9.9589037466</v>
      </c>
      <c r="J121" s="39" t="n">
        <f aca="false">SUM(J122:J128)</f>
        <v>22.2882610546</v>
      </c>
      <c r="K121" s="39" t="n">
        <f aca="false">SUM(K122:K128)</f>
        <v>37.192525869</v>
      </c>
      <c r="L121" s="39" t="n">
        <f aca="false">SUM(L122:L128)</f>
        <v>51.981933796</v>
      </c>
      <c r="M121" s="39" t="n">
        <f aca="false">SUM(M122:M128)</f>
        <v>66.859834689</v>
      </c>
      <c r="N121" s="39" t="n">
        <f aca="false">SUM(N122:N128)</f>
        <v>79.818856804</v>
      </c>
      <c r="O121" s="39" t="n">
        <f aca="false">SUM(O122:O128)</f>
        <v>86.990993615</v>
      </c>
      <c r="P121" s="39" t="n">
        <f aca="false">SUM(P122:P128)</f>
        <v>94.117999858</v>
      </c>
      <c r="Q121" s="39" t="n">
        <f aca="false">SUM(Q122:Q128)</f>
        <v>99.274573126</v>
      </c>
      <c r="R121" s="38"/>
    </row>
    <row r="122" customFormat="false" ht="15" hidden="false" customHeight="false" outlineLevel="1" collapsed="false">
      <c r="A122" s="24" t="n">
        <v>1</v>
      </c>
      <c r="B122" s="24" t="s">
        <v>1030</v>
      </c>
      <c r="C122" s="40" t="s">
        <v>3101</v>
      </c>
      <c r="D122" s="24" t="s">
        <v>82</v>
      </c>
      <c r="E122" s="24" t="s">
        <v>300</v>
      </c>
      <c r="F122" s="41" t="n">
        <f aca="false">INDEX((BOM_COEF!R468~BOM_COEF!S468~BOM_COEF!T468~BOM_COEF!U468~BOM_COEF!V468~BOM_COEF!W468~BOM_COEF!X468~BOM_COEF!Y468~BOM_COEF!Z468~BOM_COEF!AA468),1,1,INDEX(P_VAL,MATCH("AÑO_DIS",P_ID,0))-2025)</f>
        <v>0.03</v>
      </c>
      <c r="G122" s="24" t="s">
        <v>2281</v>
      </c>
      <c r="H122" s="42" t="n">
        <f aca="false">BOM_COEF!R468*DEMANDA!F25</f>
        <v>1.1640916926</v>
      </c>
      <c r="I122" s="42" t="n">
        <f aca="false">BOM_COEF!S468*DEMANDA!G25</f>
        <v>5.675196081</v>
      </c>
      <c r="J122" s="42" t="n">
        <f aca="false">BOM_COEF!T468*DEMANDA!H25</f>
        <v>12.33339144</v>
      </c>
      <c r="K122" s="42" t="n">
        <f aca="false">BOM_COEF!U468*DEMANDA!I25</f>
        <v>22.214518971</v>
      </c>
      <c r="L122" s="42" t="n">
        <f aca="false">BOM_COEF!V468*DEMANDA!J25</f>
        <v>31.95275145</v>
      </c>
      <c r="M122" s="42" t="n">
        <f aca="false">BOM_COEF!W468*DEMANDA!K25</f>
        <v>42.45254544</v>
      </c>
      <c r="N122" s="42" t="n">
        <f aca="false">BOM_COEF!X468*DEMANDA!L25</f>
        <v>52.30049499</v>
      </c>
      <c r="O122" s="42" t="n">
        <f aca="false">BOM_COEF!Y468*DEMANDA!M25</f>
        <v>58.71872865</v>
      </c>
      <c r="P122" s="42" t="n">
        <f aca="false">BOM_COEF!Z468*DEMANDA!N25</f>
        <v>63.71053323</v>
      </c>
      <c r="Q122" s="42" t="n">
        <f aca="false">BOM_COEF!AA468*DEMANDA!O25</f>
        <v>68.76802029</v>
      </c>
      <c r="R122" s="24" t="s">
        <v>3102</v>
      </c>
    </row>
    <row r="123" customFormat="false" ht="15" hidden="false" customHeight="false" outlineLevel="1" collapsed="false">
      <c r="A123" s="24" t="n">
        <v>1</v>
      </c>
      <c r="B123" s="24" t="s">
        <v>1030</v>
      </c>
      <c r="C123" s="40" t="s">
        <v>3103</v>
      </c>
      <c r="D123" s="24" t="s">
        <v>82</v>
      </c>
      <c r="E123" s="24" t="s">
        <v>366</v>
      </c>
      <c r="F123" s="41" t="n">
        <f aca="false">INDEX((BOM_COEF!R468~BOM_COEF!S468~BOM_COEF!T468~BOM_COEF!U468~BOM_COEF!V468~BOM_COEF!W468~BOM_COEF!X468~BOM_COEF!Y468~BOM_COEF!Z468~BOM_COEF!AA468),1,1,INDEX(P_VAL,MATCH("AÑO_DIS",P_ID,0))-2025)</f>
        <v>0.03</v>
      </c>
      <c r="G123" s="24" t="s">
        <v>2281</v>
      </c>
      <c r="H123" s="42" t="n">
        <f aca="false">BOM_COEF!R468*DEMANDA!F47</f>
        <v>0.03</v>
      </c>
      <c r="I123" s="42" t="n">
        <f aca="false">BOM_COEF!S468*DEMANDA!G47</f>
        <v>0.09</v>
      </c>
      <c r="J123" s="42" t="n">
        <f aca="false">BOM_COEF!T468*DEMANDA!H47</f>
        <v>0.21</v>
      </c>
      <c r="K123" s="42" t="n">
        <f aca="false">BOM_COEF!U468*DEMANDA!I47</f>
        <v>0.36</v>
      </c>
      <c r="L123" s="42" t="n">
        <f aca="false">BOM_COEF!V468*DEMANDA!J47</f>
        <v>0.51</v>
      </c>
      <c r="M123" s="42" t="n">
        <f aca="false">BOM_COEF!W468*DEMANDA!K47</f>
        <v>0.69</v>
      </c>
      <c r="N123" s="42" t="n">
        <f aca="false">BOM_COEF!X468*DEMANDA!L47</f>
        <v>0.84</v>
      </c>
      <c r="O123" s="42" t="n">
        <f aca="false">BOM_COEF!Y468*DEMANDA!M47</f>
        <v>0.93</v>
      </c>
      <c r="P123" s="42" t="n">
        <f aca="false">BOM_COEF!Z468*DEMANDA!N47</f>
        <v>1.02</v>
      </c>
      <c r="Q123" s="42" t="n">
        <f aca="false">BOM_COEF!AA468*DEMANDA!O47</f>
        <v>1.08</v>
      </c>
      <c r="R123" s="24" t="s">
        <v>3102</v>
      </c>
    </row>
    <row r="124" customFormat="false" ht="15" hidden="false" customHeight="false" outlineLevel="1" collapsed="false">
      <c r="A124" s="24" t="n">
        <v>1</v>
      </c>
      <c r="B124" s="24" t="s">
        <v>1030</v>
      </c>
      <c r="C124" s="40" t="s">
        <v>3104</v>
      </c>
      <c r="D124" s="24" t="s">
        <v>82</v>
      </c>
      <c r="E124" s="24" t="s">
        <v>303</v>
      </c>
      <c r="F124" s="41" t="n">
        <f aca="false">INDEX((BOM_COEF!R483~BOM_COEF!S483~BOM_COEF!T483~BOM_COEF!U483~BOM_COEF!V483~BOM_COEF!W483~BOM_COEF!X483~BOM_COEF!Y483~BOM_COEF!Z483~BOM_COEF!AA483),1,1,INDEX(P_VAL,MATCH("AÑO_DIS",P_ID,0))-2025)</f>
        <v>0.03</v>
      </c>
      <c r="G124" s="24" t="s">
        <v>2281</v>
      </c>
      <c r="H124" s="42" t="n">
        <f aca="false">BOM_COEF!R483*DEMANDA!F26</f>
        <v>0.25398364203</v>
      </c>
      <c r="I124" s="42" t="n">
        <f aca="false">BOM_COEF!S483*DEMANDA!G26</f>
        <v>1.2382245993</v>
      </c>
      <c r="J124" s="42" t="n">
        <f aca="false">BOM_COEF!T483*DEMANDA!H26</f>
        <v>2.6909217687</v>
      </c>
      <c r="K124" s="42" t="n">
        <f aca="false">BOM_COEF!U483*DEMANDA!I26</f>
        <v>4.84680414</v>
      </c>
      <c r="L124" s="42" t="n">
        <f aca="false">BOM_COEF!V483*DEMANDA!J26</f>
        <v>6.971509407</v>
      </c>
      <c r="M124" s="42" t="n">
        <f aca="false">BOM_COEF!W483*DEMANDA!K26</f>
        <v>9.26237355</v>
      </c>
      <c r="N124" s="42" t="n">
        <f aca="false">BOM_COEF!X483*DEMANDA!L26</f>
        <v>11.411017089</v>
      </c>
      <c r="O124" s="42" t="n">
        <f aca="false">BOM_COEF!Y483*DEMANDA!M26</f>
        <v>12.811358979</v>
      </c>
      <c r="P124" s="42" t="n">
        <f aca="false">BOM_COEF!Z483*DEMANDA!N26</f>
        <v>13.900479978</v>
      </c>
      <c r="Q124" s="42" t="n">
        <f aca="false">BOM_COEF!AA483*DEMANDA!O26</f>
        <v>15.003931701</v>
      </c>
      <c r="R124" s="24" t="s">
        <v>3105</v>
      </c>
    </row>
    <row r="125" customFormat="false" ht="15" hidden="false" customHeight="false" outlineLevel="1" collapsed="false">
      <c r="A125" s="24" t="n">
        <v>1</v>
      </c>
      <c r="B125" s="24" t="s">
        <v>1030</v>
      </c>
      <c r="C125" s="40" t="s">
        <v>3106</v>
      </c>
      <c r="D125" s="24" t="s">
        <v>82</v>
      </c>
      <c r="E125" s="24" t="s">
        <v>306</v>
      </c>
      <c r="F125" s="41" t="n">
        <f aca="false">INDEX((BOM_COEF!R498~BOM_COEF!S498~BOM_COEF!T498~BOM_COEF!U498~BOM_COEF!V498~BOM_COEF!W498~BOM_COEF!X498~BOM_COEF!Y498~BOM_COEF!Z498~BOM_COEF!AA498),1,1,INDEX(P_VAL,MATCH("AÑO_DIS",P_ID,0))-2025)</f>
        <v>0.03</v>
      </c>
      <c r="G125" s="24" t="s">
        <v>2281</v>
      </c>
      <c r="H125" s="42" t="n">
        <f aca="false">BOM_COEF!R498*DEMANDA!F27</f>
        <v>0.16932242802</v>
      </c>
      <c r="I125" s="42" t="n">
        <f aca="false">BOM_COEF!S498*DEMANDA!G27</f>
        <v>0.8254830663</v>
      </c>
      <c r="J125" s="42" t="n">
        <f aca="false">BOM_COEF!T498*DEMANDA!H27</f>
        <v>1.7939478459</v>
      </c>
      <c r="K125" s="42" t="n">
        <f aca="false">BOM_COEF!U498*DEMANDA!I27</f>
        <v>3.231202758</v>
      </c>
      <c r="L125" s="42" t="n">
        <f aca="false">BOM_COEF!V498*DEMANDA!J27</f>
        <v>4.647672939</v>
      </c>
      <c r="M125" s="42" t="n">
        <f aca="false">BOM_COEF!W498*DEMANDA!K27</f>
        <v>6.174915699</v>
      </c>
      <c r="N125" s="42" t="n">
        <f aca="false">BOM_COEF!X498*DEMANDA!L27</f>
        <v>7.607344725</v>
      </c>
      <c r="O125" s="42" t="n">
        <f aca="false">BOM_COEF!Y498*DEMANDA!M27</f>
        <v>8.540905986</v>
      </c>
      <c r="P125" s="42" t="n">
        <f aca="false">BOM_COEF!Z498*DEMANDA!N27</f>
        <v>9.26698665</v>
      </c>
      <c r="Q125" s="42" t="n">
        <f aca="false">BOM_COEF!AA498*DEMANDA!O27</f>
        <v>10.002621135</v>
      </c>
      <c r="R125" s="24" t="s">
        <v>3107</v>
      </c>
    </row>
    <row r="126" customFormat="false" ht="15" hidden="false" customHeight="false" outlineLevel="1" collapsed="false">
      <c r="A126" s="24" t="n">
        <v>1</v>
      </c>
      <c r="B126" s="24" t="s">
        <v>1030</v>
      </c>
      <c r="C126" s="40" t="s">
        <v>3108</v>
      </c>
      <c r="D126" s="24" t="s">
        <v>82</v>
      </c>
      <c r="E126" s="24" t="s">
        <v>369</v>
      </c>
      <c r="F126" s="41" t="n">
        <f aca="false">INDEX((BOM_COEF!R498~BOM_COEF!S498~BOM_COEF!T498~BOM_COEF!U498~BOM_COEF!V498~BOM_COEF!W498~BOM_COEF!X498~BOM_COEF!Y498~BOM_COEF!Z498~BOM_COEF!AA498),1,1,INDEX(P_VAL,MATCH("AÑO_DIS",P_ID,0))-2025)</f>
        <v>0.03</v>
      </c>
      <c r="G126" s="24" t="s">
        <v>2281</v>
      </c>
      <c r="H126" s="42" t="n">
        <f aca="false">BOM_COEF!R498*DEMANDA!F48</f>
        <v>0.03</v>
      </c>
      <c r="I126" s="42" t="n">
        <f aca="false">BOM_COEF!S498*DEMANDA!G48</f>
        <v>0.03</v>
      </c>
      <c r="J126" s="42" t="n">
        <f aca="false">BOM_COEF!T498*DEMANDA!H48</f>
        <v>0.06</v>
      </c>
      <c r="K126" s="42" t="n">
        <f aca="false">BOM_COEF!U498*DEMANDA!I48</f>
        <v>0.09</v>
      </c>
      <c r="L126" s="42" t="n">
        <f aca="false">BOM_COEF!V498*DEMANDA!J48</f>
        <v>0.15</v>
      </c>
      <c r="M126" s="42" t="n">
        <f aca="false">BOM_COEF!W498*DEMANDA!K48</f>
        <v>0.18</v>
      </c>
      <c r="N126" s="42" t="n">
        <f aca="false">BOM_COEF!X498*DEMANDA!L48</f>
        <v>0.21</v>
      </c>
      <c r="O126" s="42" t="n">
        <f aca="false">BOM_COEF!Y498*DEMANDA!M48</f>
        <v>0.24</v>
      </c>
      <c r="P126" s="42" t="n">
        <f aca="false">BOM_COEF!Z498*DEMANDA!N48</f>
        <v>0.27</v>
      </c>
      <c r="Q126" s="42" t="n">
        <f aca="false">BOM_COEF!AA498*DEMANDA!O48</f>
        <v>0.27</v>
      </c>
      <c r="R126" s="24" t="s">
        <v>3107</v>
      </c>
    </row>
    <row r="127" customFormat="false" ht="15" hidden="false" customHeight="false" outlineLevel="1" collapsed="false">
      <c r="A127" s="24" t="n">
        <v>1</v>
      </c>
      <c r="B127" s="24" t="s">
        <v>1030</v>
      </c>
      <c r="C127" s="40" t="s">
        <v>3109</v>
      </c>
      <c r="D127" s="24" t="s">
        <v>82</v>
      </c>
      <c r="E127" s="24" t="s">
        <v>402</v>
      </c>
      <c r="F127" s="41" t="n">
        <f aca="false">INDEX((BOM_COEF!R219~BOM_COEF!S219~BOM_COEF!T219~BOM_COEF!U219~BOM_COEF!V219~BOM_COEF!W219~BOM_COEF!X219~BOM_COEF!Y219~BOM_COEF!Z219~BOM_COEF!AA219),1,1,INDEX(P_VAL,MATCH("AÑO_DIS",P_ID,0))-2025)</f>
        <v>1</v>
      </c>
      <c r="G127" s="24" t="s">
        <v>2281</v>
      </c>
      <c r="H127" s="42" t="n">
        <f aca="false">BOM_COEF!R219*DEMANDA!F59</f>
        <v>1</v>
      </c>
      <c r="I127" s="42" t="n">
        <f aca="false">BOM_COEF!S219*DEMANDA!G59</f>
        <v>2.05</v>
      </c>
      <c r="J127" s="42" t="n">
        <f aca="false">BOM_COEF!T219*DEMANDA!H59</f>
        <v>4.15</v>
      </c>
      <c r="K127" s="42" t="n">
        <f aca="false">BOM_COEF!U219*DEMANDA!I59</f>
        <v>5.35</v>
      </c>
      <c r="L127" s="42" t="n">
        <f aca="false">BOM_COEF!V219*DEMANDA!J59</f>
        <v>5.6</v>
      </c>
      <c r="M127" s="42" t="n">
        <f aca="false">BOM_COEF!W219*DEMANDA!K59</f>
        <v>6.85</v>
      </c>
      <c r="N127" s="42" t="n">
        <f aca="false">BOM_COEF!X219*DEMANDA!L59</f>
        <v>6.15</v>
      </c>
      <c r="O127" s="42" t="n">
        <f aca="false">BOM_COEF!Y219*DEMANDA!M59</f>
        <v>4.4</v>
      </c>
      <c r="P127" s="42" t="n">
        <f aca="false">BOM_COEF!Z219*DEMANDA!N59</f>
        <v>4.55</v>
      </c>
      <c r="Q127" s="42" t="n">
        <f aca="false">BOM_COEF!AA219*DEMANDA!O59</f>
        <v>3.7</v>
      </c>
      <c r="R127" s="24" t="s">
        <v>2767</v>
      </c>
    </row>
    <row r="128" customFormat="false" ht="15" hidden="false" customHeight="false" outlineLevel="1" collapsed="false">
      <c r="A128" s="24" t="n">
        <v>1</v>
      </c>
      <c r="B128" s="24" t="s">
        <v>1030</v>
      </c>
      <c r="C128" s="40" t="s">
        <v>3110</v>
      </c>
      <c r="D128" s="24" t="s">
        <v>82</v>
      </c>
      <c r="E128" s="24" t="s">
        <v>405</v>
      </c>
      <c r="F128" s="41" t="n">
        <f aca="false">INDEX((BOM_COEF!R320~BOM_COEF!S320~BOM_COEF!T320~BOM_COEF!U320~BOM_COEF!V320~BOM_COEF!W320~BOM_COEF!X320~BOM_COEF!Y320~BOM_COEF!Z320~BOM_COEF!AA320),1,1,INDEX(P_VAL,MATCH("AÑO_DIS",P_ID,0))-2025)</f>
        <v>1</v>
      </c>
      <c r="G128" s="24" t="s">
        <v>2281</v>
      </c>
      <c r="H128" s="42" t="n">
        <f aca="false">BOM_COEF!R320*DEMANDA!F60</f>
        <v>1</v>
      </c>
      <c r="I128" s="42" t="n">
        <f aca="false">BOM_COEF!S320*DEMANDA!G60</f>
        <v>0.05</v>
      </c>
      <c r="J128" s="42" t="n">
        <f aca="false">BOM_COEF!T320*DEMANDA!H60</f>
        <v>1.05</v>
      </c>
      <c r="K128" s="42" t="n">
        <f aca="false">BOM_COEF!U320*DEMANDA!I60</f>
        <v>1.1</v>
      </c>
      <c r="L128" s="42" t="n">
        <f aca="false">BOM_COEF!V320*DEMANDA!J60</f>
        <v>2.15</v>
      </c>
      <c r="M128" s="42" t="n">
        <f aca="false">BOM_COEF!W320*DEMANDA!K60</f>
        <v>1.25</v>
      </c>
      <c r="N128" s="42" t="n">
        <f aca="false">BOM_COEF!X320*DEMANDA!L60</f>
        <v>1.3</v>
      </c>
      <c r="O128" s="42" t="n">
        <f aca="false">BOM_COEF!Y320*DEMANDA!M60</f>
        <v>1.35</v>
      </c>
      <c r="P128" s="42" t="n">
        <f aca="false">BOM_COEF!Z320*DEMANDA!N60</f>
        <v>1.4</v>
      </c>
      <c r="Q128" s="42" t="n">
        <f aca="false">BOM_COEF!AA320*DEMANDA!O60</f>
        <v>0.45</v>
      </c>
      <c r="R128" s="24" t="s">
        <v>2771</v>
      </c>
    </row>
    <row r="129" customFormat="false" ht="15" hidden="false" customHeight="false" outlineLevel="0" collapsed="false">
      <c r="A129" s="38" t="n">
        <v>0</v>
      </c>
      <c r="B129" s="38" t="s">
        <v>510</v>
      </c>
      <c r="C129" s="38" t="s">
        <v>2131</v>
      </c>
      <c r="D129" s="38" t="s">
        <v>82</v>
      </c>
      <c r="E129" s="38"/>
      <c r="F129" s="38"/>
      <c r="G129" s="38"/>
      <c r="H129" s="39" t="n">
        <f aca="false">SUM(H130:H145)</f>
        <v>548.101402614</v>
      </c>
      <c r="I129" s="39" t="n">
        <f aca="false">SUM(I130:I145)</f>
        <v>2402.0128831616</v>
      </c>
      <c r="J129" s="39" t="n">
        <f aca="false">SUM(J130:J145)</f>
        <v>4586.7955060896</v>
      </c>
      <c r="K129" s="39" t="n">
        <f aca="false">SUM(K130:K145)</f>
        <v>8472.593361928</v>
      </c>
      <c r="L129" s="39" t="n">
        <f aca="false">SUM(L130:L145)</f>
        <v>12309.354485032</v>
      </c>
      <c r="M129" s="39" t="n">
        <f aca="false">SUM(M130:M145)</f>
        <v>16707.886533896</v>
      </c>
      <c r="N129" s="39" t="n">
        <f aca="false">SUM(N130:N145)</f>
        <v>20600.352939128</v>
      </c>
      <c r="O129" s="39" t="n">
        <f aca="false">SUM(O130:O145)</f>
        <v>23280.59934572</v>
      </c>
      <c r="P129" s="39" t="n">
        <f aca="false">SUM(P130:P145)</f>
        <v>24855.181376488</v>
      </c>
      <c r="Q129" s="39" t="n">
        <f aca="false">SUM(Q130:Q145)</f>
        <v>26605.427018496</v>
      </c>
      <c r="R129" s="38"/>
    </row>
    <row r="130" customFormat="false" ht="15" hidden="false" customHeight="false" outlineLevel="1" collapsed="false">
      <c r="A130" s="24" t="n">
        <v>1</v>
      </c>
      <c r="B130" s="24" t="s">
        <v>510</v>
      </c>
      <c r="C130" s="40" t="s">
        <v>3111</v>
      </c>
      <c r="D130" s="24" t="s">
        <v>82</v>
      </c>
      <c r="E130" s="24" t="s">
        <v>282</v>
      </c>
      <c r="F130" s="41" t="n">
        <f aca="false">INDEX((BOM_COEF!R395~BOM_COEF!S395~BOM_COEF!T395~BOM_COEF!U395~BOM_COEF!V395~BOM_COEF!W395~BOM_COEF!X395~BOM_COEF!Y395~BOM_COEF!Z395~BOM_COEF!AA395),1,1,INDEX(P_VAL,MATCH("AÑO_DIS",P_ID,0))-2025)</f>
        <v>0.08</v>
      </c>
      <c r="G130" s="24" t="s">
        <v>2281</v>
      </c>
      <c r="H130" s="42" t="n">
        <f aca="false">BOM_COEF!R395*DEMANDA!F20</f>
        <v>278.19856992</v>
      </c>
      <c r="I130" s="42" t="n">
        <f aca="false">BOM_COEF!S395*DEMANDA!G20</f>
        <v>1357.6468512</v>
      </c>
      <c r="J130" s="42" t="n">
        <f aca="false">BOM_COEF!T395*DEMANDA!H20</f>
        <v>2443.6871608</v>
      </c>
      <c r="K130" s="42" t="n">
        <f aca="false">BOM_COEF!U395*DEMANDA!I20</f>
        <v>4483.8648848</v>
      </c>
      <c r="L130" s="42" t="n">
        <f aca="false">BOM_COEF!V395*DEMANDA!J20</f>
        <v>6741.6180904</v>
      </c>
      <c r="M130" s="42" t="n">
        <f aca="false">BOM_COEF!W395*DEMANDA!K20</f>
        <v>9392.625848</v>
      </c>
      <c r="N130" s="42" t="n">
        <f aca="false">BOM_COEF!X395*DEMANDA!L20</f>
        <v>11808.850848</v>
      </c>
      <c r="O130" s="42" t="n">
        <f aca="false">BOM_COEF!Y395*DEMANDA!M20</f>
        <v>13712.348856</v>
      </c>
      <c r="P130" s="42" t="n">
        <f aca="false">BOM_COEF!Z395*DEMANDA!N20</f>
        <v>14695.24528</v>
      </c>
      <c r="Q130" s="42" t="n">
        <f aca="false">BOM_COEF!AA395*DEMANDA!O20</f>
        <v>15702.615256</v>
      </c>
      <c r="R130" s="24" t="s">
        <v>3112</v>
      </c>
    </row>
    <row r="131" customFormat="false" ht="15" hidden="false" customHeight="false" outlineLevel="1" collapsed="false">
      <c r="A131" s="24" t="n">
        <v>1</v>
      </c>
      <c r="B131" s="24" t="s">
        <v>510</v>
      </c>
      <c r="C131" s="40" t="s">
        <v>3113</v>
      </c>
      <c r="D131" s="24" t="s">
        <v>82</v>
      </c>
      <c r="E131" s="24" t="s">
        <v>286</v>
      </c>
      <c r="F131" s="41" t="n">
        <f aca="false">INDEX((BOM_COEF!R409~BOM_COEF!S409~BOM_COEF!T409~BOM_COEF!U409~BOM_COEF!V409~BOM_COEF!W409~BOM_COEF!X409~BOM_COEF!Y409~BOM_COEF!Z409~BOM_COEF!AA409),1,1,INDEX(P_VAL,MATCH("AÑO_DIS",P_ID,0))-2025)</f>
        <v>0.08</v>
      </c>
      <c r="G131" s="24" t="s">
        <v>2281</v>
      </c>
      <c r="H131" s="42" t="n">
        <f aca="false">BOM_COEF!R409*DEMANDA!F21</f>
        <v>26.3997334</v>
      </c>
      <c r="I131" s="42" t="n">
        <f aca="false">BOM_COEF!S409*DEMANDA!G21</f>
        <v>102.99312192</v>
      </c>
      <c r="J131" s="42" t="n">
        <f aca="false">BOM_COEF!T409*DEMANDA!H21</f>
        <v>235.77353728</v>
      </c>
      <c r="K131" s="42" t="n">
        <f aca="false">BOM_COEF!U409*DEMANDA!I21</f>
        <v>434.08346152</v>
      </c>
      <c r="L131" s="42" t="n">
        <f aca="false">BOM_COEF!V409*DEMANDA!J21</f>
        <v>628.07006448</v>
      </c>
      <c r="M131" s="42" t="n">
        <f aca="false">BOM_COEF!W409*DEMANDA!K21</f>
        <v>833.915492</v>
      </c>
      <c r="N131" s="42" t="n">
        <f aca="false">BOM_COEF!X409*DEMANDA!L21</f>
        <v>1024.7916568</v>
      </c>
      <c r="O131" s="42" t="n">
        <f aca="false">BOM_COEF!Y409*DEMANDA!M21</f>
        <v>1141.0454648</v>
      </c>
      <c r="P131" s="42" t="n">
        <f aca="false">BOM_COEF!Z409*DEMANDA!N21</f>
        <v>1234.6295864</v>
      </c>
      <c r="Q131" s="42" t="n">
        <f aca="false">BOM_COEF!AA409*DEMANDA!O21</f>
        <v>1329.6608936</v>
      </c>
      <c r="R131" s="24" t="s">
        <v>3114</v>
      </c>
    </row>
    <row r="132" customFormat="false" ht="15" hidden="false" customHeight="false" outlineLevel="1" collapsed="false">
      <c r="A132" s="24" t="n">
        <v>1</v>
      </c>
      <c r="B132" s="24" t="s">
        <v>510</v>
      </c>
      <c r="C132" s="40" t="s">
        <v>3115</v>
      </c>
      <c r="D132" s="24" t="s">
        <v>82</v>
      </c>
      <c r="E132" s="24" t="s">
        <v>290</v>
      </c>
      <c r="F132" s="41" t="n">
        <f aca="false">INDEX((BOM_COEF!R424~BOM_COEF!S424~BOM_COEF!T424~BOM_COEF!U424~BOM_COEF!V424~BOM_COEF!W424~BOM_COEF!X424~BOM_COEF!Y424~BOM_COEF!Z424~BOM_COEF!AA424),1,1,INDEX(P_VAL,MATCH("AÑO_DIS",P_ID,0))-2025)</f>
        <v>0.08</v>
      </c>
      <c r="G132" s="24" t="s">
        <v>2281</v>
      </c>
      <c r="H132" s="42" t="n">
        <f aca="false">BOM_COEF!R424*DEMANDA!F22</f>
        <v>156.03152776</v>
      </c>
      <c r="I132" s="42" t="n">
        <f aca="false">BOM_COEF!S424*DEMANDA!G22</f>
        <v>628.2094816</v>
      </c>
      <c r="J132" s="42" t="n">
        <f aca="false">BOM_COEF!T424*DEMANDA!H22</f>
        <v>1422.0685608</v>
      </c>
      <c r="K132" s="42" t="n">
        <f aca="false">BOM_COEF!U424*DEMANDA!I22</f>
        <v>2688.445468</v>
      </c>
      <c r="L132" s="42" t="n">
        <f aca="false">BOM_COEF!V424*DEMANDA!J22</f>
        <v>3872.6057512</v>
      </c>
      <c r="M132" s="42" t="n">
        <f aca="false">BOM_COEF!W424*DEMANDA!K22</f>
        <v>5145.8434208</v>
      </c>
      <c r="N132" s="42" t="n">
        <f aca="false">BOM_COEF!X424*DEMANDA!L22</f>
        <v>6297.6880312</v>
      </c>
      <c r="O132" s="42" t="n">
        <f aca="false">BOM_COEF!Y424*DEMANDA!M22</f>
        <v>6978.976992</v>
      </c>
      <c r="P132" s="42" t="n">
        <f aca="false">BOM_COEF!Z424*DEMANDA!N22</f>
        <v>7528.2934088</v>
      </c>
      <c r="Q132" s="42" t="n">
        <f aca="false">BOM_COEF!AA424*DEMANDA!O22</f>
        <v>8087.614096</v>
      </c>
      <c r="R132" s="24" t="s">
        <v>3116</v>
      </c>
    </row>
    <row r="133" customFormat="false" ht="15" hidden="false" customHeight="false" outlineLevel="1" collapsed="false">
      <c r="A133" s="24" t="n">
        <v>1</v>
      </c>
      <c r="B133" s="24" t="s">
        <v>510</v>
      </c>
      <c r="C133" s="40" t="s">
        <v>3117</v>
      </c>
      <c r="D133" s="24" t="s">
        <v>82</v>
      </c>
      <c r="E133" s="24" t="s">
        <v>336</v>
      </c>
      <c r="F133" s="41" t="n">
        <f aca="false">INDEX((BOM_COEF!R424~BOM_COEF!S424~BOM_COEF!T424~BOM_COEF!U424~BOM_COEF!V424~BOM_COEF!W424~BOM_COEF!X424~BOM_COEF!Y424~BOM_COEF!Z424~BOM_COEF!AA424),1,1,INDEX(P_VAL,MATCH("AÑO_DIS",P_ID,0))-2025)</f>
        <v>0.08</v>
      </c>
      <c r="G133" s="24" t="s">
        <v>2281</v>
      </c>
      <c r="H133" s="42" t="n">
        <f aca="false">BOM_COEF!R424*DEMANDA!F37</f>
        <v>5.04</v>
      </c>
      <c r="I133" s="42" t="n">
        <f aca="false">BOM_COEF!S424*DEMANDA!G37</f>
        <v>22.56</v>
      </c>
      <c r="J133" s="42" t="n">
        <f aca="false">BOM_COEF!T424*DEMANDA!H37</f>
        <v>44.24</v>
      </c>
      <c r="K133" s="42" t="n">
        <f aca="false">BOM_COEF!U424*DEMANDA!I37</f>
        <v>82</v>
      </c>
      <c r="L133" s="42" t="n">
        <f aca="false">BOM_COEF!V424*DEMANDA!J37</f>
        <v>121.2</v>
      </c>
      <c r="M133" s="42" t="n">
        <f aca="false">BOM_COEF!W424*DEMANDA!K37</f>
        <v>165.76</v>
      </c>
      <c r="N133" s="42" t="n">
        <f aca="false">BOM_COEF!X424*DEMANDA!L37</f>
        <v>206.32</v>
      </c>
      <c r="O133" s="42" t="n">
        <f aca="false">BOM_COEF!Y424*DEMANDA!M37</f>
        <v>235.52</v>
      </c>
      <c r="P133" s="42" t="n">
        <f aca="false">BOM_COEF!Z424*DEMANDA!N37</f>
        <v>253.12</v>
      </c>
      <c r="Q133" s="42" t="n">
        <f aca="false">BOM_COEF!AA424*DEMANDA!O37</f>
        <v>271.04</v>
      </c>
      <c r="R133" s="24" t="s">
        <v>3116</v>
      </c>
    </row>
    <row r="134" customFormat="false" ht="15" hidden="false" customHeight="false" outlineLevel="1" collapsed="false">
      <c r="A134" s="24" t="n">
        <v>1</v>
      </c>
      <c r="B134" s="24" t="s">
        <v>510</v>
      </c>
      <c r="C134" s="40" t="s">
        <v>3118</v>
      </c>
      <c r="D134" s="24" t="s">
        <v>82</v>
      </c>
      <c r="E134" s="24" t="s">
        <v>293</v>
      </c>
      <c r="F134" s="41" t="n">
        <f aca="false">INDEX((BOM_COEF!R439~BOM_COEF!S439~BOM_COEF!T439~BOM_COEF!U439~BOM_COEF!V439~BOM_COEF!W439~BOM_COEF!X439~BOM_COEF!Y439~BOM_COEF!Z439~BOM_COEF!AA439),1,1,INDEX(P_VAL,MATCH("AÑO_DIS",P_ID,0))-2025)</f>
        <v>0.08</v>
      </c>
      <c r="G134" s="24" t="s">
        <v>2281</v>
      </c>
      <c r="H134" s="42" t="n">
        <f aca="false">BOM_COEF!R439*DEMANDA!F23</f>
        <v>9.4674906</v>
      </c>
      <c r="I134" s="42" t="n">
        <f aca="false">BOM_COEF!S439*DEMANDA!G23</f>
        <v>35.017326232</v>
      </c>
      <c r="J134" s="42" t="n">
        <f aca="false">BOM_COEF!T439*DEMANDA!H23</f>
        <v>81.99798568</v>
      </c>
      <c r="K134" s="42" t="n">
        <f aca="false">BOM_COEF!U439*DEMANDA!I23</f>
        <v>156.83278896</v>
      </c>
      <c r="L134" s="42" t="n">
        <f aca="false">BOM_COEF!V439*DEMANDA!J23</f>
        <v>227.59814768</v>
      </c>
      <c r="M134" s="42" t="n">
        <f aca="false">BOM_COEF!W439*DEMANDA!K23</f>
        <v>304.83124976</v>
      </c>
      <c r="N134" s="42" t="n">
        <f aca="false">BOM_COEF!X439*DEMANDA!L23</f>
        <v>373.0942456</v>
      </c>
      <c r="O134" s="42" t="n">
        <f aca="false">BOM_COEF!Y439*DEMANDA!M23</f>
        <v>413.16116672</v>
      </c>
      <c r="P134" s="42" t="n">
        <f aca="false">BOM_COEF!Z439*DEMANDA!N23</f>
        <v>445.72354624</v>
      </c>
      <c r="Q134" s="42" t="n">
        <f aca="false">BOM_COEF!AA439*DEMANDA!O23</f>
        <v>478.8760684</v>
      </c>
      <c r="R134" s="24" t="s">
        <v>3119</v>
      </c>
    </row>
    <row r="135" customFormat="false" ht="15" hidden="false" customHeight="false" outlineLevel="1" collapsed="false">
      <c r="A135" s="24" t="n">
        <v>1</v>
      </c>
      <c r="B135" s="24" t="s">
        <v>510</v>
      </c>
      <c r="C135" s="40" t="s">
        <v>3120</v>
      </c>
      <c r="D135" s="24" t="s">
        <v>82</v>
      </c>
      <c r="E135" s="24" t="s">
        <v>339</v>
      </c>
      <c r="F135" s="41" t="n">
        <f aca="false">INDEX((BOM_COEF!R439~BOM_COEF!S439~BOM_COEF!T439~BOM_COEF!U439~BOM_COEF!V439~BOM_COEF!W439~BOM_COEF!X439~BOM_COEF!Y439~BOM_COEF!Z439~BOM_COEF!AA439),1,1,INDEX(P_VAL,MATCH("AÑO_DIS",P_ID,0))-2025)</f>
        <v>0.08</v>
      </c>
      <c r="G135" s="24" t="s">
        <v>2281</v>
      </c>
      <c r="H135" s="42" t="n">
        <f aca="false">BOM_COEF!R439*DEMANDA!F38</f>
        <v>0.16</v>
      </c>
      <c r="I135" s="42" t="n">
        <f aca="false">BOM_COEF!S439*DEMANDA!G38</f>
        <v>0.4</v>
      </c>
      <c r="J135" s="42" t="n">
        <f aca="false">BOM_COEF!T439*DEMANDA!H38</f>
        <v>0.96</v>
      </c>
      <c r="K135" s="42" t="n">
        <f aca="false">BOM_COEF!U439*DEMANDA!I38</f>
        <v>1.76</v>
      </c>
      <c r="L135" s="42" t="n">
        <f aca="false">BOM_COEF!V439*DEMANDA!J38</f>
        <v>2.48</v>
      </c>
      <c r="M135" s="42" t="n">
        <f aca="false">BOM_COEF!W439*DEMANDA!K38</f>
        <v>3.36</v>
      </c>
      <c r="N135" s="42" t="n">
        <f aca="false">BOM_COEF!X439*DEMANDA!L38</f>
        <v>4.08</v>
      </c>
      <c r="O135" s="42" t="n">
        <f aca="false">BOM_COEF!Y439*DEMANDA!M38</f>
        <v>4.48</v>
      </c>
      <c r="P135" s="42" t="n">
        <f aca="false">BOM_COEF!Z439*DEMANDA!N38</f>
        <v>4.88</v>
      </c>
      <c r="Q135" s="42" t="n">
        <f aca="false">BOM_COEF!AA439*DEMANDA!O38</f>
        <v>5.2</v>
      </c>
      <c r="R135" s="24" t="s">
        <v>3119</v>
      </c>
    </row>
    <row r="136" customFormat="false" ht="15" hidden="false" customHeight="false" outlineLevel="1" collapsed="false">
      <c r="A136" s="24" t="n">
        <v>1</v>
      </c>
      <c r="B136" s="24" t="s">
        <v>510</v>
      </c>
      <c r="C136" s="40" t="s">
        <v>3121</v>
      </c>
      <c r="D136" s="24" t="s">
        <v>82</v>
      </c>
      <c r="E136" s="24" t="s">
        <v>296</v>
      </c>
      <c r="F136" s="41" t="n">
        <f aca="false">INDEX((BOM_COEF!R454~BOM_COEF!S454~BOM_COEF!T454~BOM_COEF!U454~BOM_COEF!V454~BOM_COEF!W454~BOM_COEF!X454~BOM_COEF!Y454~BOM_COEF!Z454~BOM_COEF!AA454),1,1,INDEX(P_VAL,MATCH("AÑO_DIS",P_ID,0))-2025)</f>
        <v>0.08</v>
      </c>
      <c r="G136" s="24" t="s">
        <v>2281</v>
      </c>
      <c r="H136" s="42" t="n">
        <f aca="false">BOM_COEF!R454*DEMANDA!F24</f>
        <v>1.4110202336</v>
      </c>
      <c r="I136" s="42" t="n">
        <f aca="false">BOM_COEF!S454*DEMANDA!G24</f>
        <v>6.879025552</v>
      </c>
      <c r="J136" s="42" t="n">
        <f aca="false">BOM_COEF!T454*DEMANDA!H24</f>
        <v>14.949565384</v>
      </c>
      <c r="K136" s="42" t="n">
        <f aca="false">BOM_COEF!U454*DEMANDA!I24</f>
        <v>26.926689664</v>
      </c>
      <c r="L136" s="42" t="n">
        <f aca="false">BOM_COEF!V454*DEMANDA!J24</f>
        <v>38.730607816</v>
      </c>
      <c r="M136" s="42" t="n">
        <f aca="false">BOM_COEF!W454*DEMANDA!K24</f>
        <v>51.457630832</v>
      </c>
      <c r="N136" s="42" t="n">
        <f aca="false">BOM_COEF!X454*DEMANDA!L24</f>
        <v>63.394539384</v>
      </c>
      <c r="O136" s="42" t="n">
        <f aca="false">BOM_COEF!Y454*DEMANDA!M24</f>
        <v>71.17421656</v>
      </c>
      <c r="P136" s="42" t="n">
        <f aca="false">BOM_COEF!Z454*DEMANDA!N24</f>
        <v>77.22488876</v>
      </c>
      <c r="Q136" s="42" t="n">
        <f aca="false">BOM_COEF!AA454*DEMANDA!O24</f>
        <v>83.35517616</v>
      </c>
      <c r="R136" s="24" t="s">
        <v>3122</v>
      </c>
    </row>
    <row r="137" customFormat="false" ht="15" hidden="false" customHeight="false" outlineLevel="1" collapsed="false">
      <c r="A137" s="24" t="n">
        <v>1</v>
      </c>
      <c r="B137" s="24" t="s">
        <v>510</v>
      </c>
      <c r="C137" s="40" t="s">
        <v>3123</v>
      </c>
      <c r="D137" s="24" t="s">
        <v>82</v>
      </c>
      <c r="E137" s="24" t="s">
        <v>300</v>
      </c>
      <c r="F137" s="41" t="n">
        <f aca="false">INDEX((BOM_COEF!R469~BOM_COEF!S469~BOM_COEF!T469~BOM_COEF!U469~BOM_COEF!V469~BOM_COEF!W469~BOM_COEF!X469~BOM_COEF!Y469~BOM_COEF!Z469~BOM_COEF!AA469),1,1,INDEX(P_VAL,MATCH("AÑO_DIS",P_ID,0))-2025)</f>
        <v>0.08</v>
      </c>
      <c r="G137" s="24" t="s">
        <v>2281</v>
      </c>
      <c r="H137" s="42" t="n">
        <f aca="false">BOM_COEF!R469*DEMANDA!F25</f>
        <v>3.1042445136</v>
      </c>
      <c r="I137" s="42" t="n">
        <f aca="false">BOM_COEF!S469*DEMANDA!G25</f>
        <v>15.133856216</v>
      </c>
      <c r="J137" s="42" t="n">
        <f aca="false">BOM_COEF!T469*DEMANDA!H25</f>
        <v>32.88904384</v>
      </c>
      <c r="K137" s="42" t="n">
        <f aca="false">BOM_COEF!U469*DEMANDA!I25</f>
        <v>59.238717256</v>
      </c>
      <c r="L137" s="42" t="n">
        <f aca="false">BOM_COEF!V469*DEMANDA!J25</f>
        <v>85.2073372</v>
      </c>
      <c r="M137" s="42" t="n">
        <f aca="false">BOM_COEF!W469*DEMANDA!K25</f>
        <v>113.20678784</v>
      </c>
      <c r="N137" s="42" t="n">
        <f aca="false">BOM_COEF!X469*DEMANDA!L25</f>
        <v>139.46798664</v>
      </c>
      <c r="O137" s="42" t="n">
        <f aca="false">BOM_COEF!Y469*DEMANDA!M25</f>
        <v>156.5832764</v>
      </c>
      <c r="P137" s="42" t="n">
        <f aca="false">BOM_COEF!Z469*DEMANDA!N25</f>
        <v>169.89475528</v>
      </c>
      <c r="Q137" s="42" t="n">
        <f aca="false">BOM_COEF!AA469*DEMANDA!O25</f>
        <v>183.38138744</v>
      </c>
      <c r="R137" s="24" t="s">
        <v>3124</v>
      </c>
    </row>
    <row r="138" customFormat="false" ht="15" hidden="false" customHeight="false" outlineLevel="1" collapsed="false">
      <c r="A138" s="24" t="n">
        <v>1</v>
      </c>
      <c r="B138" s="24" t="s">
        <v>510</v>
      </c>
      <c r="C138" s="40" t="s">
        <v>3125</v>
      </c>
      <c r="D138" s="24" t="s">
        <v>82</v>
      </c>
      <c r="E138" s="24" t="s">
        <v>366</v>
      </c>
      <c r="F138" s="41" t="n">
        <f aca="false">INDEX((BOM_COEF!R469~BOM_COEF!S469~BOM_COEF!T469~BOM_COEF!U469~BOM_COEF!V469~BOM_COEF!W469~BOM_COEF!X469~BOM_COEF!Y469~BOM_COEF!Z469~BOM_COEF!AA469),1,1,INDEX(P_VAL,MATCH("AÑO_DIS",P_ID,0))-2025)</f>
        <v>0.08</v>
      </c>
      <c r="G138" s="24" t="s">
        <v>2281</v>
      </c>
      <c r="H138" s="42" t="n">
        <f aca="false">BOM_COEF!R469*DEMANDA!F47</f>
        <v>0.08</v>
      </c>
      <c r="I138" s="42" t="n">
        <f aca="false">BOM_COEF!S469*DEMANDA!G47</f>
        <v>0.24</v>
      </c>
      <c r="J138" s="42" t="n">
        <f aca="false">BOM_COEF!T469*DEMANDA!H47</f>
        <v>0.56</v>
      </c>
      <c r="K138" s="42" t="n">
        <f aca="false">BOM_COEF!U469*DEMANDA!I47</f>
        <v>0.96</v>
      </c>
      <c r="L138" s="42" t="n">
        <f aca="false">BOM_COEF!V469*DEMANDA!J47</f>
        <v>1.36</v>
      </c>
      <c r="M138" s="42" t="n">
        <f aca="false">BOM_COEF!W469*DEMANDA!K47</f>
        <v>1.84</v>
      </c>
      <c r="N138" s="42" t="n">
        <f aca="false">BOM_COEF!X469*DEMANDA!L47</f>
        <v>2.24</v>
      </c>
      <c r="O138" s="42" t="n">
        <f aca="false">BOM_COEF!Y469*DEMANDA!M47</f>
        <v>2.48</v>
      </c>
      <c r="P138" s="42" t="n">
        <f aca="false">BOM_COEF!Z469*DEMANDA!N47</f>
        <v>2.72</v>
      </c>
      <c r="Q138" s="42" t="n">
        <f aca="false">BOM_COEF!AA469*DEMANDA!O47</f>
        <v>2.88</v>
      </c>
      <c r="R138" s="24" t="s">
        <v>3124</v>
      </c>
    </row>
    <row r="139" customFormat="false" ht="15" hidden="false" customHeight="false" outlineLevel="1" collapsed="false">
      <c r="A139" s="24" t="n">
        <v>1</v>
      </c>
      <c r="B139" s="24" t="s">
        <v>510</v>
      </c>
      <c r="C139" s="40" t="s">
        <v>3126</v>
      </c>
      <c r="D139" s="24" t="s">
        <v>82</v>
      </c>
      <c r="E139" s="24" t="s">
        <v>303</v>
      </c>
      <c r="F139" s="41" t="n">
        <f aca="false">INDEX((BOM_COEF!R484~BOM_COEF!S484~BOM_COEF!T484~BOM_COEF!U484~BOM_COEF!V484~BOM_COEF!W484~BOM_COEF!X484~BOM_COEF!Y484~BOM_COEF!Z484~BOM_COEF!AA484),1,1,INDEX(P_VAL,MATCH("AÑO_DIS",P_ID,0))-2025)</f>
        <v>0.08</v>
      </c>
      <c r="G139" s="24" t="s">
        <v>2281</v>
      </c>
      <c r="H139" s="42" t="n">
        <f aca="false">BOM_COEF!R484*DEMANDA!F26</f>
        <v>0.67728971208</v>
      </c>
      <c r="I139" s="42" t="n">
        <f aca="false">BOM_COEF!S484*DEMANDA!G26</f>
        <v>3.3019322648</v>
      </c>
      <c r="J139" s="42" t="n">
        <f aca="false">BOM_COEF!T484*DEMANDA!H26</f>
        <v>7.1757913832</v>
      </c>
      <c r="K139" s="42" t="n">
        <f aca="false">BOM_COEF!U484*DEMANDA!I26</f>
        <v>12.92481104</v>
      </c>
      <c r="L139" s="42" t="n">
        <f aca="false">BOM_COEF!V484*DEMANDA!J26</f>
        <v>18.590691752</v>
      </c>
      <c r="M139" s="42" t="n">
        <f aca="false">BOM_COEF!W484*DEMANDA!K26</f>
        <v>24.6996628</v>
      </c>
      <c r="N139" s="42" t="n">
        <f aca="false">BOM_COEF!X484*DEMANDA!L26</f>
        <v>30.429378904</v>
      </c>
      <c r="O139" s="42" t="n">
        <f aca="false">BOM_COEF!Y484*DEMANDA!M26</f>
        <v>34.163623944</v>
      </c>
      <c r="P139" s="42" t="n">
        <f aca="false">BOM_COEF!Z484*DEMANDA!N26</f>
        <v>37.067946608</v>
      </c>
      <c r="Q139" s="42" t="n">
        <f aca="false">BOM_COEF!AA484*DEMANDA!O26</f>
        <v>40.010484536</v>
      </c>
      <c r="R139" s="24" t="s">
        <v>3127</v>
      </c>
    </row>
    <row r="140" customFormat="false" ht="15" hidden="false" customHeight="false" outlineLevel="1" collapsed="false">
      <c r="A140" s="24" t="n">
        <v>1</v>
      </c>
      <c r="B140" s="24" t="s">
        <v>510</v>
      </c>
      <c r="C140" s="40" t="s">
        <v>3128</v>
      </c>
      <c r="D140" s="24" t="s">
        <v>82</v>
      </c>
      <c r="E140" s="24" t="s">
        <v>306</v>
      </c>
      <c r="F140" s="41" t="n">
        <f aca="false">INDEX((BOM_COEF!R499~BOM_COEF!S499~BOM_COEF!T499~BOM_COEF!U499~BOM_COEF!V499~BOM_COEF!W499~BOM_COEF!X499~BOM_COEF!Y499~BOM_COEF!Z499~BOM_COEF!AA499),1,1,INDEX(P_VAL,MATCH("AÑO_DIS",P_ID,0))-2025)</f>
        <v>0.08</v>
      </c>
      <c r="G140" s="24" t="s">
        <v>2281</v>
      </c>
      <c r="H140" s="42" t="n">
        <f aca="false">BOM_COEF!R499*DEMANDA!F27</f>
        <v>0.45152647472</v>
      </c>
      <c r="I140" s="42" t="n">
        <f aca="false">BOM_COEF!S499*DEMANDA!G27</f>
        <v>2.2012881768</v>
      </c>
      <c r="J140" s="42" t="n">
        <f aca="false">BOM_COEF!T499*DEMANDA!H27</f>
        <v>4.7838609224</v>
      </c>
      <c r="K140" s="42" t="n">
        <f aca="false">BOM_COEF!U499*DEMANDA!I27</f>
        <v>8.616540688</v>
      </c>
      <c r="L140" s="42" t="n">
        <f aca="false">BOM_COEF!V499*DEMANDA!J27</f>
        <v>12.393794504</v>
      </c>
      <c r="M140" s="42" t="n">
        <f aca="false">BOM_COEF!W499*DEMANDA!K27</f>
        <v>16.466441864</v>
      </c>
      <c r="N140" s="42" t="n">
        <f aca="false">BOM_COEF!X499*DEMANDA!L27</f>
        <v>20.2862526</v>
      </c>
      <c r="O140" s="42" t="n">
        <f aca="false">BOM_COEF!Y499*DEMANDA!M27</f>
        <v>22.775749296</v>
      </c>
      <c r="P140" s="42" t="n">
        <f aca="false">BOM_COEF!Z499*DEMANDA!N27</f>
        <v>24.7119644</v>
      </c>
      <c r="Q140" s="42" t="n">
        <f aca="false">BOM_COEF!AA499*DEMANDA!O27</f>
        <v>26.67365636</v>
      </c>
      <c r="R140" s="24" t="s">
        <v>3129</v>
      </c>
    </row>
    <row r="141" customFormat="false" ht="15" hidden="false" customHeight="false" outlineLevel="1" collapsed="false">
      <c r="A141" s="24" t="n">
        <v>1</v>
      </c>
      <c r="B141" s="24" t="s">
        <v>510</v>
      </c>
      <c r="C141" s="40" t="s">
        <v>3130</v>
      </c>
      <c r="D141" s="24" t="s">
        <v>82</v>
      </c>
      <c r="E141" s="24" t="s">
        <v>369</v>
      </c>
      <c r="F141" s="41" t="n">
        <f aca="false">INDEX((BOM_COEF!R499~BOM_COEF!S499~BOM_COEF!T499~BOM_COEF!U499~BOM_COEF!V499~BOM_COEF!W499~BOM_COEF!X499~BOM_COEF!Y499~BOM_COEF!Z499~BOM_COEF!AA499),1,1,INDEX(P_VAL,MATCH("AÑO_DIS",P_ID,0))-2025)</f>
        <v>0.08</v>
      </c>
      <c r="G141" s="24" t="s">
        <v>2281</v>
      </c>
      <c r="H141" s="42" t="n">
        <f aca="false">BOM_COEF!R499*DEMANDA!F48</f>
        <v>0.08</v>
      </c>
      <c r="I141" s="42" t="n">
        <f aca="false">BOM_COEF!S499*DEMANDA!G48</f>
        <v>0.08</v>
      </c>
      <c r="J141" s="42" t="n">
        <f aca="false">BOM_COEF!T499*DEMANDA!H48</f>
        <v>0.16</v>
      </c>
      <c r="K141" s="42" t="n">
        <f aca="false">BOM_COEF!U499*DEMANDA!I48</f>
        <v>0.24</v>
      </c>
      <c r="L141" s="42" t="n">
        <f aca="false">BOM_COEF!V499*DEMANDA!J48</f>
        <v>0.4</v>
      </c>
      <c r="M141" s="42" t="n">
        <f aca="false">BOM_COEF!W499*DEMANDA!K48</f>
        <v>0.48</v>
      </c>
      <c r="N141" s="42" t="n">
        <f aca="false">BOM_COEF!X499*DEMANDA!L48</f>
        <v>0.56</v>
      </c>
      <c r="O141" s="42" t="n">
        <f aca="false">BOM_COEF!Y499*DEMANDA!M48</f>
        <v>0.64</v>
      </c>
      <c r="P141" s="42" t="n">
        <f aca="false">BOM_COEF!Z499*DEMANDA!N48</f>
        <v>0.72</v>
      </c>
      <c r="Q141" s="42" t="n">
        <f aca="false">BOM_COEF!AA499*DEMANDA!O48</f>
        <v>0.72</v>
      </c>
      <c r="R141" s="24" t="s">
        <v>3129</v>
      </c>
    </row>
    <row r="142" customFormat="false" ht="15" hidden="false" customHeight="false" outlineLevel="1" collapsed="false">
      <c r="A142" s="24" t="n">
        <v>1</v>
      </c>
      <c r="B142" s="24" t="s">
        <v>510</v>
      </c>
      <c r="C142" s="40" t="s">
        <v>3131</v>
      </c>
      <c r="D142" s="24" t="s">
        <v>82</v>
      </c>
      <c r="E142" s="24" t="s">
        <v>372</v>
      </c>
      <c r="F142" s="41" t="n">
        <f aca="false">INDEX((BOM_COEF!R85~BOM_COEF!S85~BOM_COEF!T85~BOM_COEF!U85~BOM_COEF!V85~BOM_COEF!W85~BOM_COEF!X85~BOM_COEF!Y85~BOM_COEF!Z85~BOM_COEF!AA85),1,1,INDEX(P_VAL,MATCH("AÑO_DIS",P_ID,0))-2025)</f>
        <v>1</v>
      </c>
      <c r="G142" s="24" t="s">
        <v>2281</v>
      </c>
      <c r="H142" s="42" t="n">
        <f aca="false">BOM_COEF!R85*DEMANDA!F49</f>
        <v>63</v>
      </c>
      <c r="I142" s="42" t="n">
        <f aca="false">BOM_COEF!S85*DEMANDA!G49</f>
        <v>222.15</v>
      </c>
      <c r="J142" s="42" t="n">
        <f aca="false">BOM_COEF!T85*DEMANDA!H49</f>
        <v>285.1</v>
      </c>
      <c r="K142" s="42" t="n">
        <f aca="false">BOM_COEF!U85*DEMANDA!I49</f>
        <v>499.65</v>
      </c>
      <c r="L142" s="42" t="n">
        <f aca="false">BOM_COEF!V85*DEMANDA!J49</f>
        <v>541.25</v>
      </c>
      <c r="M142" s="42" t="n">
        <f aca="false">BOM_COEF!W85*DEMANDA!K49</f>
        <v>632.75</v>
      </c>
      <c r="N142" s="42" t="n">
        <f aca="false">BOM_COEF!X85*DEMANDA!L49</f>
        <v>610.6</v>
      </c>
      <c r="O142" s="42" t="n">
        <f aca="false">BOM_COEF!Y85*DEMANDA!M49</f>
        <v>493.95</v>
      </c>
      <c r="P142" s="42" t="n">
        <f aca="false">BOM_COEF!Z85*DEMANDA!N49</f>
        <v>367.2</v>
      </c>
      <c r="Q142" s="42" t="n">
        <f aca="false">BOM_COEF!AA85*DEMANDA!O49</f>
        <v>382.2</v>
      </c>
      <c r="R142" s="24" t="s">
        <v>2398</v>
      </c>
    </row>
    <row r="143" customFormat="false" ht="15" hidden="false" customHeight="false" outlineLevel="1" collapsed="false">
      <c r="A143" s="24" t="n">
        <v>1</v>
      </c>
      <c r="B143" s="24" t="s">
        <v>510</v>
      </c>
      <c r="C143" s="40" t="s">
        <v>3132</v>
      </c>
      <c r="D143" s="24" t="s">
        <v>82</v>
      </c>
      <c r="E143" s="24" t="s">
        <v>375</v>
      </c>
      <c r="F143" s="41" t="n">
        <f aca="false">INDEX((BOM_COEF!R126~BOM_COEF!S126~BOM_COEF!T126~BOM_COEF!U126~BOM_COEF!V126~BOM_COEF!W126~BOM_COEF!X126~BOM_COEF!Y126~BOM_COEF!Z126~BOM_COEF!AA126),1,1,INDEX(P_VAL,MATCH("AÑO_DIS",P_ID,0))-2025)</f>
        <v>1</v>
      </c>
      <c r="G143" s="24" t="s">
        <v>2281</v>
      </c>
      <c r="H143" s="42" t="n">
        <f aca="false">BOM_COEF!R126*DEMANDA!F50</f>
        <v>2</v>
      </c>
      <c r="I143" s="42" t="n">
        <f aca="false">BOM_COEF!S126*DEMANDA!G50</f>
        <v>3.1</v>
      </c>
      <c r="J143" s="42" t="n">
        <f aca="false">BOM_COEF!T126*DEMANDA!H50</f>
        <v>7.25</v>
      </c>
      <c r="K143" s="42" t="n">
        <f aca="false">BOM_COEF!U126*DEMANDA!I50</f>
        <v>10.6</v>
      </c>
      <c r="L143" s="42" t="n">
        <f aca="false">BOM_COEF!V126*DEMANDA!J50</f>
        <v>10.1</v>
      </c>
      <c r="M143" s="42" t="n">
        <f aca="false">BOM_COEF!W126*DEMANDA!K50</f>
        <v>12.55</v>
      </c>
      <c r="N143" s="42" t="n">
        <f aca="false">BOM_COEF!X126*DEMANDA!L50</f>
        <v>11.1</v>
      </c>
      <c r="O143" s="42" t="n">
        <f aca="false">BOM_COEF!Y126*DEMANDA!M50</f>
        <v>7.55</v>
      </c>
      <c r="P143" s="42" t="n">
        <f aca="false">BOM_COEF!Z126*DEMANDA!N50</f>
        <v>7.8</v>
      </c>
      <c r="Q143" s="42" t="n">
        <f aca="false">BOM_COEF!AA126*DEMANDA!O50</f>
        <v>7.05</v>
      </c>
      <c r="R143" s="24" t="s">
        <v>2400</v>
      </c>
    </row>
    <row r="144" customFormat="false" ht="15" hidden="false" customHeight="false" outlineLevel="1" collapsed="false">
      <c r="A144" s="24" t="n">
        <v>1</v>
      </c>
      <c r="B144" s="24" t="s">
        <v>510</v>
      </c>
      <c r="C144" s="40" t="s">
        <v>3133</v>
      </c>
      <c r="D144" s="24" t="s">
        <v>82</v>
      </c>
      <c r="E144" s="24" t="s">
        <v>402</v>
      </c>
      <c r="F144" s="41" t="n">
        <f aca="false">INDEX((BOM_COEF!R217~BOM_COEF!S217~BOM_COEF!T217~BOM_COEF!U217~BOM_COEF!V217~BOM_COEF!W217~BOM_COEF!X217~BOM_COEF!Y217~BOM_COEF!Z217~BOM_COEF!AA217),1,1,INDEX(P_VAL,MATCH("AÑO_DIS",P_ID,0))-2025)</f>
        <v>1</v>
      </c>
      <c r="G144" s="24" t="s">
        <v>2281</v>
      </c>
      <c r="H144" s="42" t="n">
        <f aca="false">BOM_COEF!R217*DEMANDA!F59</f>
        <v>1</v>
      </c>
      <c r="I144" s="42" t="n">
        <f aca="false">BOM_COEF!S217*DEMANDA!G59</f>
        <v>2.05</v>
      </c>
      <c r="J144" s="42" t="n">
        <f aca="false">BOM_COEF!T217*DEMANDA!H59</f>
        <v>4.15</v>
      </c>
      <c r="K144" s="42" t="n">
        <f aca="false">BOM_COEF!U217*DEMANDA!I59</f>
        <v>5.35</v>
      </c>
      <c r="L144" s="42" t="n">
        <f aca="false">BOM_COEF!V217*DEMANDA!J59</f>
        <v>5.6</v>
      </c>
      <c r="M144" s="42" t="n">
        <f aca="false">BOM_COEF!W217*DEMANDA!K59</f>
        <v>6.85</v>
      </c>
      <c r="N144" s="42" t="n">
        <f aca="false">BOM_COEF!X217*DEMANDA!L59</f>
        <v>6.15</v>
      </c>
      <c r="O144" s="42" t="n">
        <f aca="false">BOM_COEF!Y217*DEMANDA!M59</f>
        <v>4.4</v>
      </c>
      <c r="P144" s="42" t="n">
        <f aca="false">BOM_COEF!Z217*DEMANDA!N59</f>
        <v>4.55</v>
      </c>
      <c r="Q144" s="42" t="n">
        <f aca="false">BOM_COEF!AA217*DEMANDA!O59</f>
        <v>3.7</v>
      </c>
      <c r="R144" s="24" t="s">
        <v>2775</v>
      </c>
    </row>
    <row r="145" customFormat="false" ht="15" hidden="false" customHeight="false" outlineLevel="1" collapsed="false">
      <c r="A145" s="24" t="n">
        <v>1</v>
      </c>
      <c r="B145" s="24" t="s">
        <v>510</v>
      </c>
      <c r="C145" s="40" t="s">
        <v>3134</v>
      </c>
      <c r="D145" s="24" t="s">
        <v>82</v>
      </c>
      <c r="E145" s="24" t="s">
        <v>405</v>
      </c>
      <c r="F145" s="41" t="n">
        <f aca="false">INDEX((BOM_COEF!R318~BOM_COEF!S318~BOM_COEF!T318~BOM_COEF!U318~BOM_COEF!V318~BOM_COEF!W318~BOM_COEF!X318~BOM_COEF!Y318~BOM_COEF!Z318~BOM_COEF!AA318),1,1,INDEX(P_VAL,MATCH("AÑO_DIS",P_ID,0))-2025)</f>
        <v>1</v>
      </c>
      <c r="G145" s="24" t="s">
        <v>2281</v>
      </c>
      <c r="H145" s="42" t="n">
        <f aca="false">BOM_COEF!R318*DEMANDA!F60</f>
        <v>1</v>
      </c>
      <c r="I145" s="42" t="n">
        <f aca="false">BOM_COEF!S318*DEMANDA!G60</f>
        <v>0.05</v>
      </c>
      <c r="J145" s="42" t="n">
        <f aca="false">BOM_COEF!T318*DEMANDA!H60</f>
        <v>1.05</v>
      </c>
      <c r="K145" s="42" t="n">
        <f aca="false">BOM_COEF!U318*DEMANDA!I60</f>
        <v>1.1</v>
      </c>
      <c r="L145" s="42" t="n">
        <f aca="false">BOM_COEF!V318*DEMANDA!J60</f>
        <v>2.15</v>
      </c>
      <c r="M145" s="42" t="n">
        <f aca="false">BOM_COEF!W318*DEMANDA!K60</f>
        <v>1.25</v>
      </c>
      <c r="N145" s="42" t="n">
        <f aca="false">BOM_COEF!X318*DEMANDA!L60</f>
        <v>1.3</v>
      </c>
      <c r="O145" s="42" t="n">
        <f aca="false">BOM_COEF!Y318*DEMANDA!M60</f>
        <v>1.35</v>
      </c>
      <c r="P145" s="42" t="n">
        <f aca="false">BOM_COEF!Z318*DEMANDA!N60</f>
        <v>1.4</v>
      </c>
      <c r="Q145" s="42" t="n">
        <f aca="false">BOM_COEF!AA318*DEMANDA!O60</f>
        <v>0.45</v>
      </c>
      <c r="R145" s="24" t="s">
        <v>2779</v>
      </c>
    </row>
    <row r="146" customFormat="false" ht="15" hidden="false" customHeight="false" outlineLevel="0" collapsed="false">
      <c r="A146" s="38" t="n">
        <v>0</v>
      </c>
      <c r="B146" s="38" t="s">
        <v>661</v>
      </c>
      <c r="C146" s="38" t="s">
        <v>2137</v>
      </c>
      <c r="D146" s="38" t="s">
        <v>82</v>
      </c>
      <c r="E146" s="38"/>
      <c r="F146" s="38"/>
      <c r="G146" s="38"/>
      <c r="H146" s="39" t="n">
        <f aca="false">SUM(H147:H147)</f>
        <v>16.499833375</v>
      </c>
      <c r="I146" s="39" t="n">
        <f aca="false">SUM(I147:I147)</f>
        <v>64.3707012</v>
      </c>
      <c r="J146" s="39" t="n">
        <f aca="false">SUM(J147:J147)</f>
        <v>147.3584608</v>
      </c>
      <c r="K146" s="39" t="n">
        <f aca="false">SUM(K147:K147)</f>
        <v>271.30216345</v>
      </c>
      <c r="L146" s="39" t="n">
        <f aca="false">SUM(L147:L147)</f>
        <v>392.5437903</v>
      </c>
      <c r="M146" s="39" t="n">
        <f aca="false">SUM(M147:M147)</f>
        <v>521.1971825</v>
      </c>
      <c r="N146" s="39" t="n">
        <f aca="false">SUM(N147:N147)</f>
        <v>640.4947855</v>
      </c>
      <c r="O146" s="39" t="n">
        <f aca="false">SUM(O147:O147)</f>
        <v>713.1534155</v>
      </c>
      <c r="P146" s="39" t="n">
        <f aca="false">SUM(P147:P147)</f>
        <v>771.6434915</v>
      </c>
      <c r="Q146" s="39" t="n">
        <f aca="false">SUM(Q147:Q147)</f>
        <v>831.0380585</v>
      </c>
      <c r="R146" s="38"/>
    </row>
    <row r="147" customFormat="false" ht="15" hidden="false" customHeight="false" outlineLevel="1" collapsed="false">
      <c r="A147" s="24" t="n">
        <v>1</v>
      </c>
      <c r="B147" s="24" t="s">
        <v>661</v>
      </c>
      <c r="C147" s="40" t="s">
        <v>3135</v>
      </c>
      <c r="D147" s="24" t="s">
        <v>82</v>
      </c>
      <c r="E147" s="24" t="s">
        <v>286</v>
      </c>
      <c r="F147" s="41" t="n">
        <f aca="false">INDEX((BOM_COEF!R410~BOM_COEF!S410~BOM_COEF!T410~BOM_COEF!U410~BOM_COEF!V410~BOM_COEF!W410~BOM_COEF!X410~BOM_COEF!Y410~BOM_COEF!Z410~BOM_COEF!AA410),1,1,INDEX(P_VAL,MATCH("AÑO_DIS",P_ID,0))-2025)</f>
        <v>0.05</v>
      </c>
      <c r="G147" s="24" t="s">
        <v>2281</v>
      </c>
      <c r="H147" s="42" t="n">
        <f aca="false">BOM_COEF!R410*DEMANDA!F21</f>
        <v>16.499833375</v>
      </c>
      <c r="I147" s="42" t="n">
        <f aca="false">BOM_COEF!S410*DEMANDA!G21</f>
        <v>64.3707012</v>
      </c>
      <c r="J147" s="42" t="n">
        <f aca="false">BOM_COEF!T410*DEMANDA!H21</f>
        <v>147.3584608</v>
      </c>
      <c r="K147" s="42" t="n">
        <f aca="false">BOM_COEF!U410*DEMANDA!I21</f>
        <v>271.30216345</v>
      </c>
      <c r="L147" s="42" t="n">
        <f aca="false">BOM_COEF!V410*DEMANDA!J21</f>
        <v>392.5437903</v>
      </c>
      <c r="M147" s="42" t="n">
        <f aca="false">BOM_COEF!W410*DEMANDA!K21</f>
        <v>521.1971825</v>
      </c>
      <c r="N147" s="42" t="n">
        <f aca="false">BOM_COEF!X410*DEMANDA!L21</f>
        <v>640.4947855</v>
      </c>
      <c r="O147" s="42" t="n">
        <f aca="false">BOM_COEF!Y410*DEMANDA!M21</f>
        <v>713.1534155</v>
      </c>
      <c r="P147" s="42" t="n">
        <f aca="false">BOM_COEF!Z410*DEMANDA!N21</f>
        <v>771.6434915</v>
      </c>
      <c r="Q147" s="42" t="n">
        <f aca="false">BOM_COEF!AA410*DEMANDA!O21</f>
        <v>831.0380585</v>
      </c>
      <c r="R147" s="24" t="s">
        <v>3136</v>
      </c>
    </row>
    <row r="148" customFormat="false" ht="15" hidden="false" customHeight="false" outlineLevel="0" collapsed="false">
      <c r="A148" s="38" t="n">
        <v>0</v>
      </c>
      <c r="B148" s="38" t="s">
        <v>756</v>
      </c>
      <c r="C148" s="38" t="s">
        <v>2138</v>
      </c>
      <c r="D148" s="38" t="s">
        <v>82</v>
      </c>
      <c r="E148" s="38"/>
      <c r="F148" s="38"/>
      <c r="G148" s="38"/>
      <c r="H148" s="39" t="n">
        <f aca="false">SUM(H149:H151)</f>
        <v>163.66970485</v>
      </c>
      <c r="I148" s="39" t="n">
        <f aca="false">SUM(I149:I151)</f>
        <v>628.880926</v>
      </c>
      <c r="J148" s="39" t="n">
        <f aca="false">SUM(J149:J151)</f>
        <v>1201.5428505</v>
      </c>
      <c r="K148" s="39" t="n">
        <f aca="false">SUM(K149:K151)</f>
        <v>2231.1784175</v>
      </c>
      <c r="L148" s="39" t="n">
        <f aca="false">SUM(L149:L151)</f>
        <v>3037.3785945</v>
      </c>
      <c r="M148" s="39" t="n">
        <f aca="false">SUM(M149:M151)</f>
        <v>3952.502138</v>
      </c>
      <c r="N148" s="39" t="n">
        <f aca="false">SUM(N149:N151)</f>
        <v>4675.6050195</v>
      </c>
      <c r="O148" s="39" t="n">
        <f aca="false">SUM(O149:O151)</f>
        <v>5003.01062</v>
      </c>
      <c r="P148" s="39" t="n">
        <f aca="false">SUM(P149:P151)</f>
        <v>5230.5833805</v>
      </c>
      <c r="Q148" s="39" t="n">
        <f aca="false">SUM(Q149:Q151)</f>
        <v>5606.35881</v>
      </c>
      <c r="R148" s="38"/>
    </row>
    <row r="149" customFormat="false" ht="15" hidden="false" customHeight="false" outlineLevel="1" collapsed="false">
      <c r="A149" s="24" t="n">
        <v>1</v>
      </c>
      <c r="B149" s="24" t="s">
        <v>756</v>
      </c>
      <c r="C149" s="40" t="s">
        <v>3137</v>
      </c>
      <c r="D149" s="24" t="s">
        <v>82</v>
      </c>
      <c r="E149" s="24" t="s">
        <v>290</v>
      </c>
      <c r="F149" s="41" t="n">
        <f aca="false">INDEX((BOM_COEF!R425~BOM_COEF!S425~BOM_COEF!T425~BOM_COEF!U425~BOM_COEF!V425~BOM_COEF!W425~BOM_COEF!X425~BOM_COEF!Y425~BOM_COEF!Z425~BOM_COEF!AA425),1,1,INDEX(P_VAL,MATCH("AÑO_DIS",P_ID,0))-2025)</f>
        <v>0.05</v>
      </c>
      <c r="G149" s="24" t="s">
        <v>2281</v>
      </c>
      <c r="H149" s="42" t="n">
        <f aca="false">BOM_COEF!R425*DEMANDA!F22</f>
        <v>97.51970485</v>
      </c>
      <c r="I149" s="42" t="n">
        <f aca="false">BOM_COEF!S425*DEMANDA!G22</f>
        <v>392.630926</v>
      </c>
      <c r="J149" s="42" t="n">
        <f aca="false">BOM_COEF!T425*DEMANDA!H22</f>
        <v>888.7928505</v>
      </c>
      <c r="K149" s="42" t="n">
        <f aca="false">BOM_COEF!U425*DEMANDA!I22</f>
        <v>1680.2784175</v>
      </c>
      <c r="L149" s="42" t="n">
        <f aca="false">BOM_COEF!V425*DEMANDA!J22</f>
        <v>2420.3785945</v>
      </c>
      <c r="M149" s="42" t="n">
        <f aca="false">BOM_COEF!W425*DEMANDA!K22</f>
        <v>3216.152138</v>
      </c>
      <c r="N149" s="42" t="n">
        <f aca="false">BOM_COEF!X425*DEMANDA!L22</f>
        <v>3936.0550195</v>
      </c>
      <c r="O149" s="42" t="n">
        <f aca="false">BOM_COEF!Y425*DEMANDA!M22</f>
        <v>4361.86062</v>
      </c>
      <c r="P149" s="42" t="n">
        <f aca="false">BOM_COEF!Z425*DEMANDA!N22</f>
        <v>4705.1833805</v>
      </c>
      <c r="Q149" s="42" t="n">
        <f aca="false">BOM_COEF!AA425*DEMANDA!O22</f>
        <v>5054.75881</v>
      </c>
      <c r="R149" s="24" t="s">
        <v>3138</v>
      </c>
    </row>
    <row r="150" customFormat="false" ht="15" hidden="false" customHeight="false" outlineLevel="1" collapsed="false">
      <c r="A150" s="24" t="n">
        <v>1</v>
      </c>
      <c r="B150" s="24" t="s">
        <v>756</v>
      </c>
      <c r="C150" s="40" t="s">
        <v>3139</v>
      </c>
      <c r="D150" s="24" t="s">
        <v>82</v>
      </c>
      <c r="E150" s="24" t="s">
        <v>336</v>
      </c>
      <c r="F150" s="41" t="n">
        <f aca="false">INDEX((BOM_COEF!R425~BOM_COEF!S425~BOM_COEF!T425~BOM_COEF!U425~BOM_COEF!V425~BOM_COEF!W425~BOM_COEF!X425~BOM_COEF!Y425~BOM_COEF!Z425~BOM_COEF!AA425),1,1,INDEX(P_VAL,MATCH("AÑO_DIS",P_ID,0))-2025)</f>
        <v>0.05</v>
      </c>
      <c r="G150" s="24" t="s">
        <v>2281</v>
      </c>
      <c r="H150" s="42" t="n">
        <f aca="false">BOM_COEF!R425*DEMANDA!F37</f>
        <v>3.15</v>
      </c>
      <c r="I150" s="42" t="n">
        <f aca="false">BOM_COEF!S425*DEMANDA!G37</f>
        <v>14.1</v>
      </c>
      <c r="J150" s="42" t="n">
        <f aca="false">BOM_COEF!T425*DEMANDA!H37</f>
        <v>27.65</v>
      </c>
      <c r="K150" s="42" t="n">
        <f aca="false">BOM_COEF!U425*DEMANDA!I37</f>
        <v>51.25</v>
      </c>
      <c r="L150" s="42" t="n">
        <f aca="false">BOM_COEF!V425*DEMANDA!J37</f>
        <v>75.75</v>
      </c>
      <c r="M150" s="42" t="n">
        <f aca="false">BOM_COEF!W425*DEMANDA!K37</f>
        <v>103.6</v>
      </c>
      <c r="N150" s="42" t="n">
        <f aca="false">BOM_COEF!X425*DEMANDA!L37</f>
        <v>128.95</v>
      </c>
      <c r="O150" s="42" t="n">
        <f aca="false">BOM_COEF!Y425*DEMANDA!M37</f>
        <v>147.2</v>
      </c>
      <c r="P150" s="42" t="n">
        <f aca="false">BOM_COEF!Z425*DEMANDA!N37</f>
        <v>158.2</v>
      </c>
      <c r="Q150" s="42" t="n">
        <f aca="false">BOM_COEF!AA425*DEMANDA!O37</f>
        <v>169.4</v>
      </c>
      <c r="R150" s="24" t="s">
        <v>3138</v>
      </c>
    </row>
    <row r="151" customFormat="false" ht="15" hidden="false" customHeight="false" outlineLevel="1" collapsed="false">
      <c r="A151" s="24" t="n">
        <v>1</v>
      </c>
      <c r="B151" s="24" t="s">
        <v>756</v>
      </c>
      <c r="C151" s="40" t="s">
        <v>3140</v>
      </c>
      <c r="D151" s="24" t="s">
        <v>82</v>
      </c>
      <c r="E151" s="24" t="s">
        <v>372</v>
      </c>
      <c r="F151" s="41" t="n">
        <f aca="false">INDEX((BOM_COEF!R100~BOM_COEF!S100~BOM_COEF!T100~BOM_COEF!U100~BOM_COEF!V100~BOM_COEF!W100~BOM_COEF!X100~BOM_COEF!Y100~BOM_COEF!Z100~BOM_COEF!AA100),1,1,INDEX(P_VAL,MATCH("AÑO_DIS",P_ID,0))-2025)</f>
        <v>1</v>
      </c>
      <c r="G151" s="24" t="s">
        <v>2281</v>
      </c>
      <c r="H151" s="42" t="n">
        <f aca="false">BOM_COEF!R100*DEMANDA!F49</f>
        <v>63</v>
      </c>
      <c r="I151" s="42" t="n">
        <f aca="false">BOM_COEF!S100*DEMANDA!G49</f>
        <v>222.15</v>
      </c>
      <c r="J151" s="42" t="n">
        <f aca="false">BOM_COEF!T100*DEMANDA!H49</f>
        <v>285.1</v>
      </c>
      <c r="K151" s="42" t="n">
        <f aca="false">BOM_COEF!U100*DEMANDA!I49</f>
        <v>499.65</v>
      </c>
      <c r="L151" s="42" t="n">
        <f aca="false">BOM_COEF!V100*DEMANDA!J49</f>
        <v>541.25</v>
      </c>
      <c r="M151" s="42" t="n">
        <f aca="false">BOM_COEF!W100*DEMANDA!K49</f>
        <v>632.75</v>
      </c>
      <c r="N151" s="42" t="n">
        <f aca="false">BOM_COEF!X100*DEMANDA!L49</f>
        <v>610.6</v>
      </c>
      <c r="O151" s="42" t="n">
        <f aca="false">BOM_COEF!Y100*DEMANDA!M49</f>
        <v>493.95</v>
      </c>
      <c r="P151" s="42" t="n">
        <f aca="false">BOM_COEF!Z100*DEMANDA!N49</f>
        <v>367.2</v>
      </c>
      <c r="Q151" s="42" t="n">
        <f aca="false">BOM_COEF!AA100*DEMANDA!O49</f>
        <v>382.2</v>
      </c>
      <c r="R151" s="24" t="s">
        <v>2406</v>
      </c>
    </row>
    <row r="152" customFormat="false" ht="15" hidden="false" customHeight="false" outlineLevel="0" collapsed="false">
      <c r="A152" s="38" t="n">
        <v>0</v>
      </c>
      <c r="B152" s="38" t="s">
        <v>840</v>
      </c>
      <c r="C152" s="38" t="s">
        <v>2139</v>
      </c>
      <c r="D152" s="38" t="s">
        <v>82</v>
      </c>
      <c r="E152" s="38"/>
      <c r="F152" s="38"/>
      <c r="G152" s="38"/>
      <c r="H152" s="39" t="n">
        <f aca="false">SUM(H153:H155)</f>
        <v>8.017181625</v>
      </c>
      <c r="I152" s="39" t="n">
        <f aca="false">SUM(I153:I155)</f>
        <v>25.235828895</v>
      </c>
      <c r="J152" s="39" t="n">
        <f aca="false">SUM(J153:J155)</f>
        <v>59.09874105</v>
      </c>
      <c r="K152" s="39" t="n">
        <f aca="false">SUM(K153:K155)</f>
        <v>109.7204931</v>
      </c>
      <c r="L152" s="39" t="n">
        <f aca="false">SUM(L153:L155)</f>
        <v>153.8988423</v>
      </c>
      <c r="M152" s="39" t="n">
        <f aca="false">SUM(M153:M155)</f>
        <v>205.1695311</v>
      </c>
      <c r="N152" s="39" t="n">
        <f aca="false">SUM(N153:N155)</f>
        <v>246.8339035</v>
      </c>
      <c r="O152" s="39" t="n">
        <f aca="false">SUM(O153:O155)</f>
        <v>268.5757292</v>
      </c>
      <c r="P152" s="39" t="n">
        <f aca="false">SUM(P153:P155)</f>
        <v>289.4272164</v>
      </c>
      <c r="Q152" s="39" t="n">
        <f aca="false">SUM(Q153:Q155)</f>
        <v>309.59754275</v>
      </c>
      <c r="R152" s="38"/>
    </row>
    <row r="153" customFormat="false" ht="15" hidden="false" customHeight="false" outlineLevel="1" collapsed="false">
      <c r="A153" s="24" t="n">
        <v>1</v>
      </c>
      <c r="B153" s="24" t="s">
        <v>840</v>
      </c>
      <c r="C153" s="40" t="s">
        <v>3141</v>
      </c>
      <c r="D153" s="24" t="s">
        <v>82</v>
      </c>
      <c r="E153" s="24" t="s">
        <v>293</v>
      </c>
      <c r="F153" s="41" t="n">
        <f aca="false">INDEX((BOM_COEF!R440~BOM_COEF!S440~BOM_COEF!T440~BOM_COEF!U440~BOM_COEF!V440~BOM_COEF!W440~BOM_COEF!X440~BOM_COEF!Y440~BOM_COEF!Z440~BOM_COEF!AA440),1,1,INDEX(P_VAL,MATCH("AÑO_DIS",P_ID,0))-2025)</f>
        <v>0.05</v>
      </c>
      <c r="G153" s="24" t="s">
        <v>2281</v>
      </c>
      <c r="H153" s="42" t="n">
        <f aca="false">BOM_COEF!R440*DEMANDA!F23</f>
        <v>5.917181625</v>
      </c>
      <c r="I153" s="42" t="n">
        <f aca="false">BOM_COEF!S440*DEMANDA!G23</f>
        <v>21.885828895</v>
      </c>
      <c r="J153" s="42" t="n">
        <f aca="false">BOM_COEF!T440*DEMANDA!H23</f>
        <v>51.24874105</v>
      </c>
      <c r="K153" s="42" t="n">
        <f aca="false">BOM_COEF!U440*DEMANDA!I23</f>
        <v>98.0204931</v>
      </c>
      <c r="L153" s="42" t="n">
        <f aca="false">BOM_COEF!V440*DEMANDA!J23</f>
        <v>142.2488423</v>
      </c>
      <c r="M153" s="42" t="n">
        <f aca="false">BOM_COEF!W440*DEMANDA!K23</f>
        <v>190.5195311</v>
      </c>
      <c r="N153" s="42" t="n">
        <f aca="false">BOM_COEF!X440*DEMANDA!L23</f>
        <v>233.1839035</v>
      </c>
      <c r="O153" s="42" t="n">
        <f aca="false">BOM_COEF!Y440*DEMANDA!M23</f>
        <v>258.2257292</v>
      </c>
      <c r="P153" s="42" t="n">
        <f aca="false">BOM_COEF!Z440*DEMANDA!N23</f>
        <v>278.5772164</v>
      </c>
      <c r="Q153" s="42" t="n">
        <f aca="false">BOM_COEF!AA440*DEMANDA!O23</f>
        <v>299.29754275</v>
      </c>
      <c r="R153" s="24" t="s">
        <v>3142</v>
      </c>
    </row>
    <row r="154" customFormat="false" ht="15" hidden="false" customHeight="false" outlineLevel="1" collapsed="false">
      <c r="A154" s="24" t="n">
        <v>1</v>
      </c>
      <c r="B154" s="24" t="s">
        <v>840</v>
      </c>
      <c r="C154" s="40" t="s">
        <v>3143</v>
      </c>
      <c r="D154" s="24" t="s">
        <v>82</v>
      </c>
      <c r="E154" s="24" t="s">
        <v>339</v>
      </c>
      <c r="F154" s="41" t="n">
        <f aca="false">INDEX((BOM_COEF!R440~BOM_COEF!S440~BOM_COEF!T440~BOM_COEF!U440~BOM_COEF!V440~BOM_COEF!W440~BOM_COEF!X440~BOM_COEF!Y440~BOM_COEF!Z440~BOM_COEF!AA440),1,1,INDEX(P_VAL,MATCH("AÑO_DIS",P_ID,0))-2025)</f>
        <v>0.05</v>
      </c>
      <c r="G154" s="24" t="s">
        <v>2281</v>
      </c>
      <c r="H154" s="42" t="n">
        <f aca="false">BOM_COEF!R440*DEMANDA!F38</f>
        <v>0.1</v>
      </c>
      <c r="I154" s="42" t="n">
        <f aca="false">BOM_COEF!S440*DEMANDA!G38</f>
        <v>0.25</v>
      </c>
      <c r="J154" s="42" t="n">
        <f aca="false">BOM_COEF!T440*DEMANDA!H38</f>
        <v>0.6</v>
      </c>
      <c r="K154" s="42" t="n">
        <f aca="false">BOM_COEF!U440*DEMANDA!I38</f>
        <v>1.1</v>
      </c>
      <c r="L154" s="42" t="n">
        <f aca="false">BOM_COEF!V440*DEMANDA!J38</f>
        <v>1.55</v>
      </c>
      <c r="M154" s="42" t="n">
        <f aca="false">BOM_COEF!W440*DEMANDA!K38</f>
        <v>2.1</v>
      </c>
      <c r="N154" s="42" t="n">
        <f aca="false">BOM_COEF!X440*DEMANDA!L38</f>
        <v>2.55</v>
      </c>
      <c r="O154" s="42" t="n">
        <f aca="false">BOM_COEF!Y440*DEMANDA!M38</f>
        <v>2.8</v>
      </c>
      <c r="P154" s="42" t="n">
        <f aca="false">BOM_COEF!Z440*DEMANDA!N38</f>
        <v>3.05</v>
      </c>
      <c r="Q154" s="42" t="n">
        <f aca="false">BOM_COEF!AA440*DEMANDA!O38</f>
        <v>3.25</v>
      </c>
      <c r="R154" s="24" t="s">
        <v>3142</v>
      </c>
    </row>
    <row r="155" customFormat="false" ht="15" hidden="false" customHeight="false" outlineLevel="1" collapsed="false">
      <c r="A155" s="24" t="n">
        <v>1</v>
      </c>
      <c r="B155" s="24" t="s">
        <v>840</v>
      </c>
      <c r="C155" s="40" t="s">
        <v>3144</v>
      </c>
      <c r="D155" s="24" t="s">
        <v>82</v>
      </c>
      <c r="E155" s="24" t="s">
        <v>375</v>
      </c>
      <c r="F155" s="41" t="n">
        <f aca="false">INDEX((BOM_COEF!R141~BOM_COEF!S141~BOM_COEF!T141~BOM_COEF!U141~BOM_COEF!V141~BOM_COEF!W141~BOM_COEF!X141~BOM_COEF!Y141~BOM_COEF!Z141~BOM_COEF!AA141),1,1,INDEX(P_VAL,MATCH("AÑO_DIS",P_ID,0))-2025)</f>
        <v>1</v>
      </c>
      <c r="G155" s="24" t="s">
        <v>2281</v>
      </c>
      <c r="H155" s="42" t="n">
        <f aca="false">BOM_COEF!R141*DEMANDA!F50</f>
        <v>2</v>
      </c>
      <c r="I155" s="42" t="n">
        <f aca="false">BOM_COEF!S141*DEMANDA!G50</f>
        <v>3.1</v>
      </c>
      <c r="J155" s="42" t="n">
        <f aca="false">BOM_COEF!T141*DEMANDA!H50</f>
        <v>7.25</v>
      </c>
      <c r="K155" s="42" t="n">
        <f aca="false">BOM_COEF!U141*DEMANDA!I50</f>
        <v>10.6</v>
      </c>
      <c r="L155" s="42" t="n">
        <f aca="false">BOM_COEF!V141*DEMANDA!J50</f>
        <v>10.1</v>
      </c>
      <c r="M155" s="42" t="n">
        <f aca="false">BOM_COEF!W141*DEMANDA!K50</f>
        <v>12.55</v>
      </c>
      <c r="N155" s="42" t="n">
        <f aca="false">BOM_COEF!X141*DEMANDA!L50</f>
        <v>11.1</v>
      </c>
      <c r="O155" s="42" t="n">
        <f aca="false">BOM_COEF!Y141*DEMANDA!M50</f>
        <v>7.55</v>
      </c>
      <c r="P155" s="42" t="n">
        <f aca="false">BOM_COEF!Z141*DEMANDA!N50</f>
        <v>7.8</v>
      </c>
      <c r="Q155" s="42" t="n">
        <f aca="false">BOM_COEF!AA141*DEMANDA!O50</f>
        <v>7.05</v>
      </c>
      <c r="R155" s="24" t="s">
        <v>2408</v>
      </c>
    </row>
    <row r="156" customFormat="false" ht="15" hidden="false" customHeight="false" outlineLevel="0" collapsed="false">
      <c r="A156" s="38" t="n">
        <v>0</v>
      </c>
      <c r="B156" s="38" t="s">
        <v>926</v>
      </c>
      <c r="C156" s="38" t="s">
        <v>2140</v>
      </c>
      <c r="D156" s="38" t="s">
        <v>82</v>
      </c>
      <c r="E156" s="38"/>
      <c r="F156" s="38"/>
      <c r="G156" s="38"/>
      <c r="H156" s="39" t="n">
        <f aca="false">SUM(H157:H157)</f>
        <v>0.881887646</v>
      </c>
      <c r="I156" s="39" t="n">
        <f aca="false">SUM(I157:I157)</f>
        <v>4.29939097</v>
      </c>
      <c r="J156" s="39" t="n">
        <f aca="false">SUM(J157:J157)</f>
        <v>9.343478365</v>
      </c>
      <c r="K156" s="39" t="n">
        <f aca="false">SUM(K157:K157)</f>
        <v>16.82918104</v>
      </c>
      <c r="L156" s="39" t="n">
        <f aca="false">SUM(L157:L157)</f>
        <v>24.206629885</v>
      </c>
      <c r="M156" s="39" t="n">
        <f aca="false">SUM(M157:M157)</f>
        <v>32.16101927</v>
      </c>
      <c r="N156" s="39" t="n">
        <f aca="false">SUM(N157:N157)</f>
        <v>39.621587115</v>
      </c>
      <c r="O156" s="39" t="n">
        <f aca="false">SUM(O157:O157)</f>
        <v>44.48388535</v>
      </c>
      <c r="P156" s="39" t="n">
        <f aca="false">SUM(P157:P157)</f>
        <v>48.265555475</v>
      </c>
      <c r="Q156" s="39" t="n">
        <f aca="false">SUM(Q157:Q157)</f>
        <v>52.0969851</v>
      </c>
      <c r="R156" s="38"/>
    </row>
    <row r="157" customFormat="false" ht="15" hidden="false" customHeight="false" outlineLevel="1" collapsed="false">
      <c r="A157" s="24" t="n">
        <v>1</v>
      </c>
      <c r="B157" s="24" t="s">
        <v>926</v>
      </c>
      <c r="C157" s="40" t="s">
        <v>3145</v>
      </c>
      <c r="D157" s="24" t="s">
        <v>82</v>
      </c>
      <c r="E157" s="24" t="s">
        <v>296</v>
      </c>
      <c r="F157" s="41" t="n">
        <f aca="false">INDEX((BOM_COEF!R455~BOM_COEF!S455~BOM_COEF!T455~BOM_COEF!U455~BOM_COEF!V455~BOM_COEF!W455~BOM_COEF!X455~BOM_COEF!Y455~BOM_COEF!Z455~BOM_COEF!AA455),1,1,INDEX(P_VAL,MATCH("AÑO_DIS",P_ID,0))-2025)</f>
        <v>0.05</v>
      </c>
      <c r="G157" s="24" t="s">
        <v>2281</v>
      </c>
      <c r="H157" s="42" t="n">
        <f aca="false">BOM_COEF!R455*DEMANDA!F24</f>
        <v>0.881887646</v>
      </c>
      <c r="I157" s="42" t="n">
        <f aca="false">BOM_COEF!S455*DEMANDA!G24</f>
        <v>4.29939097</v>
      </c>
      <c r="J157" s="42" t="n">
        <f aca="false">BOM_COEF!T455*DEMANDA!H24</f>
        <v>9.343478365</v>
      </c>
      <c r="K157" s="42" t="n">
        <f aca="false">BOM_COEF!U455*DEMANDA!I24</f>
        <v>16.82918104</v>
      </c>
      <c r="L157" s="42" t="n">
        <f aca="false">BOM_COEF!V455*DEMANDA!J24</f>
        <v>24.206629885</v>
      </c>
      <c r="M157" s="42" t="n">
        <f aca="false">BOM_COEF!W455*DEMANDA!K24</f>
        <v>32.16101927</v>
      </c>
      <c r="N157" s="42" t="n">
        <f aca="false">BOM_COEF!X455*DEMANDA!L24</f>
        <v>39.621587115</v>
      </c>
      <c r="O157" s="42" t="n">
        <f aca="false">BOM_COEF!Y455*DEMANDA!M24</f>
        <v>44.48388535</v>
      </c>
      <c r="P157" s="42" t="n">
        <f aca="false">BOM_COEF!Z455*DEMANDA!N24</f>
        <v>48.265555475</v>
      </c>
      <c r="Q157" s="42" t="n">
        <f aca="false">BOM_COEF!AA455*DEMANDA!O24</f>
        <v>52.0969851</v>
      </c>
      <c r="R157" s="24" t="s">
        <v>3146</v>
      </c>
    </row>
    <row r="158" customFormat="false" ht="15" hidden="false" customHeight="false" outlineLevel="0" collapsed="false">
      <c r="A158" s="38" t="n">
        <v>0</v>
      </c>
      <c r="B158" s="38" t="s">
        <v>1056</v>
      </c>
      <c r="C158" s="38" t="s">
        <v>2141</v>
      </c>
      <c r="D158" s="38" t="s">
        <v>82</v>
      </c>
      <c r="E158" s="38"/>
      <c r="F158" s="38"/>
      <c r="G158" s="38"/>
      <c r="H158" s="39" t="n">
        <f aca="false">SUM(H159:H161)</f>
        <v>2.990152821</v>
      </c>
      <c r="I158" s="39" t="n">
        <f aca="false">SUM(I159:I161)</f>
        <v>11.658660135</v>
      </c>
      <c r="J158" s="39" t="n">
        <f aca="false">SUM(J159:J161)</f>
        <v>25.0556524</v>
      </c>
      <c r="K158" s="39" t="n">
        <f aca="false">SUM(K159:K161)</f>
        <v>42.974198285</v>
      </c>
      <c r="L158" s="39" t="n">
        <f aca="false">SUM(L159:L161)</f>
        <v>59.70458575</v>
      </c>
      <c r="M158" s="39" t="n">
        <f aca="false">SUM(M159:M161)</f>
        <v>78.7542424</v>
      </c>
      <c r="N158" s="39" t="n">
        <f aca="false">SUM(N159:N161)</f>
        <v>94.71749165</v>
      </c>
      <c r="O158" s="39" t="n">
        <f aca="false">SUM(O159:O161)</f>
        <v>103.81454775</v>
      </c>
      <c r="P158" s="39" t="n">
        <f aca="false">SUM(P159:P161)</f>
        <v>112.43422205</v>
      </c>
      <c r="Q158" s="39" t="n">
        <f aca="false">SUM(Q159:Q161)</f>
        <v>120.11336715</v>
      </c>
      <c r="R158" s="38"/>
    </row>
    <row r="159" customFormat="false" ht="15" hidden="false" customHeight="false" outlineLevel="1" collapsed="false">
      <c r="A159" s="24" t="n">
        <v>1</v>
      </c>
      <c r="B159" s="24" t="s">
        <v>1056</v>
      </c>
      <c r="C159" s="40" t="s">
        <v>3147</v>
      </c>
      <c r="D159" s="24" t="s">
        <v>82</v>
      </c>
      <c r="E159" s="24" t="s">
        <v>300</v>
      </c>
      <c r="F159" s="41" t="n">
        <f aca="false">INDEX((BOM_COEF!R470~BOM_COEF!S470~BOM_COEF!T470~BOM_COEF!U470~BOM_COEF!V470~BOM_COEF!W470~BOM_COEF!X470~BOM_COEF!Y470~BOM_COEF!Z470~BOM_COEF!AA470),1,1,INDEX(P_VAL,MATCH("AÑO_DIS",P_ID,0))-2025)</f>
        <v>0.05</v>
      </c>
      <c r="G159" s="24" t="s">
        <v>2281</v>
      </c>
      <c r="H159" s="42" t="n">
        <f aca="false">BOM_COEF!R470*DEMANDA!F25</f>
        <v>1.940152821</v>
      </c>
      <c r="I159" s="42" t="n">
        <f aca="false">BOM_COEF!S470*DEMANDA!G25</f>
        <v>9.458660135</v>
      </c>
      <c r="J159" s="42" t="n">
        <f aca="false">BOM_COEF!T470*DEMANDA!H25</f>
        <v>20.5556524</v>
      </c>
      <c r="K159" s="42" t="n">
        <f aca="false">BOM_COEF!U470*DEMANDA!I25</f>
        <v>37.024198285</v>
      </c>
      <c r="L159" s="42" t="n">
        <f aca="false">BOM_COEF!V470*DEMANDA!J25</f>
        <v>53.25458575</v>
      </c>
      <c r="M159" s="42" t="n">
        <f aca="false">BOM_COEF!W470*DEMANDA!K25</f>
        <v>70.7542424</v>
      </c>
      <c r="N159" s="42" t="n">
        <f aca="false">BOM_COEF!X470*DEMANDA!L25</f>
        <v>87.16749165</v>
      </c>
      <c r="O159" s="42" t="n">
        <f aca="false">BOM_COEF!Y470*DEMANDA!M25</f>
        <v>97.86454775</v>
      </c>
      <c r="P159" s="42" t="n">
        <f aca="false">BOM_COEF!Z470*DEMANDA!N25</f>
        <v>106.18422205</v>
      </c>
      <c r="Q159" s="42" t="n">
        <f aca="false">BOM_COEF!AA470*DEMANDA!O25</f>
        <v>114.61336715</v>
      </c>
      <c r="R159" s="24" t="s">
        <v>3148</v>
      </c>
    </row>
    <row r="160" customFormat="false" ht="15" hidden="false" customHeight="false" outlineLevel="1" collapsed="false">
      <c r="A160" s="24" t="n">
        <v>1</v>
      </c>
      <c r="B160" s="24" t="s">
        <v>1056</v>
      </c>
      <c r="C160" s="40" t="s">
        <v>3149</v>
      </c>
      <c r="D160" s="24" t="s">
        <v>82</v>
      </c>
      <c r="E160" s="24" t="s">
        <v>366</v>
      </c>
      <c r="F160" s="41" t="n">
        <f aca="false">INDEX((BOM_COEF!R470~BOM_COEF!S470~BOM_COEF!T470~BOM_COEF!U470~BOM_COEF!V470~BOM_COEF!W470~BOM_COEF!X470~BOM_COEF!Y470~BOM_COEF!Z470~BOM_COEF!AA470),1,1,INDEX(P_VAL,MATCH("AÑO_DIS",P_ID,0))-2025)</f>
        <v>0.05</v>
      </c>
      <c r="G160" s="24" t="s">
        <v>2281</v>
      </c>
      <c r="H160" s="42" t="n">
        <f aca="false">BOM_COEF!R470*DEMANDA!F47</f>
        <v>0.05</v>
      </c>
      <c r="I160" s="42" t="n">
        <f aca="false">BOM_COEF!S470*DEMANDA!G47</f>
        <v>0.15</v>
      </c>
      <c r="J160" s="42" t="n">
        <f aca="false">BOM_COEF!T470*DEMANDA!H47</f>
        <v>0.35</v>
      </c>
      <c r="K160" s="42" t="n">
        <f aca="false">BOM_COEF!U470*DEMANDA!I47</f>
        <v>0.6</v>
      </c>
      <c r="L160" s="42" t="n">
        <f aca="false">BOM_COEF!V470*DEMANDA!J47</f>
        <v>0.85</v>
      </c>
      <c r="M160" s="42" t="n">
        <f aca="false">BOM_COEF!W470*DEMANDA!K47</f>
        <v>1.15</v>
      </c>
      <c r="N160" s="42" t="n">
        <f aca="false">BOM_COEF!X470*DEMANDA!L47</f>
        <v>1.4</v>
      </c>
      <c r="O160" s="42" t="n">
        <f aca="false">BOM_COEF!Y470*DEMANDA!M47</f>
        <v>1.55</v>
      </c>
      <c r="P160" s="42" t="n">
        <f aca="false">BOM_COEF!Z470*DEMANDA!N47</f>
        <v>1.7</v>
      </c>
      <c r="Q160" s="42" t="n">
        <f aca="false">BOM_COEF!AA470*DEMANDA!O47</f>
        <v>1.8</v>
      </c>
      <c r="R160" s="24" t="s">
        <v>3148</v>
      </c>
    </row>
    <row r="161" customFormat="false" ht="15" hidden="false" customHeight="false" outlineLevel="1" collapsed="false">
      <c r="A161" s="24" t="n">
        <v>1</v>
      </c>
      <c r="B161" s="24" t="s">
        <v>1056</v>
      </c>
      <c r="C161" s="40" t="s">
        <v>3150</v>
      </c>
      <c r="D161" s="24" t="s">
        <v>82</v>
      </c>
      <c r="E161" s="24" t="s">
        <v>402</v>
      </c>
      <c r="F161" s="41" t="n">
        <f aca="false">INDEX((BOM_COEF!R231~BOM_COEF!S231~BOM_COEF!T231~BOM_COEF!U231~BOM_COEF!V231~BOM_COEF!W231~BOM_COEF!X231~BOM_COEF!Y231~BOM_COEF!Z231~BOM_COEF!AA231),1,1,INDEX(P_VAL,MATCH("AÑO_DIS",P_ID,0))-2025)</f>
        <v>1</v>
      </c>
      <c r="G161" s="24" t="s">
        <v>2281</v>
      </c>
      <c r="H161" s="42" t="n">
        <f aca="false">BOM_COEF!R231*DEMANDA!F59</f>
        <v>1</v>
      </c>
      <c r="I161" s="42" t="n">
        <f aca="false">BOM_COEF!S231*DEMANDA!G59</f>
        <v>2.05</v>
      </c>
      <c r="J161" s="42" t="n">
        <f aca="false">BOM_COEF!T231*DEMANDA!H59</f>
        <v>4.15</v>
      </c>
      <c r="K161" s="42" t="n">
        <f aca="false">BOM_COEF!U231*DEMANDA!I59</f>
        <v>5.35</v>
      </c>
      <c r="L161" s="42" t="n">
        <f aca="false">BOM_COEF!V231*DEMANDA!J59</f>
        <v>5.6</v>
      </c>
      <c r="M161" s="42" t="n">
        <f aca="false">BOM_COEF!W231*DEMANDA!K59</f>
        <v>6.85</v>
      </c>
      <c r="N161" s="42" t="n">
        <f aca="false">BOM_COEF!X231*DEMANDA!L59</f>
        <v>6.15</v>
      </c>
      <c r="O161" s="42" t="n">
        <f aca="false">BOM_COEF!Y231*DEMANDA!M59</f>
        <v>4.4</v>
      </c>
      <c r="P161" s="42" t="n">
        <f aca="false">BOM_COEF!Z231*DEMANDA!N59</f>
        <v>4.55</v>
      </c>
      <c r="Q161" s="42" t="n">
        <f aca="false">BOM_COEF!AA231*DEMANDA!O59</f>
        <v>3.7</v>
      </c>
      <c r="R161" s="24" t="s">
        <v>2783</v>
      </c>
    </row>
    <row r="162" customFormat="false" ht="15" hidden="false" customHeight="false" outlineLevel="0" collapsed="false">
      <c r="A162" s="38" t="n">
        <v>0</v>
      </c>
      <c r="B162" s="38" t="s">
        <v>1164</v>
      </c>
      <c r="C162" s="38" t="s">
        <v>2142</v>
      </c>
      <c r="D162" s="38" t="s">
        <v>82</v>
      </c>
      <c r="E162" s="38"/>
      <c r="F162" s="38"/>
      <c r="G162" s="38"/>
      <c r="H162" s="39" t="n">
        <f aca="false">SUM(H163:H163)</f>
        <v>0.42330607005</v>
      </c>
      <c r="I162" s="39" t="n">
        <f aca="false">SUM(I163:I163)</f>
        <v>2.0637076655</v>
      </c>
      <c r="J162" s="39" t="n">
        <f aca="false">SUM(J163:J163)</f>
        <v>4.4848696145</v>
      </c>
      <c r="K162" s="39" t="n">
        <f aca="false">SUM(K163:K163)</f>
        <v>8.0780069</v>
      </c>
      <c r="L162" s="39" t="n">
        <f aca="false">SUM(L163:L163)</f>
        <v>11.619182345</v>
      </c>
      <c r="M162" s="39" t="n">
        <f aca="false">SUM(M163:M163)</f>
        <v>15.43728925</v>
      </c>
      <c r="N162" s="39" t="n">
        <f aca="false">SUM(N163:N163)</f>
        <v>19.018361815</v>
      </c>
      <c r="O162" s="39" t="n">
        <f aca="false">SUM(O163:O163)</f>
        <v>21.352264965</v>
      </c>
      <c r="P162" s="39" t="n">
        <f aca="false">SUM(P163:P163)</f>
        <v>23.16746663</v>
      </c>
      <c r="Q162" s="39" t="n">
        <f aca="false">SUM(Q163:Q163)</f>
        <v>25.006552835</v>
      </c>
      <c r="R162" s="38"/>
    </row>
    <row r="163" customFormat="false" ht="15" hidden="false" customHeight="false" outlineLevel="1" collapsed="false">
      <c r="A163" s="24" t="n">
        <v>1</v>
      </c>
      <c r="B163" s="24" t="s">
        <v>1164</v>
      </c>
      <c r="C163" s="40" t="s">
        <v>3151</v>
      </c>
      <c r="D163" s="24" t="s">
        <v>82</v>
      </c>
      <c r="E163" s="24" t="s">
        <v>303</v>
      </c>
      <c r="F163" s="41" t="n">
        <f aca="false">INDEX((BOM_COEF!R485~BOM_COEF!S485~BOM_COEF!T485~BOM_COEF!U485~BOM_COEF!V485~BOM_COEF!W485~BOM_COEF!X485~BOM_COEF!Y485~BOM_COEF!Z485~BOM_COEF!AA485),1,1,INDEX(P_VAL,MATCH("AÑO_DIS",P_ID,0))-2025)</f>
        <v>0.05</v>
      </c>
      <c r="G163" s="24" t="s">
        <v>2281</v>
      </c>
      <c r="H163" s="42" t="n">
        <f aca="false">BOM_COEF!R485*DEMANDA!F26</f>
        <v>0.42330607005</v>
      </c>
      <c r="I163" s="42" t="n">
        <f aca="false">BOM_COEF!S485*DEMANDA!G26</f>
        <v>2.0637076655</v>
      </c>
      <c r="J163" s="42" t="n">
        <f aca="false">BOM_COEF!T485*DEMANDA!H26</f>
        <v>4.4848696145</v>
      </c>
      <c r="K163" s="42" t="n">
        <f aca="false">BOM_COEF!U485*DEMANDA!I26</f>
        <v>8.0780069</v>
      </c>
      <c r="L163" s="42" t="n">
        <f aca="false">BOM_COEF!V485*DEMANDA!J26</f>
        <v>11.619182345</v>
      </c>
      <c r="M163" s="42" t="n">
        <f aca="false">BOM_COEF!W485*DEMANDA!K26</f>
        <v>15.43728925</v>
      </c>
      <c r="N163" s="42" t="n">
        <f aca="false">BOM_COEF!X485*DEMANDA!L26</f>
        <v>19.018361815</v>
      </c>
      <c r="O163" s="42" t="n">
        <f aca="false">BOM_COEF!Y485*DEMANDA!M26</f>
        <v>21.352264965</v>
      </c>
      <c r="P163" s="42" t="n">
        <f aca="false">BOM_COEF!Z485*DEMANDA!N26</f>
        <v>23.16746663</v>
      </c>
      <c r="Q163" s="42" t="n">
        <f aca="false">BOM_COEF!AA485*DEMANDA!O26</f>
        <v>25.006552835</v>
      </c>
      <c r="R163" s="24" t="s">
        <v>3152</v>
      </c>
    </row>
    <row r="164" customFormat="false" ht="15" hidden="false" customHeight="false" outlineLevel="0" collapsed="false">
      <c r="A164" s="38" t="n">
        <v>0</v>
      </c>
      <c r="B164" s="38" t="s">
        <v>1268</v>
      </c>
      <c r="C164" s="38" t="s">
        <v>2143</v>
      </c>
      <c r="D164" s="38" t="s">
        <v>82</v>
      </c>
      <c r="E164" s="38"/>
      <c r="F164" s="38"/>
      <c r="G164" s="38"/>
      <c r="H164" s="39" t="n">
        <f aca="false">SUM(H165:H167)</f>
        <v>1.3322040467</v>
      </c>
      <c r="I164" s="39" t="n">
        <f aca="false">SUM(I165:I167)</f>
        <v>1.4758051105</v>
      </c>
      <c r="J164" s="39" t="n">
        <f aca="false">SUM(J165:J167)</f>
        <v>4.1399130765</v>
      </c>
      <c r="K164" s="39" t="n">
        <f aca="false">SUM(K165:K167)</f>
        <v>6.63533793</v>
      </c>
      <c r="L164" s="39" t="n">
        <f aca="false">SUM(L165:L167)</f>
        <v>10.146121565</v>
      </c>
      <c r="M164" s="39" t="n">
        <f aca="false">SUM(M165:M167)</f>
        <v>11.841526165</v>
      </c>
      <c r="N164" s="39" t="n">
        <f aca="false">SUM(N165:N167)</f>
        <v>14.328907875</v>
      </c>
      <c r="O164" s="39" t="n">
        <f aca="false">SUM(O165:O167)</f>
        <v>15.98484331</v>
      </c>
      <c r="P164" s="39" t="n">
        <f aca="false">SUM(P165:P167)</f>
        <v>17.29497775</v>
      </c>
      <c r="Q164" s="39" t="n">
        <f aca="false">SUM(Q165:Q167)</f>
        <v>17.571035225</v>
      </c>
      <c r="R164" s="38"/>
    </row>
    <row r="165" customFormat="false" ht="15" hidden="false" customHeight="false" outlineLevel="1" collapsed="false">
      <c r="A165" s="24" t="n">
        <v>1</v>
      </c>
      <c r="B165" s="24" t="s">
        <v>1268</v>
      </c>
      <c r="C165" s="40" t="s">
        <v>3153</v>
      </c>
      <c r="D165" s="24" t="s">
        <v>82</v>
      </c>
      <c r="E165" s="24" t="s">
        <v>306</v>
      </c>
      <c r="F165" s="41" t="n">
        <f aca="false">INDEX((BOM_COEF!R500~BOM_COEF!S500~BOM_COEF!T500~BOM_COEF!U500~BOM_COEF!V500~BOM_COEF!W500~BOM_COEF!X500~BOM_COEF!Y500~BOM_COEF!Z500~BOM_COEF!AA500),1,1,INDEX(P_VAL,MATCH("AÑO_DIS",P_ID,0))-2025)</f>
        <v>0.05</v>
      </c>
      <c r="G165" s="24" t="s">
        <v>2281</v>
      </c>
      <c r="H165" s="42" t="n">
        <f aca="false">BOM_COEF!R500*DEMANDA!F27</f>
        <v>0.2822040467</v>
      </c>
      <c r="I165" s="42" t="n">
        <f aca="false">BOM_COEF!S500*DEMANDA!G27</f>
        <v>1.3758051105</v>
      </c>
      <c r="J165" s="42" t="n">
        <f aca="false">BOM_COEF!T500*DEMANDA!H27</f>
        <v>2.9899130765</v>
      </c>
      <c r="K165" s="42" t="n">
        <f aca="false">BOM_COEF!U500*DEMANDA!I27</f>
        <v>5.38533793</v>
      </c>
      <c r="L165" s="42" t="n">
        <f aca="false">BOM_COEF!V500*DEMANDA!J27</f>
        <v>7.746121565</v>
      </c>
      <c r="M165" s="42" t="n">
        <f aca="false">BOM_COEF!W500*DEMANDA!K27</f>
        <v>10.291526165</v>
      </c>
      <c r="N165" s="42" t="n">
        <f aca="false">BOM_COEF!X500*DEMANDA!L27</f>
        <v>12.678907875</v>
      </c>
      <c r="O165" s="42" t="n">
        <f aca="false">BOM_COEF!Y500*DEMANDA!M27</f>
        <v>14.23484331</v>
      </c>
      <c r="P165" s="42" t="n">
        <f aca="false">BOM_COEF!Z500*DEMANDA!N27</f>
        <v>15.44497775</v>
      </c>
      <c r="Q165" s="42" t="n">
        <f aca="false">BOM_COEF!AA500*DEMANDA!O27</f>
        <v>16.671035225</v>
      </c>
      <c r="R165" s="24" t="s">
        <v>3154</v>
      </c>
    </row>
    <row r="166" customFormat="false" ht="15" hidden="false" customHeight="false" outlineLevel="1" collapsed="false">
      <c r="A166" s="24" t="n">
        <v>1</v>
      </c>
      <c r="B166" s="24" t="s">
        <v>1268</v>
      </c>
      <c r="C166" s="40" t="s">
        <v>3155</v>
      </c>
      <c r="D166" s="24" t="s">
        <v>82</v>
      </c>
      <c r="E166" s="24" t="s">
        <v>369</v>
      </c>
      <c r="F166" s="41" t="n">
        <f aca="false">INDEX((BOM_COEF!R500~BOM_COEF!S500~BOM_COEF!T500~BOM_COEF!U500~BOM_COEF!V500~BOM_COEF!W500~BOM_COEF!X500~BOM_COEF!Y500~BOM_COEF!Z500~BOM_COEF!AA500),1,1,INDEX(P_VAL,MATCH("AÑO_DIS",P_ID,0))-2025)</f>
        <v>0.05</v>
      </c>
      <c r="G166" s="24" t="s">
        <v>2281</v>
      </c>
      <c r="H166" s="42" t="n">
        <f aca="false">BOM_COEF!R500*DEMANDA!F48</f>
        <v>0.05</v>
      </c>
      <c r="I166" s="42" t="n">
        <f aca="false">BOM_COEF!S500*DEMANDA!G48</f>
        <v>0.05</v>
      </c>
      <c r="J166" s="42" t="n">
        <f aca="false">BOM_COEF!T500*DEMANDA!H48</f>
        <v>0.1</v>
      </c>
      <c r="K166" s="42" t="n">
        <f aca="false">BOM_COEF!U500*DEMANDA!I48</f>
        <v>0.15</v>
      </c>
      <c r="L166" s="42" t="n">
        <f aca="false">BOM_COEF!V500*DEMANDA!J48</f>
        <v>0.25</v>
      </c>
      <c r="M166" s="42" t="n">
        <f aca="false">BOM_COEF!W500*DEMANDA!K48</f>
        <v>0.3</v>
      </c>
      <c r="N166" s="42" t="n">
        <f aca="false">BOM_COEF!X500*DEMANDA!L48</f>
        <v>0.35</v>
      </c>
      <c r="O166" s="42" t="n">
        <f aca="false">BOM_COEF!Y500*DEMANDA!M48</f>
        <v>0.4</v>
      </c>
      <c r="P166" s="42" t="n">
        <f aca="false">BOM_COEF!Z500*DEMANDA!N48</f>
        <v>0.45</v>
      </c>
      <c r="Q166" s="42" t="n">
        <f aca="false">BOM_COEF!AA500*DEMANDA!O48</f>
        <v>0.45</v>
      </c>
      <c r="R166" s="24" t="s">
        <v>3154</v>
      </c>
    </row>
    <row r="167" customFormat="false" ht="15" hidden="false" customHeight="false" outlineLevel="1" collapsed="false">
      <c r="A167" s="24" t="n">
        <v>1</v>
      </c>
      <c r="B167" s="24" t="s">
        <v>1268</v>
      </c>
      <c r="C167" s="40" t="s">
        <v>3156</v>
      </c>
      <c r="D167" s="24" t="s">
        <v>82</v>
      </c>
      <c r="E167" s="24" t="s">
        <v>405</v>
      </c>
      <c r="F167" s="41" t="n">
        <f aca="false">INDEX((BOM_COEF!R332~BOM_COEF!S332~BOM_COEF!T332~BOM_COEF!U332~BOM_COEF!V332~BOM_COEF!W332~BOM_COEF!X332~BOM_COEF!Y332~BOM_COEF!Z332~BOM_COEF!AA332),1,1,INDEX(P_VAL,MATCH("AÑO_DIS",P_ID,0))-2025)</f>
        <v>1</v>
      </c>
      <c r="G167" s="24" t="s">
        <v>2281</v>
      </c>
      <c r="H167" s="42" t="n">
        <f aca="false">BOM_COEF!R332*DEMANDA!F60</f>
        <v>1</v>
      </c>
      <c r="I167" s="42" t="n">
        <f aca="false">BOM_COEF!S332*DEMANDA!G60</f>
        <v>0.05</v>
      </c>
      <c r="J167" s="42" t="n">
        <f aca="false">BOM_COEF!T332*DEMANDA!H60</f>
        <v>1.05</v>
      </c>
      <c r="K167" s="42" t="n">
        <f aca="false">BOM_COEF!U332*DEMANDA!I60</f>
        <v>1.1</v>
      </c>
      <c r="L167" s="42" t="n">
        <f aca="false">BOM_COEF!V332*DEMANDA!J60</f>
        <v>2.15</v>
      </c>
      <c r="M167" s="42" t="n">
        <f aca="false">BOM_COEF!W332*DEMANDA!K60</f>
        <v>1.25</v>
      </c>
      <c r="N167" s="42" t="n">
        <f aca="false">BOM_COEF!X332*DEMANDA!L60</f>
        <v>1.3</v>
      </c>
      <c r="O167" s="42" t="n">
        <f aca="false">BOM_COEF!Y332*DEMANDA!M60</f>
        <v>1.35</v>
      </c>
      <c r="P167" s="42" t="n">
        <f aca="false">BOM_COEF!Z332*DEMANDA!N60</f>
        <v>1.4</v>
      </c>
      <c r="Q167" s="42" t="n">
        <f aca="false">BOM_COEF!AA332*DEMANDA!O60</f>
        <v>0.45</v>
      </c>
      <c r="R167" s="24" t="s">
        <v>2787</v>
      </c>
    </row>
    <row r="168" customFormat="false" ht="15" hidden="false" customHeight="false" outlineLevel="0" collapsed="false">
      <c r="A168" s="38" t="n">
        <v>0</v>
      </c>
      <c r="B168" s="38" t="s">
        <v>514</v>
      </c>
      <c r="C168" s="38" t="s">
        <v>2144</v>
      </c>
      <c r="D168" s="38" t="s">
        <v>82</v>
      </c>
      <c r="E168" s="38"/>
      <c r="F168" s="38"/>
      <c r="G168" s="38"/>
      <c r="H168" s="39" t="n">
        <f aca="false">SUM(H169:H169)</f>
        <v>3477.482124</v>
      </c>
      <c r="I168" s="39" t="n">
        <f aca="false">SUM(I169:I169)</f>
        <v>16970.58564</v>
      </c>
      <c r="J168" s="39" t="n">
        <f aca="false">SUM(J169:J169)</f>
        <v>30546.08951</v>
      </c>
      <c r="K168" s="39" t="n">
        <f aca="false">SUM(K169:K169)</f>
        <v>56048.31106</v>
      </c>
      <c r="L168" s="39" t="n">
        <f aca="false">SUM(L169:L169)</f>
        <v>84270.22613</v>
      </c>
      <c r="M168" s="39" t="n">
        <f aca="false">SUM(M169:M169)</f>
        <v>117407.8231</v>
      </c>
      <c r="N168" s="39" t="n">
        <f aca="false">SUM(N169:N169)</f>
        <v>147610.6356</v>
      </c>
      <c r="O168" s="39" t="n">
        <f aca="false">SUM(O169:O169)</f>
        <v>171404.3607</v>
      </c>
      <c r="P168" s="39" t="n">
        <f aca="false">SUM(P169:P169)</f>
        <v>183690.566</v>
      </c>
      <c r="Q168" s="39" t="n">
        <f aca="false">SUM(Q169:Q169)</f>
        <v>196282.6907</v>
      </c>
      <c r="R168" s="38"/>
    </row>
    <row r="169" customFormat="false" ht="15" hidden="false" customHeight="false" outlineLevel="1" collapsed="false">
      <c r="A169" s="24" t="n">
        <v>1</v>
      </c>
      <c r="B169" s="24" t="s">
        <v>514</v>
      </c>
      <c r="C169" s="40" t="s">
        <v>3157</v>
      </c>
      <c r="D169" s="24" t="s">
        <v>82</v>
      </c>
      <c r="E169" s="24" t="s">
        <v>282</v>
      </c>
      <c r="F169" s="41" t="n">
        <f aca="false">INDEX((BOM_COEF!R391~BOM_COEF!S391~BOM_COEF!T391~BOM_COEF!U391~BOM_COEF!V391~BOM_COEF!W391~BOM_COEF!X391~BOM_COEF!Y391~BOM_COEF!Z391~BOM_COEF!AA391),1,1,INDEX(P_VAL,MATCH("AÑO_DIS",P_ID,0))-2025)</f>
        <v>1</v>
      </c>
      <c r="G169" s="24" t="s">
        <v>2281</v>
      </c>
      <c r="H169" s="42" t="n">
        <f aca="false">BOM_COEF!R391*DEMANDA!F20</f>
        <v>3477.482124</v>
      </c>
      <c r="I169" s="42" t="n">
        <f aca="false">BOM_COEF!S391*DEMANDA!G20</f>
        <v>16970.58564</v>
      </c>
      <c r="J169" s="42" t="n">
        <f aca="false">BOM_COEF!T391*DEMANDA!H20</f>
        <v>30546.08951</v>
      </c>
      <c r="K169" s="42" t="n">
        <f aca="false">BOM_COEF!U391*DEMANDA!I20</f>
        <v>56048.31106</v>
      </c>
      <c r="L169" s="42" t="n">
        <f aca="false">BOM_COEF!V391*DEMANDA!J20</f>
        <v>84270.22613</v>
      </c>
      <c r="M169" s="42" t="n">
        <f aca="false">BOM_COEF!W391*DEMANDA!K20</f>
        <v>117407.8231</v>
      </c>
      <c r="N169" s="42" t="n">
        <f aca="false">BOM_COEF!X391*DEMANDA!L20</f>
        <v>147610.6356</v>
      </c>
      <c r="O169" s="42" t="n">
        <f aca="false">BOM_COEF!Y391*DEMANDA!M20</f>
        <v>171404.3607</v>
      </c>
      <c r="P169" s="42" t="n">
        <f aca="false">BOM_COEF!Z391*DEMANDA!N20</f>
        <v>183690.566</v>
      </c>
      <c r="Q169" s="42" t="n">
        <f aca="false">BOM_COEF!AA391*DEMANDA!O20</f>
        <v>196282.6907</v>
      </c>
      <c r="R169" s="24" t="s">
        <v>3158</v>
      </c>
    </row>
    <row r="170" customFormat="false" ht="15" hidden="false" customHeight="false" outlineLevel="0" collapsed="false">
      <c r="A170" s="38" t="n">
        <v>0</v>
      </c>
      <c r="B170" s="38" t="s">
        <v>630</v>
      </c>
      <c r="C170" s="38" t="s">
        <v>2147</v>
      </c>
      <c r="D170" s="38" t="s">
        <v>82</v>
      </c>
      <c r="E170" s="38"/>
      <c r="F170" s="38"/>
      <c r="G170" s="38"/>
      <c r="H170" s="39" t="n">
        <f aca="false">SUM(H171:H181)</f>
        <v>2587.17520634</v>
      </c>
      <c r="I170" s="39" t="n">
        <f aca="false">SUM(I171:I181)</f>
        <v>10370.210144</v>
      </c>
      <c r="J170" s="39" t="n">
        <f aca="false">SUM(J171:J181)</f>
        <v>23214.4836623</v>
      </c>
      <c r="K170" s="39" t="n">
        <f aca="false">SUM(K171:K181)</f>
        <v>43643.6890675</v>
      </c>
      <c r="L170" s="39" t="n">
        <f aca="false">SUM(L171:L181)</f>
        <v>62772.5988547</v>
      </c>
      <c r="M170" s="39" t="n">
        <f aca="false">SUM(M171:M181)</f>
        <v>83404.8322654</v>
      </c>
      <c r="N170" s="39" t="n">
        <f aca="false">SUM(N171:N181)</f>
        <v>102016.3057453</v>
      </c>
      <c r="O170" s="39" t="n">
        <f aca="false">SUM(O171:O181)</f>
        <v>113048.663956</v>
      </c>
      <c r="P170" s="39" t="n">
        <f aca="false">SUM(P171:P181)</f>
        <v>121835.6273185</v>
      </c>
      <c r="Q170" s="39" t="n">
        <f aca="false">SUM(Q171:Q181)</f>
        <v>130918.04527</v>
      </c>
      <c r="R170" s="38"/>
    </row>
    <row r="171" customFormat="false" ht="15" hidden="false" customHeight="false" outlineLevel="1" collapsed="false">
      <c r="A171" s="24" t="n">
        <v>1</v>
      </c>
      <c r="B171" s="24" t="s">
        <v>630</v>
      </c>
      <c r="C171" s="40" t="s">
        <v>3159</v>
      </c>
      <c r="D171" s="24" t="s">
        <v>82</v>
      </c>
      <c r="E171" s="24" t="s">
        <v>286</v>
      </c>
      <c r="F171" s="41" t="n">
        <f aca="false">INDEX((BOM_COEF!R405~BOM_COEF!S405~BOM_COEF!T405~BOM_COEF!U405~BOM_COEF!V405~BOM_COEF!W405~BOM_COEF!X405~BOM_COEF!Y405~BOM_COEF!Z405~BOM_COEF!AA405),1,1,INDEX(P_VAL,MATCH("AÑO_DIS",P_ID,0))-2025)</f>
        <v>1</v>
      </c>
      <c r="G171" s="24" t="s">
        <v>2281</v>
      </c>
      <c r="H171" s="42" t="n">
        <f aca="false">BOM_COEF!R405*DEMANDA!F21</f>
        <v>329.9966675</v>
      </c>
      <c r="I171" s="42" t="n">
        <f aca="false">BOM_COEF!S405*DEMANDA!G21</f>
        <v>1287.414024</v>
      </c>
      <c r="J171" s="42" t="n">
        <f aca="false">BOM_COEF!T405*DEMANDA!H21</f>
        <v>2947.169216</v>
      </c>
      <c r="K171" s="42" t="n">
        <f aca="false">BOM_COEF!U405*DEMANDA!I21</f>
        <v>5426.043269</v>
      </c>
      <c r="L171" s="42" t="n">
        <f aca="false">BOM_COEF!V405*DEMANDA!J21</f>
        <v>7850.875806</v>
      </c>
      <c r="M171" s="42" t="n">
        <f aca="false">BOM_COEF!W405*DEMANDA!K21</f>
        <v>10423.94365</v>
      </c>
      <c r="N171" s="42" t="n">
        <f aca="false">BOM_COEF!X405*DEMANDA!L21</f>
        <v>12809.89571</v>
      </c>
      <c r="O171" s="42" t="n">
        <f aca="false">BOM_COEF!Y405*DEMANDA!M21</f>
        <v>14263.06831</v>
      </c>
      <c r="P171" s="42" t="n">
        <f aca="false">BOM_COEF!Z405*DEMANDA!N21</f>
        <v>15432.86983</v>
      </c>
      <c r="Q171" s="42" t="n">
        <f aca="false">BOM_COEF!AA405*DEMANDA!O21</f>
        <v>16620.76117</v>
      </c>
      <c r="R171" s="24" t="s">
        <v>3160</v>
      </c>
    </row>
    <row r="172" customFormat="false" ht="15" hidden="false" customHeight="false" outlineLevel="1" collapsed="false">
      <c r="A172" s="24" t="n">
        <v>1</v>
      </c>
      <c r="B172" s="24" t="s">
        <v>630</v>
      </c>
      <c r="C172" s="40" t="s">
        <v>3161</v>
      </c>
      <c r="D172" s="24" t="s">
        <v>82</v>
      </c>
      <c r="E172" s="24" t="s">
        <v>290</v>
      </c>
      <c r="F172" s="41" t="n">
        <f aca="false">INDEX((BOM_COEF!R420~BOM_COEF!S420~BOM_COEF!T420~BOM_COEF!U420~BOM_COEF!V420~BOM_COEF!W420~BOM_COEF!X420~BOM_COEF!Y420~BOM_COEF!Z420~BOM_COEF!AA420),1,1,INDEX(P_VAL,MATCH("AÑO_DIS",P_ID,0))-2025)</f>
        <v>1</v>
      </c>
      <c r="G172" s="24" t="s">
        <v>2281</v>
      </c>
      <c r="H172" s="42" t="n">
        <f aca="false">BOM_COEF!R420*DEMANDA!F22</f>
        <v>1950.394097</v>
      </c>
      <c r="I172" s="42" t="n">
        <f aca="false">BOM_COEF!S420*DEMANDA!G22</f>
        <v>7852.61852</v>
      </c>
      <c r="J172" s="42" t="n">
        <f aca="false">BOM_COEF!T420*DEMANDA!H22</f>
        <v>17775.85701</v>
      </c>
      <c r="K172" s="42" t="n">
        <f aca="false">BOM_COEF!U420*DEMANDA!I22</f>
        <v>33605.56835</v>
      </c>
      <c r="L172" s="42" t="n">
        <f aca="false">BOM_COEF!V420*DEMANDA!J22</f>
        <v>48407.57189</v>
      </c>
      <c r="M172" s="42" t="n">
        <f aca="false">BOM_COEF!W420*DEMANDA!K22</f>
        <v>64323.04276</v>
      </c>
      <c r="N172" s="42" t="n">
        <f aca="false">BOM_COEF!X420*DEMANDA!L22</f>
        <v>78721.10039</v>
      </c>
      <c r="O172" s="42" t="n">
        <f aca="false">BOM_COEF!Y420*DEMANDA!M22</f>
        <v>87237.2124</v>
      </c>
      <c r="P172" s="42" t="n">
        <f aca="false">BOM_COEF!Z420*DEMANDA!N22</f>
        <v>94103.66761</v>
      </c>
      <c r="Q172" s="42" t="n">
        <f aca="false">BOM_COEF!AA420*DEMANDA!O22</f>
        <v>101095.1762</v>
      </c>
      <c r="R172" s="24" t="s">
        <v>3162</v>
      </c>
    </row>
    <row r="173" customFormat="false" ht="15" hidden="false" customHeight="false" outlineLevel="1" collapsed="false">
      <c r="A173" s="24" t="n">
        <v>1</v>
      </c>
      <c r="B173" s="24" t="s">
        <v>630</v>
      </c>
      <c r="C173" s="40" t="s">
        <v>3163</v>
      </c>
      <c r="D173" s="24" t="s">
        <v>82</v>
      </c>
      <c r="E173" s="24" t="s">
        <v>336</v>
      </c>
      <c r="F173" s="41" t="n">
        <f aca="false">INDEX((BOM_COEF!R420~BOM_COEF!S420~BOM_COEF!T420~BOM_COEF!U420~BOM_COEF!V420~BOM_COEF!W420~BOM_COEF!X420~BOM_COEF!Y420~BOM_COEF!Z420~BOM_COEF!AA420),1,1,INDEX(P_VAL,MATCH("AÑO_DIS",P_ID,0))-2025)</f>
        <v>1</v>
      </c>
      <c r="G173" s="24" t="s">
        <v>2281</v>
      </c>
      <c r="H173" s="42" t="n">
        <f aca="false">BOM_COEF!R420*DEMANDA!F37</f>
        <v>63</v>
      </c>
      <c r="I173" s="42" t="n">
        <f aca="false">BOM_COEF!S420*DEMANDA!G37</f>
        <v>282</v>
      </c>
      <c r="J173" s="42" t="n">
        <f aca="false">BOM_COEF!T420*DEMANDA!H37</f>
        <v>553</v>
      </c>
      <c r="K173" s="42" t="n">
        <f aca="false">BOM_COEF!U420*DEMANDA!I37</f>
        <v>1025</v>
      </c>
      <c r="L173" s="42" t="n">
        <f aca="false">BOM_COEF!V420*DEMANDA!J37</f>
        <v>1515</v>
      </c>
      <c r="M173" s="42" t="n">
        <f aca="false">BOM_COEF!W420*DEMANDA!K37</f>
        <v>2072</v>
      </c>
      <c r="N173" s="42" t="n">
        <f aca="false">BOM_COEF!X420*DEMANDA!L37</f>
        <v>2579</v>
      </c>
      <c r="O173" s="42" t="n">
        <f aca="false">BOM_COEF!Y420*DEMANDA!M37</f>
        <v>2944</v>
      </c>
      <c r="P173" s="42" t="n">
        <f aca="false">BOM_COEF!Z420*DEMANDA!N37</f>
        <v>3164</v>
      </c>
      <c r="Q173" s="42" t="n">
        <f aca="false">BOM_COEF!AA420*DEMANDA!O37</f>
        <v>3388</v>
      </c>
      <c r="R173" s="24" t="s">
        <v>3162</v>
      </c>
    </row>
    <row r="174" customFormat="false" ht="15" hidden="false" customHeight="false" outlineLevel="1" collapsed="false">
      <c r="A174" s="24" t="n">
        <v>1</v>
      </c>
      <c r="B174" s="24" t="s">
        <v>630</v>
      </c>
      <c r="C174" s="40" t="s">
        <v>3164</v>
      </c>
      <c r="D174" s="24" t="s">
        <v>82</v>
      </c>
      <c r="E174" s="24" t="s">
        <v>293</v>
      </c>
      <c r="F174" s="41" t="n">
        <f aca="false">INDEX((BOM_COEF!R435~BOM_COEF!S435~BOM_COEF!T435~BOM_COEF!U435~BOM_COEF!V435~BOM_COEF!W435~BOM_COEF!X435~BOM_COEF!Y435~BOM_COEF!Z435~BOM_COEF!AA435),1,1,INDEX(P_VAL,MATCH("AÑO_DIS",P_ID,0))-2025)</f>
        <v>1</v>
      </c>
      <c r="G174" s="24" t="s">
        <v>2281</v>
      </c>
      <c r="H174" s="42" t="n">
        <f aca="false">BOM_COEF!R435*DEMANDA!F23</f>
        <v>118.3436325</v>
      </c>
      <c r="I174" s="42" t="n">
        <f aca="false">BOM_COEF!S435*DEMANDA!G23</f>
        <v>437.7165779</v>
      </c>
      <c r="J174" s="42" t="n">
        <f aca="false">BOM_COEF!T435*DEMANDA!H23</f>
        <v>1024.974821</v>
      </c>
      <c r="K174" s="42" t="n">
        <f aca="false">BOM_COEF!U435*DEMANDA!I23</f>
        <v>1960.409862</v>
      </c>
      <c r="L174" s="42" t="n">
        <f aca="false">BOM_COEF!V435*DEMANDA!J23</f>
        <v>2844.976846</v>
      </c>
      <c r="M174" s="42" t="n">
        <f aca="false">BOM_COEF!W435*DEMANDA!K23</f>
        <v>3810.390622</v>
      </c>
      <c r="N174" s="42" t="n">
        <f aca="false">BOM_COEF!X435*DEMANDA!L23</f>
        <v>4663.67807</v>
      </c>
      <c r="O174" s="42" t="n">
        <f aca="false">BOM_COEF!Y435*DEMANDA!M23</f>
        <v>5164.514584</v>
      </c>
      <c r="P174" s="42" t="n">
        <f aca="false">BOM_COEF!Z435*DEMANDA!N23</f>
        <v>5571.544328</v>
      </c>
      <c r="Q174" s="42" t="n">
        <f aca="false">BOM_COEF!AA435*DEMANDA!O23</f>
        <v>5985.950855</v>
      </c>
      <c r="R174" s="24" t="s">
        <v>3165</v>
      </c>
    </row>
    <row r="175" customFormat="false" ht="15" hidden="false" customHeight="false" outlineLevel="1" collapsed="false">
      <c r="A175" s="24" t="n">
        <v>1</v>
      </c>
      <c r="B175" s="24" t="s">
        <v>630</v>
      </c>
      <c r="C175" s="40" t="s">
        <v>3166</v>
      </c>
      <c r="D175" s="24" t="s">
        <v>82</v>
      </c>
      <c r="E175" s="24" t="s">
        <v>339</v>
      </c>
      <c r="F175" s="41" t="n">
        <f aca="false">INDEX((BOM_COEF!R435~BOM_COEF!S435~BOM_COEF!T435~BOM_COEF!U435~BOM_COEF!V435~BOM_COEF!W435~BOM_COEF!X435~BOM_COEF!Y435~BOM_COEF!Z435~BOM_COEF!AA435),1,1,INDEX(P_VAL,MATCH("AÑO_DIS",P_ID,0))-2025)</f>
        <v>1</v>
      </c>
      <c r="G175" s="24" t="s">
        <v>2281</v>
      </c>
      <c r="H175" s="42" t="n">
        <f aca="false">BOM_COEF!R435*DEMANDA!F38</f>
        <v>2</v>
      </c>
      <c r="I175" s="42" t="n">
        <f aca="false">BOM_COEF!S435*DEMANDA!G38</f>
        <v>5</v>
      </c>
      <c r="J175" s="42" t="n">
        <f aca="false">BOM_COEF!T435*DEMANDA!H38</f>
        <v>12</v>
      </c>
      <c r="K175" s="42" t="n">
        <f aca="false">BOM_COEF!U435*DEMANDA!I38</f>
        <v>22</v>
      </c>
      <c r="L175" s="42" t="n">
        <f aca="false">BOM_COEF!V435*DEMANDA!J38</f>
        <v>31</v>
      </c>
      <c r="M175" s="42" t="n">
        <f aca="false">BOM_COEF!W435*DEMANDA!K38</f>
        <v>42</v>
      </c>
      <c r="N175" s="42" t="n">
        <f aca="false">BOM_COEF!X435*DEMANDA!L38</f>
        <v>51</v>
      </c>
      <c r="O175" s="42" t="n">
        <f aca="false">BOM_COEF!Y435*DEMANDA!M38</f>
        <v>56</v>
      </c>
      <c r="P175" s="42" t="n">
        <f aca="false">BOM_COEF!Z435*DEMANDA!N38</f>
        <v>61</v>
      </c>
      <c r="Q175" s="42" t="n">
        <f aca="false">BOM_COEF!AA435*DEMANDA!O38</f>
        <v>65</v>
      </c>
      <c r="R175" s="24" t="s">
        <v>3165</v>
      </c>
    </row>
    <row r="176" customFormat="false" ht="15" hidden="false" customHeight="false" outlineLevel="1" collapsed="false">
      <c r="A176" s="24" t="n">
        <v>1</v>
      </c>
      <c r="B176" s="24" t="s">
        <v>630</v>
      </c>
      <c r="C176" s="40" t="s">
        <v>3167</v>
      </c>
      <c r="D176" s="24" t="s">
        <v>82</v>
      </c>
      <c r="E176" s="24" t="s">
        <v>296</v>
      </c>
      <c r="F176" s="41" t="n">
        <f aca="false">INDEX((BOM_COEF!R450~BOM_COEF!S450~BOM_COEF!T450~BOM_COEF!U450~BOM_COEF!V450~BOM_COEF!W450~BOM_COEF!X450~BOM_COEF!Y450~BOM_COEF!Z450~BOM_COEF!AA450),1,1,INDEX(P_VAL,MATCH("AÑO_DIS",P_ID,0))-2025)</f>
        <v>1</v>
      </c>
      <c r="G176" s="24" t="s">
        <v>2281</v>
      </c>
      <c r="H176" s="42" t="n">
        <f aca="false">BOM_COEF!R450*DEMANDA!F24</f>
        <v>17.63775292</v>
      </c>
      <c r="I176" s="42" t="n">
        <f aca="false">BOM_COEF!S450*DEMANDA!G24</f>
        <v>85.9878194</v>
      </c>
      <c r="J176" s="42" t="n">
        <f aca="false">BOM_COEF!T450*DEMANDA!H24</f>
        <v>186.8695673</v>
      </c>
      <c r="K176" s="42" t="n">
        <f aca="false">BOM_COEF!U450*DEMANDA!I24</f>
        <v>336.5836208</v>
      </c>
      <c r="L176" s="42" t="n">
        <f aca="false">BOM_COEF!V450*DEMANDA!J24</f>
        <v>484.1325977</v>
      </c>
      <c r="M176" s="42" t="n">
        <f aca="false">BOM_COEF!W450*DEMANDA!K24</f>
        <v>643.2203854</v>
      </c>
      <c r="N176" s="42" t="n">
        <f aca="false">BOM_COEF!X450*DEMANDA!L24</f>
        <v>792.4317423</v>
      </c>
      <c r="O176" s="42" t="n">
        <f aca="false">BOM_COEF!Y450*DEMANDA!M24</f>
        <v>889.677707</v>
      </c>
      <c r="P176" s="42" t="n">
        <f aca="false">BOM_COEF!Z450*DEMANDA!N24</f>
        <v>965.3111095</v>
      </c>
      <c r="Q176" s="42" t="n">
        <f aca="false">BOM_COEF!AA450*DEMANDA!O24</f>
        <v>1041.939702</v>
      </c>
      <c r="R176" s="24" t="s">
        <v>3168</v>
      </c>
    </row>
    <row r="177" customFormat="false" ht="15" hidden="false" customHeight="false" outlineLevel="1" collapsed="false">
      <c r="A177" s="24" t="n">
        <v>1</v>
      </c>
      <c r="B177" s="24" t="s">
        <v>630</v>
      </c>
      <c r="C177" s="40" t="s">
        <v>3169</v>
      </c>
      <c r="D177" s="24" t="s">
        <v>82</v>
      </c>
      <c r="E177" s="24" t="s">
        <v>300</v>
      </c>
      <c r="F177" s="41" t="n">
        <f aca="false">INDEX((BOM_COEF!R465~BOM_COEF!S465~BOM_COEF!T465~BOM_COEF!U465~BOM_COEF!V465~BOM_COEF!W465~BOM_COEF!X465~BOM_COEF!Y465~BOM_COEF!Z465~BOM_COEF!AA465),1,1,INDEX(P_VAL,MATCH("AÑO_DIS",P_ID,0))-2025)</f>
        <v>1</v>
      </c>
      <c r="G177" s="24" t="s">
        <v>2281</v>
      </c>
      <c r="H177" s="42" t="n">
        <f aca="false">BOM_COEF!R465*DEMANDA!F25</f>
        <v>38.80305642</v>
      </c>
      <c r="I177" s="42" t="n">
        <f aca="false">BOM_COEF!S465*DEMANDA!G25</f>
        <v>189.1732027</v>
      </c>
      <c r="J177" s="42" t="n">
        <f aca="false">BOM_COEF!T465*DEMANDA!H25</f>
        <v>411.113048</v>
      </c>
      <c r="K177" s="42" t="n">
        <f aca="false">BOM_COEF!U465*DEMANDA!I25</f>
        <v>740.4839657</v>
      </c>
      <c r="L177" s="42" t="n">
        <f aca="false">BOM_COEF!V465*DEMANDA!J25</f>
        <v>1065.091715</v>
      </c>
      <c r="M177" s="42" t="n">
        <f aca="false">BOM_COEF!W465*DEMANDA!K25</f>
        <v>1415.084848</v>
      </c>
      <c r="N177" s="42" t="n">
        <f aca="false">BOM_COEF!X465*DEMANDA!L25</f>
        <v>1743.349833</v>
      </c>
      <c r="O177" s="42" t="n">
        <f aca="false">BOM_COEF!Y465*DEMANDA!M25</f>
        <v>1957.290955</v>
      </c>
      <c r="P177" s="42" t="n">
        <f aca="false">BOM_COEF!Z465*DEMANDA!N25</f>
        <v>2123.684441</v>
      </c>
      <c r="Q177" s="42" t="n">
        <f aca="false">BOM_COEF!AA465*DEMANDA!O25</f>
        <v>2292.267343</v>
      </c>
      <c r="R177" s="24" t="s">
        <v>3170</v>
      </c>
    </row>
    <row r="178" customFormat="false" ht="15" hidden="false" customHeight="false" outlineLevel="1" collapsed="false">
      <c r="A178" s="24" t="n">
        <v>1</v>
      </c>
      <c r="B178" s="24" t="s">
        <v>630</v>
      </c>
      <c r="C178" s="40" t="s">
        <v>3171</v>
      </c>
      <c r="D178" s="24" t="s">
        <v>82</v>
      </c>
      <c r="E178" s="24" t="s">
        <v>366</v>
      </c>
      <c r="F178" s="41" t="n">
        <f aca="false">INDEX((BOM_COEF!R465~BOM_COEF!S465~BOM_COEF!T465~BOM_COEF!U465~BOM_COEF!V465~BOM_COEF!W465~BOM_COEF!X465~BOM_COEF!Y465~BOM_COEF!Z465~BOM_COEF!AA465),1,1,INDEX(P_VAL,MATCH("AÑO_DIS",P_ID,0))-2025)</f>
        <v>1</v>
      </c>
      <c r="G178" s="24" t="s">
        <v>2281</v>
      </c>
      <c r="H178" s="42" t="n">
        <f aca="false">BOM_COEF!R465*DEMANDA!F47</f>
        <v>1</v>
      </c>
      <c r="I178" s="42" t="n">
        <f aca="false">BOM_COEF!S465*DEMANDA!G47</f>
        <v>3</v>
      </c>
      <c r="J178" s="42" t="n">
        <f aca="false">BOM_COEF!T465*DEMANDA!H47</f>
        <v>7</v>
      </c>
      <c r="K178" s="42" t="n">
        <f aca="false">BOM_COEF!U465*DEMANDA!I47</f>
        <v>12</v>
      </c>
      <c r="L178" s="42" t="n">
        <f aca="false">BOM_COEF!V465*DEMANDA!J47</f>
        <v>17</v>
      </c>
      <c r="M178" s="42" t="n">
        <f aca="false">BOM_COEF!W465*DEMANDA!K47</f>
        <v>23</v>
      </c>
      <c r="N178" s="42" t="n">
        <f aca="false">BOM_COEF!X465*DEMANDA!L47</f>
        <v>28</v>
      </c>
      <c r="O178" s="42" t="n">
        <f aca="false">BOM_COEF!Y465*DEMANDA!M47</f>
        <v>31</v>
      </c>
      <c r="P178" s="42" t="n">
        <f aca="false">BOM_COEF!Z465*DEMANDA!N47</f>
        <v>34</v>
      </c>
      <c r="Q178" s="42" t="n">
        <f aca="false">BOM_COEF!AA465*DEMANDA!O47</f>
        <v>36</v>
      </c>
      <c r="R178" s="24" t="s">
        <v>3170</v>
      </c>
    </row>
    <row r="179" customFormat="false" ht="15" hidden="false" customHeight="false" outlineLevel="1" collapsed="false">
      <c r="A179" s="24" t="n">
        <v>1</v>
      </c>
      <c r="B179" s="24" t="s">
        <v>630</v>
      </c>
      <c r="C179" s="40" t="s">
        <v>3172</v>
      </c>
      <c r="D179" s="24" t="s">
        <v>82</v>
      </c>
      <c r="E179" s="24" t="s">
        <v>372</v>
      </c>
      <c r="F179" s="41" t="n">
        <f aca="false">INDEX((BOM_COEF!R86~BOM_COEF!S86~BOM_COEF!T86~BOM_COEF!U86~BOM_COEF!V86~BOM_COEF!W86~BOM_COEF!X86~BOM_COEF!Y86~BOM_COEF!Z86~BOM_COEF!AA86),1,1,INDEX(P_VAL,MATCH("AÑO_DIS",P_ID,0))-2025)</f>
        <v>1</v>
      </c>
      <c r="G179" s="24" t="s">
        <v>2281</v>
      </c>
      <c r="H179" s="42" t="n">
        <f aca="false">BOM_COEF!R86*DEMANDA!F49</f>
        <v>63</v>
      </c>
      <c r="I179" s="42" t="n">
        <f aca="false">BOM_COEF!S86*DEMANDA!G49</f>
        <v>222.15</v>
      </c>
      <c r="J179" s="42" t="n">
        <f aca="false">BOM_COEF!T86*DEMANDA!H49</f>
        <v>285.1</v>
      </c>
      <c r="K179" s="42" t="n">
        <f aca="false">BOM_COEF!U86*DEMANDA!I49</f>
        <v>499.65</v>
      </c>
      <c r="L179" s="42" t="n">
        <f aca="false">BOM_COEF!V86*DEMANDA!J49</f>
        <v>541.25</v>
      </c>
      <c r="M179" s="42" t="n">
        <f aca="false">BOM_COEF!W86*DEMANDA!K49</f>
        <v>632.75</v>
      </c>
      <c r="N179" s="42" t="n">
        <f aca="false">BOM_COEF!X86*DEMANDA!L49</f>
        <v>610.6</v>
      </c>
      <c r="O179" s="42" t="n">
        <f aca="false">BOM_COEF!Y86*DEMANDA!M49</f>
        <v>493.95</v>
      </c>
      <c r="P179" s="42" t="n">
        <f aca="false">BOM_COEF!Z86*DEMANDA!N49</f>
        <v>367.2</v>
      </c>
      <c r="Q179" s="42" t="n">
        <f aca="false">BOM_COEF!AA86*DEMANDA!O49</f>
        <v>382.2</v>
      </c>
      <c r="R179" s="24" t="s">
        <v>2414</v>
      </c>
    </row>
    <row r="180" customFormat="false" ht="15" hidden="false" customHeight="false" outlineLevel="1" collapsed="false">
      <c r="A180" s="24" t="n">
        <v>1</v>
      </c>
      <c r="B180" s="24" t="s">
        <v>630</v>
      </c>
      <c r="C180" s="40" t="s">
        <v>3173</v>
      </c>
      <c r="D180" s="24" t="s">
        <v>82</v>
      </c>
      <c r="E180" s="24" t="s">
        <v>375</v>
      </c>
      <c r="F180" s="41" t="n">
        <f aca="false">INDEX((BOM_COEF!R127~BOM_COEF!S127~BOM_COEF!T127~BOM_COEF!U127~BOM_COEF!V127~BOM_COEF!W127~BOM_COEF!X127~BOM_COEF!Y127~BOM_COEF!Z127~BOM_COEF!AA127),1,1,INDEX(P_VAL,MATCH("AÑO_DIS",P_ID,0))-2025)</f>
        <v>1</v>
      </c>
      <c r="G180" s="24" t="s">
        <v>2281</v>
      </c>
      <c r="H180" s="42" t="n">
        <f aca="false">BOM_COEF!R127*DEMANDA!F50</f>
        <v>2</v>
      </c>
      <c r="I180" s="42" t="n">
        <f aca="false">BOM_COEF!S127*DEMANDA!G50</f>
        <v>3.1</v>
      </c>
      <c r="J180" s="42" t="n">
        <f aca="false">BOM_COEF!T127*DEMANDA!H50</f>
        <v>7.25</v>
      </c>
      <c r="K180" s="42" t="n">
        <f aca="false">BOM_COEF!U127*DEMANDA!I50</f>
        <v>10.6</v>
      </c>
      <c r="L180" s="42" t="n">
        <f aca="false">BOM_COEF!V127*DEMANDA!J50</f>
        <v>10.1</v>
      </c>
      <c r="M180" s="42" t="n">
        <f aca="false">BOM_COEF!W127*DEMANDA!K50</f>
        <v>12.55</v>
      </c>
      <c r="N180" s="42" t="n">
        <f aca="false">BOM_COEF!X127*DEMANDA!L50</f>
        <v>11.1</v>
      </c>
      <c r="O180" s="42" t="n">
        <f aca="false">BOM_COEF!Y127*DEMANDA!M50</f>
        <v>7.55</v>
      </c>
      <c r="P180" s="42" t="n">
        <f aca="false">BOM_COEF!Z127*DEMANDA!N50</f>
        <v>7.8</v>
      </c>
      <c r="Q180" s="42" t="n">
        <f aca="false">BOM_COEF!AA127*DEMANDA!O50</f>
        <v>7.05</v>
      </c>
      <c r="R180" s="24" t="s">
        <v>2416</v>
      </c>
    </row>
    <row r="181" customFormat="false" ht="15" hidden="false" customHeight="false" outlineLevel="1" collapsed="false">
      <c r="A181" s="24" t="n">
        <v>1</v>
      </c>
      <c r="B181" s="24" t="s">
        <v>630</v>
      </c>
      <c r="C181" s="40" t="s">
        <v>3174</v>
      </c>
      <c r="D181" s="24" t="s">
        <v>82</v>
      </c>
      <c r="E181" s="24" t="s">
        <v>402</v>
      </c>
      <c r="F181" s="41" t="n">
        <f aca="false">INDEX((BOM_COEF!R218~BOM_COEF!S218~BOM_COEF!T218~BOM_COEF!U218~BOM_COEF!V218~BOM_COEF!W218~BOM_COEF!X218~BOM_COEF!Y218~BOM_COEF!Z218~BOM_COEF!AA218),1,1,INDEX(P_VAL,MATCH("AÑO_DIS",P_ID,0))-2025)</f>
        <v>1</v>
      </c>
      <c r="G181" s="24" t="s">
        <v>2281</v>
      </c>
      <c r="H181" s="42" t="n">
        <f aca="false">BOM_COEF!R218*DEMANDA!F59</f>
        <v>1</v>
      </c>
      <c r="I181" s="42" t="n">
        <f aca="false">BOM_COEF!S218*DEMANDA!G59</f>
        <v>2.05</v>
      </c>
      <c r="J181" s="42" t="n">
        <f aca="false">BOM_COEF!T218*DEMANDA!H59</f>
        <v>4.15</v>
      </c>
      <c r="K181" s="42" t="n">
        <f aca="false">BOM_COEF!U218*DEMANDA!I59</f>
        <v>5.35</v>
      </c>
      <c r="L181" s="42" t="n">
        <f aca="false">BOM_COEF!V218*DEMANDA!J59</f>
        <v>5.6</v>
      </c>
      <c r="M181" s="42" t="n">
        <f aca="false">BOM_COEF!W218*DEMANDA!K59</f>
        <v>6.85</v>
      </c>
      <c r="N181" s="42" t="n">
        <f aca="false">BOM_COEF!X218*DEMANDA!L59</f>
        <v>6.15</v>
      </c>
      <c r="O181" s="42" t="n">
        <f aca="false">BOM_COEF!Y218*DEMANDA!M59</f>
        <v>4.4</v>
      </c>
      <c r="P181" s="42" t="n">
        <f aca="false">BOM_COEF!Z218*DEMANDA!N59</f>
        <v>4.55</v>
      </c>
      <c r="Q181" s="42" t="n">
        <f aca="false">BOM_COEF!AA218*DEMANDA!O59</f>
        <v>3.7</v>
      </c>
      <c r="R181" s="24" t="s">
        <v>2791</v>
      </c>
    </row>
    <row r="182" customFormat="false" ht="15" hidden="false" customHeight="false" outlineLevel="0" collapsed="false">
      <c r="A182" s="38" t="n">
        <v>0</v>
      </c>
      <c r="B182" s="38" t="s">
        <v>1137</v>
      </c>
      <c r="C182" s="38" t="s">
        <v>2148</v>
      </c>
      <c r="D182" s="38" t="s">
        <v>82</v>
      </c>
      <c r="E182" s="38"/>
      <c r="F182" s="38"/>
      <c r="G182" s="38"/>
      <c r="H182" s="39" t="n">
        <f aca="false">SUM(H183:H186)</f>
        <v>16.110202335</v>
      </c>
      <c r="I182" s="39" t="n">
        <f aca="false">SUM(I183:I186)</f>
        <v>69.84025552</v>
      </c>
      <c r="J182" s="39" t="n">
        <f aca="false">SUM(J183:J186)</f>
        <v>152.54565382</v>
      </c>
      <c r="K182" s="39" t="n">
        <f aca="false">SUM(K183:K186)</f>
        <v>273.3668966</v>
      </c>
      <c r="L182" s="39" t="n">
        <f aca="false">SUM(L183:L186)</f>
        <v>394.4560782</v>
      </c>
      <c r="M182" s="39" t="n">
        <f aca="false">SUM(M183:M186)</f>
        <v>521.8263083</v>
      </c>
      <c r="N182" s="39" t="n">
        <f aca="false">SUM(N183:N186)</f>
        <v>642.2453938</v>
      </c>
      <c r="O182" s="39" t="n">
        <f aca="false">SUM(O183:O186)</f>
        <v>721.0921655</v>
      </c>
      <c r="P182" s="39" t="n">
        <f aca="false">SUM(P183:P186)</f>
        <v>782.6488876</v>
      </c>
      <c r="Q182" s="39" t="n">
        <f aca="false">SUM(Q183:Q186)</f>
        <v>843.0017612</v>
      </c>
      <c r="R182" s="38"/>
    </row>
    <row r="183" customFormat="false" ht="15" hidden="false" customHeight="false" outlineLevel="1" collapsed="false">
      <c r="A183" s="24" t="n">
        <v>1</v>
      </c>
      <c r="B183" s="24" t="s">
        <v>1137</v>
      </c>
      <c r="C183" s="40" t="s">
        <v>3175</v>
      </c>
      <c r="D183" s="24" t="s">
        <v>82</v>
      </c>
      <c r="E183" s="24" t="s">
        <v>303</v>
      </c>
      <c r="F183" s="41" t="n">
        <f aca="false">INDEX((BOM_COEF!R480~BOM_COEF!S480~BOM_COEF!T480~BOM_COEF!U480~BOM_COEF!V480~BOM_COEF!W480~BOM_COEF!X480~BOM_COEF!Y480~BOM_COEF!Z480~BOM_COEF!AA480),1,1,INDEX(P_VAL,MATCH("AÑO_DIS",P_ID,0))-2025)</f>
        <v>1</v>
      </c>
      <c r="G183" s="24" t="s">
        <v>2281</v>
      </c>
      <c r="H183" s="42" t="n">
        <f aca="false">BOM_COEF!R480*DEMANDA!F26</f>
        <v>8.466121401</v>
      </c>
      <c r="I183" s="42" t="n">
        <f aca="false">BOM_COEF!S480*DEMANDA!G26</f>
        <v>41.27415331</v>
      </c>
      <c r="J183" s="42" t="n">
        <f aca="false">BOM_COEF!T480*DEMANDA!H26</f>
        <v>89.69739229</v>
      </c>
      <c r="K183" s="42" t="n">
        <f aca="false">BOM_COEF!U480*DEMANDA!I26</f>
        <v>161.560138</v>
      </c>
      <c r="L183" s="42" t="n">
        <f aca="false">BOM_COEF!V480*DEMANDA!J26</f>
        <v>232.3836469</v>
      </c>
      <c r="M183" s="42" t="n">
        <f aca="false">BOM_COEF!W480*DEMANDA!K26</f>
        <v>308.745785</v>
      </c>
      <c r="N183" s="42" t="n">
        <f aca="false">BOM_COEF!X480*DEMANDA!L26</f>
        <v>380.3672363</v>
      </c>
      <c r="O183" s="42" t="n">
        <f aca="false">BOM_COEF!Y480*DEMANDA!M26</f>
        <v>427.0452993</v>
      </c>
      <c r="P183" s="42" t="n">
        <f aca="false">BOM_COEF!Z480*DEMANDA!N26</f>
        <v>463.3493326</v>
      </c>
      <c r="Q183" s="42" t="n">
        <f aca="false">BOM_COEF!AA480*DEMANDA!O26</f>
        <v>500.1310567</v>
      </c>
      <c r="R183" s="24" t="s">
        <v>3176</v>
      </c>
    </row>
    <row r="184" customFormat="false" ht="15" hidden="false" customHeight="false" outlineLevel="1" collapsed="false">
      <c r="A184" s="24" t="n">
        <v>1</v>
      </c>
      <c r="B184" s="24" t="s">
        <v>1137</v>
      </c>
      <c r="C184" s="40" t="s">
        <v>3177</v>
      </c>
      <c r="D184" s="24" t="s">
        <v>82</v>
      </c>
      <c r="E184" s="24" t="s">
        <v>306</v>
      </c>
      <c r="F184" s="41" t="n">
        <f aca="false">INDEX((BOM_COEF!R495~BOM_COEF!S495~BOM_COEF!T495~BOM_COEF!U495~BOM_COEF!V495~BOM_COEF!W495~BOM_COEF!X495~BOM_COEF!Y495~BOM_COEF!Z495~BOM_COEF!AA495),1,1,INDEX(P_VAL,MATCH("AÑO_DIS",P_ID,0))-2025)</f>
        <v>1</v>
      </c>
      <c r="G184" s="24" t="s">
        <v>2281</v>
      </c>
      <c r="H184" s="42" t="n">
        <f aca="false">BOM_COEF!R495*DEMANDA!F27</f>
        <v>5.644080934</v>
      </c>
      <c r="I184" s="42" t="n">
        <f aca="false">BOM_COEF!S495*DEMANDA!G27</f>
        <v>27.51610221</v>
      </c>
      <c r="J184" s="42" t="n">
        <f aca="false">BOM_COEF!T495*DEMANDA!H27</f>
        <v>59.79826153</v>
      </c>
      <c r="K184" s="42" t="n">
        <f aca="false">BOM_COEF!U495*DEMANDA!I27</f>
        <v>107.7067586</v>
      </c>
      <c r="L184" s="42" t="n">
        <f aca="false">BOM_COEF!V495*DEMANDA!J27</f>
        <v>154.9224313</v>
      </c>
      <c r="M184" s="42" t="n">
        <f aca="false">BOM_COEF!W495*DEMANDA!K27</f>
        <v>205.8305233</v>
      </c>
      <c r="N184" s="42" t="n">
        <f aca="false">BOM_COEF!X495*DEMANDA!L27</f>
        <v>253.5781575</v>
      </c>
      <c r="O184" s="42" t="n">
        <f aca="false">BOM_COEF!Y495*DEMANDA!M27</f>
        <v>284.6968662</v>
      </c>
      <c r="P184" s="42" t="n">
        <f aca="false">BOM_COEF!Z495*DEMANDA!N27</f>
        <v>308.899555</v>
      </c>
      <c r="Q184" s="42" t="n">
        <f aca="false">BOM_COEF!AA495*DEMANDA!O27</f>
        <v>333.4207045</v>
      </c>
      <c r="R184" s="24" t="s">
        <v>3178</v>
      </c>
    </row>
    <row r="185" customFormat="false" ht="15" hidden="false" customHeight="false" outlineLevel="1" collapsed="false">
      <c r="A185" s="24" t="n">
        <v>1</v>
      </c>
      <c r="B185" s="24" t="s">
        <v>1137</v>
      </c>
      <c r="C185" s="40" t="s">
        <v>3179</v>
      </c>
      <c r="D185" s="24" t="s">
        <v>82</v>
      </c>
      <c r="E185" s="24" t="s">
        <v>369</v>
      </c>
      <c r="F185" s="41" t="n">
        <f aca="false">INDEX((BOM_COEF!R495~BOM_COEF!S495~BOM_COEF!T495~BOM_COEF!U495~BOM_COEF!V495~BOM_COEF!W495~BOM_COEF!X495~BOM_COEF!Y495~BOM_COEF!Z495~BOM_COEF!AA495),1,1,INDEX(P_VAL,MATCH("AÑO_DIS",P_ID,0))-2025)</f>
        <v>1</v>
      </c>
      <c r="G185" s="24" t="s">
        <v>2281</v>
      </c>
      <c r="H185" s="42" t="n">
        <f aca="false">BOM_COEF!R495*DEMANDA!F48</f>
        <v>1</v>
      </c>
      <c r="I185" s="42" t="n">
        <f aca="false">BOM_COEF!S495*DEMANDA!G48</f>
        <v>1</v>
      </c>
      <c r="J185" s="42" t="n">
        <f aca="false">BOM_COEF!T495*DEMANDA!H48</f>
        <v>2</v>
      </c>
      <c r="K185" s="42" t="n">
        <f aca="false">BOM_COEF!U495*DEMANDA!I48</f>
        <v>3</v>
      </c>
      <c r="L185" s="42" t="n">
        <f aca="false">BOM_COEF!V495*DEMANDA!J48</f>
        <v>5</v>
      </c>
      <c r="M185" s="42" t="n">
        <f aca="false">BOM_COEF!W495*DEMANDA!K48</f>
        <v>6</v>
      </c>
      <c r="N185" s="42" t="n">
        <f aca="false">BOM_COEF!X495*DEMANDA!L48</f>
        <v>7</v>
      </c>
      <c r="O185" s="42" t="n">
        <f aca="false">BOM_COEF!Y495*DEMANDA!M48</f>
        <v>8</v>
      </c>
      <c r="P185" s="42" t="n">
        <f aca="false">BOM_COEF!Z495*DEMANDA!N48</f>
        <v>9</v>
      </c>
      <c r="Q185" s="42" t="n">
        <f aca="false">BOM_COEF!AA495*DEMANDA!O48</f>
        <v>9</v>
      </c>
      <c r="R185" s="24" t="s">
        <v>3178</v>
      </c>
    </row>
    <row r="186" customFormat="false" ht="15" hidden="false" customHeight="false" outlineLevel="1" collapsed="false">
      <c r="A186" s="24" t="n">
        <v>1</v>
      </c>
      <c r="B186" s="24" t="s">
        <v>1137</v>
      </c>
      <c r="C186" s="40" t="s">
        <v>3180</v>
      </c>
      <c r="D186" s="24" t="s">
        <v>82</v>
      </c>
      <c r="E186" s="24" t="s">
        <v>405</v>
      </c>
      <c r="F186" s="41" t="n">
        <f aca="false">INDEX((BOM_COEF!R319~BOM_COEF!S319~BOM_COEF!T319~BOM_COEF!U319~BOM_COEF!V319~BOM_COEF!W319~BOM_COEF!X319~BOM_COEF!Y319~BOM_COEF!Z319~BOM_COEF!AA319),1,1,INDEX(P_VAL,MATCH("AÑO_DIS",P_ID,0))-2025)</f>
        <v>1</v>
      </c>
      <c r="G186" s="24" t="s">
        <v>2281</v>
      </c>
      <c r="H186" s="42" t="n">
        <f aca="false">BOM_COEF!R319*DEMANDA!F60</f>
        <v>1</v>
      </c>
      <c r="I186" s="42" t="n">
        <f aca="false">BOM_COEF!S319*DEMANDA!G60</f>
        <v>0.05</v>
      </c>
      <c r="J186" s="42" t="n">
        <f aca="false">BOM_COEF!T319*DEMANDA!H60</f>
        <v>1.05</v>
      </c>
      <c r="K186" s="42" t="n">
        <f aca="false">BOM_COEF!U319*DEMANDA!I60</f>
        <v>1.1</v>
      </c>
      <c r="L186" s="42" t="n">
        <f aca="false">BOM_COEF!V319*DEMANDA!J60</f>
        <v>2.15</v>
      </c>
      <c r="M186" s="42" t="n">
        <f aca="false">BOM_COEF!W319*DEMANDA!K60</f>
        <v>1.25</v>
      </c>
      <c r="N186" s="42" t="n">
        <f aca="false">BOM_COEF!X319*DEMANDA!L60</f>
        <v>1.3</v>
      </c>
      <c r="O186" s="42" t="n">
        <f aca="false">BOM_COEF!Y319*DEMANDA!M60</f>
        <v>1.35</v>
      </c>
      <c r="P186" s="42" t="n">
        <f aca="false">BOM_COEF!Z319*DEMANDA!N60</f>
        <v>1.4</v>
      </c>
      <c r="Q186" s="42" t="n">
        <f aca="false">BOM_COEF!AA319*DEMANDA!O60</f>
        <v>0.45</v>
      </c>
      <c r="R186" s="24" t="s">
        <v>2795</v>
      </c>
    </row>
    <row r="187" customFormat="false" ht="15" hidden="false" customHeight="false" outlineLevel="0" collapsed="false">
      <c r="A187" s="38" t="n">
        <v>0</v>
      </c>
      <c r="B187" s="38" t="s">
        <v>1485</v>
      </c>
      <c r="C187" s="38" t="s">
        <v>2149</v>
      </c>
      <c r="D187" s="38" t="s">
        <v>82</v>
      </c>
      <c r="E187" s="38"/>
      <c r="F187" s="38"/>
      <c r="G187" s="38"/>
      <c r="H187" s="39" t="n">
        <f aca="false">SUM(H188:H204)</f>
        <v>431.795734368</v>
      </c>
      <c r="I187" s="39" t="n">
        <f aca="false">SUM(I188:I204)</f>
        <v>1920.94538598</v>
      </c>
      <c r="J187" s="39" t="n">
        <f aca="false">SUM(J188:J204)</f>
        <v>4224.43031196</v>
      </c>
      <c r="K187" s="39" t="n">
        <f aca="false">SUM(K188:K204)</f>
        <v>7732.6927344</v>
      </c>
      <c r="L187" s="39" t="n">
        <f aca="false">SUM(L188:L204)</f>
        <v>11112.0927416</v>
      </c>
      <c r="M187" s="39" t="n">
        <f aca="false">SUM(M188:M204)</f>
        <v>14722.9488333</v>
      </c>
      <c r="N187" s="39" t="n">
        <f aca="false">SUM(N188:N204)</f>
        <v>18118.4218771</v>
      </c>
      <c r="O187" s="39" t="n">
        <f aca="false">SUM(O188:O204)</f>
        <v>20222.4391089</v>
      </c>
      <c r="P187" s="39" t="n">
        <f aca="false">SUM(P188:P204)</f>
        <v>21902.0115606</v>
      </c>
      <c r="Q187" s="39" t="n">
        <f aca="false">SUM(Q188:Q204)</f>
        <v>23608.0887822</v>
      </c>
      <c r="R187" s="38"/>
    </row>
    <row r="188" customFormat="false" ht="15" hidden="false" customHeight="false" outlineLevel="1" collapsed="false">
      <c r="A188" s="24" t="n">
        <v>1</v>
      </c>
      <c r="B188" s="24" t="s">
        <v>1485</v>
      </c>
      <c r="C188" s="40" t="s">
        <v>3181</v>
      </c>
      <c r="D188" s="24" t="s">
        <v>82</v>
      </c>
      <c r="E188" s="24" t="s">
        <v>309</v>
      </c>
      <c r="F188" s="41" t="n">
        <f aca="false">INDEX((BOM_COEF!R508~BOM_COEF!S508~BOM_COEF!T508~BOM_COEF!U508~BOM_COEF!V508~BOM_COEF!W508~BOM_COEF!X508~BOM_COEF!Y508~BOM_COEF!Z508~BOM_COEF!AA508),1,1,INDEX(P_VAL,MATCH("AÑO_DIS",P_ID,0))-2025)</f>
        <v>1</v>
      </c>
      <c r="G188" s="24" t="s">
        <v>2281</v>
      </c>
      <c r="H188" s="42" t="n">
        <f aca="false">BOM_COEF!R508*DEMANDA!F28</f>
        <v>159.308736</v>
      </c>
      <c r="I188" s="42" t="n">
        <f aca="false">BOM_COEF!S508*DEMANDA!G28</f>
        <v>643.4235418</v>
      </c>
      <c r="J188" s="42" t="n">
        <f aca="false">BOM_COEF!T508*DEMANDA!H28</f>
        <v>1474.362741</v>
      </c>
      <c r="K188" s="42" t="n">
        <f aca="false">BOM_COEF!U508*DEMANDA!I28</f>
        <v>2766.451205</v>
      </c>
      <c r="L188" s="42" t="n">
        <f aca="false">BOM_COEF!V508*DEMANDA!J28</f>
        <v>3991.465221</v>
      </c>
      <c r="M188" s="42" t="n">
        <f aca="false">BOM_COEF!W508*DEMANDA!K28</f>
        <v>5335.75578</v>
      </c>
      <c r="N188" s="42" t="n">
        <f aca="false">BOM_COEF!X508*DEMANDA!L28</f>
        <v>6538.958887</v>
      </c>
      <c r="O188" s="42" t="n">
        <f aca="false">BOM_COEF!Y508*DEMANDA!M28</f>
        <v>7269.819681</v>
      </c>
      <c r="P188" s="42" t="n">
        <f aca="false">BOM_COEF!Z508*DEMANDA!N28</f>
        <v>7855.44139</v>
      </c>
      <c r="Q188" s="42" t="n">
        <f aca="false">BOM_COEF!AA508*DEMANDA!O28</f>
        <v>8450.814081</v>
      </c>
      <c r="R188" s="24" t="s">
        <v>3182</v>
      </c>
    </row>
    <row r="189" customFormat="false" ht="15" hidden="false" customHeight="false" outlineLevel="1" collapsed="false">
      <c r="A189" s="24" t="n">
        <v>1</v>
      </c>
      <c r="B189" s="24" t="s">
        <v>1485</v>
      </c>
      <c r="C189" s="40" t="s">
        <v>3183</v>
      </c>
      <c r="D189" s="24" t="s">
        <v>82</v>
      </c>
      <c r="E189" s="24" t="s">
        <v>342</v>
      </c>
      <c r="F189" s="41" t="n">
        <f aca="false">INDEX((BOM_COEF!R508~BOM_COEF!S508~BOM_COEF!T508~BOM_COEF!U508~BOM_COEF!V508~BOM_COEF!W508~BOM_COEF!X508~BOM_COEF!Y508~BOM_COEF!Z508~BOM_COEF!AA508),1,1,INDEX(P_VAL,MATCH("AÑO_DIS",P_ID,0))-2025)</f>
        <v>1</v>
      </c>
      <c r="G189" s="24" t="s">
        <v>2281</v>
      </c>
      <c r="H189" s="42" t="n">
        <f aca="false">BOM_COEF!R508*DEMANDA!F39</f>
        <v>2</v>
      </c>
      <c r="I189" s="42" t="n">
        <f aca="false">BOM_COEF!S508*DEMANDA!G39</f>
        <v>7</v>
      </c>
      <c r="J189" s="42" t="n">
        <f aca="false">BOM_COEF!T508*DEMANDA!H39</f>
        <v>16</v>
      </c>
      <c r="K189" s="42" t="n">
        <f aca="false">BOM_COEF!U508*DEMANDA!I39</f>
        <v>30</v>
      </c>
      <c r="L189" s="42" t="n">
        <f aca="false">BOM_COEF!V508*DEMANDA!J39</f>
        <v>44</v>
      </c>
      <c r="M189" s="42" t="n">
        <f aca="false">BOM_COEF!W508*DEMANDA!K39</f>
        <v>58</v>
      </c>
      <c r="N189" s="42" t="n">
        <f aca="false">BOM_COEF!X508*DEMANDA!L39</f>
        <v>71</v>
      </c>
      <c r="O189" s="42" t="n">
        <f aca="false">BOM_COEF!Y508*DEMANDA!M39</f>
        <v>79</v>
      </c>
      <c r="P189" s="42" t="n">
        <f aca="false">BOM_COEF!Z508*DEMANDA!N39</f>
        <v>85</v>
      </c>
      <c r="Q189" s="42" t="n">
        <f aca="false">BOM_COEF!AA508*DEMANDA!O39</f>
        <v>92</v>
      </c>
      <c r="R189" s="24" t="s">
        <v>3182</v>
      </c>
    </row>
    <row r="190" customFormat="false" ht="15" hidden="false" customHeight="false" outlineLevel="1" collapsed="false">
      <c r="A190" s="24" t="n">
        <v>1</v>
      </c>
      <c r="B190" s="24" t="s">
        <v>1485</v>
      </c>
      <c r="C190" s="40" t="s">
        <v>3184</v>
      </c>
      <c r="D190" s="24" t="s">
        <v>82</v>
      </c>
      <c r="E190" s="24" t="s">
        <v>312</v>
      </c>
      <c r="F190" s="41" t="n">
        <f aca="false">INDEX((BOM_COEF!R522~BOM_COEF!S522~BOM_COEF!T522~BOM_COEF!U522~BOM_COEF!V522~BOM_COEF!W522~BOM_COEF!X522~BOM_COEF!Y522~BOM_COEF!Z522~BOM_COEF!AA522),1,1,INDEX(P_VAL,MATCH("AÑO_DIS",P_ID,0))-2025)</f>
        <v>1</v>
      </c>
      <c r="G190" s="24" t="s">
        <v>2281</v>
      </c>
      <c r="H190" s="42" t="n">
        <f aca="false">BOM_COEF!R522*DEMANDA!F29</f>
        <v>22.75839086</v>
      </c>
      <c r="I190" s="42" t="n">
        <f aca="false">BOM_COEF!S522*DEMANDA!G29</f>
        <v>161.315751</v>
      </c>
      <c r="J190" s="42" t="n">
        <f aca="false">BOM_COEF!T522*DEMANDA!H29</f>
        <v>316.6072761</v>
      </c>
      <c r="K190" s="42" t="n">
        <f aca="false">BOM_COEF!U522*DEMANDA!I29</f>
        <v>527.3946199</v>
      </c>
      <c r="L190" s="42" t="n">
        <f aca="false">BOM_COEF!V522*DEMANDA!J29</f>
        <v>743.7889463</v>
      </c>
      <c r="M190" s="42" t="n">
        <f aca="false">BOM_COEF!W522*DEMANDA!K29</f>
        <v>962.8743352</v>
      </c>
      <c r="N190" s="42" t="n">
        <f aca="false">BOM_COEF!X522*DEMANDA!L29</f>
        <v>1194.942207</v>
      </c>
      <c r="O190" s="42" t="n">
        <f aca="false">BOM_COEF!Y522*DEMANDA!M29</f>
        <v>1351.617183</v>
      </c>
      <c r="P190" s="42" t="n">
        <f aca="false">BOM_COEF!Z522*DEMANDA!N29</f>
        <v>1477.54886</v>
      </c>
      <c r="Q190" s="42" t="n">
        <f aca="false">BOM_COEF!AA522*DEMANDA!O29</f>
        <v>1604.441422</v>
      </c>
      <c r="R190" s="24" t="s">
        <v>3185</v>
      </c>
    </row>
    <row r="191" customFormat="false" ht="15" hidden="false" customHeight="false" outlineLevel="1" collapsed="false">
      <c r="A191" s="24" t="n">
        <v>1</v>
      </c>
      <c r="B191" s="24" t="s">
        <v>1485</v>
      </c>
      <c r="C191" s="40" t="s">
        <v>3186</v>
      </c>
      <c r="D191" s="24" t="s">
        <v>82</v>
      </c>
      <c r="E191" s="24" t="s">
        <v>345</v>
      </c>
      <c r="F191" s="41" t="n">
        <f aca="false">INDEX((BOM_COEF!R522~BOM_COEF!S522~BOM_COEF!T522~BOM_COEF!U522~BOM_COEF!V522~BOM_COEF!W522~BOM_COEF!X522~BOM_COEF!Y522~BOM_COEF!Z522~BOM_COEF!AA522),1,1,INDEX(P_VAL,MATCH("AÑO_DIS",P_ID,0))-2025)</f>
        <v>1</v>
      </c>
      <c r="G191" s="24" t="s">
        <v>2281</v>
      </c>
      <c r="H191" s="42" t="n">
        <f aca="false">BOM_COEF!R522*DEMANDA!F40</f>
        <v>1</v>
      </c>
      <c r="I191" s="42" t="n">
        <f aca="false">BOM_COEF!S522*DEMANDA!G40</f>
        <v>2</v>
      </c>
      <c r="J191" s="42" t="n">
        <f aca="false">BOM_COEF!T522*DEMANDA!H40</f>
        <v>4</v>
      </c>
      <c r="K191" s="42" t="n">
        <f aca="false">BOM_COEF!U522*DEMANDA!I40</f>
        <v>6</v>
      </c>
      <c r="L191" s="42" t="n">
        <f aca="false">BOM_COEF!V522*DEMANDA!J40</f>
        <v>9</v>
      </c>
      <c r="M191" s="42" t="n">
        <f aca="false">BOM_COEF!W522*DEMANDA!K40</f>
        <v>11</v>
      </c>
      <c r="N191" s="42" t="n">
        <f aca="false">BOM_COEF!X522*DEMANDA!L40</f>
        <v>13</v>
      </c>
      <c r="O191" s="42" t="n">
        <f aca="false">BOM_COEF!Y522*DEMANDA!M40</f>
        <v>15</v>
      </c>
      <c r="P191" s="42" t="n">
        <f aca="false">BOM_COEF!Z522*DEMANDA!N40</f>
        <v>16</v>
      </c>
      <c r="Q191" s="42" t="n">
        <f aca="false">BOM_COEF!AA522*DEMANDA!O40</f>
        <v>18</v>
      </c>
      <c r="R191" s="24" t="s">
        <v>3185</v>
      </c>
    </row>
    <row r="192" customFormat="false" ht="15" hidden="false" customHeight="false" outlineLevel="1" collapsed="false">
      <c r="A192" s="24" t="n">
        <v>1</v>
      </c>
      <c r="B192" s="24" t="s">
        <v>1485</v>
      </c>
      <c r="C192" s="40" t="s">
        <v>3187</v>
      </c>
      <c r="D192" s="24" t="s">
        <v>82</v>
      </c>
      <c r="E192" s="24" t="s">
        <v>315</v>
      </c>
      <c r="F192" s="41" t="n">
        <f aca="false">INDEX((BOM_COEF!R536~BOM_COEF!S536~BOM_COEF!T536~BOM_COEF!U536~BOM_COEF!V536~BOM_COEF!W536~BOM_COEF!X536~BOM_COEF!Y536~BOM_COEF!Z536~BOM_COEF!AA536),1,1,INDEX(P_VAL,MATCH("AÑO_DIS",P_ID,0))-2025)</f>
        <v>1</v>
      </c>
      <c r="G192" s="24" t="s">
        <v>2281</v>
      </c>
      <c r="H192" s="42" t="n">
        <f aca="false">BOM_COEF!R536*DEMANDA!F30</f>
        <v>11.37919543</v>
      </c>
      <c r="I192" s="42" t="n">
        <f aca="false">BOM_COEF!S536*DEMANDA!G30</f>
        <v>83.22351964</v>
      </c>
      <c r="J192" s="42" t="n">
        <f aca="false">BOM_COEF!T536*DEMANDA!H30</f>
        <v>164.4638337</v>
      </c>
      <c r="K192" s="42" t="n">
        <f aca="false">BOM_COEF!U536*DEMANDA!I30</f>
        <v>281.3411453</v>
      </c>
      <c r="L192" s="42" t="n">
        <f aca="false">BOM_COEF!V536*DEMANDA!J30</f>
        <v>398.9025091</v>
      </c>
      <c r="M192" s="42" t="n">
        <f aca="false">BOM_COEF!W536*DEMANDA!K30</f>
        <v>514.5272844</v>
      </c>
      <c r="N192" s="42" t="n">
        <f aca="false">BOM_COEF!X536*DEMANDA!L30</f>
        <v>629.0655051</v>
      </c>
      <c r="O192" s="42" t="n">
        <f aca="false">BOM_COEF!Y536*DEMANDA!M30</f>
        <v>711.1780237</v>
      </c>
      <c r="P192" s="42" t="n">
        <f aca="false">BOM_COEF!Z536*DEMANDA!N30</f>
        <v>773.4109798</v>
      </c>
      <c r="Q192" s="42" t="n">
        <f aca="false">BOM_COEF!AA536*DEMANDA!O30</f>
        <v>836.3508051</v>
      </c>
      <c r="R192" s="24" t="s">
        <v>3188</v>
      </c>
    </row>
    <row r="193" customFormat="false" ht="15" hidden="false" customHeight="false" outlineLevel="1" collapsed="false">
      <c r="A193" s="24" t="n">
        <v>1</v>
      </c>
      <c r="B193" s="24" t="s">
        <v>1485</v>
      </c>
      <c r="C193" s="40" t="s">
        <v>3189</v>
      </c>
      <c r="D193" s="24" t="s">
        <v>82</v>
      </c>
      <c r="E193" s="24" t="s">
        <v>348</v>
      </c>
      <c r="F193" s="41" t="n">
        <f aca="false">INDEX((BOM_COEF!R536~BOM_COEF!S536~BOM_COEF!T536~BOM_COEF!U536~BOM_COEF!V536~BOM_COEF!W536~BOM_COEF!X536~BOM_COEF!Y536~BOM_COEF!Z536~BOM_COEF!AA536),1,1,INDEX(P_VAL,MATCH("AÑO_DIS",P_ID,0))-2025)</f>
        <v>1</v>
      </c>
      <c r="G193" s="24" t="s">
        <v>2281</v>
      </c>
      <c r="H193" s="42" t="n">
        <f aca="false">BOM_COEF!R536*DEMANDA!F41</f>
        <v>1</v>
      </c>
      <c r="I193" s="42" t="n">
        <f aca="false">BOM_COEF!S536*DEMANDA!G41</f>
        <v>1</v>
      </c>
      <c r="J193" s="42" t="n">
        <f aca="false">BOM_COEF!T536*DEMANDA!H41</f>
        <v>2</v>
      </c>
      <c r="K193" s="42" t="n">
        <f aca="false">BOM_COEF!U536*DEMANDA!I41</f>
        <v>4</v>
      </c>
      <c r="L193" s="42" t="n">
        <f aca="false">BOM_COEF!V536*DEMANDA!J41</f>
        <v>5</v>
      </c>
      <c r="M193" s="42" t="n">
        <f aca="false">BOM_COEF!W536*DEMANDA!K41</f>
        <v>6</v>
      </c>
      <c r="N193" s="42" t="n">
        <f aca="false">BOM_COEF!X536*DEMANDA!L41</f>
        <v>7</v>
      </c>
      <c r="O193" s="42" t="n">
        <f aca="false">BOM_COEF!Y536*DEMANDA!M41</f>
        <v>8</v>
      </c>
      <c r="P193" s="42" t="n">
        <f aca="false">BOM_COEF!Z536*DEMANDA!N41</f>
        <v>9</v>
      </c>
      <c r="Q193" s="42" t="n">
        <f aca="false">BOM_COEF!AA536*DEMANDA!O41</f>
        <v>10</v>
      </c>
      <c r="R193" s="24" t="s">
        <v>3188</v>
      </c>
    </row>
    <row r="194" customFormat="false" ht="15" hidden="false" customHeight="false" outlineLevel="1" collapsed="false">
      <c r="A194" s="24" t="n">
        <v>1</v>
      </c>
      <c r="B194" s="24" t="s">
        <v>1485</v>
      </c>
      <c r="C194" s="40" t="s">
        <v>3190</v>
      </c>
      <c r="D194" s="24" t="s">
        <v>82</v>
      </c>
      <c r="E194" s="24" t="s">
        <v>318</v>
      </c>
      <c r="F194" s="41" t="n">
        <f aca="false">INDEX((BOM_COEF!R551~BOM_COEF!S551~BOM_COEF!T551~BOM_COEF!U551~BOM_COEF!V551~BOM_COEF!W551~BOM_COEF!X551~BOM_COEF!Y551~BOM_COEF!Z551~BOM_COEF!AA551),1,1,INDEX(P_VAL,MATCH("AÑO_DIS",P_ID,0))-2025)</f>
        <v>1</v>
      </c>
      <c r="G194" s="24" t="s">
        <v>2281</v>
      </c>
      <c r="H194" s="42" t="n">
        <f aca="false">BOM_COEF!R551*DEMANDA!F31</f>
        <v>6.827517259</v>
      </c>
      <c r="I194" s="42" t="n">
        <f aca="false">BOM_COEF!S551*DEMANDA!G31</f>
        <v>47.07311209</v>
      </c>
      <c r="J194" s="42" t="n">
        <f aca="false">BOM_COEF!T551*DEMANDA!H31</f>
        <v>88.88967623</v>
      </c>
      <c r="K194" s="42" t="n">
        <f aca="false">BOM_COEF!U551*DEMANDA!I31</f>
        <v>159.5024913</v>
      </c>
      <c r="L194" s="42" t="n">
        <f aca="false">BOM_COEF!V551*DEMANDA!J31</f>
        <v>219.7962019</v>
      </c>
      <c r="M194" s="42" t="n">
        <f aca="false">BOM_COEF!W551*DEMANDA!K31</f>
        <v>291.8698531</v>
      </c>
      <c r="N194" s="42" t="n">
        <f aca="false">BOM_COEF!X551*DEMANDA!L31</f>
        <v>368.8441692</v>
      </c>
      <c r="O194" s="42" t="n">
        <f aca="false">BOM_COEF!Y551*DEMANDA!M31</f>
        <v>408.4089531</v>
      </c>
      <c r="P194" s="42" t="n">
        <f aca="false">BOM_COEF!Z551*DEMANDA!N31</f>
        <v>445.7819443</v>
      </c>
      <c r="Q194" s="42" t="n">
        <f aca="false">BOM_COEF!AA551*DEMANDA!O31</f>
        <v>483.4792034</v>
      </c>
      <c r="R194" s="24" t="s">
        <v>3191</v>
      </c>
    </row>
    <row r="195" customFormat="false" ht="15" hidden="false" customHeight="false" outlineLevel="1" collapsed="false">
      <c r="A195" s="24" t="n">
        <v>1</v>
      </c>
      <c r="B195" s="24" t="s">
        <v>1485</v>
      </c>
      <c r="C195" s="40" t="s">
        <v>3192</v>
      </c>
      <c r="D195" s="24" t="s">
        <v>82</v>
      </c>
      <c r="E195" s="24" t="s">
        <v>351</v>
      </c>
      <c r="F195" s="41" t="n">
        <f aca="false">INDEX((BOM_COEF!R551~BOM_COEF!S551~BOM_COEF!T551~BOM_COEF!U551~BOM_COEF!V551~BOM_COEF!W551~BOM_COEF!X551~BOM_COEF!Y551~BOM_COEF!Z551~BOM_COEF!AA551),1,1,INDEX(P_VAL,MATCH("AÑO_DIS",P_ID,0))-2025)</f>
        <v>1</v>
      </c>
      <c r="G195" s="24" t="s">
        <v>2281</v>
      </c>
      <c r="H195" s="42" t="n">
        <f aca="false">BOM_COEF!R551*DEMANDA!F42</f>
        <v>1</v>
      </c>
      <c r="I195" s="42" t="n">
        <f aca="false">BOM_COEF!S551*DEMANDA!G42</f>
        <v>1</v>
      </c>
      <c r="J195" s="42" t="n">
        <f aca="false">BOM_COEF!T551*DEMANDA!H42</f>
        <v>1</v>
      </c>
      <c r="K195" s="42" t="n">
        <f aca="false">BOM_COEF!U551*DEMANDA!I42</f>
        <v>2</v>
      </c>
      <c r="L195" s="42" t="n">
        <f aca="false">BOM_COEF!V551*DEMANDA!J42</f>
        <v>3</v>
      </c>
      <c r="M195" s="42" t="n">
        <f aca="false">BOM_COEF!W551*DEMANDA!K42</f>
        <v>4</v>
      </c>
      <c r="N195" s="42" t="n">
        <f aca="false">BOM_COEF!X551*DEMANDA!L42</f>
        <v>4</v>
      </c>
      <c r="O195" s="42" t="n">
        <f aca="false">BOM_COEF!Y551*DEMANDA!M42</f>
        <v>5</v>
      </c>
      <c r="P195" s="42" t="n">
        <f aca="false">BOM_COEF!Z551*DEMANDA!N42</f>
        <v>5</v>
      </c>
      <c r="Q195" s="42" t="n">
        <f aca="false">BOM_COEF!AA551*DEMANDA!O42</f>
        <v>6</v>
      </c>
      <c r="R195" s="24" t="s">
        <v>3191</v>
      </c>
    </row>
    <row r="196" customFormat="false" ht="15" hidden="false" customHeight="false" outlineLevel="1" collapsed="false">
      <c r="A196" s="24" t="n">
        <v>1</v>
      </c>
      <c r="B196" s="24" t="s">
        <v>1485</v>
      </c>
      <c r="C196" s="40" t="s">
        <v>3193</v>
      </c>
      <c r="D196" s="24" t="s">
        <v>82</v>
      </c>
      <c r="E196" s="24" t="s">
        <v>321</v>
      </c>
      <c r="F196" s="41" t="n">
        <f aca="false">INDEX((BOM_COEF!R563~BOM_COEF!S563~BOM_COEF!T563~BOM_COEF!U563~BOM_COEF!V563~BOM_COEF!W563~BOM_COEF!X563~BOM_COEF!Y563~BOM_COEF!Z563~BOM_COEF!AA563),1,1,INDEX(P_VAL,MATCH("AÑO_DIS",P_ID,0))-2025)</f>
        <v>1</v>
      </c>
      <c r="G196" s="24" t="s">
        <v>2281</v>
      </c>
      <c r="H196" s="42" t="n">
        <f aca="false">BOM_COEF!R563*DEMANDA!F32</f>
        <v>81.93020711</v>
      </c>
      <c r="I196" s="42" t="n">
        <f aca="false">BOM_COEF!S563*DEMANDA!G32</f>
        <v>335.3988553</v>
      </c>
      <c r="J196" s="42" t="n">
        <f aca="false">BOM_COEF!T563*DEMANDA!H32</f>
        <v>746.5983521</v>
      </c>
      <c r="K196" s="42" t="n">
        <f aca="false">BOM_COEF!U563*DEMANDA!I32</f>
        <v>1358.899837</v>
      </c>
      <c r="L196" s="42" t="n">
        <f aca="false">BOM_COEF!V563*DEMANDA!J32</f>
        <v>1961.125522</v>
      </c>
      <c r="M196" s="42" t="n">
        <f aca="false">BOM_COEF!W563*DEMANDA!K32</f>
        <v>2598.541412</v>
      </c>
      <c r="N196" s="42" t="n">
        <f aca="false">BOM_COEF!X563*DEMANDA!L32</f>
        <v>3197.263477</v>
      </c>
      <c r="O196" s="42" t="n">
        <f aca="false">BOM_COEF!Y563*DEMANDA!M32</f>
        <v>3578.539452</v>
      </c>
      <c r="P196" s="42" t="n">
        <f aca="false">BOM_COEF!Z563*DEMANDA!N32</f>
        <v>3870.747997</v>
      </c>
      <c r="Q196" s="42" t="n">
        <f aca="false">BOM_COEF!AA563*DEMANDA!O32</f>
        <v>4167.559622</v>
      </c>
      <c r="R196" s="24" t="s">
        <v>3194</v>
      </c>
    </row>
    <row r="197" customFormat="false" ht="15" hidden="false" customHeight="false" outlineLevel="1" collapsed="false">
      <c r="A197" s="24" t="n">
        <v>1</v>
      </c>
      <c r="B197" s="24" t="s">
        <v>1485</v>
      </c>
      <c r="C197" s="40" t="s">
        <v>3195</v>
      </c>
      <c r="D197" s="24" t="s">
        <v>82</v>
      </c>
      <c r="E197" s="24" t="s">
        <v>354</v>
      </c>
      <c r="F197" s="41" t="n">
        <f aca="false">INDEX((BOM_COEF!R563~BOM_COEF!S563~BOM_COEF!T563~BOM_COEF!U563~BOM_COEF!V563~BOM_COEF!W563~BOM_COEF!X563~BOM_COEF!Y563~BOM_COEF!Z563~BOM_COEF!AA563),1,1,INDEX(P_VAL,MATCH("AÑO_DIS",P_ID,0))-2025)</f>
        <v>1</v>
      </c>
      <c r="G197" s="24" t="s">
        <v>2281</v>
      </c>
      <c r="H197" s="42" t="n">
        <f aca="false">BOM_COEF!R563*DEMANDA!F43</f>
        <v>1</v>
      </c>
      <c r="I197" s="42" t="n">
        <f aca="false">BOM_COEF!S563*DEMANDA!G43</f>
        <v>4</v>
      </c>
      <c r="J197" s="42" t="n">
        <f aca="false">BOM_COEF!T563*DEMANDA!H43</f>
        <v>9</v>
      </c>
      <c r="K197" s="42" t="n">
        <f aca="false">BOM_COEF!U563*DEMANDA!I43</f>
        <v>15</v>
      </c>
      <c r="L197" s="42" t="n">
        <f aca="false">BOM_COEF!V563*DEMANDA!J43</f>
        <v>22</v>
      </c>
      <c r="M197" s="42" t="n">
        <f aca="false">BOM_COEF!W563*DEMANDA!K43</f>
        <v>29</v>
      </c>
      <c r="N197" s="42" t="n">
        <f aca="false">BOM_COEF!X563*DEMANDA!L43</f>
        <v>35</v>
      </c>
      <c r="O197" s="42" t="n">
        <f aca="false">BOM_COEF!Y563*DEMANDA!M43</f>
        <v>39</v>
      </c>
      <c r="P197" s="42" t="n">
        <f aca="false">BOM_COEF!Z563*DEMANDA!N43</f>
        <v>42</v>
      </c>
      <c r="Q197" s="42" t="n">
        <f aca="false">BOM_COEF!AA563*DEMANDA!O43</f>
        <v>45</v>
      </c>
      <c r="R197" s="24" t="s">
        <v>3194</v>
      </c>
    </row>
    <row r="198" customFormat="false" ht="15" hidden="false" customHeight="false" outlineLevel="1" collapsed="false">
      <c r="A198" s="24" t="n">
        <v>1</v>
      </c>
      <c r="B198" s="24" t="s">
        <v>1485</v>
      </c>
      <c r="C198" s="40" t="s">
        <v>3196</v>
      </c>
      <c r="D198" s="24" t="s">
        <v>82</v>
      </c>
      <c r="E198" s="24" t="s">
        <v>324</v>
      </c>
      <c r="F198" s="41" t="n">
        <f aca="false">INDEX((BOM_COEF!R574~BOM_COEF!S574~BOM_COEF!T574~BOM_COEF!U574~BOM_COEF!V574~BOM_COEF!W574~BOM_COEF!X574~BOM_COEF!Y574~BOM_COEF!Z574~BOM_COEF!AA574),1,1,INDEX(P_VAL,MATCH("AÑO_DIS",P_ID,0))-2025)</f>
        <v>0.2</v>
      </c>
      <c r="G198" s="24" t="s">
        <v>2281</v>
      </c>
      <c r="H198" s="42" t="n">
        <f aca="false">BOM_COEF!R574*DEMANDA!F33</f>
        <v>90.12322782</v>
      </c>
      <c r="I198" s="42" t="n">
        <f aca="false">BOM_COEF!S574*DEMANDA!G33</f>
        <v>339.436298</v>
      </c>
      <c r="J198" s="42" t="n">
        <f aca="false">BOM_COEF!T574*DEMANDA!H33</f>
        <v>791.0393716</v>
      </c>
      <c r="K198" s="42" t="n">
        <f aca="false">BOM_COEF!U574*DEMANDA!I33</f>
        <v>1512.252066</v>
      </c>
      <c r="L198" s="42" t="n">
        <f aca="false">BOM_COEF!V574*DEMANDA!J33</f>
        <v>2184.028962</v>
      </c>
      <c r="M198" s="42" t="n">
        <f aca="false">BOM_COEF!W574*DEMANDA!K33</f>
        <v>2902.977044</v>
      </c>
      <c r="N198" s="42" t="n">
        <f aca="false">BOM_COEF!X574*DEMANDA!L33</f>
        <v>3549.299854</v>
      </c>
      <c r="O198" s="42" t="n">
        <f aca="false">BOM_COEF!Y574*DEMANDA!M33</f>
        <v>3923.441092</v>
      </c>
      <c r="P198" s="42" t="n">
        <f aca="false">BOM_COEF!Z574*DEMANDA!N33</f>
        <v>4232.36125</v>
      </c>
      <c r="Q198" s="42" t="n">
        <f aca="false">BOM_COEF!AA574*DEMANDA!O33</f>
        <v>4546.900342</v>
      </c>
      <c r="R198" s="24" t="s">
        <v>3197</v>
      </c>
    </row>
    <row r="199" customFormat="false" ht="15" hidden="false" customHeight="false" outlineLevel="1" collapsed="false">
      <c r="A199" s="24" t="n">
        <v>1</v>
      </c>
      <c r="B199" s="24" t="s">
        <v>1485</v>
      </c>
      <c r="C199" s="40" t="s">
        <v>3198</v>
      </c>
      <c r="D199" s="24" t="s">
        <v>82</v>
      </c>
      <c r="E199" s="24" t="s">
        <v>327</v>
      </c>
      <c r="F199" s="41" t="n">
        <f aca="false">INDEX((BOM_COEF!R585~BOM_COEF!S585~BOM_COEF!T585~BOM_COEF!U585~BOM_COEF!V585~BOM_COEF!W585~BOM_COEF!X585~BOM_COEF!Y585~BOM_COEF!Z585~BOM_COEF!AA585),1,1,INDEX(P_VAL,MATCH("AÑO_DIS",P_ID,0))-2025)</f>
        <v>0.2</v>
      </c>
      <c r="G199" s="24" t="s">
        <v>2281</v>
      </c>
      <c r="H199" s="42" t="n">
        <f aca="false">BOM_COEF!R585*DEMANDA!F34</f>
        <v>25.03422994</v>
      </c>
      <c r="I199" s="42" t="n">
        <f aca="false">BOM_COEF!S585*DEMANDA!G34</f>
        <v>128.72607416</v>
      </c>
      <c r="J199" s="42" t="n">
        <f aca="false">BOM_COEF!T585*DEMANDA!H34</f>
        <v>275.1253438</v>
      </c>
      <c r="K199" s="42" t="n">
        <f aca="false">BOM_COEF!U585*DEMANDA!I34</f>
        <v>492.056853</v>
      </c>
      <c r="L199" s="42" t="n">
        <f aca="false">BOM_COEF!V585*DEMANDA!J34</f>
        <v>709.0515366</v>
      </c>
      <c r="M199" s="42" t="n">
        <f aca="false">BOM_COEF!W585*DEMANDA!K34</f>
        <v>944.6923568</v>
      </c>
      <c r="N199" s="42" t="n">
        <f aca="false">BOM_COEF!X585*DEMANDA!L34</f>
        <v>1170.7810356</v>
      </c>
      <c r="O199" s="42" t="n">
        <f aca="false">BOM_COEF!Y585*DEMANDA!M34</f>
        <v>1321.6919818</v>
      </c>
      <c r="P199" s="42" t="n">
        <f aca="false">BOM_COEF!Z585*DEMANDA!N34</f>
        <v>1437.1416794</v>
      </c>
      <c r="Q199" s="42" t="n">
        <f aca="false">BOM_COEF!AA585*DEMANDA!O34</f>
        <v>1553.9154254</v>
      </c>
      <c r="R199" s="24" t="s">
        <v>3199</v>
      </c>
    </row>
    <row r="200" customFormat="false" ht="15" hidden="false" customHeight="false" outlineLevel="1" collapsed="false">
      <c r="A200" s="24" t="n">
        <v>1</v>
      </c>
      <c r="B200" s="24" t="s">
        <v>1485</v>
      </c>
      <c r="C200" s="40" t="s">
        <v>3200</v>
      </c>
      <c r="D200" s="24" t="s">
        <v>82</v>
      </c>
      <c r="E200" s="24" t="s">
        <v>357</v>
      </c>
      <c r="F200" s="41" t="n">
        <f aca="false">INDEX((BOM_COEF!R585~BOM_COEF!S585~BOM_COEF!T585~BOM_COEF!U585~BOM_COEF!V585~BOM_COEF!W585~BOM_COEF!X585~BOM_COEF!Y585~BOM_COEF!Z585~BOM_COEF!AA585),1,1,INDEX(P_VAL,MATCH("AÑO_DIS",P_ID,0))-2025)</f>
        <v>0.2</v>
      </c>
      <c r="G200" s="24" t="s">
        <v>2281</v>
      </c>
      <c r="H200" s="42" t="n">
        <f aca="false">BOM_COEF!R585*DEMANDA!F44</f>
        <v>1.4</v>
      </c>
      <c r="I200" s="42" t="n">
        <f aca="false">BOM_COEF!S585*DEMANDA!G44</f>
        <v>5.2</v>
      </c>
      <c r="J200" s="42" t="n">
        <f aca="false">BOM_COEF!T585*DEMANDA!H44</f>
        <v>11.6</v>
      </c>
      <c r="K200" s="42" t="n">
        <f aca="false">BOM_COEF!U585*DEMANDA!I44</f>
        <v>21.8</v>
      </c>
      <c r="L200" s="42" t="n">
        <f aca="false">BOM_COEF!V585*DEMANDA!J44</f>
        <v>31.2</v>
      </c>
      <c r="M200" s="42" t="n">
        <f aca="false">BOM_COEF!W585*DEMANDA!K44</f>
        <v>41.6</v>
      </c>
      <c r="N200" s="42" t="n">
        <f aca="false">BOM_COEF!X585*DEMANDA!L44</f>
        <v>51</v>
      </c>
      <c r="O200" s="42" t="n">
        <f aca="false">BOM_COEF!Y585*DEMANDA!M44</f>
        <v>56.6</v>
      </c>
      <c r="P200" s="42" t="n">
        <f aca="false">BOM_COEF!Z585*DEMANDA!N44</f>
        <v>61.2</v>
      </c>
      <c r="Q200" s="42" t="n">
        <f aca="false">BOM_COEF!AA585*DEMANDA!O44</f>
        <v>66</v>
      </c>
      <c r="R200" s="24" t="s">
        <v>3199</v>
      </c>
    </row>
    <row r="201" customFormat="false" ht="15" hidden="false" customHeight="false" outlineLevel="1" collapsed="false">
      <c r="A201" s="24" t="n">
        <v>1</v>
      </c>
      <c r="B201" s="24" t="s">
        <v>1485</v>
      </c>
      <c r="C201" s="40" t="s">
        <v>3201</v>
      </c>
      <c r="D201" s="24" t="s">
        <v>82</v>
      </c>
      <c r="E201" s="24" t="s">
        <v>330</v>
      </c>
      <c r="F201" s="41" t="n">
        <f aca="false">INDEX((BOM_COEF!R596~BOM_COEF!S596~BOM_COEF!T596~BOM_COEF!U596~BOM_COEF!V596~BOM_COEF!W596~BOM_COEF!X596~BOM_COEF!Y596~BOM_COEF!Z596~BOM_COEF!AA596),1,1,INDEX(P_VAL,MATCH("AÑO_DIS",P_ID,0))-2025)</f>
        <v>1</v>
      </c>
      <c r="G201" s="24" t="s">
        <v>2281</v>
      </c>
      <c r="H201" s="42" t="n">
        <f aca="false">BOM_COEF!R596*DEMANDA!F35</f>
        <v>18.20671269</v>
      </c>
      <c r="I201" s="42" t="n">
        <f aca="false">BOM_COEF!S596*DEMANDA!G35</f>
        <v>112.0751219</v>
      </c>
      <c r="J201" s="42" t="n">
        <f aca="false">BOM_COEF!T596*DEMANDA!H35</f>
        <v>230.8540412</v>
      </c>
      <c r="K201" s="42" t="n">
        <f aca="false">BOM_COEF!U596*DEMANDA!I35</f>
        <v>400.7153345</v>
      </c>
      <c r="L201" s="42" t="n">
        <f aca="false">BOM_COEF!V596*DEMANDA!J35</f>
        <v>574.5077895</v>
      </c>
      <c r="M201" s="42" t="n">
        <f aca="false">BOM_COEF!W596*DEMANDA!K35</f>
        <v>754.3456228</v>
      </c>
      <c r="N201" s="42" t="n">
        <f aca="false">BOM_COEF!X596*DEMANDA!L35</f>
        <v>944.8488404</v>
      </c>
      <c r="O201" s="42" t="n">
        <f aca="false">BOM_COEF!Y596*DEMANDA!M35</f>
        <v>1072.234671</v>
      </c>
      <c r="P201" s="42" t="n">
        <f aca="false">BOM_COEF!Z596*DEMANDA!N35</f>
        <v>1171.695753</v>
      </c>
      <c r="Q201" s="42" t="n">
        <f aca="false">BOM_COEF!AA596*DEMANDA!O35</f>
        <v>1271.941099</v>
      </c>
      <c r="R201" s="24" t="s">
        <v>3202</v>
      </c>
    </row>
    <row r="202" customFormat="false" ht="15" hidden="false" customHeight="false" outlineLevel="1" collapsed="false">
      <c r="A202" s="24" t="n">
        <v>1</v>
      </c>
      <c r="B202" s="24" t="s">
        <v>1485</v>
      </c>
      <c r="C202" s="40" t="s">
        <v>3203</v>
      </c>
      <c r="D202" s="24" t="s">
        <v>82</v>
      </c>
      <c r="E202" s="24" t="s">
        <v>360</v>
      </c>
      <c r="F202" s="41" t="n">
        <f aca="false">INDEX((BOM_COEF!R596~BOM_COEF!S596~BOM_COEF!T596~BOM_COEF!U596~BOM_COEF!V596~BOM_COEF!W596~BOM_COEF!X596~BOM_COEF!Y596~BOM_COEF!Z596~BOM_COEF!AA596),1,1,INDEX(P_VAL,MATCH("AÑO_DIS",P_ID,0))-2025)</f>
        <v>1</v>
      </c>
      <c r="G202" s="24" t="s">
        <v>2281</v>
      </c>
      <c r="H202" s="42" t="n">
        <f aca="false">BOM_COEF!R596*DEMANDA!F45</f>
        <v>1</v>
      </c>
      <c r="I202" s="42" t="n">
        <f aca="false">BOM_COEF!S596*DEMANDA!G45</f>
        <v>2</v>
      </c>
      <c r="J202" s="42" t="n">
        <f aca="false">BOM_COEF!T596*DEMANDA!H45</f>
        <v>3</v>
      </c>
      <c r="K202" s="42" t="n">
        <f aca="false">BOM_COEF!U596*DEMANDA!I45</f>
        <v>5</v>
      </c>
      <c r="L202" s="42" t="n">
        <f aca="false">BOM_COEF!V596*DEMANDA!J45</f>
        <v>7</v>
      </c>
      <c r="M202" s="42" t="n">
        <f aca="false">BOM_COEF!W596*DEMANDA!K45</f>
        <v>9</v>
      </c>
      <c r="N202" s="42" t="n">
        <f aca="false">BOM_COEF!X596*DEMANDA!L45</f>
        <v>11</v>
      </c>
      <c r="O202" s="42" t="n">
        <f aca="false">BOM_COEF!Y596*DEMANDA!M45</f>
        <v>12</v>
      </c>
      <c r="P202" s="42" t="n">
        <f aca="false">BOM_COEF!Z596*DEMANDA!N45</f>
        <v>13</v>
      </c>
      <c r="Q202" s="42" t="n">
        <f aca="false">BOM_COEF!AA596*DEMANDA!O45</f>
        <v>14</v>
      </c>
      <c r="R202" s="24" t="s">
        <v>3202</v>
      </c>
    </row>
    <row r="203" customFormat="false" ht="15" hidden="false" customHeight="false" outlineLevel="1" collapsed="false">
      <c r="A203" s="24" t="n">
        <v>1</v>
      </c>
      <c r="B203" s="24" t="s">
        <v>1485</v>
      </c>
      <c r="C203" s="40" t="s">
        <v>3204</v>
      </c>
      <c r="D203" s="24" t="s">
        <v>82</v>
      </c>
      <c r="E203" s="24" t="s">
        <v>333</v>
      </c>
      <c r="F203" s="41" t="n">
        <f aca="false">INDEX((BOM_COEF!R608~BOM_COEF!S608~BOM_COEF!T608~BOM_COEF!U608~BOM_COEF!V608~BOM_COEF!W608~BOM_COEF!X608~BOM_COEF!Y608~BOM_COEF!Z608~BOM_COEF!AA608),1,1,INDEX(P_VAL,MATCH("AÑO_DIS",P_ID,0))-2025)</f>
        <v>1</v>
      </c>
      <c r="G203" s="24" t="s">
        <v>2281</v>
      </c>
      <c r="H203" s="42" t="n">
        <f aca="false">BOM_COEF!R608*DEMANDA!F36</f>
        <v>6.827517259</v>
      </c>
      <c r="I203" s="42" t="n">
        <f aca="false">BOM_COEF!S608*DEMANDA!G36</f>
        <v>47.07311209</v>
      </c>
      <c r="J203" s="42" t="n">
        <f aca="false">BOM_COEF!T608*DEMANDA!H36</f>
        <v>88.88967623</v>
      </c>
      <c r="K203" s="42" t="n">
        <f aca="false">BOM_COEF!U608*DEMANDA!I36</f>
        <v>148.2791824</v>
      </c>
      <c r="L203" s="42" t="n">
        <f aca="false">BOM_COEF!V608*DEMANDA!J36</f>
        <v>205.2260532</v>
      </c>
      <c r="M203" s="42" t="n">
        <f aca="false">BOM_COEF!W608*DEMANDA!K36</f>
        <v>255.765145</v>
      </c>
      <c r="N203" s="42" t="n">
        <f aca="false">BOM_COEF!X608*DEMANDA!L36</f>
        <v>328.4179018</v>
      </c>
      <c r="O203" s="42" t="n">
        <f aca="false">BOM_COEF!Y608*DEMANDA!M36</f>
        <v>366.9080713</v>
      </c>
      <c r="P203" s="42" t="n">
        <f aca="false">BOM_COEF!Z608*DEMANDA!N36</f>
        <v>401.6817071</v>
      </c>
      <c r="Q203" s="42" t="n">
        <f aca="false">BOM_COEF!AA608*DEMANDA!O36</f>
        <v>436.6867823</v>
      </c>
      <c r="R203" s="24" t="s">
        <v>3205</v>
      </c>
    </row>
    <row r="204" customFormat="false" ht="15" hidden="false" customHeight="false" outlineLevel="1" collapsed="false">
      <c r="A204" s="24" t="n">
        <v>1</v>
      </c>
      <c r="B204" s="24" t="s">
        <v>1485</v>
      </c>
      <c r="C204" s="40" t="s">
        <v>3206</v>
      </c>
      <c r="D204" s="24" t="s">
        <v>82</v>
      </c>
      <c r="E204" s="24" t="s">
        <v>363</v>
      </c>
      <c r="F204" s="41" t="n">
        <f aca="false">INDEX((BOM_COEF!R608~BOM_COEF!S608~BOM_COEF!T608~BOM_COEF!U608~BOM_COEF!V608~BOM_COEF!W608~BOM_COEF!X608~BOM_COEF!Y608~BOM_COEF!Z608~BOM_COEF!AA608),1,1,INDEX(P_VAL,MATCH("AÑO_DIS",P_ID,0))-2025)</f>
        <v>1</v>
      </c>
      <c r="G204" s="24" t="s">
        <v>2281</v>
      </c>
      <c r="H204" s="42" t="n">
        <f aca="false">BOM_COEF!R608*DEMANDA!F46</f>
        <v>1</v>
      </c>
      <c r="I204" s="42" t="n">
        <f aca="false">BOM_COEF!S608*DEMANDA!G46</f>
        <v>1</v>
      </c>
      <c r="J204" s="42" t="n">
        <f aca="false">BOM_COEF!T608*DEMANDA!H46</f>
        <v>1</v>
      </c>
      <c r="K204" s="42" t="n">
        <f aca="false">BOM_COEF!U608*DEMANDA!I46</f>
        <v>2</v>
      </c>
      <c r="L204" s="42" t="n">
        <f aca="false">BOM_COEF!V608*DEMANDA!J46</f>
        <v>3</v>
      </c>
      <c r="M204" s="42" t="n">
        <f aca="false">BOM_COEF!W608*DEMANDA!K46</f>
        <v>3</v>
      </c>
      <c r="N204" s="42" t="n">
        <f aca="false">BOM_COEF!X608*DEMANDA!L46</f>
        <v>4</v>
      </c>
      <c r="O204" s="42" t="n">
        <f aca="false">BOM_COEF!Y608*DEMANDA!M46</f>
        <v>4</v>
      </c>
      <c r="P204" s="42" t="n">
        <f aca="false">BOM_COEF!Z608*DEMANDA!N46</f>
        <v>5</v>
      </c>
      <c r="Q204" s="42" t="n">
        <f aca="false">BOM_COEF!AA608*DEMANDA!O46</f>
        <v>5</v>
      </c>
      <c r="R204" s="24" t="s">
        <v>3205</v>
      </c>
    </row>
    <row r="205" customFormat="false" ht="15" hidden="false" customHeight="false" outlineLevel="0" collapsed="false">
      <c r="A205" s="38" t="n">
        <v>0</v>
      </c>
      <c r="B205" s="38" t="s">
        <v>786</v>
      </c>
      <c r="C205" s="38" t="s">
        <v>2155</v>
      </c>
      <c r="D205" s="38" t="s">
        <v>82</v>
      </c>
      <c r="E205" s="38"/>
      <c r="F205" s="38"/>
      <c r="G205" s="38"/>
      <c r="H205" s="39" t="n">
        <f aca="false">SUM(H206:H206)</f>
        <v>63</v>
      </c>
      <c r="I205" s="39" t="n">
        <f aca="false">SUM(I206:I206)</f>
        <v>222.15</v>
      </c>
      <c r="J205" s="39" t="n">
        <f aca="false">SUM(J206:J206)</f>
        <v>285.1</v>
      </c>
      <c r="K205" s="39" t="n">
        <f aca="false">SUM(K206:K206)</f>
        <v>499.65</v>
      </c>
      <c r="L205" s="39" t="n">
        <f aca="false">SUM(L206:L206)</f>
        <v>541.25</v>
      </c>
      <c r="M205" s="39" t="n">
        <f aca="false">SUM(M206:M206)</f>
        <v>632.75</v>
      </c>
      <c r="N205" s="39" t="n">
        <f aca="false">SUM(N206:N206)</f>
        <v>610.6</v>
      </c>
      <c r="O205" s="39" t="n">
        <f aca="false">SUM(O206:O206)</f>
        <v>493.95</v>
      </c>
      <c r="P205" s="39" t="n">
        <f aca="false">SUM(P206:P206)</f>
        <v>367.2</v>
      </c>
      <c r="Q205" s="39" t="n">
        <f aca="false">SUM(Q206:Q206)</f>
        <v>382.2</v>
      </c>
      <c r="R205" s="38"/>
    </row>
    <row r="206" customFormat="false" ht="15" hidden="false" customHeight="false" outlineLevel="1" collapsed="false">
      <c r="A206" s="24" t="n">
        <v>1</v>
      </c>
      <c r="B206" s="24" t="s">
        <v>786</v>
      </c>
      <c r="C206" s="40" t="s">
        <v>3207</v>
      </c>
      <c r="D206" s="24" t="s">
        <v>82</v>
      </c>
      <c r="E206" s="24" t="s">
        <v>372</v>
      </c>
      <c r="F206" s="41" t="n">
        <f aca="false">INDEX((BOM_COEF!R114~BOM_COEF!S114~BOM_COEF!T114~BOM_COEF!U114~BOM_COEF!V114~BOM_COEF!W114~BOM_COEF!X114~BOM_COEF!Y114~BOM_COEF!Z114~BOM_COEF!AA114),1,1,INDEX(P_VAL,MATCH("AÑO_DIS",P_ID,0))-2025)</f>
        <v>1</v>
      </c>
      <c r="G206" s="24" t="s">
        <v>2281</v>
      </c>
      <c r="H206" s="42" t="n">
        <f aca="false">BOM_COEF!R114*DEMANDA!F49</f>
        <v>63</v>
      </c>
      <c r="I206" s="42" t="n">
        <f aca="false">BOM_COEF!S114*DEMANDA!G49</f>
        <v>222.15</v>
      </c>
      <c r="J206" s="42" t="n">
        <f aca="false">BOM_COEF!T114*DEMANDA!H49</f>
        <v>285.1</v>
      </c>
      <c r="K206" s="42" t="n">
        <f aca="false">BOM_COEF!U114*DEMANDA!I49</f>
        <v>499.65</v>
      </c>
      <c r="L206" s="42" t="n">
        <f aca="false">BOM_COEF!V114*DEMANDA!J49</f>
        <v>541.25</v>
      </c>
      <c r="M206" s="42" t="n">
        <f aca="false">BOM_COEF!W114*DEMANDA!K49</f>
        <v>632.75</v>
      </c>
      <c r="N206" s="42" t="n">
        <f aca="false">BOM_COEF!X114*DEMANDA!L49</f>
        <v>610.6</v>
      </c>
      <c r="O206" s="42" t="n">
        <f aca="false">BOM_COEF!Y114*DEMANDA!M49</f>
        <v>493.95</v>
      </c>
      <c r="P206" s="42" t="n">
        <f aca="false">BOM_COEF!Z114*DEMANDA!N49</f>
        <v>367.2</v>
      </c>
      <c r="Q206" s="42" t="n">
        <f aca="false">BOM_COEF!AA114*DEMANDA!O49</f>
        <v>382.2</v>
      </c>
      <c r="R206" s="24" t="s">
        <v>2420</v>
      </c>
    </row>
    <row r="207" customFormat="false" ht="15" hidden="false" customHeight="false" outlineLevel="0" collapsed="false">
      <c r="A207" s="38" t="n">
        <v>0</v>
      </c>
      <c r="B207" s="38" t="s">
        <v>870</v>
      </c>
      <c r="C207" s="38" t="s">
        <v>2156</v>
      </c>
      <c r="D207" s="38" t="s">
        <v>82</v>
      </c>
      <c r="E207" s="38"/>
      <c r="F207" s="38"/>
      <c r="G207" s="38"/>
      <c r="H207" s="39" t="n">
        <f aca="false">SUM(H208:H208)</f>
        <v>2</v>
      </c>
      <c r="I207" s="39" t="n">
        <f aca="false">SUM(I208:I208)</f>
        <v>3.1</v>
      </c>
      <c r="J207" s="39" t="n">
        <f aca="false">SUM(J208:J208)</f>
        <v>7.25</v>
      </c>
      <c r="K207" s="39" t="n">
        <f aca="false">SUM(K208:K208)</f>
        <v>10.6</v>
      </c>
      <c r="L207" s="39" t="n">
        <f aca="false">SUM(L208:L208)</f>
        <v>10.1</v>
      </c>
      <c r="M207" s="39" t="n">
        <f aca="false">SUM(M208:M208)</f>
        <v>12.55</v>
      </c>
      <c r="N207" s="39" t="n">
        <f aca="false">SUM(N208:N208)</f>
        <v>11.1</v>
      </c>
      <c r="O207" s="39" t="n">
        <f aca="false">SUM(O208:O208)</f>
        <v>7.55</v>
      </c>
      <c r="P207" s="39" t="n">
        <f aca="false">SUM(P208:P208)</f>
        <v>7.8</v>
      </c>
      <c r="Q207" s="39" t="n">
        <f aca="false">SUM(Q208:Q208)</f>
        <v>7.05</v>
      </c>
      <c r="R207" s="38"/>
    </row>
    <row r="208" customFormat="false" ht="15" hidden="false" customHeight="false" outlineLevel="1" collapsed="false">
      <c r="A208" s="24" t="n">
        <v>1</v>
      </c>
      <c r="B208" s="24" t="s">
        <v>870</v>
      </c>
      <c r="C208" s="40" t="s">
        <v>3208</v>
      </c>
      <c r="D208" s="24" t="s">
        <v>82</v>
      </c>
      <c r="E208" s="24" t="s">
        <v>375</v>
      </c>
      <c r="F208" s="41" t="n">
        <f aca="false">INDEX((BOM_COEF!R155~BOM_COEF!S155~BOM_COEF!T155~BOM_COEF!U155~BOM_COEF!V155~BOM_COEF!W155~BOM_COEF!X155~BOM_COEF!Y155~BOM_COEF!Z155~BOM_COEF!AA155),1,1,INDEX(P_VAL,MATCH("AÑO_DIS",P_ID,0))-2025)</f>
        <v>1</v>
      </c>
      <c r="G208" s="24" t="s">
        <v>2281</v>
      </c>
      <c r="H208" s="42" t="n">
        <f aca="false">BOM_COEF!R155*DEMANDA!F50</f>
        <v>2</v>
      </c>
      <c r="I208" s="42" t="n">
        <f aca="false">BOM_COEF!S155*DEMANDA!G50</f>
        <v>3.1</v>
      </c>
      <c r="J208" s="42" t="n">
        <f aca="false">BOM_COEF!T155*DEMANDA!H50</f>
        <v>7.25</v>
      </c>
      <c r="K208" s="42" t="n">
        <f aca="false">BOM_COEF!U155*DEMANDA!I50</f>
        <v>10.6</v>
      </c>
      <c r="L208" s="42" t="n">
        <f aca="false">BOM_COEF!V155*DEMANDA!J50</f>
        <v>10.1</v>
      </c>
      <c r="M208" s="42" t="n">
        <f aca="false">BOM_COEF!W155*DEMANDA!K50</f>
        <v>12.55</v>
      </c>
      <c r="N208" s="42" t="n">
        <f aca="false">BOM_COEF!X155*DEMANDA!L50</f>
        <v>11.1</v>
      </c>
      <c r="O208" s="42" t="n">
        <f aca="false">BOM_COEF!Y155*DEMANDA!M50</f>
        <v>7.55</v>
      </c>
      <c r="P208" s="42" t="n">
        <f aca="false">BOM_COEF!Z155*DEMANDA!N50</f>
        <v>7.8</v>
      </c>
      <c r="Q208" s="42" t="n">
        <f aca="false">BOM_COEF!AA155*DEMANDA!O50</f>
        <v>7.05</v>
      </c>
      <c r="R208" s="24" t="s">
        <v>2422</v>
      </c>
    </row>
    <row r="209" customFormat="false" ht="15" hidden="false" customHeight="false" outlineLevel="0" collapsed="false">
      <c r="A209" s="38" t="n">
        <v>0</v>
      </c>
      <c r="B209" s="38" t="s">
        <v>703</v>
      </c>
      <c r="C209" s="38" t="s">
        <v>2158</v>
      </c>
      <c r="D209" s="38" t="s">
        <v>82</v>
      </c>
      <c r="E209" s="38"/>
      <c r="F209" s="38"/>
      <c r="G209" s="38"/>
      <c r="H209" s="39" t="n">
        <f aca="false">SUM(H210:H211)</f>
        <v>130</v>
      </c>
      <c r="I209" s="39" t="n">
        <f aca="false">SUM(I210:I211)</f>
        <v>450.5</v>
      </c>
      <c r="J209" s="39" t="n">
        <f aca="false">SUM(J210:J211)</f>
        <v>584.7</v>
      </c>
      <c r="K209" s="39" t="n">
        <f aca="false">SUM(K210:K211)</f>
        <v>1020.5</v>
      </c>
      <c r="L209" s="39" t="n">
        <f aca="false">SUM(L210:L211)</f>
        <v>1102.7</v>
      </c>
      <c r="M209" s="39" t="n">
        <f aca="false">SUM(M210:M211)</f>
        <v>1290.6</v>
      </c>
      <c r="N209" s="39" t="n">
        <f aca="false">SUM(N210:N211)</f>
        <v>1243.4</v>
      </c>
      <c r="O209" s="39" t="n">
        <f aca="false">SUM(O210:O211)</f>
        <v>1003</v>
      </c>
      <c r="P209" s="39" t="n">
        <f aca="false">SUM(P210:P211)</f>
        <v>750</v>
      </c>
      <c r="Q209" s="39" t="n">
        <f aca="false">SUM(Q210:Q211)</f>
        <v>778.5</v>
      </c>
      <c r="R209" s="38"/>
    </row>
    <row r="210" customFormat="false" ht="15" hidden="false" customHeight="false" outlineLevel="1" collapsed="false">
      <c r="A210" s="24" t="n">
        <v>1</v>
      </c>
      <c r="B210" s="24" t="s">
        <v>703</v>
      </c>
      <c r="C210" s="40" t="s">
        <v>3209</v>
      </c>
      <c r="D210" s="24" t="s">
        <v>82</v>
      </c>
      <c r="E210" s="24" t="s">
        <v>372</v>
      </c>
      <c r="F210" s="41" t="n">
        <f aca="false">INDEX((BOM_COEF!R115~BOM_COEF!S115~BOM_COEF!T115~BOM_COEF!U115~BOM_COEF!V115~BOM_COEF!W115~BOM_COEF!X115~BOM_COEF!Y115~BOM_COEF!Z115~BOM_COEF!AA115),1,1,INDEX(P_VAL,MATCH("AÑO_DIS",P_ID,0))-2025)</f>
        <v>2</v>
      </c>
      <c r="G210" s="24" t="s">
        <v>2281</v>
      </c>
      <c r="H210" s="42" t="n">
        <f aca="false">BOM_COEF!R115*DEMANDA!F49</f>
        <v>126</v>
      </c>
      <c r="I210" s="42" t="n">
        <f aca="false">BOM_COEF!S115*DEMANDA!G49</f>
        <v>444.3</v>
      </c>
      <c r="J210" s="42" t="n">
        <f aca="false">BOM_COEF!T115*DEMANDA!H49</f>
        <v>570.2</v>
      </c>
      <c r="K210" s="42" t="n">
        <f aca="false">BOM_COEF!U115*DEMANDA!I49</f>
        <v>999.3</v>
      </c>
      <c r="L210" s="42" t="n">
        <f aca="false">BOM_COEF!V115*DEMANDA!J49</f>
        <v>1082.5</v>
      </c>
      <c r="M210" s="42" t="n">
        <f aca="false">BOM_COEF!W115*DEMANDA!K49</f>
        <v>1265.5</v>
      </c>
      <c r="N210" s="42" t="n">
        <f aca="false">BOM_COEF!X115*DEMANDA!L49</f>
        <v>1221.2</v>
      </c>
      <c r="O210" s="42" t="n">
        <f aca="false">BOM_COEF!Y115*DEMANDA!M49</f>
        <v>987.9</v>
      </c>
      <c r="P210" s="42" t="n">
        <f aca="false">BOM_COEF!Z115*DEMANDA!N49</f>
        <v>734.4</v>
      </c>
      <c r="Q210" s="42" t="n">
        <f aca="false">BOM_COEF!AA115*DEMANDA!O49</f>
        <v>764.4</v>
      </c>
      <c r="R210" s="24" t="s">
        <v>2428</v>
      </c>
    </row>
    <row r="211" customFormat="false" ht="15" hidden="false" customHeight="false" outlineLevel="1" collapsed="false">
      <c r="A211" s="24" t="n">
        <v>1</v>
      </c>
      <c r="B211" s="24" t="s">
        <v>703</v>
      </c>
      <c r="C211" s="40" t="s">
        <v>3210</v>
      </c>
      <c r="D211" s="24" t="s">
        <v>82</v>
      </c>
      <c r="E211" s="24" t="s">
        <v>375</v>
      </c>
      <c r="F211" s="41" t="n">
        <f aca="false">INDEX((BOM_COEF!R156~BOM_COEF!S156~BOM_COEF!T156~BOM_COEF!U156~BOM_COEF!V156~BOM_COEF!W156~BOM_COEF!X156~BOM_COEF!Y156~BOM_COEF!Z156~BOM_COEF!AA156),1,1,INDEX(P_VAL,MATCH("AÑO_DIS",P_ID,0))-2025)</f>
        <v>2</v>
      </c>
      <c r="G211" s="24" t="s">
        <v>2281</v>
      </c>
      <c r="H211" s="42" t="n">
        <f aca="false">BOM_COEF!R156*DEMANDA!F50</f>
        <v>4</v>
      </c>
      <c r="I211" s="42" t="n">
        <f aca="false">BOM_COEF!S156*DEMANDA!G50</f>
        <v>6.2</v>
      </c>
      <c r="J211" s="42" t="n">
        <f aca="false">BOM_COEF!T156*DEMANDA!H50</f>
        <v>14.5</v>
      </c>
      <c r="K211" s="42" t="n">
        <f aca="false">BOM_COEF!U156*DEMANDA!I50</f>
        <v>21.2</v>
      </c>
      <c r="L211" s="42" t="n">
        <f aca="false">BOM_COEF!V156*DEMANDA!J50</f>
        <v>20.2</v>
      </c>
      <c r="M211" s="42" t="n">
        <f aca="false">BOM_COEF!W156*DEMANDA!K50</f>
        <v>25.1</v>
      </c>
      <c r="N211" s="42" t="n">
        <f aca="false">BOM_COEF!X156*DEMANDA!L50</f>
        <v>22.2</v>
      </c>
      <c r="O211" s="42" t="n">
        <f aca="false">BOM_COEF!Y156*DEMANDA!M50</f>
        <v>15.1</v>
      </c>
      <c r="P211" s="42" t="n">
        <f aca="false">BOM_COEF!Z156*DEMANDA!N50</f>
        <v>15.6</v>
      </c>
      <c r="Q211" s="42" t="n">
        <f aca="false">BOM_COEF!AA156*DEMANDA!O50</f>
        <v>14.1</v>
      </c>
      <c r="R211" s="24" t="s">
        <v>2430</v>
      </c>
    </row>
    <row r="212" customFormat="false" ht="15" hidden="false" customHeight="false" outlineLevel="0" collapsed="false">
      <c r="A212" s="38" t="n">
        <v>0</v>
      </c>
      <c r="B212" s="38" t="s">
        <v>1076</v>
      </c>
      <c r="C212" s="38" t="s">
        <v>2163</v>
      </c>
      <c r="D212" s="38" t="s">
        <v>82</v>
      </c>
      <c r="E212" s="38"/>
      <c r="F212" s="38"/>
      <c r="G212" s="38"/>
      <c r="H212" s="39" t="n">
        <f aca="false">SUM(H213:H213)</f>
        <v>2</v>
      </c>
      <c r="I212" s="39" t="n">
        <f aca="false">SUM(I213:I213)</f>
        <v>4.1</v>
      </c>
      <c r="J212" s="39" t="n">
        <f aca="false">SUM(J213:J213)</f>
        <v>8.3</v>
      </c>
      <c r="K212" s="39" t="n">
        <f aca="false">SUM(K213:K213)</f>
        <v>10.7</v>
      </c>
      <c r="L212" s="39" t="n">
        <f aca="false">SUM(L213:L213)</f>
        <v>11.2</v>
      </c>
      <c r="M212" s="39" t="n">
        <f aca="false">SUM(M213:M213)</f>
        <v>13.7</v>
      </c>
      <c r="N212" s="39" t="n">
        <f aca="false">SUM(N213:N213)</f>
        <v>12.3</v>
      </c>
      <c r="O212" s="39" t="n">
        <f aca="false">SUM(O213:O213)</f>
        <v>8.8</v>
      </c>
      <c r="P212" s="39" t="n">
        <f aca="false">SUM(P213:P213)</f>
        <v>9.1</v>
      </c>
      <c r="Q212" s="39" t="n">
        <f aca="false">SUM(Q213:Q213)</f>
        <v>7.4</v>
      </c>
      <c r="R212" s="38"/>
    </row>
    <row r="213" customFormat="false" ht="15" hidden="false" customHeight="false" outlineLevel="1" collapsed="false">
      <c r="A213" s="24" t="n">
        <v>1</v>
      </c>
      <c r="B213" s="24" t="s">
        <v>1076</v>
      </c>
      <c r="C213" s="40" t="s">
        <v>3211</v>
      </c>
      <c r="D213" s="24" t="s">
        <v>82</v>
      </c>
      <c r="E213" s="24" t="s">
        <v>402</v>
      </c>
      <c r="F213" s="41" t="n">
        <f aca="false">INDEX((BOM_COEF!R240~BOM_COEF!S240~BOM_COEF!T240~BOM_COEF!U240~BOM_COEF!V240~BOM_COEF!W240~BOM_COEF!X240~BOM_COEF!Y240~BOM_COEF!Z240~BOM_COEF!AA240),1,1,INDEX(P_VAL,MATCH("AÑO_DIS",P_ID,0))-2025)</f>
        <v>2</v>
      </c>
      <c r="G213" s="24" t="s">
        <v>2281</v>
      </c>
      <c r="H213" s="42" t="n">
        <f aca="false">BOM_COEF!R240*DEMANDA!F59</f>
        <v>2</v>
      </c>
      <c r="I213" s="42" t="n">
        <f aca="false">BOM_COEF!S240*DEMANDA!G59</f>
        <v>4.1</v>
      </c>
      <c r="J213" s="42" t="n">
        <f aca="false">BOM_COEF!T240*DEMANDA!H59</f>
        <v>8.3</v>
      </c>
      <c r="K213" s="42" t="n">
        <f aca="false">BOM_COEF!U240*DEMANDA!I59</f>
        <v>10.7</v>
      </c>
      <c r="L213" s="42" t="n">
        <f aca="false">BOM_COEF!V240*DEMANDA!J59</f>
        <v>11.2</v>
      </c>
      <c r="M213" s="42" t="n">
        <f aca="false">BOM_COEF!W240*DEMANDA!K59</f>
        <v>13.7</v>
      </c>
      <c r="N213" s="42" t="n">
        <f aca="false">BOM_COEF!X240*DEMANDA!L59</f>
        <v>12.3</v>
      </c>
      <c r="O213" s="42" t="n">
        <f aca="false">BOM_COEF!Y240*DEMANDA!M59</f>
        <v>8.8</v>
      </c>
      <c r="P213" s="42" t="n">
        <f aca="false">BOM_COEF!Z240*DEMANDA!N59</f>
        <v>9.1</v>
      </c>
      <c r="Q213" s="42" t="n">
        <f aca="false">BOM_COEF!AA240*DEMANDA!O59</f>
        <v>7.4</v>
      </c>
      <c r="R213" s="24" t="s">
        <v>2799</v>
      </c>
    </row>
    <row r="214" customFormat="false" ht="15" hidden="false" customHeight="false" outlineLevel="0" collapsed="false">
      <c r="A214" s="38" t="n">
        <v>0</v>
      </c>
      <c r="B214" s="38" t="s">
        <v>1184</v>
      </c>
      <c r="C214" s="38" t="s">
        <v>2165</v>
      </c>
      <c r="D214" s="38" t="s">
        <v>82</v>
      </c>
      <c r="E214" s="38"/>
      <c r="F214" s="38"/>
      <c r="G214" s="38"/>
      <c r="H214" s="39" t="n">
        <f aca="false">SUM(H215:H215)</f>
        <v>2</v>
      </c>
      <c r="I214" s="39" t="n">
        <f aca="false">SUM(I215:I215)</f>
        <v>0.1</v>
      </c>
      <c r="J214" s="39" t="n">
        <f aca="false">SUM(J215:J215)</f>
        <v>2.1</v>
      </c>
      <c r="K214" s="39" t="n">
        <f aca="false">SUM(K215:K215)</f>
        <v>2.2</v>
      </c>
      <c r="L214" s="39" t="n">
        <f aca="false">SUM(L215:L215)</f>
        <v>4.3</v>
      </c>
      <c r="M214" s="39" t="n">
        <f aca="false">SUM(M215:M215)</f>
        <v>2.5</v>
      </c>
      <c r="N214" s="39" t="n">
        <f aca="false">SUM(N215:N215)</f>
        <v>2.6</v>
      </c>
      <c r="O214" s="39" t="n">
        <f aca="false">SUM(O215:O215)</f>
        <v>2.7</v>
      </c>
      <c r="P214" s="39" t="n">
        <f aca="false">SUM(P215:P215)</f>
        <v>2.8</v>
      </c>
      <c r="Q214" s="39" t="n">
        <f aca="false">SUM(Q215:Q215)</f>
        <v>0.9</v>
      </c>
      <c r="R214" s="38"/>
    </row>
    <row r="215" customFormat="false" ht="15" hidden="false" customHeight="false" outlineLevel="1" collapsed="false">
      <c r="A215" s="24" t="n">
        <v>1</v>
      </c>
      <c r="B215" s="24" t="s">
        <v>1184</v>
      </c>
      <c r="C215" s="40" t="s">
        <v>3212</v>
      </c>
      <c r="D215" s="24" t="s">
        <v>82</v>
      </c>
      <c r="E215" s="24" t="s">
        <v>405</v>
      </c>
      <c r="F215" s="41" t="n">
        <f aca="false">INDEX((BOM_COEF!R341~BOM_COEF!S341~BOM_COEF!T341~BOM_COEF!U341~BOM_COEF!V341~BOM_COEF!W341~BOM_COEF!X341~BOM_COEF!Y341~BOM_COEF!Z341~BOM_COEF!AA341),1,1,INDEX(P_VAL,MATCH("AÑO_DIS",P_ID,0))-2025)</f>
        <v>2</v>
      </c>
      <c r="G215" s="24" t="s">
        <v>2281</v>
      </c>
      <c r="H215" s="42" t="n">
        <f aca="false">BOM_COEF!R341*DEMANDA!F60</f>
        <v>2</v>
      </c>
      <c r="I215" s="42" t="n">
        <f aca="false">BOM_COEF!S341*DEMANDA!G60</f>
        <v>0.1</v>
      </c>
      <c r="J215" s="42" t="n">
        <f aca="false">BOM_COEF!T341*DEMANDA!H60</f>
        <v>2.1</v>
      </c>
      <c r="K215" s="42" t="n">
        <f aca="false">BOM_COEF!U341*DEMANDA!I60</f>
        <v>2.2</v>
      </c>
      <c r="L215" s="42" t="n">
        <f aca="false">BOM_COEF!V341*DEMANDA!J60</f>
        <v>4.3</v>
      </c>
      <c r="M215" s="42" t="n">
        <f aca="false">BOM_COEF!W341*DEMANDA!K60</f>
        <v>2.5</v>
      </c>
      <c r="N215" s="42" t="n">
        <f aca="false">BOM_COEF!X341*DEMANDA!L60</f>
        <v>2.6</v>
      </c>
      <c r="O215" s="42" t="n">
        <f aca="false">BOM_COEF!Y341*DEMANDA!M60</f>
        <v>2.7</v>
      </c>
      <c r="P215" s="42" t="n">
        <f aca="false">BOM_COEF!Z341*DEMANDA!N60</f>
        <v>2.8</v>
      </c>
      <c r="Q215" s="42" t="n">
        <f aca="false">BOM_COEF!AA341*DEMANDA!O60</f>
        <v>0.9</v>
      </c>
      <c r="R215" s="24" t="s">
        <v>2803</v>
      </c>
    </row>
    <row r="216" customFormat="false" ht="15" hidden="false" customHeight="false" outlineLevel="0" collapsed="false">
      <c r="A216" s="38" t="n">
        <v>0</v>
      </c>
      <c r="B216" s="38" t="s">
        <v>771</v>
      </c>
      <c r="C216" s="38" t="s">
        <v>2172</v>
      </c>
      <c r="D216" s="38" t="s">
        <v>82</v>
      </c>
      <c r="E216" s="38"/>
      <c r="F216" s="38"/>
      <c r="G216" s="38"/>
      <c r="H216" s="39" t="n">
        <f aca="false">SUM(H217:H217)</f>
        <v>63</v>
      </c>
      <c r="I216" s="39" t="n">
        <f aca="false">SUM(I217:I217)</f>
        <v>222.15</v>
      </c>
      <c r="J216" s="39" t="n">
        <f aca="false">SUM(J217:J217)</f>
        <v>285.1</v>
      </c>
      <c r="K216" s="39" t="n">
        <f aca="false">SUM(K217:K217)</f>
        <v>499.65</v>
      </c>
      <c r="L216" s="39" t="n">
        <f aca="false">SUM(L217:L217)</f>
        <v>541.25</v>
      </c>
      <c r="M216" s="39" t="n">
        <f aca="false">SUM(M217:M217)</f>
        <v>632.75</v>
      </c>
      <c r="N216" s="39" t="n">
        <f aca="false">SUM(N217:N217)</f>
        <v>610.6</v>
      </c>
      <c r="O216" s="39" t="n">
        <f aca="false">SUM(O217:O217)</f>
        <v>493.95</v>
      </c>
      <c r="P216" s="39" t="n">
        <f aca="false">SUM(P217:P217)</f>
        <v>367.2</v>
      </c>
      <c r="Q216" s="39" t="n">
        <f aca="false">SUM(Q217:Q217)</f>
        <v>382.2</v>
      </c>
      <c r="R216" s="38"/>
    </row>
    <row r="217" customFormat="false" ht="15" hidden="false" customHeight="false" outlineLevel="1" collapsed="false">
      <c r="A217" s="24" t="n">
        <v>1</v>
      </c>
      <c r="B217" s="24" t="s">
        <v>771</v>
      </c>
      <c r="C217" s="40" t="s">
        <v>3213</v>
      </c>
      <c r="D217" s="24" t="s">
        <v>82</v>
      </c>
      <c r="E217" s="24" t="s">
        <v>372</v>
      </c>
      <c r="F217" s="41" t="n">
        <f aca="false">INDEX((BOM_COEF!R107~BOM_COEF!S107~BOM_COEF!T107~BOM_COEF!U107~BOM_COEF!V107~BOM_COEF!W107~BOM_COEF!X107~BOM_COEF!Y107~BOM_COEF!Z107~BOM_COEF!AA107),1,1,INDEX(P_VAL,MATCH("AÑO_DIS",P_ID,0))-2025)</f>
        <v>1</v>
      </c>
      <c r="G217" s="24" t="s">
        <v>2281</v>
      </c>
      <c r="H217" s="42" t="n">
        <f aca="false">BOM_COEF!R107*DEMANDA!F49</f>
        <v>63</v>
      </c>
      <c r="I217" s="42" t="n">
        <f aca="false">BOM_COEF!S107*DEMANDA!G49</f>
        <v>222.15</v>
      </c>
      <c r="J217" s="42" t="n">
        <f aca="false">BOM_COEF!T107*DEMANDA!H49</f>
        <v>285.1</v>
      </c>
      <c r="K217" s="42" t="n">
        <f aca="false">BOM_COEF!U107*DEMANDA!I49</f>
        <v>499.65</v>
      </c>
      <c r="L217" s="42" t="n">
        <f aca="false">BOM_COEF!V107*DEMANDA!J49</f>
        <v>541.25</v>
      </c>
      <c r="M217" s="42" t="n">
        <f aca="false">BOM_COEF!W107*DEMANDA!K49</f>
        <v>632.75</v>
      </c>
      <c r="N217" s="42" t="n">
        <f aca="false">BOM_COEF!X107*DEMANDA!L49</f>
        <v>610.6</v>
      </c>
      <c r="O217" s="42" t="n">
        <f aca="false">BOM_COEF!Y107*DEMANDA!M49</f>
        <v>493.95</v>
      </c>
      <c r="P217" s="42" t="n">
        <f aca="false">BOM_COEF!Z107*DEMANDA!N49</f>
        <v>367.2</v>
      </c>
      <c r="Q217" s="42" t="n">
        <f aca="false">BOM_COEF!AA107*DEMANDA!O49</f>
        <v>382.2</v>
      </c>
      <c r="R217" s="24" t="s">
        <v>2436</v>
      </c>
    </row>
    <row r="218" customFormat="false" ht="15" hidden="false" customHeight="false" outlineLevel="0" collapsed="false">
      <c r="A218" s="38" t="n">
        <v>0</v>
      </c>
      <c r="B218" s="38" t="s">
        <v>855</v>
      </c>
      <c r="C218" s="38" t="s">
        <v>2173</v>
      </c>
      <c r="D218" s="38" t="s">
        <v>82</v>
      </c>
      <c r="E218" s="38"/>
      <c r="F218" s="38"/>
      <c r="G218" s="38"/>
      <c r="H218" s="39" t="n">
        <f aca="false">SUM(H219:H219)</f>
        <v>2</v>
      </c>
      <c r="I218" s="39" t="n">
        <f aca="false">SUM(I219:I219)</f>
        <v>3.1</v>
      </c>
      <c r="J218" s="39" t="n">
        <f aca="false">SUM(J219:J219)</f>
        <v>7.25</v>
      </c>
      <c r="K218" s="39" t="n">
        <f aca="false">SUM(K219:K219)</f>
        <v>10.6</v>
      </c>
      <c r="L218" s="39" t="n">
        <f aca="false">SUM(L219:L219)</f>
        <v>10.1</v>
      </c>
      <c r="M218" s="39" t="n">
        <f aca="false">SUM(M219:M219)</f>
        <v>12.55</v>
      </c>
      <c r="N218" s="39" t="n">
        <f aca="false">SUM(N219:N219)</f>
        <v>11.1</v>
      </c>
      <c r="O218" s="39" t="n">
        <f aca="false">SUM(O219:O219)</f>
        <v>7.55</v>
      </c>
      <c r="P218" s="39" t="n">
        <f aca="false">SUM(P219:P219)</f>
        <v>7.8</v>
      </c>
      <c r="Q218" s="39" t="n">
        <f aca="false">SUM(Q219:Q219)</f>
        <v>7.05</v>
      </c>
      <c r="R218" s="38"/>
    </row>
    <row r="219" customFormat="false" ht="15" hidden="false" customHeight="false" outlineLevel="1" collapsed="false">
      <c r="A219" s="24" t="n">
        <v>1</v>
      </c>
      <c r="B219" s="24" t="s">
        <v>855</v>
      </c>
      <c r="C219" s="40" t="s">
        <v>3214</v>
      </c>
      <c r="D219" s="24" t="s">
        <v>82</v>
      </c>
      <c r="E219" s="24" t="s">
        <v>375</v>
      </c>
      <c r="F219" s="41" t="n">
        <f aca="false">INDEX((BOM_COEF!R148~BOM_COEF!S148~BOM_COEF!T148~BOM_COEF!U148~BOM_COEF!V148~BOM_COEF!W148~BOM_COEF!X148~BOM_COEF!Y148~BOM_COEF!Z148~BOM_COEF!AA148),1,1,INDEX(P_VAL,MATCH("AÑO_DIS",P_ID,0))-2025)</f>
        <v>1</v>
      </c>
      <c r="G219" s="24" t="s">
        <v>2281</v>
      </c>
      <c r="H219" s="42" t="n">
        <f aca="false">BOM_COEF!R148*DEMANDA!F50</f>
        <v>2</v>
      </c>
      <c r="I219" s="42" t="n">
        <f aca="false">BOM_COEF!S148*DEMANDA!G50</f>
        <v>3.1</v>
      </c>
      <c r="J219" s="42" t="n">
        <f aca="false">BOM_COEF!T148*DEMANDA!H50</f>
        <v>7.25</v>
      </c>
      <c r="K219" s="42" t="n">
        <f aca="false">BOM_COEF!U148*DEMANDA!I50</f>
        <v>10.6</v>
      </c>
      <c r="L219" s="42" t="n">
        <f aca="false">BOM_COEF!V148*DEMANDA!J50</f>
        <v>10.1</v>
      </c>
      <c r="M219" s="42" t="n">
        <f aca="false">BOM_COEF!W148*DEMANDA!K50</f>
        <v>12.55</v>
      </c>
      <c r="N219" s="42" t="n">
        <f aca="false">BOM_COEF!X148*DEMANDA!L50</f>
        <v>11.1</v>
      </c>
      <c r="O219" s="42" t="n">
        <f aca="false">BOM_COEF!Y148*DEMANDA!M50</f>
        <v>7.55</v>
      </c>
      <c r="P219" s="42" t="n">
        <f aca="false">BOM_COEF!Z148*DEMANDA!N50</f>
        <v>7.8</v>
      </c>
      <c r="Q219" s="42" t="n">
        <f aca="false">BOM_COEF!AA148*DEMANDA!O50</f>
        <v>7.05</v>
      </c>
      <c r="R219" s="24" t="s">
        <v>2438</v>
      </c>
    </row>
    <row r="220" customFormat="false" ht="15" hidden="false" customHeight="false" outlineLevel="0" collapsed="false">
      <c r="A220" s="38" t="n">
        <v>0</v>
      </c>
      <c r="B220" s="38" t="s">
        <v>1098</v>
      </c>
      <c r="C220" s="38" t="s">
        <v>2175</v>
      </c>
      <c r="D220" s="38" t="s">
        <v>82</v>
      </c>
      <c r="E220" s="38"/>
      <c r="F220" s="38"/>
      <c r="G220" s="38"/>
      <c r="H220" s="39" t="n">
        <f aca="false">SUM(H221:H221)</f>
        <v>1</v>
      </c>
      <c r="I220" s="39" t="n">
        <f aca="false">SUM(I221:I221)</f>
        <v>2.05</v>
      </c>
      <c r="J220" s="39" t="n">
        <f aca="false">SUM(J221:J221)</f>
        <v>4.15</v>
      </c>
      <c r="K220" s="39" t="n">
        <f aca="false">SUM(K221:K221)</f>
        <v>5.35</v>
      </c>
      <c r="L220" s="39" t="n">
        <f aca="false">SUM(L221:L221)</f>
        <v>5.6</v>
      </c>
      <c r="M220" s="39" t="n">
        <f aca="false">SUM(M221:M221)</f>
        <v>6.85</v>
      </c>
      <c r="N220" s="39" t="n">
        <f aca="false">SUM(N221:N221)</f>
        <v>6.15</v>
      </c>
      <c r="O220" s="39" t="n">
        <f aca="false">SUM(O221:O221)</f>
        <v>4.4</v>
      </c>
      <c r="P220" s="39" t="n">
        <f aca="false">SUM(P221:P221)</f>
        <v>4.55</v>
      </c>
      <c r="Q220" s="39" t="n">
        <f aca="false">SUM(Q221:Q221)</f>
        <v>3.7</v>
      </c>
      <c r="R220" s="38"/>
    </row>
    <row r="221" customFormat="false" ht="15" hidden="false" customHeight="false" outlineLevel="1" collapsed="false">
      <c r="A221" s="24" t="n">
        <v>1</v>
      </c>
      <c r="B221" s="24" t="s">
        <v>1098</v>
      </c>
      <c r="C221" s="40" t="s">
        <v>3215</v>
      </c>
      <c r="D221" s="24" t="s">
        <v>82</v>
      </c>
      <c r="E221" s="24" t="s">
        <v>402</v>
      </c>
      <c r="F221" s="41" t="n">
        <f aca="false">INDEX((BOM_COEF!R249~BOM_COEF!S249~BOM_COEF!T249~BOM_COEF!U249~BOM_COEF!V249~BOM_COEF!W249~BOM_COEF!X249~BOM_COEF!Y249~BOM_COEF!Z249~BOM_COEF!AA249),1,1,INDEX(P_VAL,MATCH("AÑO_DIS",P_ID,0))-2025)</f>
        <v>1</v>
      </c>
      <c r="G221" s="24" t="s">
        <v>2281</v>
      </c>
      <c r="H221" s="42" t="n">
        <f aca="false">BOM_COEF!R249*DEMANDA!F59</f>
        <v>1</v>
      </c>
      <c r="I221" s="42" t="n">
        <f aca="false">BOM_COEF!S249*DEMANDA!G59</f>
        <v>2.05</v>
      </c>
      <c r="J221" s="42" t="n">
        <f aca="false">BOM_COEF!T249*DEMANDA!H59</f>
        <v>4.15</v>
      </c>
      <c r="K221" s="42" t="n">
        <f aca="false">BOM_COEF!U249*DEMANDA!I59</f>
        <v>5.35</v>
      </c>
      <c r="L221" s="42" t="n">
        <f aca="false">BOM_COEF!V249*DEMANDA!J59</f>
        <v>5.6</v>
      </c>
      <c r="M221" s="42" t="n">
        <f aca="false">BOM_COEF!W249*DEMANDA!K59</f>
        <v>6.85</v>
      </c>
      <c r="N221" s="42" t="n">
        <f aca="false">BOM_COEF!X249*DEMANDA!L59</f>
        <v>6.15</v>
      </c>
      <c r="O221" s="42" t="n">
        <f aca="false">BOM_COEF!Y249*DEMANDA!M59</f>
        <v>4.4</v>
      </c>
      <c r="P221" s="42" t="n">
        <f aca="false">BOM_COEF!Z249*DEMANDA!N59</f>
        <v>4.55</v>
      </c>
      <c r="Q221" s="42" t="n">
        <f aca="false">BOM_COEF!AA249*DEMANDA!O59</f>
        <v>3.7</v>
      </c>
      <c r="R221" s="24" t="s">
        <v>2807</v>
      </c>
    </row>
    <row r="222" customFormat="false" ht="15" hidden="false" customHeight="false" outlineLevel="0" collapsed="false">
      <c r="A222" s="38" t="n">
        <v>0</v>
      </c>
      <c r="B222" s="38" t="s">
        <v>1306</v>
      </c>
      <c r="C222" s="38" t="s">
        <v>2177</v>
      </c>
      <c r="D222" s="38" t="s">
        <v>82</v>
      </c>
      <c r="E222" s="38"/>
      <c r="F222" s="38"/>
      <c r="G222" s="38"/>
      <c r="H222" s="39" t="n">
        <f aca="false">SUM(H223:H223)</f>
        <v>1</v>
      </c>
      <c r="I222" s="39" t="n">
        <f aca="false">SUM(I223:I223)</f>
        <v>0.05</v>
      </c>
      <c r="J222" s="39" t="n">
        <f aca="false">SUM(J223:J223)</f>
        <v>1.05</v>
      </c>
      <c r="K222" s="39" t="n">
        <f aca="false">SUM(K223:K223)</f>
        <v>1.1</v>
      </c>
      <c r="L222" s="39" t="n">
        <f aca="false">SUM(L223:L223)</f>
        <v>2.15</v>
      </c>
      <c r="M222" s="39" t="n">
        <f aca="false">SUM(M223:M223)</f>
        <v>1.25</v>
      </c>
      <c r="N222" s="39" t="n">
        <f aca="false">SUM(N223:N223)</f>
        <v>1.3</v>
      </c>
      <c r="O222" s="39" t="n">
        <f aca="false">SUM(O223:O223)</f>
        <v>1.35</v>
      </c>
      <c r="P222" s="39" t="n">
        <f aca="false">SUM(P223:P223)</f>
        <v>1.4</v>
      </c>
      <c r="Q222" s="39" t="n">
        <f aca="false">SUM(Q223:Q223)</f>
        <v>0.45</v>
      </c>
      <c r="R222" s="38"/>
    </row>
    <row r="223" customFormat="false" ht="15" hidden="false" customHeight="false" outlineLevel="1" collapsed="false">
      <c r="A223" s="24" t="n">
        <v>1</v>
      </c>
      <c r="B223" s="24" t="s">
        <v>1306</v>
      </c>
      <c r="C223" s="40" t="s">
        <v>3216</v>
      </c>
      <c r="D223" s="24" t="s">
        <v>82</v>
      </c>
      <c r="E223" s="24" t="s">
        <v>405</v>
      </c>
      <c r="F223" s="41" t="n">
        <f aca="false">INDEX((BOM_COEF!R350~BOM_COEF!S350~BOM_COEF!T350~BOM_COEF!U350~BOM_COEF!V350~BOM_COEF!W350~BOM_COEF!X350~BOM_COEF!Y350~BOM_COEF!Z350~BOM_COEF!AA350),1,1,INDEX(P_VAL,MATCH("AÑO_DIS",P_ID,0))-2025)</f>
        <v>1</v>
      </c>
      <c r="G223" s="24" t="s">
        <v>2281</v>
      </c>
      <c r="H223" s="42" t="n">
        <f aca="false">BOM_COEF!R350*DEMANDA!F60</f>
        <v>1</v>
      </c>
      <c r="I223" s="42" t="n">
        <f aca="false">BOM_COEF!S350*DEMANDA!G60</f>
        <v>0.05</v>
      </c>
      <c r="J223" s="42" t="n">
        <f aca="false">BOM_COEF!T350*DEMANDA!H60</f>
        <v>1.05</v>
      </c>
      <c r="K223" s="42" t="n">
        <f aca="false">BOM_COEF!U350*DEMANDA!I60</f>
        <v>1.1</v>
      </c>
      <c r="L223" s="42" t="n">
        <f aca="false">BOM_COEF!V350*DEMANDA!J60</f>
        <v>2.15</v>
      </c>
      <c r="M223" s="42" t="n">
        <f aca="false">BOM_COEF!W350*DEMANDA!K60</f>
        <v>1.25</v>
      </c>
      <c r="N223" s="42" t="n">
        <f aca="false">BOM_COEF!X350*DEMANDA!L60</f>
        <v>1.3</v>
      </c>
      <c r="O223" s="42" t="n">
        <f aca="false">BOM_COEF!Y350*DEMANDA!M60</f>
        <v>1.35</v>
      </c>
      <c r="P223" s="42" t="n">
        <f aca="false">BOM_COEF!Z350*DEMANDA!N60</f>
        <v>1.4</v>
      </c>
      <c r="Q223" s="42" t="n">
        <f aca="false">BOM_COEF!AA350*DEMANDA!O60</f>
        <v>0.45</v>
      </c>
      <c r="R223" s="24" t="s">
        <v>2811</v>
      </c>
    </row>
    <row r="224" customFormat="false" ht="15" hidden="false" customHeight="false" outlineLevel="0" collapsed="false">
      <c r="A224" s="38" t="n">
        <v>0</v>
      </c>
      <c r="B224" s="38" t="s">
        <v>581</v>
      </c>
      <c r="C224" s="38" t="s">
        <v>2178</v>
      </c>
      <c r="D224" s="38" t="s">
        <v>82</v>
      </c>
      <c r="E224" s="38"/>
      <c r="F224" s="38"/>
      <c r="G224" s="38"/>
      <c r="H224" s="39" t="n">
        <f aca="false">SUM(H225:H228)</f>
        <v>51.37874968427</v>
      </c>
      <c r="I224" s="39" t="n">
        <f aca="false">SUM(I225:I228)</f>
        <v>174.362727490281</v>
      </c>
      <c r="J224" s="39" t="n">
        <f aca="false">SUM(J225:J228)</f>
        <v>228.203081351302</v>
      </c>
      <c r="K224" s="39" t="n">
        <f aca="false">SUM(K225:K228)</f>
        <v>396.244212027826</v>
      </c>
      <c r="L224" s="39" t="n">
        <f aca="false">SUM(L225:L228)</f>
        <v>428.667849575118</v>
      </c>
      <c r="M224" s="39" t="n">
        <f aca="false">SUM(M225:M228)</f>
        <v>500.786321405357</v>
      </c>
      <c r="N224" s="39" t="n">
        <f aca="false">SUM(N225:N228)</f>
        <v>481.941120832745</v>
      </c>
      <c r="O224" s="39" t="n">
        <f aca="false">SUM(O225:O228)</f>
        <v>388.278641651677</v>
      </c>
      <c r="P224" s="39" t="n">
        <f aca="false">SUM(P225:P228)</f>
        <v>291.322059884352</v>
      </c>
      <c r="Q224" s="39" t="n">
        <f aca="false">SUM(Q225:Q228)</f>
        <v>300.472953248029</v>
      </c>
      <c r="R224" s="38"/>
    </row>
    <row r="225" customFormat="false" ht="15" hidden="false" customHeight="false" outlineLevel="1" collapsed="false">
      <c r="A225" s="24" t="n">
        <v>1</v>
      </c>
      <c r="B225" s="24" t="s">
        <v>581</v>
      </c>
      <c r="C225" s="40" t="s">
        <v>3217</v>
      </c>
      <c r="D225" s="24" t="s">
        <v>82</v>
      </c>
      <c r="E225" s="24" t="s">
        <v>372</v>
      </c>
      <c r="F225" s="41" t="n">
        <f aca="false">INDEX((BOM_COEF!R108~BOM_COEF!S108~BOM_COEF!T108~BOM_COEF!U108~BOM_COEF!V108~BOM_COEF!W108~BOM_COEF!X108~BOM_COEF!Y108~BOM_COEF!Z108~BOM_COEF!AA108),1,1,INDEX(P_VAL,MATCH("AÑO_DIS",P_ID,0))-2025)</f>
        <v>1</v>
      </c>
      <c r="G225" s="24" t="s">
        <v>582</v>
      </c>
      <c r="H225" s="42" t="n">
        <f aca="false">BOM_COEF!R108*DEMANDA!F49*(1-INDEX(PY_VAL,MATCH("P_CABA_NUE",PY_ID,0),1))</f>
        <v>48.311361643418</v>
      </c>
      <c r="I225" s="42" t="n">
        <f aca="false">BOM_COEF!S108*DEMANDA!G49*(1-INDEX(PY_VAL,MATCH("P_CABA_NUE",PY_ID,0),2))</f>
        <v>170.374664226813</v>
      </c>
      <c r="J225" s="42" t="n">
        <f aca="false">BOM_COEF!T108*DEMANDA!H49*(1-INDEX(PY_VAL,MATCH("P_CABA_NUE",PY_ID,0),3))</f>
        <v>218.6546748219</v>
      </c>
      <c r="K225" s="42" t="n">
        <f aca="false">BOM_COEF!U108*DEMANDA!I49*(1-INDEX(PY_VAL,MATCH("P_CABA_NUE",PY_ID,0),4))</f>
        <v>383.168996593194</v>
      </c>
      <c r="L225" s="42" t="n">
        <f aca="false">BOM_COEF!V108*DEMANDA!J49*(1-INDEX(PY_VAL,MATCH("P_CABA_NUE",PY_ID,0),5))</f>
        <v>414.982066861979</v>
      </c>
      <c r="M225" s="42" t="n">
        <f aca="false">BOM_COEF!W108*DEMANDA!K49*(1-INDEX(PY_VAL,MATCH("P_CABA_NUE",PY_ID,0),6))</f>
        <v>484.959511584389</v>
      </c>
      <c r="N225" s="42" t="n">
        <f aca="false">BOM_COEF!X108*DEMANDA!L49*(1-INDEX(PY_VAL,MATCH("P_CABA_NUE",PY_ID,0),7))</f>
        <v>467.731460510966</v>
      </c>
      <c r="O225" s="42" t="n">
        <f aca="false">BOM_COEF!Y108*DEMANDA!M49*(1-INDEX(PY_VAL,MATCH("P_CABA_NUE",PY_ID,0),8))</f>
        <v>378.098048386093</v>
      </c>
      <c r="P225" s="42" t="n">
        <f aca="false">BOM_COEF!Z108*DEMANDA!N49*(1-INDEX(PY_VAL,MATCH("P_CABA_NUE",PY_ID,0),9))</f>
        <v>280.80708856683</v>
      </c>
      <c r="Q225" s="42" t="n">
        <f aca="false">BOM_COEF!AA108*DEMANDA!O49*(1-INDEX(PY_VAL,MATCH("P_CABA_NUE",PY_ID,0),10))</f>
        <v>291.918563119971</v>
      </c>
      <c r="R225" s="24" t="s">
        <v>2444</v>
      </c>
    </row>
    <row r="226" customFormat="false" ht="15" hidden="false" customHeight="false" outlineLevel="1" collapsed="false">
      <c r="A226" s="24" t="n">
        <v>1</v>
      </c>
      <c r="B226" s="24" t="s">
        <v>581</v>
      </c>
      <c r="C226" s="40" t="s">
        <v>3218</v>
      </c>
      <c r="D226" s="24" t="s">
        <v>82</v>
      </c>
      <c r="E226" s="24" t="s">
        <v>375</v>
      </c>
      <c r="F226" s="41" t="n">
        <f aca="false">INDEX((BOM_COEF!R149~BOM_COEF!S149~BOM_COEF!T149~BOM_COEF!U149~BOM_COEF!V149~BOM_COEF!W149~BOM_COEF!X149~BOM_COEF!Y149~BOM_COEF!Z149~BOM_COEF!AA149),1,1,INDEX(P_VAL,MATCH("AÑO_DIS",P_ID,0))-2025)</f>
        <v>1</v>
      </c>
      <c r="G226" s="24" t="s">
        <v>582</v>
      </c>
      <c r="H226" s="42" t="n">
        <f aca="false">BOM_COEF!R149*DEMANDA!F50*(1-INDEX(PY_VAL,MATCH("P_CABA_NUE",PY_ID,0),1))</f>
        <v>1.53369402042597</v>
      </c>
      <c r="I226" s="42" t="n">
        <f aca="false">BOM_COEF!S149*DEMANDA!G50*(1-INDEX(PY_VAL,MATCH("P_CABA_NUE",PY_ID,0),2))</f>
        <v>2.37749925322134</v>
      </c>
      <c r="J226" s="42" t="n">
        <f aca="false">BOM_COEF!T149*DEMANDA!H50*(1-INDEX(PY_VAL,MATCH("P_CABA_NUE",PY_ID,0),3))</f>
        <v>5.56031705527454</v>
      </c>
      <c r="K226" s="42" t="n">
        <f aca="false">BOM_COEF!U149*DEMANDA!I50*(1-INDEX(PY_VAL,MATCH("P_CABA_NUE",PY_ID,0),4))</f>
        <v>8.1288729388329</v>
      </c>
      <c r="L226" s="42" t="n">
        <f aca="false">BOM_COEF!V149*DEMANDA!J50*(1-INDEX(PY_VAL,MATCH("P_CABA_NUE",PY_ID,0),5))</f>
        <v>7.74377621303647</v>
      </c>
      <c r="M226" s="42" t="n">
        <f aca="false">BOM_COEF!W149*DEMANDA!K50*(1-INDEX(PY_VAL,MATCH("P_CABA_NUE",PY_ID,0),6))</f>
        <v>9.61871492751337</v>
      </c>
      <c r="N226" s="42" t="n">
        <f aca="false">BOM_COEF!X149*DEMANDA!L50*(1-INDEX(PY_VAL,MATCH("P_CABA_NUE",PY_ID,0),7))</f>
        <v>8.50281561033692</v>
      </c>
      <c r="O226" s="42" t="n">
        <f aca="false">BOM_COEF!Y149*DEMANDA!M50*(1-INDEX(PY_VAL,MATCH("P_CABA_NUE",PY_ID,0),8))</f>
        <v>5.77920895903432</v>
      </c>
      <c r="P226" s="42" t="n">
        <f aca="false">BOM_COEF!Z149*DEMANDA!N50*(1-INDEX(PY_VAL,MATCH("P_CABA_NUE",PY_ID,0),9))</f>
        <v>5.96485645648496</v>
      </c>
      <c r="Q226" s="42" t="n">
        <f aca="false">BOM_COEF!AA149*DEMANDA!O50*(1-INDEX(PY_VAL,MATCH("P_CABA_NUE",PY_ID,0),10))</f>
        <v>5.38468307167921</v>
      </c>
      <c r="R226" s="24" t="s">
        <v>2446</v>
      </c>
    </row>
    <row r="227" customFormat="false" ht="15" hidden="false" customHeight="false" outlineLevel="1" collapsed="false">
      <c r="A227" s="24" t="n">
        <v>1</v>
      </c>
      <c r="B227" s="24" t="s">
        <v>581</v>
      </c>
      <c r="C227" s="40" t="s">
        <v>3219</v>
      </c>
      <c r="D227" s="24" t="s">
        <v>82</v>
      </c>
      <c r="E227" s="24" t="s">
        <v>402</v>
      </c>
      <c r="F227" s="41" t="n">
        <f aca="false">INDEX((BOM_COEF!R250~BOM_COEF!S250~BOM_COEF!T250~BOM_COEF!U250~BOM_COEF!V250~BOM_COEF!W250~BOM_COEF!X250~BOM_COEF!Y250~BOM_COEF!Z250~BOM_COEF!AA250),1,1,INDEX(P_VAL,MATCH("AÑO_DIS",P_ID,0))-2025)</f>
        <v>1</v>
      </c>
      <c r="G227" s="24" t="s">
        <v>582</v>
      </c>
      <c r="H227" s="42" t="n">
        <f aca="false">BOM_COEF!R250*DEMANDA!F59*(1-INDEX(PY_VAL,MATCH("P_CABA_NUE",PY_ID,0),1))</f>
        <v>0.766847010212985</v>
      </c>
      <c r="I227" s="42" t="n">
        <f aca="false">BOM_COEF!S250*DEMANDA!G59*(1-INDEX(PY_VAL,MATCH("P_CABA_NUE",PY_ID,0),2))</f>
        <v>1.57221724809798</v>
      </c>
      <c r="J227" s="42" t="n">
        <f aca="false">BOM_COEF!T250*DEMANDA!H59*(1-INDEX(PY_VAL,MATCH("P_CABA_NUE",PY_ID,0),3))</f>
        <v>3.1828021764675</v>
      </c>
      <c r="K227" s="42" t="n">
        <f aca="false">BOM_COEF!U250*DEMANDA!I59*(1-INDEX(PY_VAL,MATCH("P_CABA_NUE",PY_ID,0),4))</f>
        <v>4.10278020969396</v>
      </c>
      <c r="L227" s="42" t="n">
        <f aca="false">BOM_COEF!V250*DEMANDA!J59*(1-INDEX(PY_VAL,MATCH("P_CABA_NUE",PY_ID,0),5))</f>
        <v>4.29357889039646</v>
      </c>
      <c r="M227" s="42" t="n">
        <f aca="false">BOM_COEF!W250*DEMANDA!K59*(1-INDEX(PY_VAL,MATCH("P_CABA_NUE",PY_ID,0),6))</f>
        <v>5.25005555804514</v>
      </c>
      <c r="N227" s="42" t="n">
        <f aca="false">BOM_COEF!X250*DEMANDA!L59*(1-INDEX(PY_VAL,MATCH("P_CABA_NUE",PY_ID,0),7))</f>
        <v>4.71101945978127</v>
      </c>
      <c r="O227" s="42" t="n">
        <f aca="false">BOM_COEF!Y250*DEMANDA!M59*(1-INDEX(PY_VAL,MATCH("P_CABA_NUE",PY_ID,0),8))</f>
        <v>3.36801581718557</v>
      </c>
      <c r="P227" s="42" t="n">
        <f aca="false">BOM_COEF!Z250*DEMANDA!N59*(1-INDEX(PY_VAL,MATCH("P_CABA_NUE",PY_ID,0),9))</f>
        <v>3.47949959961623</v>
      </c>
      <c r="Q227" s="42" t="n">
        <f aca="false">BOM_COEF!AA250*DEMANDA!O59*(1-INDEX(PY_VAL,MATCH("P_CABA_NUE",PY_ID,0),10))</f>
        <v>2.82600388159051</v>
      </c>
      <c r="R227" s="24" t="s">
        <v>2815</v>
      </c>
    </row>
    <row r="228" customFormat="false" ht="15" hidden="false" customHeight="false" outlineLevel="1" collapsed="false">
      <c r="A228" s="24" t="n">
        <v>1</v>
      </c>
      <c r="B228" s="24" t="s">
        <v>581</v>
      </c>
      <c r="C228" s="40" t="s">
        <v>3220</v>
      </c>
      <c r="D228" s="24" t="s">
        <v>82</v>
      </c>
      <c r="E228" s="24" t="s">
        <v>405</v>
      </c>
      <c r="F228" s="41" t="n">
        <f aca="false">INDEX((BOM_COEF!R351~BOM_COEF!S351~BOM_COEF!T351~BOM_COEF!U351~BOM_COEF!V351~BOM_COEF!W351~BOM_COEF!X351~BOM_COEF!Y351~BOM_COEF!Z351~BOM_COEF!AA351),1,1,INDEX(P_VAL,MATCH("AÑO_DIS",P_ID,0))-2025)</f>
        <v>1</v>
      </c>
      <c r="G228" s="24" t="s">
        <v>582</v>
      </c>
      <c r="H228" s="42" t="n">
        <f aca="false">BOM_COEF!R351*DEMANDA!F60*(1-INDEX(PY_VAL,MATCH("P_CABA_NUE",PY_ID,0),1))</f>
        <v>0.766847010212985</v>
      </c>
      <c r="I228" s="42" t="n">
        <f aca="false">BOM_COEF!S351*DEMANDA!G60*(1-INDEX(PY_VAL,MATCH("P_CABA_NUE",PY_ID,0),2))</f>
        <v>0.0383467621487312</v>
      </c>
      <c r="J228" s="42" t="n">
        <f aca="false">BOM_COEF!T351*DEMANDA!H60*(1-INDEX(PY_VAL,MATCH("P_CABA_NUE",PY_ID,0),3))</f>
        <v>0.805287297660451</v>
      </c>
      <c r="K228" s="42" t="n">
        <f aca="false">BOM_COEF!U351*DEMANDA!I60*(1-INDEX(PY_VAL,MATCH("P_CABA_NUE",PY_ID,0),4))</f>
        <v>0.843562286105301</v>
      </c>
      <c r="L228" s="42" t="n">
        <f aca="false">BOM_COEF!V351*DEMANDA!J60*(1-INDEX(PY_VAL,MATCH("P_CABA_NUE",PY_ID,0),5))</f>
        <v>1.64842760970578</v>
      </c>
      <c r="M228" s="42" t="n">
        <f aca="false">BOM_COEF!W351*DEMANDA!K60*(1-INDEX(PY_VAL,MATCH("P_CABA_NUE",PY_ID,0),6))</f>
        <v>0.958039335409698</v>
      </c>
      <c r="N228" s="42" t="n">
        <f aca="false">BOM_COEF!X351*DEMANDA!L60*(1-INDEX(PY_VAL,MATCH("P_CABA_NUE",PY_ID,0),7))</f>
        <v>0.995825251661081</v>
      </c>
      <c r="O228" s="42" t="n">
        <f aca="false">BOM_COEF!Y351*DEMANDA!M60*(1-INDEX(PY_VAL,MATCH("P_CABA_NUE",PY_ID,0),8))</f>
        <v>1.03336848936375</v>
      </c>
      <c r="P228" s="42" t="n">
        <f aca="false">BOM_COEF!Z351*DEMANDA!N60*(1-INDEX(PY_VAL,MATCH("P_CABA_NUE",PY_ID,0),9))</f>
        <v>1.07061526142038</v>
      </c>
      <c r="Q228" s="42" t="n">
        <f aca="false">BOM_COEF!AA351*DEMANDA!O60*(1-INDEX(PY_VAL,MATCH("P_CABA_NUE",PY_ID,0),10))</f>
        <v>0.343703174788035</v>
      </c>
      <c r="R228" s="24" t="s">
        <v>2819</v>
      </c>
    </row>
    <row r="229" customFormat="false" ht="15" hidden="false" customHeight="false" outlineLevel="0" collapsed="false">
      <c r="A229" s="38" t="n">
        <v>0</v>
      </c>
      <c r="B229" s="38" t="s">
        <v>586</v>
      </c>
      <c r="C229" s="38" t="s">
        <v>585</v>
      </c>
      <c r="D229" s="38" t="s">
        <v>82</v>
      </c>
      <c r="E229" s="38"/>
      <c r="F229" s="38"/>
      <c r="G229" s="38"/>
      <c r="H229" s="39" t="n">
        <f aca="false">SUM(H230:H233)</f>
        <v>67</v>
      </c>
      <c r="I229" s="39" t="n">
        <f aca="false">SUM(I230:I233)</f>
        <v>227.35</v>
      </c>
      <c r="J229" s="39" t="n">
        <f aca="false">SUM(J230:J233)</f>
        <v>297.55</v>
      </c>
      <c r="K229" s="39" t="n">
        <f aca="false">SUM(K230:K233)</f>
        <v>516.7</v>
      </c>
      <c r="L229" s="39" t="n">
        <f aca="false">SUM(L230:L233)</f>
        <v>559.1</v>
      </c>
      <c r="M229" s="39" t="n">
        <f aca="false">SUM(M230:M233)</f>
        <v>653.4</v>
      </c>
      <c r="N229" s="39" t="n">
        <f aca="false">SUM(N230:N233)</f>
        <v>629.15</v>
      </c>
      <c r="O229" s="39" t="n">
        <f aca="false">SUM(O230:O233)</f>
        <v>507.25</v>
      </c>
      <c r="P229" s="39" t="n">
        <f aca="false">SUM(P230:P233)</f>
        <v>380.95</v>
      </c>
      <c r="Q229" s="39" t="n">
        <f aca="false">SUM(Q230:Q233)</f>
        <v>393.4</v>
      </c>
      <c r="R229" s="38"/>
    </row>
    <row r="230" customFormat="false" ht="15" hidden="false" customHeight="false" outlineLevel="1" collapsed="false">
      <c r="A230" s="24" t="n">
        <v>1</v>
      </c>
      <c r="B230" s="24" t="s">
        <v>586</v>
      </c>
      <c r="C230" s="40" t="s">
        <v>3221</v>
      </c>
      <c r="D230" s="24" t="s">
        <v>82</v>
      </c>
      <c r="E230" s="24" t="s">
        <v>372</v>
      </c>
      <c r="F230" s="41" t="n">
        <f aca="false">INDEX((BOM_COEF!R109~BOM_COEF!S109~BOM_COEF!T109~BOM_COEF!U109~BOM_COEF!V109~BOM_COEF!W109~BOM_COEF!X109~BOM_COEF!Y109~BOM_COEF!Z109~BOM_COEF!AA109),1,1,INDEX(P_VAL,MATCH("AÑO_DIS",P_ID,0))-2025)</f>
        <v>1</v>
      </c>
      <c r="G230" s="24" t="s">
        <v>2281</v>
      </c>
      <c r="H230" s="42" t="n">
        <f aca="false">BOM_COEF!R109*DEMANDA!F49</f>
        <v>63</v>
      </c>
      <c r="I230" s="42" t="n">
        <f aca="false">BOM_COEF!S109*DEMANDA!G49</f>
        <v>222.15</v>
      </c>
      <c r="J230" s="42" t="n">
        <f aca="false">BOM_COEF!T109*DEMANDA!H49</f>
        <v>285.1</v>
      </c>
      <c r="K230" s="42" t="n">
        <f aca="false">BOM_COEF!U109*DEMANDA!I49</f>
        <v>499.65</v>
      </c>
      <c r="L230" s="42" t="n">
        <f aca="false">BOM_COEF!V109*DEMANDA!J49</f>
        <v>541.25</v>
      </c>
      <c r="M230" s="42" t="n">
        <f aca="false">BOM_COEF!W109*DEMANDA!K49</f>
        <v>632.75</v>
      </c>
      <c r="N230" s="42" t="n">
        <f aca="false">BOM_COEF!X109*DEMANDA!L49</f>
        <v>610.6</v>
      </c>
      <c r="O230" s="42" t="n">
        <f aca="false">BOM_COEF!Y109*DEMANDA!M49</f>
        <v>493.95</v>
      </c>
      <c r="P230" s="42" t="n">
        <f aca="false">BOM_COEF!Z109*DEMANDA!N49</f>
        <v>367.2</v>
      </c>
      <c r="Q230" s="42" t="n">
        <f aca="false">BOM_COEF!AA109*DEMANDA!O49</f>
        <v>382.2</v>
      </c>
      <c r="R230" s="24" t="s">
        <v>2452</v>
      </c>
    </row>
    <row r="231" customFormat="false" ht="15" hidden="false" customHeight="false" outlineLevel="1" collapsed="false">
      <c r="A231" s="24" t="n">
        <v>1</v>
      </c>
      <c r="B231" s="24" t="s">
        <v>586</v>
      </c>
      <c r="C231" s="40" t="s">
        <v>3222</v>
      </c>
      <c r="D231" s="24" t="s">
        <v>82</v>
      </c>
      <c r="E231" s="24" t="s">
        <v>375</v>
      </c>
      <c r="F231" s="41" t="n">
        <f aca="false">INDEX((BOM_COEF!R150~BOM_COEF!S150~BOM_COEF!T150~BOM_COEF!U150~BOM_COEF!V150~BOM_COEF!W150~BOM_COEF!X150~BOM_COEF!Y150~BOM_COEF!Z150~BOM_COEF!AA150),1,1,INDEX(P_VAL,MATCH("AÑO_DIS",P_ID,0))-2025)</f>
        <v>1</v>
      </c>
      <c r="G231" s="24" t="s">
        <v>2281</v>
      </c>
      <c r="H231" s="42" t="n">
        <f aca="false">BOM_COEF!R150*DEMANDA!F50</f>
        <v>2</v>
      </c>
      <c r="I231" s="42" t="n">
        <f aca="false">BOM_COEF!S150*DEMANDA!G50</f>
        <v>3.1</v>
      </c>
      <c r="J231" s="42" t="n">
        <f aca="false">BOM_COEF!T150*DEMANDA!H50</f>
        <v>7.25</v>
      </c>
      <c r="K231" s="42" t="n">
        <f aca="false">BOM_COEF!U150*DEMANDA!I50</f>
        <v>10.6</v>
      </c>
      <c r="L231" s="42" t="n">
        <f aca="false">BOM_COEF!V150*DEMANDA!J50</f>
        <v>10.1</v>
      </c>
      <c r="M231" s="42" t="n">
        <f aca="false">BOM_COEF!W150*DEMANDA!K50</f>
        <v>12.55</v>
      </c>
      <c r="N231" s="42" t="n">
        <f aca="false">BOM_COEF!X150*DEMANDA!L50</f>
        <v>11.1</v>
      </c>
      <c r="O231" s="42" t="n">
        <f aca="false">BOM_COEF!Y150*DEMANDA!M50</f>
        <v>7.55</v>
      </c>
      <c r="P231" s="42" t="n">
        <f aca="false">BOM_COEF!Z150*DEMANDA!N50</f>
        <v>7.8</v>
      </c>
      <c r="Q231" s="42" t="n">
        <f aca="false">BOM_COEF!AA150*DEMANDA!O50</f>
        <v>7.05</v>
      </c>
      <c r="R231" s="24" t="s">
        <v>2454</v>
      </c>
    </row>
    <row r="232" customFormat="false" ht="15" hidden="false" customHeight="false" outlineLevel="1" collapsed="false">
      <c r="A232" s="24" t="n">
        <v>1</v>
      </c>
      <c r="B232" s="24" t="s">
        <v>586</v>
      </c>
      <c r="C232" s="40" t="s">
        <v>3223</v>
      </c>
      <c r="D232" s="24" t="s">
        <v>82</v>
      </c>
      <c r="E232" s="24" t="s">
        <v>402</v>
      </c>
      <c r="F232" s="41" t="n">
        <f aca="false">INDEX((BOM_COEF!R251~BOM_COEF!S251~BOM_COEF!T251~BOM_COEF!U251~BOM_COEF!V251~BOM_COEF!W251~BOM_COEF!X251~BOM_COEF!Y251~BOM_COEF!Z251~BOM_COEF!AA251),1,1,INDEX(P_VAL,MATCH("AÑO_DIS",P_ID,0))-2025)</f>
        <v>1</v>
      </c>
      <c r="G232" s="24" t="s">
        <v>2281</v>
      </c>
      <c r="H232" s="42" t="n">
        <f aca="false">BOM_COEF!R251*DEMANDA!F59</f>
        <v>1</v>
      </c>
      <c r="I232" s="42" t="n">
        <f aca="false">BOM_COEF!S251*DEMANDA!G59</f>
        <v>2.05</v>
      </c>
      <c r="J232" s="42" t="n">
        <f aca="false">BOM_COEF!T251*DEMANDA!H59</f>
        <v>4.15</v>
      </c>
      <c r="K232" s="42" t="n">
        <f aca="false">BOM_COEF!U251*DEMANDA!I59</f>
        <v>5.35</v>
      </c>
      <c r="L232" s="42" t="n">
        <f aca="false">BOM_COEF!V251*DEMANDA!J59</f>
        <v>5.6</v>
      </c>
      <c r="M232" s="42" t="n">
        <f aca="false">BOM_COEF!W251*DEMANDA!K59</f>
        <v>6.85</v>
      </c>
      <c r="N232" s="42" t="n">
        <f aca="false">BOM_COEF!X251*DEMANDA!L59</f>
        <v>6.15</v>
      </c>
      <c r="O232" s="42" t="n">
        <f aca="false">BOM_COEF!Y251*DEMANDA!M59</f>
        <v>4.4</v>
      </c>
      <c r="P232" s="42" t="n">
        <f aca="false">BOM_COEF!Z251*DEMANDA!N59</f>
        <v>4.55</v>
      </c>
      <c r="Q232" s="42" t="n">
        <f aca="false">BOM_COEF!AA251*DEMANDA!O59</f>
        <v>3.7</v>
      </c>
      <c r="R232" s="24" t="s">
        <v>2823</v>
      </c>
    </row>
    <row r="233" customFormat="false" ht="15" hidden="false" customHeight="false" outlineLevel="1" collapsed="false">
      <c r="A233" s="24" t="n">
        <v>1</v>
      </c>
      <c r="B233" s="24" t="s">
        <v>586</v>
      </c>
      <c r="C233" s="40" t="s">
        <v>3224</v>
      </c>
      <c r="D233" s="24" t="s">
        <v>82</v>
      </c>
      <c r="E233" s="24" t="s">
        <v>405</v>
      </c>
      <c r="F233" s="41" t="n">
        <f aca="false">INDEX((BOM_COEF!R352~BOM_COEF!S352~BOM_COEF!T352~BOM_COEF!U352~BOM_COEF!V352~BOM_COEF!W352~BOM_COEF!X352~BOM_COEF!Y352~BOM_COEF!Z352~BOM_COEF!AA352),1,1,INDEX(P_VAL,MATCH("AÑO_DIS",P_ID,0))-2025)</f>
        <v>1</v>
      </c>
      <c r="G233" s="24" t="s">
        <v>2281</v>
      </c>
      <c r="H233" s="42" t="n">
        <f aca="false">BOM_COEF!R352*DEMANDA!F60</f>
        <v>1</v>
      </c>
      <c r="I233" s="42" t="n">
        <f aca="false">BOM_COEF!S352*DEMANDA!G60</f>
        <v>0.05</v>
      </c>
      <c r="J233" s="42" t="n">
        <f aca="false">BOM_COEF!T352*DEMANDA!H60</f>
        <v>1.05</v>
      </c>
      <c r="K233" s="42" t="n">
        <f aca="false">BOM_COEF!U352*DEMANDA!I60</f>
        <v>1.1</v>
      </c>
      <c r="L233" s="42" t="n">
        <f aca="false">BOM_COEF!V352*DEMANDA!J60</f>
        <v>2.15</v>
      </c>
      <c r="M233" s="42" t="n">
        <f aca="false">BOM_COEF!W352*DEMANDA!K60</f>
        <v>1.25</v>
      </c>
      <c r="N233" s="42" t="n">
        <f aca="false">BOM_COEF!X352*DEMANDA!L60</f>
        <v>1.3</v>
      </c>
      <c r="O233" s="42" t="n">
        <f aca="false">BOM_COEF!Y352*DEMANDA!M60</f>
        <v>1.35</v>
      </c>
      <c r="P233" s="42" t="n">
        <f aca="false">BOM_COEF!Z352*DEMANDA!N60</f>
        <v>1.4</v>
      </c>
      <c r="Q233" s="42" t="n">
        <f aca="false">BOM_COEF!AA352*DEMANDA!O60</f>
        <v>0.45</v>
      </c>
      <c r="R233" s="24" t="s">
        <v>2827</v>
      </c>
    </row>
    <row r="234" customFormat="false" ht="15" hidden="false" customHeight="false" outlineLevel="0" collapsed="false">
      <c r="A234" s="38" t="n">
        <v>0</v>
      </c>
      <c r="B234" s="38" t="s">
        <v>688</v>
      </c>
      <c r="C234" s="38" t="s">
        <v>1374</v>
      </c>
      <c r="D234" s="38" t="s">
        <v>82</v>
      </c>
      <c r="E234" s="38"/>
      <c r="F234" s="38"/>
      <c r="G234" s="38"/>
      <c r="H234" s="39" t="n">
        <f aca="false">SUM(H235:H267)</f>
        <v>1794.55422060475</v>
      </c>
      <c r="I234" s="39" t="n">
        <f aca="false">SUM(I235:I267)</f>
        <v>8017.14066573537</v>
      </c>
      <c r="J234" s="39" t="n">
        <f aca="false">SUM(J235:J267)</f>
        <v>16012.4788161514</v>
      </c>
      <c r="K234" s="39" t="n">
        <f aca="false">SUM(K235:K267)</f>
        <v>29652.8451981194</v>
      </c>
      <c r="L234" s="39" t="n">
        <f aca="false">SUM(L235:L267)</f>
        <v>43548.449618467</v>
      </c>
      <c r="M234" s="39" t="n">
        <f aca="false">SUM(M235:M267)</f>
        <v>59195.7203168274</v>
      </c>
      <c r="N234" s="39" t="n">
        <f aca="false">SUM(N235:N267)</f>
        <v>73432.8235349347</v>
      </c>
      <c r="O234" s="39" t="n">
        <f aca="false">SUM(O235:O267)</f>
        <v>83413.9374944816</v>
      </c>
      <c r="P234" s="39" t="n">
        <f aca="false">SUM(P235:P267)</f>
        <v>89698.8563018592</v>
      </c>
      <c r="Q234" s="39" t="n">
        <f aca="false">SUM(Q235:Q267)</f>
        <v>96196.7181084503</v>
      </c>
      <c r="R234" s="38"/>
    </row>
    <row r="235" customFormat="false" ht="15" hidden="false" customHeight="false" outlineLevel="1" collapsed="false">
      <c r="A235" s="24" t="n">
        <v>1</v>
      </c>
      <c r="B235" s="24" t="s">
        <v>688</v>
      </c>
      <c r="C235" s="40" t="s">
        <v>3225</v>
      </c>
      <c r="D235" s="24" t="s">
        <v>82</v>
      </c>
      <c r="E235" s="24" t="s">
        <v>282</v>
      </c>
      <c r="F235" s="41" t="n">
        <f aca="false">INDEX((BOM_COEF!R390~BOM_COEF!S390~BOM_COEF!T390~BOM_COEF!U390~BOM_COEF!V390~BOM_COEF!W390~BOM_COEF!X390~BOM_COEF!Y390~BOM_COEF!Z390~BOM_COEF!AA390),1,1,INDEX(P_VAL,MATCH("AÑO_DIS",P_ID,0))-2025)</f>
        <v>1</v>
      </c>
      <c r="G235" s="24" t="s">
        <v>689</v>
      </c>
      <c r="H235" s="42" t="n">
        <f aca="false">BOM_COEF!R390*DEMANDA!F20*INDEX(PY_VAL,MATCH("P_CABA_REC",PY_ID,0),1)</f>
        <v>895.022104421794</v>
      </c>
      <c r="I235" s="42" t="n">
        <f aca="false">BOM_COEF!S390*DEMANDA!G20*INDEX(PY_VAL,MATCH("P_CABA_REC",PY_ID,0),2)</f>
        <v>4360.20835185058</v>
      </c>
      <c r="J235" s="42" t="n">
        <f aca="false">BOM_COEF!T390*DEMANDA!H20*INDEX(PY_VAL,MATCH("P_CABA_REC",PY_ID,0),3)</f>
        <v>7835.75291692318</v>
      </c>
      <c r="K235" s="42" t="n">
        <f aca="false">BOM_COEF!U390*DEMANDA!I20*INDEX(PY_VAL,MATCH("P_CABA_REC",PY_ID,0),4)</f>
        <v>14357.7145975925</v>
      </c>
      <c r="L235" s="42" t="n">
        <f aca="false">BOM_COEF!V390*DEMANDA!J20*INDEX(PY_VAL,MATCH("P_CABA_REC",PY_ID,0),5)</f>
        <v>21562.2741625688</v>
      </c>
      <c r="M235" s="42" t="n">
        <f aca="false">BOM_COEF!W390*DEMANDA!K20*INDEX(PY_VAL,MATCH("P_CABA_REC",PY_ID,0),6)</f>
        <v>30014.2421214419</v>
      </c>
      <c r="N235" s="42" t="n">
        <f aca="false">BOM_COEF!X390*DEMANDA!L20*INDEX(PY_VAL,MATCH("P_CABA_REC",PY_ID,0),7)</f>
        <v>37713.1196318191</v>
      </c>
      <c r="O235" s="42" t="n">
        <f aca="false">BOM_COEF!Y390*DEMANDA!M20*INDEX(PY_VAL,MATCH("P_CABA_REC",PY_ID,0),8)</f>
        <v>43781.9230843591</v>
      </c>
      <c r="P235" s="42" t="n">
        <f aca="false">BOM_COEF!Z390*DEMANDA!N20*INDEX(PY_VAL,MATCH("P_CABA_REC",PY_ID,0),9)</f>
        <v>46928.7026156429</v>
      </c>
      <c r="Q235" s="42" t="n">
        <f aca="false">BOM_COEF!AA390*DEMANDA!O20*INDEX(PY_VAL,MATCH("P_CABA_REC",PY_ID,0),10)</f>
        <v>50178.8284726839</v>
      </c>
      <c r="R235" s="24" t="s">
        <v>3226</v>
      </c>
    </row>
    <row r="236" customFormat="false" ht="15" hidden="false" customHeight="false" outlineLevel="1" collapsed="false">
      <c r="A236" s="24" t="n">
        <v>1</v>
      </c>
      <c r="B236" s="24" t="s">
        <v>688</v>
      </c>
      <c r="C236" s="40" t="s">
        <v>3227</v>
      </c>
      <c r="D236" s="24" t="s">
        <v>82</v>
      </c>
      <c r="E236" s="24" t="s">
        <v>286</v>
      </c>
      <c r="F236" s="41" t="n">
        <f aca="false">INDEX((BOM_COEF!R404~BOM_COEF!S404~BOM_COEF!T404~BOM_COEF!U404~BOM_COEF!V404~BOM_COEF!W404~BOM_COEF!X404~BOM_COEF!Y404~BOM_COEF!Z404~BOM_COEF!AA404),1,1,INDEX(P_VAL,MATCH("AÑO_DIS",P_ID,0))-2025)</f>
        <v>1</v>
      </c>
      <c r="G236" s="24" t="s">
        <v>689</v>
      </c>
      <c r="H236" s="42" t="n">
        <f aca="false">BOM_COEF!R404*DEMANDA!F21*INDEX(PY_VAL,MATCH("P_CABA_REC",PY_ID,0),1)</f>
        <v>84.9333803212468</v>
      </c>
      <c r="I236" s="42" t="n">
        <f aca="false">BOM_COEF!S404*DEMANDA!G21*INDEX(PY_VAL,MATCH("P_CABA_REC",PY_ID,0),2)</f>
        <v>330.771930846245</v>
      </c>
      <c r="J236" s="42" t="n">
        <f aca="false">BOM_COEF!T404*DEMANDA!H21*INDEX(PY_VAL,MATCH("P_CABA_REC",PY_ID,0),3)</f>
        <v>756.014604533194</v>
      </c>
      <c r="K236" s="42" t="n">
        <f aca="false">BOM_COEF!U404*DEMANDA!I21*INDEX(PY_VAL,MATCH("P_CABA_REC",PY_ID,0),4)</f>
        <v>1389.97195771147</v>
      </c>
      <c r="L236" s="42" t="n">
        <f aca="false">BOM_COEF!V404*DEMANDA!J21*INDEX(PY_VAL,MATCH("P_CABA_REC",PY_ID,0),5)</f>
        <v>2008.80838131495</v>
      </c>
      <c r="M236" s="42" t="n">
        <f aca="false">BOM_COEF!W404*DEMANDA!K21*INDEX(PY_VAL,MATCH("P_CABA_REC",PY_ID,0),6)</f>
        <v>2664.78638569841</v>
      </c>
      <c r="N236" s="42" t="n">
        <f aca="false">BOM_COEF!X404*DEMANDA!L21*INDEX(PY_VAL,MATCH("P_CABA_REC",PY_ID,0),7)</f>
        <v>3272.80705362911</v>
      </c>
      <c r="O236" s="42" t="n">
        <f aca="false">BOM_COEF!Y404*DEMANDA!M21*INDEX(PY_VAL,MATCH("P_CABA_REC",PY_ID,0),8)</f>
        <v>3643.22446141465</v>
      </c>
      <c r="P236" s="42" t="n">
        <f aca="false">BOM_COEF!Z404*DEMANDA!N21*INDEX(PY_VAL,MATCH("P_CABA_REC",PY_ID,0),9)</f>
        <v>3942.74226776566</v>
      </c>
      <c r="Q236" s="42" t="n">
        <f aca="false">BOM_COEF!AA404*DEMANDA!O21*INDEX(PY_VAL,MATCH("P_CABA_REC",PY_ID,0),10)</f>
        <v>4249.02634491384</v>
      </c>
      <c r="R236" s="24" t="s">
        <v>3228</v>
      </c>
    </row>
    <row r="237" customFormat="false" ht="15" hidden="false" customHeight="false" outlineLevel="1" collapsed="false">
      <c r="A237" s="24" t="n">
        <v>1</v>
      </c>
      <c r="B237" s="24" t="s">
        <v>688</v>
      </c>
      <c r="C237" s="40" t="s">
        <v>3229</v>
      </c>
      <c r="D237" s="24" t="s">
        <v>82</v>
      </c>
      <c r="E237" s="24" t="s">
        <v>290</v>
      </c>
      <c r="F237" s="41" t="n">
        <f aca="false">INDEX((BOM_COEF!R419~BOM_COEF!S419~BOM_COEF!T419~BOM_COEF!U419~BOM_COEF!V419~BOM_COEF!W419~BOM_COEF!X419~BOM_COEF!Y419~BOM_COEF!Z419~BOM_COEF!AA419),1,1,INDEX(P_VAL,MATCH("AÑO_DIS",P_ID,0))-2025)</f>
        <v>1</v>
      </c>
      <c r="G237" s="24" t="s">
        <v>689</v>
      </c>
      <c r="H237" s="42" t="n">
        <f aca="false">BOM_COEF!R419*DEMANDA!F22*INDEX(PY_VAL,MATCH("P_CABA_REC",PY_ID,0),1)</f>
        <v>501.985565102156</v>
      </c>
      <c r="I237" s="42" t="n">
        <f aca="false">BOM_COEF!S419*DEMANDA!G22*INDEX(PY_VAL,MATCH("P_CABA_REC",PY_ID,0),2)</f>
        <v>2017.55281645074</v>
      </c>
      <c r="J237" s="42" t="n">
        <f aca="false">BOM_COEF!T419*DEMANDA!H22*INDEX(PY_VAL,MATCH("P_CABA_REC",PY_ID,0),3)</f>
        <v>4559.90359654115</v>
      </c>
      <c r="K237" s="42" t="n">
        <f aca="false">BOM_COEF!U419*DEMANDA!I22*INDEX(PY_VAL,MATCH("P_CABA_REC",PY_ID,0),4)</f>
        <v>8608.62977195992</v>
      </c>
      <c r="L237" s="42" t="n">
        <f aca="false">BOM_COEF!V419*DEMANDA!J22*INDEX(PY_VAL,MATCH("P_CABA_REC",PY_ID,0),5)</f>
        <v>12386.0749468768</v>
      </c>
      <c r="M237" s="42" t="n">
        <f aca="false">BOM_COEF!W419*DEMANDA!K22*INDEX(PY_VAL,MATCH("P_CABA_REC",PY_ID,0),6)</f>
        <v>16443.6008471271</v>
      </c>
      <c r="N237" s="42" t="n">
        <f aca="false">BOM_COEF!X419*DEMANDA!L22*INDEX(PY_VAL,MATCH("P_CABA_REC",PY_ID,0),7)</f>
        <v>20112.4957188146</v>
      </c>
      <c r="O237" s="42" t="n">
        <f aca="false">BOM_COEF!Y419*DEMANDA!M22*INDEX(PY_VAL,MATCH("P_CABA_REC",PY_ID,0),8)</f>
        <v>22283.0557390288</v>
      </c>
      <c r="P237" s="42" t="n">
        <f aca="false">BOM_COEF!Z419*DEMANDA!N22*INDEX(PY_VAL,MATCH("P_CABA_REC",PY_ID,0),9)</f>
        <v>24041.3164838906</v>
      </c>
      <c r="Q237" s="42" t="n">
        <f aca="false">BOM_COEF!AA419*DEMANDA!O22*INDEX(PY_VAL,MATCH("P_CABA_REC",PY_ID,0),10)</f>
        <v>25844.5484309613</v>
      </c>
      <c r="R237" s="24" t="s">
        <v>3230</v>
      </c>
    </row>
    <row r="238" customFormat="false" ht="15" hidden="false" customHeight="false" outlineLevel="1" collapsed="false">
      <c r="A238" s="24" t="n">
        <v>1</v>
      </c>
      <c r="B238" s="24" t="s">
        <v>688</v>
      </c>
      <c r="C238" s="40" t="s">
        <v>3231</v>
      </c>
      <c r="D238" s="24" t="s">
        <v>82</v>
      </c>
      <c r="E238" s="24" t="s">
        <v>336</v>
      </c>
      <c r="F238" s="41" t="n">
        <f aca="false">INDEX((BOM_COEF!R419~BOM_COEF!S419~BOM_COEF!T419~BOM_COEF!U419~BOM_COEF!V419~BOM_COEF!W419~BOM_COEF!X419~BOM_COEF!Y419~BOM_COEF!Z419~BOM_COEF!AA419),1,1,INDEX(P_VAL,MATCH("AÑO_DIS",P_ID,0))-2025)</f>
        <v>1</v>
      </c>
      <c r="G238" s="24" t="s">
        <v>689</v>
      </c>
      <c r="H238" s="42" t="n">
        <f aca="false">BOM_COEF!R419*DEMANDA!F37*INDEX(PY_VAL,MATCH("P_CABA_REC",PY_ID,0),1)</f>
        <v>16.214718169051</v>
      </c>
      <c r="I238" s="42" t="n">
        <f aca="false">BOM_COEF!S419*DEMANDA!G37*INDEX(PY_VAL,MATCH("P_CABA_REC",PY_ID,0),2)</f>
        <v>72.4535252527598</v>
      </c>
      <c r="J238" s="42" t="n">
        <f aca="false">BOM_COEF!T419*DEMANDA!H37*INDEX(PY_VAL,MATCH("P_CABA_REC",PY_ID,0),3)</f>
        <v>141.856827913764</v>
      </c>
      <c r="K238" s="42" t="n">
        <f aca="false">BOM_COEF!U419*DEMANDA!I37*INDEX(PY_VAL,MATCH("P_CABA_REC",PY_ID,0),4)</f>
        <v>262.570935398536</v>
      </c>
      <c r="L238" s="42" t="n">
        <f aca="false">BOM_COEF!V419*DEMANDA!J37*INDEX(PY_VAL,MATCH("P_CABA_REC",PY_ID,0),5)</f>
        <v>387.643974111307</v>
      </c>
      <c r="M238" s="42" t="n">
        <f aca="false">BOM_COEF!W419*DEMANDA!K37*INDEX(PY_VAL,MATCH("P_CABA_REC",PY_ID,0),6)</f>
        <v>529.687954631941</v>
      </c>
      <c r="N238" s="42" t="n">
        <f aca="false">BOM_COEF!X419*DEMANDA!L37*INDEX(PY_VAL,MATCH("P_CABA_REC",PY_ID,0),7)</f>
        <v>658.910078769835</v>
      </c>
      <c r="O238" s="42" t="n">
        <f aca="false">BOM_COEF!Y419*DEMANDA!M37*INDEX(PY_VAL,MATCH("P_CABA_REC",PY_ID,0),8)</f>
        <v>751.987761769665</v>
      </c>
      <c r="P238" s="42" t="n">
        <f aca="false">BOM_COEF!Z419*DEMANDA!N37*INDEX(PY_VAL,MATCH("P_CABA_REC",PY_ID,0),9)</f>
        <v>808.329019335126</v>
      </c>
      <c r="Q238" s="42" t="n">
        <f aca="false">BOM_COEF!AA419*DEMANDA!O37*INDEX(PY_VAL,MATCH("P_CABA_REC",PY_ID,0),10)</f>
        <v>866.127676664527</v>
      </c>
      <c r="R238" s="24" t="s">
        <v>3230</v>
      </c>
    </row>
    <row r="239" customFormat="false" ht="15" hidden="false" customHeight="false" outlineLevel="1" collapsed="false">
      <c r="A239" s="24" t="n">
        <v>1</v>
      </c>
      <c r="B239" s="24" t="s">
        <v>688</v>
      </c>
      <c r="C239" s="40" t="s">
        <v>3232</v>
      </c>
      <c r="D239" s="24" t="s">
        <v>82</v>
      </c>
      <c r="E239" s="24" t="s">
        <v>293</v>
      </c>
      <c r="F239" s="41" t="n">
        <f aca="false">INDEX((BOM_COEF!R434~BOM_COEF!S434~BOM_COEF!T434~BOM_COEF!U434~BOM_COEF!V434~BOM_COEF!W434~BOM_COEF!X434~BOM_COEF!Y434~BOM_COEF!Z434~BOM_COEF!AA434),1,1,INDEX(P_VAL,MATCH("AÑO_DIS",P_ID,0))-2025)</f>
        <v>1</v>
      </c>
      <c r="G239" s="24" t="s">
        <v>689</v>
      </c>
      <c r="H239" s="42" t="n">
        <f aca="false">BOM_COEF!R434*DEMANDA!F23*INDEX(PY_VAL,MATCH("P_CABA_REC",PY_ID,0),1)</f>
        <v>30.4588674299881</v>
      </c>
      <c r="I239" s="42" t="n">
        <f aca="false">BOM_COEF!S434*DEMANDA!G23*INDEX(PY_VAL,MATCH("P_CABA_REC",PY_ID,0),2)</f>
        <v>112.461379895139</v>
      </c>
      <c r="J239" s="42" t="n">
        <f aca="false">BOM_COEF!T434*DEMANDA!H23*INDEX(PY_VAL,MATCH("P_CABA_REC",PY_ID,0),3)</f>
        <v>262.928891136598</v>
      </c>
      <c r="K239" s="42" t="n">
        <f aca="false">BOM_COEF!U434*DEMANDA!I23*INDEX(PY_VAL,MATCH("P_CABA_REC",PY_ID,0),4)</f>
        <v>502.191854858394</v>
      </c>
      <c r="L239" s="42" t="n">
        <f aca="false">BOM_COEF!V434*DEMANDA!J23*INDEX(PY_VAL,MATCH("P_CABA_REC",PY_ID,0),5)</f>
        <v>727.945960949235</v>
      </c>
      <c r="M239" s="42" t="n">
        <f aca="false">BOM_COEF!W434*DEMANDA!K23*INDEX(PY_VAL,MATCH("P_CABA_REC",PY_ID,0),6)</f>
        <v>974.091706040496</v>
      </c>
      <c r="N239" s="42" t="n">
        <f aca="false">BOM_COEF!X434*DEMANDA!L23*INDEX(PY_VAL,MATCH("P_CABA_REC",PY_ID,0),7)</f>
        <v>1191.5255852892</v>
      </c>
      <c r="O239" s="42" t="n">
        <f aca="false">BOM_COEF!Y434*DEMANDA!M23*INDEX(PY_VAL,MATCH("P_CABA_REC",PY_ID,0),8)</f>
        <v>1319.17519111717</v>
      </c>
      <c r="P239" s="42" t="n">
        <f aca="false">BOM_COEF!Z434*DEMANDA!N23*INDEX(PY_VAL,MATCH("P_CABA_REC",PY_ID,0),9)</f>
        <v>1423.40106284274</v>
      </c>
      <c r="Q239" s="42" t="n">
        <f aca="false">BOM_COEF!AA434*DEMANDA!O23*INDEX(PY_VAL,MATCH("P_CABA_REC",PY_ID,0),10)</f>
        <v>1530.28267611251</v>
      </c>
      <c r="R239" s="24" t="s">
        <v>3233</v>
      </c>
    </row>
    <row r="240" customFormat="false" ht="15" hidden="false" customHeight="false" outlineLevel="1" collapsed="false">
      <c r="A240" s="24" t="n">
        <v>1</v>
      </c>
      <c r="B240" s="24" t="s">
        <v>688</v>
      </c>
      <c r="C240" s="40" t="s">
        <v>3234</v>
      </c>
      <c r="D240" s="24" t="s">
        <v>82</v>
      </c>
      <c r="E240" s="24" t="s">
        <v>339</v>
      </c>
      <c r="F240" s="41" t="n">
        <f aca="false">INDEX((BOM_COEF!R434~BOM_COEF!S434~BOM_COEF!T434~BOM_COEF!U434~BOM_COEF!V434~BOM_COEF!W434~BOM_COEF!X434~BOM_COEF!Y434~BOM_COEF!Z434~BOM_COEF!AA434),1,1,INDEX(P_VAL,MATCH("AÑO_DIS",P_ID,0))-2025)</f>
        <v>1</v>
      </c>
      <c r="G240" s="24" t="s">
        <v>689</v>
      </c>
      <c r="H240" s="42" t="n">
        <f aca="false">BOM_COEF!R434*DEMANDA!F38*INDEX(PY_VAL,MATCH("P_CABA_REC",PY_ID,0),1)</f>
        <v>0.514752957747652</v>
      </c>
      <c r="I240" s="42" t="n">
        <f aca="false">BOM_COEF!S434*DEMANDA!G38*INDEX(PY_VAL,MATCH("P_CABA_REC",PY_ID,0),2)</f>
        <v>1.28463697256666</v>
      </c>
      <c r="J240" s="42" t="n">
        <f aca="false">BOM_COEF!T434*DEMANDA!H38*INDEX(PY_VAL,MATCH("P_CABA_REC",PY_ID,0),3)</f>
        <v>3.07826751349941</v>
      </c>
      <c r="K240" s="42" t="n">
        <f aca="false">BOM_COEF!U434*DEMANDA!I38*INDEX(PY_VAL,MATCH("P_CABA_REC",PY_ID,0),4)</f>
        <v>5.63566885733442</v>
      </c>
      <c r="L240" s="42" t="n">
        <f aca="false">BOM_COEF!V434*DEMANDA!J38*INDEX(PY_VAL,MATCH("P_CABA_REC",PY_ID,0),5)</f>
        <v>7.93198890920826</v>
      </c>
      <c r="M240" s="42" t="n">
        <f aca="false">BOM_COEF!W434*DEMANDA!K38*INDEX(PY_VAL,MATCH("P_CABA_REC",PY_ID,0),6)</f>
        <v>10.7369179992961</v>
      </c>
      <c r="N240" s="42" t="n">
        <f aca="false">BOM_COEF!X434*DEMANDA!L38*INDEX(PY_VAL,MATCH("P_CABA_REC",PY_ID,0),7)</f>
        <v>13.0300170675694</v>
      </c>
      <c r="O240" s="42" t="n">
        <f aca="false">BOM_COEF!Y434*DEMANDA!M38*INDEX(PY_VAL,MATCH("P_CABA_REC",PY_ID,0),8)</f>
        <v>14.3041150336621</v>
      </c>
      <c r="P240" s="42" t="n">
        <f aca="false">BOM_COEF!Z434*DEMANDA!N38*INDEX(PY_VAL,MATCH("P_CABA_REC",PY_ID,0),9)</f>
        <v>15.5840929770678</v>
      </c>
      <c r="Q240" s="42" t="n">
        <f aca="false">BOM_COEF!AA434*DEMANDA!O38*INDEX(PY_VAL,MATCH("P_CABA_REC",PY_ID,0),10)</f>
        <v>16.6169713645792</v>
      </c>
      <c r="R240" s="24" t="s">
        <v>3233</v>
      </c>
    </row>
    <row r="241" customFormat="false" ht="15" hidden="false" customHeight="false" outlineLevel="1" collapsed="false">
      <c r="A241" s="24" t="n">
        <v>1</v>
      </c>
      <c r="B241" s="24" t="s">
        <v>688</v>
      </c>
      <c r="C241" s="40" t="s">
        <v>3235</v>
      </c>
      <c r="D241" s="24" t="s">
        <v>82</v>
      </c>
      <c r="E241" s="24" t="s">
        <v>296</v>
      </c>
      <c r="F241" s="41" t="n">
        <f aca="false">INDEX((BOM_COEF!R449~BOM_COEF!S449~BOM_COEF!T449~BOM_COEF!U449~BOM_COEF!V449~BOM_COEF!W449~BOM_COEF!X449~BOM_COEF!Y449~BOM_COEF!Z449~BOM_COEF!AA449),1,1,INDEX(P_VAL,MATCH("AÑO_DIS",P_ID,0))-2025)</f>
        <v>1</v>
      </c>
      <c r="G241" s="24" t="s">
        <v>689</v>
      </c>
      <c r="H241" s="42" t="n">
        <f aca="false">BOM_COEF!R449*DEMANDA!F24*INDEX(PY_VAL,MATCH("P_CABA_REC",PY_ID,0),1)</f>
        <v>4.53954274179614</v>
      </c>
      <c r="I241" s="42" t="n">
        <f aca="false">BOM_COEF!S449*DEMANDA!G24*INDEX(PY_VAL,MATCH("P_CABA_REC",PY_ID,0),2)</f>
        <v>22.092626398325</v>
      </c>
      <c r="J241" s="42" t="n">
        <f aca="false">BOM_COEF!T449*DEMANDA!H24*INDEX(PY_VAL,MATCH("P_CABA_REC",PY_ID,0),3)</f>
        <v>47.9362098567735</v>
      </c>
      <c r="K241" s="42" t="n">
        <f aca="false">BOM_COEF!U449*DEMANDA!I24*INDEX(PY_VAL,MATCH("P_CABA_REC",PY_ID,0),4)</f>
        <v>86.221537710519</v>
      </c>
      <c r="L241" s="42" t="n">
        <f aca="false">BOM_COEF!V449*DEMANDA!J24*INDEX(PY_VAL,MATCH("P_CABA_REC",PY_ID,0),5)</f>
        <v>123.875303082019</v>
      </c>
      <c r="M241" s="42" t="n">
        <f aca="false">BOM_COEF!W449*DEMANDA!K24*INDEX(PY_VAL,MATCH("P_CABA_REC",PY_ID,0),6)</f>
        <v>164.433441274177</v>
      </c>
      <c r="N241" s="42" t="n">
        <f aca="false">BOM_COEF!X449*DEMANDA!L24*INDEX(PY_VAL,MATCH("P_CABA_REC",PY_ID,0),7)</f>
        <v>202.4588064128</v>
      </c>
      <c r="O241" s="42" t="n">
        <f aca="false">BOM_COEF!Y449*DEMANDA!M24*INDEX(PY_VAL,MATCH("P_CABA_REC",PY_ID,0),8)</f>
        <v>227.25093328237</v>
      </c>
      <c r="P241" s="42" t="n">
        <f aca="false">BOM_COEF!Z449*DEMANDA!N24*INDEX(PY_VAL,MATCH("P_CABA_REC",PY_ID,0),9)</f>
        <v>246.614722659746</v>
      </c>
      <c r="Q241" s="42" t="n">
        <f aca="false">BOM_COEF!AA449*DEMANDA!O24*INDEX(PY_VAL,MATCH("P_CABA_REC",PY_ID,0),10)</f>
        <v>266.367418334649</v>
      </c>
      <c r="R241" s="24" t="s">
        <v>3236</v>
      </c>
    </row>
    <row r="242" customFormat="false" ht="15" hidden="false" customHeight="false" outlineLevel="1" collapsed="false">
      <c r="A242" s="24" t="n">
        <v>1</v>
      </c>
      <c r="B242" s="24" t="s">
        <v>688</v>
      </c>
      <c r="C242" s="40" t="s">
        <v>3237</v>
      </c>
      <c r="D242" s="24" t="s">
        <v>82</v>
      </c>
      <c r="E242" s="24" t="s">
        <v>300</v>
      </c>
      <c r="F242" s="41" t="n">
        <f aca="false">INDEX((BOM_COEF!R464~BOM_COEF!S464~BOM_COEF!T464~BOM_COEF!U464~BOM_COEF!V464~BOM_COEF!W464~BOM_COEF!X464~BOM_COEF!Y464~BOM_COEF!Z464~BOM_COEF!AA464),1,1,INDEX(P_VAL,MATCH("AÑO_DIS",P_ID,0))-2025)</f>
        <v>1</v>
      </c>
      <c r="G242" s="24" t="s">
        <v>689</v>
      </c>
      <c r="H242" s="42" t="n">
        <f aca="false">BOM_COEF!R464*DEMANDA!F25*INDEX(PY_VAL,MATCH("P_CABA_REC",PY_ID,0),1)</f>
        <v>9.98699403092201</v>
      </c>
      <c r="I242" s="42" t="n">
        <f aca="false">BOM_COEF!S464*DEMANDA!G25*INDEX(PY_VAL,MATCH("P_CABA_REC",PY_ID,0),2)</f>
        <v>48.6037780814535</v>
      </c>
      <c r="J242" s="42" t="n">
        <f aca="false">BOM_COEF!T464*DEMANDA!H25*INDEX(PY_VAL,MATCH("P_CABA_REC",PY_ID,0),3)</f>
        <v>105.45966166951</v>
      </c>
      <c r="K242" s="42" t="n">
        <f aca="false">BOM_COEF!U464*DEMANDA!I25*INDEX(PY_VAL,MATCH("P_CABA_REC",PY_ID,0),4)</f>
        <v>189.687382947772</v>
      </c>
      <c r="L242" s="42" t="n">
        <f aca="false">BOM_COEF!V464*DEMANDA!J25*INDEX(PY_VAL,MATCH("P_CABA_REC",PY_ID,0),5)</f>
        <v>272.525666795794</v>
      </c>
      <c r="M242" s="42" t="n">
        <f aca="false">BOM_COEF!W464*DEMANDA!K25*INDEX(PY_VAL,MATCH("P_CABA_REC",PY_ID,0),6)</f>
        <v>361.753570833866</v>
      </c>
      <c r="N242" s="42" t="n">
        <f aca="false">BOM_COEF!X464*DEMANDA!L25*INDEX(PY_VAL,MATCH("P_CABA_REC",PY_ID,0),7)</f>
        <v>445.40937409283</v>
      </c>
      <c r="O242" s="42" t="n">
        <f aca="false">BOM_COEF!Y464*DEMANDA!M25*INDEX(PY_VAL,MATCH("P_CABA_REC",PY_ID,0),8)</f>
        <v>499.952053119042</v>
      </c>
      <c r="P242" s="42" t="n">
        <f aca="false">BOM_COEF!Z464*DEMANDA!N25*INDEX(PY_VAL,MATCH("P_CABA_REC",PY_ID,0),9)</f>
        <v>542.552389876989</v>
      </c>
      <c r="Q242" s="42" t="n">
        <f aca="false">BOM_COEF!AA464*DEMANDA!O25*INDEX(PY_VAL,MATCH("P_CABA_REC",PY_ID,0),10)</f>
        <v>586.008319978323</v>
      </c>
      <c r="R242" s="24" t="s">
        <v>3238</v>
      </c>
    </row>
    <row r="243" customFormat="false" ht="15" hidden="false" customHeight="false" outlineLevel="1" collapsed="false">
      <c r="A243" s="24" t="n">
        <v>1</v>
      </c>
      <c r="B243" s="24" t="s">
        <v>688</v>
      </c>
      <c r="C243" s="40" t="s">
        <v>3239</v>
      </c>
      <c r="D243" s="24" t="s">
        <v>82</v>
      </c>
      <c r="E243" s="24" t="s">
        <v>366</v>
      </c>
      <c r="F243" s="41" t="n">
        <f aca="false">INDEX((BOM_COEF!R464~BOM_COEF!S464~BOM_COEF!T464~BOM_COEF!U464~BOM_COEF!V464~BOM_COEF!W464~BOM_COEF!X464~BOM_COEF!Y464~BOM_COEF!Z464~BOM_COEF!AA464),1,1,INDEX(P_VAL,MATCH("AÑO_DIS",P_ID,0))-2025)</f>
        <v>1</v>
      </c>
      <c r="G243" s="24" t="s">
        <v>689</v>
      </c>
      <c r="H243" s="42" t="n">
        <f aca="false">BOM_COEF!R464*DEMANDA!F47*INDEX(PY_VAL,MATCH("P_CABA_REC",PY_ID,0),1)</f>
        <v>0.257376478873826</v>
      </c>
      <c r="I243" s="42" t="n">
        <f aca="false">BOM_COEF!S464*DEMANDA!G47*INDEX(PY_VAL,MATCH("P_CABA_REC",PY_ID,0),2)</f>
        <v>0.770782183539998</v>
      </c>
      <c r="J243" s="42" t="n">
        <f aca="false">BOM_COEF!T464*DEMANDA!H47*INDEX(PY_VAL,MATCH("P_CABA_REC",PY_ID,0),3)</f>
        <v>1.79565604954132</v>
      </c>
      <c r="K243" s="42" t="n">
        <f aca="false">BOM_COEF!U464*DEMANDA!I47*INDEX(PY_VAL,MATCH("P_CABA_REC",PY_ID,0),4)</f>
        <v>3.07400119490969</v>
      </c>
      <c r="L243" s="42" t="n">
        <f aca="false">BOM_COEF!V464*DEMANDA!J47*INDEX(PY_VAL,MATCH("P_CABA_REC",PY_ID,0),5)</f>
        <v>4.34980036956582</v>
      </c>
      <c r="M243" s="42" t="n">
        <f aca="false">BOM_COEF!W464*DEMANDA!K47*INDEX(PY_VAL,MATCH("P_CABA_REC",PY_ID,0),6)</f>
        <v>5.87974080913834</v>
      </c>
      <c r="N243" s="42" t="n">
        <f aca="false">BOM_COEF!X464*DEMANDA!L47*INDEX(PY_VAL,MATCH("P_CABA_REC",PY_ID,0),7)</f>
        <v>7.15373486062636</v>
      </c>
      <c r="O243" s="42" t="n">
        <f aca="false">BOM_COEF!Y464*DEMANDA!M47*INDEX(PY_VAL,MATCH("P_CABA_REC",PY_ID,0),8)</f>
        <v>7.91834939363438</v>
      </c>
      <c r="P243" s="42" t="n">
        <f aca="false">BOM_COEF!Z464*DEMANDA!N47*INDEX(PY_VAL,MATCH("P_CABA_REC",PY_ID,0),9)</f>
        <v>8.68621575770995</v>
      </c>
      <c r="Q243" s="42" t="n">
        <f aca="false">BOM_COEF!AA464*DEMANDA!O47*INDEX(PY_VAL,MATCH("P_CABA_REC",PY_ID,0),10)</f>
        <v>9.20324567884385</v>
      </c>
      <c r="R243" s="24" t="s">
        <v>3238</v>
      </c>
    </row>
    <row r="244" customFormat="false" ht="15" hidden="false" customHeight="false" outlineLevel="1" collapsed="false">
      <c r="A244" s="24" t="n">
        <v>1</v>
      </c>
      <c r="B244" s="24" t="s">
        <v>688</v>
      </c>
      <c r="C244" s="40" t="s">
        <v>3240</v>
      </c>
      <c r="D244" s="24" t="s">
        <v>82</v>
      </c>
      <c r="E244" s="24" t="s">
        <v>303</v>
      </c>
      <c r="F244" s="41" t="n">
        <f aca="false">INDEX((BOM_COEF!R479~BOM_COEF!S479~BOM_COEF!T479~BOM_COEF!U479~BOM_COEF!V479~BOM_COEF!W479~BOM_COEF!X479~BOM_COEF!Y479~BOM_COEF!Z479~BOM_COEF!AA479),1,1,INDEX(P_VAL,MATCH("AÑO_DIS",P_ID,0))-2025)</f>
        <v>1</v>
      </c>
      <c r="G244" s="24" t="s">
        <v>689</v>
      </c>
      <c r="H244" s="42" t="n">
        <f aca="false">BOM_COEF!R479*DEMANDA!F26*INDEX(PY_VAL,MATCH("P_CABA_REC",PY_ID,0),1)</f>
        <v>2.17898051590772</v>
      </c>
      <c r="I244" s="42" t="n">
        <f aca="false">BOM_COEF!S479*DEMANDA!G26*INDEX(PY_VAL,MATCH("P_CABA_REC",PY_ID,0),2)</f>
        <v>10.6044606706821</v>
      </c>
      <c r="J244" s="42" t="n">
        <f aca="false">BOM_COEF!T479*DEMANDA!H26*INDEX(PY_VAL,MATCH("P_CABA_REC",PY_ID,0),3)</f>
        <v>23.00938072766</v>
      </c>
      <c r="K244" s="42" t="n">
        <f aca="false">BOM_COEF!U479*DEMANDA!I26*INDEX(PY_VAL,MATCH("P_CABA_REC",PY_ID,0),4)</f>
        <v>41.3863381051478</v>
      </c>
      <c r="L244" s="42" t="n">
        <f aca="false">BOM_COEF!V479*DEMANDA!J26*INDEX(PY_VAL,MATCH("P_CABA_REC",PY_ID,0),5)</f>
        <v>59.4601454803925</v>
      </c>
      <c r="M244" s="42" t="n">
        <f aca="false">BOM_COEF!W479*DEMANDA!K26*INDEX(PY_VAL,MATCH("P_CABA_REC",PY_ID,0),6)</f>
        <v>78.92805181365</v>
      </c>
      <c r="N244" s="42" t="n">
        <f aca="false">BOM_COEF!X479*DEMANDA!L26*INDEX(PY_VAL,MATCH("P_CABA_REC",PY_ID,0),7)</f>
        <v>97.1802270771219</v>
      </c>
      <c r="O244" s="42" t="n">
        <f aca="false">BOM_COEF!Y479*DEMANDA!M26*INDEX(PY_VAL,MATCH("P_CABA_REC",PY_ID,0),8)</f>
        <v>109.080447960212</v>
      </c>
      <c r="P244" s="42" t="n">
        <f aca="false">BOM_COEF!Z479*DEMANDA!N26*INDEX(PY_VAL,MATCH("P_CABA_REC",PY_ID,0),9)</f>
        <v>118.375066886897</v>
      </c>
      <c r="Q244" s="42" t="n">
        <f aca="false">BOM_COEF!AA479*DEMANDA!O26*INDEX(PY_VAL,MATCH("P_CABA_REC",PY_ID,0),10)</f>
        <v>127.856360734163</v>
      </c>
      <c r="R244" s="24" t="s">
        <v>3241</v>
      </c>
    </row>
    <row r="245" customFormat="false" ht="15" hidden="false" customHeight="false" outlineLevel="1" collapsed="false">
      <c r="A245" s="24" t="n">
        <v>1</v>
      </c>
      <c r="B245" s="24" t="s">
        <v>688</v>
      </c>
      <c r="C245" s="40" t="s">
        <v>3242</v>
      </c>
      <c r="D245" s="24" t="s">
        <v>82</v>
      </c>
      <c r="E245" s="24" t="s">
        <v>306</v>
      </c>
      <c r="F245" s="41" t="n">
        <f aca="false">INDEX((BOM_COEF!R494~BOM_COEF!S494~BOM_COEF!T494~BOM_COEF!U494~BOM_COEF!V494~BOM_COEF!W494~BOM_COEF!X494~BOM_COEF!Y494~BOM_COEF!Z494~BOM_COEF!AA494),1,1,INDEX(P_VAL,MATCH("AÑO_DIS",P_ID,0))-2025)</f>
        <v>1</v>
      </c>
      <c r="G245" s="24" t="s">
        <v>689</v>
      </c>
      <c r="H245" s="42" t="n">
        <f aca="false">BOM_COEF!R494*DEMANDA!F27*INDEX(PY_VAL,MATCH("P_CABA_REC",PY_ID,0),1)</f>
        <v>1.45265367727182</v>
      </c>
      <c r="I245" s="42" t="n">
        <f aca="false">BOM_COEF!S494*DEMANDA!G27*INDEX(PY_VAL,MATCH("P_CABA_REC",PY_ID,0),2)</f>
        <v>7.06964044797785</v>
      </c>
      <c r="J245" s="42" t="n">
        <f aca="false">BOM_COEF!T494*DEMANDA!H27*INDEX(PY_VAL,MATCH("P_CABA_REC",PY_ID,0),3)</f>
        <v>15.3395871526284</v>
      </c>
      <c r="K245" s="42" t="n">
        <f aca="false">BOM_COEF!U494*DEMANDA!I27*INDEX(PY_VAL,MATCH("P_CABA_REC",PY_ID,0),4)</f>
        <v>27.5908920530208</v>
      </c>
      <c r="L245" s="42" t="n">
        <f aca="false">BOM_COEF!V494*DEMANDA!J27*INDEX(PY_VAL,MATCH("P_CABA_REC",PY_ID,0),5)</f>
        <v>39.6400969954574</v>
      </c>
      <c r="M245" s="42" t="n">
        <f aca="false">BOM_COEF!W494*DEMANDA!K27*INDEX(PY_VAL,MATCH("P_CABA_REC",PY_ID,0),6)</f>
        <v>52.6187012005787</v>
      </c>
      <c r="N245" s="42" t="n">
        <f aca="false">BOM_COEF!X494*DEMANDA!L27*INDEX(PY_VAL,MATCH("P_CABA_REC",PY_ID,0),7)</f>
        <v>64.7868180428982</v>
      </c>
      <c r="O245" s="42" t="n">
        <f aca="false">BOM_COEF!Y494*DEMANDA!M27*INDEX(PY_VAL,MATCH("P_CABA_REC",PY_ID,0),8)</f>
        <v>72.7202986401412</v>
      </c>
      <c r="P245" s="42" t="n">
        <f aca="false">BOM_COEF!Z494*DEMANDA!N27*INDEX(PY_VAL,MATCH("P_CABA_REC",PY_ID,0),9)</f>
        <v>78.9167112408997</v>
      </c>
      <c r="Q245" s="42" t="n">
        <f aca="false">BOM_COEF!AA494*DEMANDA!O27*INDEX(PY_VAL,MATCH("P_CABA_REC",PY_ID,0),10)</f>
        <v>85.2375738312971</v>
      </c>
      <c r="R245" s="24" t="s">
        <v>3243</v>
      </c>
    </row>
    <row r="246" customFormat="false" ht="15" hidden="false" customHeight="false" outlineLevel="1" collapsed="false">
      <c r="A246" s="24" t="n">
        <v>1</v>
      </c>
      <c r="B246" s="24" t="s">
        <v>688</v>
      </c>
      <c r="C246" s="40" t="s">
        <v>3244</v>
      </c>
      <c r="D246" s="24" t="s">
        <v>82</v>
      </c>
      <c r="E246" s="24" t="s">
        <v>369</v>
      </c>
      <c r="F246" s="41" t="n">
        <f aca="false">INDEX((BOM_COEF!R494~BOM_COEF!S494~BOM_COEF!T494~BOM_COEF!U494~BOM_COEF!V494~BOM_COEF!W494~BOM_COEF!X494~BOM_COEF!Y494~BOM_COEF!Z494~BOM_COEF!AA494),1,1,INDEX(P_VAL,MATCH("AÑO_DIS",P_ID,0))-2025)</f>
        <v>1</v>
      </c>
      <c r="G246" s="24" t="s">
        <v>689</v>
      </c>
      <c r="H246" s="42" t="n">
        <f aca="false">BOM_COEF!R494*DEMANDA!F48*INDEX(PY_VAL,MATCH("P_CABA_REC",PY_ID,0),1)</f>
        <v>0.257376478873826</v>
      </c>
      <c r="I246" s="42" t="n">
        <f aca="false">BOM_COEF!S494*DEMANDA!G48*INDEX(PY_VAL,MATCH("P_CABA_REC",PY_ID,0),2)</f>
        <v>0.256927394513333</v>
      </c>
      <c r="J246" s="42" t="n">
        <f aca="false">BOM_COEF!T494*DEMANDA!H48*INDEX(PY_VAL,MATCH("P_CABA_REC",PY_ID,0),3)</f>
        <v>0.513044585583235</v>
      </c>
      <c r="K246" s="42" t="n">
        <f aca="false">BOM_COEF!U494*DEMANDA!I48*INDEX(PY_VAL,MATCH("P_CABA_REC",PY_ID,0),4)</f>
        <v>0.768500298727421</v>
      </c>
      <c r="L246" s="42" t="n">
        <f aca="false">BOM_COEF!V494*DEMANDA!J48*INDEX(PY_VAL,MATCH("P_CABA_REC",PY_ID,0),5)</f>
        <v>1.2793530498723</v>
      </c>
      <c r="M246" s="42" t="n">
        <f aca="false">BOM_COEF!W494*DEMANDA!K48*INDEX(PY_VAL,MATCH("P_CABA_REC",PY_ID,0),6)</f>
        <v>1.53384542847087</v>
      </c>
      <c r="N246" s="42" t="n">
        <f aca="false">BOM_COEF!X494*DEMANDA!L48*INDEX(PY_VAL,MATCH("P_CABA_REC",PY_ID,0),7)</f>
        <v>1.78843371515659</v>
      </c>
      <c r="O246" s="42" t="n">
        <f aca="false">BOM_COEF!Y494*DEMANDA!M48*INDEX(PY_VAL,MATCH("P_CABA_REC",PY_ID,0),8)</f>
        <v>2.04344500480887</v>
      </c>
      <c r="P246" s="42" t="n">
        <f aca="false">BOM_COEF!Z494*DEMANDA!N48*INDEX(PY_VAL,MATCH("P_CABA_REC",PY_ID,0),9)</f>
        <v>2.29929240645263</v>
      </c>
      <c r="Q246" s="42" t="n">
        <f aca="false">BOM_COEF!AA494*DEMANDA!O48*INDEX(PY_VAL,MATCH("P_CABA_REC",PY_ID,0),10)</f>
        <v>2.30081141971096</v>
      </c>
      <c r="R246" s="24" t="s">
        <v>3243</v>
      </c>
    </row>
    <row r="247" customFormat="false" ht="15" hidden="false" customHeight="false" outlineLevel="1" collapsed="false">
      <c r="A247" s="24" t="n">
        <v>1</v>
      </c>
      <c r="B247" s="24" t="s">
        <v>688</v>
      </c>
      <c r="C247" s="40" t="s">
        <v>3245</v>
      </c>
      <c r="D247" s="24" t="s">
        <v>82</v>
      </c>
      <c r="E247" s="24" t="s">
        <v>309</v>
      </c>
      <c r="F247" s="41" t="n">
        <f aca="false">INDEX((BOM_COEF!R507~BOM_COEF!S507~BOM_COEF!T507~BOM_COEF!U507~BOM_COEF!V507~BOM_COEF!W507~BOM_COEF!X507~BOM_COEF!Y507~BOM_COEF!Z507~BOM_COEF!AA507),1,1,INDEX(P_VAL,MATCH("AÑO_DIS",P_ID,0))-2025)</f>
        <v>1</v>
      </c>
      <c r="G247" s="24" t="s">
        <v>689</v>
      </c>
      <c r="H247" s="42" t="n">
        <f aca="false">BOM_COEF!R507*DEMANDA!F28*INDEX(PY_VAL,MATCH("P_CABA_REC",PY_ID,0),1)</f>
        <v>41.0023215255199</v>
      </c>
      <c r="I247" s="42" t="n">
        <f aca="false">BOM_COEF!S507*DEMANDA!G28*INDEX(PY_VAL,MATCH("P_CABA_REC",PY_ID,0),2)</f>
        <v>165.313134163214</v>
      </c>
      <c r="J247" s="42" t="n">
        <f aca="false">BOM_COEF!T507*DEMANDA!H28*INDEX(PY_VAL,MATCH("P_CABA_REC",PY_ID,0),3)</f>
        <v>378.206910727854</v>
      </c>
      <c r="K247" s="42" t="n">
        <f aca="false">BOM_COEF!U507*DEMANDA!I28*INDEX(PY_VAL,MATCH("P_CABA_REC",PY_ID,0),4)</f>
        <v>708.672859152445</v>
      </c>
      <c r="L247" s="42" t="n">
        <f aca="false">BOM_COEF!V507*DEMANDA!J28*INDEX(PY_VAL,MATCH("P_CABA_REC",PY_ID,0),5)</f>
        <v>1021.29864078911</v>
      </c>
      <c r="M247" s="42" t="n">
        <f aca="false">BOM_COEF!W507*DEMANDA!K28*INDEX(PY_VAL,MATCH("P_CABA_REC",PY_ID,0),6)</f>
        <v>1364.03743509834</v>
      </c>
      <c r="N247" s="42" t="n">
        <f aca="false">BOM_COEF!X507*DEMANDA!L28*INDEX(PY_VAL,MATCH("P_CABA_REC",PY_ID,0),7)</f>
        <v>1670.6420765048</v>
      </c>
      <c r="O247" s="42" t="n">
        <f aca="false">BOM_COEF!Y507*DEMANDA!M28*INDEX(PY_VAL,MATCH("P_CABA_REC",PY_ID,0),8)</f>
        <v>1856.93458912508</v>
      </c>
      <c r="P247" s="42" t="n">
        <f aca="false">BOM_COEF!Z507*DEMANDA!N28*INDEX(PY_VAL,MATCH("P_CABA_REC",PY_ID,0),9)</f>
        <v>2006.88408192897</v>
      </c>
      <c r="Q247" s="42" t="n">
        <f aca="false">BOM_COEF!AA507*DEMANDA!O28*INDEX(PY_VAL,MATCH("P_CABA_REC",PY_ID,0),10)</f>
        <v>2160.41439371322</v>
      </c>
      <c r="R247" s="24" t="s">
        <v>3246</v>
      </c>
    </row>
    <row r="248" customFormat="false" ht="15" hidden="false" customHeight="false" outlineLevel="1" collapsed="false">
      <c r="A248" s="24" t="n">
        <v>1</v>
      </c>
      <c r="B248" s="24" t="s">
        <v>688</v>
      </c>
      <c r="C248" s="40" t="s">
        <v>3247</v>
      </c>
      <c r="D248" s="24" t="s">
        <v>82</v>
      </c>
      <c r="E248" s="24" t="s">
        <v>342</v>
      </c>
      <c r="F248" s="41" t="n">
        <f aca="false">INDEX((BOM_COEF!R507~BOM_COEF!S507~BOM_COEF!T507~BOM_COEF!U507~BOM_COEF!V507~BOM_COEF!W507~BOM_COEF!X507~BOM_COEF!Y507~BOM_COEF!Z507~BOM_COEF!AA507),1,1,INDEX(P_VAL,MATCH("AÑO_DIS",P_ID,0))-2025)</f>
        <v>1</v>
      </c>
      <c r="G248" s="24" t="s">
        <v>689</v>
      </c>
      <c r="H248" s="42" t="n">
        <f aca="false">BOM_COEF!R507*DEMANDA!F39*INDEX(PY_VAL,MATCH("P_CABA_REC",PY_ID,0),1)</f>
        <v>0.514752957747652</v>
      </c>
      <c r="I248" s="42" t="n">
        <f aca="false">BOM_COEF!S507*DEMANDA!G39*INDEX(PY_VAL,MATCH("P_CABA_REC",PY_ID,0),2)</f>
        <v>1.79849176159333</v>
      </c>
      <c r="J248" s="42" t="n">
        <f aca="false">BOM_COEF!T507*DEMANDA!H39*INDEX(PY_VAL,MATCH("P_CABA_REC",PY_ID,0),3)</f>
        <v>4.10435668466588</v>
      </c>
      <c r="K248" s="42" t="n">
        <f aca="false">BOM_COEF!U507*DEMANDA!I39*INDEX(PY_VAL,MATCH("P_CABA_REC",PY_ID,0),4)</f>
        <v>7.68500298727421</v>
      </c>
      <c r="L248" s="42" t="n">
        <f aca="false">BOM_COEF!V507*DEMANDA!J39*INDEX(PY_VAL,MATCH("P_CABA_REC",PY_ID,0),5)</f>
        <v>11.2583068388762</v>
      </c>
      <c r="M248" s="42" t="n">
        <f aca="false">BOM_COEF!W507*DEMANDA!K39*INDEX(PY_VAL,MATCH("P_CABA_REC",PY_ID,0),6)</f>
        <v>14.8271724752184</v>
      </c>
      <c r="N248" s="42" t="n">
        <f aca="false">BOM_COEF!X507*DEMANDA!L39*INDEX(PY_VAL,MATCH("P_CABA_REC",PY_ID,0),7)</f>
        <v>18.1398276823025</v>
      </c>
      <c r="O248" s="42" t="n">
        <f aca="false">BOM_COEF!Y507*DEMANDA!M39*INDEX(PY_VAL,MATCH("P_CABA_REC",PY_ID,0),8)</f>
        <v>20.1790194224876</v>
      </c>
      <c r="P248" s="42" t="n">
        <f aca="false">BOM_COEF!Z507*DEMANDA!N39*INDEX(PY_VAL,MATCH("P_CABA_REC",PY_ID,0),9)</f>
        <v>21.7155393942749</v>
      </c>
      <c r="Q248" s="42" t="n">
        <f aca="false">BOM_COEF!AA507*DEMANDA!O39*INDEX(PY_VAL,MATCH("P_CABA_REC",PY_ID,0),10)</f>
        <v>23.5194056237121</v>
      </c>
      <c r="R248" s="24" t="s">
        <v>3246</v>
      </c>
    </row>
    <row r="249" customFormat="false" ht="15" hidden="false" customHeight="false" outlineLevel="1" collapsed="false">
      <c r="A249" s="24" t="n">
        <v>1</v>
      </c>
      <c r="B249" s="24" t="s">
        <v>688</v>
      </c>
      <c r="C249" s="40" t="s">
        <v>3248</v>
      </c>
      <c r="D249" s="24" t="s">
        <v>82</v>
      </c>
      <c r="E249" s="24" t="s">
        <v>312</v>
      </c>
      <c r="F249" s="41" t="n">
        <f aca="false">INDEX((BOM_COEF!R521~BOM_COEF!S521~BOM_COEF!T521~BOM_COEF!U521~BOM_COEF!V521~BOM_COEF!W521~BOM_COEF!X521~BOM_COEF!Y521~BOM_COEF!Z521~BOM_COEF!AA521),1,1,INDEX(P_VAL,MATCH("AÑO_DIS",P_ID,0))-2025)</f>
        <v>1</v>
      </c>
      <c r="G249" s="24" t="s">
        <v>689</v>
      </c>
      <c r="H249" s="42" t="n">
        <f aca="false">BOM_COEF!R521*DEMANDA!F29*INDEX(PY_VAL,MATCH("P_CABA_REC",PY_ID,0),1)</f>
        <v>5.85747450438107</v>
      </c>
      <c r="I249" s="42" t="n">
        <f aca="false">BOM_COEF!S521*DEMANDA!G29*INDEX(PY_VAL,MATCH("P_CABA_REC",PY_ID,0),2)</f>
        <v>41.4464355983915</v>
      </c>
      <c r="J249" s="42" t="n">
        <f aca="false">BOM_COEF!T521*DEMANDA!H29*INDEX(PY_VAL,MATCH("P_CABA_REC",PY_ID,0),3)</f>
        <v>81.2168243796807</v>
      </c>
      <c r="K249" s="42" t="n">
        <f aca="false">BOM_COEF!U521*DEMANDA!I29*INDEX(PY_VAL,MATCH("P_CABA_REC",PY_ID,0),4)</f>
        <v>135.100974313462</v>
      </c>
      <c r="L249" s="42" t="n">
        <f aca="false">BOM_COEF!V521*DEMANDA!J29*INDEX(PY_VAL,MATCH("P_CABA_REC",PY_ID,0),5)</f>
        <v>190.313731382042</v>
      </c>
      <c r="M249" s="42" t="n">
        <f aca="false">BOM_COEF!W521*DEMANDA!K29*INDEX(PY_VAL,MATCH("P_CABA_REC",PY_ID,0),6)</f>
        <v>246.150066206408</v>
      </c>
      <c r="N249" s="42" t="n">
        <f aca="false">BOM_COEF!X521*DEMANDA!L29*INDEX(PY_VAL,MATCH("P_CABA_REC",PY_ID,0),7)</f>
        <v>305.296418666061</v>
      </c>
      <c r="O249" s="42" t="n">
        <f aca="false">BOM_COEF!Y521*DEMANDA!M29*INDEX(PY_VAL,MATCH("P_CABA_REC",PY_ID,0),8)</f>
        <v>345.244422626899</v>
      </c>
      <c r="P249" s="42" t="n">
        <f aca="false">BOM_COEF!Z521*DEMANDA!N29*INDEX(PY_VAL,MATCH("P_CABA_REC",PY_ID,0),9)</f>
        <v>377.479652662305</v>
      </c>
      <c r="Q249" s="42" t="n">
        <f aca="false">BOM_COEF!AA521*DEMANDA!O29*INDEX(PY_VAL,MATCH("P_CABA_REC",PY_ID,0),10)</f>
        <v>410.168571777211</v>
      </c>
      <c r="R249" s="24" t="s">
        <v>3249</v>
      </c>
    </row>
    <row r="250" customFormat="false" ht="15" hidden="false" customHeight="false" outlineLevel="1" collapsed="false">
      <c r="A250" s="24" t="n">
        <v>1</v>
      </c>
      <c r="B250" s="24" t="s">
        <v>688</v>
      </c>
      <c r="C250" s="40" t="s">
        <v>3250</v>
      </c>
      <c r="D250" s="24" t="s">
        <v>82</v>
      </c>
      <c r="E250" s="24" t="s">
        <v>345</v>
      </c>
      <c r="F250" s="41" t="n">
        <f aca="false">INDEX((BOM_COEF!R521~BOM_COEF!S521~BOM_COEF!T521~BOM_COEF!U521~BOM_COEF!V521~BOM_COEF!W521~BOM_COEF!X521~BOM_COEF!Y521~BOM_COEF!Z521~BOM_COEF!AA521),1,1,INDEX(P_VAL,MATCH("AÑO_DIS",P_ID,0))-2025)</f>
        <v>1</v>
      </c>
      <c r="G250" s="24" t="s">
        <v>689</v>
      </c>
      <c r="H250" s="42" t="n">
        <f aca="false">BOM_COEF!R521*DEMANDA!F40*INDEX(PY_VAL,MATCH("P_CABA_REC",PY_ID,0),1)</f>
        <v>0.257376478873826</v>
      </c>
      <c r="I250" s="42" t="n">
        <f aca="false">BOM_COEF!S521*DEMANDA!G40*INDEX(PY_VAL,MATCH("P_CABA_REC",PY_ID,0),2)</f>
        <v>0.513854789026665</v>
      </c>
      <c r="J250" s="42" t="n">
        <f aca="false">BOM_COEF!T521*DEMANDA!H40*INDEX(PY_VAL,MATCH("P_CABA_REC",PY_ID,0),3)</f>
        <v>1.02608917116647</v>
      </c>
      <c r="K250" s="42" t="n">
        <f aca="false">BOM_COEF!U521*DEMANDA!I40*INDEX(PY_VAL,MATCH("P_CABA_REC",PY_ID,0),4)</f>
        <v>1.53700059745484</v>
      </c>
      <c r="L250" s="42" t="n">
        <f aca="false">BOM_COEF!V521*DEMANDA!J40*INDEX(PY_VAL,MATCH("P_CABA_REC",PY_ID,0),5)</f>
        <v>2.30283548977014</v>
      </c>
      <c r="M250" s="42" t="n">
        <f aca="false">BOM_COEF!W521*DEMANDA!K40*INDEX(PY_VAL,MATCH("P_CABA_REC",PY_ID,0),6)</f>
        <v>2.8120499521966</v>
      </c>
      <c r="N250" s="42" t="n">
        <f aca="false">BOM_COEF!X521*DEMANDA!L40*INDEX(PY_VAL,MATCH("P_CABA_REC",PY_ID,0),7)</f>
        <v>3.32137689957652</v>
      </c>
      <c r="O250" s="42" t="n">
        <f aca="false">BOM_COEF!Y521*DEMANDA!M40*INDEX(PY_VAL,MATCH("P_CABA_REC",PY_ID,0),8)</f>
        <v>3.83145938401664</v>
      </c>
      <c r="P250" s="42" t="n">
        <f aca="false">BOM_COEF!Z521*DEMANDA!N40*INDEX(PY_VAL,MATCH("P_CABA_REC",PY_ID,0),9)</f>
        <v>4.08763094480468</v>
      </c>
      <c r="Q250" s="42" t="n">
        <f aca="false">BOM_COEF!AA521*DEMANDA!O40*INDEX(PY_VAL,MATCH("P_CABA_REC",PY_ID,0),10)</f>
        <v>4.60162283942193</v>
      </c>
      <c r="R250" s="24" t="s">
        <v>3249</v>
      </c>
    </row>
    <row r="251" customFormat="false" ht="15" hidden="false" customHeight="false" outlineLevel="1" collapsed="false">
      <c r="A251" s="24" t="n">
        <v>1</v>
      </c>
      <c r="B251" s="24" t="s">
        <v>688</v>
      </c>
      <c r="C251" s="40" t="s">
        <v>3251</v>
      </c>
      <c r="D251" s="24" t="s">
        <v>82</v>
      </c>
      <c r="E251" s="24" t="s">
        <v>315</v>
      </c>
      <c r="F251" s="41" t="n">
        <f aca="false">INDEX((BOM_COEF!R535~BOM_COEF!S535~BOM_COEF!T535~BOM_COEF!U535~BOM_COEF!V535~BOM_COEF!W535~BOM_COEF!X535~BOM_COEF!Y535~BOM_COEF!Z535~BOM_COEF!AA535),1,1,INDEX(P_VAL,MATCH("AÑO_DIS",P_ID,0))-2025)</f>
        <v>1</v>
      </c>
      <c r="G251" s="24" t="s">
        <v>689</v>
      </c>
      <c r="H251" s="42" t="n">
        <f aca="false">BOM_COEF!R535*DEMANDA!F30*INDEX(PY_VAL,MATCH("P_CABA_REC",PY_ID,0),1)</f>
        <v>2.92873725219053</v>
      </c>
      <c r="I251" s="42" t="n">
        <f aca="false">BOM_COEF!S535*DEMANDA!G30*INDEX(PY_VAL,MATCH("P_CABA_REC",PY_ID,0),2)</f>
        <v>21.3824020633344</v>
      </c>
      <c r="J251" s="42" t="n">
        <f aca="false">BOM_COEF!T535*DEMANDA!H30*INDEX(PY_VAL,MATCH("P_CABA_REC",PY_ID,0),3)</f>
        <v>42.1886397020233</v>
      </c>
      <c r="K251" s="42" t="n">
        <f aca="false">BOM_COEF!U535*DEMANDA!I30*INDEX(PY_VAL,MATCH("P_CABA_REC",PY_ID,0),4)</f>
        <v>72.0702514024549</v>
      </c>
      <c r="L251" s="42" t="n">
        <f aca="false">BOM_COEF!V535*DEMANDA!J30*INDEX(PY_VAL,MATCH("P_CABA_REC",PY_ID,0),5)</f>
        <v>102.06742832376</v>
      </c>
      <c r="M251" s="42" t="n">
        <f aca="false">BOM_COEF!W535*DEMANDA!K30*INDEX(PY_VAL,MATCH("P_CABA_REC",PY_ID,0),6)</f>
        <v>131.534220500079</v>
      </c>
      <c r="N251" s="42" t="n">
        <f aca="false">BOM_COEF!X535*DEMANDA!L30*INDEX(PY_VAL,MATCH("P_CABA_REC",PY_ID,0),7)</f>
        <v>160.720279766121</v>
      </c>
      <c r="O251" s="42" t="n">
        <f aca="false">BOM_COEF!Y535*DEMANDA!M30*INDEX(PY_VAL,MATCH("P_CABA_REC",PY_ID,0),8)</f>
        <v>181.656647507451</v>
      </c>
      <c r="P251" s="42" t="n">
        <f aca="false">BOM_COEF!Z535*DEMANDA!N30*INDEX(PY_VAL,MATCH("P_CABA_REC",PY_ID,0),9)</f>
        <v>197.588665880137</v>
      </c>
      <c r="Q251" s="42" t="n">
        <f aca="false">BOM_COEF!AA535*DEMANDA!O30*INDEX(PY_VAL,MATCH("P_CABA_REC",PY_ID,0),10)</f>
        <v>213.809498139838</v>
      </c>
      <c r="R251" s="24" t="s">
        <v>3252</v>
      </c>
    </row>
    <row r="252" customFormat="false" ht="15" hidden="false" customHeight="false" outlineLevel="1" collapsed="false">
      <c r="A252" s="24" t="n">
        <v>1</v>
      </c>
      <c r="B252" s="24" t="s">
        <v>688</v>
      </c>
      <c r="C252" s="40" t="s">
        <v>3253</v>
      </c>
      <c r="D252" s="24" t="s">
        <v>82</v>
      </c>
      <c r="E252" s="24" t="s">
        <v>348</v>
      </c>
      <c r="F252" s="41" t="n">
        <f aca="false">INDEX((BOM_COEF!R535~BOM_COEF!S535~BOM_COEF!T535~BOM_COEF!U535~BOM_COEF!V535~BOM_COEF!W535~BOM_COEF!X535~BOM_COEF!Y535~BOM_COEF!Z535~BOM_COEF!AA535),1,1,INDEX(P_VAL,MATCH("AÑO_DIS",P_ID,0))-2025)</f>
        <v>1</v>
      </c>
      <c r="G252" s="24" t="s">
        <v>689</v>
      </c>
      <c r="H252" s="42" t="n">
        <f aca="false">BOM_COEF!R535*DEMANDA!F41*INDEX(PY_VAL,MATCH("P_CABA_REC",PY_ID,0),1)</f>
        <v>0.257376478873826</v>
      </c>
      <c r="I252" s="42" t="n">
        <f aca="false">BOM_COEF!S535*DEMANDA!G41*INDEX(PY_VAL,MATCH("P_CABA_REC",PY_ID,0),2)</f>
        <v>0.256927394513333</v>
      </c>
      <c r="J252" s="42" t="n">
        <f aca="false">BOM_COEF!T535*DEMANDA!H41*INDEX(PY_VAL,MATCH("P_CABA_REC",PY_ID,0),3)</f>
        <v>0.513044585583235</v>
      </c>
      <c r="K252" s="42" t="n">
        <f aca="false">BOM_COEF!U535*DEMANDA!I41*INDEX(PY_VAL,MATCH("P_CABA_REC",PY_ID,0),4)</f>
        <v>1.0246670649699</v>
      </c>
      <c r="L252" s="42" t="n">
        <f aca="false">BOM_COEF!V535*DEMANDA!J41*INDEX(PY_VAL,MATCH("P_CABA_REC",PY_ID,0),5)</f>
        <v>1.2793530498723</v>
      </c>
      <c r="M252" s="42" t="n">
        <f aca="false">BOM_COEF!W535*DEMANDA!K41*INDEX(PY_VAL,MATCH("P_CABA_REC",PY_ID,0),6)</f>
        <v>1.53384542847087</v>
      </c>
      <c r="N252" s="42" t="n">
        <f aca="false">BOM_COEF!X535*DEMANDA!L41*INDEX(PY_VAL,MATCH("P_CABA_REC",PY_ID,0),7)</f>
        <v>1.78843371515659</v>
      </c>
      <c r="O252" s="42" t="n">
        <f aca="false">BOM_COEF!Y535*DEMANDA!M41*INDEX(PY_VAL,MATCH("P_CABA_REC",PY_ID,0),8)</f>
        <v>2.04344500480887</v>
      </c>
      <c r="P252" s="42" t="n">
        <f aca="false">BOM_COEF!Z535*DEMANDA!N41*INDEX(PY_VAL,MATCH("P_CABA_REC",PY_ID,0),9)</f>
        <v>2.29929240645263</v>
      </c>
      <c r="Q252" s="42" t="n">
        <f aca="false">BOM_COEF!AA535*DEMANDA!O41*INDEX(PY_VAL,MATCH("P_CABA_REC",PY_ID,0),10)</f>
        <v>2.55645713301218</v>
      </c>
      <c r="R252" s="24" t="s">
        <v>3252</v>
      </c>
    </row>
    <row r="253" customFormat="false" ht="15" hidden="false" customHeight="false" outlineLevel="1" collapsed="false">
      <c r="A253" s="24" t="n">
        <v>1</v>
      </c>
      <c r="B253" s="24" t="s">
        <v>688</v>
      </c>
      <c r="C253" s="40" t="s">
        <v>3254</v>
      </c>
      <c r="D253" s="24" t="s">
        <v>82</v>
      </c>
      <c r="E253" s="24" t="s">
        <v>318</v>
      </c>
      <c r="F253" s="41" t="n">
        <f aca="false">INDEX((BOM_COEF!R550~BOM_COEF!S550~BOM_COEF!T550~BOM_COEF!U550~BOM_COEF!V550~BOM_COEF!W550~BOM_COEF!X550~BOM_COEF!Y550~BOM_COEF!Z550~BOM_COEF!AA550),1,1,INDEX(P_VAL,MATCH("AÑO_DIS",P_ID,0))-2025)</f>
        <v>1</v>
      </c>
      <c r="G253" s="24" t="s">
        <v>689</v>
      </c>
      <c r="H253" s="42" t="n">
        <f aca="false">BOM_COEF!R550*DEMANDA!F31*INDEX(PY_VAL,MATCH("P_CABA_REC",PY_ID,0),1)</f>
        <v>1.7572423515717</v>
      </c>
      <c r="I253" s="42" t="n">
        <f aca="false">BOM_COEF!S550*DEMANDA!G31*INDEX(PY_VAL,MATCH("P_CABA_REC",PY_ID,0),2)</f>
        <v>12.0943720409178</v>
      </c>
      <c r="J253" s="42" t="n">
        <f aca="false">BOM_COEF!T550*DEMANDA!H31*INDEX(PY_VAL,MATCH("P_CABA_REC",PY_ID,0),3)</f>
        <v>22.8021835520241</v>
      </c>
      <c r="K253" s="42" t="n">
        <f aca="false">BOM_COEF!U550*DEMANDA!I31*INDEX(PY_VAL,MATCH("P_CABA_REC",PY_ID,0),4)</f>
        <v>40.8592374039393</v>
      </c>
      <c r="L253" s="42" t="n">
        <f aca="false">BOM_COEF!V550*DEMANDA!J31*INDEX(PY_VAL,MATCH("P_CABA_REC",PY_ID,0),5)</f>
        <v>56.2393882502225</v>
      </c>
      <c r="M253" s="42" t="n">
        <f aca="false">BOM_COEF!W550*DEMANDA!K31*INDEX(PY_VAL,MATCH("P_CABA_REC",PY_ID,0),6)</f>
        <v>74.6138733143166</v>
      </c>
      <c r="N253" s="42" t="n">
        <f aca="false">BOM_COEF!X550*DEMANDA!L31*INDEX(PY_VAL,MATCH("P_CABA_REC",PY_ID,0),7)</f>
        <v>94.2361925480288</v>
      </c>
      <c r="O253" s="42" t="n">
        <f aca="false">BOM_COEF!Y550*DEMANDA!M31*INDEX(PY_VAL,MATCH("P_CABA_REC",PY_ID,0),8)</f>
        <v>104.320154391427</v>
      </c>
      <c r="P253" s="42" t="n">
        <f aca="false">BOM_COEF!Z550*DEMANDA!N31*INDEX(PY_VAL,MATCH("P_CABA_REC",PY_ID,0),9)</f>
        <v>113.887004384742</v>
      </c>
      <c r="Q253" s="42" t="n">
        <f aca="false">BOM_COEF!AA550*DEMANDA!O31*INDEX(PY_VAL,MATCH("P_CABA_REC",PY_ID,0),10)</f>
        <v>123.599385819498</v>
      </c>
      <c r="R253" s="24" t="s">
        <v>3255</v>
      </c>
    </row>
    <row r="254" customFormat="false" ht="15" hidden="false" customHeight="false" outlineLevel="1" collapsed="false">
      <c r="A254" s="24" t="n">
        <v>1</v>
      </c>
      <c r="B254" s="24" t="s">
        <v>688</v>
      </c>
      <c r="C254" s="40" t="s">
        <v>3256</v>
      </c>
      <c r="D254" s="24" t="s">
        <v>82</v>
      </c>
      <c r="E254" s="24" t="s">
        <v>351</v>
      </c>
      <c r="F254" s="41" t="n">
        <f aca="false">INDEX((BOM_COEF!R550~BOM_COEF!S550~BOM_COEF!T550~BOM_COEF!U550~BOM_COEF!V550~BOM_COEF!W550~BOM_COEF!X550~BOM_COEF!Y550~BOM_COEF!Z550~BOM_COEF!AA550),1,1,INDEX(P_VAL,MATCH("AÑO_DIS",P_ID,0))-2025)</f>
        <v>1</v>
      </c>
      <c r="G254" s="24" t="s">
        <v>689</v>
      </c>
      <c r="H254" s="42" t="n">
        <f aca="false">BOM_COEF!R550*DEMANDA!F42*INDEX(PY_VAL,MATCH("P_CABA_REC",PY_ID,0),1)</f>
        <v>0.257376478873826</v>
      </c>
      <c r="I254" s="42" t="n">
        <f aca="false">BOM_COEF!S550*DEMANDA!G42*INDEX(PY_VAL,MATCH("P_CABA_REC",PY_ID,0),2)</f>
        <v>0.256927394513333</v>
      </c>
      <c r="J254" s="42" t="n">
        <f aca="false">BOM_COEF!T550*DEMANDA!H42*INDEX(PY_VAL,MATCH("P_CABA_REC",PY_ID,0),3)</f>
        <v>0.256522292791618</v>
      </c>
      <c r="K254" s="42" t="n">
        <f aca="false">BOM_COEF!U550*DEMANDA!I42*INDEX(PY_VAL,MATCH("P_CABA_REC",PY_ID,0),4)</f>
        <v>0.512333532484948</v>
      </c>
      <c r="L254" s="42" t="n">
        <f aca="false">BOM_COEF!V550*DEMANDA!J42*INDEX(PY_VAL,MATCH("P_CABA_REC",PY_ID,0),5)</f>
        <v>0.76761182992338</v>
      </c>
      <c r="M254" s="42" t="n">
        <f aca="false">BOM_COEF!W550*DEMANDA!K42*INDEX(PY_VAL,MATCH("P_CABA_REC",PY_ID,0),6)</f>
        <v>1.02256361898058</v>
      </c>
      <c r="N254" s="42" t="n">
        <f aca="false">BOM_COEF!X550*DEMANDA!L42*INDEX(PY_VAL,MATCH("P_CABA_REC",PY_ID,0),7)</f>
        <v>1.02196212294662</v>
      </c>
      <c r="O254" s="42" t="n">
        <f aca="false">BOM_COEF!Y550*DEMANDA!M42*INDEX(PY_VAL,MATCH("P_CABA_REC",PY_ID,0),8)</f>
        <v>1.27715312800555</v>
      </c>
      <c r="P254" s="42" t="n">
        <f aca="false">BOM_COEF!Z550*DEMANDA!N42*INDEX(PY_VAL,MATCH("P_CABA_REC",PY_ID,0),9)</f>
        <v>1.27738467025146</v>
      </c>
      <c r="Q254" s="42" t="n">
        <f aca="false">BOM_COEF!AA550*DEMANDA!O42*INDEX(PY_VAL,MATCH("P_CABA_REC",PY_ID,0),10)</f>
        <v>1.53387427980731</v>
      </c>
      <c r="R254" s="24" t="s">
        <v>3255</v>
      </c>
    </row>
    <row r="255" customFormat="false" ht="15" hidden="false" customHeight="false" outlineLevel="1" collapsed="false">
      <c r="A255" s="24" t="n">
        <v>1</v>
      </c>
      <c r="B255" s="24" t="s">
        <v>688</v>
      </c>
      <c r="C255" s="40" t="s">
        <v>3257</v>
      </c>
      <c r="D255" s="24" t="s">
        <v>82</v>
      </c>
      <c r="E255" s="24" t="s">
        <v>321</v>
      </c>
      <c r="F255" s="41" t="n">
        <f aca="false">INDEX((BOM_COEF!R562~BOM_COEF!S562~BOM_COEF!T562~BOM_COEF!U562~BOM_COEF!V562~BOM_COEF!W562~BOM_COEF!X562~BOM_COEF!Y562~BOM_COEF!Z562~BOM_COEF!AA562),1,1,INDEX(P_VAL,MATCH("AÑO_DIS",P_ID,0))-2025)</f>
        <v>1</v>
      </c>
      <c r="G255" s="24" t="s">
        <v>689</v>
      </c>
      <c r="H255" s="42" t="n">
        <f aca="false">BOM_COEF!R562*DEMANDA!F32*INDEX(PY_VAL,MATCH("P_CABA_REC",PY_ID,0),1)</f>
        <v>21.0869082193751</v>
      </c>
      <c r="I255" s="42" t="n">
        <f aca="false">BOM_COEF!S562*DEMANDA!G32*INDEX(PY_VAL,MATCH("P_CABA_REC",PY_ID,0),2)</f>
        <v>86.1731540149832</v>
      </c>
      <c r="J255" s="42" t="n">
        <f aca="false">BOM_COEF!T562*DEMANDA!H32*INDEX(PY_VAL,MATCH("P_CABA_REC",PY_ID,0),3)</f>
        <v>191.519121075135</v>
      </c>
      <c r="K255" s="42" t="n">
        <f aca="false">BOM_COEF!U562*DEMANDA!I32*INDEX(PY_VAL,MATCH("P_CABA_REC",PY_ID,0),4)</f>
        <v>348.104976891715</v>
      </c>
      <c r="L255" s="42" t="n">
        <f aca="false">BOM_COEF!V562*DEMANDA!J32*INDEX(PY_VAL,MATCH("P_CABA_REC",PY_ID,0),5)</f>
        <v>501.794383550621</v>
      </c>
      <c r="M255" s="42" t="n">
        <f aca="false">BOM_COEF!W562*DEMANDA!K32*INDEX(PY_VAL,MATCH("P_CABA_REC",PY_ID,0),6)</f>
        <v>664.293477581407</v>
      </c>
      <c r="N255" s="42" t="n">
        <f aca="false">BOM_COEF!X562*DEMANDA!L32*INDEX(PY_VAL,MATCH("P_CABA_REC",PY_ID,0),7)</f>
        <v>816.870542643655</v>
      </c>
      <c r="O255" s="42" t="n">
        <f aca="false">BOM_COEF!Y562*DEMANDA!M32*INDEX(PY_VAL,MATCH("P_CABA_REC",PY_ID,0),8)</f>
        <v>914.06857096261</v>
      </c>
      <c r="P255" s="42" t="n">
        <f aca="false">BOM_COEF!Z562*DEMANDA!N32*INDEX(PY_VAL,MATCH("P_CABA_REC",PY_ID,0),9)</f>
        <v>988.886830754871</v>
      </c>
      <c r="Q255" s="42" t="n">
        <f aca="false">BOM_COEF!AA562*DEMANDA!O32*INDEX(PY_VAL,MATCH("P_CABA_REC",PY_ID,0),10)</f>
        <v>1065.41875229154</v>
      </c>
      <c r="R255" s="24" t="s">
        <v>3258</v>
      </c>
    </row>
    <row r="256" customFormat="false" ht="15" hidden="false" customHeight="false" outlineLevel="1" collapsed="false">
      <c r="A256" s="24" t="n">
        <v>1</v>
      </c>
      <c r="B256" s="24" t="s">
        <v>688</v>
      </c>
      <c r="C256" s="40" t="s">
        <v>3259</v>
      </c>
      <c r="D256" s="24" t="s">
        <v>82</v>
      </c>
      <c r="E256" s="24" t="s">
        <v>354</v>
      </c>
      <c r="F256" s="41" t="n">
        <f aca="false">INDEX((BOM_COEF!R562~BOM_COEF!S562~BOM_COEF!T562~BOM_COEF!U562~BOM_COEF!V562~BOM_COEF!W562~BOM_COEF!X562~BOM_COEF!Y562~BOM_COEF!Z562~BOM_COEF!AA562),1,1,INDEX(P_VAL,MATCH("AÑO_DIS",P_ID,0))-2025)</f>
        <v>1</v>
      </c>
      <c r="G256" s="24" t="s">
        <v>689</v>
      </c>
      <c r="H256" s="42" t="n">
        <f aca="false">BOM_COEF!R562*DEMANDA!F43*INDEX(PY_VAL,MATCH("P_CABA_REC",PY_ID,0),1)</f>
        <v>0.257376478873826</v>
      </c>
      <c r="I256" s="42" t="n">
        <f aca="false">BOM_COEF!S562*DEMANDA!G43*INDEX(PY_VAL,MATCH("P_CABA_REC",PY_ID,0),2)</f>
        <v>1.02770957805333</v>
      </c>
      <c r="J256" s="42" t="n">
        <f aca="false">BOM_COEF!T562*DEMANDA!H43*INDEX(PY_VAL,MATCH("P_CABA_REC",PY_ID,0),3)</f>
        <v>2.30870063512456</v>
      </c>
      <c r="K256" s="42" t="n">
        <f aca="false">BOM_COEF!U562*DEMANDA!I43*INDEX(PY_VAL,MATCH("P_CABA_REC",PY_ID,0),4)</f>
        <v>3.84250149363711</v>
      </c>
      <c r="L256" s="42" t="n">
        <f aca="false">BOM_COEF!V562*DEMANDA!J43*INDEX(PY_VAL,MATCH("P_CABA_REC",PY_ID,0),5)</f>
        <v>5.62915341943812</v>
      </c>
      <c r="M256" s="42" t="n">
        <f aca="false">BOM_COEF!W562*DEMANDA!K43*INDEX(PY_VAL,MATCH("P_CABA_REC",PY_ID,0),6)</f>
        <v>7.41358623760921</v>
      </c>
      <c r="N256" s="42" t="n">
        <f aca="false">BOM_COEF!X562*DEMANDA!L43*INDEX(PY_VAL,MATCH("P_CABA_REC",PY_ID,0),7)</f>
        <v>8.94216857578295</v>
      </c>
      <c r="O256" s="42" t="n">
        <f aca="false">BOM_COEF!Y562*DEMANDA!M43*INDEX(PY_VAL,MATCH("P_CABA_REC",PY_ID,0),8)</f>
        <v>9.96179439844325</v>
      </c>
      <c r="P256" s="42" t="n">
        <f aca="false">BOM_COEF!Z562*DEMANDA!N43*INDEX(PY_VAL,MATCH("P_CABA_REC",PY_ID,0),9)</f>
        <v>10.7300312301123</v>
      </c>
      <c r="Q256" s="42" t="n">
        <f aca="false">BOM_COEF!AA562*DEMANDA!O43*INDEX(PY_VAL,MATCH("P_CABA_REC",PY_ID,0),10)</f>
        <v>11.5040570985548</v>
      </c>
      <c r="R256" s="24" t="s">
        <v>3258</v>
      </c>
    </row>
    <row r="257" customFormat="false" ht="15" hidden="false" customHeight="false" outlineLevel="1" collapsed="false">
      <c r="A257" s="24" t="n">
        <v>1</v>
      </c>
      <c r="B257" s="24" t="s">
        <v>688</v>
      </c>
      <c r="C257" s="40" t="s">
        <v>3260</v>
      </c>
      <c r="D257" s="24" t="s">
        <v>82</v>
      </c>
      <c r="E257" s="24" t="s">
        <v>324</v>
      </c>
      <c r="F257" s="41" t="n">
        <f aca="false">INDEX((BOM_COEF!R571~BOM_COEF!S571~BOM_COEF!T571~BOM_COEF!U571~BOM_COEF!V571~BOM_COEF!W571~BOM_COEF!X571~BOM_COEF!Y571~BOM_COEF!Z571~BOM_COEF!AA571),1,1,INDEX(P_VAL,MATCH("AÑO_DIS",P_ID,0))-2025)</f>
        <v>1</v>
      </c>
      <c r="G257" s="24" t="s">
        <v>689</v>
      </c>
      <c r="H257" s="42" t="n">
        <f aca="false">BOM_COEF!R571*DEMANDA!F33*INDEX(PY_VAL,MATCH("P_CABA_REC",PY_ID,0),1)</f>
        <v>115.977995205276</v>
      </c>
      <c r="I257" s="42" t="n">
        <f aca="false">BOM_COEF!S571*DEMANDA!G33*INDEX(PY_VAL,MATCH("P_CABA_REC",PY_ID,0),2)</f>
        <v>436.052418241956</v>
      </c>
      <c r="J257" s="42" t="n">
        <f aca="false">BOM_COEF!T571*DEMANDA!H33*INDEX(PY_VAL,MATCH("P_CABA_REC",PY_ID,0),3)</f>
        <v>1014.59616645636</v>
      </c>
      <c r="K257" s="42" t="n">
        <f aca="false">BOM_COEF!U571*DEMANDA!I33*INDEX(PY_VAL,MATCH("P_CABA_REC",PY_ID,0),4)</f>
        <v>1936.9436074536</v>
      </c>
      <c r="L257" s="42" t="n">
        <f aca="false">BOM_COEF!V571*DEMANDA!J33*INDEX(PY_VAL,MATCH("P_CABA_REC",PY_ID,0),5)</f>
        <v>2794.14411354413</v>
      </c>
      <c r="M257" s="42" t="n">
        <f aca="false">BOM_COEF!W571*DEMANDA!K33*INDEX(PY_VAL,MATCH("P_CABA_REC",PY_ID,0),6)</f>
        <v>3710.59838991273</v>
      </c>
      <c r="N257" s="42" t="n">
        <f aca="false">BOM_COEF!X571*DEMANDA!L33*INDEX(PY_VAL,MATCH("P_CABA_REC",PY_ID,0),7)</f>
        <v>4534.06251720997</v>
      </c>
      <c r="O257" s="42" t="n">
        <f aca="false">BOM_COEF!Y571*DEMANDA!M33*INDEX(PY_VAL,MATCH("P_CABA_REC",PY_ID,0),8)</f>
        <v>5010.83506319329</v>
      </c>
      <c r="P257" s="42" t="n">
        <f aca="false">BOM_COEF!Z571*DEMANDA!N33*INDEX(PY_VAL,MATCH("P_CABA_REC",PY_ID,0),9)</f>
        <v>5406.35337971632</v>
      </c>
      <c r="Q257" s="42" t="n">
        <f aca="false">BOM_COEF!AA571*DEMANDA!O33*INDEX(PY_VAL,MATCH("P_CABA_REC",PY_ID,0),10)</f>
        <v>5811.97790620071</v>
      </c>
      <c r="R257" s="24" t="s">
        <v>3261</v>
      </c>
    </row>
    <row r="258" customFormat="false" ht="15" hidden="false" customHeight="false" outlineLevel="1" collapsed="false">
      <c r="A258" s="24" t="n">
        <v>1</v>
      </c>
      <c r="B258" s="24" t="s">
        <v>688</v>
      </c>
      <c r="C258" s="40" t="s">
        <v>3262</v>
      </c>
      <c r="D258" s="24" t="s">
        <v>82</v>
      </c>
      <c r="E258" s="24" t="s">
        <v>327</v>
      </c>
      <c r="F258" s="41" t="n">
        <f aca="false">INDEX((BOM_COEF!R582~BOM_COEF!S582~BOM_COEF!T582~BOM_COEF!U582~BOM_COEF!V582~BOM_COEF!W582~BOM_COEF!X582~BOM_COEF!Y582~BOM_COEF!Z582~BOM_COEF!AA582),1,1,INDEX(P_VAL,MATCH("AÑO_DIS",P_ID,0))-2025)</f>
        <v>1</v>
      </c>
      <c r="G258" s="24" t="s">
        <v>689</v>
      </c>
      <c r="H258" s="42" t="n">
        <f aca="false">BOM_COEF!R582*DEMANDA!F34*INDEX(PY_VAL,MATCH("P_CABA_REC",PY_ID,0),1)</f>
        <v>32.2161097663746</v>
      </c>
      <c r="I258" s="42" t="n">
        <f aca="false">BOM_COEF!S582*DEMANDA!G34*INDEX(PY_VAL,MATCH("P_CABA_REC",PY_ID,0),2)</f>
        <v>165.366274199294</v>
      </c>
      <c r="J258" s="42" t="n">
        <f aca="false">BOM_COEF!T582*DEMANDA!H34*INDEX(PY_VAL,MATCH("P_CABA_REC",PY_ID,0),3)</f>
        <v>352.87891998329</v>
      </c>
      <c r="K258" s="42" t="n">
        <f aca="false">BOM_COEF!U582*DEMANDA!I34*INDEX(PY_VAL,MATCH("P_CABA_REC",PY_ID,0),4)</f>
        <v>630.243064202291</v>
      </c>
      <c r="L258" s="42" t="n">
        <f aca="false">BOM_COEF!V582*DEMANDA!J34*INDEX(PY_VAL,MATCH("P_CABA_REC",PY_ID,0),5)</f>
        <v>907.12724586585</v>
      </c>
      <c r="M258" s="42" t="n">
        <f aca="false">BOM_COEF!W582*DEMANDA!K34*INDEX(PY_VAL,MATCH("P_CABA_REC",PY_ID,0),6)</f>
        <v>1207.51004399088</v>
      </c>
      <c r="N258" s="42" t="n">
        <f aca="false">BOM_COEF!X582*DEMANDA!L34*INDEX(PY_VAL,MATCH("P_CABA_REC",PY_ID,0),7)</f>
        <v>1495.61734080928</v>
      </c>
      <c r="O258" s="42" t="n">
        <f aca="false">BOM_COEF!Y582*DEMANDA!M34*INDEX(PY_VAL,MATCH("P_CABA_REC",PY_ID,0),8)</f>
        <v>1688.00304881572</v>
      </c>
      <c r="P258" s="42" t="n">
        <f aca="false">BOM_COEF!Z582*DEMANDA!N34*INDEX(PY_VAL,MATCH("P_CABA_REC",PY_ID,0),9)</f>
        <v>1835.782750245</v>
      </c>
      <c r="Q258" s="42" t="n">
        <f aca="false">BOM_COEF!AA582*DEMANDA!O34*INDEX(PY_VAL,MATCH("P_CABA_REC",PY_ID,0),10)</f>
        <v>1986.25908668074</v>
      </c>
      <c r="R258" s="24" t="s">
        <v>3263</v>
      </c>
    </row>
    <row r="259" customFormat="false" ht="15" hidden="false" customHeight="false" outlineLevel="1" collapsed="false">
      <c r="A259" s="24" t="n">
        <v>1</v>
      </c>
      <c r="B259" s="24" t="s">
        <v>688</v>
      </c>
      <c r="C259" s="40" t="s">
        <v>3264</v>
      </c>
      <c r="D259" s="24" t="s">
        <v>82</v>
      </c>
      <c r="E259" s="24" t="s">
        <v>357</v>
      </c>
      <c r="F259" s="41" t="n">
        <f aca="false">INDEX((BOM_COEF!R582~BOM_COEF!S582~BOM_COEF!T582~BOM_COEF!U582~BOM_COEF!V582~BOM_COEF!W582~BOM_COEF!X582~BOM_COEF!Y582~BOM_COEF!Z582~BOM_COEF!AA582),1,1,INDEX(P_VAL,MATCH("AÑO_DIS",P_ID,0))-2025)</f>
        <v>1</v>
      </c>
      <c r="G259" s="24" t="s">
        <v>689</v>
      </c>
      <c r="H259" s="42" t="n">
        <f aca="false">BOM_COEF!R582*DEMANDA!F44*INDEX(PY_VAL,MATCH("P_CABA_REC",PY_ID,0),1)</f>
        <v>1.80163535211678</v>
      </c>
      <c r="I259" s="42" t="n">
        <f aca="false">BOM_COEF!S582*DEMANDA!G44*INDEX(PY_VAL,MATCH("P_CABA_REC",PY_ID,0),2)</f>
        <v>6.68011225734665</v>
      </c>
      <c r="J259" s="42" t="n">
        <f aca="false">BOM_COEF!T582*DEMANDA!H44*INDEX(PY_VAL,MATCH("P_CABA_REC",PY_ID,0),3)</f>
        <v>14.8782929819138</v>
      </c>
      <c r="K259" s="42" t="n">
        <f aca="false">BOM_COEF!U582*DEMANDA!I44*INDEX(PY_VAL,MATCH("P_CABA_REC",PY_ID,0),4)</f>
        <v>27.9221775204296</v>
      </c>
      <c r="L259" s="42" t="n">
        <f aca="false">BOM_COEF!V582*DEMANDA!J44*INDEX(PY_VAL,MATCH("P_CABA_REC",PY_ID,0),5)</f>
        <v>39.9158151560157</v>
      </c>
      <c r="M259" s="42" t="n">
        <f aca="false">BOM_COEF!W582*DEMANDA!K44*INDEX(PY_VAL,MATCH("P_CABA_REC",PY_ID,0),6)</f>
        <v>53.1733081869902</v>
      </c>
      <c r="N259" s="42" t="n">
        <f aca="false">BOM_COEF!X582*DEMANDA!L44*INDEX(PY_VAL,MATCH("P_CABA_REC",PY_ID,0),7)</f>
        <v>65.1500853378472</v>
      </c>
      <c r="O259" s="42" t="n">
        <f aca="false">BOM_COEF!Y582*DEMANDA!M44*INDEX(PY_VAL,MATCH("P_CABA_REC",PY_ID,0),8)</f>
        <v>72.2868670451139</v>
      </c>
      <c r="P259" s="42" t="n">
        <f aca="false">BOM_COEF!Z582*DEMANDA!N44*INDEX(PY_VAL,MATCH("P_CABA_REC",PY_ID,0),9)</f>
        <v>78.1759418193895</v>
      </c>
      <c r="Q259" s="42" t="n">
        <f aca="false">BOM_COEF!AA582*DEMANDA!O44*INDEX(PY_VAL,MATCH("P_CABA_REC",PY_ID,0),10)</f>
        <v>84.363085389402</v>
      </c>
      <c r="R259" s="24" t="s">
        <v>3263</v>
      </c>
    </row>
    <row r="260" customFormat="false" ht="15" hidden="false" customHeight="false" outlineLevel="1" collapsed="false">
      <c r="A260" s="24" t="n">
        <v>1</v>
      </c>
      <c r="B260" s="24" t="s">
        <v>688</v>
      </c>
      <c r="C260" s="40" t="s">
        <v>3265</v>
      </c>
      <c r="D260" s="24" t="s">
        <v>82</v>
      </c>
      <c r="E260" s="24" t="s">
        <v>330</v>
      </c>
      <c r="F260" s="41" t="n">
        <f aca="false">INDEX((BOM_COEF!R595~BOM_COEF!S595~BOM_COEF!T595~BOM_COEF!U595~BOM_COEF!V595~BOM_COEF!W595~BOM_COEF!X595~BOM_COEF!Y595~BOM_COEF!Z595~BOM_COEF!AA595),1,1,INDEX(P_VAL,MATCH("AÑO_DIS",P_ID,0))-2025)</f>
        <v>1</v>
      </c>
      <c r="G260" s="24" t="s">
        <v>689</v>
      </c>
      <c r="H260" s="42" t="n">
        <f aca="false">BOM_COEF!R595*DEMANDA!F35*INDEX(PY_VAL,MATCH("P_CABA_REC",PY_ID,0),1)</f>
        <v>4.68597960401961</v>
      </c>
      <c r="I260" s="42" t="n">
        <f aca="false">BOM_COEF!S595*DEMANDA!G35*INDEX(PY_VAL,MATCH("P_CABA_REC",PY_ID,0),2)</f>
        <v>28.7951690595311</v>
      </c>
      <c r="J260" s="42" t="n">
        <f aca="false">BOM_COEF!T595*DEMANDA!H35*INDEX(PY_VAL,MATCH("P_CABA_REC",PY_ID,0),3)</f>
        <v>59.2192079488345</v>
      </c>
      <c r="K260" s="42" t="n">
        <f aca="false">BOM_COEF!U595*DEMANDA!I35*INDEX(PY_VAL,MATCH("P_CABA_REC",PY_ID,0),4)</f>
        <v>102.649951422636</v>
      </c>
      <c r="L260" s="42" t="n">
        <f aca="false">BOM_COEF!V595*DEMANDA!J35*INDEX(PY_VAL,MATCH("P_CABA_REC",PY_ID,0),5)</f>
        <v>146.999658534444</v>
      </c>
      <c r="M260" s="42" t="n">
        <f aca="false">BOM_COEF!W595*DEMANDA!K35*INDEX(PY_VAL,MATCH("P_CABA_REC",PY_ID,0),6)</f>
        <v>192.841597503132</v>
      </c>
      <c r="N260" s="42" t="n">
        <f aca="false">BOM_COEF!X595*DEMANDA!L35*INDEX(PY_VAL,MATCH("P_CABA_REC",PY_ID,0),7)</f>
        <v>241.39993169971</v>
      </c>
      <c r="O260" s="42" t="n">
        <f aca="false">BOM_COEF!Y595*DEMANDA!M35*INDEX(PY_VAL,MATCH("P_CABA_REC",PY_ID,0),8)</f>
        <v>273.881572804729</v>
      </c>
      <c r="P260" s="42" t="n">
        <f aca="false">BOM_COEF!Z595*DEMANDA!N35*INDEX(PY_VAL,MATCH("P_CABA_REC",PY_ID,0),9)</f>
        <v>299.341238616189</v>
      </c>
      <c r="Q260" s="42" t="n">
        <f aca="false">BOM_COEF!AA595*DEMANDA!O35*INDEX(PY_VAL,MATCH("P_CABA_REC",PY_ID,0),10)</f>
        <v>325.16628953099</v>
      </c>
      <c r="R260" s="24" t="s">
        <v>3266</v>
      </c>
    </row>
    <row r="261" customFormat="false" ht="15" hidden="false" customHeight="false" outlineLevel="1" collapsed="false">
      <c r="A261" s="24" t="n">
        <v>1</v>
      </c>
      <c r="B261" s="24" t="s">
        <v>688</v>
      </c>
      <c r="C261" s="40" t="s">
        <v>3267</v>
      </c>
      <c r="D261" s="24" t="s">
        <v>82</v>
      </c>
      <c r="E261" s="24" t="s">
        <v>360</v>
      </c>
      <c r="F261" s="41" t="n">
        <f aca="false">INDEX((BOM_COEF!R595~BOM_COEF!S595~BOM_COEF!T595~BOM_COEF!U595~BOM_COEF!V595~BOM_COEF!W595~BOM_COEF!X595~BOM_COEF!Y595~BOM_COEF!Z595~BOM_COEF!AA595),1,1,INDEX(P_VAL,MATCH("AÑO_DIS",P_ID,0))-2025)</f>
        <v>1</v>
      </c>
      <c r="G261" s="24" t="s">
        <v>689</v>
      </c>
      <c r="H261" s="42" t="n">
        <f aca="false">BOM_COEF!R595*DEMANDA!F45*INDEX(PY_VAL,MATCH("P_CABA_REC",PY_ID,0),1)</f>
        <v>0.257376478873826</v>
      </c>
      <c r="I261" s="42" t="n">
        <f aca="false">BOM_COEF!S595*DEMANDA!G45*INDEX(PY_VAL,MATCH("P_CABA_REC",PY_ID,0),2)</f>
        <v>0.513854789026665</v>
      </c>
      <c r="J261" s="42" t="n">
        <f aca="false">BOM_COEF!T595*DEMANDA!H45*INDEX(PY_VAL,MATCH("P_CABA_REC",PY_ID,0),3)</f>
        <v>0.769566878374852</v>
      </c>
      <c r="K261" s="42" t="n">
        <f aca="false">BOM_COEF!U595*DEMANDA!I45*INDEX(PY_VAL,MATCH("P_CABA_REC",PY_ID,0),4)</f>
        <v>1.28083383121237</v>
      </c>
      <c r="L261" s="42" t="n">
        <f aca="false">BOM_COEF!V595*DEMANDA!J45*INDEX(PY_VAL,MATCH("P_CABA_REC",PY_ID,0),5)</f>
        <v>1.79109426982122</v>
      </c>
      <c r="M261" s="42" t="n">
        <f aca="false">BOM_COEF!W595*DEMANDA!K45*INDEX(PY_VAL,MATCH("P_CABA_REC",PY_ID,0),6)</f>
        <v>2.30076814270631</v>
      </c>
      <c r="N261" s="42" t="n">
        <f aca="false">BOM_COEF!X595*DEMANDA!L45*INDEX(PY_VAL,MATCH("P_CABA_REC",PY_ID,0),7)</f>
        <v>2.81039583810321</v>
      </c>
      <c r="O261" s="42" t="n">
        <f aca="false">BOM_COEF!Y595*DEMANDA!M45*INDEX(PY_VAL,MATCH("P_CABA_REC",PY_ID,0),8)</f>
        <v>3.06516750721331</v>
      </c>
      <c r="P261" s="42" t="n">
        <f aca="false">BOM_COEF!Z595*DEMANDA!N45*INDEX(PY_VAL,MATCH("P_CABA_REC",PY_ID,0),9)</f>
        <v>3.3212001426538</v>
      </c>
      <c r="Q261" s="42" t="n">
        <f aca="false">BOM_COEF!AA595*DEMANDA!O45*INDEX(PY_VAL,MATCH("P_CABA_REC",PY_ID,0),10)</f>
        <v>3.57903998621705</v>
      </c>
      <c r="R261" s="24" t="s">
        <v>3266</v>
      </c>
    </row>
    <row r="262" customFormat="false" ht="15" hidden="false" customHeight="false" outlineLevel="1" collapsed="false">
      <c r="A262" s="24" t="n">
        <v>1</v>
      </c>
      <c r="B262" s="24" t="s">
        <v>688</v>
      </c>
      <c r="C262" s="40" t="s">
        <v>3268</v>
      </c>
      <c r="D262" s="24" t="s">
        <v>82</v>
      </c>
      <c r="E262" s="24" t="s">
        <v>333</v>
      </c>
      <c r="F262" s="41" t="n">
        <f aca="false">INDEX((BOM_COEF!R607~BOM_COEF!S607~BOM_COEF!T607~BOM_COEF!U607~BOM_COEF!V607~BOM_COEF!W607~BOM_COEF!X607~BOM_COEF!Y607~BOM_COEF!Z607~BOM_COEF!AA607),1,1,INDEX(P_VAL,MATCH("AÑO_DIS",P_ID,0))-2025)</f>
        <v>1</v>
      </c>
      <c r="G262" s="24" t="s">
        <v>689</v>
      </c>
      <c r="H262" s="42" t="n">
        <f aca="false">BOM_COEF!R607*DEMANDA!F36*INDEX(PY_VAL,MATCH("P_CABA_REC",PY_ID,0),1)</f>
        <v>1.7572423515717</v>
      </c>
      <c r="I262" s="42" t="n">
        <f aca="false">BOM_COEF!S607*DEMANDA!G36*INDEX(PY_VAL,MATCH("P_CABA_REC",PY_ID,0),2)</f>
        <v>12.0943720409178</v>
      </c>
      <c r="J262" s="42" t="n">
        <f aca="false">BOM_COEF!T607*DEMANDA!H36*INDEX(PY_VAL,MATCH("P_CABA_REC",PY_ID,0),3)</f>
        <v>22.8021835520241</v>
      </c>
      <c r="K262" s="42" t="n">
        <f aca="false">BOM_COEF!U607*DEMANDA!I36*INDEX(PY_VAL,MATCH("P_CABA_REC",PY_ID,0),4)</f>
        <v>37.9841986564859</v>
      </c>
      <c r="L262" s="42" t="n">
        <f aca="false">BOM_COEF!V607*DEMANDA!J36*INDEX(PY_VAL,MATCH("P_CABA_REC",PY_ID,0),5)</f>
        <v>52.511315414935</v>
      </c>
      <c r="M262" s="42" t="n">
        <f aca="false">BOM_COEF!W607*DEMANDA!K36*INDEX(PY_VAL,MATCH("P_CABA_REC",PY_ID,0),6)</f>
        <v>65.3840330700732</v>
      </c>
      <c r="N262" s="42" t="n">
        <f aca="false">BOM_COEF!X607*DEMANDA!L36*INDEX(PY_VAL,MATCH("P_CABA_REC",PY_ID,0),7)</f>
        <v>83.9076640343008</v>
      </c>
      <c r="O262" s="42" t="n">
        <f aca="false">BOM_COEF!Y607*DEMANDA!M36*INDEX(PY_VAL,MATCH("P_CABA_REC",PY_ID,0),8)</f>
        <v>93.7195581902553</v>
      </c>
      <c r="P262" s="42" t="n">
        <f aca="false">BOM_COEF!Z607*DEMANDA!N36*INDEX(PY_VAL,MATCH("P_CABA_REC",PY_ID,0),9)</f>
        <v>102.620410993996</v>
      </c>
      <c r="Q262" s="42" t="n">
        <f aca="false">BOM_COEF!AA607*DEMANDA!O36*INDEX(PY_VAL,MATCH("P_CABA_REC",PY_ID,0),10)</f>
        <v>111.637103950297</v>
      </c>
      <c r="R262" s="24" t="s">
        <v>3269</v>
      </c>
    </row>
    <row r="263" customFormat="false" ht="15" hidden="false" customHeight="false" outlineLevel="1" collapsed="false">
      <c r="A263" s="24" t="n">
        <v>1</v>
      </c>
      <c r="B263" s="24" t="s">
        <v>688</v>
      </c>
      <c r="C263" s="40" t="s">
        <v>3270</v>
      </c>
      <c r="D263" s="24" t="s">
        <v>82</v>
      </c>
      <c r="E263" s="24" t="s">
        <v>363</v>
      </c>
      <c r="F263" s="41" t="n">
        <f aca="false">INDEX((BOM_COEF!R607~BOM_COEF!S607~BOM_COEF!T607~BOM_COEF!U607~BOM_COEF!V607~BOM_COEF!W607~BOM_COEF!X607~BOM_COEF!Y607~BOM_COEF!Z607~BOM_COEF!AA607),1,1,INDEX(P_VAL,MATCH("AÑO_DIS",P_ID,0))-2025)</f>
        <v>1</v>
      </c>
      <c r="G263" s="24" t="s">
        <v>689</v>
      </c>
      <c r="H263" s="42" t="n">
        <f aca="false">BOM_COEF!R607*DEMANDA!F46*INDEX(PY_VAL,MATCH("P_CABA_REC",PY_ID,0),1)</f>
        <v>0.257376478873826</v>
      </c>
      <c r="I263" s="42" t="n">
        <f aca="false">BOM_COEF!S607*DEMANDA!G46*INDEX(PY_VAL,MATCH("P_CABA_REC",PY_ID,0),2)</f>
        <v>0.256927394513333</v>
      </c>
      <c r="J263" s="42" t="n">
        <f aca="false">BOM_COEF!T607*DEMANDA!H46*INDEX(PY_VAL,MATCH("P_CABA_REC",PY_ID,0),3)</f>
        <v>0.256522292791618</v>
      </c>
      <c r="K263" s="42" t="n">
        <f aca="false">BOM_COEF!U607*DEMANDA!I46*INDEX(PY_VAL,MATCH("P_CABA_REC",PY_ID,0),4)</f>
        <v>0.512333532484948</v>
      </c>
      <c r="L263" s="42" t="n">
        <f aca="false">BOM_COEF!V607*DEMANDA!J46*INDEX(PY_VAL,MATCH("P_CABA_REC",PY_ID,0),5)</f>
        <v>0.76761182992338</v>
      </c>
      <c r="M263" s="42" t="n">
        <f aca="false">BOM_COEF!W607*DEMANDA!K46*INDEX(PY_VAL,MATCH("P_CABA_REC",PY_ID,0),6)</f>
        <v>0.766922714235435</v>
      </c>
      <c r="N263" s="42" t="n">
        <f aca="false">BOM_COEF!X607*DEMANDA!L46*INDEX(PY_VAL,MATCH("P_CABA_REC",PY_ID,0),7)</f>
        <v>1.02196212294662</v>
      </c>
      <c r="O263" s="42" t="n">
        <f aca="false">BOM_COEF!Y607*DEMANDA!M46*INDEX(PY_VAL,MATCH("P_CABA_REC",PY_ID,0),8)</f>
        <v>1.02172250240444</v>
      </c>
      <c r="P263" s="42" t="n">
        <f aca="false">BOM_COEF!Z607*DEMANDA!N46*INDEX(PY_VAL,MATCH("P_CABA_REC",PY_ID,0),9)</f>
        <v>1.27738467025146</v>
      </c>
      <c r="Q263" s="42" t="n">
        <f aca="false">BOM_COEF!AA607*DEMANDA!O46*INDEX(PY_VAL,MATCH("P_CABA_REC",PY_ID,0),10)</f>
        <v>1.27822856650609</v>
      </c>
      <c r="R263" s="24" t="s">
        <v>3269</v>
      </c>
    </row>
    <row r="264" customFormat="false" ht="15" hidden="false" customHeight="false" outlineLevel="1" collapsed="false">
      <c r="A264" s="24" t="n">
        <v>1</v>
      </c>
      <c r="B264" s="24" t="s">
        <v>688</v>
      </c>
      <c r="C264" s="40" t="s">
        <v>3271</v>
      </c>
      <c r="D264" s="24" t="s">
        <v>82</v>
      </c>
      <c r="E264" s="24" t="s">
        <v>372</v>
      </c>
      <c r="F264" s="41" t="n">
        <f aca="false">INDEX((BOM_COEF!R110~BOM_COEF!S110~BOM_COEF!T110~BOM_COEF!U110~BOM_COEF!V110~BOM_COEF!W110~BOM_COEF!X110~BOM_COEF!Y110~BOM_COEF!Z110~BOM_COEF!AA110),1,1,INDEX(P_VAL,MATCH("AÑO_DIS",P_ID,0))-2025)</f>
        <v>1</v>
      </c>
      <c r="G264" s="24" t="s">
        <v>689</v>
      </c>
      <c r="H264" s="42" t="n">
        <f aca="false">BOM_COEF!R110*DEMANDA!F49*INDEX(PY_VAL,MATCH("P_CABA_NUE",PY_ID,0),1)</f>
        <v>14.688638356582</v>
      </c>
      <c r="I264" s="42" t="n">
        <f aca="false">BOM_COEF!S110*DEMANDA!G49*INDEX(PY_VAL,MATCH("P_CABA_NUE",PY_ID,0),2)</f>
        <v>51.7753357731871</v>
      </c>
      <c r="J264" s="42" t="n">
        <f aca="false">BOM_COEF!T110*DEMANDA!H49*INDEX(PY_VAL,MATCH("P_CABA_NUE",PY_ID,0),3)</f>
        <v>66.4453251781005</v>
      </c>
      <c r="K264" s="42" t="n">
        <f aca="false">BOM_COEF!U110*DEMANDA!I49*INDEX(PY_VAL,MATCH("P_CABA_NUE",PY_ID,0),4)</f>
        <v>116.481003406806</v>
      </c>
      <c r="L264" s="42" t="n">
        <f aca="false">BOM_COEF!V110*DEMANDA!J49*INDEX(PY_VAL,MATCH("P_CABA_NUE",PY_ID,0),5)</f>
        <v>126.267933138021</v>
      </c>
      <c r="M264" s="42" t="n">
        <f aca="false">BOM_COEF!W110*DEMANDA!K49*INDEX(PY_VAL,MATCH("P_CABA_NUE",PY_ID,0),6)</f>
        <v>147.790488415611</v>
      </c>
      <c r="N264" s="42" t="n">
        <f aca="false">BOM_COEF!X110*DEMANDA!L49*INDEX(PY_VAL,MATCH("P_CABA_NUE",PY_ID,0),7)</f>
        <v>142.868539489034</v>
      </c>
      <c r="O264" s="42" t="n">
        <f aca="false">BOM_COEF!Y110*DEMANDA!M49*INDEX(PY_VAL,MATCH("P_CABA_NUE",PY_ID,0),8)</f>
        <v>115.851951613907</v>
      </c>
      <c r="P264" s="42" t="n">
        <f aca="false">BOM_COEF!Z110*DEMANDA!N49*INDEX(PY_VAL,MATCH("P_CABA_NUE",PY_ID,0),9)</f>
        <v>86.3929114331696</v>
      </c>
      <c r="Q264" s="42" t="n">
        <f aca="false">BOM_COEF!AA110*DEMANDA!O49*INDEX(PY_VAL,MATCH("P_CABA_NUE",PY_ID,0),10)</f>
        <v>90.2814368800293</v>
      </c>
      <c r="R264" s="24" t="s">
        <v>2458</v>
      </c>
    </row>
    <row r="265" customFormat="false" ht="15" hidden="false" customHeight="false" outlineLevel="1" collapsed="false">
      <c r="A265" s="24" t="n">
        <v>1</v>
      </c>
      <c r="B265" s="24" t="s">
        <v>688</v>
      </c>
      <c r="C265" s="40" t="s">
        <v>3272</v>
      </c>
      <c r="D265" s="24" t="s">
        <v>82</v>
      </c>
      <c r="E265" s="24" t="s">
        <v>375</v>
      </c>
      <c r="F265" s="41" t="n">
        <f aca="false">INDEX((BOM_COEF!R151~BOM_COEF!S151~BOM_COEF!T151~BOM_COEF!U151~BOM_COEF!V151~BOM_COEF!W151~BOM_COEF!X151~BOM_COEF!Y151~BOM_COEF!Z151~BOM_COEF!AA151),1,1,INDEX(P_VAL,MATCH("AÑO_DIS",P_ID,0))-2025)</f>
        <v>1</v>
      </c>
      <c r="G265" s="24" t="s">
        <v>689</v>
      </c>
      <c r="H265" s="42" t="n">
        <f aca="false">BOM_COEF!R151*DEMANDA!F50*INDEX(PY_VAL,MATCH("P_CABA_NUE",PY_ID,0),1)</f>
        <v>0.466305979574031</v>
      </c>
      <c r="I265" s="42" t="n">
        <f aca="false">BOM_COEF!S151*DEMANDA!G50*INDEX(PY_VAL,MATCH("P_CABA_NUE",PY_ID,0),2)</f>
        <v>0.722500746778664</v>
      </c>
      <c r="J265" s="42" t="n">
        <f aca="false">BOM_COEF!T151*DEMANDA!H50*INDEX(PY_VAL,MATCH("P_CABA_NUE",PY_ID,0),3)</f>
        <v>1.68968294472546</v>
      </c>
      <c r="K265" s="42" t="n">
        <f aca="false">BOM_COEF!U151*DEMANDA!I50*INDEX(PY_VAL,MATCH("P_CABA_NUE",PY_ID,0),4)</f>
        <v>2.4711270611671</v>
      </c>
      <c r="L265" s="42" t="n">
        <f aca="false">BOM_COEF!V151*DEMANDA!J50*INDEX(PY_VAL,MATCH("P_CABA_NUE",PY_ID,0),5)</f>
        <v>2.35622378696353</v>
      </c>
      <c r="M265" s="42" t="n">
        <f aca="false">BOM_COEF!W151*DEMANDA!K50*INDEX(PY_VAL,MATCH("P_CABA_NUE",PY_ID,0),6)</f>
        <v>2.93128507248664</v>
      </c>
      <c r="N265" s="42" t="n">
        <f aca="false">BOM_COEF!X151*DEMANDA!L50*INDEX(PY_VAL,MATCH("P_CABA_NUE",PY_ID,0),7)</f>
        <v>2.59718438966308</v>
      </c>
      <c r="O265" s="42" t="n">
        <f aca="false">BOM_COEF!Y151*DEMANDA!M50*INDEX(PY_VAL,MATCH("P_CABA_NUE",PY_ID,0),8)</f>
        <v>1.77079104096568</v>
      </c>
      <c r="P265" s="42" t="n">
        <f aca="false">BOM_COEF!Z151*DEMANDA!N50*INDEX(PY_VAL,MATCH("P_CABA_NUE",PY_ID,0),9)</f>
        <v>1.83514354351504</v>
      </c>
      <c r="Q265" s="42" t="n">
        <f aca="false">BOM_COEF!AA151*DEMANDA!O50*INDEX(PY_VAL,MATCH("P_CABA_NUE",PY_ID,0),10)</f>
        <v>1.66531692832079</v>
      </c>
      <c r="R265" s="24" t="s">
        <v>2460</v>
      </c>
    </row>
    <row r="266" customFormat="false" ht="15" hidden="false" customHeight="false" outlineLevel="1" collapsed="false">
      <c r="A266" s="24" t="n">
        <v>1</v>
      </c>
      <c r="B266" s="24" t="s">
        <v>688</v>
      </c>
      <c r="C266" s="40" t="s">
        <v>3273</v>
      </c>
      <c r="D266" s="24" t="s">
        <v>82</v>
      </c>
      <c r="E266" s="24" t="s">
        <v>402</v>
      </c>
      <c r="F266" s="41" t="n">
        <f aca="false">INDEX((BOM_COEF!R252~BOM_COEF!S252~BOM_COEF!T252~BOM_COEF!U252~BOM_COEF!V252~BOM_COEF!W252~BOM_COEF!X252~BOM_COEF!Y252~BOM_COEF!Z252~BOM_COEF!AA252),1,1,INDEX(P_VAL,MATCH("AÑO_DIS",P_ID,0))-2025)</f>
        <v>1</v>
      </c>
      <c r="G266" s="24" t="s">
        <v>689</v>
      </c>
      <c r="H266" s="42" t="n">
        <f aca="false">BOM_COEF!R252*DEMANDA!F59*INDEX(PY_VAL,MATCH("P_CABA_NUE",PY_ID,0),1)</f>
        <v>0.233152989787015</v>
      </c>
      <c r="I266" s="42" t="n">
        <f aca="false">BOM_COEF!S252*DEMANDA!G59*INDEX(PY_VAL,MATCH("P_CABA_NUE",PY_ID,0),2)</f>
        <v>0.477782751902019</v>
      </c>
      <c r="J266" s="42" t="n">
        <f aca="false">BOM_COEF!T252*DEMANDA!H59*INDEX(PY_VAL,MATCH("P_CABA_NUE",PY_ID,0),3)</f>
        <v>0.967197823532505</v>
      </c>
      <c r="K266" s="42" t="n">
        <f aca="false">BOM_COEF!U252*DEMANDA!I59*INDEX(PY_VAL,MATCH("P_CABA_NUE",PY_ID,0),4)</f>
        <v>1.24721979030604</v>
      </c>
      <c r="L266" s="42" t="n">
        <f aca="false">BOM_COEF!V252*DEMANDA!J59*INDEX(PY_VAL,MATCH("P_CABA_NUE",PY_ID,0),5)</f>
        <v>1.30642110960354</v>
      </c>
      <c r="M266" s="42" t="n">
        <f aca="false">BOM_COEF!W252*DEMANDA!K59*INDEX(PY_VAL,MATCH("P_CABA_NUE",PY_ID,0),6)</f>
        <v>1.59994444195486</v>
      </c>
      <c r="N266" s="42" t="n">
        <f aca="false">BOM_COEF!X252*DEMANDA!L59*INDEX(PY_VAL,MATCH("P_CABA_NUE",PY_ID,0),7)</f>
        <v>1.43898054021873</v>
      </c>
      <c r="O266" s="42" t="n">
        <f aca="false">BOM_COEF!Y252*DEMANDA!M59*INDEX(PY_VAL,MATCH("P_CABA_NUE",PY_ID,0),8)</f>
        <v>1.03198418281444</v>
      </c>
      <c r="P266" s="42" t="n">
        <f aca="false">BOM_COEF!Z252*DEMANDA!N59*INDEX(PY_VAL,MATCH("P_CABA_NUE",PY_ID,0),9)</f>
        <v>1.07050040038377</v>
      </c>
      <c r="Q266" s="42" t="n">
        <f aca="false">BOM_COEF!AA252*DEMANDA!O59*INDEX(PY_VAL,MATCH("P_CABA_NUE",PY_ID,0),10)</f>
        <v>0.873996118409493</v>
      </c>
      <c r="R266" s="24" t="s">
        <v>2831</v>
      </c>
    </row>
    <row r="267" customFormat="false" ht="15" hidden="false" customHeight="false" outlineLevel="1" collapsed="false">
      <c r="A267" s="24" t="n">
        <v>1</v>
      </c>
      <c r="B267" s="24" t="s">
        <v>688</v>
      </c>
      <c r="C267" s="40" t="s">
        <v>3274</v>
      </c>
      <c r="D267" s="24" t="s">
        <v>82</v>
      </c>
      <c r="E267" s="24" t="s">
        <v>405</v>
      </c>
      <c r="F267" s="41" t="n">
        <f aca="false">INDEX((BOM_COEF!R353~BOM_COEF!S353~BOM_COEF!T353~BOM_COEF!U353~BOM_COEF!V353~BOM_COEF!W353~BOM_COEF!X353~BOM_COEF!Y353~BOM_COEF!Z353~BOM_COEF!AA353),1,1,INDEX(P_VAL,MATCH("AÑO_DIS",P_ID,0))-2025)</f>
        <v>1</v>
      </c>
      <c r="G267" s="24" t="s">
        <v>689</v>
      </c>
      <c r="H267" s="42" t="n">
        <f aca="false">BOM_COEF!R353*DEMANDA!F60*INDEX(PY_VAL,MATCH("P_CABA_NUE",PY_ID,0),1)</f>
        <v>0.233152989787015</v>
      </c>
      <c r="I267" s="42" t="n">
        <f aca="false">BOM_COEF!S353*DEMANDA!G60*INDEX(PY_VAL,MATCH("P_CABA_NUE",PY_ID,0),2)</f>
        <v>0.0116532378512688</v>
      </c>
      <c r="J267" s="42" t="n">
        <f aca="false">BOM_COEF!T353*DEMANDA!H60*INDEX(PY_VAL,MATCH("P_CABA_NUE",PY_ID,0),3)</f>
        <v>0.244712702339549</v>
      </c>
      <c r="K267" s="42" t="n">
        <f aca="false">BOM_COEF!U353*DEMANDA!I60*INDEX(PY_VAL,MATCH("P_CABA_NUE",PY_ID,0),4)</f>
        <v>0.256437713894699</v>
      </c>
      <c r="L267" s="42" t="n">
        <f aca="false">BOM_COEF!V353*DEMANDA!J60*INDEX(PY_VAL,MATCH("P_CABA_NUE",PY_ID,0),5)</f>
        <v>0.501572390294217</v>
      </c>
      <c r="M267" s="42" t="n">
        <f aca="false">BOM_COEF!W353*DEMANDA!K60*INDEX(PY_VAL,MATCH("P_CABA_NUE",PY_ID,0),6)</f>
        <v>0.291960664590302</v>
      </c>
      <c r="N267" s="42" t="n">
        <f aca="false">BOM_COEF!X353*DEMANDA!L60*INDEX(PY_VAL,MATCH("P_CABA_NUE",PY_ID,0),7)</f>
        <v>0.30417474833892</v>
      </c>
      <c r="O267" s="42" t="n">
        <f aca="false">BOM_COEF!Y353*DEMANDA!M60*INDEX(PY_VAL,MATCH("P_CABA_NUE",PY_ID,0),8)</f>
        <v>0.316631510636247</v>
      </c>
      <c r="P267" s="42" t="n">
        <f aca="false">BOM_COEF!Z353*DEMANDA!N60*INDEX(PY_VAL,MATCH("P_CABA_NUE",PY_ID,0),9)</f>
        <v>0.329384738579622</v>
      </c>
      <c r="Q267" s="42" t="n">
        <f aca="false">BOM_COEF!AA353*DEMANDA!O60*INDEX(PY_VAL,MATCH("P_CABA_NUE",PY_ID,0),10)</f>
        <v>0.106296825211965</v>
      </c>
      <c r="R267" s="24" t="s">
        <v>2835</v>
      </c>
    </row>
    <row r="268" customFormat="false" ht="15" hidden="false" customHeight="false" outlineLevel="0" collapsed="false">
      <c r="A268" s="38" t="n">
        <v>0</v>
      </c>
      <c r="B268" s="38" t="s">
        <v>1371</v>
      </c>
      <c r="C268" s="38" t="s">
        <v>2189</v>
      </c>
      <c r="D268" s="38" t="s">
        <v>82</v>
      </c>
      <c r="E268" s="38"/>
      <c r="F268" s="38"/>
      <c r="G268" s="38"/>
      <c r="H268" s="39" t="n">
        <f aca="false">SUM(H269:H297)</f>
        <v>5132.86012779398</v>
      </c>
      <c r="I268" s="39" t="n">
        <f aca="false">SUM(I269:I297)</f>
        <v>23033.5275209144</v>
      </c>
      <c r="J268" s="39" t="n">
        <f aca="false">SUM(J269:J297)</f>
        <v>46207.9261021773</v>
      </c>
      <c r="K268" s="39" t="n">
        <f aca="false">SUM(K269:K297)</f>
        <v>85753.4060243528</v>
      </c>
      <c r="L268" s="39" t="n">
        <f aca="false">SUM(L269:L297)</f>
        <v>126269.378330858</v>
      </c>
      <c r="M268" s="39" t="n">
        <f aca="false">SUM(M269:M297)</f>
        <v>171918.001471967</v>
      </c>
      <c r="N268" s="39" t="n">
        <f aca="false">SUM(N269:N297)</f>
        <v>213557.167518833</v>
      </c>
      <c r="O268" s="39" t="n">
        <f aca="false">SUM(O269:O297)</f>
        <v>242801.272089467</v>
      </c>
      <c r="P268" s="39" t="n">
        <f aca="false">SUM(P269:P297)</f>
        <v>261143.487122556</v>
      </c>
      <c r="Q268" s="39" t="n">
        <f aca="false">SUM(Q269:Q297)</f>
        <v>279821.898521302</v>
      </c>
      <c r="R268" s="38"/>
    </row>
    <row r="269" customFormat="false" ht="15" hidden="false" customHeight="false" outlineLevel="1" collapsed="false">
      <c r="A269" s="24" t="n">
        <v>1</v>
      </c>
      <c r="B269" s="24" t="s">
        <v>1371</v>
      </c>
      <c r="C269" s="40" t="s">
        <v>3275</v>
      </c>
      <c r="D269" s="24" t="s">
        <v>82</v>
      </c>
      <c r="E269" s="24" t="s">
        <v>282</v>
      </c>
      <c r="F269" s="41" t="n">
        <f aca="false">INDEX((BOM_COEF!R389~BOM_COEF!S389~BOM_COEF!T389~BOM_COEF!U389~BOM_COEF!V389~BOM_COEF!W389~BOM_COEF!X389~BOM_COEF!Y389~BOM_COEF!Z389~BOM_COEF!AA389),1,1,INDEX(P_VAL,MATCH("AÑO_DIS",P_ID,0))-2025)</f>
        <v>1</v>
      </c>
      <c r="G269" s="24" t="s">
        <v>582</v>
      </c>
      <c r="H269" s="42" t="n">
        <f aca="false">BOM_COEF!R389*DEMANDA!F20*(1-INDEX(PY_VAL,MATCH("P_CABA_REC",PY_ID,0),1))</f>
        <v>2582.46001957821</v>
      </c>
      <c r="I269" s="42" t="n">
        <f aca="false">BOM_COEF!S389*DEMANDA!G20*(1-INDEX(PY_VAL,MATCH("P_CABA_REC",PY_ID,0),2))</f>
        <v>12610.3772881494</v>
      </c>
      <c r="J269" s="42" t="n">
        <f aca="false">BOM_COEF!T389*DEMANDA!H20*(1-INDEX(PY_VAL,MATCH("P_CABA_REC",PY_ID,0),3))</f>
        <v>22710.3365930768</v>
      </c>
      <c r="K269" s="42" t="n">
        <f aca="false">BOM_COEF!U389*DEMANDA!I20*(1-INDEX(PY_VAL,MATCH("P_CABA_REC",PY_ID,0),4))</f>
        <v>41690.5964624075</v>
      </c>
      <c r="L269" s="42" t="n">
        <f aca="false">BOM_COEF!V389*DEMANDA!J20*(1-INDEX(PY_VAL,MATCH("P_CABA_REC",PY_ID,0),5))</f>
        <v>62707.9519674312</v>
      </c>
      <c r="M269" s="42" t="n">
        <f aca="false">BOM_COEF!W389*DEMANDA!K20*(1-INDEX(PY_VAL,MATCH("P_CABA_REC",PY_ID,0),6))</f>
        <v>87393.5809785581</v>
      </c>
      <c r="N269" s="42" t="n">
        <f aca="false">BOM_COEF!X389*DEMANDA!L20*(1-INDEX(PY_VAL,MATCH("P_CABA_REC",PY_ID,0),7))</f>
        <v>109897.515968181</v>
      </c>
      <c r="O269" s="42" t="n">
        <f aca="false">BOM_COEF!Y389*DEMANDA!M20*(1-INDEX(PY_VAL,MATCH("P_CABA_REC",PY_ID,0),8))</f>
        <v>127622.437615641</v>
      </c>
      <c r="P269" s="42" t="n">
        <f aca="false">BOM_COEF!Z389*DEMANDA!N20*(1-INDEX(PY_VAL,MATCH("P_CABA_REC",PY_ID,0),9))</f>
        <v>136761.863384357</v>
      </c>
      <c r="Q269" s="42" t="n">
        <f aca="false">BOM_COEF!AA389*DEMANDA!O20*(1-INDEX(PY_VAL,MATCH("P_CABA_REC",PY_ID,0),10))</f>
        <v>146103.862227316</v>
      </c>
      <c r="R269" s="24" t="s">
        <v>3276</v>
      </c>
    </row>
    <row r="270" customFormat="false" ht="15" hidden="false" customHeight="false" outlineLevel="1" collapsed="false">
      <c r="A270" s="24" t="n">
        <v>1</v>
      </c>
      <c r="B270" s="24" t="s">
        <v>1371</v>
      </c>
      <c r="C270" s="40" t="s">
        <v>3277</v>
      </c>
      <c r="D270" s="24" t="s">
        <v>82</v>
      </c>
      <c r="E270" s="24" t="s">
        <v>286</v>
      </c>
      <c r="F270" s="41" t="n">
        <f aca="false">INDEX((BOM_COEF!R403~BOM_COEF!S403~BOM_COEF!T403~BOM_COEF!U403~BOM_COEF!V403~BOM_COEF!W403~BOM_COEF!X403~BOM_COEF!Y403~BOM_COEF!Z403~BOM_COEF!AA403),1,1,INDEX(P_VAL,MATCH("AÑO_DIS",P_ID,0))-2025)</f>
        <v>1</v>
      </c>
      <c r="G270" s="24" t="s">
        <v>582</v>
      </c>
      <c r="H270" s="42" t="n">
        <f aca="false">BOM_COEF!R403*DEMANDA!F21*(1-INDEX(PY_VAL,MATCH("P_CABA_REC",PY_ID,0),1))</f>
        <v>245.063287178753</v>
      </c>
      <c r="I270" s="42" t="n">
        <f aca="false">BOM_COEF!S403*DEMANDA!G21*(1-INDEX(PY_VAL,MATCH("P_CABA_REC",PY_ID,0),2))</f>
        <v>956.642093153755</v>
      </c>
      <c r="J270" s="42" t="n">
        <f aca="false">BOM_COEF!T403*DEMANDA!H21*(1-INDEX(PY_VAL,MATCH("P_CABA_REC",PY_ID,0),3))</f>
        <v>2191.15461146681</v>
      </c>
      <c r="K270" s="42" t="n">
        <f aca="false">BOM_COEF!U403*DEMANDA!I21*(1-INDEX(PY_VAL,MATCH("P_CABA_REC",PY_ID,0),4))</f>
        <v>4036.07131128853</v>
      </c>
      <c r="L270" s="42" t="n">
        <f aca="false">BOM_COEF!V403*DEMANDA!J21*(1-INDEX(PY_VAL,MATCH("P_CABA_REC",PY_ID,0),5))</f>
        <v>5842.06742468505</v>
      </c>
      <c r="M270" s="42" t="n">
        <f aca="false">BOM_COEF!W403*DEMANDA!K21*(1-INDEX(PY_VAL,MATCH("P_CABA_REC",PY_ID,0),6))</f>
        <v>7759.15726430159</v>
      </c>
      <c r="N270" s="42" t="n">
        <f aca="false">BOM_COEF!X403*DEMANDA!L21*(1-INDEX(PY_VAL,MATCH("P_CABA_REC",PY_ID,0),7))</f>
        <v>9537.08865637089</v>
      </c>
      <c r="O270" s="42" t="n">
        <f aca="false">BOM_COEF!Y403*DEMANDA!M21*(1-INDEX(PY_VAL,MATCH("P_CABA_REC",PY_ID,0),8))</f>
        <v>10619.8438485853</v>
      </c>
      <c r="P270" s="42" t="n">
        <f aca="false">BOM_COEF!Z403*DEMANDA!N21*(1-INDEX(PY_VAL,MATCH("P_CABA_REC",PY_ID,0),9))</f>
        <v>11490.1275622343</v>
      </c>
      <c r="Q270" s="42" t="n">
        <f aca="false">BOM_COEF!AA403*DEMANDA!O21*(1-INDEX(PY_VAL,MATCH("P_CABA_REC",PY_ID,0),10))</f>
        <v>12371.7348250862</v>
      </c>
      <c r="R270" s="24" t="s">
        <v>3278</v>
      </c>
    </row>
    <row r="271" customFormat="false" ht="15" hidden="false" customHeight="false" outlineLevel="1" collapsed="false">
      <c r="A271" s="24" t="n">
        <v>1</v>
      </c>
      <c r="B271" s="24" t="s">
        <v>1371</v>
      </c>
      <c r="C271" s="40" t="s">
        <v>3279</v>
      </c>
      <c r="D271" s="24" t="s">
        <v>82</v>
      </c>
      <c r="E271" s="24" t="s">
        <v>290</v>
      </c>
      <c r="F271" s="41" t="n">
        <f aca="false">INDEX((BOM_COEF!R418~BOM_COEF!S418~BOM_COEF!T418~BOM_COEF!U418~BOM_COEF!V418~BOM_COEF!W418~BOM_COEF!X418~BOM_COEF!Y418~BOM_COEF!Z418~BOM_COEF!AA418),1,1,INDEX(P_VAL,MATCH("AÑO_DIS",P_ID,0))-2025)</f>
        <v>1</v>
      </c>
      <c r="G271" s="24" t="s">
        <v>582</v>
      </c>
      <c r="H271" s="42" t="n">
        <f aca="false">BOM_COEF!R418*DEMANDA!F22*(1-INDEX(PY_VAL,MATCH("P_CABA_REC",PY_ID,0),1))</f>
        <v>1448.40853189784</v>
      </c>
      <c r="I271" s="42" t="n">
        <f aca="false">BOM_COEF!S418*DEMANDA!G22*(1-INDEX(PY_VAL,MATCH("P_CABA_REC",PY_ID,0),2))</f>
        <v>5835.06570354926</v>
      </c>
      <c r="J271" s="42" t="n">
        <f aca="false">BOM_COEF!T418*DEMANDA!H22*(1-INDEX(PY_VAL,MATCH("P_CABA_REC",PY_ID,0),3))</f>
        <v>13215.9534134589</v>
      </c>
      <c r="K271" s="42" t="n">
        <f aca="false">BOM_COEF!U418*DEMANDA!I22*(1-INDEX(PY_VAL,MATCH("P_CABA_REC",PY_ID,0),4))</f>
        <v>24996.9385780401</v>
      </c>
      <c r="L271" s="42" t="n">
        <f aca="false">BOM_COEF!V418*DEMANDA!J22*(1-INDEX(PY_VAL,MATCH("P_CABA_REC",PY_ID,0),5))</f>
        <v>36021.4969431232</v>
      </c>
      <c r="M271" s="42" t="n">
        <f aca="false">BOM_COEF!W418*DEMANDA!K22*(1-INDEX(PY_VAL,MATCH("P_CABA_REC",PY_ID,0),6))</f>
        <v>47879.4419128729</v>
      </c>
      <c r="N271" s="42" t="n">
        <f aca="false">BOM_COEF!X418*DEMANDA!L22*(1-INDEX(PY_VAL,MATCH("P_CABA_REC",PY_ID,0),7))</f>
        <v>58608.6046711854</v>
      </c>
      <c r="O271" s="42" t="n">
        <f aca="false">BOM_COEF!Y418*DEMANDA!M22*(1-INDEX(PY_VAL,MATCH("P_CABA_REC",PY_ID,0),8))</f>
        <v>64954.1566609712</v>
      </c>
      <c r="P271" s="42" t="n">
        <f aca="false">BOM_COEF!Z418*DEMANDA!N22*(1-INDEX(PY_VAL,MATCH("P_CABA_REC",PY_ID,0),9))</f>
        <v>70062.3511261094</v>
      </c>
      <c r="Q271" s="42" t="n">
        <f aca="false">BOM_COEF!AA418*DEMANDA!O22*(1-INDEX(PY_VAL,MATCH("P_CABA_REC",PY_ID,0),10))</f>
        <v>75250.6277690387</v>
      </c>
      <c r="R271" s="24" t="s">
        <v>3280</v>
      </c>
    </row>
    <row r="272" customFormat="false" ht="15" hidden="false" customHeight="false" outlineLevel="1" collapsed="false">
      <c r="A272" s="24" t="n">
        <v>1</v>
      </c>
      <c r="B272" s="24" t="s">
        <v>1371</v>
      </c>
      <c r="C272" s="40" t="s">
        <v>3281</v>
      </c>
      <c r="D272" s="24" t="s">
        <v>82</v>
      </c>
      <c r="E272" s="24" t="s">
        <v>336</v>
      </c>
      <c r="F272" s="41" t="n">
        <f aca="false">INDEX((BOM_COEF!R418~BOM_COEF!S418~BOM_COEF!T418~BOM_COEF!U418~BOM_COEF!V418~BOM_COEF!W418~BOM_COEF!X418~BOM_COEF!Y418~BOM_COEF!Z418~BOM_COEF!AA418),1,1,INDEX(P_VAL,MATCH("AÑO_DIS",P_ID,0))-2025)</f>
        <v>1</v>
      </c>
      <c r="G272" s="24" t="s">
        <v>582</v>
      </c>
      <c r="H272" s="42" t="n">
        <f aca="false">BOM_COEF!R418*DEMANDA!F37*(1-INDEX(PY_VAL,MATCH("P_CABA_REC",PY_ID,0),1))</f>
        <v>46.785281830949</v>
      </c>
      <c r="I272" s="42" t="n">
        <f aca="false">BOM_COEF!S418*DEMANDA!G37*(1-INDEX(PY_VAL,MATCH("P_CABA_REC",PY_ID,0),2))</f>
        <v>209.54647474724</v>
      </c>
      <c r="J272" s="42" t="n">
        <f aca="false">BOM_COEF!T418*DEMANDA!H37*(1-INDEX(PY_VAL,MATCH("P_CABA_REC",PY_ID,0),3))</f>
        <v>411.143172086236</v>
      </c>
      <c r="K272" s="42" t="n">
        <f aca="false">BOM_COEF!U418*DEMANDA!I37*(1-INDEX(PY_VAL,MATCH("P_CABA_REC",PY_ID,0),4))</f>
        <v>762.429064601464</v>
      </c>
      <c r="L272" s="42" t="n">
        <f aca="false">BOM_COEF!V418*DEMANDA!J37*(1-INDEX(PY_VAL,MATCH("P_CABA_REC",PY_ID,0),5))</f>
        <v>1127.35602588869</v>
      </c>
      <c r="M272" s="42" t="n">
        <f aca="false">BOM_COEF!W418*DEMANDA!K37*(1-INDEX(PY_VAL,MATCH("P_CABA_REC",PY_ID,0),6))</f>
        <v>1542.31204536806</v>
      </c>
      <c r="N272" s="42" t="n">
        <f aca="false">BOM_COEF!X418*DEMANDA!L37*(1-INDEX(PY_VAL,MATCH("P_CABA_REC",PY_ID,0),7))</f>
        <v>1920.08992123017</v>
      </c>
      <c r="O272" s="42" t="n">
        <f aca="false">BOM_COEF!Y418*DEMANDA!M37*(1-INDEX(PY_VAL,MATCH("P_CABA_REC",PY_ID,0),8))</f>
        <v>2192.01223823034</v>
      </c>
      <c r="P272" s="42" t="n">
        <f aca="false">BOM_COEF!Z418*DEMANDA!N37*(1-INDEX(PY_VAL,MATCH("P_CABA_REC",PY_ID,0),9))</f>
        <v>2355.67098066487</v>
      </c>
      <c r="Q272" s="42" t="n">
        <f aca="false">BOM_COEF!AA418*DEMANDA!O37*(1-INDEX(PY_VAL,MATCH("P_CABA_REC",PY_ID,0),10))</f>
        <v>2521.87232333547</v>
      </c>
      <c r="R272" s="24" t="s">
        <v>3280</v>
      </c>
    </row>
    <row r="273" customFormat="false" ht="15" hidden="false" customHeight="false" outlineLevel="1" collapsed="false">
      <c r="A273" s="24" t="n">
        <v>1</v>
      </c>
      <c r="B273" s="24" t="s">
        <v>1371</v>
      </c>
      <c r="C273" s="40" t="s">
        <v>3282</v>
      </c>
      <c r="D273" s="24" t="s">
        <v>82</v>
      </c>
      <c r="E273" s="24" t="s">
        <v>293</v>
      </c>
      <c r="F273" s="41" t="n">
        <f aca="false">INDEX((BOM_COEF!R433~BOM_COEF!S433~BOM_COEF!T433~BOM_COEF!U433~BOM_COEF!V433~BOM_COEF!W433~BOM_COEF!X433~BOM_COEF!Y433~BOM_COEF!Z433~BOM_COEF!AA433),1,1,INDEX(P_VAL,MATCH("AÑO_DIS",P_ID,0))-2025)</f>
        <v>1</v>
      </c>
      <c r="G273" s="24" t="s">
        <v>582</v>
      </c>
      <c r="H273" s="42" t="n">
        <f aca="false">BOM_COEF!R433*DEMANDA!F23*(1-INDEX(PY_VAL,MATCH("P_CABA_REC",PY_ID,0),1))</f>
        <v>87.8847650700119</v>
      </c>
      <c r="I273" s="42" t="n">
        <f aca="false">BOM_COEF!S433*DEMANDA!G23*(1-INDEX(PY_VAL,MATCH("P_CABA_REC",PY_ID,0),2))</f>
        <v>325.255198004861</v>
      </c>
      <c r="J273" s="42" t="n">
        <f aca="false">BOM_COEF!T433*DEMANDA!H23*(1-INDEX(PY_VAL,MATCH("P_CABA_REC",PY_ID,0),3))</f>
        <v>762.045929863402</v>
      </c>
      <c r="K273" s="42" t="n">
        <f aca="false">BOM_COEF!U433*DEMANDA!I23*(1-INDEX(PY_VAL,MATCH("P_CABA_REC",PY_ID,0),4))</f>
        <v>1458.21800714161</v>
      </c>
      <c r="L273" s="42" t="n">
        <f aca="false">BOM_COEF!V433*DEMANDA!J23*(1-INDEX(PY_VAL,MATCH("P_CABA_REC",PY_ID,0),5))</f>
        <v>2117.03088505077</v>
      </c>
      <c r="M273" s="42" t="n">
        <f aca="false">BOM_COEF!W433*DEMANDA!K23*(1-INDEX(PY_VAL,MATCH("P_CABA_REC",PY_ID,0),6))</f>
        <v>2836.2989159595</v>
      </c>
      <c r="N273" s="42" t="n">
        <f aca="false">BOM_COEF!X433*DEMANDA!L23*(1-INDEX(PY_VAL,MATCH("P_CABA_REC",PY_ID,0),7))</f>
        <v>3472.1524847108</v>
      </c>
      <c r="O273" s="42" t="n">
        <f aca="false">BOM_COEF!Y433*DEMANDA!M23*(1-INDEX(PY_VAL,MATCH("P_CABA_REC",PY_ID,0),8))</f>
        <v>3845.33939288283</v>
      </c>
      <c r="P273" s="42" t="n">
        <f aca="false">BOM_COEF!Z433*DEMANDA!N23*(1-INDEX(PY_VAL,MATCH("P_CABA_REC",PY_ID,0),9))</f>
        <v>4148.14326515726</v>
      </c>
      <c r="Q273" s="42" t="n">
        <f aca="false">BOM_COEF!AA433*DEMANDA!O23*(1-INDEX(PY_VAL,MATCH("P_CABA_REC",PY_ID,0),10))</f>
        <v>4455.66817888749</v>
      </c>
      <c r="R273" s="24" t="s">
        <v>3283</v>
      </c>
    </row>
    <row r="274" customFormat="false" ht="15" hidden="false" customHeight="false" outlineLevel="1" collapsed="false">
      <c r="A274" s="24" t="n">
        <v>1</v>
      </c>
      <c r="B274" s="24" t="s">
        <v>1371</v>
      </c>
      <c r="C274" s="40" t="s">
        <v>3284</v>
      </c>
      <c r="D274" s="24" t="s">
        <v>82</v>
      </c>
      <c r="E274" s="24" t="s">
        <v>339</v>
      </c>
      <c r="F274" s="41" t="n">
        <f aca="false">INDEX((BOM_COEF!R433~BOM_COEF!S433~BOM_COEF!T433~BOM_COEF!U433~BOM_COEF!V433~BOM_COEF!W433~BOM_COEF!X433~BOM_COEF!Y433~BOM_COEF!Z433~BOM_COEF!AA433),1,1,INDEX(P_VAL,MATCH("AÑO_DIS",P_ID,0))-2025)</f>
        <v>1</v>
      </c>
      <c r="G274" s="24" t="s">
        <v>582</v>
      </c>
      <c r="H274" s="42" t="n">
        <f aca="false">BOM_COEF!R433*DEMANDA!F38*(1-INDEX(PY_VAL,MATCH("P_CABA_REC",PY_ID,0),1))</f>
        <v>1.48524704225235</v>
      </c>
      <c r="I274" s="42" t="n">
        <f aca="false">BOM_COEF!S433*DEMANDA!G38*(1-INDEX(PY_VAL,MATCH("P_CABA_REC",PY_ID,0),2))</f>
        <v>3.71536302743334</v>
      </c>
      <c r="J274" s="42" t="n">
        <f aca="false">BOM_COEF!T433*DEMANDA!H38*(1-INDEX(PY_VAL,MATCH("P_CABA_REC",PY_ID,0),3))</f>
        <v>8.92173248650059</v>
      </c>
      <c r="K274" s="42" t="n">
        <f aca="false">BOM_COEF!U433*DEMANDA!I38*(1-INDEX(PY_VAL,MATCH("P_CABA_REC",PY_ID,0),4))</f>
        <v>16.3643311426656</v>
      </c>
      <c r="L274" s="42" t="n">
        <f aca="false">BOM_COEF!V433*DEMANDA!J38*(1-INDEX(PY_VAL,MATCH("P_CABA_REC",PY_ID,0),5))</f>
        <v>23.0680110907917</v>
      </c>
      <c r="M274" s="42" t="n">
        <f aca="false">BOM_COEF!W433*DEMANDA!K38*(1-INDEX(PY_VAL,MATCH("P_CABA_REC",PY_ID,0),6))</f>
        <v>31.2630820007039</v>
      </c>
      <c r="N274" s="42" t="n">
        <f aca="false">BOM_COEF!X433*DEMANDA!L38*(1-INDEX(PY_VAL,MATCH("P_CABA_REC",PY_ID,0),7))</f>
        <v>37.9699829324306</v>
      </c>
      <c r="O274" s="42" t="n">
        <f aca="false">BOM_COEF!Y433*DEMANDA!M38*(1-INDEX(PY_VAL,MATCH("P_CABA_REC",PY_ID,0),8))</f>
        <v>41.6958849663379</v>
      </c>
      <c r="P274" s="42" t="n">
        <f aca="false">BOM_COEF!Z433*DEMANDA!N38*(1-INDEX(PY_VAL,MATCH("P_CABA_REC",PY_ID,0),9))</f>
        <v>45.4159070229322</v>
      </c>
      <c r="Q274" s="42" t="n">
        <f aca="false">BOM_COEF!AA433*DEMANDA!O38*(1-INDEX(PY_VAL,MATCH("P_CABA_REC",PY_ID,0),10))</f>
        <v>48.3830286354208</v>
      </c>
      <c r="R274" s="24" t="s">
        <v>3283</v>
      </c>
    </row>
    <row r="275" customFormat="false" ht="15" hidden="false" customHeight="false" outlineLevel="1" collapsed="false">
      <c r="A275" s="24" t="n">
        <v>1</v>
      </c>
      <c r="B275" s="24" t="s">
        <v>1371</v>
      </c>
      <c r="C275" s="40" t="s">
        <v>3285</v>
      </c>
      <c r="D275" s="24" t="s">
        <v>82</v>
      </c>
      <c r="E275" s="24" t="s">
        <v>296</v>
      </c>
      <c r="F275" s="41" t="n">
        <f aca="false">INDEX((BOM_COEF!R448~BOM_COEF!S448~BOM_COEF!T448~BOM_COEF!U448~BOM_COEF!V448~BOM_COEF!W448~BOM_COEF!X448~BOM_COEF!Y448~BOM_COEF!Z448~BOM_COEF!AA448),1,1,INDEX(P_VAL,MATCH("AÑO_DIS",P_ID,0))-2025)</f>
        <v>1</v>
      </c>
      <c r="G275" s="24" t="s">
        <v>582</v>
      </c>
      <c r="H275" s="42" t="n">
        <f aca="false">BOM_COEF!R448*DEMANDA!F24*(1-INDEX(PY_VAL,MATCH("P_CABA_REC",PY_ID,0),1))</f>
        <v>13.0982101782039</v>
      </c>
      <c r="I275" s="42" t="n">
        <f aca="false">BOM_COEF!S448*DEMANDA!G24*(1-INDEX(PY_VAL,MATCH("P_CABA_REC",PY_ID,0),2))</f>
        <v>63.895193001675</v>
      </c>
      <c r="J275" s="42" t="n">
        <f aca="false">BOM_COEF!T448*DEMANDA!H24*(1-INDEX(PY_VAL,MATCH("P_CABA_REC",PY_ID,0),3))</f>
        <v>138.933357443227</v>
      </c>
      <c r="K275" s="42" t="n">
        <f aca="false">BOM_COEF!U448*DEMANDA!I24*(1-INDEX(PY_VAL,MATCH("P_CABA_REC",PY_ID,0),4))</f>
        <v>250.362083089481</v>
      </c>
      <c r="L275" s="42" t="n">
        <f aca="false">BOM_COEF!V448*DEMANDA!J24*(1-INDEX(PY_VAL,MATCH("P_CABA_REC",PY_ID,0),5))</f>
        <v>360.257294617981</v>
      </c>
      <c r="M275" s="42" t="n">
        <f aca="false">BOM_COEF!W448*DEMANDA!K24*(1-INDEX(PY_VAL,MATCH("P_CABA_REC",PY_ID,0),6))</f>
        <v>478.786944125823</v>
      </c>
      <c r="N275" s="42" t="n">
        <f aca="false">BOM_COEF!X448*DEMANDA!L24*(1-INDEX(PY_VAL,MATCH("P_CABA_REC",PY_ID,0),7))</f>
        <v>589.9729358872</v>
      </c>
      <c r="O275" s="42" t="n">
        <f aca="false">BOM_COEF!Y448*DEMANDA!M24*(1-INDEX(PY_VAL,MATCH("P_CABA_REC",PY_ID,0),8))</f>
        <v>662.42677371763</v>
      </c>
      <c r="P275" s="42" t="n">
        <f aca="false">BOM_COEF!Z448*DEMANDA!N24*(1-INDEX(PY_VAL,MATCH("P_CABA_REC",PY_ID,0),9))</f>
        <v>718.696386840254</v>
      </c>
      <c r="Q275" s="42" t="n">
        <f aca="false">BOM_COEF!AA448*DEMANDA!O24*(1-INDEX(PY_VAL,MATCH("P_CABA_REC",PY_ID,0),10))</f>
        <v>775.572283665351</v>
      </c>
      <c r="R275" s="24" t="s">
        <v>3286</v>
      </c>
    </row>
    <row r="276" customFormat="false" ht="15" hidden="false" customHeight="false" outlineLevel="1" collapsed="false">
      <c r="A276" s="24" t="n">
        <v>1</v>
      </c>
      <c r="B276" s="24" t="s">
        <v>1371</v>
      </c>
      <c r="C276" s="40" t="s">
        <v>3287</v>
      </c>
      <c r="D276" s="24" t="s">
        <v>82</v>
      </c>
      <c r="E276" s="24" t="s">
        <v>300</v>
      </c>
      <c r="F276" s="41" t="n">
        <f aca="false">INDEX((BOM_COEF!R463~BOM_COEF!S463~BOM_COEF!T463~BOM_COEF!U463~BOM_COEF!V463~BOM_COEF!W463~BOM_COEF!X463~BOM_COEF!Y463~BOM_COEF!Z463~BOM_COEF!AA463),1,1,INDEX(P_VAL,MATCH("AÑO_DIS",P_ID,0))-2025)</f>
        <v>1</v>
      </c>
      <c r="G276" s="24" t="s">
        <v>582</v>
      </c>
      <c r="H276" s="42" t="n">
        <f aca="false">BOM_COEF!R463*DEMANDA!F25*(1-INDEX(PY_VAL,MATCH("P_CABA_REC",PY_ID,0),1))</f>
        <v>28.816062389078</v>
      </c>
      <c r="I276" s="42" t="n">
        <f aca="false">BOM_COEF!S463*DEMANDA!G25*(1-INDEX(PY_VAL,MATCH("P_CABA_REC",PY_ID,0),2))</f>
        <v>140.569424618546</v>
      </c>
      <c r="J276" s="42" t="n">
        <f aca="false">BOM_COEF!T463*DEMANDA!H25*(1-INDEX(PY_VAL,MATCH("P_CABA_REC",PY_ID,0),3))</f>
        <v>305.65338633049</v>
      </c>
      <c r="K276" s="42" t="n">
        <f aca="false">BOM_COEF!U463*DEMANDA!I25*(1-INDEX(PY_VAL,MATCH("P_CABA_REC",PY_ID,0),4))</f>
        <v>550.796582752228</v>
      </c>
      <c r="L276" s="42" t="n">
        <f aca="false">BOM_COEF!V463*DEMANDA!J25*(1-INDEX(PY_VAL,MATCH("P_CABA_REC",PY_ID,0),5))</f>
        <v>792.566048204207</v>
      </c>
      <c r="M276" s="42" t="n">
        <f aca="false">BOM_COEF!W463*DEMANDA!K25*(1-INDEX(PY_VAL,MATCH("P_CABA_REC",PY_ID,0),6))</f>
        <v>1053.33127716613</v>
      </c>
      <c r="N276" s="42" t="n">
        <f aca="false">BOM_COEF!X463*DEMANDA!L25*(1-INDEX(PY_VAL,MATCH("P_CABA_REC",PY_ID,0),7))</f>
        <v>1297.94045890717</v>
      </c>
      <c r="O276" s="42" t="n">
        <f aca="false">BOM_COEF!Y463*DEMANDA!M25*(1-INDEX(PY_VAL,MATCH("P_CABA_REC",PY_ID,0),8))</f>
        <v>1457.33890188096</v>
      </c>
      <c r="P276" s="42" t="n">
        <f aca="false">BOM_COEF!Z463*DEMANDA!N25*(1-INDEX(PY_VAL,MATCH("P_CABA_REC",PY_ID,0),9))</f>
        <v>1581.13205112301</v>
      </c>
      <c r="Q276" s="42" t="n">
        <f aca="false">BOM_COEF!AA463*DEMANDA!O25*(1-INDEX(PY_VAL,MATCH("P_CABA_REC",PY_ID,0),10))</f>
        <v>1706.25902302168</v>
      </c>
      <c r="R276" s="24" t="s">
        <v>3288</v>
      </c>
    </row>
    <row r="277" customFormat="false" ht="15" hidden="false" customHeight="false" outlineLevel="1" collapsed="false">
      <c r="A277" s="24" t="n">
        <v>1</v>
      </c>
      <c r="B277" s="24" t="s">
        <v>1371</v>
      </c>
      <c r="C277" s="40" t="s">
        <v>3289</v>
      </c>
      <c r="D277" s="24" t="s">
        <v>82</v>
      </c>
      <c r="E277" s="24" t="s">
        <v>366</v>
      </c>
      <c r="F277" s="41" t="n">
        <f aca="false">INDEX((BOM_COEF!R463~BOM_COEF!S463~BOM_COEF!T463~BOM_COEF!U463~BOM_COEF!V463~BOM_COEF!W463~BOM_COEF!X463~BOM_COEF!Y463~BOM_COEF!Z463~BOM_COEF!AA463),1,1,INDEX(P_VAL,MATCH("AÑO_DIS",P_ID,0))-2025)</f>
        <v>1</v>
      </c>
      <c r="G277" s="24" t="s">
        <v>582</v>
      </c>
      <c r="H277" s="42" t="n">
        <f aca="false">BOM_COEF!R463*DEMANDA!F47*(1-INDEX(PY_VAL,MATCH("P_CABA_REC",PY_ID,0),1))</f>
        <v>0.742623521126174</v>
      </c>
      <c r="I277" s="42" t="n">
        <f aca="false">BOM_COEF!S463*DEMANDA!G47*(1-INDEX(PY_VAL,MATCH("P_CABA_REC",PY_ID,0),2))</f>
        <v>2.22921781646</v>
      </c>
      <c r="J277" s="42" t="n">
        <f aca="false">BOM_COEF!T463*DEMANDA!H47*(1-INDEX(PY_VAL,MATCH("P_CABA_REC",PY_ID,0),3))</f>
        <v>5.20434395045868</v>
      </c>
      <c r="K277" s="42" t="n">
        <f aca="false">BOM_COEF!U463*DEMANDA!I47*(1-INDEX(PY_VAL,MATCH("P_CABA_REC",PY_ID,0),4))</f>
        <v>8.92599880509031</v>
      </c>
      <c r="L277" s="42" t="n">
        <f aca="false">BOM_COEF!V463*DEMANDA!J47*(1-INDEX(PY_VAL,MATCH("P_CABA_REC",PY_ID,0),5))</f>
        <v>12.6501996304342</v>
      </c>
      <c r="M277" s="42" t="n">
        <f aca="false">BOM_COEF!W463*DEMANDA!K47*(1-INDEX(PY_VAL,MATCH("P_CABA_REC",PY_ID,0),6))</f>
        <v>17.1202591908617</v>
      </c>
      <c r="N277" s="42" t="n">
        <f aca="false">BOM_COEF!X463*DEMANDA!L47*(1-INDEX(PY_VAL,MATCH("P_CABA_REC",PY_ID,0),7))</f>
        <v>20.8462651393736</v>
      </c>
      <c r="O277" s="42" t="n">
        <f aca="false">BOM_COEF!Y463*DEMANDA!M47*(1-INDEX(PY_VAL,MATCH("P_CABA_REC",PY_ID,0),8))</f>
        <v>23.0816506063656</v>
      </c>
      <c r="P277" s="42" t="n">
        <f aca="false">BOM_COEF!Z463*DEMANDA!N47*(1-INDEX(PY_VAL,MATCH("P_CABA_REC",PY_ID,0),9))</f>
        <v>25.3137842422901</v>
      </c>
      <c r="Q277" s="42" t="n">
        <f aca="false">BOM_COEF!AA463*DEMANDA!O47*(1-INDEX(PY_VAL,MATCH("P_CABA_REC",PY_ID,0),10))</f>
        <v>26.7967543211562</v>
      </c>
      <c r="R277" s="24" t="s">
        <v>3288</v>
      </c>
    </row>
    <row r="278" customFormat="false" ht="15" hidden="false" customHeight="false" outlineLevel="1" collapsed="false">
      <c r="A278" s="24" t="n">
        <v>1</v>
      </c>
      <c r="B278" s="24" t="s">
        <v>1371</v>
      </c>
      <c r="C278" s="40" t="s">
        <v>3290</v>
      </c>
      <c r="D278" s="24" t="s">
        <v>82</v>
      </c>
      <c r="E278" s="24" t="s">
        <v>303</v>
      </c>
      <c r="F278" s="41" t="n">
        <f aca="false">INDEX((BOM_COEF!R478~BOM_COEF!S478~BOM_COEF!T478~BOM_COEF!U478~BOM_COEF!V478~BOM_COEF!W478~BOM_COEF!X478~BOM_COEF!Y478~BOM_COEF!Z478~BOM_COEF!AA478),1,1,INDEX(P_VAL,MATCH("AÑO_DIS",P_ID,0))-2025)</f>
        <v>1</v>
      </c>
      <c r="G278" s="24" t="s">
        <v>582</v>
      </c>
      <c r="H278" s="42" t="n">
        <f aca="false">BOM_COEF!R478*DEMANDA!F26*(1-INDEX(PY_VAL,MATCH("P_CABA_REC",PY_ID,0),1))</f>
        <v>6.28714088509228</v>
      </c>
      <c r="I278" s="42" t="n">
        <f aca="false">BOM_COEF!S478*DEMANDA!G26*(1-INDEX(PY_VAL,MATCH("P_CABA_REC",PY_ID,0),2))</f>
        <v>30.6696926393179</v>
      </c>
      <c r="J278" s="42" t="n">
        <f aca="false">BOM_COEF!T478*DEMANDA!H26*(1-INDEX(PY_VAL,MATCH("P_CABA_REC",PY_ID,0),3))</f>
        <v>66.68801156234</v>
      </c>
      <c r="K278" s="42" t="n">
        <f aca="false">BOM_COEF!U478*DEMANDA!I26*(1-INDEX(PY_VAL,MATCH("P_CABA_REC",PY_ID,0),4))</f>
        <v>120.173799894852</v>
      </c>
      <c r="L278" s="42" t="n">
        <f aca="false">BOM_COEF!V478*DEMANDA!J26*(1-INDEX(PY_VAL,MATCH("P_CABA_REC",PY_ID,0),5))</f>
        <v>172.923501419608</v>
      </c>
      <c r="M278" s="42" t="n">
        <f aca="false">BOM_COEF!W478*DEMANDA!K26*(1-INDEX(PY_VAL,MATCH("P_CABA_REC",PY_ID,0),6))</f>
        <v>229.81773318635</v>
      </c>
      <c r="N278" s="42" t="n">
        <f aca="false">BOM_COEF!X478*DEMANDA!L26*(1-INDEX(PY_VAL,MATCH("P_CABA_REC",PY_ID,0),7))</f>
        <v>283.187009222878</v>
      </c>
      <c r="O278" s="42" t="n">
        <f aca="false">BOM_COEF!Y478*DEMANDA!M26*(1-INDEX(PY_VAL,MATCH("P_CABA_REC",PY_ID,0),8))</f>
        <v>317.964851339788</v>
      </c>
      <c r="P278" s="42" t="n">
        <f aca="false">BOM_COEF!Z478*DEMANDA!N26*(1-INDEX(PY_VAL,MATCH("P_CABA_REC",PY_ID,0),9))</f>
        <v>344.974265713103</v>
      </c>
      <c r="Q278" s="42" t="n">
        <f aca="false">BOM_COEF!AA478*DEMANDA!O26*(1-INDEX(PY_VAL,MATCH("P_CABA_REC",PY_ID,0),10))</f>
        <v>372.274695965837</v>
      </c>
      <c r="R278" s="24" t="s">
        <v>3291</v>
      </c>
    </row>
    <row r="279" customFormat="false" ht="15" hidden="false" customHeight="false" outlineLevel="1" collapsed="false">
      <c r="A279" s="24" t="n">
        <v>1</v>
      </c>
      <c r="B279" s="24" t="s">
        <v>1371</v>
      </c>
      <c r="C279" s="40" t="s">
        <v>3292</v>
      </c>
      <c r="D279" s="24" t="s">
        <v>82</v>
      </c>
      <c r="E279" s="24" t="s">
        <v>306</v>
      </c>
      <c r="F279" s="41" t="n">
        <f aca="false">INDEX((BOM_COEF!R493~BOM_COEF!S493~BOM_COEF!T493~BOM_COEF!U493~BOM_COEF!V493~BOM_COEF!W493~BOM_COEF!X493~BOM_COEF!Y493~BOM_COEF!Z493~BOM_COEF!AA493),1,1,INDEX(P_VAL,MATCH("AÑO_DIS",P_ID,0))-2025)</f>
        <v>1</v>
      </c>
      <c r="G279" s="24" t="s">
        <v>582</v>
      </c>
      <c r="H279" s="42" t="n">
        <f aca="false">BOM_COEF!R493*DEMANDA!F27*(1-INDEX(PY_VAL,MATCH("P_CABA_REC",PY_ID,0),1))</f>
        <v>4.19142725672818</v>
      </c>
      <c r="I279" s="42" t="n">
        <f aca="false">BOM_COEF!S493*DEMANDA!G27*(1-INDEX(PY_VAL,MATCH("P_CABA_REC",PY_ID,0),2))</f>
        <v>20.4464617620221</v>
      </c>
      <c r="J279" s="42" t="n">
        <f aca="false">BOM_COEF!T493*DEMANDA!H27*(1-INDEX(PY_VAL,MATCH("P_CABA_REC",PY_ID,0),3))</f>
        <v>44.4586743773716</v>
      </c>
      <c r="K279" s="42" t="n">
        <f aca="false">BOM_COEF!U493*DEMANDA!I27*(1-INDEX(PY_VAL,MATCH("P_CABA_REC",PY_ID,0),4))</f>
        <v>80.1158665469793</v>
      </c>
      <c r="L279" s="42" t="n">
        <f aca="false">BOM_COEF!V493*DEMANDA!J27*(1-INDEX(PY_VAL,MATCH("P_CABA_REC",PY_ID,0),5))</f>
        <v>115.282334304543</v>
      </c>
      <c r="M279" s="42" t="n">
        <f aca="false">BOM_COEF!W493*DEMANDA!K27*(1-INDEX(PY_VAL,MATCH("P_CABA_REC",PY_ID,0),6))</f>
        <v>153.211822099421</v>
      </c>
      <c r="N279" s="42" t="n">
        <f aca="false">BOM_COEF!X493*DEMANDA!L27*(1-INDEX(PY_VAL,MATCH("P_CABA_REC",PY_ID,0),7))</f>
        <v>188.791339457102</v>
      </c>
      <c r="O279" s="42" t="n">
        <f aca="false">BOM_COEF!Y493*DEMANDA!M27*(1-INDEX(PY_VAL,MATCH("P_CABA_REC",PY_ID,0),8))</f>
        <v>211.976567559859</v>
      </c>
      <c r="P279" s="42" t="n">
        <f aca="false">BOM_COEF!Z493*DEMANDA!N27*(1-INDEX(PY_VAL,MATCH("P_CABA_REC",PY_ID,0),9))</f>
        <v>229.9828437591</v>
      </c>
      <c r="Q279" s="42" t="n">
        <f aca="false">BOM_COEF!AA493*DEMANDA!O27*(1-INDEX(PY_VAL,MATCH("P_CABA_REC",PY_ID,0),10))</f>
        <v>248.183130668703</v>
      </c>
      <c r="R279" s="24" t="s">
        <v>3293</v>
      </c>
    </row>
    <row r="280" customFormat="false" ht="15" hidden="false" customHeight="false" outlineLevel="1" collapsed="false">
      <c r="A280" s="24" t="n">
        <v>1</v>
      </c>
      <c r="B280" s="24" t="s">
        <v>1371</v>
      </c>
      <c r="C280" s="40" t="s">
        <v>3294</v>
      </c>
      <c r="D280" s="24" t="s">
        <v>82</v>
      </c>
      <c r="E280" s="24" t="s">
        <v>369</v>
      </c>
      <c r="F280" s="41" t="n">
        <f aca="false">INDEX((BOM_COEF!R493~BOM_COEF!S493~BOM_COEF!T493~BOM_COEF!U493~BOM_COEF!V493~BOM_COEF!W493~BOM_COEF!X493~BOM_COEF!Y493~BOM_COEF!Z493~BOM_COEF!AA493),1,1,INDEX(P_VAL,MATCH("AÑO_DIS",P_ID,0))-2025)</f>
        <v>1</v>
      </c>
      <c r="G280" s="24" t="s">
        <v>582</v>
      </c>
      <c r="H280" s="42" t="n">
        <f aca="false">BOM_COEF!R493*DEMANDA!F48*(1-INDEX(PY_VAL,MATCH("P_CABA_REC",PY_ID,0),1))</f>
        <v>0.742623521126174</v>
      </c>
      <c r="I280" s="42" t="n">
        <f aca="false">BOM_COEF!S493*DEMANDA!G48*(1-INDEX(PY_VAL,MATCH("P_CABA_REC",PY_ID,0),2))</f>
        <v>0.743072605486667</v>
      </c>
      <c r="J280" s="42" t="n">
        <f aca="false">BOM_COEF!T493*DEMANDA!H48*(1-INDEX(PY_VAL,MATCH("P_CABA_REC",PY_ID,0),3))</f>
        <v>1.48695541441677</v>
      </c>
      <c r="K280" s="42" t="n">
        <f aca="false">BOM_COEF!U493*DEMANDA!I48*(1-INDEX(PY_VAL,MATCH("P_CABA_REC",PY_ID,0),4))</f>
        <v>2.23149970127258</v>
      </c>
      <c r="L280" s="42" t="n">
        <f aca="false">BOM_COEF!V493*DEMANDA!J48*(1-INDEX(PY_VAL,MATCH("P_CABA_REC",PY_ID,0),5))</f>
        <v>3.7206469501277</v>
      </c>
      <c r="M280" s="42" t="n">
        <f aca="false">BOM_COEF!W493*DEMANDA!K48*(1-INDEX(PY_VAL,MATCH("P_CABA_REC",PY_ID,0),6))</f>
        <v>4.46615457152913</v>
      </c>
      <c r="N280" s="42" t="n">
        <f aca="false">BOM_COEF!X493*DEMANDA!L48*(1-INDEX(PY_VAL,MATCH("P_CABA_REC",PY_ID,0),7))</f>
        <v>5.21156628484341</v>
      </c>
      <c r="O280" s="42" t="n">
        <f aca="false">BOM_COEF!Y493*DEMANDA!M48*(1-INDEX(PY_VAL,MATCH("P_CABA_REC",PY_ID,0),8))</f>
        <v>5.95655499519113</v>
      </c>
      <c r="P280" s="42" t="n">
        <f aca="false">BOM_COEF!Z493*DEMANDA!N48*(1-INDEX(PY_VAL,MATCH("P_CABA_REC",PY_ID,0),9))</f>
        <v>6.70070759354737</v>
      </c>
      <c r="Q280" s="42" t="n">
        <f aca="false">BOM_COEF!AA493*DEMANDA!O48*(1-INDEX(PY_VAL,MATCH("P_CABA_REC",PY_ID,0),10))</f>
        <v>6.69918858028904</v>
      </c>
      <c r="R280" s="24" t="s">
        <v>3293</v>
      </c>
    </row>
    <row r="281" customFormat="false" ht="15" hidden="false" customHeight="false" outlineLevel="1" collapsed="false">
      <c r="A281" s="24" t="n">
        <v>1</v>
      </c>
      <c r="B281" s="24" t="s">
        <v>1371</v>
      </c>
      <c r="C281" s="40" t="s">
        <v>3295</v>
      </c>
      <c r="D281" s="24" t="s">
        <v>82</v>
      </c>
      <c r="E281" s="24" t="s">
        <v>309</v>
      </c>
      <c r="F281" s="41" t="n">
        <f aca="false">INDEX((BOM_COEF!R506~BOM_COEF!S506~BOM_COEF!T506~BOM_COEF!U506~BOM_COEF!V506~BOM_COEF!W506~BOM_COEF!X506~BOM_COEF!Y506~BOM_COEF!Z506~BOM_COEF!AA506),1,1,INDEX(P_VAL,MATCH("AÑO_DIS",P_ID,0))-2025)</f>
        <v>1</v>
      </c>
      <c r="G281" s="24" t="s">
        <v>582</v>
      </c>
      <c r="H281" s="42" t="n">
        <f aca="false">BOM_COEF!R506*DEMANDA!F28*(1-INDEX(PY_VAL,MATCH("P_CABA_REC",PY_ID,0),1))</f>
        <v>118.30641447448</v>
      </c>
      <c r="I281" s="42" t="n">
        <f aca="false">BOM_COEF!S506*DEMANDA!G28*(1-INDEX(PY_VAL,MATCH("P_CABA_REC",PY_ID,0),2))</f>
        <v>478.110407636786</v>
      </c>
      <c r="J281" s="42" t="n">
        <f aca="false">BOM_COEF!T506*DEMANDA!H28*(1-INDEX(PY_VAL,MATCH("P_CABA_REC",PY_ID,0),3))</f>
        <v>1096.15583027215</v>
      </c>
      <c r="K281" s="42" t="n">
        <f aca="false">BOM_COEF!U506*DEMANDA!I28*(1-INDEX(PY_VAL,MATCH("P_CABA_REC",PY_ID,0),4))</f>
        <v>2057.77834584756</v>
      </c>
      <c r="L281" s="42" t="n">
        <f aca="false">BOM_COEF!V506*DEMANDA!J28*(1-INDEX(PY_VAL,MATCH("P_CABA_REC",PY_ID,0),5))</f>
        <v>2970.16658021089</v>
      </c>
      <c r="M281" s="42" t="n">
        <f aca="false">BOM_COEF!W506*DEMANDA!K28*(1-INDEX(PY_VAL,MATCH("P_CABA_REC",PY_ID,0),6))</f>
        <v>3971.71834490166</v>
      </c>
      <c r="N281" s="42" t="n">
        <f aca="false">BOM_COEF!X506*DEMANDA!L28*(1-INDEX(PY_VAL,MATCH("P_CABA_REC",PY_ID,0),7))</f>
        <v>4868.3168104952</v>
      </c>
      <c r="O281" s="42" t="n">
        <f aca="false">BOM_COEF!Y506*DEMANDA!M28*(1-INDEX(PY_VAL,MATCH("P_CABA_REC",PY_ID,0),8))</f>
        <v>5412.88509187492</v>
      </c>
      <c r="P281" s="42" t="n">
        <f aca="false">BOM_COEF!Z506*DEMANDA!N28*(1-INDEX(PY_VAL,MATCH("P_CABA_REC",PY_ID,0),9))</f>
        <v>5848.55730807103</v>
      </c>
      <c r="Q281" s="42" t="n">
        <f aca="false">BOM_COEF!AA506*DEMANDA!O28*(1-INDEX(PY_VAL,MATCH("P_CABA_REC",PY_ID,0),10))</f>
        <v>6290.39968728678</v>
      </c>
      <c r="R281" s="24" t="s">
        <v>3296</v>
      </c>
    </row>
    <row r="282" customFormat="false" ht="15" hidden="false" customHeight="false" outlineLevel="1" collapsed="false">
      <c r="A282" s="24" t="n">
        <v>1</v>
      </c>
      <c r="B282" s="24" t="s">
        <v>1371</v>
      </c>
      <c r="C282" s="40" t="s">
        <v>3297</v>
      </c>
      <c r="D282" s="24" t="s">
        <v>82</v>
      </c>
      <c r="E282" s="24" t="s">
        <v>342</v>
      </c>
      <c r="F282" s="41" t="n">
        <f aca="false">INDEX((BOM_COEF!R506~BOM_COEF!S506~BOM_COEF!T506~BOM_COEF!U506~BOM_COEF!V506~BOM_COEF!W506~BOM_COEF!X506~BOM_COEF!Y506~BOM_COEF!Z506~BOM_COEF!AA506),1,1,INDEX(P_VAL,MATCH("AÑO_DIS",P_ID,0))-2025)</f>
        <v>1</v>
      </c>
      <c r="G282" s="24" t="s">
        <v>582</v>
      </c>
      <c r="H282" s="42" t="n">
        <f aca="false">BOM_COEF!R506*DEMANDA!F39*(1-INDEX(PY_VAL,MATCH("P_CABA_REC",PY_ID,0),1))</f>
        <v>1.48524704225235</v>
      </c>
      <c r="I282" s="42" t="n">
        <f aca="false">BOM_COEF!S506*DEMANDA!G39*(1-INDEX(PY_VAL,MATCH("P_CABA_REC",PY_ID,0),2))</f>
        <v>5.20150823840667</v>
      </c>
      <c r="J282" s="42" t="n">
        <f aca="false">BOM_COEF!T506*DEMANDA!H39*(1-INDEX(PY_VAL,MATCH("P_CABA_REC",PY_ID,0),3))</f>
        <v>11.8956433153341</v>
      </c>
      <c r="K282" s="42" t="n">
        <f aca="false">BOM_COEF!U506*DEMANDA!I39*(1-INDEX(PY_VAL,MATCH("P_CABA_REC",PY_ID,0),4))</f>
        <v>22.3149970127258</v>
      </c>
      <c r="L282" s="42" t="n">
        <f aca="false">BOM_COEF!V506*DEMANDA!J39*(1-INDEX(PY_VAL,MATCH("P_CABA_REC",PY_ID,0),5))</f>
        <v>32.7416931611238</v>
      </c>
      <c r="M282" s="42" t="n">
        <f aca="false">BOM_COEF!W506*DEMANDA!K39*(1-INDEX(PY_VAL,MATCH("P_CABA_REC",PY_ID,0),6))</f>
        <v>43.1728275247816</v>
      </c>
      <c r="N282" s="42" t="n">
        <f aca="false">BOM_COEF!X506*DEMANDA!L39*(1-INDEX(PY_VAL,MATCH("P_CABA_REC",PY_ID,0),7))</f>
        <v>52.8601723176975</v>
      </c>
      <c r="O282" s="42" t="n">
        <f aca="false">BOM_COEF!Y506*DEMANDA!M39*(1-INDEX(PY_VAL,MATCH("P_CABA_REC",PY_ID,0),8))</f>
        <v>58.8209805775124</v>
      </c>
      <c r="P282" s="42" t="n">
        <f aca="false">BOM_COEF!Z506*DEMANDA!N39*(1-INDEX(PY_VAL,MATCH("P_CABA_REC",PY_ID,0),9))</f>
        <v>63.2844606057251</v>
      </c>
      <c r="Q282" s="42" t="n">
        <f aca="false">BOM_COEF!AA506*DEMANDA!O39*(1-INDEX(PY_VAL,MATCH("P_CABA_REC",PY_ID,0),10))</f>
        <v>68.4805943762879</v>
      </c>
      <c r="R282" s="24" t="s">
        <v>3296</v>
      </c>
    </row>
    <row r="283" customFormat="false" ht="15" hidden="false" customHeight="false" outlineLevel="1" collapsed="false">
      <c r="A283" s="24" t="n">
        <v>1</v>
      </c>
      <c r="B283" s="24" t="s">
        <v>1371</v>
      </c>
      <c r="C283" s="40" t="s">
        <v>3298</v>
      </c>
      <c r="D283" s="24" t="s">
        <v>82</v>
      </c>
      <c r="E283" s="24" t="s">
        <v>312</v>
      </c>
      <c r="F283" s="41" t="n">
        <f aca="false">INDEX((BOM_COEF!R520~BOM_COEF!S520~BOM_COEF!T520~BOM_COEF!U520~BOM_COEF!V520~BOM_COEF!W520~BOM_COEF!X520~BOM_COEF!Y520~BOM_COEF!Z520~BOM_COEF!AA520),1,1,INDEX(P_VAL,MATCH("AÑO_DIS",P_ID,0))-2025)</f>
        <v>1</v>
      </c>
      <c r="G283" s="24" t="s">
        <v>582</v>
      </c>
      <c r="H283" s="42" t="n">
        <f aca="false">BOM_COEF!R520*DEMANDA!F29*(1-INDEX(PY_VAL,MATCH("P_CABA_REC",PY_ID,0),1))</f>
        <v>16.9009163556189</v>
      </c>
      <c r="I283" s="42" t="n">
        <f aca="false">BOM_COEF!S520*DEMANDA!G29*(1-INDEX(PY_VAL,MATCH("P_CABA_REC",PY_ID,0),2))</f>
        <v>119.869315401608</v>
      </c>
      <c r="J283" s="42" t="n">
        <f aca="false">BOM_COEF!T520*DEMANDA!H29*(1-INDEX(PY_VAL,MATCH("P_CABA_REC",PY_ID,0),3))</f>
        <v>235.390451720319</v>
      </c>
      <c r="K283" s="42" t="n">
        <f aca="false">BOM_COEF!U520*DEMANDA!I29*(1-INDEX(PY_VAL,MATCH("P_CABA_REC",PY_ID,0),4))</f>
        <v>392.293645586538</v>
      </c>
      <c r="L283" s="42" t="n">
        <f aca="false">BOM_COEF!V520*DEMANDA!J29*(1-INDEX(PY_VAL,MATCH("P_CABA_REC",PY_ID,0),5))</f>
        <v>553.475214917958</v>
      </c>
      <c r="M283" s="42" t="n">
        <f aca="false">BOM_COEF!W520*DEMANDA!K29*(1-INDEX(PY_VAL,MATCH("P_CABA_REC",PY_ID,0),6))</f>
        <v>716.724268993592</v>
      </c>
      <c r="N283" s="42" t="n">
        <f aca="false">BOM_COEF!X520*DEMANDA!L29*(1-INDEX(PY_VAL,MATCH("P_CABA_REC",PY_ID,0),7))</f>
        <v>889.64578833394</v>
      </c>
      <c r="O283" s="42" t="n">
        <f aca="false">BOM_COEF!Y520*DEMANDA!M29*(1-INDEX(PY_VAL,MATCH("P_CABA_REC",PY_ID,0),8))</f>
        <v>1006.3727603731</v>
      </c>
      <c r="P283" s="42" t="n">
        <f aca="false">BOM_COEF!Z520*DEMANDA!N29*(1-INDEX(PY_VAL,MATCH("P_CABA_REC",PY_ID,0),9))</f>
        <v>1100.0692073377</v>
      </c>
      <c r="Q283" s="42" t="n">
        <f aca="false">BOM_COEF!AA520*DEMANDA!O29*(1-INDEX(PY_VAL,MATCH("P_CABA_REC",PY_ID,0),10))</f>
        <v>1194.27285022279</v>
      </c>
      <c r="R283" s="24" t="s">
        <v>3299</v>
      </c>
    </row>
    <row r="284" customFormat="false" ht="15" hidden="false" customHeight="false" outlineLevel="1" collapsed="false">
      <c r="A284" s="24" t="n">
        <v>1</v>
      </c>
      <c r="B284" s="24" t="s">
        <v>1371</v>
      </c>
      <c r="C284" s="40" t="s">
        <v>3300</v>
      </c>
      <c r="D284" s="24" t="s">
        <v>82</v>
      </c>
      <c r="E284" s="24" t="s">
        <v>345</v>
      </c>
      <c r="F284" s="41" t="n">
        <f aca="false">INDEX((BOM_COEF!R520~BOM_COEF!S520~BOM_COEF!T520~BOM_COEF!U520~BOM_COEF!V520~BOM_COEF!W520~BOM_COEF!X520~BOM_COEF!Y520~BOM_COEF!Z520~BOM_COEF!AA520),1,1,INDEX(P_VAL,MATCH("AÑO_DIS",P_ID,0))-2025)</f>
        <v>1</v>
      </c>
      <c r="G284" s="24" t="s">
        <v>582</v>
      </c>
      <c r="H284" s="42" t="n">
        <f aca="false">BOM_COEF!R520*DEMANDA!F40*(1-INDEX(PY_VAL,MATCH("P_CABA_REC",PY_ID,0),1))</f>
        <v>0.742623521126174</v>
      </c>
      <c r="I284" s="42" t="n">
        <f aca="false">BOM_COEF!S520*DEMANDA!G40*(1-INDEX(PY_VAL,MATCH("P_CABA_REC",PY_ID,0),2))</f>
        <v>1.48614521097333</v>
      </c>
      <c r="J284" s="42" t="n">
        <f aca="false">BOM_COEF!T520*DEMANDA!H40*(1-INDEX(PY_VAL,MATCH("P_CABA_REC",PY_ID,0),3))</f>
        <v>2.97391082883353</v>
      </c>
      <c r="K284" s="42" t="n">
        <f aca="false">BOM_COEF!U520*DEMANDA!I40*(1-INDEX(PY_VAL,MATCH("P_CABA_REC",PY_ID,0),4))</f>
        <v>4.46299940254516</v>
      </c>
      <c r="L284" s="42" t="n">
        <f aca="false">BOM_COEF!V520*DEMANDA!J40*(1-INDEX(PY_VAL,MATCH("P_CABA_REC",PY_ID,0),5))</f>
        <v>6.69716451022986</v>
      </c>
      <c r="M284" s="42" t="n">
        <f aca="false">BOM_COEF!W520*DEMANDA!K40*(1-INDEX(PY_VAL,MATCH("P_CABA_REC",PY_ID,0),6))</f>
        <v>8.18795004780341</v>
      </c>
      <c r="N284" s="42" t="n">
        <f aca="false">BOM_COEF!X520*DEMANDA!L40*(1-INDEX(PY_VAL,MATCH("P_CABA_REC",PY_ID,0),7))</f>
        <v>9.67862310042348</v>
      </c>
      <c r="O284" s="42" t="n">
        <f aca="false">BOM_COEF!Y520*DEMANDA!M40*(1-INDEX(PY_VAL,MATCH("P_CABA_REC",PY_ID,0),8))</f>
        <v>11.1685406159834</v>
      </c>
      <c r="P284" s="42" t="n">
        <f aca="false">BOM_COEF!Z520*DEMANDA!N40*(1-INDEX(PY_VAL,MATCH("P_CABA_REC",PY_ID,0),9))</f>
        <v>11.9123690551953</v>
      </c>
      <c r="Q284" s="42" t="n">
        <f aca="false">BOM_COEF!AA520*DEMANDA!O40*(1-INDEX(PY_VAL,MATCH("P_CABA_REC",PY_ID,0),10))</f>
        <v>13.3983771605781</v>
      </c>
      <c r="R284" s="24" t="s">
        <v>3299</v>
      </c>
    </row>
    <row r="285" customFormat="false" ht="15" hidden="false" customHeight="false" outlineLevel="1" collapsed="false">
      <c r="A285" s="24" t="n">
        <v>1</v>
      </c>
      <c r="B285" s="24" t="s">
        <v>1371</v>
      </c>
      <c r="C285" s="40" t="s">
        <v>3301</v>
      </c>
      <c r="D285" s="24" t="s">
        <v>82</v>
      </c>
      <c r="E285" s="24" t="s">
        <v>315</v>
      </c>
      <c r="F285" s="41" t="n">
        <f aca="false">INDEX((BOM_COEF!R534~BOM_COEF!S534~BOM_COEF!T534~BOM_COEF!U534~BOM_COEF!V534~BOM_COEF!W534~BOM_COEF!X534~BOM_COEF!Y534~BOM_COEF!Z534~BOM_COEF!AA534),1,1,INDEX(P_VAL,MATCH("AÑO_DIS",P_ID,0))-2025)</f>
        <v>1</v>
      </c>
      <c r="G285" s="24" t="s">
        <v>582</v>
      </c>
      <c r="H285" s="42" t="n">
        <f aca="false">BOM_COEF!R534*DEMANDA!F30*(1-INDEX(PY_VAL,MATCH("P_CABA_REC",PY_ID,0),1))</f>
        <v>8.45045817780947</v>
      </c>
      <c r="I285" s="42" t="n">
        <f aca="false">BOM_COEF!S534*DEMANDA!G30*(1-INDEX(PY_VAL,MATCH("P_CABA_REC",PY_ID,0),2))</f>
        <v>61.8411175766656</v>
      </c>
      <c r="J285" s="42" t="n">
        <f aca="false">BOM_COEF!T534*DEMANDA!H30*(1-INDEX(PY_VAL,MATCH("P_CABA_REC",PY_ID,0),3))</f>
        <v>122.275193997977</v>
      </c>
      <c r="K285" s="42" t="n">
        <f aca="false">BOM_COEF!U534*DEMANDA!I30*(1-INDEX(PY_VAL,MATCH("P_CABA_REC",PY_ID,0),4))</f>
        <v>209.270893897545</v>
      </c>
      <c r="L285" s="42" t="n">
        <f aca="false">BOM_COEF!V534*DEMANDA!J30*(1-INDEX(PY_VAL,MATCH("P_CABA_REC",PY_ID,0),5))</f>
        <v>296.83508077624</v>
      </c>
      <c r="M285" s="42" t="n">
        <f aca="false">BOM_COEF!W534*DEMANDA!K30*(1-INDEX(PY_VAL,MATCH("P_CABA_REC",PY_ID,0),6))</f>
        <v>382.993063899921</v>
      </c>
      <c r="N285" s="42" t="n">
        <f aca="false">BOM_COEF!X534*DEMANDA!L30*(1-INDEX(PY_VAL,MATCH("P_CABA_REC",PY_ID,0),7))</f>
        <v>468.345225333879</v>
      </c>
      <c r="O285" s="42" t="n">
        <f aca="false">BOM_COEF!Y534*DEMANDA!M30*(1-INDEX(PY_VAL,MATCH("P_CABA_REC",PY_ID,0),8))</f>
        <v>529.521376192549</v>
      </c>
      <c r="P285" s="42" t="n">
        <f aca="false">BOM_COEF!Z534*DEMANDA!N30*(1-INDEX(PY_VAL,MATCH("P_CABA_REC",PY_ID,0),9))</f>
        <v>575.822313919863</v>
      </c>
      <c r="Q285" s="42" t="n">
        <f aca="false">BOM_COEF!AA534*DEMANDA!O30*(1-INDEX(PY_VAL,MATCH("P_CABA_REC",PY_ID,0),10))</f>
        <v>622.541306960163</v>
      </c>
      <c r="R285" s="24" t="s">
        <v>3302</v>
      </c>
    </row>
    <row r="286" customFormat="false" ht="15" hidden="false" customHeight="false" outlineLevel="1" collapsed="false">
      <c r="A286" s="24" t="n">
        <v>1</v>
      </c>
      <c r="B286" s="24" t="s">
        <v>1371</v>
      </c>
      <c r="C286" s="40" t="s">
        <v>3303</v>
      </c>
      <c r="D286" s="24" t="s">
        <v>82</v>
      </c>
      <c r="E286" s="24" t="s">
        <v>348</v>
      </c>
      <c r="F286" s="41" t="n">
        <f aca="false">INDEX((BOM_COEF!R534~BOM_COEF!S534~BOM_COEF!T534~BOM_COEF!U534~BOM_COEF!V534~BOM_COEF!W534~BOM_COEF!X534~BOM_COEF!Y534~BOM_COEF!Z534~BOM_COEF!AA534),1,1,INDEX(P_VAL,MATCH("AÑO_DIS",P_ID,0))-2025)</f>
        <v>1</v>
      </c>
      <c r="G286" s="24" t="s">
        <v>582</v>
      </c>
      <c r="H286" s="42" t="n">
        <f aca="false">BOM_COEF!R534*DEMANDA!F41*(1-INDEX(PY_VAL,MATCH("P_CABA_REC",PY_ID,0),1))</f>
        <v>0.742623521126174</v>
      </c>
      <c r="I286" s="42" t="n">
        <f aca="false">BOM_COEF!S534*DEMANDA!G41*(1-INDEX(PY_VAL,MATCH("P_CABA_REC",PY_ID,0),2))</f>
        <v>0.743072605486667</v>
      </c>
      <c r="J286" s="42" t="n">
        <f aca="false">BOM_COEF!T534*DEMANDA!H41*(1-INDEX(PY_VAL,MATCH("P_CABA_REC",PY_ID,0),3))</f>
        <v>1.48695541441677</v>
      </c>
      <c r="K286" s="42" t="n">
        <f aca="false">BOM_COEF!U534*DEMANDA!I41*(1-INDEX(PY_VAL,MATCH("P_CABA_REC",PY_ID,0),4))</f>
        <v>2.9753329350301</v>
      </c>
      <c r="L286" s="42" t="n">
        <f aca="false">BOM_COEF!V534*DEMANDA!J41*(1-INDEX(PY_VAL,MATCH("P_CABA_REC",PY_ID,0),5))</f>
        <v>3.7206469501277</v>
      </c>
      <c r="M286" s="42" t="n">
        <f aca="false">BOM_COEF!W534*DEMANDA!K41*(1-INDEX(PY_VAL,MATCH("P_CABA_REC",PY_ID,0),6))</f>
        <v>4.46615457152913</v>
      </c>
      <c r="N286" s="42" t="n">
        <f aca="false">BOM_COEF!X534*DEMANDA!L41*(1-INDEX(PY_VAL,MATCH("P_CABA_REC",PY_ID,0),7))</f>
        <v>5.21156628484341</v>
      </c>
      <c r="O286" s="42" t="n">
        <f aca="false">BOM_COEF!Y534*DEMANDA!M41*(1-INDEX(PY_VAL,MATCH("P_CABA_REC",PY_ID,0),8))</f>
        <v>5.95655499519113</v>
      </c>
      <c r="P286" s="42" t="n">
        <f aca="false">BOM_COEF!Z534*DEMANDA!N41*(1-INDEX(PY_VAL,MATCH("P_CABA_REC",PY_ID,0),9))</f>
        <v>6.70070759354737</v>
      </c>
      <c r="Q286" s="42" t="n">
        <f aca="false">BOM_COEF!AA534*DEMANDA!O41*(1-INDEX(PY_VAL,MATCH("P_CABA_REC",PY_ID,0),10))</f>
        <v>7.44354286698782</v>
      </c>
      <c r="R286" s="24" t="s">
        <v>3302</v>
      </c>
    </row>
    <row r="287" customFormat="false" ht="15" hidden="false" customHeight="false" outlineLevel="1" collapsed="false">
      <c r="A287" s="24" t="n">
        <v>1</v>
      </c>
      <c r="B287" s="24" t="s">
        <v>1371</v>
      </c>
      <c r="C287" s="40" t="s">
        <v>3304</v>
      </c>
      <c r="D287" s="24" t="s">
        <v>82</v>
      </c>
      <c r="E287" s="24" t="s">
        <v>318</v>
      </c>
      <c r="F287" s="41" t="n">
        <f aca="false">INDEX((BOM_COEF!R549~BOM_COEF!S549~BOM_COEF!T549~BOM_COEF!U549~BOM_COEF!V549~BOM_COEF!W549~BOM_COEF!X549~BOM_COEF!Y549~BOM_COEF!Z549~BOM_COEF!AA549),1,1,INDEX(P_VAL,MATCH("AÑO_DIS",P_ID,0))-2025)</f>
        <v>1</v>
      </c>
      <c r="G287" s="24" t="s">
        <v>582</v>
      </c>
      <c r="H287" s="42" t="n">
        <f aca="false">BOM_COEF!R549*DEMANDA!F31*(1-INDEX(PY_VAL,MATCH("P_CABA_REC",PY_ID,0),1))</f>
        <v>5.0702749074283</v>
      </c>
      <c r="I287" s="42" t="n">
        <f aca="false">BOM_COEF!S549*DEMANDA!G31*(1-INDEX(PY_VAL,MATCH("P_CABA_REC",PY_ID,0),2))</f>
        <v>34.9787400490823</v>
      </c>
      <c r="J287" s="42" t="n">
        <f aca="false">BOM_COEF!T549*DEMANDA!H31*(1-INDEX(PY_VAL,MATCH("P_CABA_REC",PY_ID,0),3))</f>
        <v>66.0874926779759</v>
      </c>
      <c r="K287" s="42" t="n">
        <f aca="false">BOM_COEF!U549*DEMANDA!I31*(1-INDEX(PY_VAL,MATCH("P_CABA_REC",PY_ID,0),4))</f>
        <v>118.643253896061</v>
      </c>
      <c r="L287" s="42" t="n">
        <f aca="false">BOM_COEF!V549*DEMANDA!J31*(1-INDEX(PY_VAL,MATCH("P_CABA_REC",PY_ID,0),5))</f>
        <v>163.556813649777</v>
      </c>
      <c r="M287" s="42" t="n">
        <f aca="false">BOM_COEF!W549*DEMANDA!K31*(1-INDEX(PY_VAL,MATCH("P_CABA_REC",PY_ID,0),6))</f>
        <v>217.255979785683</v>
      </c>
      <c r="N287" s="42" t="n">
        <f aca="false">BOM_COEF!X549*DEMANDA!L31*(1-INDEX(PY_VAL,MATCH("P_CABA_REC",PY_ID,0),7))</f>
        <v>274.607976651971</v>
      </c>
      <c r="O287" s="42" t="n">
        <f aca="false">BOM_COEF!Y549*DEMANDA!M31*(1-INDEX(PY_VAL,MATCH("P_CABA_REC",PY_ID,0),8))</f>
        <v>304.088798708573</v>
      </c>
      <c r="P287" s="42" t="n">
        <f aca="false">BOM_COEF!Z549*DEMANDA!N31*(1-INDEX(PY_VAL,MATCH("P_CABA_REC",PY_ID,0),9))</f>
        <v>331.894939915258</v>
      </c>
      <c r="Q287" s="42" t="n">
        <f aca="false">BOM_COEF!AA549*DEMANDA!O31*(1-INDEX(PY_VAL,MATCH("P_CABA_REC",PY_ID,0),10))</f>
        <v>359.879817580502</v>
      </c>
      <c r="R287" s="24" t="s">
        <v>3305</v>
      </c>
    </row>
    <row r="288" customFormat="false" ht="15" hidden="false" customHeight="false" outlineLevel="1" collapsed="false">
      <c r="A288" s="24" t="n">
        <v>1</v>
      </c>
      <c r="B288" s="24" t="s">
        <v>1371</v>
      </c>
      <c r="C288" s="40" t="s">
        <v>3306</v>
      </c>
      <c r="D288" s="24" t="s">
        <v>82</v>
      </c>
      <c r="E288" s="24" t="s">
        <v>351</v>
      </c>
      <c r="F288" s="41" t="n">
        <f aca="false">INDEX((BOM_COEF!R549~BOM_COEF!S549~BOM_COEF!T549~BOM_COEF!U549~BOM_COEF!V549~BOM_COEF!W549~BOM_COEF!X549~BOM_COEF!Y549~BOM_COEF!Z549~BOM_COEF!AA549),1,1,INDEX(P_VAL,MATCH("AÑO_DIS",P_ID,0))-2025)</f>
        <v>1</v>
      </c>
      <c r="G288" s="24" t="s">
        <v>582</v>
      </c>
      <c r="H288" s="42" t="n">
        <f aca="false">BOM_COEF!R549*DEMANDA!F42*(1-INDEX(PY_VAL,MATCH("P_CABA_REC",PY_ID,0),1))</f>
        <v>0.742623521126174</v>
      </c>
      <c r="I288" s="42" t="n">
        <f aca="false">BOM_COEF!S549*DEMANDA!G42*(1-INDEX(PY_VAL,MATCH("P_CABA_REC",PY_ID,0),2))</f>
        <v>0.743072605486667</v>
      </c>
      <c r="J288" s="42" t="n">
        <f aca="false">BOM_COEF!T549*DEMANDA!H42*(1-INDEX(PY_VAL,MATCH("P_CABA_REC",PY_ID,0),3))</f>
        <v>0.743477707208383</v>
      </c>
      <c r="K288" s="42" t="n">
        <f aca="false">BOM_COEF!U549*DEMANDA!I42*(1-INDEX(PY_VAL,MATCH("P_CABA_REC",PY_ID,0),4))</f>
        <v>1.48766646751505</v>
      </c>
      <c r="L288" s="42" t="n">
        <f aca="false">BOM_COEF!V549*DEMANDA!J42*(1-INDEX(PY_VAL,MATCH("P_CABA_REC",PY_ID,0),5))</f>
        <v>2.23238817007662</v>
      </c>
      <c r="M288" s="42" t="n">
        <f aca="false">BOM_COEF!W549*DEMANDA!K42*(1-INDEX(PY_VAL,MATCH("P_CABA_REC",PY_ID,0),6))</f>
        <v>2.97743638101942</v>
      </c>
      <c r="N288" s="42" t="n">
        <f aca="false">BOM_COEF!X549*DEMANDA!L42*(1-INDEX(PY_VAL,MATCH("P_CABA_REC",PY_ID,0),7))</f>
        <v>2.97803787705338</v>
      </c>
      <c r="O288" s="42" t="n">
        <f aca="false">BOM_COEF!Y549*DEMANDA!M42*(1-INDEX(PY_VAL,MATCH("P_CABA_REC",PY_ID,0),8))</f>
        <v>3.72284687199446</v>
      </c>
      <c r="P288" s="42" t="n">
        <f aca="false">BOM_COEF!Z549*DEMANDA!N42*(1-INDEX(PY_VAL,MATCH("P_CABA_REC",PY_ID,0),9))</f>
        <v>3.72261532974854</v>
      </c>
      <c r="Q288" s="42" t="n">
        <f aca="false">BOM_COEF!AA549*DEMANDA!O42*(1-INDEX(PY_VAL,MATCH("P_CABA_REC",PY_ID,0),10))</f>
        <v>4.46612572019269</v>
      </c>
      <c r="R288" s="24" t="s">
        <v>3305</v>
      </c>
    </row>
    <row r="289" customFormat="false" ht="15" hidden="false" customHeight="false" outlineLevel="1" collapsed="false">
      <c r="A289" s="24" t="n">
        <v>1</v>
      </c>
      <c r="B289" s="24" t="s">
        <v>1371</v>
      </c>
      <c r="C289" s="40" t="s">
        <v>3307</v>
      </c>
      <c r="D289" s="24" t="s">
        <v>82</v>
      </c>
      <c r="E289" s="24" t="s">
        <v>321</v>
      </c>
      <c r="F289" s="41" t="n">
        <f aca="false">INDEX((BOM_COEF!R561~BOM_COEF!S561~BOM_COEF!T561~BOM_COEF!U561~BOM_COEF!V561~BOM_COEF!W561~BOM_COEF!X561~BOM_COEF!Y561~BOM_COEF!Z561~BOM_COEF!AA561),1,1,INDEX(P_VAL,MATCH("AÑO_DIS",P_ID,0))-2025)</f>
        <v>1</v>
      </c>
      <c r="G289" s="24" t="s">
        <v>582</v>
      </c>
      <c r="H289" s="42" t="n">
        <f aca="false">BOM_COEF!R561*DEMANDA!F32*(1-INDEX(PY_VAL,MATCH("P_CABA_REC",PY_ID,0),1))</f>
        <v>60.8432988906249</v>
      </c>
      <c r="I289" s="42" t="n">
        <f aca="false">BOM_COEF!S561*DEMANDA!G32*(1-INDEX(PY_VAL,MATCH("P_CABA_REC",PY_ID,0),2))</f>
        <v>249.225701285017</v>
      </c>
      <c r="J289" s="42" t="n">
        <f aca="false">BOM_COEF!T561*DEMANDA!H32*(1-INDEX(PY_VAL,MATCH("P_CABA_REC",PY_ID,0),3))</f>
        <v>555.079231024865</v>
      </c>
      <c r="K289" s="42" t="n">
        <f aca="false">BOM_COEF!U561*DEMANDA!I32*(1-INDEX(PY_VAL,MATCH("P_CABA_REC",PY_ID,0),4))</f>
        <v>1010.79486010829</v>
      </c>
      <c r="L289" s="42" t="n">
        <f aca="false">BOM_COEF!V561*DEMANDA!J32*(1-INDEX(PY_VAL,MATCH("P_CABA_REC",PY_ID,0),5))</f>
        <v>1459.33113844938</v>
      </c>
      <c r="M289" s="42" t="n">
        <f aca="false">BOM_COEF!W561*DEMANDA!K32*(1-INDEX(PY_VAL,MATCH("P_CABA_REC",PY_ID,0),6))</f>
        <v>1934.24793441859</v>
      </c>
      <c r="N289" s="42" t="n">
        <f aca="false">BOM_COEF!X561*DEMANDA!L32*(1-INDEX(PY_VAL,MATCH("P_CABA_REC",PY_ID,0),7))</f>
        <v>2380.39293435635</v>
      </c>
      <c r="O289" s="42" t="n">
        <f aca="false">BOM_COEF!Y561*DEMANDA!M32*(1-INDEX(PY_VAL,MATCH("P_CABA_REC",PY_ID,0),8))</f>
        <v>2664.47088103739</v>
      </c>
      <c r="P289" s="42" t="n">
        <f aca="false">BOM_COEF!Z561*DEMANDA!N32*(1-INDEX(PY_VAL,MATCH("P_CABA_REC",PY_ID,0),9))</f>
        <v>2881.86116624513</v>
      </c>
      <c r="Q289" s="42" t="n">
        <f aca="false">BOM_COEF!AA561*DEMANDA!O32*(1-INDEX(PY_VAL,MATCH("P_CABA_REC",PY_ID,0),10))</f>
        <v>3102.14086970846</v>
      </c>
      <c r="R289" s="24" t="s">
        <v>3308</v>
      </c>
    </row>
    <row r="290" customFormat="false" ht="15" hidden="false" customHeight="false" outlineLevel="1" collapsed="false">
      <c r="A290" s="24" t="n">
        <v>1</v>
      </c>
      <c r="B290" s="24" t="s">
        <v>1371</v>
      </c>
      <c r="C290" s="40" t="s">
        <v>3309</v>
      </c>
      <c r="D290" s="24" t="s">
        <v>82</v>
      </c>
      <c r="E290" s="24" t="s">
        <v>354</v>
      </c>
      <c r="F290" s="41" t="n">
        <f aca="false">INDEX((BOM_COEF!R561~BOM_COEF!S561~BOM_COEF!T561~BOM_COEF!U561~BOM_COEF!V561~BOM_COEF!W561~BOM_COEF!X561~BOM_COEF!Y561~BOM_COEF!Z561~BOM_COEF!AA561),1,1,INDEX(P_VAL,MATCH("AÑO_DIS",P_ID,0))-2025)</f>
        <v>1</v>
      </c>
      <c r="G290" s="24" t="s">
        <v>582</v>
      </c>
      <c r="H290" s="42" t="n">
        <f aca="false">BOM_COEF!R561*DEMANDA!F43*(1-INDEX(PY_VAL,MATCH("P_CABA_REC",PY_ID,0),1))</f>
        <v>0.742623521126174</v>
      </c>
      <c r="I290" s="42" t="n">
        <f aca="false">BOM_COEF!S561*DEMANDA!G43*(1-INDEX(PY_VAL,MATCH("P_CABA_REC",PY_ID,0),2))</f>
        <v>2.97229042194667</v>
      </c>
      <c r="J290" s="42" t="n">
        <f aca="false">BOM_COEF!T561*DEMANDA!H43*(1-INDEX(PY_VAL,MATCH("P_CABA_REC",PY_ID,0),3))</f>
        <v>6.69129936487544</v>
      </c>
      <c r="K290" s="42" t="n">
        <f aca="false">BOM_COEF!U561*DEMANDA!I43*(1-INDEX(PY_VAL,MATCH("P_CABA_REC",PY_ID,0),4))</f>
        <v>11.1574985063629</v>
      </c>
      <c r="L290" s="42" t="n">
        <f aca="false">BOM_COEF!V561*DEMANDA!J43*(1-INDEX(PY_VAL,MATCH("P_CABA_REC",PY_ID,0),5))</f>
        <v>16.3708465805619</v>
      </c>
      <c r="M290" s="42" t="n">
        <f aca="false">BOM_COEF!W561*DEMANDA!K43*(1-INDEX(PY_VAL,MATCH("P_CABA_REC",PY_ID,0),6))</f>
        <v>21.5864137623908</v>
      </c>
      <c r="N290" s="42" t="n">
        <f aca="false">BOM_COEF!X561*DEMANDA!L43*(1-INDEX(PY_VAL,MATCH("P_CABA_REC",PY_ID,0),7))</f>
        <v>26.0578314242171</v>
      </c>
      <c r="O290" s="42" t="n">
        <f aca="false">BOM_COEF!Y561*DEMANDA!M43*(1-INDEX(PY_VAL,MATCH("P_CABA_REC",PY_ID,0),8))</f>
        <v>29.0382056015568</v>
      </c>
      <c r="P290" s="42" t="n">
        <f aca="false">BOM_COEF!Z561*DEMANDA!N43*(1-INDEX(PY_VAL,MATCH("P_CABA_REC",PY_ID,0),9))</f>
        <v>31.2699687698877</v>
      </c>
      <c r="Q290" s="42" t="n">
        <f aca="false">BOM_COEF!AA561*DEMANDA!O43*(1-INDEX(PY_VAL,MATCH("P_CABA_REC",PY_ID,0),10))</f>
        <v>33.4959429014452</v>
      </c>
      <c r="R290" s="24" t="s">
        <v>3308</v>
      </c>
    </row>
    <row r="291" customFormat="false" ht="15" hidden="false" customHeight="false" outlineLevel="1" collapsed="false">
      <c r="A291" s="24" t="n">
        <v>1</v>
      </c>
      <c r="B291" s="24" t="s">
        <v>1371</v>
      </c>
      <c r="C291" s="40" t="s">
        <v>3310</v>
      </c>
      <c r="D291" s="24" t="s">
        <v>82</v>
      </c>
      <c r="E291" s="24" t="s">
        <v>324</v>
      </c>
      <c r="F291" s="41" t="n">
        <f aca="false">INDEX((BOM_COEF!R570~BOM_COEF!S570~BOM_COEF!T570~BOM_COEF!U570~BOM_COEF!V570~BOM_COEF!W570~BOM_COEF!X570~BOM_COEF!Y570~BOM_COEF!Z570~BOM_COEF!AA570),1,1,INDEX(P_VAL,MATCH("AÑO_DIS",P_ID,0))-2025)</f>
        <v>1</v>
      </c>
      <c r="G291" s="24" t="s">
        <v>582</v>
      </c>
      <c r="H291" s="42" t="n">
        <f aca="false">BOM_COEF!R570*DEMANDA!F33*(1-INDEX(PY_VAL,MATCH("P_CABA_REC",PY_ID,0),1))</f>
        <v>334.638143894724</v>
      </c>
      <c r="I291" s="42" t="n">
        <f aca="false">BOM_COEF!S570*DEMANDA!G33*(1-INDEX(PY_VAL,MATCH("P_CABA_REC",PY_ID,0),2))</f>
        <v>1261.12907175804</v>
      </c>
      <c r="J291" s="42" t="n">
        <f aca="false">BOM_COEF!T570*DEMANDA!H33*(1-INDEX(PY_VAL,MATCH("P_CABA_REC",PY_ID,0),3))</f>
        <v>2940.60069154364</v>
      </c>
      <c r="K291" s="42" t="n">
        <f aca="false">BOM_COEF!U570*DEMANDA!I33*(1-INDEX(PY_VAL,MATCH("P_CABA_REC",PY_ID,0),4))</f>
        <v>5624.3167225464</v>
      </c>
      <c r="L291" s="42" t="n">
        <f aca="false">BOM_COEF!V570*DEMANDA!J33*(1-INDEX(PY_VAL,MATCH("P_CABA_REC",PY_ID,0),5))</f>
        <v>8126.00069645587</v>
      </c>
      <c r="M291" s="42" t="n">
        <f aca="false">BOM_COEF!W570*DEMANDA!K33*(1-INDEX(PY_VAL,MATCH("P_CABA_REC",PY_ID,0),6))</f>
        <v>10804.2868300873</v>
      </c>
      <c r="N291" s="42" t="n">
        <f aca="false">BOM_COEF!X570*DEMANDA!L33*(1-INDEX(PY_VAL,MATCH("P_CABA_REC",PY_ID,0),7))</f>
        <v>13212.43675279</v>
      </c>
      <c r="O291" s="42" t="n">
        <f aca="false">BOM_COEF!Y570*DEMANDA!M33*(1-INDEX(PY_VAL,MATCH("P_CABA_REC",PY_ID,0),8))</f>
        <v>14606.3703968067</v>
      </c>
      <c r="P291" s="42" t="n">
        <f aca="false">BOM_COEF!Z570*DEMANDA!N33*(1-INDEX(PY_VAL,MATCH("P_CABA_REC",PY_ID,0),9))</f>
        <v>15755.4528702837</v>
      </c>
      <c r="Q291" s="42" t="n">
        <f aca="false">BOM_COEF!AA570*DEMANDA!O33*(1-INDEX(PY_VAL,MATCH("P_CABA_REC",PY_ID,0),10))</f>
        <v>16922.5238037993</v>
      </c>
      <c r="R291" s="24" t="s">
        <v>3311</v>
      </c>
    </row>
    <row r="292" customFormat="false" ht="15" hidden="false" customHeight="false" outlineLevel="1" collapsed="false">
      <c r="A292" s="24" t="n">
        <v>1</v>
      </c>
      <c r="B292" s="24" t="s">
        <v>1371</v>
      </c>
      <c r="C292" s="40" t="s">
        <v>3312</v>
      </c>
      <c r="D292" s="24" t="s">
        <v>82</v>
      </c>
      <c r="E292" s="24" t="s">
        <v>327</v>
      </c>
      <c r="F292" s="41" t="n">
        <f aca="false">INDEX((BOM_COEF!R581~BOM_COEF!S581~BOM_COEF!T581~BOM_COEF!U581~BOM_COEF!V581~BOM_COEF!W581~BOM_COEF!X581~BOM_COEF!Y581~BOM_COEF!Z581~BOM_COEF!AA581),1,1,INDEX(P_VAL,MATCH("AÑO_DIS",P_ID,0))-2025)</f>
        <v>1</v>
      </c>
      <c r="G292" s="24" t="s">
        <v>582</v>
      </c>
      <c r="H292" s="42" t="n">
        <f aca="false">BOM_COEF!R581*DEMANDA!F34*(1-INDEX(PY_VAL,MATCH("P_CABA_REC",PY_ID,0),1))</f>
        <v>92.9550399336254</v>
      </c>
      <c r="I292" s="42" t="n">
        <f aca="false">BOM_COEF!S581*DEMANDA!G34*(1-INDEX(PY_VAL,MATCH("P_CABA_REC",PY_ID,0),2))</f>
        <v>478.264096600706</v>
      </c>
      <c r="J292" s="42" t="n">
        <f aca="false">BOM_COEF!T581*DEMANDA!H34*(1-INDEX(PY_VAL,MATCH("P_CABA_REC",PY_ID,0),3))</f>
        <v>1022.74779901671</v>
      </c>
      <c r="K292" s="42" t="n">
        <f aca="false">BOM_COEF!U581*DEMANDA!I34*(1-INDEX(PY_VAL,MATCH("P_CABA_REC",PY_ID,0),4))</f>
        <v>1830.04120079771</v>
      </c>
      <c r="L292" s="42" t="n">
        <f aca="false">BOM_COEF!V581*DEMANDA!J34*(1-INDEX(PY_VAL,MATCH("P_CABA_REC",PY_ID,0),5))</f>
        <v>2638.13043713415</v>
      </c>
      <c r="M292" s="42" t="n">
        <f aca="false">BOM_COEF!W581*DEMANDA!K34*(1-INDEX(PY_VAL,MATCH("P_CABA_REC",PY_ID,0),6))</f>
        <v>3515.95174000912</v>
      </c>
      <c r="N292" s="42" t="n">
        <f aca="false">BOM_COEF!X581*DEMANDA!L34*(1-INDEX(PY_VAL,MATCH("P_CABA_REC",PY_ID,0),7))</f>
        <v>4358.28783719072</v>
      </c>
      <c r="O292" s="42" t="n">
        <f aca="false">BOM_COEF!Y581*DEMANDA!M34*(1-INDEX(PY_VAL,MATCH("P_CABA_REC",PY_ID,0),8))</f>
        <v>4920.45686018428</v>
      </c>
      <c r="P292" s="42" t="n">
        <f aca="false">BOM_COEF!Z581*DEMANDA!N34*(1-INDEX(PY_VAL,MATCH("P_CABA_REC",PY_ID,0),9))</f>
        <v>5349.925646755</v>
      </c>
      <c r="Q292" s="42" t="n">
        <f aca="false">BOM_COEF!AA581*DEMANDA!O34*(1-INDEX(PY_VAL,MATCH("P_CABA_REC",PY_ID,0),10))</f>
        <v>5783.31804031926</v>
      </c>
      <c r="R292" s="24" t="s">
        <v>3313</v>
      </c>
    </row>
    <row r="293" customFormat="false" ht="15" hidden="false" customHeight="false" outlineLevel="1" collapsed="false">
      <c r="A293" s="24" t="n">
        <v>1</v>
      </c>
      <c r="B293" s="24" t="s">
        <v>1371</v>
      </c>
      <c r="C293" s="40" t="s">
        <v>3314</v>
      </c>
      <c r="D293" s="24" t="s">
        <v>82</v>
      </c>
      <c r="E293" s="24" t="s">
        <v>357</v>
      </c>
      <c r="F293" s="41" t="n">
        <f aca="false">INDEX((BOM_COEF!R581~BOM_COEF!S581~BOM_COEF!T581~BOM_COEF!U581~BOM_COEF!V581~BOM_COEF!W581~BOM_COEF!X581~BOM_COEF!Y581~BOM_COEF!Z581~BOM_COEF!AA581),1,1,INDEX(P_VAL,MATCH("AÑO_DIS",P_ID,0))-2025)</f>
        <v>1</v>
      </c>
      <c r="G293" s="24" t="s">
        <v>582</v>
      </c>
      <c r="H293" s="42" t="n">
        <f aca="false">BOM_COEF!R581*DEMANDA!F44*(1-INDEX(PY_VAL,MATCH("P_CABA_REC",PY_ID,0),1))</f>
        <v>5.19836464788322</v>
      </c>
      <c r="I293" s="42" t="n">
        <f aca="false">BOM_COEF!S581*DEMANDA!G44*(1-INDEX(PY_VAL,MATCH("P_CABA_REC",PY_ID,0),2))</f>
        <v>19.3198877426534</v>
      </c>
      <c r="J293" s="42" t="n">
        <f aca="false">BOM_COEF!T581*DEMANDA!H44*(1-INDEX(PY_VAL,MATCH("P_CABA_REC",PY_ID,0),3))</f>
        <v>43.1217070180862</v>
      </c>
      <c r="K293" s="42" t="n">
        <f aca="false">BOM_COEF!U581*DEMANDA!I44*(1-INDEX(PY_VAL,MATCH("P_CABA_REC",PY_ID,0),4))</f>
        <v>81.0778224795704</v>
      </c>
      <c r="L293" s="42" t="n">
        <f aca="false">BOM_COEF!V581*DEMANDA!J44*(1-INDEX(PY_VAL,MATCH("P_CABA_REC",PY_ID,0),5))</f>
        <v>116.084184843984</v>
      </c>
      <c r="M293" s="42" t="n">
        <f aca="false">BOM_COEF!W581*DEMANDA!K44*(1-INDEX(PY_VAL,MATCH("P_CABA_REC",PY_ID,0),6))</f>
        <v>154.82669181301</v>
      </c>
      <c r="N293" s="42" t="n">
        <f aca="false">BOM_COEF!X581*DEMANDA!L44*(1-INDEX(PY_VAL,MATCH("P_CABA_REC",PY_ID,0),7))</f>
        <v>189.849914662153</v>
      </c>
      <c r="O293" s="42" t="n">
        <f aca="false">BOM_COEF!Y581*DEMANDA!M44*(1-INDEX(PY_VAL,MATCH("P_CABA_REC",PY_ID,0),8))</f>
        <v>210.713132954886</v>
      </c>
      <c r="P293" s="42" t="n">
        <f aca="false">BOM_COEF!Z581*DEMANDA!N44*(1-INDEX(PY_VAL,MATCH("P_CABA_REC",PY_ID,0),9))</f>
        <v>227.82405818061</v>
      </c>
      <c r="Q293" s="42" t="n">
        <f aca="false">BOM_COEF!AA581*DEMANDA!O44*(1-INDEX(PY_VAL,MATCH("P_CABA_REC",PY_ID,0),10))</f>
        <v>245.636914610598</v>
      </c>
      <c r="R293" s="24" t="s">
        <v>3313</v>
      </c>
    </row>
    <row r="294" customFormat="false" ht="15" hidden="false" customHeight="false" outlineLevel="1" collapsed="false">
      <c r="A294" s="24" t="n">
        <v>1</v>
      </c>
      <c r="B294" s="24" t="s">
        <v>1371</v>
      </c>
      <c r="C294" s="40" t="s">
        <v>3315</v>
      </c>
      <c r="D294" s="24" t="s">
        <v>82</v>
      </c>
      <c r="E294" s="24" t="s">
        <v>330</v>
      </c>
      <c r="F294" s="41" t="n">
        <f aca="false">INDEX((BOM_COEF!R594~BOM_COEF!S594~BOM_COEF!T594~BOM_COEF!U594~BOM_COEF!V594~BOM_COEF!W594~BOM_COEF!X594~BOM_COEF!Y594~BOM_COEF!Z594~BOM_COEF!AA594),1,1,INDEX(P_VAL,MATCH("AÑO_DIS",P_ID,0))-2025)</f>
        <v>1</v>
      </c>
      <c r="G294" s="24" t="s">
        <v>582</v>
      </c>
      <c r="H294" s="42" t="n">
        <f aca="false">BOM_COEF!R594*DEMANDA!F35*(1-INDEX(PY_VAL,MATCH("P_CABA_REC",PY_ID,0),1))</f>
        <v>13.5207330859804</v>
      </c>
      <c r="I294" s="42" t="n">
        <f aca="false">BOM_COEF!S594*DEMANDA!G35*(1-INDEX(PY_VAL,MATCH("P_CABA_REC",PY_ID,0),2))</f>
        <v>83.2799528404689</v>
      </c>
      <c r="J294" s="42" t="n">
        <f aca="false">BOM_COEF!T594*DEMANDA!H35*(1-INDEX(PY_VAL,MATCH("P_CABA_REC",PY_ID,0),3))</f>
        <v>171.634833251165</v>
      </c>
      <c r="K294" s="42" t="n">
        <f aca="false">BOM_COEF!U594*DEMANDA!I35*(1-INDEX(PY_VAL,MATCH("P_CABA_REC",PY_ID,0),4))</f>
        <v>298.065383077364</v>
      </c>
      <c r="L294" s="42" t="n">
        <f aca="false">BOM_COEF!V594*DEMANDA!J35*(1-INDEX(PY_VAL,MATCH("P_CABA_REC",PY_ID,0),5))</f>
        <v>427.508130965556</v>
      </c>
      <c r="M294" s="42" t="n">
        <f aca="false">BOM_COEF!W594*DEMANDA!K35*(1-INDEX(PY_VAL,MATCH("P_CABA_REC",PY_ID,0),6))</f>
        <v>561.504025296868</v>
      </c>
      <c r="N294" s="42" t="n">
        <f aca="false">BOM_COEF!X594*DEMANDA!L35*(1-INDEX(PY_VAL,MATCH("P_CABA_REC",PY_ID,0),7))</f>
        <v>703.44890870029</v>
      </c>
      <c r="O294" s="42" t="n">
        <f aca="false">BOM_COEF!Y594*DEMANDA!M35*(1-INDEX(PY_VAL,MATCH("P_CABA_REC",PY_ID,0),8))</f>
        <v>798.353098195271</v>
      </c>
      <c r="P294" s="42" t="n">
        <f aca="false">BOM_COEF!Z594*DEMANDA!N35*(1-INDEX(PY_VAL,MATCH("P_CABA_REC",PY_ID,0),9))</f>
        <v>872.354514383811</v>
      </c>
      <c r="Q294" s="42" t="n">
        <f aca="false">BOM_COEF!AA594*DEMANDA!O35*(1-INDEX(PY_VAL,MATCH("P_CABA_REC",PY_ID,0),10))</f>
        <v>946.77480946901</v>
      </c>
      <c r="R294" s="24" t="s">
        <v>3316</v>
      </c>
    </row>
    <row r="295" customFormat="false" ht="15" hidden="false" customHeight="false" outlineLevel="1" collapsed="false">
      <c r="A295" s="24" t="n">
        <v>1</v>
      </c>
      <c r="B295" s="24" t="s">
        <v>1371</v>
      </c>
      <c r="C295" s="40" t="s">
        <v>3317</v>
      </c>
      <c r="D295" s="24" t="s">
        <v>82</v>
      </c>
      <c r="E295" s="24" t="s">
        <v>360</v>
      </c>
      <c r="F295" s="41" t="n">
        <f aca="false">INDEX((BOM_COEF!R594~BOM_COEF!S594~BOM_COEF!T594~BOM_COEF!U594~BOM_COEF!V594~BOM_COEF!W594~BOM_COEF!X594~BOM_COEF!Y594~BOM_COEF!Z594~BOM_COEF!AA594),1,1,INDEX(P_VAL,MATCH("AÑO_DIS",P_ID,0))-2025)</f>
        <v>1</v>
      </c>
      <c r="G295" s="24" t="s">
        <v>582</v>
      </c>
      <c r="H295" s="42" t="n">
        <f aca="false">BOM_COEF!R594*DEMANDA!F45*(1-INDEX(PY_VAL,MATCH("P_CABA_REC",PY_ID,0),1))</f>
        <v>0.742623521126174</v>
      </c>
      <c r="I295" s="42" t="n">
        <f aca="false">BOM_COEF!S594*DEMANDA!G45*(1-INDEX(PY_VAL,MATCH("P_CABA_REC",PY_ID,0),2))</f>
        <v>1.48614521097333</v>
      </c>
      <c r="J295" s="42" t="n">
        <f aca="false">BOM_COEF!T594*DEMANDA!H45*(1-INDEX(PY_VAL,MATCH("P_CABA_REC",PY_ID,0),3))</f>
        <v>2.23043312162515</v>
      </c>
      <c r="K295" s="42" t="n">
        <f aca="false">BOM_COEF!U594*DEMANDA!I45*(1-INDEX(PY_VAL,MATCH("P_CABA_REC",PY_ID,0),4))</f>
        <v>3.71916616878763</v>
      </c>
      <c r="L295" s="42" t="n">
        <f aca="false">BOM_COEF!V594*DEMANDA!J45*(1-INDEX(PY_VAL,MATCH("P_CABA_REC",PY_ID,0),5))</f>
        <v>5.20890573017878</v>
      </c>
      <c r="M295" s="42" t="n">
        <f aca="false">BOM_COEF!W594*DEMANDA!K45*(1-INDEX(PY_VAL,MATCH("P_CABA_REC",PY_ID,0),6))</f>
        <v>6.69923185729369</v>
      </c>
      <c r="N295" s="42" t="n">
        <f aca="false">BOM_COEF!X594*DEMANDA!L45*(1-INDEX(PY_VAL,MATCH("P_CABA_REC",PY_ID,0),7))</f>
        <v>8.18960416189679</v>
      </c>
      <c r="O295" s="42" t="n">
        <f aca="false">BOM_COEF!Y594*DEMANDA!M45*(1-INDEX(PY_VAL,MATCH("P_CABA_REC",PY_ID,0),8))</f>
        <v>8.93483249278669</v>
      </c>
      <c r="P295" s="42" t="n">
        <f aca="false">BOM_COEF!Z594*DEMANDA!N45*(1-INDEX(PY_VAL,MATCH("P_CABA_REC",PY_ID,0),9))</f>
        <v>9.6787998573462</v>
      </c>
      <c r="Q295" s="42" t="n">
        <f aca="false">BOM_COEF!AA594*DEMANDA!O45*(1-INDEX(PY_VAL,MATCH("P_CABA_REC",PY_ID,0),10))</f>
        <v>10.4209600137829</v>
      </c>
      <c r="R295" s="24" t="s">
        <v>3316</v>
      </c>
    </row>
    <row r="296" customFormat="false" ht="15" hidden="false" customHeight="false" outlineLevel="1" collapsed="false">
      <c r="A296" s="24" t="n">
        <v>1</v>
      </c>
      <c r="B296" s="24" t="s">
        <v>1371</v>
      </c>
      <c r="C296" s="40" t="s">
        <v>3318</v>
      </c>
      <c r="D296" s="24" t="s">
        <v>82</v>
      </c>
      <c r="E296" s="24" t="s">
        <v>333</v>
      </c>
      <c r="F296" s="41" t="n">
        <f aca="false">INDEX((BOM_COEF!R606~BOM_COEF!S606~BOM_COEF!T606~BOM_COEF!U606~BOM_COEF!V606~BOM_COEF!W606~BOM_COEF!X606~BOM_COEF!Y606~BOM_COEF!Z606~BOM_COEF!AA606),1,1,INDEX(P_VAL,MATCH("AÑO_DIS",P_ID,0))-2025)</f>
        <v>1</v>
      </c>
      <c r="G296" s="24" t="s">
        <v>582</v>
      </c>
      <c r="H296" s="42" t="n">
        <f aca="false">BOM_COEF!R606*DEMANDA!F36*(1-INDEX(PY_VAL,MATCH("P_CABA_REC",PY_ID,0),1))</f>
        <v>5.0702749074283</v>
      </c>
      <c r="I296" s="42" t="n">
        <f aca="false">BOM_COEF!S606*DEMANDA!G36*(1-INDEX(PY_VAL,MATCH("P_CABA_REC",PY_ID,0),2))</f>
        <v>34.9787400490823</v>
      </c>
      <c r="J296" s="42" t="n">
        <f aca="false">BOM_COEF!T606*DEMANDA!H36*(1-INDEX(PY_VAL,MATCH("P_CABA_REC",PY_ID,0),3))</f>
        <v>66.0874926779759</v>
      </c>
      <c r="K296" s="42" t="n">
        <f aca="false">BOM_COEF!U606*DEMANDA!I36*(1-INDEX(PY_VAL,MATCH("P_CABA_REC",PY_ID,0),4))</f>
        <v>110.294983743514</v>
      </c>
      <c r="L296" s="42" t="n">
        <f aca="false">BOM_COEF!V606*DEMANDA!J36*(1-INDEX(PY_VAL,MATCH("P_CABA_REC",PY_ID,0),5))</f>
        <v>152.714737785065</v>
      </c>
      <c r="M296" s="42" t="n">
        <f aca="false">BOM_COEF!W606*DEMANDA!K36*(1-INDEX(PY_VAL,MATCH("P_CABA_REC",PY_ID,0),6))</f>
        <v>190.381111929927</v>
      </c>
      <c r="N296" s="42" t="n">
        <f aca="false">BOM_COEF!X606*DEMANDA!L36*(1-INDEX(PY_VAL,MATCH("P_CABA_REC",PY_ID,0),7))</f>
        <v>244.510237765699</v>
      </c>
      <c r="O296" s="42" t="n">
        <f aca="false">BOM_COEF!Y606*DEMANDA!M36*(1-INDEX(PY_VAL,MATCH("P_CABA_REC",PY_ID,0),8))</f>
        <v>273.188513109745</v>
      </c>
      <c r="P296" s="42" t="n">
        <f aca="false">BOM_COEF!Z606*DEMANDA!N36*(1-INDEX(PY_VAL,MATCH("P_CABA_REC",PY_ID,0),9))</f>
        <v>299.061296106004</v>
      </c>
      <c r="Q296" s="42" t="n">
        <f aca="false">BOM_COEF!AA606*DEMANDA!O36*(1-INDEX(PY_VAL,MATCH("P_CABA_REC",PY_ID,0),10))</f>
        <v>325.049678349703</v>
      </c>
      <c r="R296" s="24" t="s">
        <v>3319</v>
      </c>
    </row>
    <row r="297" customFormat="false" ht="15" hidden="false" customHeight="false" outlineLevel="1" collapsed="false">
      <c r="A297" s="24" t="n">
        <v>1</v>
      </c>
      <c r="B297" s="24" t="s">
        <v>1371</v>
      </c>
      <c r="C297" s="40" t="s">
        <v>3320</v>
      </c>
      <c r="D297" s="24" t="s">
        <v>82</v>
      </c>
      <c r="E297" s="24" t="s">
        <v>363</v>
      </c>
      <c r="F297" s="41" t="n">
        <f aca="false">INDEX((BOM_COEF!R606~BOM_COEF!S606~BOM_COEF!T606~BOM_COEF!U606~BOM_COEF!V606~BOM_COEF!W606~BOM_COEF!X606~BOM_COEF!Y606~BOM_COEF!Z606~BOM_COEF!AA606),1,1,INDEX(P_VAL,MATCH("AÑO_DIS",P_ID,0))-2025)</f>
        <v>1</v>
      </c>
      <c r="G297" s="24" t="s">
        <v>582</v>
      </c>
      <c r="H297" s="42" t="n">
        <f aca="false">BOM_COEF!R606*DEMANDA!F46*(1-INDEX(PY_VAL,MATCH("P_CABA_REC",PY_ID,0),1))</f>
        <v>0.742623521126174</v>
      </c>
      <c r="I297" s="42" t="n">
        <f aca="false">BOM_COEF!S606*DEMANDA!G46*(1-INDEX(PY_VAL,MATCH("P_CABA_REC",PY_ID,0),2))</f>
        <v>0.743072605486667</v>
      </c>
      <c r="J297" s="42" t="n">
        <f aca="false">BOM_COEF!T606*DEMANDA!H46*(1-INDEX(PY_VAL,MATCH("P_CABA_REC",PY_ID,0),3))</f>
        <v>0.743477707208383</v>
      </c>
      <c r="K297" s="42" t="n">
        <f aca="false">BOM_COEF!U606*DEMANDA!I46*(1-INDEX(PY_VAL,MATCH("P_CABA_REC",PY_ID,0),4))</f>
        <v>1.48766646751505</v>
      </c>
      <c r="L297" s="42" t="n">
        <f aca="false">BOM_COEF!V606*DEMANDA!J46*(1-INDEX(PY_VAL,MATCH("P_CABA_REC",PY_ID,0),5))</f>
        <v>2.23238817007662</v>
      </c>
      <c r="M297" s="42" t="n">
        <f aca="false">BOM_COEF!W606*DEMANDA!K46*(1-INDEX(PY_VAL,MATCH("P_CABA_REC",PY_ID,0),6))</f>
        <v>2.23307728576456</v>
      </c>
      <c r="N297" s="42" t="n">
        <f aca="false">BOM_COEF!X606*DEMANDA!L46*(1-INDEX(PY_VAL,MATCH("P_CABA_REC",PY_ID,0),7))</f>
        <v>2.97803787705338</v>
      </c>
      <c r="O297" s="42" t="n">
        <f aca="false">BOM_COEF!Y606*DEMANDA!M46*(1-INDEX(PY_VAL,MATCH("P_CABA_REC",PY_ID,0),8))</f>
        <v>2.97827749759556</v>
      </c>
      <c r="P297" s="42" t="n">
        <f aca="false">BOM_COEF!Z606*DEMANDA!N46*(1-INDEX(PY_VAL,MATCH("P_CABA_REC",PY_ID,0),9))</f>
        <v>3.72261532974854</v>
      </c>
      <c r="Q297" s="42" t="n">
        <f aca="false">BOM_COEF!AA606*DEMANDA!O46*(1-INDEX(PY_VAL,MATCH("P_CABA_REC",PY_ID,0),10))</f>
        <v>3.72177143349391</v>
      </c>
      <c r="R297" s="24" t="s">
        <v>3319</v>
      </c>
    </row>
    <row r="298" customFormat="false" ht="15" hidden="false" customHeight="false" outlineLevel="0" collapsed="false">
      <c r="A298" s="38" t="n">
        <v>0</v>
      </c>
      <c r="B298" s="38" t="s">
        <v>1367</v>
      </c>
      <c r="C298" s="38" t="s">
        <v>1366</v>
      </c>
      <c r="D298" s="38" t="s">
        <v>82</v>
      </c>
      <c r="E298" s="38"/>
      <c r="F298" s="38"/>
      <c r="G298" s="38"/>
      <c r="H298" s="39" t="n">
        <f aca="false">SUM(H299:H327)</f>
        <v>5132.86012779398</v>
      </c>
      <c r="I298" s="39" t="n">
        <f aca="false">SUM(I299:I327)</f>
        <v>23033.5275209144</v>
      </c>
      <c r="J298" s="39" t="n">
        <f aca="false">SUM(J299:J327)</f>
        <v>46207.9261021773</v>
      </c>
      <c r="K298" s="39" t="n">
        <f aca="false">SUM(K299:K327)</f>
        <v>85753.4060243528</v>
      </c>
      <c r="L298" s="39" t="n">
        <f aca="false">SUM(L299:L327)</f>
        <v>126269.378330858</v>
      </c>
      <c r="M298" s="39" t="n">
        <f aca="false">SUM(M299:M327)</f>
        <v>171918.001471967</v>
      </c>
      <c r="N298" s="39" t="n">
        <f aca="false">SUM(N299:N327)</f>
        <v>213557.167518833</v>
      </c>
      <c r="O298" s="39" t="n">
        <f aca="false">SUM(O299:O327)</f>
        <v>242801.272089467</v>
      </c>
      <c r="P298" s="39" t="n">
        <f aca="false">SUM(P299:P327)</f>
        <v>261143.487122556</v>
      </c>
      <c r="Q298" s="39" t="n">
        <f aca="false">SUM(Q299:Q327)</f>
        <v>279821.898521302</v>
      </c>
      <c r="R298" s="38"/>
    </row>
    <row r="299" customFormat="false" ht="15" hidden="false" customHeight="false" outlineLevel="1" collapsed="false">
      <c r="A299" s="24" t="n">
        <v>1</v>
      </c>
      <c r="B299" s="24" t="s">
        <v>1367</v>
      </c>
      <c r="C299" s="40" t="s">
        <v>3321</v>
      </c>
      <c r="D299" s="24" t="s">
        <v>82</v>
      </c>
      <c r="E299" s="24" t="s">
        <v>282</v>
      </c>
      <c r="F299" s="41" t="n">
        <f aca="false">INDEX((BOM_COEF!R388~BOM_COEF!S388~BOM_COEF!T388~BOM_COEF!U388~BOM_COEF!V388~BOM_COEF!W388~BOM_COEF!X388~BOM_COEF!Y388~BOM_COEF!Z388~BOM_COEF!AA388),1,1,INDEX(P_VAL,MATCH("AÑO_DIS",P_ID,0))-2025)</f>
        <v>1</v>
      </c>
      <c r="G299" s="24" t="s">
        <v>582</v>
      </c>
      <c r="H299" s="42" t="n">
        <f aca="false">BOM_COEF!R388*DEMANDA!F20*(1-INDEX(PY_VAL,MATCH("P_CABA_REC",PY_ID,0),1))</f>
        <v>2582.46001957821</v>
      </c>
      <c r="I299" s="42" t="n">
        <f aca="false">BOM_COEF!S388*DEMANDA!G20*(1-INDEX(PY_VAL,MATCH("P_CABA_REC",PY_ID,0),2))</f>
        <v>12610.3772881494</v>
      </c>
      <c r="J299" s="42" t="n">
        <f aca="false">BOM_COEF!T388*DEMANDA!H20*(1-INDEX(PY_VAL,MATCH("P_CABA_REC",PY_ID,0),3))</f>
        <v>22710.3365930768</v>
      </c>
      <c r="K299" s="42" t="n">
        <f aca="false">BOM_COEF!U388*DEMANDA!I20*(1-INDEX(PY_VAL,MATCH("P_CABA_REC",PY_ID,0),4))</f>
        <v>41690.5964624075</v>
      </c>
      <c r="L299" s="42" t="n">
        <f aca="false">BOM_COEF!V388*DEMANDA!J20*(1-INDEX(PY_VAL,MATCH("P_CABA_REC",PY_ID,0),5))</f>
        <v>62707.9519674312</v>
      </c>
      <c r="M299" s="42" t="n">
        <f aca="false">BOM_COEF!W388*DEMANDA!K20*(1-INDEX(PY_VAL,MATCH("P_CABA_REC",PY_ID,0),6))</f>
        <v>87393.5809785581</v>
      </c>
      <c r="N299" s="42" t="n">
        <f aca="false">BOM_COEF!X388*DEMANDA!L20*(1-INDEX(PY_VAL,MATCH("P_CABA_REC",PY_ID,0),7))</f>
        <v>109897.515968181</v>
      </c>
      <c r="O299" s="42" t="n">
        <f aca="false">BOM_COEF!Y388*DEMANDA!M20*(1-INDEX(PY_VAL,MATCH("P_CABA_REC",PY_ID,0),8))</f>
        <v>127622.437615641</v>
      </c>
      <c r="P299" s="42" t="n">
        <f aca="false">BOM_COEF!Z388*DEMANDA!N20*(1-INDEX(PY_VAL,MATCH("P_CABA_REC",PY_ID,0),9))</f>
        <v>136761.863384357</v>
      </c>
      <c r="Q299" s="42" t="n">
        <f aca="false">BOM_COEF!AA388*DEMANDA!O20*(1-INDEX(PY_VAL,MATCH("P_CABA_REC",PY_ID,0),10))</f>
        <v>146103.862227316</v>
      </c>
      <c r="R299" s="24" t="s">
        <v>3322</v>
      </c>
    </row>
    <row r="300" customFormat="false" ht="15" hidden="false" customHeight="false" outlineLevel="1" collapsed="false">
      <c r="A300" s="24" t="n">
        <v>1</v>
      </c>
      <c r="B300" s="24" t="s">
        <v>1367</v>
      </c>
      <c r="C300" s="40" t="s">
        <v>3323</v>
      </c>
      <c r="D300" s="24" t="s">
        <v>82</v>
      </c>
      <c r="E300" s="24" t="s">
        <v>286</v>
      </c>
      <c r="F300" s="41" t="n">
        <f aca="false">INDEX((BOM_COEF!R402~BOM_COEF!S402~BOM_COEF!T402~BOM_COEF!U402~BOM_COEF!V402~BOM_COEF!W402~BOM_COEF!X402~BOM_COEF!Y402~BOM_COEF!Z402~BOM_COEF!AA402),1,1,INDEX(P_VAL,MATCH("AÑO_DIS",P_ID,0))-2025)</f>
        <v>1</v>
      </c>
      <c r="G300" s="24" t="s">
        <v>582</v>
      </c>
      <c r="H300" s="42" t="n">
        <f aca="false">BOM_COEF!R402*DEMANDA!F21*(1-INDEX(PY_VAL,MATCH("P_CABA_REC",PY_ID,0),1))</f>
        <v>245.063287178753</v>
      </c>
      <c r="I300" s="42" t="n">
        <f aca="false">BOM_COEF!S402*DEMANDA!G21*(1-INDEX(PY_VAL,MATCH("P_CABA_REC",PY_ID,0),2))</f>
        <v>956.642093153755</v>
      </c>
      <c r="J300" s="42" t="n">
        <f aca="false">BOM_COEF!T402*DEMANDA!H21*(1-INDEX(PY_VAL,MATCH("P_CABA_REC",PY_ID,0),3))</f>
        <v>2191.15461146681</v>
      </c>
      <c r="K300" s="42" t="n">
        <f aca="false">BOM_COEF!U402*DEMANDA!I21*(1-INDEX(PY_VAL,MATCH("P_CABA_REC",PY_ID,0),4))</f>
        <v>4036.07131128853</v>
      </c>
      <c r="L300" s="42" t="n">
        <f aca="false">BOM_COEF!V402*DEMANDA!J21*(1-INDEX(PY_VAL,MATCH("P_CABA_REC",PY_ID,0),5))</f>
        <v>5842.06742468505</v>
      </c>
      <c r="M300" s="42" t="n">
        <f aca="false">BOM_COEF!W402*DEMANDA!K21*(1-INDEX(PY_VAL,MATCH("P_CABA_REC",PY_ID,0),6))</f>
        <v>7759.15726430159</v>
      </c>
      <c r="N300" s="42" t="n">
        <f aca="false">BOM_COEF!X402*DEMANDA!L21*(1-INDEX(PY_VAL,MATCH("P_CABA_REC",PY_ID,0),7))</f>
        <v>9537.08865637089</v>
      </c>
      <c r="O300" s="42" t="n">
        <f aca="false">BOM_COEF!Y402*DEMANDA!M21*(1-INDEX(PY_VAL,MATCH("P_CABA_REC",PY_ID,0),8))</f>
        <v>10619.8438485853</v>
      </c>
      <c r="P300" s="42" t="n">
        <f aca="false">BOM_COEF!Z402*DEMANDA!N21*(1-INDEX(PY_VAL,MATCH("P_CABA_REC",PY_ID,0),9))</f>
        <v>11490.1275622343</v>
      </c>
      <c r="Q300" s="42" t="n">
        <f aca="false">BOM_COEF!AA402*DEMANDA!O21*(1-INDEX(PY_VAL,MATCH("P_CABA_REC",PY_ID,0),10))</f>
        <v>12371.7348250862</v>
      </c>
      <c r="R300" s="24" t="s">
        <v>3324</v>
      </c>
    </row>
    <row r="301" customFormat="false" ht="15" hidden="false" customHeight="false" outlineLevel="1" collapsed="false">
      <c r="A301" s="24" t="n">
        <v>1</v>
      </c>
      <c r="B301" s="24" t="s">
        <v>1367</v>
      </c>
      <c r="C301" s="40" t="s">
        <v>3325</v>
      </c>
      <c r="D301" s="24" t="s">
        <v>82</v>
      </c>
      <c r="E301" s="24" t="s">
        <v>290</v>
      </c>
      <c r="F301" s="41" t="n">
        <f aca="false">INDEX((BOM_COEF!R417~BOM_COEF!S417~BOM_COEF!T417~BOM_COEF!U417~BOM_COEF!V417~BOM_COEF!W417~BOM_COEF!X417~BOM_COEF!Y417~BOM_COEF!Z417~BOM_COEF!AA417),1,1,INDEX(P_VAL,MATCH("AÑO_DIS",P_ID,0))-2025)</f>
        <v>1</v>
      </c>
      <c r="G301" s="24" t="s">
        <v>582</v>
      </c>
      <c r="H301" s="42" t="n">
        <f aca="false">BOM_COEF!R417*DEMANDA!F22*(1-INDEX(PY_VAL,MATCH("P_CABA_REC",PY_ID,0),1))</f>
        <v>1448.40853189784</v>
      </c>
      <c r="I301" s="42" t="n">
        <f aca="false">BOM_COEF!S417*DEMANDA!G22*(1-INDEX(PY_VAL,MATCH("P_CABA_REC",PY_ID,0),2))</f>
        <v>5835.06570354926</v>
      </c>
      <c r="J301" s="42" t="n">
        <f aca="false">BOM_COEF!T417*DEMANDA!H22*(1-INDEX(PY_VAL,MATCH("P_CABA_REC",PY_ID,0),3))</f>
        <v>13215.9534134589</v>
      </c>
      <c r="K301" s="42" t="n">
        <f aca="false">BOM_COEF!U417*DEMANDA!I22*(1-INDEX(PY_VAL,MATCH("P_CABA_REC",PY_ID,0),4))</f>
        <v>24996.9385780401</v>
      </c>
      <c r="L301" s="42" t="n">
        <f aca="false">BOM_COEF!V417*DEMANDA!J22*(1-INDEX(PY_VAL,MATCH("P_CABA_REC",PY_ID,0),5))</f>
        <v>36021.4969431232</v>
      </c>
      <c r="M301" s="42" t="n">
        <f aca="false">BOM_COEF!W417*DEMANDA!K22*(1-INDEX(PY_VAL,MATCH("P_CABA_REC",PY_ID,0),6))</f>
        <v>47879.4419128729</v>
      </c>
      <c r="N301" s="42" t="n">
        <f aca="false">BOM_COEF!X417*DEMANDA!L22*(1-INDEX(PY_VAL,MATCH("P_CABA_REC",PY_ID,0),7))</f>
        <v>58608.6046711854</v>
      </c>
      <c r="O301" s="42" t="n">
        <f aca="false">BOM_COEF!Y417*DEMANDA!M22*(1-INDEX(PY_VAL,MATCH("P_CABA_REC",PY_ID,0),8))</f>
        <v>64954.1566609712</v>
      </c>
      <c r="P301" s="42" t="n">
        <f aca="false">BOM_COEF!Z417*DEMANDA!N22*(1-INDEX(PY_VAL,MATCH("P_CABA_REC",PY_ID,0),9))</f>
        <v>70062.3511261094</v>
      </c>
      <c r="Q301" s="42" t="n">
        <f aca="false">BOM_COEF!AA417*DEMANDA!O22*(1-INDEX(PY_VAL,MATCH("P_CABA_REC",PY_ID,0),10))</f>
        <v>75250.6277690387</v>
      </c>
      <c r="R301" s="24" t="s">
        <v>3326</v>
      </c>
    </row>
    <row r="302" customFormat="false" ht="15" hidden="false" customHeight="false" outlineLevel="1" collapsed="false">
      <c r="A302" s="24" t="n">
        <v>1</v>
      </c>
      <c r="B302" s="24" t="s">
        <v>1367</v>
      </c>
      <c r="C302" s="40" t="s">
        <v>3327</v>
      </c>
      <c r="D302" s="24" t="s">
        <v>82</v>
      </c>
      <c r="E302" s="24" t="s">
        <v>336</v>
      </c>
      <c r="F302" s="41" t="n">
        <f aca="false">INDEX((BOM_COEF!R417~BOM_COEF!S417~BOM_COEF!T417~BOM_COEF!U417~BOM_COEF!V417~BOM_COEF!W417~BOM_COEF!X417~BOM_COEF!Y417~BOM_COEF!Z417~BOM_COEF!AA417),1,1,INDEX(P_VAL,MATCH("AÑO_DIS",P_ID,0))-2025)</f>
        <v>1</v>
      </c>
      <c r="G302" s="24" t="s">
        <v>582</v>
      </c>
      <c r="H302" s="42" t="n">
        <f aca="false">BOM_COEF!R417*DEMANDA!F37*(1-INDEX(PY_VAL,MATCH("P_CABA_REC",PY_ID,0),1))</f>
        <v>46.785281830949</v>
      </c>
      <c r="I302" s="42" t="n">
        <f aca="false">BOM_COEF!S417*DEMANDA!G37*(1-INDEX(PY_VAL,MATCH("P_CABA_REC",PY_ID,0),2))</f>
        <v>209.54647474724</v>
      </c>
      <c r="J302" s="42" t="n">
        <f aca="false">BOM_COEF!T417*DEMANDA!H37*(1-INDEX(PY_VAL,MATCH("P_CABA_REC",PY_ID,0),3))</f>
        <v>411.143172086236</v>
      </c>
      <c r="K302" s="42" t="n">
        <f aca="false">BOM_COEF!U417*DEMANDA!I37*(1-INDEX(PY_VAL,MATCH("P_CABA_REC",PY_ID,0),4))</f>
        <v>762.429064601464</v>
      </c>
      <c r="L302" s="42" t="n">
        <f aca="false">BOM_COEF!V417*DEMANDA!J37*(1-INDEX(PY_VAL,MATCH("P_CABA_REC",PY_ID,0),5))</f>
        <v>1127.35602588869</v>
      </c>
      <c r="M302" s="42" t="n">
        <f aca="false">BOM_COEF!W417*DEMANDA!K37*(1-INDEX(PY_VAL,MATCH("P_CABA_REC",PY_ID,0),6))</f>
        <v>1542.31204536806</v>
      </c>
      <c r="N302" s="42" t="n">
        <f aca="false">BOM_COEF!X417*DEMANDA!L37*(1-INDEX(PY_VAL,MATCH("P_CABA_REC",PY_ID,0),7))</f>
        <v>1920.08992123017</v>
      </c>
      <c r="O302" s="42" t="n">
        <f aca="false">BOM_COEF!Y417*DEMANDA!M37*(1-INDEX(PY_VAL,MATCH("P_CABA_REC",PY_ID,0),8))</f>
        <v>2192.01223823034</v>
      </c>
      <c r="P302" s="42" t="n">
        <f aca="false">BOM_COEF!Z417*DEMANDA!N37*(1-INDEX(PY_VAL,MATCH("P_CABA_REC",PY_ID,0),9))</f>
        <v>2355.67098066487</v>
      </c>
      <c r="Q302" s="42" t="n">
        <f aca="false">BOM_COEF!AA417*DEMANDA!O37*(1-INDEX(PY_VAL,MATCH("P_CABA_REC",PY_ID,0),10))</f>
        <v>2521.87232333547</v>
      </c>
      <c r="R302" s="24" t="s">
        <v>3326</v>
      </c>
    </row>
    <row r="303" customFormat="false" ht="15" hidden="false" customHeight="false" outlineLevel="1" collapsed="false">
      <c r="A303" s="24" t="n">
        <v>1</v>
      </c>
      <c r="B303" s="24" t="s">
        <v>1367</v>
      </c>
      <c r="C303" s="40" t="s">
        <v>3328</v>
      </c>
      <c r="D303" s="24" t="s">
        <v>82</v>
      </c>
      <c r="E303" s="24" t="s">
        <v>293</v>
      </c>
      <c r="F303" s="41" t="n">
        <f aca="false">INDEX((BOM_COEF!R432~BOM_COEF!S432~BOM_COEF!T432~BOM_COEF!U432~BOM_COEF!V432~BOM_COEF!W432~BOM_COEF!X432~BOM_COEF!Y432~BOM_COEF!Z432~BOM_COEF!AA432),1,1,INDEX(P_VAL,MATCH("AÑO_DIS",P_ID,0))-2025)</f>
        <v>1</v>
      </c>
      <c r="G303" s="24" t="s">
        <v>582</v>
      </c>
      <c r="H303" s="42" t="n">
        <f aca="false">BOM_COEF!R432*DEMANDA!F23*(1-INDEX(PY_VAL,MATCH("P_CABA_REC",PY_ID,0),1))</f>
        <v>87.8847650700119</v>
      </c>
      <c r="I303" s="42" t="n">
        <f aca="false">BOM_COEF!S432*DEMANDA!G23*(1-INDEX(PY_VAL,MATCH("P_CABA_REC",PY_ID,0),2))</f>
        <v>325.255198004861</v>
      </c>
      <c r="J303" s="42" t="n">
        <f aca="false">BOM_COEF!T432*DEMANDA!H23*(1-INDEX(PY_VAL,MATCH("P_CABA_REC",PY_ID,0),3))</f>
        <v>762.045929863402</v>
      </c>
      <c r="K303" s="42" t="n">
        <f aca="false">BOM_COEF!U432*DEMANDA!I23*(1-INDEX(PY_VAL,MATCH("P_CABA_REC",PY_ID,0),4))</f>
        <v>1458.21800714161</v>
      </c>
      <c r="L303" s="42" t="n">
        <f aca="false">BOM_COEF!V432*DEMANDA!J23*(1-INDEX(PY_VAL,MATCH("P_CABA_REC",PY_ID,0),5))</f>
        <v>2117.03088505077</v>
      </c>
      <c r="M303" s="42" t="n">
        <f aca="false">BOM_COEF!W432*DEMANDA!K23*(1-INDEX(PY_VAL,MATCH("P_CABA_REC",PY_ID,0),6))</f>
        <v>2836.2989159595</v>
      </c>
      <c r="N303" s="42" t="n">
        <f aca="false">BOM_COEF!X432*DEMANDA!L23*(1-INDEX(PY_VAL,MATCH("P_CABA_REC",PY_ID,0),7))</f>
        <v>3472.1524847108</v>
      </c>
      <c r="O303" s="42" t="n">
        <f aca="false">BOM_COEF!Y432*DEMANDA!M23*(1-INDEX(PY_VAL,MATCH("P_CABA_REC",PY_ID,0),8))</f>
        <v>3845.33939288283</v>
      </c>
      <c r="P303" s="42" t="n">
        <f aca="false">BOM_COEF!Z432*DEMANDA!N23*(1-INDEX(PY_VAL,MATCH("P_CABA_REC",PY_ID,0),9))</f>
        <v>4148.14326515726</v>
      </c>
      <c r="Q303" s="42" t="n">
        <f aca="false">BOM_COEF!AA432*DEMANDA!O23*(1-INDEX(PY_VAL,MATCH("P_CABA_REC",PY_ID,0),10))</f>
        <v>4455.66817888749</v>
      </c>
      <c r="R303" s="24" t="s">
        <v>3329</v>
      </c>
    </row>
    <row r="304" customFormat="false" ht="15" hidden="false" customHeight="false" outlineLevel="1" collapsed="false">
      <c r="A304" s="24" t="n">
        <v>1</v>
      </c>
      <c r="B304" s="24" t="s">
        <v>1367</v>
      </c>
      <c r="C304" s="40" t="s">
        <v>3330</v>
      </c>
      <c r="D304" s="24" t="s">
        <v>82</v>
      </c>
      <c r="E304" s="24" t="s">
        <v>339</v>
      </c>
      <c r="F304" s="41" t="n">
        <f aca="false">INDEX((BOM_COEF!R432~BOM_COEF!S432~BOM_COEF!T432~BOM_COEF!U432~BOM_COEF!V432~BOM_COEF!W432~BOM_COEF!X432~BOM_COEF!Y432~BOM_COEF!Z432~BOM_COEF!AA432),1,1,INDEX(P_VAL,MATCH("AÑO_DIS",P_ID,0))-2025)</f>
        <v>1</v>
      </c>
      <c r="G304" s="24" t="s">
        <v>582</v>
      </c>
      <c r="H304" s="42" t="n">
        <f aca="false">BOM_COEF!R432*DEMANDA!F38*(1-INDEX(PY_VAL,MATCH("P_CABA_REC",PY_ID,0),1))</f>
        <v>1.48524704225235</v>
      </c>
      <c r="I304" s="42" t="n">
        <f aca="false">BOM_COEF!S432*DEMANDA!G38*(1-INDEX(PY_VAL,MATCH("P_CABA_REC",PY_ID,0),2))</f>
        <v>3.71536302743334</v>
      </c>
      <c r="J304" s="42" t="n">
        <f aca="false">BOM_COEF!T432*DEMANDA!H38*(1-INDEX(PY_VAL,MATCH("P_CABA_REC",PY_ID,0),3))</f>
        <v>8.92173248650059</v>
      </c>
      <c r="K304" s="42" t="n">
        <f aca="false">BOM_COEF!U432*DEMANDA!I38*(1-INDEX(PY_VAL,MATCH("P_CABA_REC",PY_ID,0),4))</f>
        <v>16.3643311426656</v>
      </c>
      <c r="L304" s="42" t="n">
        <f aca="false">BOM_COEF!V432*DEMANDA!J38*(1-INDEX(PY_VAL,MATCH("P_CABA_REC",PY_ID,0),5))</f>
        <v>23.0680110907917</v>
      </c>
      <c r="M304" s="42" t="n">
        <f aca="false">BOM_COEF!W432*DEMANDA!K38*(1-INDEX(PY_VAL,MATCH("P_CABA_REC",PY_ID,0),6))</f>
        <v>31.2630820007039</v>
      </c>
      <c r="N304" s="42" t="n">
        <f aca="false">BOM_COEF!X432*DEMANDA!L38*(1-INDEX(PY_VAL,MATCH("P_CABA_REC",PY_ID,0),7))</f>
        <v>37.9699829324306</v>
      </c>
      <c r="O304" s="42" t="n">
        <f aca="false">BOM_COEF!Y432*DEMANDA!M38*(1-INDEX(PY_VAL,MATCH("P_CABA_REC",PY_ID,0),8))</f>
        <v>41.6958849663379</v>
      </c>
      <c r="P304" s="42" t="n">
        <f aca="false">BOM_COEF!Z432*DEMANDA!N38*(1-INDEX(PY_VAL,MATCH("P_CABA_REC",PY_ID,0),9))</f>
        <v>45.4159070229322</v>
      </c>
      <c r="Q304" s="42" t="n">
        <f aca="false">BOM_COEF!AA432*DEMANDA!O38*(1-INDEX(PY_VAL,MATCH("P_CABA_REC",PY_ID,0),10))</f>
        <v>48.3830286354208</v>
      </c>
      <c r="R304" s="24" t="s">
        <v>3329</v>
      </c>
    </row>
    <row r="305" customFormat="false" ht="15" hidden="false" customHeight="false" outlineLevel="1" collapsed="false">
      <c r="A305" s="24" t="n">
        <v>1</v>
      </c>
      <c r="B305" s="24" t="s">
        <v>1367</v>
      </c>
      <c r="C305" s="40" t="s">
        <v>3331</v>
      </c>
      <c r="D305" s="24" t="s">
        <v>82</v>
      </c>
      <c r="E305" s="24" t="s">
        <v>296</v>
      </c>
      <c r="F305" s="41" t="n">
        <f aca="false">INDEX((BOM_COEF!R447~BOM_COEF!S447~BOM_COEF!T447~BOM_COEF!U447~BOM_COEF!V447~BOM_COEF!W447~BOM_COEF!X447~BOM_COEF!Y447~BOM_COEF!Z447~BOM_COEF!AA447),1,1,INDEX(P_VAL,MATCH("AÑO_DIS",P_ID,0))-2025)</f>
        <v>1</v>
      </c>
      <c r="G305" s="24" t="s">
        <v>582</v>
      </c>
      <c r="H305" s="42" t="n">
        <f aca="false">BOM_COEF!R447*DEMANDA!F24*(1-INDEX(PY_VAL,MATCH("P_CABA_REC",PY_ID,0),1))</f>
        <v>13.0982101782039</v>
      </c>
      <c r="I305" s="42" t="n">
        <f aca="false">BOM_COEF!S447*DEMANDA!G24*(1-INDEX(PY_VAL,MATCH("P_CABA_REC",PY_ID,0),2))</f>
        <v>63.895193001675</v>
      </c>
      <c r="J305" s="42" t="n">
        <f aca="false">BOM_COEF!T447*DEMANDA!H24*(1-INDEX(PY_VAL,MATCH("P_CABA_REC",PY_ID,0),3))</f>
        <v>138.933357443227</v>
      </c>
      <c r="K305" s="42" t="n">
        <f aca="false">BOM_COEF!U447*DEMANDA!I24*(1-INDEX(PY_VAL,MATCH("P_CABA_REC",PY_ID,0),4))</f>
        <v>250.362083089481</v>
      </c>
      <c r="L305" s="42" t="n">
        <f aca="false">BOM_COEF!V447*DEMANDA!J24*(1-INDEX(PY_VAL,MATCH("P_CABA_REC",PY_ID,0),5))</f>
        <v>360.257294617981</v>
      </c>
      <c r="M305" s="42" t="n">
        <f aca="false">BOM_COEF!W447*DEMANDA!K24*(1-INDEX(PY_VAL,MATCH("P_CABA_REC",PY_ID,0),6))</f>
        <v>478.786944125823</v>
      </c>
      <c r="N305" s="42" t="n">
        <f aca="false">BOM_COEF!X447*DEMANDA!L24*(1-INDEX(PY_VAL,MATCH("P_CABA_REC",PY_ID,0),7))</f>
        <v>589.9729358872</v>
      </c>
      <c r="O305" s="42" t="n">
        <f aca="false">BOM_COEF!Y447*DEMANDA!M24*(1-INDEX(PY_VAL,MATCH("P_CABA_REC",PY_ID,0),8))</f>
        <v>662.42677371763</v>
      </c>
      <c r="P305" s="42" t="n">
        <f aca="false">BOM_COEF!Z447*DEMANDA!N24*(1-INDEX(PY_VAL,MATCH("P_CABA_REC",PY_ID,0),9))</f>
        <v>718.696386840254</v>
      </c>
      <c r="Q305" s="42" t="n">
        <f aca="false">BOM_COEF!AA447*DEMANDA!O24*(1-INDEX(PY_VAL,MATCH("P_CABA_REC",PY_ID,0),10))</f>
        <v>775.572283665351</v>
      </c>
      <c r="R305" s="24" t="s">
        <v>3332</v>
      </c>
    </row>
    <row r="306" customFormat="false" ht="15" hidden="false" customHeight="false" outlineLevel="1" collapsed="false">
      <c r="A306" s="24" t="n">
        <v>1</v>
      </c>
      <c r="B306" s="24" t="s">
        <v>1367</v>
      </c>
      <c r="C306" s="40" t="s">
        <v>3333</v>
      </c>
      <c r="D306" s="24" t="s">
        <v>82</v>
      </c>
      <c r="E306" s="24" t="s">
        <v>300</v>
      </c>
      <c r="F306" s="41" t="n">
        <f aca="false">INDEX((BOM_COEF!R462~BOM_COEF!S462~BOM_COEF!T462~BOM_COEF!U462~BOM_COEF!V462~BOM_COEF!W462~BOM_COEF!X462~BOM_COEF!Y462~BOM_COEF!Z462~BOM_COEF!AA462),1,1,INDEX(P_VAL,MATCH("AÑO_DIS",P_ID,0))-2025)</f>
        <v>1</v>
      </c>
      <c r="G306" s="24" t="s">
        <v>582</v>
      </c>
      <c r="H306" s="42" t="n">
        <f aca="false">BOM_COEF!R462*DEMANDA!F25*(1-INDEX(PY_VAL,MATCH("P_CABA_REC",PY_ID,0),1))</f>
        <v>28.816062389078</v>
      </c>
      <c r="I306" s="42" t="n">
        <f aca="false">BOM_COEF!S462*DEMANDA!G25*(1-INDEX(PY_VAL,MATCH("P_CABA_REC",PY_ID,0),2))</f>
        <v>140.569424618546</v>
      </c>
      <c r="J306" s="42" t="n">
        <f aca="false">BOM_COEF!T462*DEMANDA!H25*(1-INDEX(PY_VAL,MATCH("P_CABA_REC",PY_ID,0),3))</f>
        <v>305.65338633049</v>
      </c>
      <c r="K306" s="42" t="n">
        <f aca="false">BOM_COEF!U462*DEMANDA!I25*(1-INDEX(PY_VAL,MATCH("P_CABA_REC",PY_ID,0),4))</f>
        <v>550.796582752228</v>
      </c>
      <c r="L306" s="42" t="n">
        <f aca="false">BOM_COEF!V462*DEMANDA!J25*(1-INDEX(PY_VAL,MATCH("P_CABA_REC",PY_ID,0),5))</f>
        <v>792.566048204207</v>
      </c>
      <c r="M306" s="42" t="n">
        <f aca="false">BOM_COEF!W462*DEMANDA!K25*(1-INDEX(PY_VAL,MATCH("P_CABA_REC",PY_ID,0),6))</f>
        <v>1053.33127716613</v>
      </c>
      <c r="N306" s="42" t="n">
        <f aca="false">BOM_COEF!X462*DEMANDA!L25*(1-INDEX(PY_VAL,MATCH("P_CABA_REC",PY_ID,0),7))</f>
        <v>1297.94045890717</v>
      </c>
      <c r="O306" s="42" t="n">
        <f aca="false">BOM_COEF!Y462*DEMANDA!M25*(1-INDEX(PY_VAL,MATCH("P_CABA_REC",PY_ID,0),8))</f>
        <v>1457.33890188096</v>
      </c>
      <c r="P306" s="42" t="n">
        <f aca="false">BOM_COEF!Z462*DEMANDA!N25*(1-INDEX(PY_VAL,MATCH("P_CABA_REC",PY_ID,0),9))</f>
        <v>1581.13205112301</v>
      </c>
      <c r="Q306" s="42" t="n">
        <f aca="false">BOM_COEF!AA462*DEMANDA!O25*(1-INDEX(PY_VAL,MATCH("P_CABA_REC",PY_ID,0),10))</f>
        <v>1706.25902302168</v>
      </c>
      <c r="R306" s="24" t="s">
        <v>3334</v>
      </c>
    </row>
    <row r="307" customFormat="false" ht="15" hidden="false" customHeight="false" outlineLevel="1" collapsed="false">
      <c r="A307" s="24" t="n">
        <v>1</v>
      </c>
      <c r="B307" s="24" t="s">
        <v>1367</v>
      </c>
      <c r="C307" s="40" t="s">
        <v>3335</v>
      </c>
      <c r="D307" s="24" t="s">
        <v>82</v>
      </c>
      <c r="E307" s="24" t="s">
        <v>366</v>
      </c>
      <c r="F307" s="41" t="n">
        <f aca="false">INDEX((BOM_COEF!R462~BOM_COEF!S462~BOM_COEF!T462~BOM_COEF!U462~BOM_COEF!V462~BOM_COEF!W462~BOM_COEF!X462~BOM_COEF!Y462~BOM_COEF!Z462~BOM_COEF!AA462),1,1,INDEX(P_VAL,MATCH("AÑO_DIS",P_ID,0))-2025)</f>
        <v>1</v>
      </c>
      <c r="G307" s="24" t="s">
        <v>582</v>
      </c>
      <c r="H307" s="42" t="n">
        <f aca="false">BOM_COEF!R462*DEMANDA!F47*(1-INDEX(PY_VAL,MATCH("P_CABA_REC",PY_ID,0),1))</f>
        <v>0.742623521126174</v>
      </c>
      <c r="I307" s="42" t="n">
        <f aca="false">BOM_COEF!S462*DEMANDA!G47*(1-INDEX(PY_VAL,MATCH("P_CABA_REC",PY_ID,0),2))</f>
        <v>2.22921781646</v>
      </c>
      <c r="J307" s="42" t="n">
        <f aca="false">BOM_COEF!T462*DEMANDA!H47*(1-INDEX(PY_VAL,MATCH("P_CABA_REC",PY_ID,0),3))</f>
        <v>5.20434395045868</v>
      </c>
      <c r="K307" s="42" t="n">
        <f aca="false">BOM_COEF!U462*DEMANDA!I47*(1-INDEX(PY_VAL,MATCH("P_CABA_REC",PY_ID,0),4))</f>
        <v>8.92599880509031</v>
      </c>
      <c r="L307" s="42" t="n">
        <f aca="false">BOM_COEF!V462*DEMANDA!J47*(1-INDEX(PY_VAL,MATCH("P_CABA_REC",PY_ID,0),5))</f>
        <v>12.6501996304342</v>
      </c>
      <c r="M307" s="42" t="n">
        <f aca="false">BOM_COEF!W462*DEMANDA!K47*(1-INDEX(PY_VAL,MATCH("P_CABA_REC",PY_ID,0),6))</f>
        <v>17.1202591908617</v>
      </c>
      <c r="N307" s="42" t="n">
        <f aca="false">BOM_COEF!X462*DEMANDA!L47*(1-INDEX(PY_VAL,MATCH("P_CABA_REC",PY_ID,0),7))</f>
        <v>20.8462651393736</v>
      </c>
      <c r="O307" s="42" t="n">
        <f aca="false">BOM_COEF!Y462*DEMANDA!M47*(1-INDEX(PY_VAL,MATCH("P_CABA_REC",PY_ID,0),8))</f>
        <v>23.0816506063656</v>
      </c>
      <c r="P307" s="42" t="n">
        <f aca="false">BOM_COEF!Z462*DEMANDA!N47*(1-INDEX(PY_VAL,MATCH("P_CABA_REC",PY_ID,0),9))</f>
        <v>25.3137842422901</v>
      </c>
      <c r="Q307" s="42" t="n">
        <f aca="false">BOM_COEF!AA462*DEMANDA!O47*(1-INDEX(PY_VAL,MATCH("P_CABA_REC",PY_ID,0),10))</f>
        <v>26.7967543211562</v>
      </c>
      <c r="R307" s="24" t="s">
        <v>3334</v>
      </c>
    </row>
    <row r="308" customFormat="false" ht="15" hidden="false" customHeight="false" outlineLevel="1" collapsed="false">
      <c r="A308" s="24" t="n">
        <v>1</v>
      </c>
      <c r="B308" s="24" t="s">
        <v>1367</v>
      </c>
      <c r="C308" s="40" t="s">
        <v>3336</v>
      </c>
      <c r="D308" s="24" t="s">
        <v>82</v>
      </c>
      <c r="E308" s="24" t="s">
        <v>303</v>
      </c>
      <c r="F308" s="41" t="n">
        <f aca="false">INDEX((BOM_COEF!R477~BOM_COEF!S477~BOM_COEF!T477~BOM_COEF!U477~BOM_COEF!V477~BOM_COEF!W477~BOM_COEF!X477~BOM_COEF!Y477~BOM_COEF!Z477~BOM_COEF!AA477),1,1,INDEX(P_VAL,MATCH("AÑO_DIS",P_ID,0))-2025)</f>
        <v>1</v>
      </c>
      <c r="G308" s="24" t="s">
        <v>582</v>
      </c>
      <c r="H308" s="42" t="n">
        <f aca="false">BOM_COEF!R477*DEMANDA!F26*(1-INDEX(PY_VAL,MATCH("P_CABA_REC",PY_ID,0),1))</f>
        <v>6.28714088509228</v>
      </c>
      <c r="I308" s="42" t="n">
        <f aca="false">BOM_COEF!S477*DEMANDA!G26*(1-INDEX(PY_VAL,MATCH("P_CABA_REC",PY_ID,0),2))</f>
        <v>30.6696926393179</v>
      </c>
      <c r="J308" s="42" t="n">
        <f aca="false">BOM_COEF!T477*DEMANDA!H26*(1-INDEX(PY_VAL,MATCH("P_CABA_REC",PY_ID,0),3))</f>
        <v>66.68801156234</v>
      </c>
      <c r="K308" s="42" t="n">
        <f aca="false">BOM_COEF!U477*DEMANDA!I26*(1-INDEX(PY_VAL,MATCH("P_CABA_REC",PY_ID,0),4))</f>
        <v>120.173799894852</v>
      </c>
      <c r="L308" s="42" t="n">
        <f aca="false">BOM_COEF!V477*DEMANDA!J26*(1-INDEX(PY_VAL,MATCH("P_CABA_REC",PY_ID,0),5))</f>
        <v>172.923501419608</v>
      </c>
      <c r="M308" s="42" t="n">
        <f aca="false">BOM_COEF!W477*DEMANDA!K26*(1-INDEX(PY_VAL,MATCH("P_CABA_REC",PY_ID,0),6))</f>
        <v>229.81773318635</v>
      </c>
      <c r="N308" s="42" t="n">
        <f aca="false">BOM_COEF!X477*DEMANDA!L26*(1-INDEX(PY_VAL,MATCH("P_CABA_REC",PY_ID,0),7))</f>
        <v>283.187009222878</v>
      </c>
      <c r="O308" s="42" t="n">
        <f aca="false">BOM_COEF!Y477*DEMANDA!M26*(1-INDEX(PY_VAL,MATCH("P_CABA_REC",PY_ID,0),8))</f>
        <v>317.964851339788</v>
      </c>
      <c r="P308" s="42" t="n">
        <f aca="false">BOM_COEF!Z477*DEMANDA!N26*(1-INDEX(PY_VAL,MATCH("P_CABA_REC",PY_ID,0),9))</f>
        <v>344.974265713103</v>
      </c>
      <c r="Q308" s="42" t="n">
        <f aca="false">BOM_COEF!AA477*DEMANDA!O26*(1-INDEX(PY_VAL,MATCH("P_CABA_REC",PY_ID,0),10))</f>
        <v>372.274695965837</v>
      </c>
      <c r="R308" s="24" t="s">
        <v>3337</v>
      </c>
    </row>
    <row r="309" customFormat="false" ht="15" hidden="false" customHeight="false" outlineLevel="1" collapsed="false">
      <c r="A309" s="24" t="n">
        <v>1</v>
      </c>
      <c r="B309" s="24" t="s">
        <v>1367</v>
      </c>
      <c r="C309" s="40" t="s">
        <v>3338</v>
      </c>
      <c r="D309" s="24" t="s">
        <v>82</v>
      </c>
      <c r="E309" s="24" t="s">
        <v>306</v>
      </c>
      <c r="F309" s="41" t="n">
        <f aca="false">INDEX((BOM_COEF!R492~BOM_COEF!S492~BOM_COEF!T492~BOM_COEF!U492~BOM_COEF!V492~BOM_COEF!W492~BOM_COEF!X492~BOM_COEF!Y492~BOM_COEF!Z492~BOM_COEF!AA492),1,1,INDEX(P_VAL,MATCH("AÑO_DIS",P_ID,0))-2025)</f>
        <v>1</v>
      </c>
      <c r="G309" s="24" t="s">
        <v>582</v>
      </c>
      <c r="H309" s="42" t="n">
        <f aca="false">BOM_COEF!R492*DEMANDA!F27*(1-INDEX(PY_VAL,MATCH("P_CABA_REC",PY_ID,0),1))</f>
        <v>4.19142725672818</v>
      </c>
      <c r="I309" s="42" t="n">
        <f aca="false">BOM_COEF!S492*DEMANDA!G27*(1-INDEX(PY_VAL,MATCH("P_CABA_REC",PY_ID,0),2))</f>
        <v>20.4464617620221</v>
      </c>
      <c r="J309" s="42" t="n">
        <f aca="false">BOM_COEF!T492*DEMANDA!H27*(1-INDEX(PY_VAL,MATCH("P_CABA_REC",PY_ID,0),3))</f>
        <v>44.4586743773716</v>
      </c>
      <c r="K309" s="42" t="n">
        <f aca="false">BOM_COEF!U492*DEMANDA!I27*(1-INDEX(PY_VAL,MATCH("P_CABA_REC",PY_ID,0),4))</f>
        <v>80.1158665469793</v>
      </c>
      <c r="L309" s="42" t="n">
        <f aca="false">BOM_COEF!V492*DEMANDA!J27*(1-INDEX(PY_VAL,MATCH("P_CABA_REC",PY_ID,0),5))</f>
        <v>115.282334304543</v>
      </c>
      <c r="M309" s="42" t="n">
        <f aca="false">BOM_COEF!W492*DEMANDA!K27*(1-INDEX(PY_VAL,MATCH("P_CABA_REC",PY_ID,0),6))</f>
        <v>153.211822099421</v>
      </c>
      <c r="N309" s="42" t="n">
        <f aca="false">BOM_COEF!X492*DEMANDA!L27*(1-INDEX(PY_VAL,MATCH("P_CABA_REC",PY_ID,0),7))</f>
        <v>188.791339457102</v>
      </c>
      <c r="O309" s="42" t="n">
        <f aca="false">BOM_COEF!Y492*DEMANDA!M27*(1-INDEX(PY_VAL,MATCH("P_CABA_REC",PY_ID,0),8))</f>
        <v>211.976567559859</v>
      </c>
      <c r="P309" s="42" t="n">
        <f aca="false">BOM_COEF!Z492*DEMANDA!N27*(1-INDEX(PY_VAL,MATCH("P_CABA_REC",PY_ID,0),9))</f>
        <v>229.9828437591</v>
      </c>
      <c r="Q309" s="42" t="n">
        <f aca="false">BOM_COEF!AA492*DEMANDA!O27*(1-INDEX(PY_VAL,MATCH("P_CABA_REC",PY_ID,0),10))</f>
        <v>248.183130668703</v>
      </c>
      <c r="R309" s="24" t="s">
        <v>3339</v>
      </c>
    </row>
    <row r="310" customFormat="false" ht="15" hidden="false" customHeight="false" outlineLevel="1" collapsed="false">
      <c r="A310" s="24" t="n">
        <v>1</v>
      </c>
      <c r="B310" s="24" t="s">
        <v>1367</v>
      </c>
      <c r="C310" s="40" t="s">
        <v>3340</v>
      </c>
      <c r="D310" s="24" t="s">
        <v>82</v>
      </c>
      <c r="E310" s="24" t="s">
        <v>369</v>
      </c>
      <c r="F310" s="41" t="n">
        <f aca="false">INDEX((BOM_COEF!R492~BOM_COEF!S492~BOM_COEF!T492~BOM_COEF!U492~BOM_COEF!V492~BOM_COEF!W492~BOM_COEF!X492~BOM_COEF!Y492~BOM_COEF!Z492~BOM_COEF!AA492),1,1,INDEX(P_VAL,MATCH("AÑO_DIS",P_ID,0))-2025)</f>
        <v>1</v>
      </c>
      <c r="G310" s="24" t="s">
        <v>582</v>
      </c>
      <c r="H310" s="42" t="n">
        <f aca="false">BOM_COEF!R492*DEMANDA!F48*(1-INDEX(PY_VAL,MATCH("P_CABA_REC",PY_ID,0),1))</f>
        <v>0.742623521126174</v>
      </c>
      <c r="I310" s="42" t="n">
        <f aca="false">BOM_COEF!S492*DEMANDA!G48*(1-INDEX(PY_VAL,MATCH("P_CABA_REC",PY_ID,0),2))</f>
        <v>0.743072605486667</v>
      </c>
      <c r="J310" s="42" t="n">
        <f aca="false">BOM_COEF!T492*DEMANDA!H48*(1-INDEX(PY_VAL,MATCH("P_CABA_REC",PY_ID,0),3))</f>
        <v>1.48695541441677</v>
      </c>
      <c r="K310" s="42" t="n">
        <f aca="false">BOM_COEF!U492*DEMANDA!I48*(1-INDEX(PY_VAL,MATCH("P_CABA_REC",PY_ID,0),4))</f>
        <v>2.23149970127258</v>
      </c>
      <c r="L310" s="42" t="n">
        <f aca="false">BOM_COEF!V492*DEMANDA!J48*(1-INDEX(PY_VAL,MATCH("P_CABA_REC",PY_ID,0),5))</f>
        <v>3.7206469501277</v>
      </c>
      <c r="M310" s="42" t="n">
        <f aca="false">BOM_COEF!W492*DEMANDA!K48*(1-INDEX(PY_VAL,MATCH("P_CABA_REC",PY_ID,0),6))</f>
        <v>4.46615457152913</v>
      </c>
      <c r="N310" s="42" t="n">
        <f aca="false">BOM_COEF!X492*DEMANDA!L48*(1-INDEX(PY_VAL,MATCH("P_CABA_REC",PY_ID,0),7))</f>
        <v>5.21156628484341</v>
      </c>
      <c r="O310" s="42" t="n">
        <f aca="false">BOM_COEF!Y492*DEMANDA!M48*(1-INDEX(PY_VAL,MATCH("P_CABA_REC",PY_ID,0),8))</f>
        <v>5.95655499519113</v>
      </c>
      <c r="P310" s="42" t="n">
        <f aca="false">BOM_COEF!Z492*DEMANDA!N48*(1-INDEX(PY_VAL,MATCH("P_CABA_REC",PY_ID,0),9))</f>
        <v>6.70070759354737</v>
      </c>
      <c r="Q310" s="42" t="n">
        <f aca="false">BOM_COEF!AA492*DEMANDA!O48*(1-INDEX(PY_VAL,MATCH("P_CABA_REC",PY_ID,0),10))</f>
        <v>6.69918858028904</v>
      </c>
      <c r="R310" s="24" t="s">
        <v>3339</v>
      </c>
    </row>
    <row r="311" customFormat="false" ht="15" hidden="false" customHeight="false" outlineLevel="1" collapsed="false">
      <c r="A311" s="24" t="n">
        <v>1</v>
      </c>
      <c r="B311" s="24" t="s">
        <v>1367</v>
      </c>
      <c r="C311" s="40" t="s">
        <v>3341</v>
      </c>
      <c r="D311" s="24" t="s">
        <v>82</v>
      </c>
      <c r="E311" s="24" t="s">
        <v>309</v>
      </c>
      <c r="F311" s="41" t="n">
        <f aca="false">INDEX((BOM_COEF!R505~BOM_COEF!S505~BOM_COEF!T505~BOM_COEF!U505~BOM_COEF!V505~BOM_COEF!W505~BOM_COEF!X505~BOM_COEF!Y505~BOM_COEF!Z505~BOM_COEF!AA505),1,1,INDEX(P_VAL,MATCH("AÑO_DIS",P_ID,0))-2025)</f>
        <v>1</v>
      </c>
      <c r="G311" s="24" t="s">
        <v>582</v>
      </c>
      <c r="H311" s="42" t="n">
        <f aca="false">BOM_COEF!R505*DEMANDA!F28*(1-INDEX(PY_VAL,MATCH("P_CABA_REC",PY_ID,0),1))</f>
        <v>118.30641447448</v>
      </c>
      <c r="I311" s="42" t="n">
        <f aca="false">BOM_COEF!S505*DEMANDA!G28*(1-INDEX(PY_VAL,MATCH("P_CABA_REC",PY_ID,0),2))</f>
        <v>478.110407636786</v>
      </c>
      <c r="J311" s="42" t="n">
        <f aca="false">BOM_COEF!T505*DEMANDA!H28*(1-INDEX(PY_VAL,MATCH("P_CABA_REC",PY_ID,0),3))</f>
        <v>1096.15583027215</v>
      </c>
      <c r="K311" s="42" t="n">
        <f aca="false">BOM_COEF!U505*DEMANDA!I28*(1-INDEX(PY_VAL,MATCH("P_CABA_REC",PY_ID,0),4))</f>
        <v>2057.77834584756</v>
      </c>
      <c r="L311" s="42" t="n">
        <f aca="false">BOM_COEF!V505*DEMANDA!J28*(1-INDEX(PY_VAL,MATCH("P_CABA_REC",PY_ID,0),5))</f>
        <v>2970.16658021089</v>
      </c>
      <c r="M311" s="42" t="n">
        <f aca="false">BOM_COEF!W505*DEMANDA!K28*(1-INDEX(PY_VAL,MATCH("P_CABA_REC",PY_ID,0),6))</f>
        <v>3971.71834490166</v>
      </c>
      <c r="N311" s="42" t="n">
        <f aca="false">BOM_COEF!X505*DEMANDA!L28*(1-INDEX(PY_VAL,MATCH("P_CABA_REC",PY_ID,0),7))</f>
        <v>4868.3168104952</v>
      </c>
      <c r="O311" s="42" t="n">
        <f aca="false">BOM_COEF!Y505*DEMANDA!M28*(1-INDEX(PY_VAL,MATCH("P_CABA_REC",PY_ID,0),8))</f>
        <v>5412.88509187492</v>
      </c>
      <c r="P311" s="42" t="n">
        <f aca="false">BOM_COEF!Z505*DEMANDA!N28*(1-INDEX(PY_VAL,MATCH("P_CABA_REC",PY_ID,0),9))</f>
        <v>5848.55730807103</v>
      </c>
      <c r="Q311" s="42" t="n">
        <f aca="false">BOM_COEF!AA505*DEMANDA!O28*(1-INDEX(PY_VAL,MATCH("P_CABA_REC",PY_ID,0),10))</f>
        <v>6290.39968728678</v>
      </c>
      <c r="R311" s="24" t="s">
        <v>3342</v>
      </c>
    </row>
    <row r="312" customFormat="false" ht="15" hidden="false" customHeight="false" outlineLevel="1" collapsed="false">
      <c r="A312" s="24" t="n">
        <v>1</v>
      </c>
      <c r="B312" s="24" t="s">
        <v>1367</v>
      </c>
      <c r="C312" s="40" t="s">
        <v>3343</v>
      </c>
      <c r="D312" s="24" t="s">
        <v>82</v>
      </c>
      <c r="E312" s="24" t="s">
        <v>342</v>
      </c>
      <c r="F312" s="41" t="n">
        <f aca="false">INDEX((BOM_COEF!R505~BOM_COEF!S505~BOM_COEF!T505~BOM_COEF!U505~BOM_COEF!V505~BOM_COEF!W505~BOM_COEF!X505~BOM_COEF!Y505~BOM_COEF!Z505~BOM_COEF!AA505),1,1,INDEX(P_VAL,MATCH("AÑO_DIS",P_ID,0))-2025)</f>
        <v>1</v>
      </c>
      <c r="G312" s="24" t="s">
        <v>582</v>
      </c>
      <c r="H312" s="42" t="n">
        <f aca="false">BOM_COEF!R505*DEMANDA!F39*(1-INDEX(PY_VAL,MATCH("P_CABA_REC",PY_ID,0),1))</f>
        <v>1.48524704225235</v>
      </c>
      <c r="I312" s="42" t="n">
        <f aca="false">BOM_COEF!S505*DEMANDA!G39*(1-INDEX(PY_VAL,MATCH("P_CABA_REC",PY_ID,0),2))</f>
        <v>5.20150823840667</v>
      </c>
      <c r="J312" s="42" t="n">
        <f aca="false">BOM_COEF!T505*DEMANDA!H39*(1-INDEX(PY_VAL,MATCH("P_CABA_REC",PY_ID,0),3))</f>
        <v>11.8956433153341</v>
      </c>
      <c r="K312" s="42" t="n">
        <f aca="false">BOM_COEF!U505*DEMANDA!I39*(1-INDEX(PY_VAL,MATCH("P_CABA_REC",PY_ID,0),4))</f>
        <v>22.3149970127258</v>
      </c>
      <c r="L312" s="42" t="n">
        <f aca="false">BOM_COEF!V505*DEMANDA!J39*(1-INDEX(PY_VAL,MATCH("P_CABA_REC",PY_ID,0),5))</f>
        <v>32.7416931611238</v>
      </c>
      <c r="M312" s="42" t="n">
        <f aca="false">BOM_COEF!W505*DEMANDA!K39*(1-INDEX(PY_VAL,MATCH("P_CABA_REC",PY_ID,0),6))</f>
        <v>43.1728275247816</v>
      </c>
      <c r="N312" s="42" t="n">
        <f aca="false">BOM_COEF!X505*DEMANDA!L39*(1-INDEX(PY_VAL,MATCH("P_CABA_REC",PY_ID,0),7))</f>
        <v>52.8601723176975</v>
      </c>
      <c r="O312" s="42" t="n">
        <f aca="false">BOM_COEF!Y505*DEMANDA!M39*(1-INDEX(PY_VAL,MATCH("P_CABA_REC",PY_ID,0),8))</f>
        <v>58.8209805775124</v>
      </c>
      <c r="P312" s="42" t="n">
        <f aca="false">BOM_COEF!Z505*DEMANDA!N39*(1-INDEX(PY_VAL,MATCH("P_CABA_REC",PY_ID,0),9))</f>
        <v>63.2844606057251</v>
      </c>
      <c r="Q312" s="42" t="n">
        <f aca="false">BOM_COEF!AA505*DEMANDA!O39*(1-INDEX(PY_VAL,MATCH("P_CABA_REC",PY_ID,0),10))</f>
        <v>68.4805943762879</v>
      </c>
      <c r="R312" s="24" t="s">
        <v>3342</v>
      </c>
    </row>
    <row r="313" customFormat="false" ht="15" hidden="false" customHeight="false" outlineLevel="1" collapsed="false">
      <c r="A313" s="24" t="n">
        <v>1</v>
      </c>
      <c r="B313" s="24" t="s">
        <v>1367</v>
      </c>
      <c r="C313" s="40" t="s">
        <v>3344</v>
      </c>
      <c r="D313" s="24" t="s">
        <v>82</v>
      </c>
      <c r="E313" s="24" t="s">
        <v>312</v>
      </c>
      <c r="F313" s="41" t="n">
        <f aca="false">INDEX((BOM_COEF!R519~BOM_COEF!S519~BOM_COEF!T519~BOM_COEF!U519~BOM_COEF!V519~BOM_COEF!W519~BOM_COEF!X519~BOM_COEF!Y519~BOM_COEF!Z519~BOM_COEF!AA519),1,1,INDEX(P_VAL,MATCH("AÑO_DIS",P_ID,0))-2025)</f>
        <v>1</v>
      </c>
      <c r="G313" s="24" t="s">
        <v>582</v>
      </c>
      <c r="H313" s="42" t="n">
        <f aca="false">BOM_COEF!R519*DEMANDA!F29*(1-INDEX(PY_VAL,MATCH("P_CABA_REC",PY_ID,0),1))</f>
        <v>16.9009163556189</v>
      </c>
      <c r="I313" s="42" t="n">
        <f aca="false">BOM_COEF!S519*DEMANDA!G29*(1-INDEX(PY_VAL,MATCH("P_CABA_REC",PY_ID,0),2))</f>
        <v>119.869315401608</v>
      </c>
      <c r="J313" s="42" t="n">
        <f aca="false">BOM_COEF!T519*DEMANDA!H29*(1-INDEX(PY_VAL,MATCH("P_CABA_REC",PY_ID,0),3))</f>
        <v>235.390451720319</v>
      </c>
      <c r="K313" s="42" t="n">
        <f aca="false">BOM_COEF!U519*DEMANDA!I29*(1-INDEX(PY_VAL,MATCH("P_CABA_REC",PY_ID,0),4))</f>
        <v>392.293645586538</v>
      </c>
      <c r="L313" s="42" t="n">
        <f aca="false">BOM_COEF!V519*DEMANDA!J29*(1-INDEX(PY_VAL,MATCH("P_CABA_REC",PY_ID,0),5))</f>
        <v>553.475214917958</v>
      </c>
      <c r="M313" s="42" t="n">
        <f aca="false">BOM_COEF!W519*DEMANDA!K29*(1-INDEX(PY_VAL,MATCH("P_CABA_REC",PY_ID,0),6))</f>
        <v>716.724268993592</v>
      </c>
      <c r="N313" s="42" t="n">
        <f aca="false">BOM_COEF!X519*DEMANDA!L29*(1-INDEX(PY_VAL,MATCH("P_CABA_REC",PY_ID,0),7))</f>
        <v>889.64578833394</v>
      </c>
      <c r="O313" s="42" t="n">
        <f aca="false">BOM_COEF!Y519*DEMANDA!M29*(1-INDEX(PY_VAL,MATCH("P_CABA_REC",PY_ID,0),8))</f>
        <v>1006.3727603731</v>
      </c>
      <c r="P313" s="42" t="n">
        <f aca="false">BOM_COEF!Z519*DEMANDA!N29*(1-INDEX(PY_VAL,MATCH("P_CABA_REC",PY_ID,0),9))</f>
        <v>1100.0692073377</v>
      </c>
      <c r="Q313" s="42" t="n">
        <f aca="false">BOM_COEF!AA519*DEMANDA!O29*(1-INDEX(PY_VAL,MATCH("P_CABA_REC",PY_ID,0),10))</f>
        <v>1194.27285022279</v>
      </c>
      <c r="R313" s="24" t="s">
        <v>3345</v>
      </c>
    </row>
    <row r="314" customFormat="false" ht="15" hidden="false" customHeight="false" outlineLevel="1" collapsed="false">
      <c r="A314" s="24" t="n">
        <v>1</v>
      </c>
      <c r="B314" s="24" t="s">
        <v>1367</v>
      </c>
      <c r="C314" s="40" t="s">
        <v>3346</v>
      </c>
      <c r="D314" s="24" t="s">
        <v>82</v>
      </c>
      <c r="E314" s="24" t="s">
        <v>345</v>
      </c>
      <c r="F314" s="41" t="n">
        <f aca="false">INDEX((BOM_COEF!R519~BOM_COEF!S519~BOM_COEF!T519~BOM_COEF!U519~BOM_COEF!V519~BOM_COEF!W519~BOM_COEF!X519~BOM_COEF!Y519~BOM_COEF!Z519~BOM_COEF!AA519),1,1,INDEX(P_VAL,MATCH("AÑO_DIS",P_ID,0))-2025)</f>
        <v>1</v>
      </c>
      <c r="G314" s="24" t="s">
        <v>582</v>
      </c>
      <c r="H314" s="42" t="n">
        <f aca="false">BOM_COEF!R519*DEMANDA!F40*(1-INDEX(PY_VAL,MATCH("P_CABA_REC",PY_ID,0),1))</f>
        <v>0.742623521126174</v>
      </c>
      <c r="I314" s="42" t="n">
        <f aca="false">BOM_COEF!S519*DEMANDA!G40*(1-INDEX(PY_VAL,MATCH("P_CABA_REC",PY_ID,0),2))</f>
        <v>1.48614521097333</v>
      </c>
      <c r="J314" s="42" t="n">
        <f aca="false">BOM_COEF!T519*DEMANDA!H40*(1-INDEX(PY_VAL,MATCH("P_CABA_REC",PY_ID,0),3))</f>
        <v>2.97391082883353</v>
      </c>
      <c r="K314" s="42" t="n">
        <f aca="false">BOM_COEF!U519*DEMANDA!I40*(1-INDEX(PY_VAL,MATCH("P_CABA_REC",PY_ID,0),4))</f>
        <v>4.46299940254516</v>
      </c>
      <c r="L314" s="42" t="n">
        <f aca="false">BOM_COEF!V519*DEMANDA!J40*(1-INDEX(PY_VAL,MATCH("P_CABA_REC",PY_ID,0),5))</f>
        <v>6.69716451022986</v>
      </c>
      <c r="M314" s="42" t="n">
        <f aca="false">BOM_COEF!W519*DEMANDA!K40*(1-INDEX(PY_VAL,MATCH("P_CABA_REC",PY_ID,0),6))</f>
        <v>8.18795004780341</v>
      </c>
      <c r="N314" s="42" t="n">
        <f aca="false">BOM_COEF!X519*DEMANDA!L40*(1-INDEX(PY_VAL,MATCH("P_CABA_REC",PY_ID,0),7))</f>
        <v>9.67862310042348</v>
      </c>
      <c r="O314" s="42" t="n">
        <f aca="false">BOM_COEF!Y519*DEMANDA!M40*(1-INDEX(PY_VAL,MATCH("P_CABA_REC",PY_ID,0),8))</f>
        <v>11.1685406159834</v>
      </c>
      <c r="P314" s="42" t="n">
        <f aca="false">BOM_COEF!Z519*DEMANDA!N40*(1-INDEX(PY_VAL,MATCH("P_CABA_REC",PY_ID,0),9))</f>
        <v>11.9123690551953</v>
      </c>
      <c r="Q314" s="42" t="n">
        <f aca="false">BOM_COEF!AA519*DEMANDA!O40*(1-INDEX(PY_VAL,MATCH("P_CABA_REC",PY_ID,0),10))</f>
        <v>13.3983771605781</v>
      </c>
      <c r="R314" s="24" t="s">
        <v>3345</v>
      </c>
    </row>
    <row r="315" customFormat="false" ht="15" hidden="false" customHeight="false" outlineLevel="1" collapsed="false">
      <c r="A315" s="24" t="n">
        <v>1</v>
      </c>
      <c r="B315" s="24" t="s">
        <v>1367</v>
      </c>
      <c r="C315" s="40" t="s">
        <v>3347</v>
      </c>
      <c r="D315" s="24" t="s">
        <v>82</v>
      </c>
      <c r="E315" s="24" t="s">
        <v>315</v>
      </c>
      <c r="F315" s="41" t="n">
        <f aca="false">INDEX((BOM_COEF!R533~BOM_COEF!S533~BOM_COEF!T533~BOM_COEF!U533~BOM_COEF!V533~BOM_COEF!W533~BOM_COEF!X533~BOM_COEF!Y533~BOM_COEF!Z533~BOM_COEF!AA533),1,1,INDEX(P_VAL,MATCH("AÑO_DIS",P_ID,0))-2025)</f>
        <v>1</v>
      </c>
      <c r="G315" s="24" t="s">
        <v>582</v>
      </c>
      <c r="H315" s="42" t="n">
        <f aca="false">BOM_COEF!R533*DEMANDA!F30*(1-INDEX(PY_VAL,MATCH("P_CABA_REC",PY_ID,0),1))</f>
        <v>8.45045817780947</v>
      </c>
      <c r="I315" s="42" t="n">
        <f aca="false">BOM_COEF!S533*DEMANDA!G30*(1-INDEX(PY_VAL,MATCH("P_CABA_REC",PY_ID,0),2))</f>
        <v>61.8411175766656</v>
      </c>
      <c r="J315" s="42" t="n">
        <f aca="false">BOM_COEF!T533*DEMANDA!H30*(1-INDEX(PY_VAL,MATCH("P_CABA_REC",PY_ID,0),3))</f>
        <v>122.275193997977</v>
      </c>
      <c r="K315" s="42" t="n">
        <f aca="false">BOM_COEF!U533*DEMANDA!I30*(1-INDEX(PY_VAL,MATCH("P_CABA_REC",PY_ID,0),4))</f>
        <v>209.270893897545</v>
      </c>
      <c r="L315" s="42" t="n">
        <f aca="false">BOM_COEF!V533*DEMANDA!J30*(1-INDEX(PY_VAL,MATCH("P_CABA_REC",PY_ID,0),5))</f>
        <v>296.83508077624</v>
      </c>
      <c r="M315" s="42" t="n">
        <f aca="false">BOM_COEF!W533*DEMANDA!K30*(1-INDEX(PY_VAL,MATCH("P_CABA_REC",PY_ID,0),6))</f>
        <v>382.993063899921</v>
      </c>
      <c r="N315" s="42" t="n">
        <f aca="false">BOM_COEF!X533*DEMANDA!L30*(1-INDEX(PY_VAL,MATCH("P_CABA_REC",PY_ID,0),7))</f>
        <v>468.345225333879</v>
      </c>
      <c r="O315" s="42" t="n">
        <f aca="false">BOM_COEF!Y533*DEMANDA!M30*(1-INDEX(PY_VAL,MATCH("P_CABA_REC",PY_ID,0),8))</f>
        <v>529.521376192549</v>
      </c>
      <c r="P315" s="42" t="n">
        <f aca="false">BOM_COEF!Z533*DEMANDA!N30*(1-INDEX(PY_VAL,MATCH("P_CABA_REC",PY_ID,0),9))</f>
        <v>575.822313919863</v>
      </c>
      <c r="Q315" s="42" t="n">
        <f aca="false">BOM_COEF!AA533*DEMANDA!O30*(1-INDEX(PY_VAL,MATCH("P_CABA_REC",PY_ID,0),10))</f>
        <v>622.541306960163</v>
      </c>
      <c r="R315" s="24" t="s">
        <v>3348</v>
      </c>
    </row>
    <row r="316" customFormat="false" ht="15" hidden="false" customHeight="false" outlineLevel="1" collapsed="false">
      <c r="A316" s="24" t="n">
        <v>1</v>
      </c>
      <c r="B316" s="24" t="s">
        <v>1367</v>
      </c>
      <c r="C316" s="40" t="s">
        <v>3349</v>
      </c>
      <c r="D316" s="24" t="s">
        <v>82</v>
      </c>
      <c r="E316" s="24" t="s">
        <v>348</v>
      </c>
      <c r="F316" s="41" t="n">
        <f aca="false">INDEX((BOM_COEF!R533~BOM_COEF!S533~BOM_COEF!T533~BOM_COEF!U533~BOM_COEF!V533~BOM_COEF!W533~BOM_COEF!X533~BOM_COEF!Y533~BOM_COEF!Z533~BOM_COEF!AA533),1,1,INDEX(P_VAL,MATCH("AÑO_DIS",P_ID,0))-2025)</f>
        <v>1</v>
      </c>
      <c r="G316" s="24" t="s">
        <v>582</v>
      </c>
      <c r="H316" s="42" t="n">
        <f aca="false">BOM_COEF!R533*DEMANDA!F41*(1-INDEX(PY_VAL,MATCH("P_CABA_REC",PY_ID,0),1))</f>
        <v>0.742623521126174</v>
      </c>
      <c r="I316" s="42" t="n">
        <f aca="false">BOM_COEF!S533*DEMANDA!G41*(1-INDEX(PY_VAL,MATCH("P_CABA_REC",PY_ID,0),2))</f>
        <v>0.743072605486667</v>
      </c>
      <c r="J316" s="42" t="n">
        <f aca="false">BOM_COEF!T533*DEMANDA!H41*(1-INDEX(PY_VAL,MATCH("P_CABA_REC",PY_ID,0),3))</f>
        <v>1.48695541441677</v>
      </c>
      <c r="K316" s="42" t="n">
        <f aca="false">BOM_COEF!U533*DEMANDA!I41*(1-INDEX(PY_VAL,MATCH("P_CABA_REC",PY_ID,0),4))</f>
        <v>2.9753329350301</v>
      </c>
      <c r="L316" s="42" t="n">
        <f aca="false">BOM_COEF!V533*DEMANDA!J41*(1-INDEX(PY_VAL,MATCH("P_CABA_REC",PY_ID,0),5))</f>
        <v>3.7206469501277</v>
      </c>
      <c r="M316" s="42" t="n">
        <f aca="false">BOM_COEF!W533*DEMANDA!K41*(1-INDEX(PY_VAL,MATCH("P_CABA_REC",PY_ID,0),6))</f>
        <v>4.46615457152913</v>
      </c>
      <c r="N316" s="42" t="n">
        <f aca="false">BOM_COEF!X533*DEMANDA!L41*(1-INDEX(PY_VAL,MATCH("P_CABA_REC",PY_ID,0),7))</f>
        <v>5.21156628484341</v>
      </c>
      <c r="O316" s="42" t="n">
        <f aca="false">BOM_COEF!Y533*DEMANDA!M41*(1-INDEX(PY_VAL,MATCH("P_CABA_REC",PY_ID,0),8))</f>
        <v>5.95655499519113</v>
      </c>
      <c r="P316" s="42" t="n">
        <f aca="false">BOM_COEF!Z533*DEMANDA!N41*(1-INDEX(PY_VAL,MATCH("P_CABA_REC",PY_ID,0),9))</f>
        <v>6.70070759354737</v>
      </c>
      <c r="Q316" s="42" t="n">
        <f aca="false">BOM_COEF!AA533*DEMANDA!O41*(1-INDEX(PY_VAL,MATCH("P_CABA_REC",PY_ID,0),10))</f>
        <v>7.44354286698782</v>
      </c>
      <c r="R316" s="24" t="s">
        <v>3348</v>
      </c>
    </row>
    <row r="317" customFormat="false" ht="15" hidden="false" customHeight="false" outlineLevel="1" collapsed="false">
      <c r="A317" s="24" t="n">
        <v>1</v>
      </c>
      <c r="B317" s="24" t="s">
        <v>1367</v>
      </c>
      <c r="C317" s="40" t="s">
        <v>3350</v>
      </c>
      <c r="D317" s="24" t="s">
        <v>82</v>
      </c>
      <c r="E317" s="24" t="s">
        <v>318</v>
      </c>
      <c r="F317" s="41" t="n">
        <f aca="false">INDEX((BOM_COEF!R548~BOM_COEF!S548~BOM_COEF!T548~BOM_COEF!U548~BOM_COEF!V548~BOM_COEF!W548~BOM_COEF!X548~BOM_COEF!Y548~BOM_COEF!Z548~BOM_COEF!AA548),1,1,INDEX(P_VAL,MATCH("AÑO_DIS",P_ID,0))-2025)</f>
        <v>1</v>
      </c>
      <c r="G317" s="24" t="s">
        <v>582</v>
      </c>
      <c r="H317" s="42" t="n">
        <f aca="false">BOM_COEF!R548*DEMANDA!F31*(1-INDEX(PY_VAL,MATCH("P_CABA_REC",PY_ID,0),1))</f>
        <v>5.0702749074283</v>
      </c>
      <c r="I317" s="42" t="n">
        <f aca="false">BOM_COEF!S548*DEMANDA!G31*(1-INDEX(PY_VAL,MATCH("P_CABA_REC",PY_ID,0),2))</f>
        <v>34.9787400490823</v>
      </c>
      <c r="J317" s="42" t="n">
        <f aca="false">BOM_COEF!T548*DEMANDA!H31*(1-INDEX(PY_VAL,MATCH("P_CABA_REC",PY_ID,0),3))</f>
        <v>66.0874926779759</v>
      </c>
      <c r="K317" s="42" t="n">
        <f aca="false">BOM_COEF!U548*DEMANDA!I31*(1-INDEX(PY_VAL,MATCH("P_CABA_REC",PY_ID,0),4))</f>
        <v>118.643253896061</v>
      </c>
      <c r="L317" s="42" t="n">
        <f aca="false">BOM_COEF!V548*DEMANDA!J31*(1-INDEX(PY_VAL,MATCH("P_CABA_REC",PY_ID,0),5))</f>
        <v>163.556813649777</v>
      </c>
      <c r="M317" s="42" t="n">
        <f aca="false">BOM_COEF!W548*DEMANDA!K31*(1-INDEX(PY_VAL,MATCH("P_CABA_REC",PY_ID,0),6))</f>
        <v>217.255979785683</v>
      </c>
      <c r="N317" s="42" t="n">
        <f aca="false">BOM_COEF!X548*DEMANDA!L31*(1-INDEX(PY_VAL,MATCH("P_CABA_REC",PY_ID,0),7))</f>
        <v>274.607976651971</v>
      </c>
      <c r="O317" s="42" t="n">
        <f aca="false">BOM_COEF!Y548*DEMANDA!M31*(1-INDEX(PY_VAL,MATCH("P_CABA_REC",PY_ID,0),8))</f>
        <v>304.088798708573</v>
      </c>
      <c r="P317" s="42" t="n">
        <f aca="false">BOM_COEF!Z548*DEMANDA!N31*(1-INDEX(PY_VAL,MATCH("P_CABA_REC",PY_ID,0),9))</f>
        <v>331.894939915258</v>
      </c>
      <c r="Q317" s="42" t="n">
        <f aca="false">BOM_COEF!AA548*DEMANDA!O31*(1-INDEX(PY_VAL,MATCH("P_CABA_REC",PY_ID,0),10))</f>
        <v>359.879817580502</v>
      </c>
      <c r="R317" s="24" t="s">
        <v>3351</v>
      </c>
    </row>
    <row r="318" customFormat="false" ht="15" hidden="false" customHeight="false" outlineLevel="1" collapsed="false">
      <c r="A318" s="24" t="n">
        <v>1</v>
      </c>
      <c r="B318" s="24" t="s">
        <v>1367</v>
      </c>
      <c r="C318" s="40" t="s">
        <v>3352</v>
      </c>
      <c r="D318" s="24" t="s">
        <v>82</v>
      </c>
      <c r="E318" s="24" t="s">
        <v>351</v>
      </c>
      <c r="F318" s="41" t="n">
        <f aca="false">INDEX((BOM_COEF!R548~BOM_COEF!S548~BOM_COEF!T548~BOM_COEF!U548~BOM_COEF!V548~BOM_COEF!W548~BOM_COEF!X548~BOM_COEF!Y548~BOM_COEF!Z548~BOM_COEF!AA548),1,1,INDEX(P_VAL,MATCH("AÑO_DIS",P_ID,0))-2025)</f>
        <v>1</v>
      </c>
      <c r="G318" s="24" t="s">
        <v>582</v>
      </c>
      <c r="H318" s="42" t="n">
        <f aca="false">BOM_COEF!R548*DEMANDA!F42*(1-INDEX(PY_VAL,MATCH("P_CABA_REC",PY_ID,0),1))</f>
        <v>0.742623521126174</v>
      </c>
      <c r="I318" s="42" t="n">
        <f aca="false">BOM_COEF!S548*DEMANDA!G42*(1-INDEX(PY_VAL,MATCH("P_CABA_REC",PY_ID,0),2))</f>
        <v>0.743072605486667</v>
      </c>
      <c r="J318" s="42" t="n">
        <f aca="false">BOM_COEF!T548*DEMANDA!H42*(1-INDEX(PY_VAL,MATCH("P_CABA_REC",PY_ID,0),3))</f>
        <v>0.743477707208383</v>
      </c>
      <c r="K318" s="42" t="n">
        <f aca="false">BOM_COEF!U548*DEMANDA!I42*(1-INDEX(PY_VAL,MATCH("P_CABA_REC",PY_ID,0),4))</f>
        <v>1.48766646751505</v>
      </c>
      <c r="L318" s="42" t="n">
        <f aca="false">BOM_COEF!V548*DEMANDA!J42*(1-INDEX(PY_VAL,MATCH("P_CABA_REC",PY_ID,0),5))</f>
        <v>2.23238817007662</v>
      </c>
      <c r="M318" s="42" t="n">
        <f aca="false">BOM_COEF!W548*DEMANDA!K42*(1-INDEX(PY_VAL,MATCH("P_CABA_REC",PY_ID,0),6))</f>
        <v>2.97743638101942</v>
      </c>
      <c r="N318" s="42" t="n">
        <f aca="false">BOM_COEF!X548*DEMANDA!L42*(1-INDEX(PY_VAL,MATCH("P_CABA_REC",PY_ID,0),7))</f>
        <v>2.97803787705338</v>
      </c>
      <c r="O318" s="42" t="n">
        <f aca="false">BOM_COEF!Y548*DEMANDA!M42*(1-INDEX(PY_VAL,MATCH("P_CABA_REC",PY_ID,0),8))</f>
        <v>3.72284687199446</v>
      </c>
      <c r="P318" s="42" t="n">
        <f aca="false">BOM_COEF!Z548*DEMANDA!N42*(1-INDEX(PY_VAL,MATCH("P_CABA_REC",PY_ID,0),9))</f>
        <v>3.72261532974854</v>
      </c>
      <c r="Q318" s="42" t="n">
        <f aca="false">BOM_COEF!AA548*DEMANDA!O42*(1-INDEX(PY_VAL,MATCH("P_CABA_REC",PY_ID,0),10))</f>
        <v>4.46612572019269</v>
      </c>
      <c r="R318" s="24" t="s">
        <v>3351</v>
      </c>
    </row>
    <row r="319" customFormat="false" ht="15" hidden="false" customHeight="false" outlineLevel="1" collapsed="false">
      <c r="A319" s="24" t="n">
        <v>1</v>
      </c>
      <c r="B319" s="24" t="s">
        <v>1367</v>
      </c>
      <c r="C319" s="40" t="s">
        <v>3353</v>
      </c>
      <c r="D319" s="24" t="s">
        <v>82</v>
      </c>
      <c r="E319" s="24" t="s">
        <v>321</v>
      </c>
      <c r="F319" s="41" t="n">
        <f aca="false">INDEX((BOM_COEF!R560~BOM_COEF!S560~BOM_COEF!T560~BOM_COEF!U560~BOM_COEF!V560~BOM_COEF!W560~BOM_COEF!X560~BOM_COEF!Y560~BOM_COEF!Z560~BOM_COEF!AA560),1,1,INDEX(P_VAL,MATCH("AÑO_DIS",P_ID,0))-2025)</f>
        <v>1</v>
      </c>
      <c r="G319" s="24" t="s">
        <v>582</v>
      </c>
      <c r="H319" s="42" t="n">
        <f aca="false">BOM_COEF!R560*DEMANDA!F32*(1-INDEX(PY_VAL,MATCH("P_CABA_REC",PY_ID,0),1))</f>
        <v>60.8432988906249</v>
      </c>
      <c r="I319" s="42" t="n">
        <f aca="false">BOM_COEF!S560*DEMANDA!G32*(1-INDEX(PY_VAL,MATCH("P_CABA_REC",PY_ID,0),2))</f>
        <v>249.225701285017</v>
      </c>
      <c r="J319" s="42" t="n">
        <f aca="false">BOM_COEF!T560*DEMANDA!H32*(1-INDEX(PY_VAL,MATCH("P_CABA_REC",PY_ID,0),3))</f>
        <v>555.079231024865</v>
      </c>
      <c r="K319" s="42" t="n">
        <f aca="false">BOM_COEF!U560*DEMANDA!I32*(1-INDEX(PY_VAL,MATCH("P_CABA_REC",PY_ID,0),4))</f>
        <v>1010.79486010829</v>
      </c>
      <c r="L319" s="42" t="n">
        <f aca="false">BOM_COEF!V560*DEMANDA!J32*(1-INDEX(PY_VAL,MATCH("P_CABA_REC",PY_ID,0),5))</f>
        <v>1459.33113844938</v>
      </c>
      <c r="M319" s="42" t="n">
        <f aca="false">BOM_COEF!W560*DEMANDA!K32*(1-INDEX(PY_VAL,MATCH("P_CABA_REC",PY_ID,0),6))</f>
        <v>1934.24793441859</v>
      </c>
      <c r="N319" s="42" t="n">
        <f aca="false">BOM_COEF!X560*DEMANDA!L32*(1-INDEX(PY_VAL,MATCH("P_CABA_REC",PY_ID,0),7))</f>
        <v>2380.39293435635</v>
      </c>
      <c r="O319" s="42" t="n">
        <f aca="false">BOM_COEF!Y560*DEMANDA!M32*(1-INDEX(PY_VAL,MATCH("P_CABA_REC",PY_ID,0),8))</f>
        <v>2664.47088103739</v>
      </c>
      <c r="P319" s="42" t="n">
        <f aca="false">BOM_COEF!Z560*DEMANDA!N32*(1-INDEX(PY_VAL,MATCH("P_CABA_REC",PY_ID,0),9))</f>
        <v>2881.86116624513</v>
      </c>
      <c r="Q319" s="42" t="n">
        <f aca="false">BOM_COEF!AA560*DEMANDA!O32*(1-INDEX(PY_VAL,MATCH("P_CABA_REC",PY_ID,0),10))</f>
        <v>3102.14086970846</v>
      </c>
      <c r="R319" s="24" t="s">
        <v>3354</v>
      </c>
    </row>
    <row r="320" customFormat="false" ht="15" hidden="false" customHeight="false" outlineLevel="1" collapsed="false">
      <c r="A320" s="24" t="n">
        <v>1</v>
      </c>
      <c r="B320" s="24" t="s">
        <v>1367</v>
      </c>
      <c r="C320" s="40" t="s">
        <v>3355</v>
      </c>
      <c r="D320" s="24" t="s">
        <v>82</v>
      </c>
      <c r="E320" s="24" t="s">
        <v>354</v>
      </c>
      <c r="F320" s="41" t="n">
        <f aca="false">INDEX((BOM_COEF!R560~BOM_COEF!S560~BOM_COEF!T560~BOM_COEF!U560~BOM_COEF!V560~BOM_COEF!W560~BOM_COEF!X560~BOM_COEF!Y560~BOM_COEF!Z560~BOM_COEF!AA560),1,1,INDEX(P_VAL,MATCH("AÑO_DIS",P_ID,0))-2025)</f>
        <v>1</v>
      </c>
      <c r="G320" s="24" t="s">
        <v>582</v>
      </c>
      <c r="H320" s="42" t="n">
        <f aca="false">BOM_COEF!R560*DEMANDA!F43*(1-INDEX(PY_VAL,MATCH("P_CABA_REC",PY_ID,0),1))</f>
        <v>0.742623521126174</v>
      </c>
      <c r="I320" s="42" t="n">
        <f aca="false">BOM_COEF!S560*DEMANDA!G43*(1-INDEX(PY_VAL,MATCH("P_CABA_REC",PY_ID,0),2))</f>
        <v>2.97229042194667</v>
      </c>
      <c r="J320" s="42" t="n">
        <f aca="false">BOM_COEF!T560*DEMANDA!H43*(1-INDEX(PY_VAL,MATCH("P_CABA_REC",PY_ID,0),3))</f>
        <v>6.69129936487544</v>
      </c>
      <c r="K320" s="42" t="n">
        <f aca="false">BOM_COEF!U560*DEMANDA!I43*(1-INDEX(PY_VAL,MATCH("P_CABA_REC",PY_ID,0),4))</f>
        <v>11.1574985063629</v>
      </c>
      <c r="L320" s="42" t="n">
        <f aca="false">BOM_COEF!V560*DEMANDA!J43*(1-INDEX(PY_VAL,MATCH("P_CABA_REC",PY_ID,0),5))</f>
        <v>16.3708465805619</v>
      </c>
      <c r="M320" s="42" t="n">
        <f aca="false">BOM_COEF!W560*DEMANDA!K43*(1-INDEX(PY_VAL,MATCH("P_CABA_REC",PY_ID,0),6))</f>
        <v>21.5864137623908</v>
      </c>
      <c r="N320" s="42" t="n">
        <f aca="false">BOM_COEF!X560*DEMANDA!L43*(1-INDEX(PY_VAL,MATCH("P_CABA_REC",PY_ID,0),7))</f>
        <v>26.0578314242171</v>
      </c>
      <c r="O320" s="42" t="n">
        <f aca="false">BOM_COEF!Y560*DEMANDA!M43*(1-INDEX(PY_VAL,MATCH("P_CABA_REC",PY_ID,0),8))</f>
        <v>29.0382056015568</v>
      </c>
      <c r="P320" s="42" t="n">
        <f aca="false">BOM_COEF!Z560*DEMANDA!N43*(1-INDEX(PY_VAL,MATCH("P_CABA_REC",PY_ID,0),9))</f>
        <v>31.2699687698877</v>
      </c>
      <c r="Q320" s="42" t="n">
        <f aca="false">BOM_COEF!AA560*DEMANDA!O43*(1-INDEX(PY_VAL,MATCH("P_CABA_REC",PY_ID,0),10))</f>
        <v>33.4959429014452</v>
      </c>
      <c r="R320" s="24" t="s">
        <v>3354</v>
      </c>
    </row>
    <row r="321" customFormat="false" ht="15" hidden="false" customHeight="false" outlineLevel="1" collapsed="false">
      <c r="A321" s="24" t="n">
        <v>1</v>
      </c>
      <c r="B321" s="24" t="s">
        <v>1367</v>
      </c>
      <c r="C321" s="40" t="s">
        <v>3356</v>
      </c>
      <c r="D321" s="24" t="s">
        <v>82</v>
      </c>
      <c r="E321" s="24" t="s">
        <v>324</v>
      </c>
      <c r="F321" s="41" t="n">
        <f aca="false">INDEX((BOM_COEF!R569~BOM_COEF!S569~BOM_COEF!T569~BOM_COEF!U569~BOM_COEF!V569~BOM_COEF!W569~BOM_COEF!X569~BOM_COEF!Y569~BOM_COEF!Z569~BOM_COEF!AA569),1,1,INDEX(P_VAL,MATCH("AÑO_DIS",P_ID,0))-2025)</f>
        <v>1</v>
      </c>
      <c r="G321" s="24" t="s">
        <v>582</v>
      </c>
      <c r="H321" s="42" t="n">
        <f aca="false">BOM_COEF!R569*DEMANDA!F33*(1-INDEX(PY_VAL,MATCH("P_CABA_REC",PY_ID,0),1))</f>
        <v>334.638143894724</v>
      </c>
      <c r="I321" s="42" t="n">
        <f aca="false">BOM_COEF!S569*DEMANDA!G33*(1-INDEX(PY_VAL,MATCH("P_CABA_REC",PY_ID,0),2))</f>
        <v>1261.12907175804</v>
      </c>
      <c r="J321" s="42" t="n">
        <f aca="false">BOM_COEF!T569*DEMANDA!H33*(1-INDEX(PY_VAL,MATCH("P_CABA_REC",PY_ID,0),3))</f>
        <v>2940.60069154364</v>
      </c>
      <c r="K321" s="42" t="n">
        <f aca="false">BOM_COEF!U569*DEMANDA!I33*(1-INDEX(PY_VAL,MATCH("P_CABA_REC",PY_ID,0),4))</f>
        <v>5624.3167225464</v>
      </c>
      <c r="L321" s="42" t="n">
        <f aca="false">BOM_COEF!V569*DEMANDA!J33*(1-INDEX(PY_VAL,MATCH("P_CABA_REC",PY_ID,0),5))</f>
        <v>8126.00069645587</v>
      </c>
      <c r="M321" s="42" t="n">
        <f aca="false">BOM_COEF!W569*DEMANDA!K33*(1-INDEX(PY_VAL,MATCH("P_CABA_REC",PY_ID,0),6))</f>
        <v>10804.2868300873</v>
      </c>
      <c r="N321" s="42" t="n">
        <f aca="false">BOM_COEF!X569*DEMANDA!L33*(1-INDEX(PY_VAL,MATCH("P_CABA_REC",PY_ID,0),7))</f>
        <v>13212.43675279</v>
      </c>
      <c r="O321" s="42" t="n">
        <f aca="false">BOM_COEF!Y569*DEMANDA!M33*(1-INDEX(PY_VAL,MATCH("P_CABA_REC",PY_ID,0),8))</f>
        <v>14606.3703968067</v>
      </c>
      <c r="P321" s="42" t="n">
        <f aca="false">BOM_COEF!Z569*DEMANDA!N33*(1-INDEX(PY_VAL,MATCH("P_CABA_REC",PY_ID,0),9))</f>
        <v>15755.4528702837</v>
      </c>
      <c r="Q321" s="42" t="n">
        <f aca="false">BOM_COEF!AA569*DEMANDA!O33*(1-INDEX(PY_VAL,MATCH("P_CABA_REC",PY_ID,0),10))</f>
        <v>16922.5238037993</v>
      </c>
      <c r="R321" s="24" t="s">
        <v>3357</v>
      </c>
    </row>
    <row r="322" customFormat="false" ht="15" hidden="false" customHeight="false" outlineLevel="1" collapsed="false">
      <c r="A322" s="24" t="n">
        <v>1</v>
      </c>
      <c r="B322" s="24" t="s">
        <v>1367</v>
      </c>
      <c r="C322" s="40" t="s">
        <v>3358</v>
      </c>
      <c r="D322" s="24" t="s">
        <v>82</v>
      </c>
      <c r="E322" s="24" t="s">
        <v>327</v>
      </c>
      <c r="F322" s="41" t="n">
        <f aca="false">INDEX((BOM_COEF!R580~BOM_COEF!S580~BOM_COEF!T580~BOM_COEF!U580~BOM_COEF!V580~BOM_COEF!W580~BOM_COEF!X580~BOM_COEF!Y580~BOM_COEF!Z580~BOM_COEF!AA580),1,1,INDEX(P_VAL,MATCH("AÑO_DIS",P_ID,0))-2025)</f>
        <v>1</v>
      </c>
      <c r="G322" s="24" t="s">
        <v>582</v>
      </c>
      <c r="H322" s="42" t="n">
        <f aca="false">BOM_COEF!R580*DEMANDA!F34*(1-INDEX(PY_VAL,MATCH("P_CABA_REC",PY_ID,0),1))</f>
        <v>92.9550399336254</v>
      </c>
      <c r="I322" s="42" t="n">
        <f aca="false">BOM_COEF!S580*DEMANDA!G34*(1-INDEX(PY_VAL,MATCH("P_CABA_REC",PY_ID,0),2))</f>
        <v>478.264096600706</v>
      </c>
      <c r="J322" s="42" t="n">
        <f aca="false">BOM_COEF!T580*DEMANDA!H34*(1-INDEX(PY_VAL,MATCH("P_CABA_REC",PY_ID,0),3))</f>
        <v>1022.74779901671</v>
      </c>
      <c r="K322" s="42" t="n">
        <f aca="false">BOM_COEF!U580*DEMANDA!I34*(1-INDEX(PY_VAL,MATCH("P_CABA_REC",PY_ID,0),4))</f>
        <v>1830.04120079771</v>
      </c>
      <c r="L322" s="42" t="n">
        <f aca="false">BOM_COEF!V580*DEMANDA!J34*(1-INDEX(PY_VAL,MATCH("P_CABA_REC",PY_ID,0),5))</f>
        <v>2638.13043713415</v>
      </c>
      <c r="M322" s="42" t="n">
        <f aca="false">BOM_COEF!W580*DEMANDA!K34*(1-INDEX(PY_VAL,MATCH("P_CABA_REC",PY_ID,0),6))</f>
        <v>3515.95174000912</v>
      </c>
      <c r="N322" s="42" t="n">
        <f aca="false">BOM_COEF!X580*DEMANDA!L34*(1-INDEX(PY_VAL,MATCH("P_CABA_REC",PY_ID,0),7))</f>
        <v>4358.28783719072</v>
      </c>
      <c r="O322" s="42" t="n">
        <f aca="false">BOM_COEF!Y580*DEMANDA!M34*(1-INDEX(PY_VAL,MATCH("P_CABA_REC",PY_ID,0),8))</f>
        <v>4920.45686018428</v>
      </c>
      <c r="P322" s="42" t="n">
        <f aca="false">BOM_COEF!Z580*DEMANDA!N34*(1-INDEX(PY_VAL,MATCH("P_CABA_REC",PY_ID,0),9))</f>
        <v>5349.925646755</v>
      </c>
      <c r="Q322" s="42" t="n">
        <f aca="false">BOM_COEF!AA580*DEMANDA!O34*(1-INDEX(PY_VAL,MATCH("P_CABA_REC",PY_ID,0),10))</f>
        <v>5783.31804031926</v>
      </c>
      <c r="R322" s="24" t="s">
        <v>3359</v>
      </c>
    </row>
    <row r="323" customFormat="false" ht="15" hidden="false" customHeight="false" outlineLevel="1" collapsed="false">
      <c r="A323" s="24" t="n">
        <v>1</v>
      </c>
      <c r="B323" s="24" t="s">
        <v>1367</v>
      </c>
      <c r="C323" s="40" t="s">
        <v>3360</v>
      </c>
      <c r="D323" s="24" t="s">
        <v>82</v>
      </c>
      <c r="E323" s="24" t="s">
        <v>357</v>
      </c>
      <c r="F323" s="41" t="n">
        <f aca="false">INDEX((BOM_COEF!R580~BOM_COEF!S580~BOM_COEF!T580~BOM_COEF!U580~BOM_COEF!V580~BOM_COEF!W580~BOM_COEF!X580~BOM_COEF!Y580~BOM_COEF!Z580~BOM_COEF!AA580),1,1,INDEX(P_VAL,MATCH("AÑO_DIS",P_ID,0))-2025)</f>
        <v>1</v>
      </c>
      <c r="G323" s="24" t="s">
        <v>582</v>
      </c>
      <c r="H323" s="42" t="n">
        <f aca="false">BOM_COEF!R580*DEMANDA!F44*(1-INDEX(PY_VAL,MATCH("P_CABA_REC",PY_ID,0),1))</f>
        <v>5.19836464788322</v>
      </c>
      <c r="I323" s="42" t="n">
        <f aca="false">BOM_COEF!S580*DEMANDA!G44*(1-INDEX(PY_VAL,MATCH("P_CABA_REC",PY_ID,0),2))</f>
        <v>19.3198877426534</v>
      </c>
      <c r="J323" s="42" t="n">
        <f aca="false">BOM_COEF!T580*DEMANDA!H44*(1-INDEX(PY_VAL,MATCH("P_CABA_REC",PY_ID,0),3))</f>
        <v>43.1217070180862</v>
      </c>
      <c r="K323" s="42" t="n">
        <f aca="false">BOM_COEF!U580*DEMANDA!I44*(1-INDEX(PY_VAL,MATCH("P_CABA_REC",PY_ID,0),4))</f>
        <v>81.0778224795704</v>
      </c>
      <c r="L323" s="42" t="n">
        <f aca="false">BOM_COEF!V580*DEMANDA!J44*(1-INDEX(PY_VAL,MATCH("P_CABA_REC",PY_ID,0),5))</f>
        <v>116.084184843984</v>
      </c>
      <c r="M323" s="42" t="n">
        <f aca="false">BOM_COEF!W580*DEMANDA!K44*(1-INDEX(PY_VAL,MATCH("P_CABA_REC",PY_ID,0),6))</f>
        <v>154.82669181301</v>
      </c>
      <c r="N323" s="42" t="n">
        <f aca="false">BOM_COEF!X580*DEMANDA!L44*(1-INDEX(PY_VAL,MATCH("P_CABA_REC",PY_ID,0),7))</f>
        <v>189.849914662153</v>
      </c>
      <c r="O323" s="42" t="n">
        <f aca="false">BOM_COEF!Y580*DEMANDA!M44*(1-INDEX(PY_VAL,MATCH("P_CABA_REC",PY_ID,0),8))</f>
        <v>210.713132954886</v>
      </c>
      <c r="P323" s="42" t="n">
        <f aca="false">BOM_COEF!Z580*DEMANDA!N44*(1-INDEX(PY_VAL,MATCH("P_CABA_REC",PY_ID,0),9))</f>
        <v>227.82405818061</v>
      </c>
      <c r="Q323" s="42" t="n">
        <f aca="false">BOM_COEF!AA580*DEMANDA!O44*(1-INDEX(PY_VAL,MATCH("P_CABA_REC",PY_ID,0),10))</f>
        <v>245.636914610598</v>
      </c>
      <c r="R323" s="24" t="s">
        <v>3359</v>
      </c>
    </row>
    <row r="324" customFormat="false" ht="15" hidden="false" customHeight="false" outlineLevel="1" collapsed="false">
      <c r="A324" s="24" t="n">
        <v>1</v>
      </c>
      <c r="B324" s="24" t="s">
        <v>1367</v>
      </c>
      <c r="C324" s="40" t="s">
        <v>3361</v>
      </c>
      <c r="D324" s="24" t="s">
        <v>82</v>
      </c>
      <c r="E324" s="24" t="s">
        <v>330</v>
      </c>
      <c r="F324" s="41" t="n">
        <f aca="false">INDEX((BOM_COEF!R593~BOM_COEF!S593~BOM_COEF!T593~BOM_COEF!U593~BOM_COEF!V593~BOM_COEF!W593~BOM_COEF!X593~BOM_COEF!Y593~BOM_COEF!Z593~BOM_COEF!AA593),1,1,INDEX(P_VAL,MATCH("AÑO_DIS",P_ID,0))-2025)</f>
        <v>1</v>
      </c>
      <c r="G324" s="24" t="s">
        <v>582</v>
      </c>
      <c r="H324" s="42" t="n">
        <f aca="false">BOM_COEF!R593*DEMANDA!F35*(1-INDEX(PY_VAL,MATCH("P_CABA_REC",PY_ID,0),1))</f>
        <v>13.5207330859804</v>
      </c>
      <c r="I324" s="42" t="n">
        <f aca="false">BOM_COEF!S593*DEMANDA!G35*(1-INDEX(PY_VAL,MATCH("P_CABA_REC",PY_ID,0),2))</f>
        <v>83.2799528404689</v>
      </c>
      <c r="J324" s="42" t="n">
        <f aca="false">BOM_COEF!T593*DEMANDA!H35*(1-INDEX(PY_VAL,MATCH("P_CABA_REC",PY_ID,0),3))</f>
        <v>171.634833251165</v>
      </c>
      <c r="K324" s="42" t="n">
        <f aca="false">BOM_COEF!U593*DEMANDA!I35*(1-INDEX(PY_VAL,MATCH("P_CABA_REC",PY_ID,0),4))</f>
        <v>298.065383077364</v>
      </c>
      <c r="L324" s="42" t="n">
        <f aca="false">BOM_COEF!V593*DEMANDA!J35*(1-INDEX(PY_VAL,MATCH("P_CABA_REC",PY_ID,0),5))</f>
        <v>427.508130965556</v>
      </c>
      <c r="M324" s="42" t="n">
        <f aca="false">BOM_COEF!W593*DEMANDA!K35*(1-INDEX(PY_VAL,MATCH("P_CABA_REC",PY_ID,0),6))</f>
        <v>561.504025296868</v>
      </c>
      <c r="N324" s="42" t="n">
        <f aca="false">BOM_COEF!X593*DEMANDA!L35*(1-INDEX(PY_VAL,MATCH("P_CABA_REC",PY_ID,0),7))</f>
        <v>703.44890870029</v>
      </c>
      <c r="O324" s="42" t="n">
        <f aca="false">BOM_COEF!Y593*DEMANDA!M35*(1-INDEX(PY_VAL,MATCH("P_CABA_REC",PY_ID,0),8))</f>
        <v>798.353098195271</v>
      </c>
      <c r="P324" s="42" t="n">
        <f aca="false">BOM_COEF!Z593*DEMANDA!N35*(1-INDEX(PY_VAL,MATCH("P_CABA_REC",PY_ID,0),9))</f>
        <v>872.354514383811</v>
      </c>
      <c r="Q324" s="42" t="n">
        <f aca="false">BOM_COEF!AA593*DEMANDA!O35*(1-INDEX(PY_VAL,MATCH("P_CABA_REC",PY_ID,0),10))</f>
        <v>946.77480946901</v>
      </c>
      <c r="R324" s="24" t="s">
        <v>3362</v>
      </c>
    </row>
    <row r="325" customFormat="false" ht="15" hidden="false" customHeight="false" outlineLevel="1" collapsed="false">
      <c r="A325" s="24" t="n">
        <v>1</v>
      </c>
      <c r="B325" s="24" t="s">
        <v>1367</v>
      </c>
      <c r="C325" s="40" t="s">
        <v>3363</v>
      </c>
      <c r="D325" s="24" t="s">
        <v>82</v>
      </c>
      <c r="E325" s="24" t="s">
        <v>360</v>
      </c>
      <c r="F325" s="41" t="n">
        <f aca="false">INDEX((BOM_COEF!R593~BOM_COEF!S593~BOM_COEF!T593~BOM_COEF!U593~BOM_COEF!V593~BOM_COEF!W593~BOM_COEF!X593~BOM_COEF!Y593~BOM_COEF!Z593~BOM_COEF!AA593),1,1,INDEX(P_VAL,MATCH("AÑO_DIS",P_ID,0))-2025)</f>
        <v>1</v>
      </c>
      <c r="G325" s="24" t="s">
        <v>582</v>
      </c>
      <c r="H325" s="42" t="n">
        <f aca="false">BOM_COEF!R593*DEMANDA!F45*(1-INDEX(PY_VAL,MATCH("P_CABA_REC",PY_ID,0),1))</f>
        <v>0.742623521126174</v>
      </c>
      <c r="I325" s="42" t="n">
        <f aca="false">BOM_COEF!S593*DEMANDA!G45*(1-INDEX(PY_VAL,MATCH("P_CABA_REC",PY_ID,0),2))</f>
        <v>1.48614521097333</v>
      </c>
      <c r="J325" s="42" t="n">
        <f aca="false">BOM_COEF!T593*DEMANDA!H45*(1-INDEX(PY_VAL,MATCH("P_CABA_REC",PY_ID,0),3))</f>
        <v>2.23043312162515</v>
      </c>
      <c r="K325" s="42" t="n">
        <f aca="false">BOM_COEF!U593*DEMANDA!I45*(1-INDEX(PY_VAL,MATCH("P_CABA_REC",PY_ID,0),4))</f>
        <v>3.71916616878763</v>
      </c>
      <c r="L325" s="42" t="n">
        <f aca="false">BOM_COEF!V593*DEMANDA!J45*(1-INDEX(PY_VAL,MATCH("P_CABA_REC",PY_ID,0),5))</f>
        <v>5.20890573017878</v>
      </c>
      <c r="M325" s="42" t="n">
        <f aca="false">BOM_COEF!W593*DEMANDA!K45*(1-INDEX(PY_VAL,MATCH("P_CABA_REC",PY_ID,0),6))</f>
        <v>6.69923185729369</v>
      </c>
      <c r="N325" s="42" t="n">
        <f aca="false">BOM_COEF!X593*DEMANDA!L45*(1-INDEX(PY_VAL,MATCH("P_CABA_REC",PY_ID,0),7))</f>
        <v>8.18960416189679</v>
      </c>
      <c r="O325" s="42" t="n">
        <f aca="false">BOM_COEF!Y593*DEMANDA!M45*(1-INDEX(PY_VAL,MATCH("P_CABA_REC",PY_ID,0),8))</f>
        <v>8.93483249278669</v>
      </c>
      <c r="P325" s="42" t="n">
        <f aca="false">BOM_COEF!Z593*DEMANDA!N45*(1-INDEX(PY_VAL,MATCH("P_CABA_REC",PY_ID,0),9))</f>
        <v>9.6787998573462</v>
      </c>
      <c r="Q325" s="42" t="n">
        <f aca="false">BOM_COEF!AA593*DEMANDA!O45*(1-INDEX(PY_VAL,MATCH("P_CABA_REC",PY_ID,0),10))</f>
        <v>10.4209600137829</v>
      </c>
      <c r="R325" s="24" t="s">
        <v>3362</v>
      </c>
    </row>
    <row r="326" customFormat="false" ht="15" hidden="false" customHeight="false" outlineLevel="1" collapsed="false">
      <c r="A326" s="24" t="n">
        <v>1</v>
      </c>
      <c r="B326" s="24" t="s">
        <v>1367</v>
      </c>
      <c r="C326" s="40" t="s">
        <v>3364</v>
      </c>
      <c r="D326" s="24" t="s">
        <v>82</v>
      </c>
      <c r="E326" s="24" t="s">
        <v>333</v>
      </c>
      <c r="F326" s="41" t="n">
        <f aca="false">INDEX((BOM_COEF!R605~BOM_COEF!S605~BOM_COEF!T605~BOM_COEF!U605~BOM_COEF!V605~BOM_COEF!W605~BOM_COEF!X605~BOM_COEF!Y605~BOM_COEF!Z605~BOM_COEF!AA605),1,1,INDEX(P_VAL,MATCH("AÑO_DIS",P_ID,0))-2025)</f>
        <v>1</v>
      </c>
      <c r="G326" s="24" t="s">
        <v>582</v>
      </c>
      <c r="H326" s="42" t="n">
        <f aca="false">BOM_COEF!R605*DEMANDA!F36*(1-INDEX(PY_VAL,MATCH("P_CABA_REC",PY_ID,0),1))</f>
        <v>5.0702749074283</v>
      </c>
      <c r="I326" s="42" t="n">
        <f aca="false">BOM_COEF!S605*DEMANDA!G36*(1-INDEX(PY_VAL,MATCH("P_CABA_REC",PY_ID,0),2))</f>
        <v>34.9787400490823</v>
      </c>
      <c r="J326" s="42" t="n">
        <f aca="false">BOM_COEF!T605*DEMANDA!H36*(1-INDEX(PY_VAL,MATCH("P_CABA_REC",PY_ID,0),3))</f>
        <v>66.0874926779759</v>
      </c>
      <c r="K326" s="42" t="n">
        <f aca="false">BOM_COEF!U605*DEMANDA!I36*(1-INDEX(PY_VAL,MATCH("P_CABA_REC",PY_ID,0),4))</f>
        <v>110.294983743514</v>
      </c>
      <c r="L326" s="42" t="n">
        <f aca="false">BOM_COEF!V605*DEMANDA!J36*(1-INDEX(PY_VAL,MATCH("P_CABA_REC",PY_ID,0),5))</f>
        <v>152.714737785065</v>
      </c>
      <c r="M326" s="42" t="n">
        <f aca="false">BOM_COEF!W605*DEMANDA!K36*(1-INDEX(PY_VAL,MATCH("P_CABA_REC",PY_ID,0),6))</f>
        <v>190.381111929927</v>
      </c>
      <c r="N326" s="42" t="n">
        <f aca="false">BOM_COEF!X605*DEMANDA!L36*(1-INDEX(PY_VAL,MATCH("P_CABA_REC",PY_ID,0),7))</f>
        <v>244.510237765699</v>
      </c>
      <c r="O326" s="42" t="n">
        <f aca="false">BOM_COEF!Y605*DEMANDA!M36*(1-INDEX(PY_VAL,MATCH("P_CABA_REC",PY_ID,0),8))</f>
        <v>273.188513109745</v>
      </c>
      <c r="P326" s="42" t="n">
        <f aca="false">BOM_COEF!Z605*DEMANDA!N36*(1-INDEX(PY_VAL,MATCH("P_CABA_REC",PY_ID,0),9))</f>
        <v>299.061296106004</v>
      </c>
      <c r="Q326" s="42" t="n">
        <f aca="false">BOM_COEF!AA605*DEMANDA!O36*(1-INDEX(PY_VAL,MATCH("P_CABA_REC",PY_ID,0),10))</f>
        <v>325.049678349703</v>
      </c>
      <c r="R326" s="24" t="s">
        <v>3365</v>
      </c>
    </row>
    <row r="327" customFormat="false" ht="15" hidden="false" customHeight="false" outlineLevel="1" collapsed="false">
      <c r="A327" s="24" t="n">
        <v>1</v>
      </c>
      <c r="B327" s="24" t="s">
        <v>1367</v>
      </c>
      <c r="C327" s="40" t="s">
        <v>3366</v>
      </c>
      <c r="D327" s="24" t="s">
        <v>82</v>
      </c>
      <c r="E327" s="24" t="s">
        <v>363</v>
      </c>
      <c r="F327" s="41" t="n">
        <f aca="false">INDEX((BOM_COEF!R605~BOM_COEF!S605~BOM_COEF!T605~BOM_COEF!U605~BOM_COEF!V605~BOM_COEF!W605~BOM_COEF!X605~BOM_COEF!Y605~BOM_COEF!Z605~BOM_COEF!AA605),1,1,INDEX(P_VAL,MATCH("AÑO_DIS",P_ID,0))-2025)</f>
        <v>1</v>
      </c>
      <c r="G327" s="24" t="s">
        <v>582</v>
      </c>
      <c r="H327" s="42" t="n">
        <f aca="false">BOM_COEF!R605*DEMANDA!F46*(1-INDEX(PY_VAL,MATCH("P_CABA_REC",PY_ID,0),1))</f>
        <v>0.742623521126174</v>
      </c>
      <c r="I327" s="42" t="n">
        <f aca="false">BOM_COEF!S605*DEMANDA!G46*(1-INDEX(PY_VAL,MATCH("P_CABA_REC",PY_ID,0),2))</f>
        <v>0.743072605486667</v>
      </c>
      <c r="J327" s="42" t="n">
        <f aca="false">BOM_COEF!T605*DEMANDA!H46*(1-INDEX(PY_VAL,MATCH("P_CABA_REC",PY_ID,0),3))</f>
        <v>0.743477707208383</v>
      </c>
      <c r="K327" s="42" t="n">
        <f aca="false">BOM_COEF!U605*DEMANDA!I46*(1-INDEX(PY_VAL,MATCH("P_CABA_REC",PY_ID,0),4))</f>
        <v>1.48766646751505</v>
      </c>
      <c r="L327" s="42" t="n">
        <f aca="false">BOM_COEF!V605*DEMANDA!J46*(1-INDEX(PY_VAL,MATCH("P_CABA_REC",PY_ID,0),5))</f>
        <v>2.23238817007662</v>
      </c>
      <c r="M327" s="42" t="n">
        <f aca="false">BOM_COEF!W605*DEMANDA!K46*(1-INDEX(PY_VAL,MATCH("P_CABA_REC",PY_ID,0),6))</f>
        <v>2.23307728576456</v>
      </c>
      <c r="N327" s="42" t="n">
        <f aca="false">BOM_COEF!X605*DEMANDA!L46*(1-INDEX(PY_VAL,MATCH("P_CABA_REC",PY_ID,0),7))</f>
        <v>2.97803787705338</v>
      </c>
      <c r="O327" s="42" t="n">
        <f aca="false">BOM_COEF!Y605*DEMANDA!M46*(1-INDEX(PY_VAL,MATCH("P_CABA_REC",PY_ID,0),8))</f>
        <v>2.97827749759556</v>
      </c>
      <c r="P327" s="42" t="n">
        <f aca="false">BOM_COEF!Z605*DEMANDA!N46*(1-INDEX(PY_VAL,MATCH("P_CABA_REC",PY_ID,0),9))</f>
        <v>3.72261532974854</v>
      </c>
      <c r="Q327" s="42" t="n">
        <f aca="false">BOM_COEF!AA605*DEMANDA!O46*(1-INDEX(PY_VAL,MATCH("P_CABA_REC",PY_ID,0),10))</f>
        <v>3.72177143349391</v>
      </c>
      <c r="R327" s="24" t="s">
        <v>3365</v>
      </c>
    </row>
    <row r="328" customFormat="false" ht="15" hidden="false" customHeight="false" outlineLevel="0" collapsed="false">
      <c r="A328" s="38" t="n">
        <v>0</v>
      </c>
      <c r="B328" s="38" t="s">
        <v>590</v>
      </c>
      <c r="C328" s="38" t="s">
        <v>2190</v>
      </c>
      <c r="D328" s="38" t="s">
        <v>82</v>
      </c>
      <c r="E328" s="38"/>
      <c r="F328" s="38"/>
      <c r="G328" s="38"/>
      <c r="H328" s="39" t="n">
        <f aca="false">SUM(H329:H332)</f>
        <v>67</v>
      </c>
      <c r="I328" s="39" t="n">
        <f aca="false">SUM(I329:I332)</f>
        <v>227.35</v>
      </c>
      <c r="J328" s="39" t="n">
        <f aca="false">SUM(J329:J332)</f>
        <v>297.55</v>
      </c>
      <c r="K328" s="39" t="n">
        <f aca="false">SUM(K329:K332)</f>
        <v>516.7</v>
      </c>
      <c r="L328" s="39" t="n">
        <f aca="false">SUM(L329:L332)</f>
        <v>559.1</v>
      </c>
      <c r="M328" s="39" t="n">
        <f aca="false">SUM(M329:M332)</f>
        <v>653.4</v>
      </c>
      <c r="N328" s="39" t="n">
        <f aca="false">SUM(N329:N332)</f>
        <v>629.15</v>
      </c>
      <c r="O328" s="39" t="n">
        <f aca="false">SUM(O329:O332)</f>
        <v>507.25</v>
      </c>
      <c r="P328" s="39" t="n">
        <f aca="false">SUM(P329:P332)</f>
        <v>380.95</v>
      </c>
      <c r="Q328" s="39" t="n">
        <f aca="false">SUM(Q329:Q332)</f>
        <v>393.4</v>
      </c>
      <c r="R328" s="38"/>
    </row>
    <row r="329" customFormat="false" ht="15" hidden="false" customHeight="false" outlineLevel="1" collapsed="false">
      <c r="A329" s="24" t="n">
        <v>1</v>
      </c>
      <c r="B329" s="24" t="s">
        <v>590</v>
      </c>
      <c r="C329" s="40" t="s">
        <v>3367</v>
      </c>
      <c r="D329" s="24" t="s">
        <v>82</v>
      </c>
      <c r="E329" s="24" t="s">
        <v>372</v>
      </c>
      <c r="F329" s="41" t="n">
        <f aca="false">INDEX((BOM_COEF!R111~BOM_COEF!S111~BOM_COEF!T111~BOM_COEF!U111~BOM_COEF!V111~BOM_COEF!W111~BOM_COEF!X111~BOM_COEF!Y111~BOM_COEF!Z111~BOM_COEF!AA111),1,1,INDEX(P_VAL,MATCH("AÑO_DIS",P_ID,0))-2025)</f>
        <v>1</v>
      </c>
      <c r="G329" s="24" t="s">
        <v>2281</v>
      </c>
      <c r="H329" s="42" t="n">
        <f aca="false">BOM_COEF!R111*DEMANDA!F49</f>
        <v>63</v>
      </c>
      <c r="I329" s="42" t="n">
        <f aca="false">BOM_COEF!S111*DEMANDA!G49</f>
        <v>222.15</v>
      </c>
      <c r="J329" s="42" t="n">
        <f aca="false">BOM_COEF!T111*DEMANDA!H49</f>
        <v>285.1</v>
      </c>
      <c r="K329" s="42" t="n">
        <f aca="false">BOM_COEF!U111*DEMANDA!I49</f>
        <v>499.65</v>
      </c>
      <c r="L329" s="42" t="n">
        <f aca="false">BOM_COEF!V111*DEMANDA!J49</f>
        <v>541.25</v>
      </c>
      <c r="M329" s="42" t="n">
        <f aca="false">BOM_COEF!W111*DEMANDA!K49</f>
        <v>632.75</v>
      </c>
      <c r="N329" s="42" t="n">
        <f aca="false">BOM_COEF!X111*DEMANDA!L49</f>
        <v>610.6</v>
      </c>
      <c r="O329" s="42" t="n">
        <f aca="false">BOM_COEF!Y111*DEMANDA!M49</f>
        <v>493.95</v>
      </c>
      <c r="P329" s="42" t="n">
        <f aca="false">BOM_COEF!Z111*DEMANDA!N49</f>
        <v>367.2</v>
      </c>
      <c r="Q329" s="42" t="n">
        <f aca="false">BOM_COEF!AA111*DEMANDA!O49</f>
        <v>382.2</v>
      </c>
      <c r="R329" s="24" t="s">
        <v>2466</v>
      </c>
    </row>
    <row r="330" customFormat="false" ht="15" hidden="false" customHeight="false" outlineLevel="1" collapsed="false">
      <c r="A330" s="24" t="n">
        <v>1</v>
      </c>
      <c r="B330" s="24" t="s">
        <v>590</v>
      </c>
      <c r="C330" s="40" t="s">
        <v>3368</v>
      </c>
      <c r="D330" s="24" t="s">
        <v>82</v>
      </c>
      <c r="E330" s="24" t="s">
        <v>375</v>
      </c>
      <c r="F330" s="41" t="n">
        <f aca="false">INDEX((BOM_COEF!R152~BOM_COEF!S152~BOM_COEF!T152~BOM_COEF!U152~BOM_COEF!V152~BOM_COEF!W152~BOM_COEF!X152~BOM_COEF!Y152~BOM_COEF!Z152~BOM_COEF!AA152),1,1,INDEX(P_VAL,MATCH("AÑO_DIS",P_ID,0))-2025)</f>
        <v>1</v>
      </c>
      <c r="G330" s="24" t="s">
        <v>2281</v>
      </c>
      <c r="H330" s="42" t="n">
        <f aca="false">BOM_COEF!R152*DEMANDA!F50</f>
        <v>2</v>
      </c>
      <c r="I330" s="42" t="n">
        <f aca="false">BOM_COEF!S152*DEMANDA!G50</f>
        <v>3.1</v>
      </c>
      <c r="J330" s="42" t="n">
        <f aca="false">BOM_COEF!T152*DEMANDA!H50</f>
        <v>7.25</v>
      </c>
      <c r="K330" s="42" t="n">
        <f aca="false">BOM_COEF!U152*DEMANDA!I50</f>
        <v>10.6</v>
      </c>
      <c r="L330" s="42" t="n">
        <f aca="false">BOM_COEF!V152*DEMANDA!J50</f>
        <v>10.1</v>
      </c>
      <c r="M330" s="42" t="n">
        <f aca="false">BOM_COEF!W152*DEMANDA!K50</f>
        <v>12.55</v>
      </c>
      <c r="N330" s="42" t="n">
        <f aca="false">BOM_COEF!X152*DEMANDA!L50</f>
        <v>11.1</v>
      </c>
      <c r="O330" s="42" t="n">
        <f aca="false">BOM_COEF!Y152*DEMANDA!M50</f>
        <v>7.55</v>
      </c>
      <c r="P330" s="42" t="n">
        <f aca="false">BOM_COEF!Z152*DEMANDA!N50</f>
        <v>7.8</v>
      </c>
      <c r="Q330" s="42" t="n">
        <f aca="false">BOM_COEF!AA152*DEMANDA!O50</f>
        <v>7.05</v>
      </c>
      <c r="R330" s="24" t="s">
        <v>2468</v>
      </c>
    </row>
    <row r="331" customFormat="false" ht="15" hidden="false" customHeight="false" outlineLevel="1" collapsed="false">
      <c r="A331" s="24" t="n">
        <v>1</v>
      </c>
      <c r="B331" s="24" t="s">
        <v>590</v>
      </c>
      <c r="C331" s="40" t="s">
        <v>3369</v>
      </c>
      <c r="D331" s="24" t="s">
        <v>82</v>
      </c>
      <c r="E331" s="24" t="s">
        <v>402</v>
      </c>
      <c r="F331" s="41" t="n">
        <f aca="false">INDEX((BOM_COEF!R253~BOM_COEF!S253~BOM_COEF!T253~BOM_COEF!U253~BOM_COEF!V253~BOM_COEF!W253~BOM_COEF!X253~BOM_COEF!Y253~BOM_COEF!Z253~BOM_COEF!AA253),1,1,INDEX(P_VAL,MATCH("AÑO_DIS",P_ID,0))-2025)</f>
        <v>1</v>
      </c>
      <c r="G331" s="24" t="s">
        <v>2281</v>
      </c>
      <c r="H331" s="42" t="n">
        <f aca="false">BOM_COEF!R253*DEMANDA!F59</f>
        <v>1</v>
      </c>
      <c r="I331" s="42" t="n">
        <f aca="false">BOM_COEF!S253*DEMANDA!G59</f>
        <v>2.05</v>
      </c>
      <c r="J331" s="42" t="n">
        <f aca="false">BOM_COEF!T253*DEMANDA!H59</f>
        <v>4.15</v>
      </c>
      <c r="K331" s="42" t="n">
        <f aca="false">BOM_COEF!U253*DEMANDA!I59</f>
        <v>5.35</v>
      </c>
      <c r="L331" s="42" t="n">
        <f aca="false">BOM_COEF!V253*DEMANDA!J59</f>
        <v>5.6</v>
      </c>
      <c r="M331" s="42" t="n">
        <f aca="false">BOM_COEF!W253*DEMANDA!K59</f>
        <v>6.85</v>
      </c>
      <c r="N331" s="42" t="n">
        <f aca="false">BOM_COEF!X253*DEMANDA!L59</f>
        <v>6.15</v>
      </c>
      <c r="O331" s="42" t="n">
        <f aca="false">BOM_COEF!Y253*DEMANDA!M59</f>
        <v>4.4</v>
      </c>
      <c r="P331" s="42" t="n">
        <f aca="false">BOM_COEF!Z253*DEMANDA!N59</f>
        <v>4.55</v>
      </c>
      <c r="Q331" s="42" t="n">
        <f aca="false">BOM_COEF!AA253*DEMANDA!O59</f>
        <v>3.7</v>
      </c>
      <c r="R331" s="24" t="s">
        <v>2839</v>
      </c>
    </row>
    <row r="332" customFormat="false" ht="15" hidden="false" customHeight="false" outlineLevel="1" collapsed="false">
      <c r="A332" s="24" t="n">
        <v>1</v>
      </c>
      <c r="B332" s="24" t="s">
        <v>590</v>
      </c>
      <c r="C332" s="40" t="s">
        <v>3370</v>
      </c>
      <c r="D332" s="24" t="s">
        <v>82</v>
      </c>
      <c r="E332" s="24" t="s">
        <v>405</v>
      </c>
      <c r="F332" s="41" t="n">
        <f aca="false">INDEX((BOM_COEF!R354~BOM_COEF!S354~BOM_COEF!T354~BOM_COEF!U354~BOM_COEF!V354~BOM_COEF!W354~BOM_COEF!X354~BOM_COEF!Y354~BOM_COEF!Z354~BOM_COEF!AA354),1,1,INDEX(P_VAL,MATCH("AÑO_DIS",P_ID,0))-2025)</f>
        <v>1</v>
      </c>
      <c r="G332" s="24" t="s">
        <v>2281</v>
      </c>
      <c r="H332" s="42" t="n">
        <f aca="false">BOM_COEF!R354*DEMANDA!F60</f>
        <v>1</v>
      </c>
      <c r="I332" s="42" t="n">
        <f aca="false">BOM_COEF!S354*DEMANDA!G60</f>
        <v>0.05</v>
      </c>
      <c r="J332" s="42" t="n">
        <f aca="false">BOM_COEF!T354*DEMANDA!H60</f>
        <v>1.05</v>
      </c>
      <c r="K332" s="42" t="n">
        <f aca="false">BOM_COEF!U354*DEMANDA!I60</f>
        <v>1.1</v>
      </c>
      <c r="L332" s="42" t="n">
        <f aca="false">BOM_COEF!V354*DEMANDA!J60</f>
        <v>2.15</v>
      </c>
      <c r="M332" s="42" t="n">
        <f aca="false">BOM_COEF!W354*DEMANDA!K60</f>
        <v>1.25</v>
      </c>
      <c r="N332" s="42" t="n">
        <f aca="false">BOM_COEF!X354*DEMANDA!L60</f>
        <v>1.3</v>
      </c>
      <c r="O332" s="42" t="n">
        <f aca="false">BOM_COEF!Y354*DEMANDA!M60</f>
        <v>1.35</v>
      </c>
      <c r="P332" s="42" t="n">
        <f aca="false">BOM_COEF!Z354*DEMANDA!N60</f>
        <v>1.4</v>
      </c>
      <c r="Q332" s="42" t="n">
        <f aca="false">BOM_COEF!AA354*DEMANDA!O60</f>
        <v>0.45</v>
      </c>
      <c r="R332" s="24" t="s">
        <v>2843</v>
      </c>
    </row>
    <row r="333" customFormat="false" ht="15" hidden="false" customHeight="false" outlineLevel="0" collapsed="false">
      <c r="A333" s="38" t="n">
        <v>0</v>
      </c>
      <c r="B333" s="38" t="s">
        <v>594</v>
      </c>
      <c r="C333" s="38" t="s">
        <v>593</v>
      </c>
      <c r="D333" s="38" t="s">
        <v>82</v>
      </c>
      <c r="E333" s="38"/>
      <c r="F333" s="38"/>
      <c r="G333" s="38"/>
      <c r="H333" s="39" t="n">
        <f aca="false">SUM(H334:H337)</f>
        <v>67</v>
      </c>
      <c r="I333" s="39" t="n">
        <f aca="false">SUM(I334:I337)</f>
        <v>227.35</v>
      </c>
      <c r="J333" s="39" t="n">
        <f aca="false">SUM(J334:J337)</f>
        <v>297.55</v>
      </c>
      <c r="K333" s="39" t="n">
        <f aca="false">SUM(K334:K337)</f>
        <v>516.7</v>
      </c>
      <c r="L333" s="39" t="n">
        <f aca="false">SUM(L334:L337)</f>
        <v>559.1</v>
      </c>
      <c r="M333" s="39" t="n">
        <f aca="false">SUM(M334:M337)</f>
        <v>653.4</v>
      </c>
      <c r="N333" s="39" t="n">
        <f aca="false">SUM(N334:N337)</f>
        <v>629.15</v>
      </c>
      <c r="O333" s="39" t="n">
        <f aca="false">SUM(O334:O337)</f>
        <v>507.25</v>
      </c>
      <c r="P333" s="39" t="n">
        <f aca="false">SUM(P334:P337)</f>
        <v>380.95</v>
      </c>
      <c r="Q333" s="39" t="n">
        <f aca="false">SUM(Q334:Q337)</f>
        <v>393.4</v>
      </c>
      <c r="R333" s="38"/>
    </row>
    <row r="334" customFormat="false" ht="15" hidden="false" customHeight="false" outlineLevel="1" collapsed="false">
      <c r="A334" s="24" t="n">
        <v>1</v>
      </c>
      <c r="B334" s="24" t="s">
        <v>594</v>
      </c>
      <c r="C334" s="40" t="s">
        <v>3371</v>
      </c>
      <c r="D334" s="24" t="s">
        <v>82</v>
      </c>
      <c r="E334" s="24" t="s">
        <v>372</v>
      </c>
      <c r="F334" s="41" t="n">
        <f aca="false">INDEX((BOM_COEF!R112~BOM_COEF!S112~BOM_COEF!T112~BOM_COEF!U112~BOM_COEF!V112~BOM_COEF!W112~BOM_COEF!X112~BOM_COEF!Y112~BOM_COEF!Z112~BOM_COEF!AA112),1,1,INDEX(P_VAL,MATCH("AÑO_DIS",P_ID,0))-2025)</f>
        <v>1</v>
      </c>
      <c r="G334" s="24" t="s">
        <v>2281</v>
      </c>
      <c r="H334" s="42" t="n">
        <f aca="false">BOM_COEF!R112*DEMANDA!F49</f>
        <v>63</v>
      </c>
      <c r="I334" s="42" t="n">
        <f aca="false">BOM_COEF!S112*DEMANDA!G49</f>
        <v>222.15</v>
      </c>
      <c r="J334" s="42" t="n">
        <f aca="false">BOM_COEF!T112*DEMANDA!H49</f>
        <v>285.1</v>
      </c>
      <c r="K334" s="42" t="n">
        <f aca="false">BOM_COEF!U112*DEMANDA!I49</f>
        <v>499.65</v>
      </c>
      <c r="L334" s="42" t="n">
        <f aca="false">BOM_COEF!V112*DEMANDA!J49</f>
        <v>541.25</v>
      </c>
      <c r="M334" s="42" t="n">
        <f aca="false">BOM_COEF!W112*DEMANDA!K49</f>
        <v>632.75</v>
      </c>
      <c r="N334" s="42" t="n">
        <f aca="false">BOM_COEF!X112*DEMANDA!L49</f>
        <v>610.6</v>
      </c>
      <c r="O334" s="42" t="n">
        <f aca="false">BOM_COEF!Y112*DEMANDA!M49</f>
        <v>493.95</v>
      </c>
      <c r="P334" s="42" t="n">
        <f aca="false">BOM_COEF!Z112*DEMANDA!N49</f>
        <v>367.2</v>
      </c>
      <c r="Q334" s="42" t="n">
        <f aca="false">BOM_COEF!AA112*DEMANDA!O49</f>
        <v>382.2</v>
      </c>
      <c r="R334" s="24" t="s">
        <v>2474</v>
      </c>
    </row>
    <row r="335" customFormat="false" ht="15" hidden="false" customHeight="false" outlineLevel="1" collapsed="false">
      <c r="A335" s="24" t="n">
        <v>1</v>
      </c>
      <c r="B335" s="24" t="s">
        <v>594</v>
      </c>
      <c r="C335" s="40" t="s">
        <v>3372</v>
      </c>
      <c r="D335" s="24" t="s">
        <v>82</v>
      </c>
      <c r="E335" s="24" t="s">
        <v>375</v>
      </c>
      <c r="F335" s="41" t="n">
        <f aca="false">INDEX((BOM_COEF!R153~BOM_COEF!S153~BOM_COEF!T153~BOM_COEF!U153~BOM_COEF!V153~BOM_COEF!W153~BOM_COEF!X153~BOM_COEF!Y153~BOM_COEF!Z153~BOM_COEF!AA153),1,1,INDEX(P_VAL,MATCH("AÑO_DIS",P_ID,0))-2025)</f>
        <v>1</v>
      </c>
      <c r="G335" s="24" t="s">
        <v>2281</v>
      </c>
      <c r="H335" s="42" t="n">
        <f aca="false">BOM_COEF!R153*DEMANDA!F50</f>
        <v>2</v>
      </c>
      <c r="I335" s="42" t="n">
        <f aca="false">BOM_COEF!S153*DEMANDA!G50</f>
        <v>3.1</v>
      </c>
      <c r="J335" s="42" t="n">
        <f aca="false">BOM_COEF!T153*DEMANDA!H50</f>
        <v>7.25</v>
      </c>
      <c r="K335" s="42" t="n">
        <f aca="false">BOM_COEF!U153*DEMANDA!I50</f>
        <v>10.6</v>
      </c>
      <c r="L335" s="42" t="n">
        <f aca="false">BOM_COEF!V153*DEMANDA!J50</f>
        <v>10.1</v>
      </c>
      <c r="M335" s="42" t="n">
        <f aca="false">BOM_COEF!W153*DEMANDA!K50</f>
        <v>12.55</v>
      </c>
      <c r="N335" s="42" t="n">
        <f aca="false">BOM_COEF!X153*DEMANDA!L50</f>
        <v>11.1</v>
      </c>
      <c r="O335" s="42" t="n">
        <f aca="false">BOM_COEF!Y153*DEMANDA!M50</f>
        <v>7.55</v>
      </c>
      <c r="P335" s="42" t="n">
        <f aca="false">BOM_COEF!Z153*DEMANDA!N50</f>
        <v>7.8</v>
      </c>
      <c r="Q335" s="42" t="n">
        <f aca="false">BOM_COEF!AA153*DEMANDA!O50</f>
        <v>7.05</v>
      </c>
      <c r="R335" s="24" t="s">
        <v>2476</v>
      </c>
    </row>
    <row r="336" customFormat="false" ht="15" hidden="false" customHeight="false" outlineLevel="1" collapsed="false">
      <c r="A336" s="24" t="n">
        <v>1</v>
      </c>
      <c r="B336" s="24" t="s">
        <v>594</v>
      </c>
      <c r="C336" s="40" t="s">
        <v>3373</v>
      </c>
      <c r="D336" s="24" t="s">
        <v>82</v>
      </c>
      <c r="E336" s="24" t="s">
        <v>402</v>
      </c>
      <c r="F336" s="41" t="n">
        <f aca="false">INDEX((BOM_COEF!R254~BOM_COEF!S254~BOM_COEF!T254~BOM_COEF!U254~BOM_COEF!V254~BOM_COEF!W254~BOM_COEF!X254~BOM_COEF!Y254~BOM_COEF!Z254~BOM_COEF!AA254),1,1,INDEX(P_VAL,MATCH("AÑO_DIS",P_ID,0))-2025)</f>
        <v>1</v>
      </c>
      <c r="G336" s="24" t="s">
        <v>2281</v>
      </c>
      <c r="H336" s="42" t="n">
        <f aca="false">BOM_COEF!R254*DEMANDA!F59</f>
        <v>1</v>
      </c>
      <c r="I336" s="42" t="n">
        <f aca="false">BOM_COEF!S254*DEMANDA!G59</f>
        <v>2.05</v>
      </c>
      <c r="J336" s="42" t="n">
        <f aca="false">BOM_COEF!T254*DEMANDA!H59</f>
        <v>4.15</v>
      </c>
      <c r="K336" s="42" t="n">
        <f aca="false">BOM_COEF!U254*DEMANDA!I59</f>
        <v>5.35</v>
      </c>
      <c r="L336" s="42" t="n">
        <f aca="false">BOM_COEF!V254*DEMANDA!J59</f>
        <v>5.6</v>
      </c>
      <c r="M336" s="42" t="n">
        <f aca="false">BOM_COEF!W254*DEMANDA!K59</f>
        <v>6.85</v>
      </c>
      <c r="N336" s="42" t="n">
        <f aca="false">BOM_COEF!X254*DEMANDA!L59</f>
        <v>6.15</v>
      </c>
      <c r="O336" s="42" t="n">
        <f aca="false">BOM_COEF!Y254*DEMANDA!M59</f>
        <v>4.4</v>
      </c>
      <c r="P336" s="42" t="n">
        <f aca="false">BOM_COEF!Z254*DEMANDA!N59</f>
        <v>4.55</v>
      </c>
      <c r="Q336" s="42" t="n">
        <f aca="false">BOM_COEF!AA254*DEMANDA!O59</f>
        <v>3.7</v>
      </c>
      <c r="R336" s="24" t="s">
        <v>2847</v>
      </c>
    </row>
    <row r="337" customFormat="false" ht="15" hidden="false" customHeight="false" outlineLevel="1" collapsed="false">
      <c r="A337" s="24" t="n">
        <v>1</v>
      </c>
      <c r="B337" s="24" t="s">
        <v>594</v>
      </c>
      <c r="C337" s="40" t="s">
        <v>3374</v>
      </c>
      <c r="D337" s="24" t="s">
        <v>82</v>
      </c>
      <c r="E337" s="24" t="s">
        <v>405</v>
      </c>
      <c r="F337" s="41" t="n">
        <f aca="false">INDEX((BOM_COEF!R355~BOM_COEF!S355~BOM_COEF!T355~BOM_COEF!U355~BOM_COEF!V355~BOM_COEF!W355~BOM_COEF!X355~BOM_COEF!Y355~BOM_COEF!Z355~BOM_COEF!AA355),1,1,INDEX(P_VAL,MATCH("AÑO_DIS",P_ID,0))-2025)</f>
        <v>1</v>
      </c>
      <c r="G337" s="24" t="s">
        <v>2281</v>
      </c>
      <c r="H337" s="42" t="n">
        <f aca="false">BOM_COEF!R355*DEMANDA!F60</f>
        <v>1</v>
      </c>
      <c r="I337" s="42" t="n">
        <f aca="false">BOM_COEF!S355*DEMANDA!G60</f>
        <v>0.05</v>
      </c>
      <c r="J337" s="42" t="n">
        <f aca="false">BOM_COEF!T355*DEMANDA!H60</f>
        <v>1.05</v>
      </c>
      <c r="K337" s="42" t="n">
        <f aca="false">BOM_COEF!U355*DEMANDA!I60</f>
        <v>1.1</v>
      </c>
      <c r="L337" s="42" t="n">
        <f aca="false">BOM_COEF!V355*DEMANDA!J60</f>
        <v>2.15</v>
      </c>
      <c r="M337" s="42" t="n">
        <f aca="false">BOM_COEF!W355*DEMANDA!K60</f>
        <v>1.25</v>
      </c>
      <c r="N337" s="42" t="n">
        <f aca="false">BOM_COEF!X355*DEMANDA!L60</f>
        <v>1.3</v>
      </c>
      <c r="O337" s="42" t="n">
        <f aca="false">BOM_COEF!Y355*DEMANDA!M60</f>
        <v>1.35</v>
      </c>
      <c r="P337" s="42" t="n">
        <f aca="false">BOM_COEF!Z355*DEMANDA!N60</f>
        <v>1.4</v>
      </c>
      <c r="Q337" s="42" t="n">
        <f aca="false">BOM_COEF!AA355*DEMANDA!O60</f>
        <v>0.45</v>
      </c>
      <c r="R337" s="24" t="s">
        <v>2851</v>
      </c>
    </row>
    <row r="338" customFormat="false" ht="15" hidden="false" customHeight="false" outlineLevel="0" collapsed="false">
      <c r="A338" s="38" t="n">
        <v>0</v>
      </c>
      <c r="B338" s="38" t="s">
        <v>598</v>
      </c>
      <c r="C338" s="38" t="s">
        <v>2192</v>
      </c>
      <c r="D338" s="38" t="s">
        <v>82</v>
      </c>
      <c r="E338" s="38"/>
      <c r="F338" s="38"/>
      <c r="G338" s="38"/>
      <c r="H338" s="39" t="n">
        <f aca="false">SUM(H339:H342)</f>
        <v>67</v>
      </c>
      <c r="I338" s="39" t="n">
        <f aca="false">SUM(I339:I342)</f>
        <v>227.35</v>
      </c>
      <c r="J338" s="39" t="n">
        <f aca="false">SUM(J339:J342)</f>
        <v>297.55</v>
      </c>
      <c r="K338" s="39" t="n">
        <f aca="false">SUM(K339:K342)</f>
        <v>516.7</v>
      </c>
      <c r="L338" s="39" t="n">
        <f aca="false">SUM(L339:L342)</f>
        <v>559.1</v>
      </c>
      <c r="M338" s="39" t="n">
        <f aca="false">SUM(M339:M342)</f>
        <v>653.4</v>
      </c>
      <c r="N338" s="39" t="n">
        <f aca="false">SUM(N339:N342)</f>
        <v>629.15</v>
      </c>
      <c r="O338" s="39" t="n">
        <f aca="false">SUM(O339:O342)</f>
        <v>507.25</v>
      </c>
      <c r="P338" s="39" t="n">
        <f aca="false">SUM(P339:P342)</f>
        <v>380.95</v>
      </c>
      <c r="Q338" s="39" t="n">
        <f aca="false">SUM(Q339:Q342)</f>
        <v>393.4</v>
      </c>
      <c r="R338" s="38"/>
    </row>
    <row r="339" customFormat="false" ht="15" hidden="false" customHeight="false" outlineLevel="1" collapsed="false">
      <c r="A339" s="24" t="n">
        <v>1</v>
      </c>
      <c r="B339" s="24" t="s">
        <v>598</v>
      </c>
      <c r="C339" s="40" t="s">
        <v>3375</v>
      </c>
      <c r="D339" s="24" t="s">
        <v>82</v>
      </c>
      <c r="E339" s="24" t="s">
        <v>372</v>
      </c>
      <c r="F339" s="41" t="n">
        <f aca="false">INDEX((BOM_COEF!R113~BOM_COEF!S113~BOM_COEF!T113~BOM_COEF!U113~BOM_COEF!V113~BOM_COEF!W113~BOM_COEF!X113~BOM_COEF!Y113~BOM_COEF!Z113~BOM_COEF!AA113),1,1,INDEX(P_VAL,MATCH("AÑO_DIS",P_ID,0))-2025)</f>
        <v>1</v>
      </c>
      <c r="G339" s="24" t="s">
        <v>2281</v>
      </c>
      <c r="H339" s="42" t="n">
        <f aca="false">BOM_COEF!R113*DEMANDA!F49</f>
        <v>63</v>
      </c>
      <c r="I339" s="42" t="n">
        <f aca="false">BOM_COEF!S113*DEMANDA!G49</f>
        <v>222.15</v>
      </c>
      <c r="J339" s="42" t="n">
        <f aca="false">BOM_COEF!T113*DEMANDA!H49</f>
        <v>285.1</v>
      </c>
      <c r="K339" s="42" t="n">
        <f aca="false">BOM_COEF!U113*DEMANDA!I49</f>
        <v>499.65</v>
      </c>
      <c r="L339" s="42" t="n">
        <f aca="false">BOM_COEF!V113*DEMANDA!J49</f>
        <v>541.25</v>
      </c>
      <c r="M339" s="42" t="n">
        <f aca="false">BOM_COEF!W113*DEMANDA!K49</f>
        <v>632.75</v>
      </c>
      <c r="N339" s="42" t="n">
        <f aca="false">BOM_COEF!X113*DEMANDA!L49</f>
        <v>610.6</v>
      </c>
      <c r="O339" s="42" t="n">
        <f aca="false">BOM_COEF!Y113*DEMANDA!M49</f>
        <v>493.95</v>
      </c>
      <c r="P339" s="42" t="n">
        <f aca="false">BOM_COEF!Z113*DEMANDA!N49</f>
        <v>367.2</v>
      </c>
      <c r="Q339" s="42" t="n">
        <f aca="false">BOM_COEF!AA113*DEMANDA!O49</f>
        <v>382.2</v>
      </c>
      <c r="R339" s="24" t="s">
        <v>2482</v>
      </c>
    </row>
    <row r="340" customFormat="false" ht="15" hidden="false" customHeight="false" outlineLevel="1" collapsed="false">
      <c r="A340" s="24" t="n">
        <v>1</v>
      </c>
      <c r="B340" s="24" t="s">
        <v>598</v>
      </c>
      <c r="C340" s="40" t="s">
        <v>3376</v>
      </c>
      <c r="D340" s="24" t="s">
        <v>82</v>
      </c>
      <c r="E340" s="24" t="s">
        <v>375</v>
      </c>
      <c r="F340" s="41" t="n">
        <f aca="false">INDEX((BOM_COEF!R154~BOM_COEF!S154~BOM_COEF!T154~BOM_COEF!U154~BOM_COEF!V154~BOM_COEF!W154~BOM_COEF!X154~BOM_COEF!Y154~BOM_COEF!Z154~BOM_COEF!AA154),1,1,INDEX(P_VAL,MATCH("AÑO_DIS",P_ID,0))-2025)</f>
        <v>1</v>
      </c>
      <c r="G340" s="24" t="s">
        <v>2281</v>
      </c>
      <c r="H340" s="42" t="n">
        <f aca="false">BOM_COEF!R154*DEMANDA!F50</f>
        <v>2</v>
      </c>
      <c r="I340" s="42" t="n">
        <f aca="false">BOM_COEF!S154*DEMANDA!G50</f>
        <v>3.1</v>
      </c>
      <c r="J340" s="42" t="n">
        <f aca="false">BOM_COEF!T154*DEMANDA!H50</f>
        <v>7.25</v>
      </c>
      <c r="K340" s="42" t="n">
        <f aca="false">BOM_COEF!U154*DEMANDA!I50</f>
        <v>10.6</v>
      </c>
      <c r="L340" s="42" t="n">
        <f aca="false">BOM_COEF!V154*DEMANDA!J50</f>
        <v>10.1</v>
      </c>
      <c r="M340" s="42" t="n">
        <f aca="false">BOM_COEF!W154*DEMANDA!K50</f>
        <v>12.55</v>
      </c>
      <c r="N340" s="42" t="n">
        <f aca="false">BOM_COEF!X154*DEMANDA!L50</f>
        <v>11.1</v>
      </c>
      <c r="O340" s="42" t="n">
        <f aca="false">BOM_COEF!Y154*DEMANDA!M50</f>
        <v>7.55</v>
      </c>
      <c r="P340" s="42" t="n">
        <f aca="false">BOM_COEF!Z154*DEMANDA!N50</f>
        <v>7.8</v>
      </c>
      <c r="Q340" s="42" t="n">
        <f aca="false">BOM_COEF!AA154*DEMANDA!O50</f>
        <v>7.05</v>
      </c>
      <c r="R340" s="24" t="s">
        <v>2484</v>
      </c>
    </row>
    <row r="341" customFormat="false" ht="15" hidden="false" customHeight="false" outlineLevel="1" collapsed="false">
      <c r="A341" s="24" t="n">
        <v>1</v>
      </c>
      <c r="B341" s="24" t="s">
        <v>598</v>
      </c>
      <c r="C341" s="40" t="s">
        <v>3377</v>
      </c>
      <c r="D341" s="24" t="s">
        <v>82</v>
      </c>
      <c r="E341" s="24" t="s">
        <v>402</v>
      </c>
      <c r="F341" s="41" t="n">
        <f aca="false">INDEX((BOM_COEF!R255~BOM_COEF!S255~BOM_COEF!T255~BOM_COEF!U255~BOM_COEF!V255~BOM_COEF!W255~BOM_COEF!X255~BOM_COEF!Y255~BOM_COEF!Z255~BOM_COEF!AA255),1,1,INDEX(P_VAL,MATCH("AÑO_DIS",P_ID,0))-2025)</f>
        <v>1</v>
      </c>
      <c r="G341" s="24" t="s">
        <v>2281</v>
      </c>
      <c r="H341" s="42" t="n">
        <f aca="false">BOM_COEF!R255*DEMANDA!F59</f>
        <v>1</v>
      </c>
      <c r="I341" s="42" t="n">
        <f aca="false">BOM_COEF!S255*DEMANDA!G59</f>
        <v>2.05</v>
      </c>
      <c r="J341" s="42" t="n">
        <f aca="false">BOM_COEF!T255*DEMANDA!H59</f>
        <v>4.15</v>
      </c>
      <c r="K341" s="42" t="n">
        <f aca="false">BOM_COEF!U255*DEMANDA!I59</f>
        <v>5.35</v>
      </c>
      <c r="L341" s="42" t="n">
        <f aca="false">BOM_COEF!V255*DEMANDA!J59</f>
        <v>5.6</v>
      </c>
      <c r="M341" s="42" t="n">
        <f aca="false">BOM_COEF!W255*DEMANDA!K59</f>
        <v>6.85</v>
      </c>
      <c r="N341" s="42" t="n">
        <f aca="false">BOM_COEF!X255*DEMANDA!L59</f>
        <v>6.15</v>
      </c>
      <c r="O341" s="42" t="n">
        <f aca="false">BOM_COEF!Y255*DEMANDA!M59</f>
        <v>4.4</v>
      </c>
      <c r="P341" s="42" t="n">
        <f aca="false">BOM_COEF!Z255*DEMANDA!N59</f>
        <v>4.55</v>
      </c>
      <c r="Q341" s="42" t="n">
        <f aca="false">BOM_COEF!AA255*DEMANDA!O59</f>
        <v>3.7</v>
      </c>
      <c r="R341" s="24" t="s">
        <v>2855</v>
      </c>
    </row>
    <row r="342" customFormat="false" ht="15" hidden="false" customHeight="false" outlineLevel="1" collapsed="false">
      <c r="A342" s="24" t="n">
        <v>1</v>
      </c>
      <c r="B342" s="24" t="s">
        <v>598</v>
      </c>
      <c r="C342" s="40" t="s">
        <v>3378</v>
      </c>
      <c r="D342" s="24" t="s">
        <v>82</v>
      </c>
      <c r="E342" s="24" t="s">
        <v>405</v>
      </c>
      <c r="F342" s="41" t="n">
        <f aca="false">INDEX((BOM_COEF!R356~BOM_COEF!S356~BOM_COEF!T356~BOM_COEF!U356~BOM_COEF!V356~BOM_COEF!W356~BOM_COEF!X356~BOM_COEF!Y356~BOM_COEF!Z356~BOM_COEF!AA356),1,1,INDEX(P_VAL,MATCH("AÑO_DIS",P_ID,0))-2025)</f>
        <v>1</v>
      </c>
      <c r="G342" s="24" t="s">
        <v>2281</v>
      </c>
      <c r="H342" s="42" t="n">
        <f aca="false">BOM_COEF!R356*DEMANDA!F60</f>
        <v>1</v>
      </c>
      <c r="I342" s="42" t="n">
        <f aca="false">BOM_COEF!S356*DEMANDA!G60</f>
        <v>0.05</v>
      </c>
      <c r="J342" s="42" t="n">
        <f aca="false">BOM_COEF!T356*DEMANDA!H60</f>
        <v>1.05</v>
      </c>
      <c r="K342" s="42" t="n">
        <f aca="false">BOM_COEF!U356*DEMANDA!I60</f>
        <v>1.1</v>
      </c>
      <c r="L342" s="42" t="n">
        <f aca="false">BOM_COEF!V356*DEMANDA!J60</f>
        <v>2.15</v>
      </c>
      <c r="M342" s="42" t="n">
        <f aca="false">BOM_COEF!W356*DEMANDA!K60</f>
        <v>1.25</v>
      </c>
      <c r="N342" s="42" t="n">
        <f aca="false">BOM_COEF!X356*DEMANDA!L60</f>
        <v>1.3</v>
      </c>
      <c r="O342" s="42" t="n">
        <f aca="false">BOM_COEF!Y356*DEMANDA!M60</f>
        <v>1.35</v>
      </c>
      <c r="P342" s="42" t="n">
        <f aca="false">BOM_COEF!Z356*DEMANDA!N60</f>
        <v>1.4</v>
      </c>
      <c r="Q342" s="42" t="n">
        <f aca="false">BOM_COEF!AA356*DEMANDA!O60</f>
        <v>0.45</v>
      </c>
      <c r="R342" s="24" t="s">
        <v>2859</v>
      </c>
    </row>
    <row r="343" customFormat="false" ht="15" hidden="false" customHeight="false" outlineLevel="0" collapsed="false">
      <c r="A343" s="38" t="n">
        <v>0</v>
      </c>
      <c r="B343" s="38" t="s">
        <v>1345</v>
      </c>
      <c r="C343" s="38" t="s">
        <v>2195</v>
      </c>
      <c r="D343" s="38" t="s">
        <v>82</v>
      </c>
      <c r="E343" s="38"/>
      <c r="F343" s="38"/>
      <c r="G343" s="38"/>
      <c r="H343" s="39" t="n">
        <f aca="false">SUM(H344:H372)</f>
        <v>27647.172392332</v>
      </c>
      <c r="I343" s="39" t="n">
        <f aca="false">SUM(I344:I372)</f>
        <v>123990.72365656</v>
      </c>
      <c r="J343" s="39" t="n">
        <f aca="false">SUM(J344:J372)</f>
        <v>248604.23199872</v>
      </c>
      <c r="K343" s="39" t="n">
        <f aca="false">SUM(K344:K372)</f>
        <v>461143.181738</v>
      </c>
      <c r="L343" s="39" t="n">
        <f aca="false">SUM(L344:L372)</f>
        <v>678749.5831956</v>
      </c>
      <c r="M343" s="39" t="n">
        <f aca="false">SUM(M344:M372)</f>
        <v>923844.4324408</v>
      </c>
      <c r="N343" s="39" t="n">
        <f aca="false">SUM(N344:N372)</f>
        <v>1147371.1286984</v>
      </c>
      <c r="O343" s="39" t="n">
        <f aca="false">SUM(O344:O372)</f>
        <v>1304384.9529024</v>
      </c>
      <c r="P343" s="39" t="n">
        <f aca="false">SUM(P344:P372)</f>
        <v>1403010.8619372</v>
      </c>
      <c r="Q343" s="39" t="n">
        <f aca="false">SUM(Q344:Q372)</f>
        <v>1503702.758332</v>
      </c>
      <c r="R343" s="38"/>
    </row>
    <row r="344" customFormat="false" ht="15" hidden="false" customHeight="false" outlineLevel="1" collapsed="false">
      <c r="A344" s="24" t="n">
        <v>1</v>
      </c>
      <c r="B344" s="24" t="s">
        <v>1345</v>
      </c>
      <c r="C344" s="40" t="s">
        <v>3379</v>
      </c>
      <c r="D344" s="24" t="s">
        <v>82</v>
      </c>
      <c r="E344" s="24" t="s">
        <v>282</v>
      </c>
      <c r="F344" s="41" t="n">
        <f aca="false">INDEX((BOM_COEF!R382~BOM_COEF!S382~BOM_COEF!T382~BOM_COEF!U382~BOM_COEF!V382~BOM_COEF!W382~BOM_COEF!X382~BOM_COEF!Y382~BOM_COEF!Z382~BOM_COEF!AA382),1,1,INDEX(P_VAL,MATCH("AÑO_DIS",P_ID,0))-2025)</f>
        <v>4</v>
      </c>
      <c r="G344" s="24" t="s">
        <v>2281</v>
      </c>
      <c r="H344" s="42" t="n">
        <f aca="false">BOM_COEF!R382*DEMANDA!F20</f>
        <v>13909.928496</v>
      </c>
      <c r="I344" s="42" t="n">
        <f aca="false">BOM_COEF!S382*DEMANDA!G20</f>
        <v>67882.34256</v>
      </c>
      <c r="J344" s="42" t="n">
        <f aca="false">BOM_COEF!T382*DEMANDA!H20</f>
        <v>122184.35804</v>
      </c>
      <c r="K344" s="42" t="n">
        <f aca="false">BOM_COEF!U382*DEMANDA!I20</f>
        <v>224193.24424</v>
      </c>
      <c r="L344" s="42" t="n">
        <f aca="false">BOM_COEF!V382*DEMANDA!J20</f>
        <v>337080.90452</v>
      </c>
      <c r="M344" s="42" t="n">
        <f aca="false">BOM_COEF!W382*DEMANDA!K20</f>
        <v>469631.2924</v>
      </c>
      <c r="N344" s="42" t="n">
        <f aca="false">BOM_COEF!X382*DEMANDA!L20</f>
        <v>590442.5424</v>
      </c>
      <c r="O344" s="42" t="n">
        <f aca="false">BOM_COEF!Y382*DEMANDA!M20</f>
        <v>685617.4428</v>
      </c>
      <c r="P344" s="42" t="n">
        <f aca="false">BOM_COEF!Z382*DEMANDA!N20</f>
        <v>734762.264</v>
      </c>
      <c r="Q344" s="42" t="n">
        <f aca="false">BOM_COEF!AA382*DEMANDA!O20</f>
        <v>785130.7628</v>
      </c>
      <c r="R344" s="24" t="s">
        <v>3380</v>
      </c>
    </row>
    <row r="345" customFormat="false" ht="15" hidden="false" customHeight="false" outlineLevel="1" collapsed="false">
      <c r="A345" s="24" t="n">
        <v>1</v>
      </c>
      <c r="B345" s="24" t="s">
        <v>1345</v>
      </c>
      <c r="C345" s="40" t="s">
        <v>3381</v>
      </c>
      <c r="D345" s="24" t="s">
        <v>82</v>
      </c>
      <c r="E345" s="24" t="s">
        <v>286</v>
      </c>
      <c r="F345" s="41" t="n">
        <f aca="false">INDEX((BOM_COEF!R396~BOM_COEF!S396~BOM_COEF!T396~BOM_COEF!U396~BOM_COEF!V396~BOM_COEF!W396~BOM_COEF!X396~BOM_COEF!Y396~BOM_COEF!Z396~BOM_COEF!AA396),1,1,INDEX(P_VAL,MATCH("AÑO_DIS",P_ID,0))-2025)</f>
        <v>4</v>
      </c>
      <c r="G345" s="24" t="s">
        <v>2281</v>
      </c>
      <c r="H345" s="42" t="n">
        <f aca="false">BOM_COEF!R396*DEMANDA!F21</f>
        <v>1319.98667</v>
      </c>
      <c r="I345" s="42" t="n">
        <f aca="false">BOM_COEF!S396*DEMANDA!G21</f>
        <v>5149.656096</v>
      </c>
      <c r="J345" s="42" t="n">
        <f aca="false">BOM_COEF!T396*DEMANDA!H21</f>
        <v>11788.676864</v>
      </c>
      <c r="K345" s="42" t="n">
        <f aca="false">BOM_COEF!U396*DEMANDA!I21</f>
        <v>21704.173076</v>
      </c>
      <c r="L345" s="42" t="n">
        <f aca="false">BOM_COEF!V396*DEMANDA!J21</f>
        <v>31403.503224</v>
      </c>
      <c r="M345" s="42" t="n">
        <f aca="false">BOM_COEF!W396*DEMANDA!K21</f>
        <v>41695.7746</v>
      </c>
      <c r="N345" s="42" t="n">
        <f aca="false">BOM_COEF!X396*DEMANDA!L21</f>
        <v>51239.58284</v>
      </c>
      <c r="O345" s="42" t="n">
        <f aca="false">BOM_COEF!Y396*DEMANDA!M21</f>
        <v>57052.27324</v>
      </c>
      <c r="P345" s="42" t="n">
        <f aca="false">BOM_COEF!Z396*DEMANDA!N21</f>
        <v>61731.47932</v>
      </c>
      <c r="Q345" s="42" t="n">
        <f aca="false">BOM_COEF!AA396*DEMANDA!O21</f>
        <v>66483.04468</v>
      </c>
      <c r="R345" s="24" t="s">
        <v>3382</v>
      </c>
    </row>
    <row r="346" customFormat="false" ht="15" hidden="false" customHeight="false" outlineLevel="1" collapsed="false">
      <c r="A346" s="24" t="n">
        <v>1</v>
      </c>
      <c r="B346" s="24" t="s">
        <v>1345</v>
      </c>
      <c r="C346" s="40" t="s">
        <v>3383</v>
      </c>
      <c r="D346" s="24" t="s">
        <v>82</v>
      </c>
      <c r="E346" s="24" t="s">
        <v>290</v>
      </c>
      <c r="F346" s="41" t="n">
        <f aca="false">INDEX((BOM_COEF!R411~BOM_COEF!S411~BOM_COEF!T411~BOM_COEF!U411~BOM_COEF!V411~BOM_COEF!W411~BOM_COEF!X411~BOM_COEF!Y411~BOM_COEF!Z411~BOM_COEF!AA411),1,1,INDEX(P_VAL,MATCH("AÑO_DIS",P_ID,0))-2025)</f>
        <v>4</v>
      </c>
      <c r="G346" s="24" t="s">
        <v>2281</v>
      </c>
      <c r="H346" s="42" t="n">
        <f aca="false">BOM_COEF!R411*DEMANDA!F22</f>
        <v>7801.576388</v>
      </c>
      <c r="I346" s="42" t="n">
        <f aca="false">BOM_COEF!S411*DEMANDA!G22</f>
        <v>31410.47408</v>
      </c>
      <c r="J346" s="42" t="n">
        <f aca="false">BOM_COEF!T411*DEMANDA!H22</f>
        <v>71103.42804</v>
      </c>
      <c r="K346" s="42" t="n">
        <f aca="false">BOM_COEF!U411*DEMANDA!I22</f>
        <v>134422.2734</v>
      </c>
      <c r="L346" s="42" t="n">
        <f aca="false">BOM_COEF!V411*DEMANDA!J22</f>
        <v>193630.28756</v>
      </c>
      <c r="M346" s="42" t="n">
        <f aca="false">BOM_COEF!W411*DEMANDA!K22</f>
        <v>257292.17104</v>
      </c>
      <c r="N346" s="42" t="n">
        <f aca="false">BOM_COEF!X411*DEMANDA!L22</f>
        <v>314884.40156</v>
      </c>
      <c r="O346" s="42" t="n">
        <f aca="false">BOM_COEF!Y411*DEMANDA!M22</f>
        <v>348948.8496</v>
      </c>
      <c r="P346" s="42" t="n">
        <f aca="false">BOM_COEF!Z411*DEMANDA!N22</f>
        <v>376414.67044</v>
      </c>
      <c r="Q346" s="42" t="n">
        <f aca="false">BOM_COEF!AA411*DEMANDA!O22</f>
        <v>404380.7048</v>
      </c>
      <c r="R346" s="24" t="s">
        <v>3384</v>
      </c>
    </row>
    <row r="347" customFormat="false" ht="15" hidden="false" customHeight="false" outlineLevel="1" collapsed="false">
      <c r="A347" s="24" t="n">
        <v>1</v>
      </c>
      <c r="B347" s="24" t="s">
        <v>1345</v>
      </c>
      <c r="C347" s="40" t="s">
        <v>3385</v>
      </c>
      <c r="D347" s="24" t="s">
        <v>82</v>
      </c>
      <c r="E347" s="24" t="s">
        <v>336</v>
      </c>
      <c r="F347" s="41" t="n">
        <f aca="false">INDEX((BOM_COEF!R411~BOM_COEF!S411~BOM_COEF!T411~BOM_COEF!U411~BOM_COEF!V411~BOM_COEF!W411~BOM_COEF!X411~BOM_COEF!Y411~BOM_COEF!Z411~BOM_COEF!AA411),1,1,INDEX(P_VAL,MATCH("AÑO_DIS",P_ID,0))-2025)</f>
        <v>4</v>
      </c>
      <c r="G347" s="24" t="s">
        <v>2281</v>
      </c>
      <c r="H347" s="42" t="n">
        <f aca="false">BOM_COEF!R411*DEMANDA!F37</f>
        <v>252</v>
      </c>
      <c r="I347" s="42" t="n">
        <f aca="false">BOM_COEF!S411*DEMANDA!G37</f>
        <v>1128</v>
      </c>
      <c r="J347" s="42" t="n">
        <f aca="false">BOM_COEF!T411*DEMANDA!H37</f>
        <v>2212</v>
      </c>
      <c r="K347" s="42" t="n">
        <f aca="false">BOM_COEF!U411*DEMANDA!I37</f>
        <v>4100</v>
      </c>
      <c r="L347" s="42" t="n">
        <f aca="false">BOM_COEF!V411*DEMANDA!J37</f>
        <v>6060</v>
      </c>
      <c r="M347" s="42" t="n">
        <f aca="false">BOM_COEF!W411*DEMANDA!K37</f>
        <v>8288</v>
      </c>
      <c r="N347" s="42" t="n">
        <f aca="false">BOM_COEF!X411*DEMANDA!L37</f>
        <v>10316</v>
      </c>
      <c r="O347" s="42" t="n">
        <f aca="false">BOM_COEF!Y411*DEMANDA!M37</f>
        <v>11776</v>
      </c>
      <c r="P347" s="42" t="n">
        <f aca="false">BOM_COEF!Z411*DEMANDA!N37</f>
        <v>12656</v>
      </c>
      <c r="Q347" s="42" t="n">
        <f aca="false">BOM_COEF!AA411*DEMANDA!O37</f>
        <v>13552</v>
      </c>
      <c r="R347" s="24" t="s">
        <v>3384</v>
      </c>
    </row>
    <row r="348" customFormat="false" ht="15" hidden="false" customHeight="false" outlineLevel="1" collapsed="false">
      <c r="A348" s="24" t="n">
        <v>1</v>
      </c>
      <c r="B348" s="24" t="s">
        <v>1345</v>
      </c>
      <c r="C348" s="40" t="s">
        <v>3386</v>
      </c>
      <c r="D348" s="24" t="s">
        <v>82</v>
      </c>
      <c r="E348" s="24" t="s">
        <v>293</v>
      </c>
      <c r="F348" s="41" t="n">
        <f aca="false">INDEX((BOM_COEF!R426~BOM_COEF!S426~BOM_COEF!T426~BOM_COEF!U426~BOM_COEF!V426~BOM_COEF!W426~BOM_COEF!X426~BOM_COEF!Y426~BOM_COEF!Z426~BOM_COEF!AA426),1,1,INDEX(P_VAL,MATCH("AÑO_DIS",P_ID,0))-2025)</f>
        <v>4</v>
      </c>
      <c r="G348" s="24" t="s">
        <v>2281</v>
      </c>
      <c r="H348" s="42" t="n">
        <f aca="false">BOM_COEF!R426*DEMANDA!F23</f>
        <v>473.37453</v>
      </c>
      <c r="I348" s="42" t="n">
        <f aca="false">BOM_COEF!S426*DEMANDA!G23</f>
        <v>1750.8663116</v>
      </c>
      <c r="J348" s="42" t="n">
        <f aca="false">BOM_COEF!T426*DEMANDA!H23</f>
        <v>4099.899284</v>
      </c>
      <c r="K348" s="42" t="n">
        <f aca="false">BOM_COEF!U426*DEMANDA!I23</f>
        <v>7841.639448</v>
      </c>
      <c r="L348" s="42" t="n">
        <f aca="false">BOM_COEF!V426*DEMANDA!J23</f>
        <v>11379.907384</v>
      </c>
      <c r="M348" s="42" t="n">
        <f aca="false">BOM_COEF!W426*DEMANDA!K23</f>
        <v>15241.562488</v>
      </c>
      <c r="N348" s="42" t="n">
        <f aca="false">BOM_COEF!X426*DEMANDA!L23</f>
        <v>18654.71228</v>
      </c>
      <c r="O348" s="42" t="n">
        <f aca="false">BOM_COEF!Y426*DEMANDA!M23</f>
        <v>20658.058336</v>
      </c>
      <c r="P348" s="42" t="n">
        <f aca="false">BOM_COEF!Z426*DEMANDA!N23</f>
        <v>22286.177312</v>
      </c>
      <c r="Q348" s="42" t="n">
        <f aca="false">BOM_COEF!AA426*DEMANDA!O23</f>
        <v>23943.80342</v>
      </c>
      <c r="R348" s="24" t="s">
        <v>3387</v>
      </c>
    </row>
    <row r="349" customFormat="false" ht="15" hidden="false" customHeight="false" outlineLevel="1" collapsed="false">
      <c r="A349" s="24" t="n">
        <v>1</v>
      </c>
      <c r="B349" s="24" t="s">
        <v>1345</v>
      </c>
      <c r="C349" s="40" t="s">
        <v>3388</v>
      </c>
      <c r="D349" s="24" t="s">
        <v>82</v>
      </c>
      <c r="E349" s="24" t="s">
        <v>339</v>
      </c>
      <c r="F349" s="41" t="n">
        <f aca="false">INDEX((BOM_COEF!R426~BOM_COEF!S426~BOM_COEF!T426~BOM_COEF!U426~BOM_COEF!V426~BOM_COEF!W426~BOM_COEF!X426~BOM_COEF!Y426~BOM_COEF!Z426~BOM_COEF!AA426),1,1,INDEX(P_VAL,MATCH("AÑO_DIS",P_ID,0))-2025)</f>
        <v>4</v>
      </c>
      <c r="G349" s="24" t="s">
        <v>2281</v>
      </c>
      <c r="H349" s="42" t="n">
        <f aca="false">BOM_COEF!R426*DEMANDA!F38</f>
        <v>8</v>
      </c>
      <c r="I349" s="42" t="n">
        <f aca="false">BOM_COEF!S426*DEMANDA!G38</f>
        <v>20</v>
      </c>
      <c r="J349" s="42" t="n">
        <f aca="false">BOM_COEF!T426*DEMANDA!H38</f>
        <v>48</v>
      </c>
      <c r="K349" s="42" t="n">
        <f aca="false">BOM_COEF!U426*DEMANDA!I38</f>
        <v>88</v>
      </c>
      <c r="L349" s="42" t="n">
        <f aca="false">BOM_COEF!V426*DEMANDA!J38</f>
        <v>124</v>
      </c>
      <c r="M349" s="42" t="n">
        <f aca="false">BOM_COEF!W426*DEMANDA!K38</f>
        <v>168</v>
      </c>
      <c r="N349" s="42" t="n">
        <f aca="false">BOM_COEF!X426*DEMANDA!L38</f>
        <v>204</v>
      </c>
      <c r="O349" s="42" t="n">
        <f aca="false">BOM_COEF!Y426*DEMANDA!M38</f>
        <v>224</v>
      </c>
      <c r="P349" s="42" t="n">
        <f aca="false">BOM_COEF!Z426*DEMANDA!N38</f>
        <v>244</v>
      </c>
      <c r="Q349" s="42" t="n">
        <f aca="false">BOM_COEF!AA426*DEMANDA!O38</f>
        <v>260</v>
      </c>
      <c r="R349" s="24" t="s">
        <v>3387</v>
      </c>
    </row>
    <row r="350" customFormat="false" ht="15" hidden="false" customHeight="false" outlineLevel="1" collapsed="false">
      <c r="A350" s="24" t="n">
        <v>1</v>
      </c>
      <c r="B350" s="24" t="s">
        <v>1345</v>
      </c>
      <c r="C350" s="40" t="s">
        <v>3389</v>
      </c>
      <c r="D350" s="24" t="s">
        <v>82</v>
      </c>
      <c r="E350" s="24" t="s">
        <v>296</v>
      </c>
      <c r="F350" s="41" t="n">
        <f aca="false">INDEX((BOM_COEF!R441~BOM_COEF!S441~BOM_COEF!T441~BOM_COEF!U441~BOM_COEF!V441~BOM_COEF!W441~BOM_COEF!X441~BOM_COEF!Y441~BOM_COEF!Z441~BOM_COEF!AA441),1,1,INDEX(P_VAL,MATCH("AÑO_DIS",P_ID,0))-2025)</f>
        <v>4</v>
      </c>
      <c r="G350" s="24" t="s">
        <v>2281</v>
      </c>
      <c r="H350" s="42" t="n">
        <f aca="false">BOM_COEF!R441*DEMANDA!F24</f>
        <v>70.55101168</v>
      </c>
      <c r="I350" s="42" t="n">
        <f aca="false">BOM_COEF!S441*DEMANDA!G24</f>
        <v>343.9512776</v>
      </c>
      <c r="J350" s="42" t="n">
        <f aca="false">BOM_COEF!T441*DEMANDA!H24</f>
        <v>747.4782692</v>
      </c>
      <c r="K350" s="42" t="n">
        <f aca="false">BOM_COEF!U441*DEMANDA!I24</f>
        <v>1346.3344832</v>
      </c>
      <c r="L350" s="42" t="n">
        <f aca="false">BOM_COEF!V441*DEMANDA!J24</f>
        <v>1936.5303908</v>
      </c>
      <c r="M350" s="42" t="n">
        <f aca="false">BOM_COEF!W441*DEMANDA!K24</f>
        <v>2572.8815416</v>
      </c>
      <c r="N350" s="42" t="n">
        <f aca="false">BOM_COEF!X441*DEMANDA!L24</f>
        <v>3169.7269692</v>
      </c>
      <c r="O350" s="42" t="n">
        <f aca="false">BOM_COEF!Y441*DEMANDA!M24</f>
        <v>3558.710828</v>
      </c>
      <c r="P350" s="42" t="n">
        <f aca="false">BOM_COEF!Z441*DEMANDA!N24</f>
        <v>3861.244438</v>
      </c>
      <c r="Q350" s="42" t="n">
        <f aca="false">BOM_COEF!AA441*DEMANDA!O24</f>
        <v>4167.758808</v>
      </c>
      <c r="R350" s="24" t="s">
        <v>3390</v>
      </c>
    </row>
    <row r="351" customFormat="false" ht="15" hidden="false" customHeight="false" outlineLevel="1" collapsed="false">
      <c r="A351" s="24" t="n">
        <v>1</v>
      </c>
      <c r="B351" s="24" t="s">
        <v>1345</v>
      </c>
      <c r="C351" s="40" t="s">
        <v>3391</v>
      </c>
      <c r="D351" s="24" t="s">
        <v>82</v>
      </c>
      <c r="E351" s="24" t="s">
        <v>300</v>
      </c>
      <c r="F351" s="41" t="n">
        <f aca="false">INDEX((BOM_COEF!R456~BOM_COEF!S456~BOM_COEF!T456~BOM_COEF!U456~BOM_COEF!V456~BOM_COEF!W456~BOM_COEF!X456~BOM_COEF!Y456~BOM_COEF!Z456~BOM_COEF!AA456),1,1,INDEX(P_VAL,MATCH("AÑO_DIS",P_ID,0))-2025)</f>
        <v>4</v>
      </c>
      <c r="G351" s="24" t="s">
        <v>2281</v>
      </c>
      <c r="H351" s="42" t="n">
        <f aca="false">BOM_COEF!R456*DEMANDA!F25</f>
        <v>155.21222568</v>
      </c>
      <c r="I351" s="42" t="n">
        <f aca="false">BOM_COEF!S456*DEMANDA!G25</f>
        <v>756.6928108</v>
      </c>
      <c r="J351" s="42" t="n">
        <f aca="false">BOM_COEF!T456*DEMANDA!H25</f>
        <v>1644.452192</v>
      </c>
      <c r="K351" s="42" t="n">
        <f aca="false">BOM_COEF!U456*DEMANDA!I25</f>
        <v>2961.9358628</v>
      </c>
      <c r="L351" s="42" t="n">
        <f aca="false">BOM_COEF!V456*DEMANDA!J25</f>
        <v>4260.36686</v>
      </c>
      <c r="M351" s="42" t="n">
        <f aca="false">BOM_COEF!W456*DEMANDA!K25</f>
        <v>5660.339392</v>
      </c>
      <c r="N351" s="42" t="n">
        <f aca="false">BOM_COEF!X456*DEMANDA!L25</f>
        <v>6973.399332</v>
      </c>
      <c r="O351" s="42" t="n">
        <f aca="false">BOM_COEF!Y456*DEMANDA!M25</f>
        <v>7829.16382</v>
      </c>
      <c r="P351" s="42" t="n">
        <f aca="false">BOM_COEF!Z456*DEMANDA!N25</f>
        <v>8494.737764</v>
      </c>
      <c r="Q351" s="42" t="n">
        <f aca="false">BOM_COEF!AA456*DEMANDA!O25</f>
        <v>9169.069372</v>
      </c>
      <c r="R351" s="24" t="s">
        <v>3392</v>
      </c>
    </row>
    <row r="352" customFormat="false" ht="15" hidden="false" customHeight="false" outlineLevel="1" collapsed="false">
      <c r="A352" s="24" t="n">
        <v>1</v>
      </c>
      <c r="B352" s="24" t="s">
        <v>1345</v>
      </c>
      <c r="C352" s="40" t="s">
        <v>3393</v>
      </c>
      <c r="D352" s="24" t="s">
        <v>82</v>
      </c>
      <c r="E352" s="24" t="s">
        <v>366</v>
      </c>
      <c r="F352" s="41" t="n">
        <f aca="false">INDEX((BOM_COEF!R456~BOM_COEF!S456~BOM_COEF!T456~BOM_COEF!U456~BOM_COEF!V456~BOM_COEF!W456~BOM_COEF!X456~BOM_COEF!Y456~BOM_COEF!Z456~BOM_COEF!AA456),1,1,INDEX(P_VAL,MATCH("AÑO_DIS",P_ID,0))-2025)</f>
        <v>4</v>
      </c>
      <c r="G352" s="24" t="s">
        <v>2281</v>
      </c>
      <c r="H352" s="42" t="n">
        <f aca="false">BOM_COEF!R456*DEMANDA!F47</f>
        <v>4</v>
      </c>
      <c r="I352" s="42" t="n">
        <f aca="false">BOM_COEF!S456*DEMANDA!G47</f>
        <v>12</v>
      </c>
      <c r="J352" s="42" t="n">
        <f aca="false">BOM_COEF!T456*DEMANDA!H47</f>
        <v>28</v>
      </c>
      <c r="K352" s="42" t="n">
        <f aca="false">BOM_COEF!U456*DEMANDA!I47</f>
        <v>48</v>
      </c>
      <c r="L352" s="42" t="n">
        <f aca="false">BOM_COEF!V456*DEMANDA!J47</f>
        <v>68</v>
      </c>
      <c r="M352" s="42" t="n">
        <f aca="false">BOM_COEF!W456*DEMANDA!K47</f>
        <v>92</v>
      </c>
      <c r="N352" s="42" t="n">
        <f aca="false">BOM_COEF!X456*DEMANDA!L47</f>
        <v>112</v>
      </c>
      <c r="O352" s="42" t="n">
        <f aca="false">BOM_COEF!Y456*DEMANDA!M47</f>
        <v>124</v>
      </c>
      <c r="P352" s="42" t="n">
        <f aca="false">BOM_COEF!Z456*DEMANDA!N47</f>
        <v>136</v>
      </c>
      <c r="Q352" s="42" t="n">
        <f aca="false">BOM_COEF!AA456*DEMANDA!O47</f>
        <v>144</v>
      </c>
      <c r="R352" s="24" t="s">
        <v>3392</v>
      </c>
    </row>
    <row r="353" customFormat="false" ht="15" hidden="false" customHeight="false" outlineLevel="1" collapsed="false">
      <c r="A353" s="24" t="n">
        <v>1</v>
      </c>
      <c r="B353" s="24" t="s">
        <v>1345</v>
      </c>
      <c r="C353" s="40" t="s">
        <v>3394</v>
      </c>
      <c r="D353" s="24" t="s">
        <v>82</v>
      </c>
      <c r="E353" s="24" t="s">
        <v>303</v>
      </c>
      <c r="F353" s="41" t="n">
        <f aca="false">INDEX((BOM_COEF!R471~BOM_COEF!S471~BOM_COEF!T471~BOM_COEF!U471~BOM_COEF!V471~BOM_COEF!W471~BOM_COEF!X471~BOM_COEF!Y471~BOM_COEF!Z471~BOM_COEF!AA471),1,1,INDEX(P_VAL,MATCH("AÑO_DIS",P_ID,0))-2025)</f>
        <v>4</v>
      </c>
      <c r="G353" s="24" t="s">
        <v>2281</v>
      </c>
      <c r="H353" s="42" t="n">
        <f aca="false">BOM_COEF!R471*DEMANDA!F26</f>
        <v>33.864485604</v>
      </c>
      <c r="I353" s="42" t="n">
        <f aca="false">BOM_COEF!S471*DEMANDA!G26</f>
        <v>165.09661324</v>
      </c>
      <c r="J353" s="42" t="n">
        <f aca="false">BOM_COEF!T471*DEMANDA!H26</f>
        <v>358.78956916</v>
      </c>
      <c r="K353" s="42" t="n">
        <f aca="false">BOM_COEF!U471*DEMANDA!I26</f>
        <v>646.240552</v>
      </c>
      <c r="L353" s="42" t="n">
        <f aca="false">BOM_COEF!V471*DEMANDA!J26</f>
        <v>929.5345876</v>
      </c>
      <c r="M353" s="42" t="n">
        <f aca="false">BOM_COEF!W471*DEMANDA!K26</f>
        <v>1234.98314</v>
      </c>
      <c r="N353" s="42" t="n">
        <f aca="false">BOM_COEF!X471*DEMANDA!L26</f>
        <v>1521.4689452</v>
      </c>
      <c r="O353" s="42" t="n">
        <f aca="false">BOM_COEF!Y471*DEMANDA!M26</f>
        <v>1708.1811972</v>
      </c>
      <c r="P353" s="42" t="n">
        <f aca="false">BOM_COEF!Z471*DEMANDA!N26</f>
        <v>1853.3973304</v>
      </c>
      <c r="Q353" s="42" t="n">
        <f aca="false">BOM_COEF!AA471*DEMANDA!O26</f>
        <v>2000.5242268</v>
      </c>
      <c r="R353" s="24" t="s">
        <v>3395</v>
      </c>
    </row>
    <row r="354" customFormat="false" ht="15" hidden="false" customHeight="false" outlineLevel="1" collapsed="false">
      <c r="A354" s="24" t="n">
        <v>1</v>
      </c>
      <c r="B354" s="24" t="s">
        <v>1345</v>
      </c>
      <c r="C354" s="40" t="s">
        <v>3396</v>
      </c>
      <c r="D354" s="24" t="s">
        <v>82</v>
      </c>
      <c r="E354" s="24" t="s">
        <v>306</v>
      </c>
      <c r="F354" s="41" t="n">
        <f aca="false">INDEX((BOM_COEF!R486~BOM_COEF!S486~BOM_COEF!T486~BOM_COEF!U486~BOM_COEF!V486~BOM_COEF!W486~BOM_COEF!X486~BOM_COEF!Y486~BOM_COEF!Z486~BOM_COEF!AA486),1,1,INDEX(P_VAL,MATCH("AÑO_DIS",P_ID,0))-2025)</f>
        <v>4</v>
      </c>
      <c r="G354" s="24" t="s">
        <v>2281</v>
      </c>
      <c r="H354" s="42" t="n">
        <f aca="false">BOM_COEF!R486*DEMANDA!F27</f>
        <v>22.576323736</v>
      </c>
      <c r="I354" s="42" t="n">
        <f aca="false">BOM_COEF!S486*DEMANDA!G27</f>
        <v>110.06440884</v>
      </c>
      <c r="J354" s="42" t="n">
        <f aca="false">BOM_COEF!T486*DEMANDA!H27</f>
        <v>239.19304612</v>
      </c>
      <c r="K354" s="42" t="n">
        <f aca="false">BOM_COEF!U486*DEMANDA!I27</f>
        <v>430.8270344</v>
      </c>
      <c r="L354" s="42" t="n">
        <f aca="false">BOM_COEF!V486*DEMANDA!J27</f>
        <v>619.6897252</v>
      </c>
      <c r="M354" s="42" t="n">
        <f aca="false">BOM_COEF!W486*DEMANDA!K27</f>
        <v>823.3220932</v>
      </c>
      <c r="N354" s="42" t="n">
        <f aca="false">BOM_COEF!X486*DEMANDA!L27</f>
        <v>1014.31263</v>
      </c>
      <c r="O354" s="42" t="n">
        <f aca="false">BOM_COEF!Y486*DEMANDA!M27</f>
        <v>1138.7874648</v>
      </c>
      <c r="P354" s="42" t="n">
        <f aca="false">BOM_COEF!Z486*DEMANDA!N27</f>
        <v>1235.59822</v>
      </c>
      <c r="Q354" s="42" t="n">
        <f aca="false">BOM_COEF!AA486*DEMANDA!O27</f>
        <v>1333.682818</v>
      </c>
      <c r="R354" s="24" t="s">
        <v>3397</v>
      </c>
    </row>
    <row r="355" customFormat="false" ht="15" hidden="false" customHeight="false" outlineLevel="1" collapsed="false">
      <c r="A355" s="24" t="n">
        <v>1</v>
      </c>
      <c r="B355" s="24" t="s">
        <v>1345</v>
      </c>
      <c r="C355" s="40" t="s">
        <v>3398</v>
      </c>
      <c r="D355" s="24" t="s">
        <v>82</v>
      </c>
      <c r="E355" s="24" t="s">
        <v>369</v>
      </c>
      <c r="F355" s="41" t="n">
        <f aca="false">INDEX((BOM_COEF!R486~BOM_COEF!S486~BOM_COEF!T486~BOM_COEF!U486~BOM_COEF!V486~BOM_COEF!W486~BOM_COEF!X486~BOM_COEF!Y486~BOM_COEF!Z486~BOM_COEF!AA486),1,1,INDEX(P_VAL,MATCH("AÑO_DIS",P_ID,0))-2025)</f>
        <v>4</v>
      </c>
      <c r="G355" s="24" t="s">
        <v>2281</v>
      </c>
      <c r="H355" s="42" t="n">
        <f aca="false">BOM_COEF!R486*DEMANDA!F48</f>
        <v>4</v>
      </c>
      <c r="I355" s="42" t="n">
        <f aca="false">BOM_COEF!S486*DEMANDA!G48</f>
        <v>4</v>
      </c>
      <c r="J355" s="42" t="n">
        <f aca="false">BOM_COEF!T486*DEMANDA!H48</f>
        <v>8</v>
      </c>
      <c r="K355" s="42" t="n">
        <f aca="false">BOM_COEF!U486*DEMANDA!I48</f>
        <v>12</v>
      </c>
      <c r="L355" s="42" t="n">
        <f aca="false">BOM_COEF!V486*DEMANDA!J48</f>
        <v>20</v>
      </c>
      <c r="M355" s="42" t="n">
        <f aca="false">BOM_COEF!W486*DEMANDA!K48</f>
        <v>24</v>
      </c>
      <c r="N355" s="42" t="n">
        <f aca="false">BOM_COEF!X486*DEMANDA!L48</f>
        <v>28</v>
      </c>
      <c r="O355" s="42" t="n">
        <f aca="false">BOM_COEF!Y486*DEMANDA!M48</f>
        <v>32</v>
      </c>
      <c r="P355" s="42" t="n">
        <f aca="false">BOM_COEF!Z486*DEMANDA!N48</f>
        <v>36</v>
      </c>
      <c r="Q355" s="42" t="n">
        <f aca="false">BOM_COEF!AA486*DEMANDA!O48</f>
        <v>36</v>
      </c>
      <c r="R355" s="24" t="s">
        <v>3397</v>
      </c>
    </row>
    <row r="356" customFormat="false" ht="15" hidden="false" customHeight="false" outlineLevel="1" collapsed="false">
      <c r="A356" s="24" t="n">
        <v>1</v>
      </c>
      <c r="B356" s="24" t="s">
        <v>1345</v>
      </c>
      <c r="C356" s="40" t="s">
        <v>3399</v>
      </c>
      <c r="D356" s="24" t="s">
        <v>82</v>
      </c>
      <c r="E356" s="24" t="s">
        <v>309</v>
      </c>
      <c r="F356" s="41" t="n">
        <f aca="false">INDEX((BOM_COEF!R501~BOM_COEF!S501~BOM_COEF!T501~BOM_COEF!U501~BOM_COEF!V501~BOM_COEF!W501~BOM_COEF!X501~BOM_COEF!Y501~BOM_COEF!Z501~BOM_COEF!AA501),1,1,INDEX(P_VAL,MATCH("AÑO_DIS",P_ID,0))-2025)</f>
        <v>4</v>
      </c>
      <c r="G356" s="24" t="s">
        <v>2281</v>
      </c>
      <c r="H356" s="42" t="n">
        <f aca="false">BOM_COEF!R501*DEMANDA!F28</f>
        <v>637.234944</v>
      </c>
      <c r="I356" s="42" t="n">
        <f aca="false">BOM_COEF!S501*DEMANDA!G28</f>
        <v>2573.6941672</v>
      </c>
      <c r="J356" s="42" t="n">
        <f aca="false">BOM_COEF!T501*DEMANDA!H28</f>
        <v>5897.450964</v>
      </c>
      <c r="K356" s="42" t="n">
        <f aca="false">BOM_COEF!U501*DEMANDA!I28</f>
        <v>11065.80482</v>
      </c>
      <c r="L356" s="42" t="n">
        <f aca="false">BOM_COEF!V501*DEMANDA!J28</f>
        <v>15965.860884</v>
      </c>
      <c r="M356" s="42" t="n">
        <f aca="false">BOM_COEF!W501*DEMANDA!K28</f>
        <v>21343.02312</v>
      </c>
      <c r="N356" s="42" t="n">
        <f aca="false">BOM_COEF!X501*DEMANDA!L28</f>
        <v>26155.835548</v>
      </c>
      <c r="O356" s="42" t="n">
        <f aca="false">BOM_COEF!Y501*DEMANDA!M28</f>
        <v>29079.278724</v>
      </c>
      <c r="P356" s="42" t="n">
        <f aca="false">BOM_COEF!Z501*DEMANDA!N28</f>
        <v>31421.76556</v>
      </c>
      <c r="Q356" s="42" t="n">
        <f aca="false">BOM_COEF!AA501*DEMANDA!O28</f>
        <v>33803.256324</v>
      </c>
      <c r="R356" s="24" t="s">
        <v>3400</v>
      </c>
    </row>
    <row r="357" customFormat="false" ht="15" hidden="false" customHeight="false" outlineLevel="1" collapsed="false">
      <c r="A357" s="24" t="n">
        <v>1</v>
      </c>
      <c r="B357" s="24" t="s">
        <v>1345</v>
      </c>
      <c r="C357" s="40" t="s">
        <v>3401</v>
      </c>
      <c r="D357" s="24" t="s">
        <v>82</v>
      </c>
      <c r="E357" s="24" t="s">
        <v>342</v>
      </c>
      <c r="F357" s="41" t="n">
        <f aca="false">INDEX((BOM_COEF!R501~BOM_COEF!S501~BOM_COEF!T501~BOM_COEF!U501~BOM_COEF!V501~BOM_COEF!W501~BOM_COEF!X501~BOM_COEF!Y501~BOM_COEF!Z501~BOM_COEF!AA501),1,1,INDEX(P_VAL,MATCH("AÑO_DIS",P_ID,0))-2025)</f>
        <v>4</v>
      </c>
      <c r="G357" s="24" t="s">
        <v>2281</v>
      </c>
      <c r="H357" s="42" t="n">
        <f aca="false">BOM_COEF!R501*DEMANDA!F39</f>
        <v>8</v>
      </c>
      <c r="I357" s="42" t="n">
        <f aca="false">BOM_COEF!S501*DEMANDA!G39</f>
        <v>28</v>
      </c>
      <c r="J357" s="42" t="n">
        <f aca="false">BOM_COEF!T501*DEMANDA!H39</f>
        <v>64</v>
      </c>
      <c r="K357" s="42" t="n">
        <f aca="false">BOM_COEF!U501*DEMANDA!I39</f>
        <v>120</v>
      </c>
      <c r="L357" s="42" t="n">
        <f aca="false">BOM_COEF!V501*DEMANDA!J39</f>
        <v>176</v>
      </c>
      <c r="M357" s="42" t="n">
        <f aca="false">BOM_COEF!W501*DEMANDA!K39</f>
        <v>232</v>
      </c>
      <c r="N357" s="42" t="n">
        <f aca="false">BOM_COEF!X501*DEMANDA!L39</f>
        <v>284</v>
      </c>
      <c r="O357" s="42" t="n">
        <f aca="false">BOM_COEF!Y501*DEMANDA!M39</f>
        <v>316</v>
      </c>
      <c r="P357" s="42" t="n">
        <f aca="false">BOM_COEF!Z501*DEMANDA!N39</f>
        <v>340</v>
      </c>
      <c r="Q357" s="42" t="n">
        <f aca="false">BOM_COEF!AA501*DEMANDA!O39</f>
        <v>368</v>
      </c>
      <c r="R357" s="24" t="s">
        <v>3400</v>
      </c>
    </row>
    <row r="358" customFormat="false" ht="15" hidden="false" customHeight="false" outlineLevel="1" collapsed="false">
      <c r="A358" s="24" t="n">
        <v>1</v>
      </c>
      <c r="B358" s="24" t="s">
        <v>1345</v>
      </c>
      <c r="C358" s="40" t="s">
        <v>3402</v>
      </c>
      <c r="D358" s="24" t="s">
        <v>82</v>
      </c>
      <c r="E358" s="24" t="s">
        <v>312</v>
      </c>
      <c r="F358" s="41" t="n">
        <f aca="false">INDEX((BOM_COEF!R514~BOM_COEF!S514~BOM_COEF!T514~BOM_COEF!U514~BOM_COEF!V514~BOM_COEF!W514~BOM_COEF!X514~BOM_COEF!Y514~BOM_COEF!Z514~BOM_COEF!AA514),1,1,INDEX(P_VAL,MATCH("AÑO_DIS",P_ID,0))-2025)</f>
        <v>4</v>
      </c>
      <c r="G358" s="24" t="s">
        <v>2281</v>
      </c>
      <c r="H358" s="42" t="n">
        <f aca="false">BOM_COEF!R514*DEMANDA!F29</f>
        <v>91.03356344</v>
      </c>
      <c r="I358" s="42" t="n">
        <f aca="false">BOM_COEF!S514*DEMANDA!G29</f>
        <v>645.263004</v>
      </c>
      <c r="J358" s="42" t="n">
        <f aca="false">BOM_COEF!T514*DEMANDA!H29</f>
        <v>1266.4291044</v>
      </c>
      <c r="K358" s="42" t="n">
        <f aca="false">BOM_COEF!U514*DEMANDA!I29</f>
        <v>2109.5784796</v>
      </c>
      <c r="L358" s="42" t="n">
        <f aca="false">BOM_COEF!V514*DEMANDA!J29</f>
        <v>2975.1557852</v>
      </c>
      <c r="M358" s="42" t="n">
        <f aca="false">BOM_COEF!W514*DEMANDA!K29</f>
        <v>3851.4973408</v>
      </c>
      <c r="N358" s="42" t="n">
        <f aca="false">BOM_COEF!X514*DEMANDA!L29</f>
        <v>4779.768828</v>
      </c>
      <c r="O358" s="42" t="n">
        <f aca="false">BOM_COEF!Y514*DEMANDA!M29</f>
        <v>5406.468732</v>
      </c>
      <c r="P358" s="42" t="n">
        <f aca="false">BOM_COEF!Z514*DEMANDA!N29</f>
        <v>5910.19544</v>
      </c>
      <c r="Q358" s="42" t="n">
        <f aca="false">BOM_COEF!AA514*DEMANDA!O29</f>
        <v>6417.765688</v>
      </c>
      <c r="R358" s="24" t="s">
        <v>3403</v>
      </c>
    </row>
    <row r="359" customFormat="false" ht="15" hidden="false" customHeight="false" outlineLevel="1" collapsed="false">
      <c r="A359" s="24" t="n">
        <v>1</v>
      </c>
      <c r="B359" s="24" t="s">
        <v>1345</v>
      </c>
      <c r="C359" s="40" t="s">
        <v>3404</v>
      </c>
      <c r="D359" s="24" t="s">
        <v>82</v>
      </c>
      <c r="E359" s="24" t="s">
        <v>345</v>
      </c>
      <c r="F359" s="41" t="n">
        <f aca="false">INDEX((BOM_COEF!R514~BOM_COEF!S514~BOM_COEF!T514~BOM_COEF!U514~BOM_COEF!V514~BOM_COEF!W514~BOM_COEF!X514~BOM_COEF!Y514~BOM_COEF!Z514~BOM_COEF!AA514),1,1,INDEX(P_VAL,MATCH("AÑO_DIS",P_ID,0))-2025)</f>
        <v>4</v>
      </c>
      <c r="G359" s="24" t="s">
        <v>2281</v>
      </c>
      <c r="H359" s="42" t="n">
        <f aca="false">BOM_COEF!R514*DEMANDA!F40</f>
        <v>4</v>
      </c>
      <c r="I359" s="42" t="n">
        <f aca="false">BOM_COEF!S514*DEMANDA!G40</f>
        <v>8</v>
      </c>
      <c r="J359" s="42" t="n">
        <f aca="false">BOM_COEF!T514*DEMANDA!H40</f>
        <v>16</v>
      </c>
      <c r="K359" s="42" t="n">
        <f aca="false">BOM_COEF!U514*DEMANDA!I40</f>
        <v>24</v>
      </c>
      <c r="L359" s="42" t="n">
        <f aca="false">BOM_COEF!V514*DEMANDA!J40</f>
        <v>36</v>
      </c>
      <c r="M359" s="42" t="n">
        <f aca="false">BOM_COEF!W514*DEMANDA!K40</f>
        <v>44</v>
      </c>
      <c r="N359" s="42" t="n">
        <f aca="false">BOM_COEF!X514*DEMANDA!L40</f>
        <v>52</v>
      </c>
      <c r="O359" s="42" t="n">
        <f aca="false">BOM_COEF!Y514*DEMANDA!M40</f>
        <v>60</v>
      </c>
      <c r="P359" s="42" t="n">
        <f aca="false">BOM_COEF!Z514*DEMANDA!N40</f>
        <v>64</v>
      </c>
      <c r="Q359" s="42" t="n">
        <f aca="false">BOM_COEF!AA514*DEMANDA!O40</f>
        <v>72</v>
      </c>
      <c r="R359" s="24" t="s">
        <v>3403</v>
      </c>
    </row>
    <row r="360" customFormat="false" ht="15" hidden="false" customHeight="false" outlineLevel="1" collapsed="false">
      <c r="A360" s="24" t="n">
        <v>1</v>
      </c>
      <c r="B360" s="24" t="s">
        <v>1345</v>
      </c>
      <c r="C360" s="40" t="s">
        <v>3405</v>
      </c>
      <c r="D360" s="24" t="s">
        <v>82</v>
      </c>
      <c r="E360" s="24" t="s">
        <v>315</v>
      </c>
      <c r="F360" s="41" t="n">
        <f aca="false">INDEX((BOM_COEF!R528~BOM_COEF!S528~BOM_COEF!T528~BOM_COEF!U528~BOM_COEF!V528~BOM_COEF!W528~BOM_COEF!X528~BOM_COEF!Y528~BOM_COEF!Z528~BOM_COEF!AA528),1,1,INDEX(P_VAL,MATCH("AÑO_DIS",P_ID,0))-2025)</f>
        <v>4</v>
      </c>
      <c r="G360" s="24" t="s">
        <v>2281</v>
      </c>
      <c r="H360" s="42" t="n">
        <f aca="false">BOM_COEF!R528*DEMANDA!F30</f>
        <v>45.51678172</v>
      </c>
      <c r="I360" s="42" t="n">
        <f aca="false">BOM_COEF!S528*DEMANDA!G30</f>
        <v>332.89407856</v>
      </c>
      <c r="J360" s="42" t="n">
        <f aca="false">BOM_COEF!T528*DEMANDA!H30</f>
        <v>657.8553348</v>
      </c>
      <c r="K360" s="42" t="n">
        <f aca="false">BOM_COEF!U528*DEMANDA!I30</f>
        <v>1125.3645812</v>
      </c>
      <c r="L360" s="42" t="n">
        <f aca="false">BOM_COEF!V528*DEMANDA!J30</f>
        <v>1595.6100364</v>
      </c>
      <c r="M360" s="42" t="n">
        <f aca="false">BOM_COEF!W528*DEMANDA!K30</f>
        <v>2058.1091376</v>
      </c>
      <c r="N360" s="42" t="n">
        <f aca="false">BOM_COEF!X528*DEMANDA!L30</f>
        <v>2516.2620204</v>
      </c>
      <c r="O360" s="42" t="n">
        <f aca="false">BOM_COEF!Y528*DEMANDA!M30</f>
        <v>2844.7120948</v>
      </c>
      <c r="P360" s="42" t="n">
        <f aca="false">BOM_COEF!Z528*DEMANDA!N30</f>
        <v>3093.6439192</v>
      </c>
      <c r="Q360" s="42" t="n">
        <f aca="false">BOM_COEF!AA528*DEMANDA!O30</f>
        <v>3345.4032204</v>
      </c>
      <c r="R360" s="24" t="s">
        <v>3406</v>
      </c>
    </row>
    <row r="361" customFormat="false" ht="15" hidden="false" customHeight="false" outlineLevel="1" collapsed="false">
      <c r="A361" s="24" t="n">
        <v>1</v>
      </c>
      <c r="B361" s="24" t="s">
        <v>1345</v>
      </c>
      <c r="C361" s="40" t="s">
        <v>3407</v>
      </c>
      <c r="D361" s="24" t="s">
        <v>82</v>
      </c>
      <c r="E361" s="24" t="s">
        <v>348</v>
      </c>
      <c r="F361" s="41" t="n">
        <f aca="false">INDEX((BOM_COEF!R528~BOM_COEF!S528~BOM_COEF!T528~BOM_COEF!U528~BOM_COEF!V528~BOM_COEF!W528~BOM_COEF!X528~BOM_COEF!Y528~BOM_COEF!Z528~BOM_COEF!AA528),1,1,INDEX(P_VAL,MATCH("AÑO_DIS",P_ID,0))-2025)</f>
        <v>4</v>
      </c>
      <c r="G361" s="24" t="s">
        <v>2281</v>
      </c>
      <c r="H361" s="42" t="n">
        <f aca="false">BOM_COEF!R528*DEMANDA!F41</f>
        <v>4</v>
      </c>
      <c r="I361" s="42" t="n">
        <f aca="false">BOM_COEF!S528*DEMANDA!G41</f>
        <v>4</v>
      </c>
      <c r="J361" s="42" t="n">
        <f aca="false">BOM_COEF!T528*DEMANDA!H41</f>
        <v>8</v>
      </c>
      <c r="K361" s="42" t="n">
        <f aca="false">BOM_COEF!U528*DEMANDA!I41</f>
        <v>16</v>
      </c>
      <c r="L361" s="42" t="n">
        <f aca="false">BOM_COEF!V528*DEMANDA!J41</f>
        <v>20</v>
      </c>
      <c r="M361" s="42" t="n">
        <f aca="false">BOM_COEF!W528*DEMANDA!K41</f>
        <v>24</v>
      </c>
      <c r="N361" s="42" t="n">
        <f aca="false">BOM_COEF!X528*DEMANDA!L41</f>
        <v>28</v>
      </c>
      <c r="O361" s="42" t="n">
        <f aca="false">BOM_COEF!Y528*DEMANDA!M41</f>
        <v>32</v>
      </c>
      <c r="P361" s="42" t="n">
        <f aca="false">BOM_COEF!Z528*DEMANDA!N41</f>
        <v>36</v>
      </c>
      <c r="Q361" s="42" t="n">
        <f aca="false">BOM_COEF!AA528*DEMANDA!O41</f>
        <v>40</v>
      </c>
      <c r="R361" s="24" t="s">
        <v>3406</v>
      </c>
    </row>
    <row r="362" customFormat="false" ht="15" hidden="false" customHeight="false" outlineLevel="1" collapsed="false">
      <c r="A362" s="24" t="n">
        <v>1</v>
      </c>
      <c r="B362" s="24" t="s">
        <v>1345</v>
      </c>
      <c r="C362" s="40" t="s">
        <v>3408</v>
      </c>
      <c r="D362" s="24" t="s">
        <v>82</v>
      </c>
      <c r="E362" s="24" t="s">
        <v>318</v>
      </c>
      <c r="F362" s="41" t="n">
        <f aca="false">INDEX((BOM_COEF!R542~BOM_COEF!S542~BOM_COEF!T542~BOM_COEF!U542~BOM_COEF!V542~BOM_COEF!W542~BOM_COEF!X542~BOM_COEF!Y542~BOM_COEF!Z542~BOM_COEF!AA542),1,1,INDEX(P_VAL,MATCH("AÑO_DIS",P_ID,0))-2025)</f>
        <v>4</v>
      </c>
      <c r="G362" s="24" t="s">
        <v>2281</v>
      </c>
      <c r="H362" s="42" t="n">
        <f aca="false">BOM_COEF!R542*DEMANDA!F31</f>
        <v>27.310069036</v>
      </c>
      <c r="I362" s="42" t="n">
        <f aca="false">BOM_COEF!S542*DEMANDA!G31</f>
        <v>188.29244836</v>
      </c>
      <c r="J362" s="42" t="n">
        <f aca="false">BOM_COEF!T542*DEMANDA!H31</f>
        <v>355.55870492</v>
      </c>
      <c r="K362" s="42" t="n">
        <f aca="false">BOM_COEF!U542*DEMANDA!I31</f>
        <v>638.0099652</v>
      </c>
      <c r="L362" s="42" t="n">
        <f aca="false">BOM_COEF!V542*DEMANDA!J31</f>
        <v>879.1848076</v>
      </c>
      <c r="M362" s="42" t="n">
        <f aca="false">BOM_COEF!W542*DEMANDA!K31</f>
        <v>1167.4794124</v>
      </c>
      <c r="N362" s="42" t="n">
        <f aca="false">BOM_COEF!X542*DEMANDA!L31</f>
        <v>1475.3766768</v>
      </c>
      <c r="O362" s="42" t="n">
        <f aca="false">BOM_COEF!Y542*DEMANDA!M31</f>
        <v>1633.6358124</v>
      </c>
      <c r="P362" s="42" t="n">
        <f aca="false">BOM_COEF!Z542*DEMANDA!N31</f>
        <v>1783.1277772</v>
      </c>
      <c r="Q362" s="42" t="n">
        <f aca="false">BOM_COEF!AA542*DEMANDA!O31</f>
        <v>1933.9168136</v>
      </c>
      <c r="R362" s="24" t="s">
        <v>3409</v>
      </c>
    </row>
    <row r="363" customFormat="false" ht="15" hidden="false" customHeight="false" outlineLevel="1" collapsed="false">
      <c r="A363" s="24" t="n">
        <v>1</v>
      </c>
      <c r="B363" s="24" t="s">
        <v>1345</v>
      </c>
      <c r="C363" s="40" t="s">
        <v>3410</v>
      </c>
      <c r="D363" s="24" t="s">
        <v>82</v>
      </c>
      <c r="E363" s="24" t="s">
        <v>351</v>
      </c>
      <c r="F363" s="41" t="n">
        <f aca="false">INDEX((BOM_COEF!R542~BOM_COEF!S542~BOM_COEF!T542~BOM_COEF!U542~BOM_COEF!V542~BOM_COEF!W542~BOM_COEF!X542~BOM_COEF!Y542~BOM_COEF!Z542~BOM_COEF!AA542),1,1,INDEX(P_VAL,MATCH("AÑO_DIS",P_ID,0))-2025)</f>
        <v>4</v>
      </c>
      <c r="G363" s="24" t="s">
        <v>2281</v>
      </c>
      <c r="H363" s="42" t="n">
        <f aca="false">BOM_COEF!R542*DEMANDA!F42</f>
        <v>4</v>
      </c>
      <c r="I363" s="42" t="n">
        <f aca="false">BOM_COEF!S542*DEMANDA!G42</f>
        <v>4</v>
      </c>
      <c r="J363" s="42" t="n">
        <f aca="false">BOM_COEF!T542*DEMANDA!H42</f>
        <v>4</v>
      </c>
      <c r="K363" s="42" t="n">
        <f aca="false">BOM_COEF!U542*DEMANDA!I42</f>
        <v>8</v>
      </c>
      <c r="L363" s="42" t="n">
        <f aca="false">BOM_COEF!V542*DEMANDA!J42</f>
        <v>12</v>
      </c>
      <c r="M363" s="42" t="n">
        <f aca="false">BOM_COEF!W542*DEMANDA!K42</f>
        <v>16</v>
      </c>
      <c r="N363" s="42" t="n">
        <f aca="false">BOM_COEF!X542*DEMANDA!L42</f>
        <v>16</v>
      </c>
      <c r="O363" s="42" t="n">
        <f aca="false">BOM_COEF!Y542*DEMANDA!M42</f>
        <v>20</v>
      </c>
      <c r="P363" s="42" t="n">
        <f aca="false">BOM_COEF!Z542*DEMANDA!N42</f>
        <v>20</v>
      </c>
      <c r="Q363" s="42" t="n">
        <f aca="false">BOM_COEF!AA542*DEMANDA!O42</f>
        <v>24</v>
      </c>
      <c r="R363" s="24" t="s">
        <v>3409</v>
      </c>
    </row>
    <row r="364" customFormat="false" ht="15" hidden="false" customHeight="false" outlineLevel="1" collapsed="false">
      <c r="A364" s="24" t="n">
        <v>1</v>
      </c>
      <c r="B364" s="24" t="s">
        <v>1345</v>
      </c>
      <c r="C364" s="40" t="s">
        <v>3411</v>
      </c>
      <c r="D364" s="24" t="s">
        <v>82</v>
      </c>
      <c r="E364" s="24" t="s">
        <v>321</v>
      </c>
      <c r="F364" s="41" t="n">
        <f aca="false">INDEX((BOM_COEF!R554~BOM_COEF!S554~BOM_COEF!T554~BOM_COEF!U554~BOM_COEF!V554~BOM_COEF!W554~BOM_COEF!X554~BOM_COEF!Y554~BOM_COEF!Z554~BOM_COEF!AA554),1,1,INDEX(P_VAL,MATCH("AÑO_DIS",P_ID,0))-2025)</f>
        <v>4</v>
      </c>
      <c r="G364" s="24" t="s">
        <v>2281</v>
      </c>
      <c r="H364" s="42" t="n">
        <f aca="false">BOM_COEF!R554*DEMANDA!F32</f>
        <v>327.72082844</v>
      </c>
      <c r="I364" s="42" t="n">
        <f aca="false">BOM_COEF!S554*DEMANDA!G32</f>
        <v>1341.5954212</v>
      </c>
      <c r="J364" s="42" t="n">
        <f aca="false">BOM_COEF!T554*DEMANDA!H32</f>
        <v>2986.3934084</v>
      </c>
      <c r="K364" s="42" t="n">
        <f aca="false">BOM_COEF!U554*DEMANDA!I32</f>
        <v>5435.599348</v>
      </c>
      <c r="L364" s="42" t="n">
        <f aca="false">BOM_COEF!V554*DEMANDA!J32</f>
        <v>7844.502088</v>
      </c>
      <c r="M364" s="42" t="n">
        <f aca="false">BOM_COEF!W554*DEMANDA!K32</f>
        <v>10394.165648</v>
      </c>
      <c r="N364" s="42" t="n">
        <f aca="false">BOM_COEF!X554*DEMANDA!L32</f>
        <v>12789.053908</v>
      </c>
      <c r="O364" s="42" t="n">
        <f aca="false">BOM_COEF!Y554*DEMANDA!M32</f>
        <v>14314.157808</v>
      </c>
      <c r="P364" s="42" t="n">
        <f aca="false">BOM_COEF!Z554*DEMANDA!N32</f>
        <v>15482.991988</v>
      </c>
      <c r="Q364" s="42" t="n">
        <f aca="false">BOM_COEF!AA554*DEMANDA!O32</f>
        <v>16670.238488</v>
      </c>
      <c r="R364" s="24" t="s">
        <v>3412</v>
      </c>
    </row>
    <row r="365" customFormat="false" ht="15" hidden="false" customHeight="false" outlineLevel="1" collapsed="false">
      <c r="A365" s="24" t="n">
        <v>1</v>
      </c>
      <c r="B365" s="24" t="s">
        <v>1345</v>
      </c>
      <c r="C365" s="40" t="s">
        <v>3413</v>
      </c>
      <c r="D365" s="24" t="s">
        <v>82</v>
      </c>
      <c r="E365" s="24" t="s">
        <v>354</v>
      </c>
      <c r="F365" s="41" t="n">
        <f aca="false">INDEX((BOM_COEF!R554~BOM_COEF!S554~BOM_COEF!T554~BOM_COEF!U554~BOM_COEF!V554~BOM_COEF!W554~BOM_COEF!X554~BOM_COEF!Y554~BOM_COEF!Z554~BOM_COEF!AA554),1,1,INDEX(P_VAL,MATCH("AÑO_DIS",P_ID,0))-2025)</f>
        <v>4</v>
      </c>
      <c r="G365" s="24" t="s">
        <v>2281</v>
      </c>
      <c r="H365" s="42" t="n">
        <f aca="false">BOM_COEF!R554*DEMANDA!F43</f>
        <v>4</v>
      </c>
      <c r="I365" s="42" t="n">
        <f aca="false">BOM_COEF!S554*DEMANDA!G43</f>
        <v>16</v>
      </c>
      <c r="J365" s="42" t="n">
        <f aca="false">BOM_COEF!T554*DEMANDA!H43</f>
        <v>36</v>
      </c>
      <c r="K365" s="42" t="n">
        <f aca="false">BOM_COEF!U554*DEMANDA!I43</f>
        <v>60</v>
      </c>
      <c r="L365" s="42" t="n">
        <f aca="false">BOM_COEF!V554*DEMANDA!J43</f>
        <v>88</v>
      </c>
      <c r="M365" s="42" t="n">
        <f aca="false">BOM_COEF!W554*DEMANDA!K43</f>
        <v>116</v>
      </c>
      <c r="N365" s="42" t="n">
        <f aca="false">BOM_COEF!X554*DEMANDA!L43</f>
        <v>140</v>
      </c>
      <c r="O365" s="42" t="n">
        <f aca="false">BOM_COEF!Y554*DEMANDA!M43</f>
        <v>156</v>
      </c>
      <c r="P365" s="42" t="n">
        <f aca="false">BOM_COEF!Z554*DEMANDA!N43</f>
        <v>168</v>
      </c>
      <c r="Q365" s="42" t="n">
        <f aca="false">BOM_COEF!AA554*DEMANDA!O43</f>
        <v>180</v>
      </c>
      <c r="R365" s="24" t="s">
        <v>3412</v>
      </c>
    </row>
    <row r="366" customFormat="false" ht="15" hidden="false" customHeight="false" outlineLevel="1" collapsed="false">
      <c r="A366" s="24" t="n">
        <v>1</v>
      </c>
      <c r="B366" s="24" t="s">
        <v>1345</v>
      </c>
      <c r="C366" s="40" t="s">
        <v>3414</v>
      </c>
      <c r="D366" s="24" t="s">
        <v>82</v>
      </c>
      <c r="E366" s="24" t="s">
        <v>324</v>
      </c>
      <c r="F366" s="41" t="n">
        <f aca="false">INDEX((BOM_COEF!R565~BOM_COEF!S565~BOM_COEF!T565~BOM_COEF!U565~BOM_COEF!V565~BOM_COEF!W565~BOM_COEF!X565~BOM_COEF!Y565~BOM_COEF!Z565~BOM_COEF!AA565),1,1,INDEX(P_VAL,MATCH("AÑO_DIS",P_ID,0))-2025)</f>
        <v>4</v>
      </c>
      <c r="G366" s="24" t="s">
        <v>2281</v>
      </c>
      <c r="H366" s="42" t="n">
        <f aca="false">BOM_COEF!R565*DEMANDA!F33</f>
        <v>1802.4645564</v>
      </c>
      <c r="I366" s="42" t="n">
        <f aca="false">BOM_COEF!S565*DEMANDA!G33</f>
        <v>6788.72596</v>
      </c>
      <c r="J366" s="42" t="n">
        <f aca="false">BOM_COEF!T565*DEMANDA!H33</f>
        <v>15820.787432</v>
      </c>
      <c r="K366" s="42" t="n">
        <f aca="false">BOM_COEF!U565*DEMANDA!I33</f>
        <v>30245.04132</v>
      </c>
      <c r="L366" s="42" t="n">
        <f aca="false">BOM_COEF!V565*DEMANDA!J33</f>
        <v>43680.57924</v>
      </c>
      <c r="M366" s="42" t="n">
        <f aca="false">BOM_COEF!W565*DEMANDA!K33</f>
        <v>58059.54088</v>
      </c>
      <c r="N366" s="42" t="n">
        <f aca="false">BOM_COEF!X565*DEMANDA!L33</f>
        <v>70985.99708</v>
      </c>
      <c r="O366" s="42" t="n">
        <f aca="false">BOM_COEF!Y565*DEMANDA!M33</f>
        <v>78468.82184</v>
      </c>
      <c r="P366" s="42" t="n">
        <f aca="false">BOM_COEF!Z565*DEMANDA!N33</f>
        <v>84647.225</v>
      </c>
      <c r="Q366" s="42" t="n">
        <f aca="false">BOM_COEF!AA565*DEMANDA!O33</f>
        <v>90938.00684</v>
      </c>
      <c r="R366" s="24" t="s">
        <v>3415</v>
      </c>
    </row>
    <row r="367" customFormat="false" ht="15" hidden="false" customHeight="false" outlineLevel="1" collapsed="false">
      <c r="A367" s="24" t="n">
        <v>1</v>
      </c>
      <c r="B367" s="24" t="s">
        <v>1345</v>
      </c>
      <c r="C367" s="40" t="s">
        <v>3416</v>
      </c>
      <c r="D367" s="24" t="s">
        <v>82</v>
      </c>
      <c r="E367" s="24" t="s">
        <v>327</v>
      </c>
      <c r="F367" s="41" t="n">
        <f aca="false">INDEX((BOM_COEF!R576~BOM_COEF!S576~BOM_COEF!T576~BOM_COEF!U576~BOM_COEF!V576~BOM_COEF!W576~BOM_COEF!X576~BOM_COEF!Y576~BOM_COEF!Z576~BOM_COEF!AA576),1,1,INDEX(P_VAL,MATCH("AÑO_DIS",P_ID,0))-2025)</f>
        <v>4</v>
      </c>
      <c r="G367" s="24" t="s">
        <v>2281</v>
      </c>
      <c r="H367" s="42" t="n">
        <f aca="false">BOM_COEF!R576*DEMANDA!F34</f>
        <v>500.6845988</v>
      </c>
      <c r="I367" s="42" t="n">
        <f aca="false">BOM_COEF!S576*DEMANDA!G34</f>
        <v>2574.5214832</v>
      </c>
      <c r="J367" s="42" t="n">
        <f aca="false">BOM_COEF!T576*DEMANDA!H34</f>
        <v>5502.506876</v>
      </c>
      <c r="K367" s="42" t="n">
        <f aca="false">BOM_COEF!U576*DEMANDA!I34</f>
        <v>9841.13706</v>
      </c>
      <c r="L367" s="42" t="n">
        <f aca="false">BOM_COEF!V576*DEMANDA!J34</f>
        <v>14181.030732</v>
      </c>
      <c r="M367" s="42" t="n">
        <f aca="false">BOM_COEF!W576*DEMANDA!K34</f>
        <v>18893.847136</v>
      </c>
      <c r="N367" s="42" t="n">
        <f aca="false">BOM_COEF!X576*DEMANDA!L34</f>
        <v>23415.620712</v>
      </c>
      <c r="O367" s="42" t="n">
        <f aca="false">BOM_COEF!Y576*DEMANDA!M34</f>
        <v>26433.839636</v>
      </c>
      <c r="P367" s="42" t="n">
        <f aca="false">BOM_COEF!Z576*DEMANDA!N34</f>
        <v>28742.833588</v>
      </c>
      <c r="Q367" s="42" t="n">
        <f aca="false">BOM_COEF!AA576*DEMANDA!O34</f>
        <v>31078.308508</v>
      </c>
      <c r="R367" s="24" t="s">
        <v>3417</v>
      </c>
    </row>
    <row r="368" customFormat="false" ht="15" hidden="false" customHeight="false" outlineLevel="1" collapsed="false">
      <c r="A368" s="24" t="n">
        <v>1</v>
      </c>
      <c r="B368" s="24" t="s">
        <v>1345</v>
      </c>
      <c r="C368" s="40" t="s">
        <v>3418</v>
      </c>
      <c r="D368" s="24" t="s">
        <v>82</v>
      </c>
      <c r="E368" s="24" t="s">
        <v>357</v>
      </c>
      <c r="F368" s="41" t="n">
        <f aca="false">INDEX((BOM_COEF!R576~BOM_COEF!S576~BOM_COEF!T576~BOM_COEF!U576~BOM_COEF!V576~BOM_COEF!W576~BOM_COEF!X576~BOM_COEF!Y576~BOM_COEF!Z576~BOM_COEF!AA576),1,1,INDEX(P_VAL,MATCH("AÑO_DIS",P_ID,0))-2025)</f>
        <v>4</v>
      </c>
      <c r="G368" s="24" t="s">
        <v>2281</v>
      </c>
      <c r="H368" s="42" t="n">
        <f aca="false">BOM_COEF!R576*DEMANDA!F44</f>
        <v>28</v>
      </c>
      <c r="I368" s="42" t="n">
        <f aca="false">BOM_COEF!S576*DEMANDA!G44</f>
        <v>104</v>
      </c>
      <c r="J368" s="42" t="n">
        <f aca="false">BOM_COEF!T576*DEMANDA!H44</f>
        <v>232</v>
      </c>
      <c r="K368" s="42" t="n">
        <f aca="false">BOM_COEF!U576*DEMANDA!I44</f>
        <v>436</v>
      </c>
      <c r="L368" s="42" t="n">
        <f aca="false">BOM_COEF!V576*DEMANDA!J44</f>
        <v>624</v>
      </c>
      <c r="M368" s="42" t="n">
        <f aca="false">BOM_COEF!W576*DEMANDA!K44</f>
        <v>832</v>
      </c>
      <c r="N368" s="42" t="n">
        <f aca="false">BOM_COEF!X576*DEMANDA!L44</f>
        <v>1020</v>
      </c>
      <c r="O368" s="42" t="n">
        <f aca="false">BOM_COEF!Y576*DEMANDA!M44</f>
        <v>1132</v>
      </c>
      <c r="P368" s="42" t="n">
        <f aca="false">BOM_COEF!Z576*DEMANDA!N44</f>
        <v>1224</v>
      </c>
      <c r="Q368" s="42" t="n">
        <f aca="false">BOM_COEF!AA576*DEMANDA!O44</f>
        <v>1320</v>
      </c>
      <c r="R368" s="24" t="s">
        <v>3417</v>
      </c>
    </row>
    <row r="369" customFormat="false" ht="15" hidden="false" customHeight="false" outlineLevel="1" collapsed="false">
      <c r="A369" s="24" t="n">
        <v>1</v>
      </c>
      <c r="B369" s="24" t="s">
        <v>1345</v>
      </c>
      <c r="C369" s="40" t="s">
        <v>3419</v>
      </c>
      <c r="D369" s="24" t="s">
        <v>82</v>
      </c>
      <c r="E369" s="24" t="s">
        <v>330</v>
      </c>
      <c r="F369" s="41" t="n">
        <f aca="false">INDEX((BOM_COEF!R587~BOM_COEF!S587~BOM_COEF!T587~BOM_COEF!U587~BOM_COEF!V587~BOM_COEF!W587~BOM_COEF!X587~BOM_COEF!Y587~BOM_COEF!Z587~BOM_COEF!AA587),1,1,INDEX(P_VAL,MATCH("AÑO_DIS",P_ID,0))-2025)</f>
        <v>4</v>
      </c>
      <c r="G369" s="24" t="s">
        <v>2281</v>
      </c>
      <c r="H369" s="42" t="n">
        <f aca="false">BOM_COEF!R587*DEMANDA!F35</f>
        <v>72.82685076</v>
      </c>
      <c r="I369" s="42" t="n">
        <f aca="false">BOM_COEF!S587*DEMANDA!G35</f>
        <v>448.3004876</v>
      </c>
      <c r="J369" s="42" t="n">
        <f aca="false">BOM_COEF!T587*DEMANDA!H35</f>
        <v>923.4161648</v>
      </c>
      <c r="K369" s="42" t="n">
        <f aca="false">BOM_COEF!U587*DEMANDA!I35</f>
        <v>1602.861338</v>
      </c>
      <c r="L369" s="42" t="n">
        <f aca="false">BOM_COEF!V587*DEMANDA!J35</f>
        <v>2298.031158</v>
      </c>
      <c r="M369" s="42" t="n">
        <f aca="false">BOM_COEF!W587*DEMANDA!K35</f>
        <v>3017.3824912</v>
      </c>
      <c r="N369" s="42" t="n">
        <f aca="false">BOM_COEF!X587*DEMANDA!L35</f>
        <v>3779.3953616</v>
      </c>
      <c r="O369" s="42" t="n">
        <f aca="false">BOM_COEF!Y587*DEMANDA!M35</f>
        <v>4288.938684</v>
      </c>
      <c r="P369" s="42" t="n">
        <f aca="false">BOM_COEF!Z587*DEMANDA!N35</f>
        <v>4686.783012</v>
      </c>
      <c r="Q369" s="42" t="n">
        <f aca="false">BOM_COEF!AA587*DEMANDA!O35</f>
        <v>5087.764396</v>
      </c>
      <c r="R369" s="24" t="s">
        <v>3420</v>
      </c>
    </row>
    <row r="370" customFormat="false" ht="15" hidden="false" customHeight="false" outlineLevel="1" collapsed="false">
      <c r="A370" s="24" t="n">
        <v>1</v>
      </c>
      <c r="B370" s="24" t="s">
        <v>1345</v>
      </c>
      <c r="C370" s="40" t="s">
        <v>3421</v>
      </c>
      <c r="D370" s="24" t="s">
        <v>82</v>
      </c>
      <c r="E370" s="24" t="s">
        <v>360</v>
      </c>
      <c r="F370" s="41" t="n">
        <f aca="false">INDEX((BOM_COEF!R587~BOM_COEF!S587~BOM_COEF!T587~BOM_COEF!U587~BOM_COEF!V587~BOM_COEF!W587~BOM_COEF!X587~BOM_COEF!Y587~BOM_COEF!Z587~BOM_COEF!AA587),1,1,INDEX(P_VAL,MATCH("AÑO_DIS",P_ID,0))-2025)</f>
        <v>4</v>
      </c>
      <c r="G370" s="24" t="s">
        <v>2281</v>
      </c>
      <c r="H370" s="42" t="n">
        <f aca="false">BOM_COEF!R587*DEMANDA!F45</f>
        <v>4</v>
      </c>
      <c r="I370" s="42" t="n">
        <f aca="false">BOM_COEF!S587*DEMANDA!G45</f>
        <v>8</v>
      </c>
      <c r="J370" s="42" t="n">
        <f aca="false">BOM_COEF!T587*DEMANDA!H45</f>
        <v>12</v>
      </c>
      <c r="K370" s="42" t="n">
        <f aca="false">BOM_COEF!U587*DEMANDA!I45</f>
        <v>20</v>
      </c>
      <c r="L370" s="42" t="n">
        <f aca="false">BOM_COEF!V587*DEMANDA!J45</f>
        <v>28</v>
      </c>
      <c r="M370" s="42" t="n">
        <f aca="false">BOM_COEF!W587*DEMANDA!K45</f>
        <v>36</v>
      </c>
      <c r="N370" s="42" t="n">
        <f aca="false">BOM_COEF!X587*DEMANDA!L45</f>
        <v>44</v>
      </c>
      <c r="O370" s="42" t="n">
        <f aca="false">BOM_COEF!Y587*DEMANDA!M45</f>
        <v>48</v>
      </c>
      <c r="P370" s="42" t="n">
        <f aca="false">BOM_COEF!Z587*DEMANDA!N45</f>
        <v>52</v>
      </c>
      <c r="Q370" s="42" t="n">
        <f aca="false">BOM_COEF!AA587*DEMANDA!O45</f>
        <v>56</v>
      </c>
      <c r="R370" s="24" t="s">
        <v>3420</v>
      </c>
    </row>
    <row r="371" customFormat="false" ht="15" hidden="false" customHeight="false" outlineLevel="1" collapsed="false">
      <c r="A371" s="24" t="n">
        <v>1</v>
      </c>
      <c r="B371" s="24" t="s">
        <v>1345</v>
      </c>
      <c r="C371" s="40" t="s">
        <v>3422</v>
      </c>
      <c r="D371" s="24" t="s">
        <v>82</v>
      </c>
      <c r="E371" s="24" t="s">
        <v>333</v>
      </c>
      <c r="F371" s="41" t="n">
        <f aca="false">INDEX((BOM_COEF!R599~BOM_COEF!S599~BOM_COEF!T599~BOM_COEF!U599~BOM_COEF!V599~BOM_COEF!W599~BOM_COEF!X599~BOM_COEF!Y599~BOM_COEF!Z599~BOM_COEF!AA599),1,1,INDEX(P_VAL,MATCH("AÑO_DIS",P_ID,0))-2025)</f>
        <v>4</v>
      </c>
      <c r="G371" s="24" t="s">
        <v>2281</v>
      </c>
      <c r="H371" s="42" t="n">
        <f aca="false">BOM_COEF!R599*DEMANDA!F36</f>
        <v>27.310069036</v>
      </c>
      <c r="I371" s="42" t="n">
        <f aca="false">BOM_COEF!S599*DEMANDA!G36</f>
        <v>188.29244836</v>
      </c>
      <c r="J371" s="42" t="n">
        <f aca="false">BOM_COEF!T599*DEMANDA!H36</f>
        <v>355.55870492</v>
      </c>
      <c r="K371" s="42" t="n">
        <f aca="false">BOM_COEF!U599*DEMANDA!I36</f>
        <v>593.1167296</v>
      </c>
      <c r="L371" s="42" t="n">
        <f aca="false">BOM_COEF!V599*DEMANDA!J36</f>
        <v>820.9042128</v>
      </c>
      <c r="M371" s="42" t="n">
        <f aca="false">BOM_COEF!W599*DEMANDA!K36</f>
        <v>1023.06058</v>
      </c>
      <c r="N371" s="42" t="n">
        <f aca="false">BOM_COEF!X599*DEMANDA!L36</f>
        <v>1313.6716072</v>
      </c>
      <c r="O371" s="42" t="n">
        <f aca="false">BOM_COEF!Y599*DEMANDA!M36</f>
        <v>1467.6322852</v>
      </c>
      <c r="P371" s="42" t="n">
        <f aca="false">BOM_COEF!Z599*DEMANDA!N36</f>
        <v>1606.7268284</v>
      </c>
      <c r="Q371" s="42" t="n">
        <f aca="false">BOM_COEF!AA599*DEMANDA!O36</f>
        <v>1746.7471292</v>
      </c>
      <c r="R371" s="24" t="s">
        <v>3423</v>
      </c>
    </row>
    <row r="372" customFormat="false" ht="15" hidden="false" customHeight="false" outlineLevel="1" collapsed="false">
      <c r="A372" s="24" t="n">
        <v>1</v>
      </c>
      <c r="B372" s="24" t="s">
        <v>1345</v>
      </c>
      <c r="C372" s="40" t="s">
        <v>3424</v>
      </c>
      <c r="D372" s="24" t="s">
        <v>82</v>
      </c>
      <c r="E372" s="24" t="s">
        <v>363</v>
      </c>
      <c r="F372" s="41" t="n">
        <f aca="false">INDEX((BOM_COEF!R599~BOM_COEF!S599~BOM_COEF!T599~BOM_COEF!U599~BOM_COEF!V599~BOM_COEF!W599~BOM_COEF!X599~BOM_COEF!Y599~BOM_COEF!Z599~BOM_COEF!AA599),1,1,INDEX(P_VAL,MATCH("AÑO_DIS",P_ID,0))-2025)</f>
        <v>4</v>
      </c>
      <c r="G372" s="24" t="s">
        <v>2281</v>
      </c>
      <c r="H372" s="42" t="n">
        <f aca="false">BOM_COEF!R599*DEMANDA!F46</f>
        <v>4</v>
      </c>
      <c r="I372" s="42" t="n">
        <f aca="false">BOM_COEF!S599*DEMANDA!G46</f>
        <v>4</v>
      </c>
      <c r="J372" s="42" t="n">
        <f aca="false">BOM_COEF!T599*DEMANDA!H46</f>
        <v>4</v>
      </c>
      <c r="K372" s="42" t="n">
        <f aca="false">BOM_COEF!U599*DEMANDA!I46</f>
        <v>8</v>
      </c>
      <c r="L372" s="42" t="n">
        <f aca="false">BOM_COEF!V599*DEMANDA!J46</f>
        <v>12</v>
      </c>
      <c r="M372" s="42" t="n">
        <f aca="false">BOM_COEF!W599*DEMANDA!K46</f>
        <v>12</v>
      </c>
      <c r="N372" s="42" t="n">
        <f aca="false">BOM_COEF!X599*DEMANDA!L46</f>
        <v>16</v>
      </c>
      <c r="O372" s="42" t="n">
        <f aca="false">BOM_COEF!Y599*DEMANDA!M46</f>
        <v>16</v>
      </c>
      <c r="P372" s="42" t="n">
        <f aca="false">BOM_COEF!Z599*DEMANDA!N46</f>
        <v>20</v>
      </c>
      <c r="Q372" s="42" t="n">
        <f aca="false">BOM_COEF!AA599*DEMANDA!O46</f>
        <v>20</v>
      </c>
      <c r="R372" s="24" t="s">
        <v>3423</v>
      </c>
    </row>
    <row r="373" customFormat="false" ht="15" hidden="false" customHeight="false" outlineLevel="0" collapsed="false">
      <c r="A373" s="38" t="n">
        <v>0</v>
      </c>
      <c r="B373" s="38" t="s">
        <v>1363</v>
      </c>
      <c r="C373" s="38" t="s">
        <v>1362</v>
      </c>
      <c r="D373" s="38" t="s">
        <v>82</v>
      </c>
      <c r="E373" s="38"/>
      <c r="F373" s="38"/>
      <c r="G373" s="38"/>
      <c r="H373" s="39" t="n">
        <f aca="false">SUM(H374:H402)</f>
        <v>6911.793098083</v>
      </c>
      <c r="I373" s="39" t="n">
        <f aca="false">SUM(I374:I402)</f>
        <v>30997.68091414</v>
      </c>
      <c r="J373" s="39" t="n">
        <f aca="false">SUM(J374:J402)</f>
        <v>62151.05799968</v>
      </c>
      <c r="K373" s="39" t="n">
        <f aca="false">SUM(K374:K402)</f>
        <v>115285.7954345</v>
      </c>
      <c r="L373" s="39" t="n">
        <f aca="false">SUM(L374:L402)</f>
        <v>169687.3957989</v>
      </c>
      <c r="M373" s="39" t="n">
        <f aca="false">SUM(M374:M402)</f>
        <v>230961.1081102</v>
      </c>
      <c r="N373" s="39" t="n">
        <f aca="false">SUM(N374:N402)</f>
        <v>286842.7821746</v>
      </c>
      <c r="O373" s="39" t="n">
        <f aca="false">SUM(O374:O402)</f>
        <v>326096.2382256</v>
      </c>
      <c r="P373" s="39" t="n">
        <f aca="false">SUM(P374:P402)</f>
        <v>350752.7154843</v>
      </c>
      <c r="Q373" s="39" t="n">
        <f aca="false">SUM(Q374:Q402)</f>
        <v>375925.689583</v>
      </c>
      <c r="R373" s="38"/>
    </row>
    <row r="374" customFormat="false" ht="15" hidden="false" customHeight="false" outlineLevel="1" collapsed="false">
      <c r="A374" s="24" t="n">
        <v>1</v>
      </c>
      <c r="B374" s="24" t="s">
        <v>1363</v>
      </c>
      <c r="C374" s="40" t="s">
        <v>3425</v>
      </c>
      <c r="D374" s="24" t="s">
        <v>82</v>
      </c>
      <c r="E374" s="24" t="s">
        <v>282</v>
      </c>
      <c r="F374" s="41" t="n">
        <f aca="false">INDEX((BOM_COEF!R387~BOM_COEF!S387~BOM_COEF!T387~BOM_COEF!U387~BOM_COEF!V387~BOM_COEF!W387~BOM_COEF!X387~BOM_COEF!Y387~BOM_COEF!Z387~BOM_COEF!AA387),1,1,INDEX(P_VAL,MATCH("AÑO_DIS",P_ID,0))-2025)</f>
        <v>1</v>
      </c>
      <c r="G374" s="24" t="s">
        <v>2281</v>
      </c>
      <c r="H374" s="42" t="n">
        <f aca="false">BOM_COEF!R387*DEMANDA!F20</f>
        <v>3477.482124</v>
      </c>
      <c r="I374" s="42" t="n">
        <f aca="false">BOM_COEF!S387*DEMANDA!G20</f>
        <v>16970.58564</v>
      </c>
      <c r="J374" s="42" t="n">
        <f aca="false">BOM_COEF!T387*DEMANDA!H20</f>
        <v>30546.08951</v>
      </c>
      <c r="K374" s="42" t="n">
        <f aca="false">BOM_COEF!U387*DEMANDA!I20</f>
        <v>56048.31106</v>
      </c>
      <c r="L374" s="42" t="n">
        <f aca="false">BOM_COEF!V387*DEMANDA!J20</f>
        <v>84270.22613</v>
      </c>
      <c r="M374" s="42" t="n">
        <f aca="false">BOM_COEF!W387*DEMANDA!K20</f>
        <v>117407.8231</v>
      </c>
      <c r="N374" s="42" t="n">
        <f aca="false">BOM_COEF!X387*DEMANDA!L20</f>
        <v>147610.6356</v>
      </c>
      <c r="O374" s="42" t="n">
        <f aca="false">BOM_COEF!Y387*DEMANDA!M20</f>
        <v>171404.3607</v>
      </c>
      <c r="P374" s="42" t="n">
        <f aca="false">BOM_COEF!Z387*DEMANDA!N20</f>
        <v>183690.566</v>
      </c>
      <c r="Q374" s="42" t="n">
        <f aca="false">BOM_COEF!AA387*DEMANDA!O20</f>
        <v>196282.6907</v>
      </c>
      <c r="R374" s="24" t="s">
        <v>3426</v>
      </c>
    </row>
    <row r="375" customFormat="false" ht="15" hidden="false" customHeight="false" outlineLevel="1" collapsed="false">
      <c r="A375" s="24" t="n">
        <v>1</v>
      </c>
      <c r="B375" s="24" t="s">
        <v>1363</v>
      </c>
      <c r="C375" s="40" t="s">
        <v>3427</v>
      </c>
      <c r="D375" s="24" t="s">
        <v>82</v>
      </c>
      <c r="E375" s="24" t="s">
        <v>286</v>
      </c>
      <c r="F375" s="41" t="n">
        <f aca="false">INDEX((BOM_COEF!R401~BOM_COEF!S401~BOM_COEF!T401~BOM_COEF!U401~BOM_COEF!V401~BOM_COEF!W401~BOM_COEF!X401~BOM_COEF!Y401~BOM_COEF!Z401~BOM_COEF!AA401),1,1,INDEX(P_VAL,MATCH("AÑO_DIS",P_ID,0))-2025)</f>
        <v>1</v>
      </c>
      <c r="G375" s="24" t="s">
        <v>2281</v>
      </c>
      <c r="H375" s="42" t="n">
        <f aca="false">BOM_COEF!R401*DEMANDA!F21</f>
        <v>329.9966675</v>
      </c>
      <c r="I375" s="42" t="n">
        <f aca="false">BOM_COEF!S401*DEMANDA!G21</f>
        <v>1287.414024</v>
      </c>
      <c r="J375" s="42" t="n">
        <f aca="false">BOM_COEF!T401*DEMANDA!H21</f>
        <v>2947.169216</v>
      </c>
      <c r="K375" s="42" t="n">
        <f aca="false">BOM_COEF!U401*DEMANDA!I21</f>
        <v>5426.043269</v>
      </c>
      <c r="L375" s="42" t="n">
        <f aca="false">BOM_COEF!V401*DEMANDA!J21</f>
        <v>7850.875806</v>
      </c>
      <c r="M375" s="42" t="n">
        <f aca="false">BOM_COEF!W401*DEMANDA!K21</f>
        <v>10423.94365</v>
      </c>
      <c r="N375" s="42" t="n">
        <f aca="false">BOM_COEF!X401*DEMANDA!L21</f>
        <v>12809.89571</v>
      </c>
      <c r="O375" s="42" t="n">
        <f aca="false">BOM_COEF!Y401*DEMANDA!M21</f>
        <v>14263.06831</v>
      </c>
      <c r="P375" s="42" t="n">
        <f aca="false">BOM_COEF!Z401*DEMANDA!N21</f>
        <v>15432.86983</v>
      </c>
      <c r="Q375" s="42" t="n">
        <f aca="false">BOM_COEF!AA401*DEMANDA!O21</f>
        <v>16620.76117</v>
      </c>
      <c r="R375" s="24" t="s">
        <v>3428</v>
      </c>
    </row>
    <row r="376" customFormat="false" ht="15" hidden="false" customHeight="false" outlineLevel="1" collapsed="false">
      <c r="A376" s="24" t="n">
        <v>1</v>
      </c>
      <c r="B376" s="24" t="s">
        <v>1363</v>
      </c>
      <c r="C376" s="40" t="s">
        <v>3429</v>
      </c>
      <c r="D376" s="24" t="s">
        <v>82</v>
      </c>
      <c r="E376" s="24" t="s">
        <v>290</v>
      </c>
      <c r="F376" s="41" t="n">
        <f aca="false">INDEX((BOM_COEF!R416~BOM_COEF!S416~BOM_COEF!T416~BOM_COEF!U416~BOM_COEF!V416~BOM_COEF!W416~BOM_COEF!X416~BOM_COEF!Y416~BOM_COEF!Z416~BOM_COEF!AA416),1,1,INDEX(P_VAL,MATCH("AÑO_DIS",P_ID,0))-2025)</f>
        <v>1</v>
      </c>
      <c r="G376" s="24" t="s">
        <v>2281</v>
      </c>
      <c r="H376" s="42" t="n">
        <f aca="false">BOM_COEF!R416*DEMANDA!F22</f>
        <v>1950.394097</v>
      </c>
      <c r="I376" s="42" t="n">
        <f aca="false">BOM_COEF!S416*DEMANDA!G22</f>
        <v>7852.61852</v>
      </c>
      <c r="J376" s="42" t="n">
        <f aca="false">BOM_COEF!T416*DEMANDA!H22</f>
        <v>17775.85701</v>
      </c>
      <c r="K376" s="42" t="n">
        <f aca="false">BOM_COEF!U416*DEMANDA!I22</f>
        <v>33605.56835</v>
      </c>
      <c r="L376" s="42" t="n">
        <f aca="false">BOM_COEF!V416*DEMANDA!J22</f>
        <v>48407.57189</v>
      </c>
      <c r="M376" s="42" t="n">
        <f aca="false">BOM_COEF!W416*DEMANDA!K22</f>
        <v>64323.04276</v>
      </c>
      <c r="N376" s="42" t="n">
        <f aca="false">BOM_COEF!X416*DEMANDA!L22</f>
        <v>78721.10039</v>
      </c>
      <c r="O376" s="42" t="n">
        <f aca="false">BOM_COEF!Y416*DEMANDA!M22</f>
        <v>87237.2124</v>
      </c>
      <c r="P376" s="42" t="n">
        <f aca="false">BOM_COEF!Z416*DEMANDA!N22</f>
        <v>94103.66761</v>
      </c>
      <c r="Q376" s="42" t="n">
        <f aca="false">BOM_COEF!AA416*DEMANDA!O22</f>
        <v>101095.1762</v>
      </c>
      <c r="R376" s="24" t="s">
        <v>3430</v>
      </c>
    </row>
    <row r="377" customFormat="false" ht="15" hidden="false" customHeight="false" outlineLevel="1" collapsed="false">
      <c r="A377" s="24" t="n">
        <v>1</v>
      </c>
      <c r="B377" s="24" t="s">
        <v>1363</v>
      </c>
      <c r="C377" s="40" t="s">
        <v>3431</v>
      </c>
      <c r="D377" s="24" t="s">
        <v>82</v>
      </c>
      <c r="E377" s="24" t="s">
        <v>336</v>
      </c>
      <c r="F377" s="41" t="n">
        <f aca="false">INDEX((BOM_COEF!R416~BOM_COEF!S416~BOM_COEF!T416~BOM_COEF!U416~BOM_COEF!V416~BOM_COEF!W416~BOM_COEF!X416~BOM_COEF!Y416~BOM_COEF!Z416~BOM_COEF!AA416),1,1,INDEX(P_VAL,MATCH("AÑO_DIS",P_ID,0))-2025)</f>
        <v>1</v>
      </c>
      <c r="G377" s="24" t="s">
        <v>2281</v>
      </c>
      <c r="H377" s="42" t="n">
        <f aca="false">BOM_COEF!R416*DEMANDA!F37</f>
        <v>63</v>
      </c>
      <c r="I377" s="42" t="n">
        <f aca="false">BOM_COEF!S416*DEMANDA!G37</f>
        <v>282</v>
      </c>
      <c r="J377" s="42" t="n">
        <f aca="false">BOM_COEF!T416*DEMANDA!H37</f>
        <v>553</v>
      </c>
      <c r="K377" s="42" t="n">
        <f aca="false">BOM_COEF!U416*DEMANDA!I37</f>
        <v>1025</v>
      </c>
      <c r="L377" s="42" t="n">
        <f aca="false">BOM_COEF!V416*DEMANDA!J37</f>
        <v>1515</v>
      </c>
      <c r="M377" s="42" t="n">
        <f aca="false">BOM_COEF!W416*DEMANDA!K37</f>
        <v>2072</v>
      </c>
      <c r="N377" s="42" t="n">
        <f aca="false">BOM_COEF!X416*DEMANDA!L37</f>
        <v>2579</v>
      </c>
      <c r="O377" s="42" t="n">
        <f aca="false">BOM_COEF!Y416*DEMANDA!M37</f>
        <v>2944</v>
      </c>
      <c r="P377" s="42" t="n">
        <f aca="false">BOM_COEF!Z416*DEMANDA!N37</f>
        <v>3164</v>
      </c>
      <c r="Q377" s="42" t="n">
        <f aca="false">BOM_COEF!AA416*DEMANDA!O37</f>
        <v>3388</v>
      </c>
      <c r="R377" s="24" t="s">
        <v>3430</v>
      </c>
    </row>
    <row r="378" customFormat="false" ht="15" hidden="false" customHeight="false" outlineLevel="1" collapsed="false">
      <c r="A378" s="24" t="n">
        <v>1</v>
      </c>
      <c r="B378" s="24" t="s">
        <v>1363</v>
      </c>
      <c r="C378" s="40" t="s">
        <v>3432</v>
      </c>
      <c r="D378" s="24" t="s">
        <v>82</v>
      </c>
      <c r="E378" s="24" t="s">
        <v>293</v>
      </c>
      <c r="F378" s="41" t="n">
        <f aca="false">INDEX((BOM_COEF!R431~BOM_COEF!S431~BOM_COEF!T431~BOM_COEF!U431~BOM_COEF!V431~BOM_COEF!W431~BOM_COEF!X431~BOM_COEF!Y431~BOM_COEF!Z431~BOM_COEF!AA431),1,1,INDEX(P_VAL,MATCH("AÑO_DIS",P_ID,0))-2025)</f>
        <v>1</v>
      </c>
      <c r="G378" s="24" t="s">
        <v>2281</v>
      </c>
      <c r="H378" s="42" t="n">
        <f aca="false">BOM_COEF!R431*DEMANDA!F23</f>
        <v>118.3436325</v>
      </c>
      <c r="I378" s="42" t="n">
        <f aca="false">BOM_COEF!S431*DEMANDA!G23</f>
        <v>437.7165779</v>
      </c>
      <c r="J378" s="42" t="n">
        <f aca="false">BOM_COEF!T431*DEMANDA!H23</f>
        <v>1024.974821</v>
      </c>
      <c r="K378" s="42" t="n">
        <f aca="false">BOM_COEF!U431*DEMANDA!I23</f>
        <v>1960.409862</v>
      </c>
      <c r="L378" s="42" t="n">
        <f aca="false">BOM_COEF!V431*DEMANDA!J23</f>
        <v>2844.976846</v>
      </c>
      <c r="M378" s="42" t="n">
        <f aca="false">BOM_COEF!W431*DEMANDA!K23</f>
        <v>3810.390622</v>
      </c>
      <c r="N378" s="42" t="n">
        <f aca="false">BOM_COEF!X431*DEMANDA!L23</f>
        <v>4663.67807</v>
      </c>
      <c r="O378" s="42" t="n">
        <f aca="false">BOM_COEF!Y431*DEMANDA!M23</f>
        <v>5164.514584</v>
      </c>
      <c r="P378" s="42" t="n">
        <f aca="false">BOM_COEF!Z431*DEMANDA!N23</f>
        <v>5571.544328</v>
      </c>
      <c r="Q378" s="42" t="n">
        <f aca="false">BOM_COEF!AA431*DEMANDA!O23</f>
        <v>5985.950855</v>
      </c>
      <c r="R378" s="24" t="s">
        <v>3433</v>
      </c>
    </row>
    <row r="379" customFormat="false" ht="15" hidden="false" customHeight="false" outlineLevel="1" collapsed="false">
      <c r="A379" s="24" t="n">
        <v>1</v>
      </c>
      <c r="B379" s="24" t="s">
        <v>1363</v>
      </c>
      <c r="C379" s="40" t="s">
        <v>3434</v>
      </c>
      <c r="D379" s="24" t="s">
        <v>82</v>
      </c>
      <c r="E379" s="24" t="s">
        <v>339</v>
      </c>
      <c r="F379" s="41" t="n">
        <f aca="false">INDEX((BOM_COEF!R431~BOM_COEF!S431~BOM_COEF!T431~BOM_COEF!U431~BOM_COEF!V431~BOM_COEF!W431~BOM_COEF!X431~BOM_COEF!Y431~BOM_COEF!Z431~BOM_COEF!AA431),1,1,INDEX(P_VAL,MATCH("AÑO_DIS",P_ID,0))-2025)</f>
        <v>1</v>
      </c>
      <c r="G379" s="24" t="s">
        <v>2281</v>
      </c>
      <c r="H379" s="42" t="n">
        <f aca="false">BOM_COEF!R431*DEMANDA!F38</f>
        <v>2</v>
      </c>
      <c r="I379" s="42" t="n">
        <f aca="false">BOM_COEF!S431*DEMANDA!G38</f>
        <v>5</v>
      </c>
      <c r="J379" s="42" t="n">
        <f aca="false">BOM_COEF!T431*DEMANDA!H38</f>
        <v>12</v>
      </c>
      <c r="K379" s="42" t="n">
        <f aca="false">BOM_COEF!U431*DEMANDA!I38</f>
        <v>22</v>
      </c>
      <c r="L379" s="42" t="n">
        <f aca="false">BOM_COEF!V431*DEMANDA!J38</f>
        <v>31</v>
      </c>
      <c r="M379" s="42" t="n">
        <f aca="false">BOM_COEF!W431*DEMANDA!K38</f>
        <v>42</v>
      </c>
      <c r="N379" s="42" t="n">
        <f aca="false">BOM_COEF!X431*DEMANDA!L38</f>
        <v>51</v>
      </c>
      <c r="O379" s="42" t="n">
        <f aca="false">BOM_COEF!Y431*DEMANDA!M38</f>
        <v>56</v>
      </c>
      <c r="P379" s="42" t="n">
        <f aca="false">BOM_COEF!Z431*DEMANDA!N38</f>
        <v>61</v>
      </c>
      <c r="Q379" s="42" t="n">
        <f aca="false">BOM_COEF!AA431*DEMANDA!O38</f>
        <v>65</v>
      </c>
      <c r="R379" s="24" t="s">
        <v>3433</v>
      </c>
    </row>
    <row r="380" customFormat="false" ht="15" hidden="false" customHeight="false" outlineLevel="1" collapsed="false">
      <c r="A380" s="24" t="n">
        <v>1</v>
      </c>
      <c r="B380" s="24" t="s">
        <v>1363</v>
      </c>
      <c r="C380" s="40" t="s">
        <v>3435</v>
      </c>
      <c r="D380" s="24" t="s">
        <v>82</v>
      </c>
      <c r="E380" s="24" t="s">
        <v>296</v>
      </c>
      <c r="F380" s="41" t="n">
        <f aca="false">INDEX((BOM_COEF!R446~BOM_COEF!S446~BOM_COEF!T446~BOM_COEF!U446~BOM_COEF!V446~BOM_COEF!W446~BOM_COEF!X446~BOM_COEF!Y446~BOM_COEF!Z446~BOM_COEF!AA446),1,1,INDEX(P_VAL,MATCH("AÑO_DIS",P_ID,0))-2025)</f>
        <v>1</v>
      </c>
      <c r="G380" s="24" t="s">
        <v>2281</v>
      </c>
      <c r="H380" s="42" t="n">
        <f aca="false">BOM_COEF!R446*DEMANDA!F24</f>
        <v>17.63775292</v>
      </c>
      <c r="I380" s="42" t="n">
        <f aca="false">BOM_COEF!S446*DEMANDA!G24</f>
        <v>85.9878194</v>
      </c>
      <c r="J380" s="42" t="n">
        <f aca="false">BOM_COEF!T446*DEMANDA!H24</f>
        <v>186.8695673</v>
      </c>
      <c r="K380" s="42" t="n">
        <f aca="false">BOM_COEF!U446*DEMANDA!I24</f>
        <v>336.5836208</v>
      </c>
      <c r="L380" s="42" t="n">
        <f aca="false">BOM_COEF!V446*DEMANDA!J24</f>
        <v>484.1325977</v>
      </c>
      <c r="M380" s="42" t="n">
        <f aca="false">BOM_COEF!W446*DEMANDA!K24</f>
        <v>643.2203854</v>
      </c>
      <c r="N380" s="42" t="n">
        <f aca="false">BOM_COEF!X446*DEMANDA!L24</f>
        <v>792.4317423</v>
      </c>
      <c r="O380" s="42" t="n">
        <f aca="false">BOM_COEF!Y446*DEMANDA!M24</f>
        <v>889.677707</v>
      </c>
      <c r="P380" s="42" t="n">
        <f aca="false">BOM_COEF!Z446*DEMANDA!N24</f>
        <v>965.3111095</v>
      </c>
      <c r="Q380" s="42" t="n">
        <f aca="false">BOM_COEF!AA446*DEMANDA!O24</f>
        <v>1041.939702</v>
      </c>
      <c r="R380" s="24" t="s">
        <v>3436</v>
      </c>
    </row>
    <row r="381" customFormat="false" ht="15" hidden="false" customHeight="false" outlineLevel="1" collapsed="false">
      <c r="A381" s="24" t="n">
        <v>1</v>
      </c>
      <c r="B381" s="24" t="s">
        <v>1363</v>
      </c>
      <c r="C381" s="40" t="s">
        <v>3437</v>
      </c>
      <c r="D381" s="24" t="s">
        <v>82</v>
      </c>
      <c r="E381" s="24" t="s">
        <v>300</v>
      </c>
      <c r="F381" s="41" t="n">
        <f aca="false">INDEX((BOM_COEF!R461~BOM_COEF!S461~BOM_COEF!T461~BOM_COEF!U461~BOM_COEF!V461~BOM_COEF!W461~BOM_COEF!X461~BOM_COEF!Y461~BOM_COEF!Z461~BOM_COEF!AA461),1,1,INDEX(P_VAL,MATCH("AÑO_DIS",P_ID,0))-2025)</f>
        <v>1</v>
      </c>
      <c r="G381" s="24" t="s">
        <v>2281</v>
      </c>
      <c r="H381" s="42" t="n">
        <f aca="false">BOM_COEF!R461*DEMANDA!F25</f>
        <v>38.80305642</v>
      </c>
      <c r="I381" s="42" t="n">
        <f aca="false">BOM_COEF!S461*DEMANDA!G25</f>
        <v>189.1732027</v>
      </c>
      <c r="J381" s="42" t="n">
        <f aca="false">BOM_COEF!T461*DEMANDA!H25</f>
        <v>411.113048</v>
      </c>
      <c r="K381" s="42" t="n">
        <f aca="false">BOM_COEF!U461*DEMANDA!I25</f>
        <v>740.4839657</v>
      </c>
      <c r="L381" s="42" t="n">
        <f aca="false">BOM_COEF!V461*DEMANDA!J25</f>
        <v>1065.091715</v>
      </c>
      <c r="M381" s="42" t="n">
        <f aca="false">BOM_COEF!W461*DEMANDA!K25</f>
        <v>1415.084848</v>
      </c>
      <c r="N381" s="42" t="n">
        <f aca="false">BOM_COEF!X461*DEMANDA!L25</f>
        <v>1743.349833</v>
      </c>
      <c r="O381" s="42" t="n">
        <f aca="false">BOM_COEF!Y461*DEMANDA!M25</f>
        <v>1957.290955</v>
      </c>
      <c r="P381" s="42" t="n">
        <f aca="false">BOM_COEF!Z461*DEMANDA!N25</f>
        <v>2123.684441</v>
      </c>
      <c r="Q381" s="42" t="n">
        <f aca="false">BOM_COEF!AA461*DEMANDA!O25</f>
        <v>2292.267343</v>
      </c>
      <c r="R381" s="24" t="s">
        <v>3438</v>
      </c>
    </row>
    <row r="382" customFormat="false" ht="15" hidden="false" customHeight="false" outlineLevel="1" collapsed="false">
      <c r="A382" s="24" t="n">
        <v>1</v>
      </c>
      <c r="B382" s="24" t="s">
        <v>1363</v>
      </c>
      <c r="C382" s="40" t="s">
        <v>3439</v>
      </c>
      <c r="D382" s="24" t="s">
        <v>82</v>
      </c>
      <c r="E382" s="24" t="s">
        <v>366</v>
      </c>
      <c r="F382" s="41" t="n">
        <f aca="false">INDEX((BOM_COEF!R461~BOM_COEF!S461~BOM_COEF!T461~BOM_COEF!U461~BOM_COEF!V461~BOM_COEF!W461~BOM_COEF!X461~BOM_COEF!Y461~BOM_COEF!Z461~BOM_COEF!AA461),1,1,INDEX(P_VAL,MATCH("AÑO_DIS",P_ID,0))-2025)</f>
        <v>1</v>
      </c>
      <c r="G382" s="24" t="s">
        <v>2281</v>
      </c>
      <c r="H382" s="42" t="n">
        <f aca="false">BOM_COEF!R461*DEMANDA!F47</f>
        <v>1</v>
      </c>
      <c r="I382" s="42" t="n">
        <f aca="false">BOM_COEF!S461*DEMANDA!G47</f>
        <v>3</v>
      </c>
      <c r="J382" s="42" t="n">
        <f aca="false">BOM_COEF!T461*DEMANDA!H47</f>
        <v>7</v>
      </c>
      <c r="K382" s="42" t="n">
        <f aca="false">BOM_COEF!U461*DEMANDA!I47</f>
        <v>12</v>
      </c>
      <c r="L382" s="42" t="n">
        <f aca="false">BOM_COEF!V461*DEMANDA!J47</f>
        <v>17</v>
      </c>
      <c r="M382" s="42" t="n">
        <f aca="false">BOM_COEF!W461*DEMANDA!K47</f>
        <v>23</v>
      </c>
      <c r="N382" s="42" t="n">
        <f aca="false">BOM_COEF!X461*DEMANDA!L47</f>
        <v>28</v>
      </c>
      <c r="O382" s="42" t="n">
        <f aca="false">BOM_COEF!Y461*DEMANDA!M47</f>
        <v>31</v>
      </c>
      <c r="P382" s="42" t="n">
        <f aca="false">BOM_COEF!Z461*DEMANDA!N47</f>
        <v>34</v>
      </c>
      <c r="Q382" s="42" t="n">
        <f aca="false">BOM_COEF!AA461*DEMANDA!O47</f>
        <v>36</v>
      </c>
      <c r="R382" s="24" t="s">
        <v>3438</v>
      </c>
    </row>
    <row r="383" customFormat="false" ht="15" hidden="false" customHeight="false" outlineLevel="1" collapsed="false">
      <c r="A383" s="24" t="n">
        <v>1</v>
      </c>
      <c r="B383" s="24" t="s">
        <v>1363</v>
      </c>
      <c r="C383" s="40" t="s">
        <v>3440</v>
      </c>
      <c r="D383" s="24" t="s">
        <v>82</v>
      </c>
      <c r="E383" s="24" t="s">
        <v>303</v>
      </c>
      <c r="F383" s="41" t="n">
        <f aca="false">INDEX((BOM_COEF!R476~BOM_COEF!S476~BOM_COEF!T476~BOM_COEF!U476~BOM_COEF!V476~BOM_COEF!W476~BOM_COEF!X476~BOM_COEF!Y476~BOM_COEF!Z476~BOM_COEF!AA476),1,1,INDEX(P_VAL,MATCH("AÑO_DIS",P_ID,0))-2025)</f>
        <v>1</v>
      </c>
      <c r="G383" s="24" t="s">
        <v>2281</v>
      </c>
      <c r="H383" s="42" t="n">
        <f aca="false">BOM_COEF!R476*DEMANDA!F26</f>
        <v>8.466121401</v>
      </c>
      <c r="I383" s="42" t="n">
        <f aca="false">BOM_COEF!S476*DEMANDA!G26</f>
        <v>41.27415331</v>
      </c>
      <c r="J383" s="42" t="n">
        <f aca="false">BOM_COEF!T476*DEMANDA!H26</f>
        <v>89.69739229</v>
      </c>
      <c r="K383" s="42" t="n">
        <f aca="false">BOM_COEF!U476*DEMANDA!I26</f>
        <v>161.560138</v>
      </c>
      <c r="L383" s="42" t="n">
        <f aca="false">BOM_COEF!V476*DEMANDA!J26</f>
        <v>232.3836469</v>
      </c>
      <c r="M383" s="42" t="n">
        <f aca="false">BOM_COEF!W476*DEMANDA!K26</f>
        <v>308.745785</v>
      </c>
      <c r="N383" s="42" t="n">
        <f aca="false">BOM_COEF!X476*DEMANDA!L26</f>
        <v>380.3672363</v>
      </c>
      <c r="O383" s="42" t="n">
        <f aca="false">BOM_COEF!Y476*DEMANDA!M26</f>
        <v>427.0452993</v>
      </c>
      <c r="P383" s="42" t="n">
        <f aca="false">BOM_COEF!Z476*DEMANDA!N26</f>
        <v>463.3493326</v>
      </c>
      <c r="Q383" s="42" t="n">
        <f aca="false">BOM_COEF!AA476*DEMANDA!O26</f>
        <v>500.1310567</v>
      </c>
      <c r="R383" s="24" t="s">
        <v>3441</v>
      </c>
    </row>
    <row r="384" customFormat="false" ht="15" hidden="false" customHeight="false" outlineLevel="1" collapsed="false">
      <c r="A384" s="24" t="n">
        <v>1</v>
      </c>
      <c r="B384" s="24" t="s">
        <v>1363</v>
      </c>
      <c r="C384" s="40" t="s">
        <v>3442</v>
      </c>
      <c r="D384" s="24" t="s">
        <v>82</v>
      </c>
      <c r="E384" s="24" t="s">
        <v>306</v>
      </c>
      <c r="F384" s="41" t="n">
        <f aca="false">INDEX((BOM_COEF!R491~BOM_COEF!S491~BOM_COEF!T491~BOM_COEF!U491~BOM_COEF!V491~BOM_COEF!W491~BOM_COEF!X491~BOM_COEF!Y491~BOM_COEF!Z491~BOM_COEF!AA491),1,1,INDEX(P_VAL,MATCH("AÑO_DIS",P_ID,0))-2025)</f>
        <v>1</v>
      </c>
      <c r="G384" s="24" t="s">
        <v>2281</v>
      </c>
      <c r="H384" s="42" t="n">
        <f aca="false">BOM_COEF!R491*DEMANDA!F27</f>
        <v>5.644080934</v>
      </c>
      <c r="I384" s="42" t="n">
        <f aca="false">BOM_COEF!S491*DEMANDA!G27</f>
        <v>27.51610221</v>
      </c>
      <c r="J384" s="42" t="n">
        <f aca="false">BOM_COEF!T491*DEMANDA!H27</f>
        <v>59.79826153</v>
      </c>
      <c r="K384" s="42" t="n">
        <f aca="false">BOM_COEF!U491*DEMANDA!I27</f>
        <v>107.7067586</v>
      </c>
      <c r="L384" s="42" t="n">
        <f aca="false">BOM_COEF!V491*DEMANDA!J27</f>
        <v>154.9224313</v>
      </c>
      <c r="M384" s="42" t="n">
        <f aca="false">BOM_COEF!W491*DEMANDA!K27</f>
        <v>205.8305233</v>
      </c>
      <c r="N384" s="42" t="n">
        <f aca="false">BOM_COEF!X491*DEMANDA!L27</f>
        <v>253.5781575</v>
      </c>
      <c r="O384" s="42" t="n">
        <f aca="false">BOM_COEF!Y491*DEMANDA!M27</f>
        <v>284.6968662</v>
      </c>
      <c r="P384" s="42" t="n">
        <f aca="false">BOM_COEF!Z491*DEMANDA!N27</f>
        <v>308.899555</v>
      </c>
      <c r="Q384" s="42" t="n">
        <f aca="false">BOM_COEF!AA491*DEMANDA!O27</f>
        <v>333.4207045</v>
      </c>
      <c r="R384" s="24" t="s">
        <v>3443</v>
      </c>
    </row>
    <row r="385" customFormat="false" ht="15" hidden="false" customHeight="false" outlineLevel="1" collapsed="false">
      <c r="A385" s="24" t="n">
        <v>1</v>
      </c>
      <c r="B385" s="24" t="s">
        <v>1363</v>
      </c>
      <c r="C385" s="40" t="s">
        <v>3444</v>
      </c>
      <c r="D385" s="24" t="s">
        <v>82</v>
      </c>
      <c r="E385" s="24" t="s">
        <v>369</v>
      </c>
      <c r="F385" s="41" t="n">
        <f aca="false">INDEX((BOM_COEF!R491~BOM_COEF!S491~BOM_COEF!T491~BOM_COEF!U491~BOM_COEF!V491~BOM_COEF!W491~BOM_COEF!X491~BOM_COEF!Y491~BOM_COEF!Z491~BOM_COEF!AA491),1,1,INDEX(P_VAL,MATCH("AÑO_DIS",P_ID,0))-2025)</f>
        <v>1</v>
      </c>
      <c r="G385" s="24" t="s">
        <v>2281</v>
      </c>
      <c r="H385" s="42" t="n">
        <f aca="false">BOM_COEF!R491*DEMANDA!F48</f>
        <v>1</v>
      </c>
      <c r="I385" s="42" t="n">
        <f aca="false">BOM_COEF!S491*DEMANDA!G48</f>
        <v>1</v>
      </c>
      <c r="J385" s="42" t="n">
        <f aca="false">BOM_COEF!T491*DEMANDA!H48</f>
        <v>2</v>
      </c>
      <c r="K385" s="42" t="n">
        <f aca="false">BOM_COEF!U491*DEMANDA!I48</f>
        <v>3</v>
      </c>
      <c r="L385" s="42" t="n">
        <f aca="false">BOM_COEF!V491*DEMANDA!J48</f>
        <v>5</v>
      </c>
      <c r="M385" s="42" t="n">
        <f aca="false">BOM_COEF!W491*DEMANDA!K48</f>
        <v>6</v>
      </c>
      <c r="N385" s="42" t="n">
        <f aca="false">BOM_COEF!X491*DEMANDA!L48</f>
        <v>7</v>
      </c>
      <c r="O385" s="42" t="n">
        <f aca="false">BOM_COEF!Y491*DEMANDA!M48</f>
        <v>8</v>
      </c>
      <c r="P385" s="42" t="n">
        <f aca="false">BOM_COEF!Z491*DEMANDA!N48</f>
        <v>9</v>
      </c>
      <c r="Q385" s="42" t="n">
        <f aca="false">BOM_COEF!AA491*DEMANDA!O48</f>
        <v>9</v>
      </c>
      <c r="R385" s="24" t="s">
        <v>3443</v>
      </c>
    </row>
    <row r="386" customFormat="false" ht="15" hidden="false" customHeight="false" outlineLevel="1" collapsed="false">
      <c r="A386" s="24" t="n">
        <v>1</v>
      </c>
      <c r="B386" s="24" t="s">
        <v>1363</v>
      </c>
      <c r="C386" s="40" t="s">
        <v>3445</v>
      </c>
      <c r="D386" s="24" t="s">
        <v>82</v>
      </c>
      <c r="E386" s="24" t="s">
        <v>309</v>
      </c>
      <c r="F386" s="41" t="n">
        <f aca="false">INDEX((BOM_COEF!R504~BOM_COEF!S504~BOM_COEF!T504~BOM_COEF!U504~BOM_COEF!V504~BOM_COEF!W504~BOM_COEF!X504~BOM_COEF!Y504~BOM_COEF!Z504~BOM_COEF!AA504),1,1,INDEX(P_VAL,MATCH("AÑO_DIS",P_ID,0))-2025)</f>
        <v>1</v>
      </c>
      <c r="G386" s="24" t="s">
        <v>2281</v>
      </c>
      <c r="H386" s="42" t="n">
        <f aca="false">BOM_COEF!R504*DEMANDA!F28</f>
        <v>159.308736</v>
      </c>
      <c r="I386" s="42" t="n">
        <f aca="false">BOM_COEF!S504*DEMANDA!G28</f>
        <v>643.4235418</v>
      </c>
      <c r="J386" s="42" t="n">
        <f aca="false">BOM_COEF!T504*DEMANDA!H28</f>
        <v>1474.362741</v>
      </c>
      <c r="K386" s="42" t="n">
        <f aca="false">BOM_COEF!U504*DEMANDA!I28</f>
        <v>2766.451205</v>
      </c>
      <c r="L386" s="42" t="n">
        <f aca="false">BOM_COEF!V504*DEMANDA!J28</f>
        <v>3991.465221</v>
      </c>
      <c r="M386" s="42" t="n">
        <f aca="false">BOM_COEF!W504*DEMANDA!K28</f>
        <v>5335.75578</v>
      </c>
      <c r="N386" s="42" t="n">
        <f aca="false">BOM_COEF!X504*DEMANDA!L28</f>
        <v>6538.958887</v>
      </c>
      <c r="O386" s="42" t="n">
        <f aca="false">BOM_COEF!Y504*DEMANDA!M28</f>
        <v>7269.819681</v>
      </c>
      <c r="P386" s="42" t="n">
        <f aca="false">BOM_COEF!Z504*DEMANDA!N28</f>
        <v>7855.44139</v>
      </c>
      <c r="Q386" s="42" t="n">
        <f aca="false">BOM_COEF!AA504*DEMANDA!O28</f>
        <v>8450.814081</v>
      </c>
      <c r="R386" s="24" t="s">
        <v>3446</v>
      </c>
    </row>
    <row r="387" customFormat="false" ht="15" hidden="false" customHeight="false" outlineLevel="1" collapsed="false">
      <c r="A387" s="24" t="n">
        <v>1</v>
      </c>
      <c r="B387" s="24" t="s">
        <v>1363</v>
      </c>
      <c r="C387" s="40" t="s">
        <v>3447</v>
      </c>
      <c r="D387" s="24" t="s">
        <v>82</v>
      </c>
      <c r="E387" s="24" t="s">
        <v>342</v>
      </c>
      <c r="F387" s="41" t="n">
        <f aca="false">INDEX((BOM_COEF!R504~BOM_COEF!S504~BOM_COEF!T504~BOM_COEF!U504~BOM_COEF!V504~BOM_COEF!W504~BOM_COEF!X504~BOM_COEF!Y504~BOM_COEF!Z504~BOM_COEF!AA504),1,1,INDEX(P_VAL,MATCH("AÑO_DIS",P_ID,0))-2025)</f>
        <v>1</v>
      </c>
      <c r="G387" s="24" t="s">
        <v>2281</v>
      </c>
      <c r="H387" s="42" t="n">
        <f aca="false">BOM_COEF!R504*DEMANDA!F39</f>
        <v>2</v>
      </c>
      <c r="I387" s="42" t="n">
        <f aca="false">BOM_COEF!S504*DEMANDA!G39</f>
        <v>7</v>
      </c>
      <c r="J387" s="42" t="n">
        <f aca="false">BOM_COEF!T504*DEMANDA!H39</f>
        <v>16</v>
      </c>
      <c r="K387" s="42" t="n">
        <f aca="false">BOM_COEF!U504*DEMANDA!I39</f>
        <v>30</v>
      </c>
      <c r="L387" s="42" t="n">
        <f aca="false">BOM_COEF!V504*DEMANDA!J39</f>
        <v>44</v>
      </c>
      <c r="M387" s="42" t="n">
        <f aca="false">BOM_COEF!W504*DEMANDA!K39</f>
        <v>58</v>
      </c>
      <c r="N387" s="42" t="n">
        <f aca="false">BOM_COEF!X504*DEMANDA!L39</f>
        <v>71</v>
      </c>
      <c r="O387" s="42" t="n">
        <f aca="false">BOM_COEF!Y504*DEMANDA!M39</f>
        <v>79</v>
      </c>
      <c r="P387" s="42" t="n">
        <f aca="false">BOM_COEF!Z504*DEMANDA!N39</f>
        <v>85</v>
      </c>
      <c r="Q387" s="42" t="n">
        <f aca="false">BOM_COEF!AA504*DEMANDA!O39</f>
        <v>92</v>
      </c>
      <c r="R387" s="24" t="s">
        <v>3446</v>
      </c>
    </row>
    <row r="388" customFormat="false" ht="15" hidden="false" customHeight="false" outlineLevel="1" collapsed="false">
      <c r="A388" s="24" t="n">
        <v>1</v>
      </c>
      <c r="B388" s="24" t="s">
        <v>1363</v>
      </c>
      <c r="C388" s="40" t="s">
        <v>3448</v>
      </c>
      <c r="D388" s="24" t="s">
        <v>82</v>
      </c>
      <c r="E388" s="24" t="s">
        <v>312</v>
      </c>
      <c r="F388" s="41" t="n">
        <f aca="false">INDEX((BOM_COEF!R518~BOM_COEF!S518~BOM_COEF!T518~BOM_COEF!U518~BOM_COEF!V518~BOM_COEF!W518~BOM_COEF!X518~BOM_COEF!Y518~BOM_COEF!Z518~BOM_COEF!AA518),1,1,INDEX(P_VAL,MATCH("AÑO_DIS",P_ID,0))-2025)</f>
        <v>1</v>
      </c>
      <c r="G388" s="24" t="s">
        <v>2281</v>
      </c>
      <c r="H388" s="42" t="n">
        <f aca="false">BOM_COEF!R518*DEMANDA!F29</f>
        <v>22.75839086</v>
      </c>
      <c r="I388" s="42" t="n">
        <f aca="false">BOM_COEF!S518*DEMANDA!G29</f>
        <v>161.315751</v>
      </c>
      <c r="J388" s="42" t="n">
        <f aca="false">BOM_COEF!T518*DEMANDA!H29</f>
        <v>316.6072761</v>
      </c>
      <c r="K388" s="42" t="n">
        <f aca="false">BOM_COEF!U518*DEMANDA!I29</f>
        <v>527.3946199</v>
      </c>
      <c r="L388" s="42" t="n">
        <f aca="false">BOM_COEF!V518*DEMANDA!J29</f>
        <v>743.7889463</v>
      </c>
      <c r="M388" s="42" t="n">
        <f aca="false">BOM_COEF!W518*DEMANDA!K29</f>
        <v>962.8743352</v>
      </c>
      <c r="N388" s="42" t="n">
        <f aca="false">BOM_COEF!X518*DEMANDA!L29</f>
        <v>1194.942207</v>
      </c>
      <c r="O388" s="42" t="n">
        <f aca="false">BOM_COEF!Y518*DEMANDA!M29</f>
        <v>1351.617183</v>
      </c>
      <c r="P388" s="42" t="n">
        <f aca="false">BOM_COEF!Z518*DEMANDA!N29</f>
        <v>1477.54886</v>
      </c>
      <c r="Q388" s="42" t="n">
        <f aca="false">BOM_COEF!AA518*DEMANDA!O29</f>
        <v>1604.441422</v>
      </c>
      <c r="R388" s="24" t="s">
        <v>3449</v>
      </c>
    </row>
    <row r="389" customFormat="false" ht="15" hidden="false" customHeight="false" outlineLevel="1" collapsed="false">
      <c r="A389" s="24" t="n">
        <v>1</v>
      </c>
      <c r="B389" s="24" t="s">
        <v>1363</v>
      </c>
      <c r="C389" s="40" t="s">
        <v>3450</v>
      </c>
      <c r="D389" s="24" t="s">
        <v>82</v>
      </c>
      <c r="E389" s="24" t="s">
        <v>345</v>
      </c>
      <c r="F389" s="41" t="n">
        <f aca="false">INDEX((BOM_COEF!R518~BOM_COEF!S518~BOM_COEF!T518~BOM_COEF!U518~BOM_COEF!V518~BOM_COEF!W518~BOM_COEF!X518~BOM_COEF!Y518~BOM_COEF!Z518~BOM_COEF!AA518),1,1,INDEX(P_VAL,MATCH("AÑO_DIS",P_ID,0))-2025)</f>
        <v>1</v>
      </c>
      <c r="G389" s="24" t="s">
        <v>2281</v>
      </c>
      <c r="H389" s="42" t="n">
        <f aca="false">BOM_COEF!R518*DEMANDA!F40</f>
        <v>1</v>
      </c>
      <c r="I389" s="42" t="n">
        <f aca="false">BOM_COEF!S518*DEMANDA!G40</f>
        <v>2</v>
      </c>
      <c r="J389" s="42" t="n">
        <f aca="false">BOM_COEF!T518*DEMANDA!H40</f>
        <v>4</v>
      </c>
      <c r="K389" s="42" t="n">
        <f aca="false">BOM_COEF!U518*DEMANDA!I40</f>
        <v>6</v>
      </c>
      <c r="L389" s="42" t="n">
        <f aca="false">BOM_COEF!V518*DEMANDA!J40</f>
        <v>9</v>
      </c>
      <c r="M389" s="42" t="n">
        <f aca="false">BOM_COEF!W518*DEMANDA!K40</f>
        <v>11</v>
      </c>
      <c r="N389" s="42" t="n">
        <f aca="false">BOM_COEF!X518*DEMANDA!L40</f>
        <v>13</v>
      </c>
      <c r="O389" s="42" t="n">
        <f aca="false">BOM_COEF!Y518*DEMANDA!M40</f>
        <v>15</v>
      </c>
      <c r="P389" s="42" t="n">
        <f aca="false">BOM_COEF!Z518*DEMANDA!N40</f>
        <v>16</v>
      </c>
      <c r="Q389" s="42" t="n">
        <f aca="false">BOM_COEF!AA518*DEMANDA!O40</f>
        <v>18</v>
      </c>
      <c r="R389" s="24" t="s">
        <v>3449</v>
      </c>
    </row>
    <row r="390" customFormat="false" ht="15" hidden="false" customHeight="false" outlineLevel="1" collapsed="false">
      <c r="A390" s="24" t="n">
        <v>1</v>
      </c>
      <c r="B390" s="24" t="s">
        <v>1363</v>
      </c>
      <c r="C390" s="40" t="s">
        <v>3451</v>
      </c>
      <c r="D390" s="24" t="s">
        <v>82</v>
      </c>
      <c r="E390" s="24" t="s">
        <v>315</v>
      </c>
      <c r="F390" s="41" t="n">
        <f aca="false">INDEX((BOM_COEF!R532~BOM_COEF!S532~BOM_COEF!T532~BOM_COEF!U532~BOM_COEF!V532~BOM_COEF!W532~BOM_COEF!X532~BOM_COEF!Y532~BOM_COEF!Z532~BOM_COEF!AA532),1,1,INDEX(P_VAL,MATCH("AÑO_DIS",P_ID,0))-2025)</f>
        <v>1</v>
      </c>
      <c r="G390" s="24" t="s">
        <v>2281</v>
      </c>
      <c r="H390" s="42" t="n">
        <f aca="false">BOM_COEF!R532*DEMANDA!F30</f>
        <v>11.37919543</v>
      </c>
      <c r="I390" s="42" t="n">
        <f aca="false">BOM_COEF!S532*DEMANDA!G30</f>
        <v>83.22351964</v>
      </c>
      <c r="J390" s="42" t="n">
        <f aca="false">BOM_COEF!T532*DEMANDA!H30</f>
        <v>164.4638337</v>
      </c>
      <c r="K390" s="42" t="n">
        <f aca="false">BOM_COEF!U532*DEMANDA!I30</f>
        <v>281.3411453</v>
      </c>
      <c r="L390" s="42" t="n">
        <f aca="false">BOM_COEF!V532*DEMANDA!J30</f>
        <v>398.9025091</v>
      </c>
      <c r="M390" s="42" t="n">
        <f aca="false">BOM_COEF!W532*DEMANDA!K30</f>
        <v>514.5272844</v>
      </c>
      <c r="N390" s="42" t="n">
        <f aca="false">BOM_COEF!X532*DEMANDA!L30</f>
        <v>629.0655051</v>
      </c>
      <c r="O390" s="42" t="n">
        <f aca="false">BOM_COEF!Y532*DEMANDA!M30</f>
        <v>711.1780237</v>
      </c>
      <c r="P390" s="42" t="n">
        <f aca="false">BOM_COEF!Z532*DEMANDA!N30</f>
        <v>773.4109798</v>
      </c>
      <c r="Q390" s="42" t="n">
        <f aca="false">BOM_COEF!AA532*DEMANDA!O30</f>
        <v>836.3508051</v>
      </c>
      <c r="R390" s="24" t="s">
        <v>3452</v>
      </c>
    </row>
    <row r="391" customFormat="false" ht="15" hidden="false" customHeight="false" outlineLevel="1" collapsed="false">
      <c r="A391" s="24" t="n">
        <v>1</v>
      </c>
      <c r="B391" s="24" t="s">
        <v>1363</v>
      </c>
      <c r="C391" s="40" t="s">
        <v>3453</v>
      </c>
      <c r="D391" s="24" t="s">
        <v>82</v>
      </c>
      <c r="E391" s="24" t="s">
        <v>348</v>
      </c>
      <c r="F391" s="41" t="n">
        <f aca="false">INDEX((BOM_COEF!R532~BOM_COEF!S532~BOM_COEF!T532~BOM_COEF!U532~BOM_COEF!V532~BOM_COEF!W532~BOM_COEF!X532~BOM_COEF!Y532~BOM_COEF!Z532~BOM_COEF!AA532),1,1,INDEX(P_VAL,MATCH("AÑO_DIS",P_ID,0))-2025)</f>
        <v>1</v>
      </c>
      <c r="G391" s="24" t="s">
        <v>2281</v>
      </c>
      <c r="H391" s="42" t="n">
        <f aca="false">BOM_COEF!R532*DEMANDA!F41</f>
        <v>1</v>
      </c>
      <c r="I391" s="42" t="n">
        <f aca="false">BOM_COEF!S532*DEMANDA!G41</f>
        <v>1</v>
      </c>
      <c r="J391" s="42" t="n">
        <f aca="false">BOM_COEF!T532*DEMANDA!H41</f>
        <v>2</v>
      </c>
      <c r="K391" s="42" t="n">
        <f aca="false">BOM_COEF!U532*DEMANDA!I41</f>
        <v>4</v>
      </c>
      <c r="L391" s="42" t="n">
        <f aca="false">BOM_COEF!V532*DEMANDA!J41</f>
        <v>5</v>
      </c>
      <c r="M391" s="42" t="n">
        <f aca="false">BOM_COEF!W532*DEMANDA!K41</f>
        <v>6</v>
      </c>
      <c r="N391" s="42" t="n">
        <f aca="false">BOM_COEF!X532*DEMANDA!L41</f>
        <v>7</v>
      </c>
      <c r="O391" s="42" t="n">
        <f aca="false">BOM_COEF!Y532*DEMANDA!M41</f>
        <v>8</v>
      </c>
      <c r="P391" s="42" t="n">
        <f aca="false">BOM_COEF!Z532*DEMANDA!N41</f>
        <v>9</v>
      </c>
      <c r="Q391" s="42" t="n">
        <f aca="false">BOM_COEF!AA532*DEMANDA!O41</f>
        <v>10</v>
      </c>
      <c r="R391" s="24" t="s">
        <v>3452</v>
      </c>
    </row>
    <row r="392" customFormat="false" ht="15" hidden="false" customHeight="false" outlineLevel="1" collapsed="false">
      <c r="A392" s="24" t="n">
        <v>1</v>
      </c>
      <c r="B392" s="24" t="s">
        <v>1363</v>
      </c>
      <c r="C392" s="40" t="s">
        <v>3454</v>
      </c>
      <c r="D392" s="24" t="s">
        <v>82</v>
      </c>
      <c r="E392" s="24" t="s">
        <v>318</v>
      </c>
      <c r="F392" s="41" t="n">
        <f aca="false">INDEX((BOM_COEF!R547~BOM_COEF!S547~BOM_COEF!T547~BOM_COEF!U547~BOM_COEF!V547~BOM_COEF!W547~BOM_COEF!X547~BOM_COEF!Y547~BOM_COEF!Z547~BOM_COEF!AA547),1,1,INDEX(P_VAL,MATCH("AÑO_DIS",P_ID,0))-2025)</f>
        <v>1</v>
      </c>
      <c r="G392" s="24" t="s">
        <v>2281</v>
      </c>
      <c r="H392" s="42" t="n">
        <f aca="false">BOM_COEF!R547*DEMANDA!F31</f>
        <v>6.827517259</v>
      </c>
      <c r="I392" s="42" t="n">
        <f aca="false">BOM_COEF!S547*DEMANDA!G31</f>
        <v>47.07311209</v>
      </c>
      <c r="J392" s="42" t="n">
        <f aca="false">BOM_COEF!T547*DEMANDA!H31</f>
        <v>88.88967623</v>
      </c>
      <c r="K392" s="42" t="n">
        <f aca="false">BOM_COEF!U547*DEMANDA!I31</f>
        <v>159.5024913</v>
      </c>
      <c r="L392" s="42" t="n">
        <f aca="false">BOM_COEF!V547*DEMANDA!J31</f>
        <v>219.7962019</v>
      </c>
      <c r="M392" s="42" t="n">
        <f aca="false">BOM_COEF!W547*DEMANDA!K31</f>
        <v>291.8698531</v>
      </c>
      <c r="N392" s="42" t="n">
        <f aca="false">BOM_COEF!X547*DEMANDA!L31</f>
        <v>368.8441692</v>
      </c>
      <c r="O392" s="42" t="n">
        <f aca="false">BOM_COEF!Y547*DEMANDA!M31</f>
        <v>408.4089531</v>
      </c>
      <c r="P392" s="42" t="n">
        <f aca="false">BOM_COEF!Z547*DEMANDA!N31</f>
        <v>445.7819443</v>
      </c>
      <c r="Q392" s="42" t="n">
        <f aca="false">BOM_COEF!AA547*DEMANDA!O31</f>
        <v>483.4792034</v>
      </c>
      <c r="R392" s="24" t="s">
        <v>3455</v>
      </c>
    </row>
    <row r="393" customFormat="false" ht="15" hidden="false" customHeight="false" outlineLevel="1" collapsed="false">
      <c r="A393" s="24" t="n">
        <v>1</v>
      </c>
      <c r="B393" s="24" t="s">
        <v>1363</v>
      </c>
      <c r="C393" s="40" t="s">
        <v>3456</v>
      </c>
      <c r="D393" s="24" t="s">
        <v>82</v>
      </c>
      <c r="E393" s="24" t="s">
        <v>351</v>
      </c>
      <c r="F393" s="41" t="n">
        <f aca="false">INDEX((BOM_COEF!R547~BOM_COEF!S547~BOM_COEF!T547~BOM_COEF!U547~BOM_COEF!V547~BOM_COEF!W547~BOM_COEF!X547~BOM_COEF!Y547~BOM_COEF!Z547~BOM_COEF!AA547),1,1,INDEX(P_VAL,MATCH("AÑO_DIS",P_ID,0))-2025)</f>
        <v>1</v>
      </c>
      <c r="G393" s="24" t="s">
        <v>2281</v>
      </c>
      <c r="H393" s="42" t="n">
        <f aca="false">BOM_COEF!R547*DEMANDA!F42</f>
        <v>1</v>
      </c>
      <c r="I393" s="42" t="n">
        <f aca="false">BOM_COEF!S547*DEMANDA!G42</f>
        <v>1</v>
      </c>
      <c r="J393" s="42" t="n">
        <f aca="false">BOM_COEF!T547*DEMANDA!H42</f>
        <v>1</v>
      </c>
      <c r="K393" s="42" t="n">
        <f aca="false">BOM_COEF!U547*DEMANDA!I42</f>
        <v>2</v>
      </c>
      <c r="L393" s="42" t="n">
        <f aca="false">BOM_COEF!V547*DEMANDA!J42</f>
        <v>3</v>
      </c>
      <c r="M393" s="42" t="n">
        <f aca="false">BOM_COEF!W547*DEMANDA!K42</f>
        <v>4</v>
      </c>
      <c r="N393" s="42" t="n">
        <f aca="false">BOM_COEF!X547*DEMANDA!L42</f>
        <v>4</v>
      </c>
      <c r="O393" s="42" t="n">
        <f aca="false">BOM_COEF!Y547*DEMANDA!M42</f>
        <v>5</v>
      </c>
      <c r="P393" s="42" t="n">
        <f aca="false">BOM_COEF!Z547*DEMANDA!N42</f>
        <v>5</v>
      </c>
      <c r="Q393" s="42" t="n">
        <f aca="false">BOM_COEF!AA547*DEMANDA!O42</f>
        <v>6</v>
      </c>
      <c r="R393" s="24" t="s">
        <v>3455</v>
      </c>
    </row>
    <row r="394" customFormat="false" ht="15" hidden="false" customHeight="false" outlineLevel="1" collapsed="false">
      <c r="A394" s="24" t="n">
        <v>1</v>
      </c>
      <c r="B394" s="24" t="s">
        <v>1363</v>
      </c>
      <c r="C394" s="40" t="s">
        <v>3457</v>
      </c>
      <c r="D394" s="24" t="s">
        <v>82</v>
      </c>
      <c r="E394" s="24" t="s">
        <v>321</v>
      </c>
      <c r="F394" s="41" t="n">
        <f aca="false">INDEX((BOM_COEF!R559~BOM_COEF!S559~BOM_COEF!T559~BOM_COEF!U559~BOM_COEF!V559~BOM_COEF!W559~BOM_COEF!X559~BOM_COEF!Y559~BOM_COEF!Z559~BOM_COEF!AA559),1,1,INDEX(P_VAL,MATCH("AÑO_DIS",P_ID,0))-2025)</f>
        <v>1</v>
      </c>
      <c r="G394" s="24" t="s">
        <v>2281</v>
      </c>
      <c r="H394" s="42" t="n">
        <f aca="false">BOM_COEF!R559*DEMANDA!F32</f>
        <v>81.93020711</v>
      </c>
      <c r="I394" s="42" t="n">
        <f aca="false">BOM_COEF!S559*DEMANDA!G32</f>
        <v>335.3988553</v>
      </c>
      <c r="J394" s="42" t="n">
        <f aca="false">BOM_COEF!T559*DEMANDA!H32</f>
        <v>746.5983521</v>
      </c>
      <c r="K394" s="42" t="n">
        <f aca="false">BOM_COEF!U559*DEMANDA!I32</f>
        <v>1358.899837</v>
      </c>
      <c r="L394" s="42" t="n">
        <f aca="false">BOM_COEF!V559*DEMANDA!J32</f>
        <v>1961.125522</v>
      </c>
      <c r="M394" s="42" t="n">
        <f aca="false">BOM_COEF!W559*DEMANDA!K32</f>
        <v>2598.541412</v>
      </c>
      <c r="N394" s="42" t="n">
        <f aca="false">BOM_COEF!X559*DEMANDA!L32</f>
        <v>3197.263477</v>
      </c>
      <c r="O394" s="42" t="n">
        <f aca="false">BOM_COEF!Y559*DEMANDA!M32</f>
        <v>3578.539452</v>
      </c>
      <c r="P394" s="42" t="n">
        <f aca="false">BOM_COEF!Z559*DEMANDA!N32</f>
        <v>3870.747997</v>
      </c>
      <c r="Q394" s="42" t="n">
        <f aca="false">BOM_COEF!AA559*DEMANDA!O32</f>
        <v>4167.559622</v>
      </c>
      <c r="R394" s="24" t="s">
        <v>3458</v>
      </c>
    </row>
    <row r="395" customFormat="false" ht="15" hidden="false" customHeight="false" outlineLevel="1" collapsed="false">
      <c r="A395" s="24" t="n">
        <v>1</v>
      </c>
      <c r="B395" s="24" t="s">
        <v>1363</v>
      </c>
      <c r="C395" s="40" t="s">
        <v>3459</v>
      </c>
      <c r="D395" s="24" t="s">
        <v>82</v>
      </c>
      <c r="E395" s="24" t="s">
        <v>354</v>
      </c>
      <c r="F395" s="41" t="n">
        <f aca="false">INDEX((BOM_COEF!R559~BOM_COEF!S559~BOM_COEF!T559~BOM_COEF!U559~BOM_COEF!V559~BOM_COEF!W559~BOM_COEF!X559~BOM_COEF!Y559~BOM_COEF!Z559~BOM_COEF!AA559),1,1,INDEX(P_VAL,MATCH("AÑO_DIS",P_ID,0))-2025)</f>
        <v>1</v>
      </c>
      <c r="G395" s="24" t="s">
        <v>2281</v>
      </c>
      <c r="H395" s="42" t="n">
        <f aca="false">BOM_COEF!R559*DEMANDA!F43</f>
        <v>1</v>
      </c>
      <c r="I395" s="42" t="n">
        <f aca="false">BOM_COEF!S559*DEMANDA!G43</f>
        <v>4</v>
      </c>
      <c r="J395" s="42" t="n">
        <f aca="false">BOM_COEF!T559*DEMANDA!H43</f>
        <v>9</v>
      </c>
      <c r="K395" s="42" t="n">
        <f aca="false">BOM_COEF!U559*DEMANDA!I43</f>
        <v>15</v>
      </c>
      <c r="L395" s="42" t="n">
        <f aca="false">BOM_COEF!V559*DEMANDA!J43</f>
        <v>22</v>
      </c>
      <c r="M395" s="42" t="n">
        <f aca="false">BOM_COEF!W559*DEMANDA!K43</f>
        <v>29</v>
      </c>
      <c r="N395" s="42" t="n">
        <f aca="false">BOM_COEF!X559*DEMANDA!L43</f>
        <v>35</v>
      </c>
      <c r="O395" s="42" t="n">
        <f aca="false">BOM_COEF!Y559*DEMANDA!M43</f>
        <v>39</v>
      </c>
      <c r="P395" s="42" t="n">
        <f aca="false">BOM_COEF!Z559*DEMANDA!N43</f>
        <v>42</v>
      </c>
      <c r="Q395" s="42" t="n">
        <f aca="false">BOM_COEF!AA559*DEMANDA!O43</f>
        <v>45</v>
      </c>
      <c r="R395" s="24" t="s">
        <v>3458</v>
      </c>
    </row>
    <row r="396" customFormat="false" ht="15" hidden="false" customHeight="false" outlineLevel="1" collapsed="false">
      <c r="A396" s="24" t="n">
        <v>1</v>
      </c>
      <c r="B396" s="24" t="s">
        <v>1363</v>
      </c>
      <c r="C396" s="40" t="s">
        <v>3460</v>
      </c>
      <c r="D396" s="24" t="s">
        <v>82</v>
      </c>
      <c r="E396" s="24" t="s">
        <v>324</v>
      </c>
      <c r="F396" s="41" t="n">
        <f aca="false">INDEX((BOM_COEF!R568~BOM_COEF!S568~BOM_COEF!T568~BOM_COEF!U568~BOM_COEF!V568~BOM_COEF!W568~BOM_COEF!X568~BOM_COEF!Y568~BOM_COEF!Z568~BOM_COEF!AA568),1,1,INDEX(P_VAL,MATCH("AÑO_DIS",P_ID,0))-2025)</f>
        <v>1</v>
      </c>
      <c r="G396" s="24" t="s">
        <v>2281</v>
      </c>
      <c r="H396" s="42" t="n">
        <f aca="false">BOM_COEF!R568*DEMANDA!F33</f>
        <v>450.6161391</v>
      </c>
      <c r="I396" s="42" t="n">
        <f aca="false">BOM_COEF!S568*DEMANDA!G33</f>
        <v>1697.18149</v>
      </c>
      <c r="J396" s="42" t="n">
        <f aca="false">BOM_COEF!T568*DEMANDA!H33</f>
        <v>3955.196858</v>
      </c>
      <c r="K396" s="42" t="n">
        <f aca="false">BOM_COEF!U568*DEMANDA!I33</f>
        <v>7561.26033</v>
      </c>
      <c r="L396" s="42" t="n">
        <f aca="false">BOM_COEF!V568*DEMANDA!J33</f>
        <v>10920.14481</v>
      </c>
      <c r="M396" s="42" t="n">
        <f aca="false">BOM_COEF!W568*DEMANDA!K33</f>
        <v>14514.88522</v>
      </c>
      <c r="N396" s="42" t="n">
        <f aca="false">BOM_COEF!X568*DEMANDA!L33</f>
        <v>17746.49927</v>
      </c>
      <c r="O396" s="42" t="n">
        <f aca="false">BOM_COEF!Y568*DEMANDA!M33</f>
        <v>19617.20546</v>
      </c>
      <c r="P396" s="42" t="n">
        <f aca="false">BOM_COEF!Z568*DEMANDA!N33</f>
        <v>21161.80625</v>
      </c>
      <c r="Q396" s="42" t="n">
        <f aca="false">BOM_COEF!AA568*DEMANDA!O33</f>
        <v>22734.50171</v>
      </c>
      <c r="R396" s="24" t="s">
        <v>3461</v>
      </c>
    </row>
    <row r="397" customFormat="false" ht="15" hidden="false" customHeight="false" outlineLevel="1" collapsed="false">
      <c r="A397" s="24" t="n">
        <v>1</v>
      </c>
      <c r="B397" s="24" t="s">
        <v>1363</v>
      </c>
      <c r="C397" s="40" t="s">
        <v>3462</v>
      </c>
      <c r="D397" s="24" t="s">
        <v>82</v>
      </c>
      <c r="E397" s="24" t="s">
        <v>327</v>
      </c>
      <c r="F397" s="41" t="n">
        <f aca="false">INDEX((BOM_COEF!R579~BOM_COEF!S579~BOM_COEF!T579~BOM_COEF!U579~BOM_COEF!V579~BOM_COEF!W579~BOM_COEF!X579~BOM_COEF!Y579~BOM_COEF!Z579~BOM_COEF!AA579),1,1,INDEX(P_VAL,MATCH("AÑO_DIS",P_ID,0))-2025)</f>
        <v>1</v>
      </c>
      <c r="G397" s="24" t="s">
        <v>2281</v>
      </c>
      <c r="H397" s="42" t="n">
        <f aca="false">BOM_COEF!R579*DEMANDA!F34</f>
        <v>125.1711497</v>
      </c>
      <c r="I397" s="42" t="n">
        <f aca="false">BOM_COEF!S579*DEMANDA!G34</f>
        <v>643.6303708</v>
      </c>
      <c r="J397" s="42" t="n">
        <f aca="false">BOM_COEF!T579*DEMANDA!H34</f>
        <v>1375.626719</v>
      </c>
      <c r="K397" s="42" t="n">
        <f aca="false">BOM_COEF!U579*DEMANDA!I34</f>
        <v>2460.284265</v>
      </c>
      <c r="L397" s="42" t="n">
        <f aca="false">BOM_COEF!V579*DEMANDA!J34</f>
        <v>3545.257683</v>
      </c>
      <c r="M397" s="42" t="n">
        <f aca="false">BOM_COEF!W579*DEMANDA!K34</f>
        <v>4723.461784</v>
      </c>
      <c r="N397" s="42" t="n">
        <f aca="false">BOM_COEF!X579*DEMANDA!L34</f>
        <v>5853.905178</v>
      </c>
      <c r="O397" s="42" t="n">
        <f aca="false">BOM_COEF!Y579*DEMANDA!M34</f>
        <v>6608.459909</v>
      </c>
      <c r="P397" s="42" t="n">
        <f aca="false">BOM_COEF!Z579*DEMANDA!N34</f>
        <v>7185.708397</v>
      </c>
      <c r="Q397" s="42" t="n">
        <f aca="false">BOM_COEF!AA579*DEMANDA!O34</f>
        <v>7769.577127</v>
      </c>
      <c r="R397" s="24" t="s">
        <v>3463</v>
      </c>
    </row>
    <row r="398" customFormat="false" ht="15" hidden="false" customHeight="false" outlineLevel="1" collapsed="false">
      <c r="A398" s="24" t="n">
        <v>1</v>
      </c>
      <c r="B398" s="24" t="s">
        <v>1363</v>
      </c>
      <c r="C398" s="40" t="s">
        <v>3464</v>
      </c>
      <c r="D398" s="24" t="s">
        <v>82</v>
      </c>
      <c r="E398" s="24" t="s">
        <v>357</v>
      </c>
      <c r="F398" s="41" t="n">
        <f aca="false">INDEX((BOM_COEF!R579~BOM_COEF!S579~BOM_COEF!T579~BOM_COEF!U579~BOM_COEF!V579~BOM_COEF!W579~BOM_COEF!X579~BOM_COEF!Y579~BOM_COEF!Z579~BOM_COEF!AA579),1,1,INDEX(P_VAL,MATCH("AÑO_DIS",P_ID,0))-2025)</f>
        <v>1</v>
      </c>
      <c r="G398" s="24" t="s">
        <v>2281</v>
      </c>
      <c r="H398" s="42" t="n">
        <f aca="false">BOM_COEF!R579*DEMANDA!F44</f>
        <v>7</v>
      </c>
      <c r="I398" s="42" t="n">
        <f aca="false">BOM_COEF!S579*DEMANDA!G44</f>
        <v>26</v>
      </c>
      <c r="J398" s="42" t="n">
        <f aca="false">BOM_COEF!T579*DEMANDA!H44</f>
        <v>58</v>
      </c>
      <c r="K398" s="42" t="n">
        <f aca="false">BOM_COEF!U579*DEMANDA!I44</f>
        <v>109</v>
      </c>
      <c r="L398" s="42" t="n">
        <f aca="false">BOM_COEF!V579*DEMANDA!J44</f>
        <v>156</v>
      </c>
      <c r="M398" s="42" t="n">
        <f aca="false">BOM_COEF!W579*DEMANDA!K44</f>
        <v>208</v>
      </c>
      <c r="N398" s="42" t="n">
        <f aca="false">BOM_COEF!X579*DEMANDA!L44</f>
        <v>255</v>
      </c>
      <c r="O398" s="42" t="n">
        <f aca="false">BOM_COEF!Y579*DEMANDA!M44</f>
        <v>283</v>
      </c>
      <c r="P398" s="42" t="n">
        <f aca="false">BOM_COEF!Z579*DEMANDA!N44</f>
        <v>306</v>
      </c>
      <c r="Q398" s="42" t="n">
        <f aca="false">BOM_COEF!AA579*DEMANDA!O44</f>
        <v>330</v>
      </c>
      <c r="R398" s="24" t="s">
        <v>3463</v>
      </c>
    </row>
    <row r="399" customFormat="false" ht="15" hidden="false" customHeight="false" outlineLevel="1" collapsed="false">
      <c r="A399" s="24" t="n">
        <v>1</v>
      </c>
      <c r="B399" s="24" t="s">
        <v>1363</v>
      </c>
      <c r="C399" s="40" t="s">
        <v>3465</v>
      </c>
      <c r="D399" s="24" t="s">
        <v>82</v>
      </c>
      <c r="E399" s="24" t="s">
        <v>330</v>
      </c>
      <c r="F399" s="41" t="n">
        <f aca="false">INDEX((BOM_COEF!R592~BOM_COEF!S592~BOM_COEF!T592~BOM_COEF!U592~BOM_COEF!V592~BOM_COEF!W592~BOM_COEF!X592~BOM_COEF!Y592~BOM_COEF!Z592~BOM_COEF!AA592),1,1,INDEX(P_VAL,MATCH("AÑO_DIS",P_ID,0))-2025)</f>
        <v>1</v>
      </c>
      <c r="G399" s="24" t="s">
        <v>2281</v>
      </c>
      <c r="H399" s="42" t="n">
        <f aca="false">BOM_COEF!R592*DEMANDA!F35</f>
        <v>18.20671269</v>
      </c>
      <c r="I399" s="42" t="n">
        <f aca="false">BOM_COEF!S592*DEMANDA!G35</f>
        <v>112.0751219</v>
      </c>
      <c r="J399" s="42" t="n">
        <f aca="false">BOM_COEF!T592*DEMANDA!H35</f>
        <v>230.8540412</v>
      </c>
      <c r="K399" s="42" t="n">
        <f aca="false">BOM_COEF!U592*DEMANDA!I35</f>
        <v>400.7153345</v>
      </c>
      <c r="L399" s="42" t="n">
        <f aca="false">BOM_COEF!V592*DEMANDA!J35</f>
        <v>574.5077895</v>
      </c>
      <c r="M399" s="42" t="n">
        <f aca="false">BOM_COEF!W592*DEMANDA!K35</f>
        <v>754.3456228</v>
      </c>
      <c r="N399" s="42" t="n">
        <f aca="false">BOM_COEF!X592*DEMANDA!L35</f>
        <v>944.8488404</v>
      </c>
      <c r="O399" s="42" t="n">
        <f aca="false">BOM_COEF!Y592*DEMANDA!M35</f>
        <v>1072.234671</v>
      </c>
      <c r="P399" s="42" t="n">
        <f aca="false">BOM_COEF!Z592*DEMANDA!N35</f>
        <v>1171.695753</v>
      </c>
      <c r="Q399" s="42" t="n">
        <f aca="false">BOM_COEF!AA592*DEMANDA!O35</f>
        <v>1271.941099</v>
      </c>
      <c r="R399" s="24" t="s">
        <v>3466</v>
      </c>
    </row>
    <row r="400" customFormat="false" ht="15" hidden="false" customHeight="false" outlineLevel="1" collapsed="false">
      <c r="A400" s="24" t="n">
        <v>1</v>
      </c>
      <c r="B400" s="24" t="s">
        <v>1363</v>
      </c>
      <c r="C400" s="40" t="s">
        <v>3467</v>
      </c>
      <c r="D400" s="24" t="s">
        <v>82</v>
      </c>
      <c r="E400" s="24" t="s">
        <v>360</v>
      </c>
      <c r="F400" s="41" t="n">
        <f aca="false">INDEX((BOM_COEF!R592~BOM_COEF!S592~BOM_COEF!T592~BOM_COEF!U592~BOM_COEF!V592~BOM_COEF!W592~BOM_COEF!X592~BOM_COEF!Y592~BOM_COEF!Z592~BOM_COEF!AA592),1,1,INDEX(P_VAL,MATCH("AÑO_DIS",P_ID,0))-2025)</f>
        <v>1</v>
      </c>
      <c r="G400" s="24" t="s">
        <v>2281</v>
      </c>
      <c r="H400" s="42" t="n">
        <f aca="false">BOM_COEF!R592*DEMANDA!F45</f>
        <v>1</v>
      </c>
      <c r="I400" s="42" t="n">
        <f aca="false">BOM_COEF!S592*DEMANDA!G45</f>
        <v>2</v>
      </c>
      <c r="J400" s="42" t="n">
        <f aca="false">BOM_COEF!T592*DEMANDA!H45</f>
        <v>3</v>
      </c>
      <c r="K400" s="42" t="n">
        <f aca="false">BOM_COEF!U592*DEMANDA!I45</f>
        <v>5</v>
      </c>
      <c r="L400" s="42" t="n">
        <f aca="false">BOM_COEF!V592*DEMANDA!J45</f>
        <v>7</v>
      </c>
      <c r="M400" s="42" t="n">
        <f aca="false">BOM_COEF!W592*DEMANDA!K45</f>
        <v>9</v>
      </c>
      <c r="N400" s="42" t="n">
        <f aca="false">BOM_COEF!X592*DEMANDA!L45</f>
        <v>11</v>
      </c>
      <c r="O400" s="42" t="n">
        <f aca="false">BOM_COEF!Y592*DEMANDA!M45</f>
        <v>12</v>
      </c>
      <c r="P400" s="42" t="n">
        <f aca="false">BOM_COEF!Z592*DEMANDA!N45</f>
        <v>13</v>
      </c>
      <c r="Q400" s="42" t="n">
        <f aca="false">BOM_COEF!AA592*DEMANDA!O45</f>
        <v>14</v>
      </c>
      <c r="R400" s="24" t="s">
        <v>3466</v>
      </c>
    </row>
    <row r="401" customFormat="false" ht="15" hidden="false" customHeight="false" outlineLevel="1" collapsed="false">
      <c r="A401" s="24" t="n">
        <v>1</v>
      </c>
      <c r="B401" s="24" t="s">
        <v>1363</v>
      </c>
      <c r="C401" s="40" t="s">
        <v>3468</v>
      </c>
      <c r="D401" s="24" t="s">
        <v>82</v>
      </c>
      <c r="E401" s="24" t="s">
        <v>333</v>
      </c>
      <c r="F401" s="41" t="n">
        <f aca="false">INDEX((BOM_COEF!R604~BOM_COEF!S604~BOM_COEF!T604~BOM_COEF!U604~BOM_COEF!V604~BOM_COEF!W604~BOM_COEF!X604~BOM_COEF!Y604~BOM_COEF!Z604~BOM_COEF!AA604),1,1,INDEX(P_VAL,MATCH("AÑO_DIS",P_ID,0))-2025)</f>
        <v>1</v>
      </c>
      <c r="G401" s="24" t="s">
        <v>2281</v>
      </c>
      <c r="H401" s="42" t="n">
        <f aca="false">BOM_COEF!R604*DEMANDA!F36</f>
        <v>6.827517259</v>
      </c>
      <c r="I401" s="42" t="n">
        <f aca="false">BOM_COEF!S604*DEMANDA!G36</f>
        <v>47.07311209</v>
      </c>
      <c r="J401" s="42" t="n">
        <f aca="false">BOM_COEF!T604*DEMANDA!H36</f>
        <v>88.88967623</v>
      </c>
      <c r="K401" s="42" t="n">
        <f aca="false">BOM_COEF!U604*DEMANDA!I36</f>
        <v>148.2791824</v>
      </c>
      <c r="L401" s="42" t="n">
        <f aca="false">BOM_COEF!V604*DEMANDA!J36</f>
        <v>205.2260532</v>
      </c>
      <c r="M401" s="42" t="n">
        <f aca="false">BOM_COEF!W604*DEMANDA!K36</f>
        <v>255.765145</v>
      </c>
      <c r="N401" s="42" t="n">
        <f aca="false">BOM_COEF!X604*DEMANDA!L36</f>
        <v>328.4179018</v>
      </c>
      <c r="O401" s="42" t="n">
        <f aca="false">BOM_COEF!Y604*DEMANDA!M36</f>
        <v>366.9080713</v>
      </c>
      <c r="P401" s="42" t="n">
        <f aca="false">BOM_COEF!Z604*DEMANDA!N36</f>
        <v>401.6817071</v>
      </c>
      <c r="Q401" s="42" t="n">
        <f aca="false">BOM_COEF!AA604*DEMANDA!O36</f>
        <v>436.6867823</v>
      </c>
      <c r="R401" s="24" t="s">
        <v>3469</v>
      </c>
    </row>
    <row r="402" customFormat="false" ht="15" hidden="false" customHeight="false" outlineLevel="1" collapsed="false">
      <c r="A402" s="24" t="n">
        <v>1</v>
      </c>
      <c r="B402" s="24" t="s">
        <v>1363</v>
      </c>
      <c r="C402" s="40" t="s">
        <v>3470</v>
      </c>
      <c r="D402" s="24" t="s">
        <v>82</v>
      </c>
      <c r="E402" s="24" t="s">
        <v>363</v>
      </c>
      <c r="F402" s="41" t="n">
        <f aca="false">INDEX((BOM_COEF!R604~BOM_COEF!S604~BOM_COEF!T604~BOM_COEF!U604~BOM_COEF!V604~BOM_COEF!W604~BOM_COEF!X604~BOM_COEF!Y604~BOM_COEF!Z604~BOM_COEF!AA604),1,1,INDEX(P_VAL,MATCH("AÑO_DIS",P_ID,0))-2025)</f>
        <v>1</v>
      </c>
      <c r="G402" s="24" t="s">
        <v>2281</v>
      </c>
      <c r="H402" s="42" t="n">
        <f aca="false">BOM_COEF!R604*DEMANDA!F46</f>
        <v>1</v>
      </c>
      <c r="I402" s="42" t="n">
        <f aca="false">BOM_COEF!S604*DEMANDA!G46</f>
        <v>1</v>
      </c>
      <c r="J402" s="42" t="n">
        <f aca="false">BOM_COEF!T604*DEMANDA!H46</f>
        <v>1</v>
      </c>
      <c r="K402" s="42" t="n">
        <f aca="false">BOM_COEF!U604*DEMANDA!I46</f>
        <v>2</v>
      </c>
      <c r="L402" s="42" t="n">
        <f aca="false">BOM_COEF!V604*DEMANDA!J46</f>
        <v>3</v>
      </c>
      <c r="M402" s="42" t="n">
        <f aca="false">BOM_COEF!W604*DEMANDA!K46</f>
        <v>3</v>
      </c>
      <c r="N402" s="42" t="n">
        <f aca="false">BOM_COEF!X604*DEMANDA!L46</f>
        <v>4</v>
      </c>
      <c r="O402" s="42" t="n">
        <f aca="false">BOM_COEF!Y604*DEMANDA!M46</f>
        <v>4</v>
      </c>
      <c r="P402" s="42" t="n">
        <f aca="false">BOM_COEF!Z604*DEMANDA!N46</f>
        <v>5</v>
      </c>
      <c r="Q402" s="42" t="n">
        <f aca="false">BOM_COEF!AA604*DEMANDA!O46</f>
        <v>5</v>
      </c>
      <c r="R402" s="24" t="s">
        <v>3469</v>
      </c>
    </row>
    <row r="403" customFormat="false" ht="15" hidden="false" customHeight="false" outlineLevel="0" collapsed="false">
      <c r="A403" s="38" t="n">
        <v>0</v>
      </c>
      <c r="B403" s="38" t="s">
        <v>1359</v>
      </c>
      <c r="C403" s="38" t="s">
        <v>2196</v>
      </c>
      <c r="D403" s="38" t="s">
        <v>82</v>
      </c>
      <c r="E403" s="38"/>
      <c r="F403" s="38"/>
      <c r="G403" s="38"/>
      <c r="H403" s="39" t="n">
        <f aca="false">SUM(H404:H432)</f>
        <v>6445.563267043</v>
      </c>
      <c r="I403" s="39" t="n">
        <f aca="false">SUM(I404:I432)</f>
        <v>29104.2314255</v>
      </c>
      <c r="J403" s="39" t="n">
        <f aca="false">SUM(J404:J432)</f>
        <v>57839.99913808</v>
      </c>
      <c r="K403" s="39" t="n">
        <f aca="false">SUM(K404:K432)</f>
        <v>107181.3597585</v>
      </c>
      <c r="L403" s="39" t="n">
        <f aca="false">SUM(L404:L432)</f>
        <v>157990.2738045</v>
      </c>
      <c r="M403" s="39" t="n">
        <f aca="false">SUM(M404:M432)</f>
        <v>215404.030507</v>
      </c>
      <c r="N403" s="39" t="n">
        <f aca="false">SUM(N404:N432)</f>
        <v>267758.4586162</v>
      </c>
      <c r="O403" s="39" t="n">
        <f aca="false">SUM(O404:O432)</f>
        <v>304889.3059304</v>
      </c>
      <c r="P403" s="39" t="n">
        <f aca="false">SUM(P404:P432)</f>
        <v>327829.9037667</v>
      </c>
      <c r="Q403" s="39" t="n">
        <f aca="false">SUM(Q404:Q432)</f>
        <v>351258.4265134</v>
      </c>
      <c r="R403" s="38"/>
    </row>
    <row r="404" customFormat="false" ht="15" hidden="false" customHeight="false" outlineLevel="1" collapsed="false">
      <c r="A404" s="24" t="n">
        <v>1</v>
      </c>
      <c r="B404" s="24" t="s">
        <v>1359</v>
      </c>
      <c r="C404" s="40" t="s">
        <v>3471</v>
      </c>
      <c r="D404" s="24" t="s">
        <v>82</v>
      </c>
      <c r="E404" s="24" t="s">
        <v>282</v>
      </c>
      <c r="F404" s="41" t="n">
        <f aca="false">INDEX((BOM_COEF!R386~BOM_COEF!S386~BOM_COEF!T386~BOM_COEF!U386~BOM_COEF!V386~BOM_COEF!W386~BOM_COEF!X386~BOM_COEF!Y386~BOM_COEF!Z386~BOM_COEF!AA386),1,1,INDEX(P_VAL,MATCH("AÑO_DIS",P_ID,0))-2025)</f>
        <v>1</v>
      </c>
      <c r="G404" s="24" t="s">
        <v>2281</v>
      </c>
      <c r="H404" s="42" t="n">
        <f aca="false">BOM_COEF!R386*DEMANDA!F20</f>
        <v>3477.482124</v>
      </c>
      <c r="I404" s="42" t="n">
        <f aca="false">BOM_COEF!S386*DEMANDA!G20</f>
        <v>16970.58564</v>
      </c>
      <c r="J404" s="42" t="n">
        <f aca="false">BOM_COEF!T386*DEMANDA!H20</f>
        <v>30546.08951</v>
      </c>
      <c r="K404" s="42" t="n">
        <f aca="false">BOM_COEF!U386*DEMANDA!I20</f>
        <v>56048.31106</v>
      </c>
      <c r="L404" s="42" t="n">
        <f aca="false">BOM_COEF!V386*DEMANDA!J20</f>
        <v>84270.22613</v>
      </c>
      <c r="M404" s="42" t="n">
        <f aca="false">BOM_COEF!W386*DEMANDA!K20</f>
        <v>117407.8231</v>
      </c>
      <c r="N404" s="42" t="n">
        <f aca="false">BOM_COEF!X386*DEMANDA!L20</f>
        <v>147610.6356</v>
      </c>
      <c r="O404" s="42" t="n">
        <f aca="false">BOM_COEF!Y386*DEMANDA!M20</f>
        <v>171404.3607</v>
      </c>
      <c r="P404" s="42" t="n">
        <f aca="false">BOM_COEF!Z386*DEMANDA!N20</f>
        <v>183690.566</v>
      </c>
      <c r="Q404" s="42" t="n">
        <f aca="false">BOM_COEF!AA386*DEMANDA!O20</f>
        <v>196282.6907</v>
      </c>
      <c r="R404" s="24" t="s">
        <v>3472</v>
      </c>
    </row>
    <row r="405" customFormat="false" ht="15" hidden="false" customHeight="false" outlineLevel="1" collapsed="false">
      <c r="A405" s="24" t="n">
        <v>1</v>
      </c>
      <c r="B405" s="24" t="s">
        <v>1359</v>
      </c>
      <c r="C405" s="40" t="s">
        <v>3473</v>
      </c>
      <c r="D405" s="24" t="s">
        <v>82</v>
      </c>
      <c r="E405" s="24" t="s">
        <v>286</v>
      </c>
      <c r="F405" s="41" t="n">
        <f aca="false">INDEX((BOM_COEF!R400~BOM_COEF!S400~BOM_COEF!T400~BOM_COEF!U400~BOM_COEF!V400~BOM_COEF!W400~BOM_COEF!X400~BOM_COEF!Y400~BOM_COEF!Z400~BOM_COEF!AA400),1,1,INDEX(P_VAL,MATCH("AÑO_DIS",P_ID,0))-2025)</f>
        <v>1</v>
      </c>
      <c r="G405" s="24" t="s">
        <v>2281</v>
      </c>
      <c r="H405" s="42" t="n">
        <f aca="false">BOM_COEF!R400*DEMANDA!F21</f>
        <v>329.9966675</v>
      </c>
      <c r="I405" s="42" t="n">
        <f aca="false">BOM_COEF!S400*DEMANDA!G21</f>
        <v>1287.414024</v>
      </c>
      <c r="J405" s="42" t="n">
        <f aca="false">BOM_COEF!T400*DEMANDA!H21</f>
        <v>2947.169216</v>
      </c>
      <c r="K405" s="42" t="n">
        <f aca="false">BOM_COEF!U400*DEMANDA!I21</f>
        <v>5426.043269</v>
      </c>
      <c r="L405" s="42" t="n">
        <f aca="false">BOM_COEF!V400*DEMANDA!J21</f>
        <v>7850.875806</v>
      </c>
      <c r="M405" s="42" t="n">
        <f aca="false">BOM_COEF!W400*DEMANDA!K21</f>
        <v>10423.94365</v>
      </c>
      <c r="N405" s="42" t="n">
        <f aca="false">BOM_COEF!X400*DEMANDA!L21</f>
        <v>12809.89571</v>
      </c>
      <c r="O405" s="42" t="n">
        <f aca="false">BOM_COEF!Y400*DEMANDA!M21</f>
        <v>14263.06831</v>
      </c>
      <c r="P405" s="42" t="n">
        <f aca="false">BOM_COEF!Z400*DEMANDA!N21</f>
        <v>15432.86983</v>
      </c>
      <c r="Q405" s="42" t="n">
        <f aca="false">BOM_COEF!AA400*DEMANDA!O21</f>
        <v>16620.76117</v>
      </c>
      <c r="R405" s="24" t="s">
        <v>3474</v>
      </c>
    </row>
    <row r="406" customFormat="false" ht="15" hidden="false" customHeight="false" outlineLevel="1" collapsed="false">
      <c r="A406" s="24" t="n">
        <v>1</v>
      </c>
      <c r="B406" s="24" t="s">
        <v>1359</v>
      </c>
      <c r="C406" s="40" t="s">
        <v>3475</v>
      </c>
      <c r="D406" s="24" t="s">
        <v>82</v>
      </c>
      <c r="E406" s="24" t="s">
        <v>290</v>
      </c>
      <c r="F406" s="41" t="n">
        <f aca="false">INDEX((BOM_COEF!R415~BOM_COEF!S415~BOM_COEF!T415~BOM_COEF!U415~BOM_COEF!V415~BOM_COEF!W415~BOM_COEF!X415~BOM_COEF!Y415~BOM_COEF!Z415~BOM_COEF!AA415),1,1,INDEX(P_VAL,MATCH("AÑO_DIS",P_ID,0))-2025)</f>
        <v>1</v>
      </c>
      <c r="G406" s="24" t="s">
        <v>2281</v>
      </c>
      <c r="H406" s="42" t="n">
        <f aca="false">BOM_COEF!R415*DEMANDA!F22</f>
        <v>1950.394097</v>
      </c>
      <c r="I406" s="42" t="n">
        <f aca="false">BOM_COEF!S415*DEMANDA!G22</f>
        <v>7852.61852</v>
      </c>
      <c r="J406" s="42" t="n">
        <f aca="false">BOM_COEF!T415*DEMANDA!H22</f>
        <v>17775.85701</v>
      </c>
      <c r="K406" s="42" t="n">
        <f aca="false">BOM_COEF!U415*DEMANDA!I22</f>
        <v>33605.56835</v>
      </c>
      <c r="L406" s="42" t="n">
        <f aca="false">BOM_COEF!V415*DEMANDA!J22</f>
        <v>48407.57189</v>
      </c>
      <c r="M406" s="42" t="n">
        <f aca="false">BOM_COEF!W415*DEMANDA!K22</f>
        <v>64323.04276</v>
      </c>
      <c r="N406" s="42" t="n">
        <f aca="false">BOM_COEF!X415*DEMANDA!L22</f>
        <v>78721.10039</v>
      </c>
      <c r="O406" s="42" t="n">
        <f aca="false">BOM_COEF!Y415*DEMANDA!M22</f>
        <v>87237.2124</v>
      </c>
      <c r="P406" s="42" t="n">
        <f aca="false">BOM_COEF!Z415*DEMANDA!N22</f>
        <v>94103.66761</v>
      </c>
      <c r="Q406" s="42" t="n">
        <f aca="false">BOM_COEF!AA415*DEMANDA!O22</f>
        <v>101095.1762</v>
      </c>
      <c r="R406" s="24" t="s">
        <v>3476</v>
      </c>
    </row>
    <row r="407" customFormat="false" ht="15" hidden="false" customHeight="false" outlineLevel="1" collapsed="false">
      <c r="A407" s="24" t="n">
        <v>1</v>
      </c>
      <c r="B407" s="24" t="s">
        <v>1359</v>
      </c>
      <c r="C407" s="40" t="s">
        <v>3477</v>
      </c>
      <c r="D407" s="24" t="s">
        <v>82</v>
      </c>
      <c r="E407" s="24" t="s">
        <v>336</v>
      </c>
      <c r="F407" s="41" t="n">
        <f aca="false">INDEX((BOM_COEF!R415~BOM_COEF!S415~BOM_COEF!T415~BOM_COEF!U415~BOM_COEF!V415~BOM_COEF!W415~BOM_COEF!X415~BOM_COEF!Y415~BOM_COEF!Z415~BOM_COEF!AA415),1,1,INDEX(P_VAL,MATCH("AÑO_DIS",P_ID,0))-2025)</f>
        <v>1</v>
      </c>
      <c r="G407" s="24" t="s">
        <v>2281</v>
      </c>
      <c r="H407" s="42" t="n">
        <f aca="false">BOM_COEF!R415*DEMANDA!F37</f>
        <v>63</v>
      </c>
      <c r="I407" s="42" t="n">
        <f aca="false">BOM_COEF!S415*DEMANDA!G37</f>
        <v>282</v>
      </c>
      <c r="J407" s="42" t="n">
        <f aca="false">BOM_COEF!T415*DEMANDA!H37</f>
        <v>553</v>
      </c>
      <c r="K407" s="42" t="n">
        <f aca="false">BOM_COEF!U415*DEMANDA!I37</f>
        <v>1025</v>
      </c>
      <c r="L407" s="42" t="n">
        <f aca="false">BOM_COEF!V415*DEMANDA!J37</f>
        <v>1515</v>
      </c>
      <c r="M407" s="42" t="n">
        <f aca="false">BOM_COEF!W415*DEMANDA!K37</f>
        <v>2072</v>
      </c>
      <c r="N407" s="42" t="n">
        <f aca="false">BOM_COEF!X415*DEMANDA!L37</f>
        <v>2579</v>
      </c>
      <c r="O407" s="42" t="n">
        <f aca="false">BOM_COEF!Y415*DEMANDA!M37</f>
        <v>2944</v>
      </c>
      <c r="P407" s="42" t="n">
        <f aca="false">BOM_COEF!Z415*DEMANDA!N37</f>
        <v>3164</v>
      </c>
      <c r="Q407" s="42" t="n">
        <f aca="false">BOM_COEF!AA415*DEMANDA!O37</f>
        <v>3388</v>
      </c>
      <c r="R407" s="24" t="s">
        <v>3476</v>
      </c>
    </row>
    <row r="408" customFormat="false" ht="15" hidden="false" customHeight="false" outlineLevel="1" collapsed="false">
      <c r="A408" s="24" t="n">
        <v>1</v>
      </c>
      <c r="B408" s="24" t="s">
        <v>1359</v>
      </c>
      <c r="C408" s="40" t="s">
        <v>3478</v>
      </c>
      <c r="D408" s="24" t="s">
        <v>82</v>
      </c>
      <c r="E408" s="24" t="s">
        <v>293</v>
      </c>
      <c r="F408" s="41" t="n">
        <f aca="false">INDEX((BOM_COEF!R430~BOM_COEF!S430~BOM_COEF!T430~BOM_COEF!U430~BOM_COEF!V430~BOM_COEF!W430~BOM_COEF!X430~BOM_COEF!Y430~BOM_COEF!Z430~BOM_COEF!AA430),1,1,INDEX(P_VAL,MATCH("AÑO_DIS",P_ID,0))-2025)</f>
        <v>1</v>
      </c>
      <c r="G408" s="24" t="s">
        <v>2281</v>
      </c>
      <c r="H408" s="42" t="n">
        <f aca="false">BOM_COEF!R430*DEMANDA!F23</f>
        <v>118.3436325</v>
      </c>
      <c r="I408" s="42" t="n">
        <f aca="false">BOM_COEF!S430*DEMANDA!G23</f>
        <v>437.7165779</v>
      </c>
      <c r="J408" s="42" t="n">
        <f aca="false">BOM_COEF!T430*DEMANDA!H23</f>
        <v>1024.974821</v>
      </c>
      <c r="K408" s="42" t="n">
        <f aca="false">BOM_COEF!U430*DEMANDA!I23</f>
        <v>1960.409862</v>
      </c>
      <c r="L408" s="42" t="n">
        <f aca="false">BOM_COEF!V430*DEMANDA!J23</f>
        <v>2844.976846</v>
      </c>
      <c r="M408" s="42" t="n">
        <f aca="false">BOM_COEF!W430*DEMANDA!K23</f>
        <v>3810.390622</v>
      </c>
      <c r="N408" s="42" t="n">
        <f aca="false">BOM_COEF!X430*DEMANDA!L23</f>
        <v>4663.67807</v>
      </c>
      <c r="O408" s="42" t="n">
        <f aca="false">BOM_COEF!Y430*DEMANDA!M23</f>
        <v>5164.514584</v>
      </c>
      <c r="P408" s="42" t="n">
        <f aca="false">BOM_COEF!Z430*DEMANDA!N23</f>
        <v>5571.544328</v>
      </c>
      <c r="Q408" s="42" t="n">
        <f aca="false">BOM_COEF!AA430*DEMANDA!O23</f>
        <v>5985.950855</v>
      </c>
      <c r="R408" s="24" t="s">
        <v>3479</v>
      </c>
    </row>
    <row r="409" customFormat="false" ht="15" hidden="false" customHeight="false" outlineLevel="1" collapsed="false">
      <c r="A409" s="24" t="n">
        <v>1</v>
      </c>
      <c r="B409" s="24" t="s">
        <v>1359</v>
      </c>
      <c r="C409" s="40" t="s">
        <v>3480</v>
      </c>
      <c r="D409" s="24" t="s">
        <v>82</v>
      </c>
      <c r="E409" s="24" t="s">
        <v>339</v>
      </c>
      <c r="F409" s="41" t="n">
        <f aca="false">INDEX((BOM_COEF!R430~BOM_COEF!S430~BOM_COEF!T430~BOM_COEF!U430~BOM_COEF!V430~BOM_COEF!W430~BOM_COEF!X430~BOM_COEF!Y430~BOM_COEF!Z430~BOM_COEF!AA430),1,1,INDEX(P_VAL,MATCH("AÑO_DIS",P_ID,0))-2025)</f>
        <v>1</v>
      </c>
      <c r="G409" s="24" t="s">
        <v>2281</v>
      </c>
      <c r="H409" s="42" t="n">
        <f aca="false">BOM_COEF!R430*DEMANDA!F38</f>
        <v>2</v>
      </c>
      <c r="I409" s="42" t="n">
        <f aca="false">BOM_COEF!S430*DEMANDA!G38</f>
        <v>5</v>
      </c>
      <c r="J409" s="42" t="n">
        <f aca="false">BOM_COEF!T430*DEMANDA!H38</f>
        <v>12</v>
      </c>
      <c r="K409" s="42" t="n">
        <f aca="false">BOM_COEF!U430*DEMANDA!I38</f>
        <v>22</v>
      </c>
      <c r="L409" s="42" t="n">
        <f aca="false">BOM_COEF!V430*DEMANDA!J38</f>
        <v>31</v>
      </c>
      <c r="M409" s="42" t="n">
        <f aca="false">BOM_COEF!W430*DEMANDA!K38</f>
        <v>42</v>
      </c>
      <c r="N409" s="42" t="n">
        <f aca="false">BOM_COEF!X430*DEMANDA!L38</f>
        <v>51</v>
      </c>
      <c r="O409" s="42" t="n">
        <f aca="false">BOM_COEF!Y430*DEMANDA!M38</f>
        <v>56</v>
      </c>
      <c r="P409" s="42" t="n">
        <f aca="false">BOM_COEF!Z430*DEMANDA!N38</f>
        <v>61</v>
      </c>
      <c r="Q409" s="42" t="n">
        <f aca="false">BOM_COEF!AA430*DEMANDA!O38</f>
        <v>65</v>
      </c>
      <c r="R409" s="24" t="s">
        <v>3479</v>
      </c>
    </row>
    <row r="410" customFormat="false" ht="15" hidden="false" customHeight="false" outlineLevel="1" collapsed="false">
      <c r="A410" s="24" t="n">
        <v>1</v>
      </c>
      <c r="B410" s="24" t="s">
        <v>1359</v>
      </c>
      <c r="C410" s="40" t="s">
        <v>3481</v>
      </c>
      <c r="D410" s="24" t="s">
        <v>82</v>
      </c>
      <c r="E410" s="24" t="s">
        <v>296</v>
      </c>
      <c r="F410" s="41" t="n">
        <f aca="false">INDEX((BOM_COEF!R445~BOM_COEF!S445~BOM_COEF!T445~BOM_COEF!U445~BOM_COEF!V445~BOM_COEF!W445~BOM_COEF!X445~BOM_COEF!Y445~BOM_COEF!Z445~BOM_COEF!AA445),1,1,INDEX(P_VAL,MATCH("AÑO_DIS",P_ID,0))-2025)</f>
        <v>1</v>
      </c>
      <c r="G410" s="24" t="s">
        <v>2281</v>
      </c>
      <c r="H410" s="42" t="n">
        <f aca="false">BOM_COEF!R445*DEMANDA!F24</f>
        <v>17.63775292</v>
      </c>
      <c r="I410" s="42" t="n">
        <f aca="false">BOM_COEF!S445*DEMANDA!G24</f>
        <v>85.9878194</v>
      </c>
      <c r="J410" s="42" t="n">
        <f aca="false">BOM_COEF!T445*DEMANDA!H24</f>
        <v>186.8695673</v>
      </c>
      <c r="K410" s="42" t="n">
        <f aca="false">BOM_COEF!U445*DEMANDA!I24</f>
        <v>336.5836208</v>
      </c>
      <c r="L410" s="42" t="n">
        <f aca="false">BOM_COEF!V445*DEMANDA!J24</f>
        <v>484.1325977</v>
      </c>
      <c r="M410" s="42" t="n">
        <f aca="false">BOM_COEF!W445*DEMANDA!K24</f>
        <v>643.2203854</v>
      </c>
      <c r="N410" s="42" t="n">
        <f aca="false">BOM_COEF!X445*DEMANDA!L24</f>
        <v>792.4317423</v>
      </c>
      <c r="O410" s="42" t="n">
        <f aca="false">BOM_COEF!Y445*DEMANDA!M24</f>
        <v>889.677707</v>
      </c>
      <c r="P410" s="42" t="n">
        <f aca="false">BOM_COEF!Z445*DEMANDA!N24</f>
        <v>965.3111095</v>
      </c>
      <c r="Q410" s="42" t="n">
        <f aca="false">BOM_COEF!AA445*DEMANDA!O24</f>
        <v>1041.939702</v>
      </c>
      <c r="R410" s="24" t="s">
        <v>3482</v>
      </c>
    </row>
    <row r="411" customFormat="false" ht="15" hidden="false" customHeight="false" outlineLevel="1" collapsed="false">
      <c r="A411" s="24" t="n">
        <v>1</v>
      </c>
      <c r="B411" s="24" t="s">
        <v>1359</v>
      </c>
      <c r="C411" s="40" t="s">
        <v>3483</v>
      </c>
      <c r="D411" s="24" t="s">
        <v>82</v>
      </c>
      <c r="E411" s="24" t="s">
        <v>300</v>
      </c>
      <c r="F411" s="41" t="n">
        <f aca="false">INDEX((BOM_COEF!R460~BOM_COEF!S460~BOM_COEF!T460~BOM_COEF!U460~BOM_COEF!V460~BOM_COEF!W460~BOM_COEF!X460~BOM_COEF!Y460~BOM_COEF!Z460~BOM_COEF!AA460),1,1,INDEX(P_VAL,MATCH("AÑO_DIS",P_ID,0))-2025)</f>
        <v>1</v>
      </c>
      <c r="G411" s="24" t="s">
        <v>2281</v>
      </c>
      <c r="H411" s="42" t="n">
        <f aca="false">BOM_COEF!R460*DEMANDA!F25</f>
        <v>38.80305642</v>
      </c>
      <c r="I411" s="42" t="n">
        <f aca="false">BOM_COEF!S460*DEMANDA!G25</f>
        <v>189.1732027</v>
      </c>
      <c r="J411" s="42" t="n">
        <f aca="false">BOM_COEF!T460*DEMANDA!H25</f>
        <v>411.113048</v>
      </c>
      <c r="K411" s="42" t="n">
        <f aca="false">BOM_COEF!U460*DEMANDA!I25</f>
        <v>740.4839657</v>
      </c>
      <c r="L411" s="42" t="n">
        <f aca="false">BOM_COEF!V460*DEMANDA!J25</f>
        <v>1065.091715</v>
      </c>
      <c r="M411" s="42" t="n">
        <f aca="false">BOM_COEF!W460*DEMANDA!K25</f>
        <v>1415.084848</v>
      </c>
      <c r="N411" s="42" t="n">
        <f aca="false">BOM_COEF!X460*DEMANDA!L25</f>
        <v>1743.349833</v>
      </c>
      <c r="O411" s="42" t="n">
        <f aca="false">BOM_COEF!Y460*DEMANDA!M25</f>
        <v>1957.290955</v>
      </c>
      <c r="P411" s="42" t="n">
        <f aca="false">BOM_COEF!Z460*DEMANDA!N25</f>
        <v>2123.684441</v>
      </c>
      <c r="Q411" s="42" t="n">
        <f aca="false">BOM_COEF!AA460*DEMANDA!O25</f>
        <v>2292.267343</v>
      </c>
      <c r="R411" s="24" t="s">
        <v>3484</v>
      </c>
    </row>
    <row r="412" customFormat="false" ht="15" hidden="false" customHeight="false" outlineLevel="1" collapsed="false">
      <c r="A412" s="24" t="n">
        <v>1</v>
      </c>
      <c r="B412" s="24" t="s">
        <v>1359</v>
      </c>
      <c r="C412" s="40" t="s">
        <v>3485</v>
      </c>
      <c r="D412" s="24" t="s">
        <v>82</v>
      </c>
      <c r="E412" s="24" t="s">
        <v>366</v>
      </c>
      <c r="F412" s="41" t="n">
        <f aca="false">INDEX((BOM_COEF!R460~BOM_COEF!S460~BOM_COEF!T460~BOM_COEF!U460~BOM_COEF!V460~BOM_COEF!W460~BOM_COEF!X460~BOM_COEF!Y460~BOM_COEF!Z460~BOM_COEF!AA460),1,1,INDEX(P_VAL,MATCH("AÑO_DIS",P_ID,0))-2025)</f>
        <v>1</v>
      </c>
      <c r="G412" s="24" t="s">
        <v>2281</v>
      </c>
      <c r="H412" s="42" t="n">
        <f aca="false">BOM_COEF!R460*DEMANDA!F47</f>
        <v>1</v>
      </c>
      <c r="I412" s="42" t="n">
        <f aca="false">BOM_COEF!S460*DEMANDA!G47</f>
        <v>3</v>
      </c>
      <c r="J412" s="42" t="n">
        <f aca="false">BOM_COEF!T460*DEMANDA!H47</f>
        <v>7</v>
      </c>
      <c r="K412" s="42" t="n">
        <f aca="false">BOM_COEF!U460*DEMANDA!I47</f>
        <v>12</v>
      </c>
      <c r="L412" s="42" t="n">
        <f aca="false">BOM_COEF!V460*DEMANDA!J47</f>
        <v>17</v>
      </c>
      <c r="M412" s="42" t="n">
        <f aca="false">BOM_COEF!W460*DEMANDA!K47</f>
        <v>23</v>
      </c>
      <c r="N412" s="42" t="n">
        <f aca="false">BOM_COEF!X460*DEMANDA!L47</f>
        <v>28</v>
      </c>
      <c r="O412" s="42" t="n">
        <f aca="false">BOM_COEF!Y460*DEMANDA!M47</f>
        <v>31</v>
      </c>
      <c r="P412" s="42" t="n">
        <f aca="false">BOM_COEF!Z460*DEMANDA!N47</f>
        <v>34</v>
      </c>
      <c r="Q412" s="42" t="n">
        <f aca="false">BOM_COEF!AA460*DEMANDA!O47</f>
        <v>36</v>
      </c>
      <c r="R412" s="24" t="s">
        <v>3484</v>
      </c>
    </row>
    <row r="413" customFormat="false" ht="15" hidden="false" customHeight="false" outlineLevel="1" collapsed="false">
      <c r="A413" s="24" t="n">
        <v>1</v>
      </c>
      <c r="B413" s="24" t="s">
        <v>1359</v>
      </c>
      <c r="C413" s="40" t="s">
        <v>3486</v>
      </c>
      <c r="D413" s="24" t="s">
        <v>82</v>
      </c>
      <c r="E413" s="24" t="s">
        <v>303</v>
      </c>
      <c r="F413" s="41" t="n">
        <f aca="false">INDEX((BOM_COEF!R475~BOM_COEF!S475~BOM_COEF!T475~BOM_COEF!U475~BOM_COEF!V475~BOM_COEF!W475~BOM_COEF!X475~BOM_COEF!Y475~BOM_COEF!Z475~BOM_COEF!AA475),1,1,INDEX(P_VAL,MATCH("AÑO_DIS",P_ID,0))-2025)</f>
        <v>1</v>
      </c>
      <c r="G413" s="24" t="s">
        <v>2281</v>
      </c>
      <c r="H413" s="42" t="n">
        <f aca="false">BOM_COEF!R475*DEMANDA!F26</f>
        <v>8.466121401</v>
      </c>
      <c r="I413" s="42" t="n">
        <f aca="false">BOM_COEF!S475*DEMANDA!G26</f>
        <v>41.27415331</v>
      </c>
      <c r="J413" s="42" t="n">
        <f aca="false">BOM_COEF!T475*DEMANDA!H26</f>
        <v>89.69739229</v>
      </c>
      <c r="K413" s="42" t="n">
        <f aca="false">BOM_COEF!U475*DEMANDA!I26</f>
        <v>161.560138</v>
      </c>
      <c r="L413" s="42" t="n">
        <f aca="false">BOM_COEF!V475*DEMANDA!J26</f>
        <v>232.3836469</v>
      </c>
      <c r="M413" s="42" t="n">
        <f aca="false">BOM_COEF!W475*DEMANDA!K26</f>
        <v>308.745785</v>
      </c>
      <c r="N413" s="42" t="n">
        <f aca="false">BOM_COEF!X475*DEMANDA!L26</f>
        <v>380.3672363</v>
      </c>
      <c r="O413" s="42" t="n">
        <f aca="false">BOM_COEF!Y475*DEMANDA!M26</f>
        <v>427.0452993</v>
      </c>
      <c r="P413" s="42" t="n">
        <f aca="false">BOM_COEF!Z475*DEMANDA!N26</f>
        <v>463.3493326</v>
      </c>
      <c r="Q413" s="42" t="n">
        <f aca="false">BOM_COEF!AA475*DEMANDA!O26</f>
        <v>500.1310567</v>
      </c>
      <c r="R413" s="24" t="s">
        <v>3487</v>
      </c>
    </row>
    <row r="414" customFormat="false" ht="15" hidden="false" customHeight="false" outlineLevel="1" collapsed="false">
      <c r="A414" s="24" t="n">
        <v>1</v>
      </c>
      <c r="B414" s="24" t="s">
        <v>1359</v>
      </c>
      <c r="C414" s="40" t="s">
        <v>3488</v>
      </c>
      <c r="D414" s="24" t="s">
        <v>82</v>
      </c>
      <c r="E414" s="24" t="s">
        <v>306</v>
      </c>
      <c r="F414" s="41" t="n">
        <f aca="false">INDEX((BOM_COEF!R490~BOM_COEF!S490~BOM_COEF!T490~BOM_COEF!U490~BOM_COEF!V490~BOM_COEF!W490~BOM_COEF!X490~BOM_COEF!Y490~BOM_COEF!Z490~BOM_COEF!AA490),1,1,INDEX(P_VAL,MATCH("AÑO_DIS",P_ID,0))-2025)</f>
        <v>1</v>
      </c>
      <c r="G414" s="24" t="s">
        <v>2281</v>
      </c>
      <c r="H414" s="42" t="n">
        <f aca="false">BOM_COEF!R490*DEMANDA!F27</f>
        <v>5.644080934</v>
      </c>
      <c r="I414" s="42" t="n">
        <f aca="false">BOM_COEF!S490*DEMANDA!G27</f>
        <v>27.51610221</v>
      </c>
      <c r="J414" s="42" t="n">
        <f aca="false">BOM_COEF!T490*DEMANDA!H27</f>
        <v>59.79826153</v>
      </c>
      <c r="K414" s="42" t="n">
        <f aca="false">BOM_COEF!U490*DEMANDA!I27</f>
        <v>107.7067586</v>
      </c>
      <c r="L414" s="42" t="n">
        <f aca="false">BOM_COEF!V490*DEMANDA!J27</f>
        <v>154.9224313</v>
      </c>
      <c r="M414" s="42" t="n">
        <f aca="false">BOM_COEF!W490*DEMANDA!K27</f>
        <v>205.8305233</v>
      </c>
      <c r="N414" s="42" t="n">
        <f aca="false">BOM_COEF!X490*DEMANDA!L27</f>
        <v>253.5781575</v>
      </c>
      <c r="O414" s="42" t="n">
        <f aca="false">BOM_COEF!Y490*DEMANDA!M27</f>
        <v>284.6968662</v>
      </c>
      <c r="P414" s="42" t="n">
        <f aca="false">BOM_COEF!Z490*DEMANDA!N27</f>
        <v>308.899555</v>
      </c>
      <c r="Q414" s="42" t="n">
        <f aca="false">BOM_COEF!AA490*DEMANDA!O27</f>
        <v>333.4207045</v>
      </c>
      <c r="R414" s="24" t="s">
        <v>3489</v>
      </c>
    </row>
    <row r="415" customFormat="false" ht="15" hidden="false" customHeight="false" outlineLevel="1" collapsed="false">
      <c r="A415" s="24" t="n">
        <v>1</v>
      </c>
      <c r="B415" s="24" t="s">
        <v>1359</v>
      </c>
      <c r="C415" s="40" t="s">
        <v>3490</v>
      </c>
      <c r="D415" s="24" t="s">
        <v>82</v>
      </c>
      <c r="E415" s="24" t="s">
        <v>369</v>
      </c>
      <c r="F415" s="41" t="n">
        <f aca="false">INDEX((BOM_COEF!R490~BOM_COEF!S490~BOM_COEF!T490~BOM_COEF!U490~BOM_COEF!V490~BOM_COEF!W490~BOM_COEF!X490~BOM_COEF!Y490~BOM_COEF!Z490~BOM_COEF!AA490),1,1,INDEX(P_VAL,MATCH("AÑO_DIS",P_ID,0))-2025)</f>
        <v>1</v>
      </c>
      <c r="G415" s="24" t="s">
        <v>2281</v>
      </c>
      <c r="H415" s="42" t="n">
        <f aca="false">BOM_COEF!R490*DEMANDA!F48</f>
        <v>1</v>
      </c>
      <c r="I415" s="42" t="n">
        <f aca="false">BOM_COEF!S490*DEMANDA!G48</f>
        <v>1</v>
      </c>
      <c r="J415" s="42" t="n">
        <f aca="false">BOM_COEF!T490*DEMANDA!H48</f>
        <v>2</v>
      </c>
      <c r="K415" s="42" t="n">
        <f aca="false">BOM_COEF!U490*DEMANDA!I48</f>
        <v>3</v>
      </c>
      <c r="L415" s="42" t="n">
        <f aca="false">BOM_COEF!V490*DEMANDA!J48</f>
        <v>5</v>
      </c>
      <c r="M415" s="42" t="n">
        <f aca="false">BOM_COEF!W490*DEMANDA!K48</f>
        <v>6</v>
      </c>
      <c r="N415" s="42" t="n">
        <f aca="false">BOM_COEF!X490*DEMANDA!L48</f>
        <v>7</v>
      </c>
      <c r="O415" s="42" t="n">
        <f aca="false">BOM_COEF!Y490*DEMANDA!M48</f>
        <v>8</v>
      </c>
      <c r="P415" s="42" t="n">
        <f aca="false">BOM_COEF!Z490*DEMANDA!N48</f>
        <v>9</v>
      </c>
      <c r="Q415" s="42" t="n">
        <f aca="false">BOM_COEF!AA490*DEMANDA!O48</f>
        <v>9</v>
      </c>
      <c r="R415" s="24" t="s">
        <v>3489</v>
      </c>
    </row>
    <row r="416" customFormat="false" ht="15" hidden="false" customHeight="false" outlineLevel="1" collapsed="false">
      <c r="A416" s="24" t="n">
        <v>1</v>
      </c>
      <c r="B416" s="24" t="s">
        <v>1359</v>
      </c>
      <c r="C416" s="40" t="s">
        <v>3491</v>
      </c>
      <c r="D416" s="24" t="s">
        <v>82</v>
      </c>
      <c r="E416" s="24" t="s">
        <v>309</v>
      </c>
      <c r="F416" s="41" t="n">
        <f aca="false">INDEX((BOM_COEF!R503~BOM_COEF!S503~BOM_COEF!T503~BOM_COEF!U503~BOM_COEF!V503~BOM_COEF!W503~BOM_COEF!X503~BOM_COEF!Y503~BOM_COEF!Z503~BOM_COEF!AA503),1,1,INDEX(P_VAL,MATCH("AÑO_DIS",P_ID,0))-2025)</f>
        <v>1</v>
      </c>
      <c r="G416" s="24" t="s">
        <v>2281</v>
      </c>
      <c r="H416" s="42" t="n">
        <f aca="false">BOM_COEF!R503*DEMANDA!F28</f>
        <v>159.308736</v>
      </c>
      <c r="I416" s="42" t="n">
        <f aca="false">BOM_COEF!S503*DEMANDA!G28</f>
        <v>643.4235418</v>
      </c>
      <c r="J416" s="42" t="n">
        <f aca="false">BOM_COEF!T503*DEMANDA!H28</f>
        <v>1474.362741</v>
      </c>
      <c r="K416" s="42" t="n">
        <f aca="false">BOM_COEF!U503*DEMANDA!I28</f>
        <v>2766.451205</v>
      </c>
      <c r="L416" s="42" t="n">
        <f aca="false">BOM_COEF!V503*DEMANDA!J28</f>
        <v>3991.465221</v>
      </c>
      <c r="M416" s="42" t="n">
        <f aca="false">BOM_COEF!W503*DEMANDA!K28</f>
        <v>5335.75578</v>
      </c>
      <c r="N416" s="42" t="n">
        <f aca="false">BOM_COEF!X503*DEMANDA!L28</f>
        <v>6538.958887</v>
      </c>
      <c r="O416" s="42" t="n">
        <f aca="false">BOM_COEF!Y503*DEMANDA!M28</f>
        <v>7269.819681</v>
      </c>
      <c r="P416" s="42" t="n">
        <f aca="false">BOM_COEF!Z503*DEMANDA!N28</f>
        <v>7855.44139</v>
      </c>
      <c r="Q416" s="42" t="n">
        <f aca="false">BOM_COEF!AA503*DEMANDA!O28</f>
        <v>8450.814081</v>
      </c>
      <c r="R416" s="24" t="s">
        <v>3492</v>
      </c>
    </row>
    <row r="417" customFormat="false" ht="15" hidden="false" customHeight="false" outlineLevel="1" collapsed="false">
      <c r="A417" s="24" t="n">
        <v>1</v>
      </c>
      <c r="B417" s="24" t="s">
        <v>1359</v>
      </c>
      <c r="C417" s="40" t="s">
        <v>3493</v>
      </c>
      <c r="D417" s="24" t="s">
        <v>82</v>
      </c>
      <c r="E417" s="24" t="s">
        <v>342</v>
      </c>
      <c r="F417" s="41" t="n">
        <f aca="false">INDEX((BOM_COEF!R503~BOM_COEF!S503~BOM_COEF!T503~BOM_COEF!U503~BOM_COEF!V503~BOM_COEF!W503~BOM_COEF!X503~BOM_COEF!Y503~BOM_COEF!Z503~BOM_COEF!AA503),1,1,INDEX(P_VAL,MATCH("AÑO_DIS",P_ID,0))-2025)</f>
        <v>1</v>
      </c>
      <c r="G417" s="24" t="s">
        <v>2281</v>
      </c>
      <c r="H417" s="42" t="n">
        <f aca="false">BOM_COEF!R503*DEMANDA!F39</f>
        <v>2</v>
      </c>
      <c r="I417" s="42" t="n">
        <f aca="false">BOM_COEF!S503*DEMANDA!G39</f>
        <v>7</v>
      </c>
      <c r="J417" s="42" t="n">
        <f aca="false">BOM_COEF!T503*DEMANDA!H39</f>
        <v>16</v>
      </c>
      <c r="K417" s="42" t="n">
        <f aca="false">BOM_COEF!U503*DEMANDA!I39</f>
        <v>30</v>
      </c>
      <c r="L417" s="42" t="n">
        <f aca="false">BOM_COEF!V503*DEMANDA!J39</f>
        <v>44</v>
      </c>
      <c r="M417" s="42" t="n">
        <f aca="false">BOM_COEF!W503*DEMANDA!K39</f>
        <v>58</v>
      </c>
      <c r="N417" s="42" t="n">
        <f aca="false">BOM_COEF!X503*DEMANDA!L39</f>
        <v>71</v>
      </c>
      <c r="O417" s="42" t="n">
        <f aca="false">BOM_COEF!Y503*DEMANDA!M39</f>
        <v>79</v>
      </c>
      <c r="P417" s="42" t="n">
        <f aca="false">BOM_COEF!Z503*DEMANDA!N39</f>
        <v>85</v>
      </c>
      <c r="Q417" s="42" t="n">
        <f aca="false">BOM_COEF!AA503*DEMANDA!O39</f>
        <v>92</v>
      </c>
      <c r="R417" s="24" t="s">
        <v>3492</v>
      </c>
    </row>
    <row r="418" customFormat="false" ht="15" hidden="false" customHeight="false" outlineLevel="1" collapsed="false">
      <c r="A418" s="24" t="n">
        <v>1</v>
      </c>
      <c r="B418" s="24" t="s">
        <v>1359</v>
      </c>
      <c r="C418" s="40" t="s">
        <v>3494</v>
      </c>
      <c r="D418" s="24" t="s">
        <v>82</v>
      </c>
      <c r="E418" s="24" t="s">
        <v>312</v>
      </c>
      <c r="F418" s="41" t="n">
        <f aca="false">INDEX((BOM_COEF!R517~BOM_COEF!S517~BOM_COEF!T517~BOM_COEF!U517~BOM_COEF!V517~BOM_COEF!W517~BOM_COEF!X517~BOM_COEF!Y517~BOM_COEF!Z517~BOM_COEF!AA517),1,1,INDEX(P_VAL,MATCH("AÑO_DIS",P_ID,0))-2025)</f>
        <v>1</v>
      </c>
      <c r="G418" s="24" t="s">
        <v>2281</v>
      </c>
      <c r="H418" s="42" t="n">
        <f aca="false">BOM_COEF!R517*DEMANDA!F29</f>
        <v>22.75839086</v>
      </c>
      <c r="I418" s="42" t="n">
        <f aca="false">BOM_COEF!S517*DEMANDA!G29</f>
        <v>161.315751</v>
      </c>
      <c r="J418" s="42" t="n">
        <f aca="false">BOM_COEF!T517*DEMANDA!H29</f>
        <v>316.6072761</v>
      </c>
      <c r="K418" s="42" t="n">
        <f aca="false">BOM_COEF!U517*DEMANDA!I29</f>
        <v>527.3946199</v>
      </c>
      <c r="L418" s="42" t="n">
        <f aca="false">BOM_COEF!V517*DEMANDA!J29</f>
        <v>743.7889463</v>
      </c>
      <c r="M418" s="42" t="n">
        <f aca="false">BOM_COEF!W517*DEMANDA!K29</f>
        <v>962.8743352</v>
      </c>
      <c r="N418" s="42" t="n">
        <f aca="false">BOM_COEF!X517*DEMANDA!L29</f>
        <v>1194.942207</v>
      </c>
      <c r="O418" s="42" t="n">
        <f aca="false">BOM_COEF!Y517*DEMANDA!M29</f>
        <v>1351.617183</v>
      </c>
      <c r="P418" s="42" t="n">
        <f aca="false">BOM_COEF!Z517*DEMANDA!N29</f>
        <v>1477.54886</v>
      </c>
      <c r="Q418" s="42" t="n">
        <f aca="false">BOM_COEF!AA517*DEMANDA!O29</f>
        <v>1604.441422</v>
      </c>
      <c r="R418" s="24" t="s">
        <v>3495</v>
      </c>
    </row>
    <row r="419" customFormat="false" ht="15" hidden="false" customHeight="false" outlineLevel="1" collapsed="false">
      <c r="A419" s="24" t="n">
        <v>1</v>
      </c>
      <c r="B419" s="24" t="s">
        <v>1359</v>
      </c>
      <c r="C419" s="40" t="s">
        <v>3496</v>
      </c>
      <c r="D419" s="24" t="s">
        <v>82</v>
      </c>
      <c r="E419" s="24" t="s">
        <v>345</v>
      </c>
      <c r="F419" s="41" t="n">
        <f aca="false">INDEX((BOM_COEF!R517~BOM_COEF!S517~BOM_COEF!T517~BOM_COEF!U517~BOM_COEF!V517~BOM_COEF!W517~BOM_COEF!X517~BOM_COEF!Y517~BOM_COEF!Z517~BOM_COEF!AA517),1,1,INDEX(P_VAL,MATCH("AÑO_DIS",P_ID,0))-2025)</f>
        <v>1</v>
      </c>
      <c r="G419" s="24" t="s">
        <v>2281</v>
      </c>
      <c r="H419" s="42" t="n">
        <f aca="false">BOM_COEF!R517*DEMANDA!F40</f>
        <v>1</v>
      </c>
      <c r="I419" s="42" t="n">
        <f aca="false">BOM_COEF!S517*DEMANDA!G40</f>
        <v>2</v>
      </c>
      <c r="J419" s="42" t="n">
        <f aca="false">BOM_COEF!T517*DEMANDA!H40</f>
        <v>4</v>
      </c>
      <c r="K419" s="42" t="n">
        <f aca="false">BOM_COEF!U517*DEMANDA!I40</f>
        <v>6</v>
      </c>
      <c r="L419" s="42" t="n">
        <f aca="false">BOM_COEF!V517*DEMANDA!J40</f>
        <v>9</v>
      </c>
      <c r="M419" s="42" t="n">
        <f aca="false">BOM_COEF!W517*DEMANDA!K40</f>
        <v>11</v>
      </c>
      <c r="N419" s="42" t="n">
        <f aca="false">BOM_COEF!X517*DEMANDA!L40</f>
        <v>13</v>
      </c>
      <c r="O419" s="42" t="n">
        <f aca="false">BOM_COEF!Y517*DEMANDA!M40</f>
        <v>15</v>
      </c>
      <c r="P419" s="42" t="n">
        <f aca="false">BOM_COEF!Z517*DEMANDA!N40</f>
        <v>16</v>
      </c>
      <c r="Q419" s="42" t="n">
        <f aca="false">BOM_COEF!AA517*DEMANDA!O40</f>
        <v>18</v>
      </c>
      <c r="R419" s="24" t="s">
        <v>3495</v>
      </c>
    </row>
    <row r="420" customFormat="false" ht="15" hidden="false" customHeight="false" outlineLevel="1" collapsed="false">
      <c r="A420" s="24" t="n">
        <v>1</v>
      </c>
      <c r="B420" s="24" t="s">
        <v>1359</v>
      </c>
      <c r="C420" s="40" t="s">
        <v>3497</v>
      </c>
      <c r="D420" s="24" t="s">
        <v>82</v>
      </c>
      <c r="E420" s="24" t="s">
        <v>315</v>
      </c>
      <c r="F420" s="41" t="n">
        <f aca="false">INDEX((BOM_COEF!R531~BOM_COEF!S531~BOM_COEF!T531~BOM_COEF!U531~BOM_COEF!V531~BOM_COEF!W531~BOM_COEF!X531~BOM_COEF!Y531~BOM_COEF!Z531~BOM_COEF!AA531),1,1,INDEX(P_VAL,MATCH("AÑO_DIS",P_ID,0))-2025)</f>
        <v>1</v>
      </c>
      <c r="G420" s="24" t="s">
        <v>2281</v>
      </c>
      <c r="H420" s="42" t="n">
        <f aca="false">BOM_COEF!R531*DEMANDA!F30</f>
        <v>11.37919543</v>
      </c>
      <c r="I420" s="42" t="n">
        <f aca="false">BOM_COEF!S531*DEMANDA!G30</f>
        <v>83.22351964</v>
      </c>
      <c r="J420" s="42" t="n">
        <f aca="false">BOM_COEF!T531*DEMANDA!H30</f>
        <v>164.4638337</v>
      </c>
      <c r="K420" s="42" t="n">
        <f aca="false">BOM_COEF!U531*DEMANDA!I30</f>
        <v>281.3411453</v>
      </c>
      <c r="L420" s="42" t="n">
        <f aca="false">BOM_COEF!V531*DEMANDA!J30</f>
        <v>398.9025091</v>
      </c>
      <c r="M420" s="42" t="n">
        <f aca="false">BOM_COEF!W531*DEMANDA!K30</f>
        <v>514.5272844</v>
      </c>
      <c r="N420" s="42" t="n">
        <f aca="false">BOM_COEF!X531*DEMANDA!L30</f>
        <v>629.0655051</v>
      </c>
      <c r="O420" s="42" t="n">
        <f aca="false">BOM_COEF!Y531*DEMANDA!M30</f>
        <v>711.1780237</v>
      </c>
      <c r="P420" s="42" t="n">
        <f aca="false">BOM_COEF!Z531*DEMANDA!N30</f>
        <v>773.4109798</v>
      </c>
      <c r="Q420" s="42" t="n">
        <f aca="false">BOM_COEF!AA531*DEMANDA!O30</f>
        <v>836.3508051</v>
      </c>
      <c r="R420" s="24" t="s">
        <v>3498</v>
      </c>
    </row>
    <row r="421" customFormat="false" ht="15" hidden="false" customHeight="false" outlineLevel="1" collapsed="false">
      <c r="A421" s="24" t="n">
        <v>1</v>
      </c>
      <c r="B421" s="24" t="s">
        <v>1359</v>
      </c>
      <c r="C421" s="40" t="s">
        <v>3499</v>
      </c>
      <c r="D421" s="24" t="s">
        <v>82</v>
      </c>
      <c r="E421" s="24" t="s">
        <v>348</v>
      </c>
      <c r="F421" s="41" t="n">
        <f aca="false">INDEX((BOM_COEF!R531~BOM_COEF!S531~BOM_COEF!T531~BOM_COEF!U531~BOM_COEF!V531~BOM_COEF!W531~BOM_COEF!X531~BOM_COEF!Y531~BOM_COEF!Z531~BOM_COEF!AA531),1,1,INDEX(P_VAL,MATCH("AÑO_DIS",P_ID,0))-2025)</f>
        <v>1</v>
      </c>
      <c r="G421" s="24" t="s">
        <v>2281</v>
      </c>
      <c r="H421" s="42" t="n">
        <f aca="false">BOM_COEF!R531*DEMANDA!F41</f>
        <v>1</v>
      </c>
      <c r="I421" s="42" t="n">
        <f aca="false">BOM_COEF!S531*DEMANDA!G41</f>
        <v>1</v>
      </c>
      <c r="J421" s="42" t="n">
        <f aca="false">BOM_COEF!T531*DEMANDA!H41</f>
        <v>2</v>
      </c>
      <c r="K421" s="42" t="n">
        <f aca="false">BOM_COEF!U531*DEMANDA!I41</f>
        <v>4</v>
      </c>
      <c r="L421" s="42" t="n">
        <f aca="false">BOM_COEF!V531*DEMANDA!J41</f>
        <v>5</v>
      </c>
      <c r="M421" s="42" t="n">
        <f aca="false">BOM_COEF!W531*DEMANDA!K41</f>
        <v>6</v>
      </c>
      <c r="N421" s="42" t="n">
        <f aca="false">BOM_COEF!X531*DEMANDA!L41</f>
        <v>7</v>
      </c>
      <c r="O421" s="42" t="n">
        <f aca="false">BOM_COEF!Y531*DEMANDA!M41</f>
        <v>8</v>
      </c>
      <c r="P421" s="42" t="n">
        <f aca="false">BOM_COEF!Z531*DEMANDA!N41</f>
        <v>9</v>
      </c>
      <c r="Q421" s="42" t="n">
        <f aca="false">BOM_COEF!AA531*DEMANDA!O41</f>
        <v>10</v>
      </c>
      <c r="R421" s="24" t="s">
        <v>3498</v>
      </c>
    </row>
    <row r="422" customFormat="false" ht="15" hidden="false" customHeight="false" outlineLevel="1" collapsed="false">
      <c r="A422" s="24" t="n">
        <v>1</v>
      </c>
      <c r="B422" s="24" t="s">
        <v>1359</v>
      </c>
      <c r="C422" s="40" t="s">
        <v>3500</v>
      </c>
      <c r="D422" s="24" t="s">
        <v>82</v>
      </c>
      <c r="E422" s="24" t="s">
        <v>318</v>
      </c>
      <c r="F422" s="41" t="n">
        <f aca="false">INDEX((BOM_COEF!R546~BOM_COEF!S546~BOM_COEF!T546~BOM_COEF!U546~BOM_COEF!V546~BOM_COEF!W546~BOM_COEF!X546~BOM_COEF!Y546~BOM_COEF!Z546~BOM_COEF!AA546),1,1,INDEX(P_VAL,MATCH("AÑO_DIS",P_ID,0))-2025)</f>
        <v>1</v>
      </c>
      <c r="G422" s="24" t="s">
        <v>2281</v>
      </c>
      <c r="H422" s="42" t="n">
        <f aca="false">BOM_COEF!R546*DEMANDA!F31</f>
        <v>6.827517259</v>
      </c>
      <c r="I422" s="42" t="n">
        <f aca="false">BOM_COEF!S546*DEMANDA!G31</f>
        <v>47.07311209</v>
      </c>
      <c r="J422" s="42" t="n">
        <f aca="false">BOM_COEF!T546*DEMANDA!H31</f>
        <v>88.88967623</v>
      </c>
      <c r="K422" s="42" t="n">
        <f aca="false">BOM_COEF!U546*DEMANDA!I31</f>
        <v>159.5024913</v>
      </c>
      <c r="L422" s="42" t="n">
        <f aca="false">BOM_COEF!V546*DEMANDA!J31</f>
        <v>219.7962019</v>
      </c>
      <c r="M422" s="42" t="n">
        <f aca="false">BOM_COEF!W546*DEMANDA!K31</f>
        <v>291.8698531</v>
      </c>
      <c r="N422" s="42" t="n">
        <f aca="false">BOM_COEF!X546*DEMANDA!L31</f>
        <v>368.8441692</v>
      </c>
      <c r="O422" s="42" t="n">
        <f aca="false">BOM_COEF!Y546*DEMANDA!M31</f>
        <v>408.4089531</v>
      </c>
      <c r="P422" s="42" t="n">
        <f aca="false">BOM_COEF!Z546*DEMANDA!N31</f>
        <v>445.7819443</v>
      </c>
      <c r="Q422" s="42" t="n">
        <f aca="false">BOM_COEF!AA546*DEMANDA!O31</f>
        <v>483.4792034</v>
      </c>
      <c r="R422" s="24" t="s">
        <v>3501</v>
      </c>
    </row>
    <row r="423" customFormat="false" ht="15" hidden="false" customHeight="false" outlineLevel="1" collapsed="false">
      <c r="A423" s="24" t="n">
        <v>1</v>
      </c>
      <c r="B423" s="24" t="s">
        <v>1359</v>
      </c>
      <c r="C423" s="40" t="s">
        <v>3502</v>
      </c>
      <c r="D423" s="24" t="s">
        <v>82</v>
      </c>
      <c r="E423" s="24" t="s">
        <v>351</v>
      </c>
      <c r="F423" s="41" t="n">
        <f aca="false">INDEX((BOM_COEF!R546~BOM_COEF!S546~BOM_COEF!T546~BOM_COEF!U546~BOM_COEF!V546~BOM_COEF!W546~BOM_COEF!X546~BOM_COEF!Y546~BOM_COEF!Z546~BOM_COEF!AA546),1,1,INDEX(P_VAL,MATCH("AÑO_DIS",P_ID,0))-2025)</f>
        <v>1</v>
      </c>
      <c r="G423" s="24" t="s">
        <v>2281</v>
      </c>
      <c r="H423" s="42" t="n">
        <f aca="false">BOM_COEF!R546*DEMANDA!F42</f>
        <v>1</v>
      </c>
      <c r="I423" s="42" t="n">
        <f aca="false">BOM_COEF!S546*DEMANDA!G42</f>
        <v>1</v>
      </c>
      <c r="J423" s="42" t="n">
        <f aca="false">BOM_COEF!T546*DEMANDA!H42</f>
        <v>1</v>
      </c>
      <c r="K423" s="42" t="n">
        <f aca="false">BOM_COEF!U546*DEMANDA!I42</f>
        <v>2</v>
      </c>
      <c r="L423" s="42" t="n">
        <f aca="false">BOM_COEF!V546*DEMANDA!J42</f>
        <v>3</v>
      </c>
      <c r="M423" s="42" t="n">
        <f aca="false">BOM_COEF!W546*DEMANDA!K42</f>
        <v>4</v>
      </c>
      <c r="N423" s="42" t="n">
        <f aca="false">BOM_COEF!X546*DEMANDA!L42</f>
        <v>4</v>
      </c>
      <c r="O423" s="42" t="n">
        <f aca="false">BOM_COEF!Y546*DEMANDA!M42</f>
        <v>5</v>
      </c>
      <c r="P423" s="42" t="n">
        <f aca="false">BOM_COEF!Z546*DEMANDA!N42</f>
        <v>5</v>
      </c>
      <c r="Q423" s="42" t="n">
        <f aca="false">BOM_COEF!AA546*DEMANDA!O42</f>
        <v>6</v>
      </c>
      <c r="R423" s="24" t="s">
        <v>3501</v>
      </c>
    </row>
    <row r="424" customFormat="false" ht="15" hidden="false" customHeight="false" outlineLevel="1" collapsed="false">
      <c r="A424" s="24" t="n">
        <v>1</v>
      </c>
      <c r="B424" s="24" t="s">
        <v>1359</v>
      </c>
      <c r="C424" s="40" t="s">
        <v>3503</v>
      </c>
      <c r="D424" s="24" t="s">
        <v>82</v>
      </c>
      <c r="E424" s="24" t="s">
        <v>321</v>
      </c>
      <c r="F424" s="41" t="n">
        <f aca="false">INDEX((BOM_COEF!R558~BOM_COEF!S558~BOM_COEF!T558~BOM_COEF!U558~BOM_COEF!V558~BOM_COEF!W558~BOM_COEF!X558~BOM_COEF!Y558~BOM_COEF!Z558~BOM_COEF!AA558),1,1,INDEX(P_VAL,MATCH("AÑO_DIS",P_ID,0))-2025)</f>
        <v>1</v>
      </c>
      <c r="G424" s="24" t="s">
        <v>2281</v>
      </c>
      <c r="H424" s="42" t="n">
        <f aca="false">BOM_COEF!R558*DEMANDA!F32</f>
        <v>81.93020711</v>
      </c>
      <c r="I424" s="42" t="n">
        <f aca="false">BOM_COEF!S558*DEMANDA!G32</f>
        <v>335.3988553</v>
      </c>
      <c r="J424" s="42" t="n">
        <f aca="false">BOM_COEF!T558*DEMANDA!H32</f>
        <v>746.5983521</v>
      </c>
      <c r="K424" s="42" t="n">
        <f aca="false">BOM_COEF!U558*DEMANDA!I32</f>
        <v>1358.899837</v>
      </c>
      <c r="L424" s="42" t="n">
        <f aca="false">BOM_COEF!V558*DEMANDA!J32</f>
        <v>1961.125522</v>
      </c>
      <c r="M424" s="42" t="n">
        <f aca="false">BOM_COEF!W558*DEMANDA!K32</f>
        <v>2598.541412</v>
      </c>
      <c r="N424" s="42" t="n">
        <f aca="false">BOM_COEF!X558*DEMANDA!L32</f>
        <v>3197.263477</v>
      </c>
      <c r="O424" s="42" t="n">
        <f aca="false">BOM_COEF!Y558*DEMANDA!M32</f>
        <v>3578.539452</v>
      </c>
      <c r="P424" s="42" t="n">
        <f aca="false">BOM_COEF!Z558*DEMANDA!N32</f>
        <v>3870.747997</v>
      </c>
      <c r="Q424" s="42" t="n">
        <f aca="false">BOM_COEF!AA558*DEMANDA!O32</f>
        <v>4167.559622</v>
      </c>
      <c r="R424" s="24" t="s">
        <v>3504</v>
      </c>
    </row>
    <row r="425" customFormat="false" ht="15" hidden="false" customHeight="false" outlineLevel="1" collapsed="false">
      <c r="A425" s="24" t="n">
        <v>1</v>
      </c>
      <c r="B425" s="24" t="s">
        <v>1359</v>
      </c>
      <c r="C425" s="40" t="s">
        <v>3505</v>
      </c>
      <c r="D425" s="24" t="s">
        <v>82</v>
      </c>
      <c r="E425" s="24" t="s">
        <v>354</v>
      </c>
      <c r="F425" s="41" t="n">
        <f aca="false">INDEX((BOM_COEF!R558~BOM_COEF!S558~BOM_COEF!T558~BOM_COEF!U558~BOM_COEF!V558~BOM_COEF!W558~BOM_COEF!X558~BOM_COEF!Y558~BOM_COEF!Z558~BOM_COEF!AA558),1,1,INDEX(P_VAL,MATCH("AÑO_DIS",P_ID,0))-2025)</f>
        <v>1</v>
      </c>
      <c r="G425" s="24" t="s">
        <v>2281</v>
      </c>
      <c r="H425" s="42" t="n">
        <f aca="false">BOM_COEF!R558*DEMANDA!F43</f>
        <v>1</v>
      </c>
      <c r="I425" s="42" t="n">
        <f aca="false">BOM_COEF!S558*DEMANDA!G43</f>
        <v>4</v>
      </c>
      <c r="J425" s="42" t="n">
        <f aca="false">BOM_COEF!T558*DEMANDA!H43</f>
        <v>9</v>
      </c>
      <c r="K425" s="42" t="n">
        <f aca="false">BOM_COEF!U558*DEMANDA!I43</f>
        <v>15</v>
      </c>
      <c r="L425" s="42" t="n">
        <f aca="false">BOM_COEF!V558*DEMANDA!J43</f>
        <v>22</v>
      </c>
      <c r="M425" s="42" t="n">
        <f aca="false">BOM_COEF!W558*DEMANDA!K43</f>
        <v>29</v>
      </c>
      <c r="N425" s="42" t="n">
        <f aca="false">BOM_COEF!X558*DEMANDA!L43</f>
        <v>35</v>
      </c>
      <c r="O425" s="42" t="n">
        <f aca="false">BOM_COEF!Y558*DEMANDA!M43</f>
        <v>39</v>
      </c>
      <c r="P425" s="42" t="n">
        <f aca="false">BOM_COEF!Z558*DEMANDA!N43</f>
        <v>42</v>
      </c>
      <c r="Q425" s="42" t="n">
        <f aca="false">BOM_COEF!AA558*DEMANDA!O43</f>
        <v>45</v>
      </c>
      <c r="R425" s="24" t="s">
        <v>3504</v>
      </c>
    </row>
    <row r="426" customFormat="false" ht="15" hidden="false" customHeight="false" outlineLevel="1" collapsed="false">
      <c r="A426" s="24" t="n">
        <v>1</v>
      </c>
      <c r="B426" s="24" t="s">
        <v>1359</v>
      </c>
      <c r="C426" s="40" t="s">
        <v>3506</v>
      </c>
      <c r="D426" s="24" t="s">
        <v>82</v>
      </c>
      <c r="E426" s="24" t="s">
        <v>324</v>
      </c>
      <c r="F426" s="41" t="n">
        <f aca="false">INDEX((BOM_COEF!R573~BOM_COEF!S573~BOM_COEF!T573~BOM_COEF!U573~BOM_COEF!V573~BOM_COEF!W573~BOM_COEF!X573~BOM_COEF!Y573~BOM_COEF!Z573~BOM_COEF!AA573),1,1,INDEX(P_VAL,MATCH("AÑO_DIS",P_ID,0))-2025)</f>
        <v>0.2</v>
      </c>
      <c r="G426" s="24" t="s">
        <v>2281</v>
      </c>
      <c r="H426" s="42" t="n">
        <f aca="false">BOM_COEF!R573*DEMANDA!F33</f>
        <v>90.12322782</v>
      </c>
      <c r="I426" s="42" t="n">
        <f aca="false">BOM_COEF!S573*DEMANDA!G33</f>
        <v>339.436298</v>
      </c>
      <c r="J426" s="42" t="n">
        <f aca="false">BOM_COEF!T573*DEMANDA!H33</f>
        <v>791.0393716</v>
      </c>
      <c r="K426" s="42" t="n">
        <f aca="false">BOM_COEF!U573*DEMANDA!I33</f>
        <v>1512.252066</v>
      </c>
      <c r="L426" s="42" t="n">
        <f aca="false">BOM_COEF!V573*DEMANDA!J33</f>
        <v>2184.028962</v>
      </c>
      <c r="M426" s="42" t="n">
        <f aca="false">BOM_COEF!W573*DEMANDA!K33</f>
        <v>2902.977044</v>
      </c>
      <c r="N426" s="42" t="n">
        <f aca="false">BOM_COEF!X573*DEMANDA!L33</f>
        <v>3549.299854</v>
      </c>
      <c r="O426" s="42" t="n">
        <f aca="false">BOM_COEF!Y573*DEMANDA!M33</f>
        <v>3923.441092</v>
      </c>
      <c r="P426" s="42" t="n">
        <f aca="false">BOM_COEF!Z573*DEMANDA!N33</f>
        <v>4232.36125</v>
      </c>
      <c r="Q426" s="42" t="n">
        <f aca="false">BOM_COEF!AA573*DEMANDA!O33</f>
        <v>4546.900342</v>
      </c>
      <c r="R426" s="24" t="s">
        <v>3507</v>
      </c>
    </row>
    <row r="427" customFormat="false" ht="15" hidden="false" customHeight="false" outlineLevel="1" collapsed="false">
      <c r="A427" s="24" t="n">
        <v>1</v>
      </c>
      <c r="B427" s="24" t="s">
        <v>1359</v>
      </c>
      <c r="C427" s="40" t="s">
        <v>3508</v>
      </c>
      <c r="D427" s="24" t="s">
        <v>82</v>
      </c>
      <c r="E427" s="24" t="s">
        <v>327</v>
      </c>
      <c r="F427" s="41" t="n">
        <f aca="false">INDEX((BOM_COEF!R584~BOM_COEF!S584~BOM_COEF!T584~BOM_COEF!U584~BOM_COEF!V584~BOM_COEF!W584~BOM_COEF!X584~BOM_COEF!Y584~BOM_COEF!Z584~BOM_COEF!AA584),1,1,INDEX(P_VAL,MATCH("AÑO_DIS",P_ID,0))-2025)</f>
        <v>0.2</v>
      </c>
      <c r="G427" s="24" t="s">
        <v>2281</v>
      </c>
      <c r="H427" s="42" t="n">
        <f aca="false">BOM_COEF!R584*DEMANDA!F34</f>
        <v>25.03422994</v>
      </c>
      <c r="I427" s="42" t="n">
        <f aca="false">BOM_COEF!S584*DEMANDA!G34</f>
        <v>128.72607416</v>
      </c>
      <c r="J427" s="42" t="n">
        <f aca="false">BOM_COEF!T584*DEMANDA!H34</f>
        <v>275.1253438</v>
      </c>
      <c r="K427" s="42" t="n">
        <f aca="false">BOM_COEF!U584*DEMANDA!I34</f>
        <v>492.056853</v>
      </c>
      <c r="L427" s="42" t="n">
        <f aca="false">BOM_COEF!V584*DEMANDA!J34</f>
        <v>709.0515366</v>
      </c>
      <c r="M427" s="42" t="n">
        <f aca="false">BOM_COEF!W584*DEMANDA!K34</f>
        <v>944.6923568</v>
      </c>
      <c r="N427" s="42" t="n">
        <f aca="false">BOM_COEF!X584*DEMANDA!L34</f>
        <v>1170.7810356</v>
      </c>
      <c r="O427" s="42" t="n">
        <f aca="false">BOM_COEF!Y584*DEMANDA!M34</f>
        <v>1321.6919818</v>
      </c>
      <c r="P427" s="42" t="n">
        <f aca="false">BOM_COEF!Z584*DEMANDA!N34</f>
        <v>1437.1416794</v>
      </c>
      <c r="Q427" s="42" t="n">
        <f aca="false">BOM_COEF!AA584*DEMANDA!O34</f>
        <v>1553.9154254</v>
      </c>
      <c r="R427" s="24" t="s">
        <v>3509</v>
      </c>
    </row>
    <row r="428" customFormat="false" ht="15" hidden="false" customHeight="false" outlineLevel="1" collapsed="false">
      <c r="A428" s="24" t="n">
        <v>1</v>
      </c>
      <c r="B428" s="24" t="s">
        <v>1359</v>
      </c>
      <c r="C428" s="40" t="s">
        <v>3510</v>
      </c>
      <c r="D428" s="24" t="s">
        <v>82</v>
      </c>
      <c r="E428" s="24" t="s">
        <v>357</v>
      </c>
      <c r="F428" s="41" t="n">
        <f aca="false">INDEX((BOM_COEF!R584~BOM_COEF!S584~BOM_COEF!T584~BOM_COEF!U584~BOM_COEF!V584~BOM_COEF!W584~BOM_COEF!X584~BOM_COEF!Y584~BOM_COEF!Z584~BOM_COEF!AA584),1,1,INDEX(P_VAL,MATCH("AÑO_DIS",P_ID,0))-2025)</f>
        <v>0.2</v>
      </c>
      <c r="G428" s="24" t="s">
        <v>2281</v>
      </c>
      <c r="H428" s="42" t="n">
        <f aca="false">BOM_COEF!R584*DEMANDA!F44</f>
        <v>1.4</v>
      </c>
      <c r="I428" s="42" t="n">
        <f aca="false">BOM_COEF!S584*DEMANDA!G44</f>
        <v>5.2</v>
      </c>
      <c r="J428" s="42" t="n">
        <f aca="false">BOM_COEF!T584*DEMANDA!H44</f>
        <v>11.6</v>
      </c>
      <c r="K428" s="42" t="n">
        <f aca="false">BOM_COEF!U584*DEMANDA!I44</f>
        <v>21.8</v>
      </c>
      <c r="L428" s="42" t="n">
        <f aca="false">BOM_COEF!V584*DEMANDA!J44</f>
        <v>31.2</v>
      </c>
      <c r="M428" s="42" t="n">
        <f aca="false">BOM_COEF!W584*DEMANDA!K44</f>
        <v>41.6</v>
      </c>
      <c r="N428" s="42" t="n">
        <f aca="false">BOM_COEF!X584*DEMANDA!L44</f>
        <v>51</v>
      </c>
      <c r="O428" s="42" t="n">
        <f aca="false">BOM_COEF!Y584*DEMANDA!M44</f>
        <v>56.6</v>
      </c>
      <c r="P428" s="42" t="n">
        <f aca="false">BOM_COEF!Z584*DEMANDA!N44</f>
        <v>61.2</v>
      </c>
      <c r="Q428" s="42" t="n">
        <f aca="false">BOM_COEF!AA584*DEMANDA!O44</f>
        <v>66</v>
      </c>
      <c r="R428" s="24" t="s">
        <v>3509</v>
      </c>
    </row>
    <row r="429" customFormat="false" ht="15" hidden="false" customHeight="false" outlineLevel="1" collapsed="false">
      <c r="A429" s="24" t="n">
        <v>1</v>
      </c>
      <c r="B429" s="24" t="s">
        <v>1359</v>
      </c>
      <c r="C429" s="40" t="s">
        <v>3511</v>
      </c>
      <c r="D429" s="24" t="s">
        <v>82</v>
      </c>
      <c r="E429" s="24" t="s">
        <v>330</v>
      </c>
      <c r="F429" s="41" t="n">
        <f aca="false">INDEX((BOM_COEF!R591~BOM_COEF!S591~BOM_COEF!T591~BOM_COEF!U591~BOM_COEF!V591~BOM_COEF!W591~BOM_COEF!X591~BOM_COEF!Y591~BOM_COEF!Z591~BOM_COEF!AA591),1,1,INDEX(P_VAL,MATCH("AÑO_DIS",P_ID,0))-2025)</f>
        <v>1</v>
      </c>
      <c r="G429" s="24" t="s">
        <v>2281</v>
      </c>
      <c r="H429" s="42" t="n">
        <f aca="false">BOM_COEF!R591*DEMANDA!F35</f>
        <v>18.20671269</v>
      </c>
      <c r="I429" s="42" t="n">
        <f aca="false">BOM_COEF!S591*DEMANDA!G35</f>
        <v>112.0751219</v>
      </c>
      <c r="J429" s="42" t="n">
        <f aca="false">BOM_COEF!T591*DEMANDA!H35</f>
        <v>230.8540412</v>
      </c>
      <c r="K429" s="42" t="n">
        <f aca="false">BOM_COEF!U591*DEMANDA!I35</f>
        <v>400.7153345</v>
      </c>
      <c r="L429" s="42" t="n">
        <f aca="false">BOM_COEF!V591*DEMANDA!J35</f>
        <v>574.5077895</v>
      </c>
      <c r="M429" s="42" t="n">
        <f aca="false">BOM_COEF!W591*DEMANDA!K35</f>
        <v>754.3456228</v>
      </c>
      <c r="N429" s="42" t="n">
        <f aca="false">BOM_COEF!X591*DEMANDA!L35</f>
        <v>944.8488404</v>
      </c>
      <c r="O429" s="42" t="n">
        <f aca="false">BOM_COEF!Y591*DEMANDA!M35</f>
        <v>1072.234671</v>
      </c>
      <c r="P429" s="42" t="n">
        <f aca="false">BOM_COEF!Z591*DEMANDA!N35</f>
        <v>1171.695753</v>
      </c>
      <c r="Q429" s="42" t="n">
        <f aca="false">BOM_COEF!AA591*DEMANDA!O35</f>
        <v>1271.941099</v>
      </c>
      <c r="R429" s="24" t="s">
        <v>3512</v>
      </c>
    </row>
    <row r="430" customFormat="false" ht="15" hidden="false" customHeight="false" outlineLevel="1" collapsed="false">
      <c r="A430" s="24" t="n">
        <v>1</v>
      </c>
      <c r="B430" s="24" t="s">
        <v>1359</v>
      </c>
      <c r="C430" s="40" t="s">
        <v>3513</v>
      </c>
      <c r="D430" s="24" t="s">
        <v>82</v>
      </c>
      <c r="E430" s="24" t="s">
        <v>360</v>
      </c>
      <c r="F430" s="41" t="n">
        <f aca="false">INDEX((BOM_COEF!R591~BOM_COEF!S591~BOM_COEF!T591~BOM_COEF!U591~BOM_COEF!V591~BOM_COEF!W591~BOM_COEF!X591~BOM_COEF!Y591~BOM_COEF!Z591~BOM_COEF!AA591),1,1,INDEX(P_VAL,MATCH("AÑO_DIS",P_ID,0))-2025)</f>
        <v>1</v>
      </c>
      <c r="G430" s="24" t="s">
        <v>2281</v>
      </c>
      <c r="H430" s="42" t="n">
        <f aca="false">BOM_COEF!R591*DEMANDA!F45</f>
        <v>1</v>
      </c>
      <c r="I430" s="42" t="n">
        <f aca="false">BOM_COEF!S591*DEMANDA!G45</f>
        <v>2</v>
      </c>
      <c r="J430" s="42" t="n">
        <f aca="false">BOM_COEF!T591*DEMANDA!H45</f>
        <v>3</v>
      </c>
      <c r="K430" s="42" t="n">
        <f aca="false">BOM_COEF!U591*DEMANDA!I45</f>
        <v>5</v>
      </c>
      <c r="L430" s="42" t="n">
        <f aca="false">BOM_COEF!V591*DEMANDA!J45</f>
        <v>7</v>
      </c>
      <c r="M430" s="42" t="n">
        <f aca="false">BOM_COEF!W591*DEMANDA!K45</f>
        <v>9</v>
      </c>
      <c r="N430" s="42" t="n">
        <f aca="false">BOM_COEF!X591*DEMANDA!L45</f>
        <v>11</v>
      </c>
      <c r="O430" s="42" t="n">
        <f aca="false">BOM_COEF!Y591*DEMANDA!M45</f>
        <v>12</v>
      </c>
      <c r="P430" s="42" t="n">
        <f aca="false">BOM_COEF!Z591*DEMANDA!N45</f>
        <v>13</v>
      </c>
      <c r="Q430" s="42" t="n">
        <f aca="false">BOM_COEF!AA591*DEMANDA!O45</f>
        <v>14</v>
      </c>
      <c r="R430" s="24" t="s">
        <v>3512</v>
      </c>
    </row>
    <row r="431" customFormat="false" ht="15" hidden="false" customHeight="false" outlineLevel="1" collapsed="false">
      <c r="A431" s="24" t="n">
        <v>1</v>
      </c>
      <c r="B431" s="24" t="s">
        <v>1359</v>
      </c>
      <c r="C431" s="40" t="s">
        <v>3514</v>
      </c>
      <c r="D431" s="24" t="s">
        <v>82</v>
      </c>
      <c r="E431" s="24" t="s">
        <v>333</v>
      </c>
      <c r="F431" s="41" t="n">
        <f aca="false">INDEX((BOM_COEF!R603~BOM_COEF!S603~BOM_COEF!T603~BOM_COEF!U603~BOM_COEF!V603~BOM_COEF!W603~BOM_COEF!X603~BOM_COEF!Y603~BOM_COEF!Z603~BOM_COEF!AA603),1,1,INDEX(P_VAL,MATCH("AÑO_DIS",P_ID,0))-2025)</f>
        <v>1</v>
      </c>
      <c r="G431" s="24" t="s">
        <v>2281</v>
      </c>
      <c r="H431" s="42" t="n">
        <f aca="false">BOM_COEF!R603*DEMANDA!F36</f>
        <v>6.827517259</v>
      </c>
      <c r="I431" s="42" t="n">
        <f aca="false">BOM_COEF!S603*DEMANDA!G36</f>
        <v>47.07311209</v>
      </c>
      <c r="J431" s="42" t="n">
        <f aca="false">BOM_COEF!T603*DEMANDA!H36</f>
        <v>88.88967623</v>
      </c>
      <c r="K431" s="42" t="n">
        <f aca="false">BOM_COEF!U603*DEMANDA!I36</f>
        <v>148.2791824</v>
      </c>
      <c r="L431" s="42" t="n">
        <f aca="false">BOM_COEF!V603*DEMANDA!J36</f>
        <v>205.2260532</v>
      </c>
      <c r="M431" s="42" t="n">
        <f aca="false">BOM_COEF!W603*DEMANDA!K36</f>
        <v>255.765145</v>
      </c>
      <c r="N431" s="42" t="n">
        <f aca="false">BOM_COEF!X603*DEMANDA!L36</f>
        <v>328.4179018</v>
      </c>
      <c r="O431" s="42" t="n">
        <f aca="false">BOM_COEF!Y603*DEMANDA!M36</f>
        <v>366.9080713</v>
      </c>
      <c r="P431" s="42" t="n">
        <f aca="false">BOM_COEF!Z603*DEMANDA!N36</f>
        <v>401.6817071</v>
      </c>
      <c r="Q431" s="42" t="n">
        <f aca="false">BOM_COEF!AA603*DEMANDA!O36</f>
        <v>436.6867823</v>
      </c>
      <c r="R431" s="24" t="s">
        <v>3515</v>
      </c>
    </row>
    <row r="432" customFormat="false" ht="15" hidden="false" customHeight="false" outlineLevel="1" collapsed="false">
      <c r="A432" s="24" t="n">
        <v>1</v>
      </c>
      <c r="B432" s="24" t="s">
        <v>1359</v>
      </c>
      <c r="C432" s="40" t="s">
        <v>3516</v>
      </c>
      <c r="D432" s="24" t="s">
        <v>82</v>
      </c>
      <c r="E432" s="24" t="s">
        <v>363</v>
      </c>
      <c r="F432" s="41" t="n">
        <f aca="false">INDEX((BOM_COEF!R603~BOM_COEF!S603~BOM_COEF!T603~BOM_COEF!U603~BOM_COEF!V603~BOM_COEF!W603~BOM_COEF!X603~BOM_COEF!Y603~BOM_COEF!Z603~BOM_COEF!AA603),1,1,INDEX(P_VAL,MATCH("AÑO_DIS",P_ID,0))-2025)</f>
        <v>1</v>
      </c>
      <c r="G432" s="24" t="s">
        <v>2281</v>
      </c>
      <c r="H432" s="42" t="n">
        <f aca="false">BOM_COEF!R603*DEMANDA!F46</f>
        <v>1</v>
      </c>
      <c r="I432" s="42" t="n">
        <f aca="false">BOM_COEF!S603*DEMANDA!G46</f>
        <v>1</v>
      </c>
      <c r="J432" s="42" t="n">
        <f aca="false">BOM_COEF!T603*DEMANDA!H46</f>
        <v>1</v>
      </c>
      <c r="K432" s="42" t="n">
        <f aca="false">BOM_COEF!U603*DEMANDA!I46</f>
        <v>2</v>
      </c>
      <c r="L432" s="42" t="n">
        <f aca="false">BOM_COEF!V603*DEMANDA!J46</f>
        <v>3</v>
      </c>
      <c r="M432" s="42" t="n">
        <f aca="false">BOM_COEF!W603*DEMANDA!K46</f>
        <v>3</v>
      </c>
      <c r="N432" s="42" t="n">
        <f aca="false">BOM_COEF!X603*DEMANDA!L46</f>
        <v>4</v>
      </c>
      <c r="O432" s="42" t="n">
        <f aca="false">BOM_COEF!Y603*DEMANDA!M46</f>
        <v>4</v>
      </c>
      <c r="P432" s="42" t="n">
        <f aca="false">BOM_COEF!Z603*DEMANDA!N46</f>
        <v>5</v>
      </c>
      <c r="Q432" s="42" t="n">
        <f aca="false">BOM_COEF!AA603*DEMANDA!O46</f>
        <v>5</v>
      </c>
      <c r="R432" s="24" t="s">
        <v>3515</v>
      </c>
    </row>
    <row r="433" customFormat="false" ht="15" hidden="false" customHeight="false" outlineLevel="0" collapsed="false">
      <c r="A433" s="38" t="n">
        <v>0</v>
      </c>
      <c r="B433" s="38" t="s">
        <v>1381</v>
      </c>
      <c r="C433" s="38" t="s">
        <v>1380</v>
      </c>
      <c r="D433" s="38" t="s">
        <v>82</v>
      </c>
      <c r="E433" s="38"/>
      <c r="F433" s="38"/>
      <c r="G433" s="38"/>
      <c r="H433" s="39" t="n">
        <f aca="false">SUM(H434:H459)</f>
        <v>1349.9141206766</v>
      </c>
      <c r="I433" s="39" t="n">
        <f aca="false">SUM(I434:I459)</f>
        <v>6097.38231099</v>
      </c>
      <c r="J433" s="39" t="n">
        <f aca="false">SUM(J434:J459)</f>
        <v>12172.356545406</v>
      </c>
      <c r="K433" s="39" t="n">
        <f aca="false">SUM(K434:K459)</f>
        <v>22527.77621006</v>
      </c>
      <c r="L433" s="39" t="n">
        <f aca="false">SUM(L434:L459)</f>
        <v>33165.7833207</v>
      </c>
      <c r="M433" s="39" t="n">
        <f aca="false">SUM(M434:M459)</f>
        <v>45157.66186472</v>
      </c>
      <c r="N433" s="39" t="n">
        <f aca="false">SUM(N434:N459)</f>
        <v>56103.34456815</v>
      </c>
      <c r="O433" s="39" t="n">
        <f aca="false">SUM(O434:O459)</f>
        <v>63833.16087323</v>
      </c>
      <c r="P433" s="39" t="n">
        <f aca="false">SUM(P434:P459)</f>
        <v>68658.5849355</v>
      </c>
      <c r="Q433" s="39" t="n">
        <f aca="false">SUM(Q434:Q459)</f>
        <v>73585.57192823</v>
      </c>
      <c r="R433" s="38"/>
    </row>
    <row r="434" customFormat="false" ht="15" hidden="false" customHeight="false" outlineLevel="1" collapsed="false">
      <c r="A434" s="24" t="n">
        <v>1</v>
      </c>
      <c r="B434" s="24" t="s">
        <v>1381</v>
      </c>
      <c r="C434" s="40" t="s">
        <v>3517</v>
      </c>
      <c r="D434" s="24" t="s">
        <v>82</v>
      </c>
      <c r="E434" s="24" t="s">
        <v>282</v>
      </c>
      <c r="F434" s="41" t="n">
        <f aca="false">INDEX((BOM_COEF!R392~BOM_COEF!S392~BOM_COEF!T392~BOM_COEF!U392~BOM_COEF!V392~BOM_COEF!W392~BOM_COEF!X392~BOM_COEF!Y392~BOM_COEF!Z392~BOM_COEF!AA392),1,1,INDEX(P_VAL,MATCH("AÑO_DIS",P_ID,0))-2025)</f>
        <v>0.2</v>
      </c>
      <c r="G434" s="24" t="s">
        <v>2281</v>
      </c>
      <c r="H434" s="42" t="n">
        <f aca="false">BOM_COEF!R392*DEMANDA!F20</f>
        <v>695.4964248</v>
      </c>
      <c r="I434" s="42" t="n">
        <f aca="false">BOM_COEF!S392*DEMANDA!G20</f>
        <v>3394.117128</v>
      </c>
      <c r="J434" s="42" t="n">
        <f aca="false">BOM_COEF!T392*DEMANDA!H20</f>
        <v>6109.217902</v>
      </c>
      <c r="K434" s="42" t="n">
        <f aca="false">BOM_COEF!U392*DEMANDA!I20</f>
        <v>11209.662212</v>
      </c>
      <c r="L434" s="42" t="n">
        <f aca="false">BOM_COEF!V392*DEMANDA!J20</f>
        <v>16854.045226</v>
      </c>
      <c r="M434" s="42" t="n">
        <f aca="false">BOM_COEF!W392*DEMANDA!K20</f>
        <v>23481.56462</v>
      </c>
      <c r="N434" s="42" t="n">
        <f aca="false">BOM_COEF!X392*DEMANDA!L20</f>
        <v>29522.12712</v>
      </c>
      <c r="O434" s="42" t="n">
        <f aca="false">BOM_COEF!Y392*DEMANDA!M20</f>
        <v>34280.87214</v>
      </c>
      <c r="P434" s="42" t="n">
        <f aca="false">BOM_COEF!Z392*DEMANDA!N20</f>
        <v>36738.1132</v>
      </c>
      <c r="Q434" s="42" t="n">
        <f aca="false">BOM_COEF!AA392*DEMANDA!O20</f>
        <v>39256.53814</v>
      </c>
      <c r="R434" s="24" t="s">
        <v>3518</v>
      </c>
    </row>
    <row r="435" customFormat="false" ht="15" hidden="false" customHeight="false" outlineLevel="1" collapsed="false">
      <c r="A435" s="24" t="n">
        <v>1</v>
      </c>
      <c r="B435" s="24" t="s">
        <v>1381</v>
      </c>
      <c r="C435" s="40" t="s">
        <v>3519</v>
      </c>
      <c r="D435" s="24" t="s">
        <v>82</v>
      </c>
      <c r="E435" s="24" t="s">
        <v>286</v>
      </c>
      <c r="F435" s="41" t="n">
        <f aca="false">INDEX((BOM_COEF!R406~BOM_COEF!S406~BOM_COEF!T406~BOM_COEF!U406~BOM_COEF!V406~BOM_COEF!W406~BOM_COEF!X406~BOM_COEF!Y406~BOM_COEF!Z406~BOM_COEF!AA406),1,1,INDEX(P_VAL,MATCH("AÑO_DIS",P_ID,0))-2025)</f>
        <v>0.2</v>
      </c>
      <c r="G435" s="24" t="s">
        <v>2281</v>
      </c>
      <c r="H435" s="42" t="n">
        <f aca="false">BOM_COEF!R406*DEMANDA!F21</f>
        <v>65.9993335</v>
      </c>
      <c r="I435" s="42" t="n">
        <f aca="false">BOM_COEF!S406*DEMANDA!G21</f>
        <v>257.4828048</v>
      </c>
      <c r="J435" s="42" t="n">
        <f aca="false">BOM_COEF!T406*DEMANDA!H21</f>
        <v>589.4338432</v>
      </c>
      <c r="K435" s="42" t="n">
        <f aca="false">BOM_COEF!U406*DEMANDA!I21</f>
        <v>1085.2086538</v>
      </c>
      <c r="L435" s="42" t="n">
        <f aca="false">BOM_COEF!V406*DEMANDA!J21</f>
        <v>1570.1751612</v>
      </c>
      <c r="M435" s="42" t="n">
        <f aca="false">BOM_COEF!W406*DEMANDA!K21</f>
        <v>2084.78873</v>
      </c>
      <c r="N435" s="42" t="n">
        <f aca="false">BOM_COEF!X406*DEMANDA!L21</f>
        <v>2561.979142</v>
      </c>
      <c r="O435" s="42" t="n">
        <f aca="false">BOM_COEF!Y406*DEMANDA!M21</f>
        <v>2852.613662</v>
      </c>
      <c r="P435" s="42" t="n">
        <f aca="false">BOM_COEF!Z406*DEMANDA!N21</f>
        <v>3086.573966</v>
      </c>
      <c r="Q435" s="42" t="n">
        <f aca="false">BOM_COEF!AA406*DEMANDA!O21</f>
        <v>3324.152234</v>
      </c>
      <c r="R435" s="24" t="s">
        <v>3520</v>
      </c>
    </row>
    <row r="436" customFormat="false" ht="15" hidden="false" customHeight="false" outlineLevel="1" collapsed="false">
      <c r="A436" s="24" t="n">
        <v>1</v>
      </c>
      <c r="B436" s="24" t="s">
        <v>1381</v>
      </c>
      <c r="C436" s="40" t="s">
        <v>3521</v>
      </c>
      <c r="D436" s="24" t="s">
        <v>82</v>
      </c>
      <c r="E436" s="24" t="s">
        <v>290</v>
      </c>
      <c r="F436" s="41" t="n">
        <f aca="false">INDEX((BOM_COEF!R421~BOM_COEF!S421~BOM_COEF!T421~BOM_COEF!U421~BOM_COEF!V421~BOM_COEF!W421~BOM_COEF!X421~BOM_COEF!Y421~BOM_COEF!Z421~BOM_COEF!AA421),1,1,INDEX(P_VAL,MATCH("AÑO_DIS",P_ID,0))-2025)</f>
        <v>0.2</v>
      </c>
      <c r="G436" s="24" t="s">
        <v>2281</v>
      </c>
      <c r="H436" s="42" t="n">
        <f aca="false">BOM_COEF!R421*DEMANDA!F22</f>
        <v>390.0788194</v>
      </c>
      <c r="I436" s="42" t="n">
        <f aca="false">BOM_COEF!S421*DEMANDA!G22</f>
        <v>1570.523704</v>
      </c>
      <c r="J436" s="42" t="n">
        <f aca="false">BOM_COEF!T421*DEMANDA!H22</f>
        <v>3555.171402</v>
      </c>
      <c r="K436" s="42" t="n">
        <f aca="false">BOM_COEF!U421*DEMANDA!I22</f>
        <v>6721.11367</v>
      </c>
      <c r="L436" s="42" t="n">
        <f aca="false">BOM_COEF!V421*DEMANDA!J22</f>
        <v>9681.514378</v>
      </c>
      <c r="M436" s="42" t="n">
        <f aca="false">BOM_COEF!W421*DEMANDA!K22</f>
        <v>12864.608552</v>
      </c>
      <c r="N436" s="42" t="n">
        <f aca="false">BOM_COEF!X421*DEMANDA!L22</f>
        <v>15744.220078</v>
      </c>
      <c r="O436" s="42" t="n">
        <f aca="false">BOM_COEF!Y421*DEMANDA!M22</f>
        <v>17447.44248</v>
      </c>
      <c r="P436" s="42" t="n">
        <f aca="false">BOM_COEF!Z421*DEMANDA!N22</f>
        <v>18820.733522</v>
      </c>
      <c r="Q436" s="42" t="n">
        <f aca="false">BOM_COEF!AA421*DEMANDA!O22</f>
        <v>20219.03524</v>
      </c>
      <c r="R436" s="24" t="s">
        <v>3522</v>
      </c>
    </row>
    <row r="437" customFormat="false" ht="15" hidden="false" customHeight="false" outlineLevel="1" collapsed="false">
      <c r="A437" s="24" t="n">
        <v>1</v>
      </c>
      <c r="B437" s="24" t="s">
        <v>1381</v>
      </c>
      <c r="C437" s="40" t="s">
        <v>3523</v>
      </c>
      <c r="D437" s="24" t="s">
        <v>82</v>
      </c>
      <c r="E437" s="24" t="s">
        <v>336</v>
      </c>
      <c r="F437" s="41" t="n">
        <f aca="false">INDEX((BOM_COEF!R421~BOM_COEF!S421~BOM_COEF!T421~BOM_COEF!U421~BOM_COEF!V421~BOM_COEF!W421~BOM_COEF!X421~BOM_COEF!Y421~BOM_COEF!Z421~BOM_COEF!AA421),1,1,INDEX(P_VAL,MATCH("AÑO_DIS",P_ID,0))-2025)</f>
        <v>0.2</v>
      </c>
      <c r="G437" s="24" t="s">
        <v>2281</v>
      </c>
      <c r="H437" s="42" t="n">
        <f aca="false">BOM_COEF!R421*DEMANDA!F37</f>
        <v>12.6</v>
      </c>
      <c r="I437" s="42" t="n">
        <f aca="false">BOM_COEF!S421*DEMANDA!G37</f>
        <v>56.4</v>
      </c>
      <c r="J437" s="42" t="n">
        <f aca="false">BOM_COEF!T421*DEMANDA!H37</f>
        <v>110.6</v>
      </c>
      <c r="K437" s="42" t="n">
        <f aca="false">BOM_COEF!U421*DEMANDA!I37</f>
        <v>205</v>
      </c>
      <c r="L437" s="42" t="n">
        <f aca="false">BOM_COEF!V421*DEMANDA!J37</f>
        <v>303</v>
      </c>
      <c r="M437" s="42" t="n">
        <f aca="false">BOM_COEF!W421*DEMANDA!K37</f>
        <v>414.4</v>
      </c>
      <c r="N437" s="42" t="n">
        <f aca="false">BOM_COEF!X421*DEMANDA!L37</f>
        <v>515.8</v>
      </c>
      <c r="O437" s="42" t="n">
        <f aca="false">BOM_COEF!Y421*DEMANDA!M37</f>
        <v>588.8</v>
      </c>
      <c r="P437" s="42" t="n">
        <f aca="false">BOM_COEF!Z421*DEMANDA!N37</f>
        <v>632.8</v>
      </c>
      <c r="Q437" s="42" t="n">
        <f aca="false">BOM_COEF!AA421*DEMANDA!O37</f>
        <v>677.6</v>
      </c>
      <c r="R437" s="24" t="s">
        <v>3522</v>
      </c>
    </row>
    <row r="438" customFormat="false" ht="15" hidden="false" customHeight="false" outlineLevel="1" collapsed="false">
      <c r="A438" s="24" t="n">
        <v>1</v>
      </c>
      <c r="B438" s="24" t="s">
        <v>1381</v>
      </c>
      <c r="C438" s="40" t="s">
        <v>3524</v>
      </c>
      <c r="D438" s="24" t="s">
        <v>82</v>
      </c>
      <c r="E438" s="24" t="s">
        <v>293</v>
      </c>
      <c r="F438" s="41" t="n">
        <f aca="false">INDEX((BOM_COEF!R436~BOM_COEF!S436~BOM_COEF!T436~BOM_COEF!U436~BOM_COEF!V436~BOM_COEF!W436~BOM_COEF!X436~BOM_COEF!Y436~BOM_COEF!Z436~BOM_COEF!AA436),1,1,INDEX(P_VAL,MATCH("AÑO_DIS",P_ID,0))-2025)</f>
        <v>0.2</v>
      </c>
      <c r="G438" s="24" t="s">
        <v>2281</v>
      </c>
      <c r="H438" s="42" t="n">
        <f aca="false">BOM_COEF!R436*DEMANDA!F23</f>
        <v>23.6687265</v>
      </c>
      <c r="I438" s="42" t="n">
        <f aca="false">BOM_COEF!S436*DEMANDA!G23</f>
        <v>87.54331558</v>
      </c>
      <c r="J438" s="42" t="n">
        <f aca="false">BOM_COEF!T436*DEMANDA!H23</f>
        <v>204.9949642</v>
      </c>
      <c r="K438" s="42" t="n">
        <f aca="false">BOM_COEF!U436*DEMANDA!I23</f>
        <v>392.0819724</v>
      </c>
      <c r="L438" s="42" t="n">
        <f aca="false">BOM_COEF!V436*DEMANDA!J23</f>
        <v>568.9953692</v>
      </c>
      <c r="M438" s="42" t="n">
        <f aca="false">BOM_COEF!W436*DEMANDA!K23</f>
        <v>762.0781244</v>
      </c>
      <c r="N438" s="42" t="n">
        <f aca="false">BOM_COEF!X436*DEMANDA!L23</f>
        <v>932.735614</v>
      </c>
      <c r="O438" s="42" t="n">
        <f aca="false">BOM_COEF!Y436*DEMANDA!M23</f>
        <v>1032.9029168</v>
      </c>
      <c r="P438" s="42" t="n">
        <f aca="false">BOM_COEF!Z436*DEMANDA!N23</f>
        <v>1114.3088656</v>
      </c>
      <c r="Q438" s="42" t="n">
        <f aca="false">BOM_COEF!AA436*DEMANDA!O23</f>
        <v>1197.190171</v>
      </c>
      <c r="R438" s="24" t="s">
        <v>3525</v>
      </c>
    </row>
    <row r="439" customFormat="false" ht="15" hidden="false" customHeight="false" outlineLevel="1" collapsed="false">
      <c r="A439" s="24" t="n">
        <v>1</v>
      </c>
      <c r="B439" s="24" t="s">
        <v>1381</v>
      </c>
      <c r="C439" s="40" t="s">
        <v>3526</v>
      </c>
      <c r="D439" s="24" t="s">
        <v>82</v>
      </c>
      <c r="E439" s="24" t="s">
        <v>339</v>
      </c>
      <c r="F439" s="41" t="n">
        <f aca="false">INDEX((BOM_COEF!R436~BOM_COEF!S436~BOM_COEF!T436~BOM_COEF!U436~BOM_COEF!V436~BOM_COEF!W436~BOM_COEF!X436~BOM_COEF!Y436~BOM_COEF!Z436~BOM_COEF!AA436),1,1,INDEX(P_VAL,MATCH("AÑO_DIS",P_ID,0))-2025)</f>
        <v>0.2</v>
      </c>
      <c r="G439" s="24" t="s">
        <v>2281</v>
      </c>
      <c r="H439" s="42" t="n">
        <f aca="false">BOM_COEF!R436*DEMANDA!F38</f>
        <v>0.4</v>
      </c>
      <c r="I439" s="42" t="n">
        <f aca="false">BOM_COEF!S436*DEMANDA!G38</f>
        <v>1</v>
      </c>
      <c r="J439" s="42" t="n">
        <f aca="false">BOM_COEF!T436*DEMANDA!H38</f>
        <v>2.4</v>
      </c>
      <c r="K439" s="42" t="n">
        <f aca="false">BOM_COEF!U436*DEMANDA!I38</f>
        <v>4.4</v>
      </c>
      <c r="L439" s="42" t="n">
        <f aca="false">BOM_COEF!V436*DEMANDA!J38</f>
        <v>6.2</v>
      </c>
      <c r="M439" s="42" t="n">
        <f aca="false">BOM_COEF!W436*DEMANDA!K38</f>
        <v>8.4</v>
      </c>
      <c r="N439" s="42" t="n">
        <f aca="false">BOM_COEF!X436*DEMANDA!L38</f>
        <v>10.2</v>
      </c>
      <c r="O439" s="42" t="n">
        <f aca="false">BOM_COEF!Y436*DEMANDA!M38</f>
        <v>11.2</v>
      </c>
      <c r="P439" s="42" t="n">
        <f aca="false">BOM_COEF!Z436*DEMANDA!N38</f>
        <v>12.2</v>
      </c>
      <c r="Q439" s="42" t="n">
        <f aca="false">BOM_COEF!AA436*DEMANDA!O38</f>
        <v>13</v>
      </c>
      <c r="R439" s="24" t="s">
        <v>3525</v>
      </c>
    </row>
    <row r="440" customFormat="false" ht="15" hidden="false" customHeight="false" outlineLevel="1" collapsed="false">
      <c r="A440" s="24" t="n">
        <v>1</v>
      </c>
      <c r="B440" s="24" t="s">
        <v>1381</v>
      </c>
      <c r="C440" s="40" t="s">
        <v>3527</v>
      </c>
      <c r="D440" s="24" t="s">
        <v>82</v>
      </c>
      <c r="E440" s="24" t="s">
        <v>296</v>
      </c>
      <c r="F440" s="41" t="n">
        <f aca="false">INDEX((BOM_COEF!R451~BOM_COEF!S451~BOM_COEF!T451~BOM_COEF!U451~BOM_COEF!V451~BOM_COEF!W451~BOM_COEF!X451~BOM_COEF!Y451~BOM_COEF!Z451~BOM_COEF!AA451),1,1,INDEX(P_VAL,MATCH("AÑO_DIS",P_ID,0))-2025)</f>
        <v>0.2</v>
      </c>
      <c r="G440" s="24" t="s">
        <v>2281</v>
      </c>
      <c r="H440" s="42" t="n">
        <f aca="false">BOM_COEF!R451*DEMANDA!F24</f>
        <v>3.527550584</v>
      </c>
      <c r="I440" s="42" t="n">
        <f aca="false">BOM_COEF!S451*DEMANDA!G24</f>
        <v>17.19756388</v>
      </c>
      <c r="J440" s="42" t="n">
        <f aca="false">BOM_COEF!T451*DEMANDA!H24</f>
        <v>37.37391346</v>
      </c>
      <c r="K440" s="42" t="n">
        <f aca="false">BOM_COEF!U451*DEMANDA!I24</f>
        <v>67.31672416</v>
      </c>
      <c r="L440" s="42" t="n">
        <f aca="false">BOM_COEF!V451*DEMANDA!J24</f>
        <v>96.82651954</v>
      </c>
      <c r="M440" s="42" t="n">
        <f aca="false">BOM_COEF!W451*DEMANDA!K24</f>
        <v>128.64407708</v>
      </c>
      <c r="N440" s="42" t="n">
        <f aca="false">BOM_COEF!X451*DEMANDA!L24</f>
        <v>158.48634846</v>
      </c>
      <c r="O440" s="42" t="n">
        <f aca="false">BOM_COEF!Y451*DEMANDA!M24</f>
        <v>177.9355414</v>
      </c>
      <c r="P440" s="42" t="n">
        <f aca="false">BOM_COEF!Z451*DEMANDA!N24</f>
        <v>193.0622219</v>
      </c>
      <c r="Q440" s="42" t="n">
        <f aca="false">BOM_COEF!AA451*DEMANDA!O24</f>
        <v>208.3879404</v>
      </c>
      <c r="R440" s="24" t="s">
        <v>3528</v>
      </c>
    </row>
    <row r="441" customFormat="false" ht="15" hidden="false" customHeight="false" outlineLevel="1" collapsed="false">
      <c r="A441" s="24" t="n">
        <v>1</v>
      </c>
      <c r="B441" s="24" t="s">
        <v>1381</v>
      </c>
      <c r="C441" s="40" t="s">
        <v>3529</v>
      </c>
      <c r="D441" s="24" t="s">
        <v>82</v>
      </c>
      <c r="E441" s="24" t="s">
        <v>300</v>
      </c>
      <c r="F441" s="41" t="n">
        <f aca="false">INDEX((BOM_COEF!R466~BOM_COEF!S466~BOM_COEF!T466~BOM_COEF!U466~BOM_COEF!V466~BOM_COEF!W466~BOM_COEF!X466~BOM_COEF!Y466~BOM_COEF!Z466~BOM_COEF!AA466),1,1,INDEX(P_VAL,MATCH("AÑO_DIS",P_ID,0))-2025)</f>
        <v>0.2</v>
      </c>
      <c r="G441" s="24" t="s">
        <v>2281</v>
      </c>
      <c r="H441" s="42" t="n">
        <f aca="false">BOM_COEF!R466*DEMANDA!F25</f>
        <v>7.760611284</v>
      </c>
      <c r="I441" s="42" t="n">
        <f aca="false">BOM_COEF!S466*DEMANDA!G25</f>
        <v>37.83464054</v>
      </c>
      <c r="J441" s="42" t="n">
        <f aca="false">BOM_COEF!T466*DEMANDA!H25</f>
        <v>82.2226096</v>
      </c>
      <c r="K441" s="42" t="n">
        <f aca="false">BOM_COEF!U466*DEMANDA!I25</f>
        <v>148.09679314</v>
      </c>
      <c r="L441" s="42" t="n">
        <f aca="false">BOM_COEF!V466*DEMANDA!J25</f>
        <v>213.018343</v>
      </c>
      <c r="M441" s="42" t="n">
        <f aca="false">BOM_COEF!W466*DEMANDA!K25</f>
        <v>283.0169696</v>
      </c>
      <c r="N441" s="42" t="n">
        <f aca="false">BOM_COEF!X466*DEMANDA!L25</f>
        <v>348.6699666</v>
      </c>
      <c r="O441" s="42" t="n">
        <f aca="false">BOM_COEF!Y466*DEMANDA!M25</f>
        <v>391.458191</v>
      </c>
      <c r="P441" s="42" t="n">
        <f aca="false">BOM_COEF!Z466*DEMANDA!N25</f>
        <v>424.7368882</v>
      </c>
      <c r="Q441" s="42" t="n">
        <f aca="false">BOM_COEF!AA466*DEMANDA!O25</f>
        <v>458.4534686</v>
      </c>
      <c r="R441" s="24" t="s">
        <v>3530</v>
      </c>
    </row>
    <row r="442" customFormat="false" ht="15" hidden="false" customHeight="false" outlineLevel="1" collapsed="false">
      <c r="A442" s="24" t="n">
        <v>1</v>
      </c>
      <c r="B442" s="24" t="s">
        <v>1381</v>
      </c>
      <c r="C442" s="40" t="s">
        <v>3531</v>
      </c>
      <c r="D442" s="24" t="s">
        <v>82</v>
      </c>
      <c r="E442" s="24" t="s">
        <v>366</v>
      </c>
      <c r="F442" s="41" t="n">
        <f aca="false">INDEX((BOM_COEF!R466~BOM_COEF!S466~BOM_COEF!T466~BOM_COEF!U466~BOM_COEF!V466~BOM_COEF!W466~BOM_COEF!X466~BOM_COEF!Y466~BOM_COEF!Z466~BOM_COEF!AA466),1,1,INDEX(P_VAL,MATCH("AÑO_DIS",P_ID,0))-2025)</f>
        <v>0.2</v>
      </c>
      <c r="G442" s="24" t="s">
        <v>2281</v>
      </c>
      <c r="H442" s="42" t="n">
        <f aca="false">BOM_COEF!R466*DEMANDA!F47</f>
        <v>0.2</v>
      </c>
      <c r="I442" s="42" t="n">
        <f aca="false">BOM_COEF!S466*DEMANDA!G47</f>
        <v>0.6</v>
      </c>
      <c r="J442" s="42" t="n">
        <f aca="false">BOM_COEF!T466*DEMANDA!H47</f>
        <v>1.4</v>
      </c>
      <c r="K442" s="42" t="n">
        <f aca="false">BOM_COEF!U466*DEMANDA!I47</f>
        <v>2.4</v>
      </c>
      <c r="L442" s="42" t="n">
        <f aca="false">BOM_COEF!V466*DEMANDA!J47</f>
        <v>3.4</v>
      </c>
      <c r="M442" s="42" t="n">
        <f aca="false">BOM_COEF!W466*DEMANDA!K47</f>
        <v>4.6</v>
      </c>
      <c r="N442" s="42" t="n">
        <f aca="false">BOM_COEF!X466*DEMANDA!L47</f>
        <v>5.6</v>
      </c>
      <c r="O442" s="42" t="n">
        <f aca="false">BOM_COEF!Y466*DEMANDA!M47</f>
        <v>6.2</v>
      </c>
      <c r="P442" s="42" t="n">
        <f aca="false">BOM_COEF!Z466*DEMANDA!N47</f>
        <v>6.8</v>
      </c>
      <c r="Q442" s="42" t="n">
        <f aca="false">BOM_COEF!AA466*DEMANDA!O47</f>
        <v>7.2</v>
      </c>
      <c r="R442" s="24" t="s">
        <v>3530</v>
      </c>
    </row>
    <row r="443" customFormat="false" ht="15" hidden="false" customHeight="false" outlineLevel="1" collapsed="false">
      <c r="A443" s="24" t="n">
        <v>1</v>
      </c>
      <c r="B443" s="24" t="s">
        <v>1381</v>
      </c>
      <c r="C443" s="40" t="s">
        <v>3532</v>
      </c>
      <c r="D443" s="24" t="s">
        <v>82</v>
      </c>
      <c r="E443" s="24" t="s">
        <v>303</v>
      </c>
      <c r="F443" s="41" t="n">
        <f aca="false">INDEX((BOM_COEF!R481~BOM_COEF!S481~BOM_COEF!T481~BOM_COEF!U481~BOM_COEF!V481~BOM_COEF!W481~BOM_COEF!X481~BOM_COEF!Y481~BOM_COEF!Z481~BOM_COEF!AA481),1,1,INDEX(P_VAL,MATCH("AÑO_DIS",P_ID,0))-2025)</f>
        <v>0.2</v>
      </c>
      <c r="G443" s="24" t="s">
        <v>2281</v>
      </c>
      <c r="H443" s="42" t="n">
        <f aca="false">BOM_COEF!R481*DEMANDA!F26</f>
        <v>1.6932242802</v>
      </c>
      <c r="I443" s="42" t="n">
        <f aca="false">BOM_COEF!S481*DEMANDA!G26</f>
        <v>8.254830662</v>
      </c>
      <c r="J443" s="42" t="n">
        <f aca="false">BOM_COEF!T481*DEMANDA!H26</f>
        <v>17.939478458</v>
      </c>
      <c r="K443" s="42" t="n">
        <f aca="false">BOM_COEF!U481*DEMANDA!I26</f>
        <v>32.3120276</v>
      </c>
      <c r="L443" s="42" t="n">
        <f aca="false">BOM_COEF!V481*DEMANDA!J26</f>
        <v>46.47672938</v>
      </c>
      <c r="M443" s="42" t="n">
        <f aca="false">BOM_COEF!W481*DEMANDA!K26</f>
        <v>61.749157</v>
      </c>
      <c r="N443" s="42" t="n">
        <f aca="false">BOM_COEF!X481*DEMANDA!L26</f>
        <v>76.07344726</v>
      </c>
      <c r="O443" s="42" t="n">
        <f aca="false">BOM_COEF!Y481*DEMANDA!M26</f>
        <v>85.40905986</v>
      </c>
      <c r="P443" s="42" t="n">
        <f aca="false">BOM_COEF!Z481*DEMANDA!N26</f>
        <v>92.66986652</v>
      </c>
      <c r="Q443" s="42" t="n">
        <f aca="false">BOM_COEF!AA481*DEMANDA!O26</f>
        <v>100.02621134</v>
      </c>
      <c r="R443" s="24" t="s">
        <v>3533</v>
      </c>
    </row>
    <row r="444" customFormat="false" ht="15" hidden="false" customHeight="false" outlineLevel="1" collapsed="false">
      <c r="A444" s="24" t="n">
        <v>1</v>
      </c>
      <c r="B444" s="24" t="s">
        <v>1381</v>
      </c>
      <c r="C444" s="40" t="s">
        <v>3534</v>
      </c>
      <c r="D444" s="24" t="s">
        <v>82</v>
      </c>
      <c r="E444" s="24" t="s">
        <v>306</v>
      </c>
      <c r="F444" s="41" t="n">
        <f aca="false">INDEX((BOM_COEF!R496~BOM_COEF!S496~BOM_COEF!T496~BOM_COEF!U496~BOM_COEF!V496~BOM_COEF!W496~BOM_COEF!X496~BOM_COEF!Y496~BOM_COEF!Z496~BOM_COEF!AA496),1,1,INDEX(P_VAL,MATCH("AÑO_DIS",P_ID,0))-2025)</f>
        <v>0.2</v>
      </c>
      <c r="G444" s="24" t="s">
        <v>2281</v>
      </c>
      <c r="H444" s="42" t="n">
        <f aca="false">BOM_COEF!R496*DEMANDA!F27</f>
        <v>1.1288161868</v>
      </c>
      <c r="I444" s="42" t="n">
        <f aca="false">BOM_COEF!S496*DEMANDA!G27</f>
        <v>5.503220442</v>
      </c>
      <c r="J444" s="42" t="n">
        <f aca="false">BOM_COEF!T496*DEMANDA!H27</f>
        <v>11.959652306</v>
      </c>
      <c r="K444" s="42" t="n">
        <f aca="false">BOM_COEF!U496*DEMANDA!I27</f>
        <v>21.54135172</v>
      </c>
      <c r="L444" s="42" t="n">
        <f aca="false">BOM_COEF!V496*DEMANDA!J27</f>
        <v>30.98448626</v>
      </c>
      <c r="M444" s="42" t="n">
        <f aca="false">BOM_COEF!W496*DEMANDA!K27</f>
        <v>41.16610466</v>
      </c>
      <c r="N444" s="42" t="n">
        <f aca="false">BOM_COEF!X496*DEMANDA!L27</f>
        <v>50.7156315</v>
      </c>
      <c r="O444" s="42" t="n">
        <f aca="false">BOM_COEF!Y496*DEMANDA!M27</f>
        <v>56.93937324</v>
      </c>
      <c r="P444" s="42" t="n">
        <f aca="false">BOM_COEF!Z496*DEMANDA!N27</f>
        <v>61.779911</v>
      </c>
      <c r="Q444" s="42" t="n">
        <f aca="false">BOM_COEF!AA496*DEMANDA!O27</f>
        <v>66.6841409</v>
      </c>
      <c r="R444" s="24" t="s">
        <v>3535</v>
      </c>
    </row>
    <row r="445" customFormat="false" ht="15" hidden="false" customHeight="false" outlineLevel="1" collapsed="false">
      <c r="A445" s="24" t="n">
        <v>1</v>
      </c>
      <c r="B445" s="24" t="s">
        <v>1381</v>
      </c>
      <c r="C445" s="40" t="s">
        <v>3536</v>
      </c>
      <c r="D445" s="24" t="s">
        <v>82</v>
      </c>
      <c r="E445" s="24" t="s">
        <v>369</v>
      </c>
      <c r="F445" s="41" t="n">
        <f aca="false">INDEX((BOM_COEF!R496~BOM_COEF!S496~BOM_COEF!T496~BOM_COEF!U496~BOM_COEF!V496~BOM_COEF!W496~BOM_COEF!X496~BOM_COEF!Y496~BOM_COEF!Z496~BOM_COEF!AA496),1,1,INDEX(P_VAL,MATCH("AÑO_DIS",P_ID,0))-2025)</f>
        <v>0.2</v>
      </c>
      <c r="G445" s="24" t="s">
        <v>2281</v>
      </c>
      <c r="H445" s="42" t="n">
        <f aca="false">BOM_COEF!R496*DEMANDA!F48</f>
        <v>0.2</v>
      </c>
      <c r="I445" s="42" t="n">
        <f aca="false">BOM_COEF!S496*DEMANDA!G48</f>
        <v>0.2</v>
      </c>
      <c r="J445" s="42" t="n">
        <f aca="false">BOM_COEF!T496*DEMANDA!H48</f>
        <v>0.4</v>
      </c>
      <c r="K445" s="42" t="n">
        <f aca="false">BOM_COEF!U496*DEMANDA!I48</f>
        <v>0.6</v>
      </c>
      <c r="L445" s="42" t="n">
        <f aca="false">BOM_COEF!V496*DEMANDA!J48</f>
        <v>1</v>
      </c>
      <c r="M445" s="42" t="n">
        <f aca="false">BOM_COEF!W496*DEMANDA!K48</f>
        <v>1.2</v>
      </c>
      <c r="N445" s="42" t="n">
        <f aca="false">BOM_COEF!X496*DEMANDA!L48</f>
        <v>1.4</v>
      </c>
      <c r="O445" s="42" t="n">
        <f aca="false">BOM_COEF!Y496*DEMANDA!M48</f>
        <v>1.6</v>
      </c>
      <c r="P445" s="42" t="n">
        <f aca="false">BOM_COEF!Z496*DEMANDA!N48</f>
        <v>1.8</v>
      </c>
      <c r="Q445" s="42" t="n">
        <f aca="false">BOM_COEF!AA496*DEMANDA!O48</f>
        <v>1.8</v>
      </c>
      <c r="R445" s="24" t="s">
        <v>3535</v>
      </c>
    </row>
    <row r="446" customFormat="false" ht="15" hidden="false" customHeight="false" outlineLevel="1" collapsed="false">
      <c r="A446" s="24" t="n">
        <v>1</v>
      </c>
      <c r="B446" s="24" t="s">
        <v>1381</v>
      </c>
      <c r="C446" s="40" t="s">
        <v>3537</v>
      </c>
      <c r="D446" s="24" t="s">
        <v>82</v>
      </c>
      <c r="E446" s="24" t="s">
        <v>309</v>
      </c>
      <c r="F446" s="41" t="n">
        <f aca="false">INDEX((BOM_COEF!R509~BOM_COEF!S509~BOM_COEF!T509~BOM_COEF!U509~BOM_COEF!V509~BOM_COEF!W509~BOM_COEF!X509~BOM_COEF!Y509~BOM_COEF!Z509~BOM_COEF!AA509),1,1,INDEX(P_VAL,MATCH("AÑO_DIS",P_ID,0))-2025)</f>
        <v>0.5</v>
      </c>
      <c r="G446" s="24" t="s">
        <v>2281</v>
      </c>
      <c r="H446" s="42" t="n">
        <f aca="false">BOM_COEF!R509*DEMANDA!F28</f>
        <v>79.654368</v>
      </c>
      <c r="I446" s="42" t="n">
        <f aca="false">BOM_COEF!S509*DEMANDA!G28</f>
        <v>321.7117709</v>
      </c>
      <c r="J446" s="42" t="n">
        <f aca="false">BOM_COEF!T509*DEMANDA!H28</f>
        <v>737.1813705</v>
      </c>
      <c r="K446" s="42" t="n">
        <f aca="false">BOM_COEF!U509*DEMANDA!I28</f>
        <v>1383.2256025</v>
      </c>
      <c r="L446" s="42" t="n">
        <f aca="false">BOM_COEF!V509*DEMANDA!J28</f>
        <v>1995.7326105</v>
      </c>
      <c r="M446" s="42" t="n">
        <f aca="false">BOM_COEF!W509*DEMANDA!K28</f>
        <v>2667.87789</v>
      </c>
      <c r="N446" s="42" t="n">
        <f aca="false">BOM_COEF!X509*DEMANDA!L28</f>
        <v>3269.4794435</v>
      </c>
      <c r="O446" s="42" t="n">
        <f aca="false">BOM_COEF!Y509*DEMANDA!M28</f>
        <v>3634.9098405</v>
      </c>
      <c r="P446" s="42" t="n">
        <f aca="false">BOM_COEF!Z509*DEMANDA!N28</f>
        <v>3927.720695</v>
      </c>
      <c r="Q446" s="42" t="n">
        <f aca="false">BOM_COEF!AA509*DEMANDA!O28</f>
        <v>4225.4070405</v>
      </c>
      <c r="R446" s="24" t="s">
        <v>3538</v>
      </c>
    </row>
    <row r="447" customFormat="false" ht="15" hidden="false" customHeight="false" outlineLevel="1" collapsed="false">
      <c r="A447" s="24" t="n">
        <v>1</v>
      </c>
      <c r="B447" s="24" t="s">
        <v>1381</v>
      </c>
      <c r="C447" s="40" t="s">
        <v>3539</v>
      </c>
      <c r="D447" s="24" t="s">
        <v>82</v>
      </c>
      <c r="E447" s="24" t="s">
        <v>342</v>
      </c>
      <c r="F447" s="41" t="n">
        <f aca="false">INDEX((BOM_COEF!R509~BOM_COEF!S509~BOM_COEF!T509~BOM_COEF!U509~BOM_COEF!V509~BOM_COEF!W509~BOM_COEF!X509~BOM_COEF!Y509~BOM_COEF!Z509~BOM_COEF!AA509),1,1,INDEX(P_VAL,MATCH("AÑO_DIS",P_ID,0))-2025)</f>
        <v>0.5</v>
      </c>
      <c r="G447" s="24" t="s">
        <v>2281</v>
      </c>
      <c r="H447" s="42" t="n">
        <f aca="false">BOM_COEF!R509*DEMANDA!F39</f>
        <v>1</v>
      </c>
      <c r="I447" s="42" t="n">
        <f aca="false">BOM_COEF!S509*DEMANDA!G39</f>
        <v>3.5</v>
      </c>
      <c r="J447" s="42" t="n">
        <f aca="false">BOM_COEF!T509*DEMANDA!H39</f>
        <v>8</v>
      </c>
      <c r="K447" s="42" t="n">
        <f aca="false">BOM_COEF!U509*DEMANDA!I39</f>
        <v>15</v>
      </c>
      <c r="L447" s="42" t="n">
        <f aca="false">BOM_COEF!V509*DEMANDA!J39</f>
        <v>22</v>
      </c>
      <c r="M447" s="42" t="n">
        <f aca="false">BOM_COEF!W509*DEMANDA!K39</f>
        <v>29</v>
      </c>
      <c r="N447" s="42" t="n">
        <f aca="false">BOM_COEF!X509*DEMANDA!L39</f>
        <v>35.5</v>
      </c>
      <c r="O447" s="42" t="n">
        <f aca="false">BOM_COEF!Y509*DEMANDA!M39</f>
        <v>39.5</v>
      </c>
      <c r="P447" s="42" t="n">
        <f aca="false">BOM_COEF!Z509*DEMANDA!N39</f>
        <v>42.5</v>
      </c>
      <c r="Q447" s="42" t="n">
        <f aca="false">BOM_COEF!AA509*DEMANDA!O39</f>
        <v>46</v>
      </c>
      <c r="R447" s="24" t="s">
        <v>3538</v>
      </c>
    </row>
    <row r="448" customFormat="false" ht="15" hidden="false" customHeight="false" outlineLevel="1" collapsed="false">
      <c r="A448" s="24" t="n">
        <v>1</v>
      </c>
      <c r="B448" s="24" t="s">
        <v>1381</v>
      </c>
      <c r="C448" s="40" t="s">
        <v>3540</v>
      </c>
      <c r="D448" s="24" t="s">
        <v>82</v>
      </c>
      <c r="E448" s="24" t="s">
        <v>312</v>
      </c>
      <c r="F448" s="41" t="n">
        <f aca="false">INDEX((BOM_COEF!R523~BOM_COEF!S523~BOM_COEF!T523~BOM_COEF!U523~BOM_COEF!V523~BOM_COEF!W523~BOM_COEF!X523~BOM_COEF!Y523~BOM_COEF!Z523~BOM_COEF!AA523),1,1,INDEX(P_VAL,MATCH("AÑO_DIS",P_ID,0))-2025)</f>
        <v>0.5</v>
      </c>
      <c r="G448" s="24" t="s">
        <v>2281</v>
      </c>
      <c r="H448" s="42" t="n">
        <f aca="false">BOM_COEF!R523*DEMANDA!F29</f>
        <v>11.37919543</v>
      </c>
      <c r="I448" s="42" t="n">
        <f aca="false">BOM_COEF!S523*DEMANDA!G29</f>
        <v>80.6578755</v>
      </c>
      <c r="J448" s="42" t="n">
        <f aca="false">BOM_COEF!T523*DEMANDA!H29</f>
        <v>158.30363805</v>
      </c>
      <c r="K448" s="42" t="n">
        <f aca="false">BOM_COEF!U523*DEMANDA!I29</f>
        <v>263.69730995</v>
      </c>
      <c r="L448" s="42" t="n">
        <f aca="false">BOM_COEF!V523*DEMANDA!J29</f>
        <v>371.89447315</v>
      </c>
      <c r="M448" s="42" t="n">
        <f aca="false">BOM_COEF!W523*DEMANDA!K29</f>
        <v>481.4371676</v>
      </c>
      <c r="N448" s="42" t="n">
        <f aca="false">BOM_COEF!X523*DEMANDA!L29</f>
        <v>597.4711035</v>
      </c>
      <c r="O448" s="42" t="n">
        <f aca="false">BOM_COEF!Y523*DEMANDA!M29</f>
        <v>675.8085915</v>
      </c>
      <c r="P448" s="42" t="n">
        <f aca="false">BOM_COEF!Z523*DEMANDA!N29</f>
        <v>738.77443</v>
      </c>
      <c r="Q448" s="42" t="n">
        <f aca="false">BOM_COEF!AA523*DEMANDA!O29</f>
        <v>802.220711</v>
      </c>
      <c r="R448" s="24" t="s">
        <v>3541</v>
      </c>
    </row>
    <row r="449" customFormat="false" ht="15" hidden="false" customHeight="false" outlineLevel="1" collapsed="false">
      <c r="A449" s="24" t="n">
        <v>1</v>
      </c>
      <c r="B449" s="24" t="s">
        <v>1381</v>
      </c>
      <c r="C449" s="40" t="s">
        <v>3542</v>
      </c>
      <c r="D449" s="24" t="s">
        <v>82</v>
      </c>
      <c r="E449" s="24" t="s">
        <v>345</v>
      </c>
      <c r="F449" s="41" t="n">
        <f aca="false">INDEX((BOM_COEF!R523~BOM_COEF!S523~BOM_COEF!T523~BOM_COEF!U523~BOM_COEF!V523~BOM_COEF!W523~BOM_COEF!X523~BOM_COEF!Y523~BOM_COEF!Z523~BOM_COEF!AA523),1,1,INDEX(P_VAL,MATCH("AÑO_DIS",P_ID,0))-2025)</f>
        <v>0.5</v>
      </c>
      <c r="G449" s="24" t="s">
        <v>2281</v>
      </c>
      <c r="H449" s="42" t="n">
        <f aca="false">BOM_COEF!R523*DEMANDA!F40</f>
        <v>0.5</v>
      </c>
      <c r="I449" s="42" t="n">
        <f aca="false">BOM_COEF!S523*DEMANDA!G40</f>
        <v>1</v>
      </c>
      <c r="J449" s="42" t="n">
        <f aca="false">BOM_COEF!T523*DEMANDA!H40</f>
        <v>2</v>
      </c>
      <c r="K449" s="42" t="n">
        <f aca="false">BOM_COEF!U523*DEMANDA!I40</f>
        <v>3</v>
      </c>
      <c r="L449" s="42" t="n">
        <f aca="false">BOM_COEF!V523*DEMANDA!J40</f>
        <v>4.5</v>
      </c>
      <c r="M449" s="42" t="n">
        <f aca="false">BOM_COEF!W523*DEMANDA!K40</f>
        <v>5.5</v>
      </c>
      <c r="N449" s="42" t="n">
        <f aca="false">BOM_COEF!X523*DEMANDA!L40</f>
        <v>6.5</v>
      </c>
      <c r="O449" s="42" t="n">
        <f aca="false">BOM_COEF!Y523*DEMANDA!M40</f>
        <v>7.5</v>
      </c>
      <c r="P449" s="42" t="n">
        <f aca="false">BOM_COEF!Z523*DEMANDA!N40</f>
        <v>8</v>
      </c>
      <c r="Q449" s="42" t="n">
        <f aca="false">BOM_COEF!AA523*DEMANDA!O40</f>
        <v>9</v>
      </c>
      <c r="R449" s="24" t="s">
        <v>3541</v>
      </c>
    </row>
    <row r="450" customFormat="false" ht="15" hidden="false" customHeight="false" outlineLevel="1" collapsed="false">
      <c r="A450" s="24" t="n">
        <v>1</v>
      </c>
      <c r="B450" s="24" t="s">
        <v>1381</v>
      </c>
      <c r="C450" s="40" t="s">
        <v>3543</v>
      </c>
      <c r="D450" s="24" t="s">
        <v>82</v>
      </c>
      <c r="E450" s="24" t="s">
        <v>315</v>
      </c>
      <c r="F450" s="41" t="n">
        <f aca="false">INDEX((BOM_COEF!R537~BOM_COEF!S537~BOM_COEF!T537~BOM_COEF!U537~BOM_COEF!V537~BOM_COEF!W537~BOM_COEF!X537~BOM_COEF!Y537~BOM_COEF!Z537~BOM_COEF!AA537),1,1,INDEX(P_VAL,MATCH("AÑO_DIS",P_ID,0))-2025)</f>
        <v>0.5</v>
      </c>
      <c r="G450" s="24" t="s">
        <v>2281</v>
      </c>
      <c r="H450" s="42" t="n">
        <f aca="false">BOM_COEF!R537*DEMANDA!F30</f>
        <v>5.689597715</v>
      </c>
      <c r="I450" s="42" t="n">
        <f aca="false">BOM_COEF!S537*DEMANDA!G30</f>
        <v>41.61175982</v>
      </c>
      <c r="J450" s="42" t="n">
        <f aca="false">BOM_COEF!T537*DEMANDA!H30</f>
        <v>82.23191685</v>
      </c>
      <c r="K450" s="42" t="n">
        <f aca="false">BOM_COEF!U537*DEMANDA!I30</f>
        <v>140.67057265</v>
      </c>
      <c r="L450" s="42" t="n">
        <f aca="false">BOM_COEF!V537*DEMANDA!J30</f>
        <v>199.45125455</v>
      </c>
      <c r="M450" s="42" t="n">
        <f aca="false">BOM_COEF!W537*DEMANDA!K30</f>
        <v>257.2636422</v>
      </c>
      <c r="N450" s="42" t="n">
        <f aca="false">BOM_COEF!X537*DEMANDA!L30</f>
        <v>314.53275255</v>
      </c>
      <c r="O450" s="42" t="n">
        <f aca="false">BOM_COEF!Y537*DEMANDA!M30</f>
        <v>355.58901185</v>
      </c>
      <c r="P450" s="42" t="n">
        <f aca="false">BOM_COEF!Z537*DEMANDA!N30</f>
        <v>386.7054899</v>
      </c>
      <c r="Q450" s="42" t="n">
        <f aca="false">BOM_COEF!AA537*DEMANDA!O30</f>
        <v>418.17540255</v>
      </c>
      <c r="R450" s="24" t="s">
        <v>3544</v>
      </c>
    </row>
    <row r="451" customFormat="false" ht="15" hidden="false" customHeight="false" outlineLevel="1" collapsed="false">
      <c r="A451" s="24" t="n">
        <v>1</v>
      </c>
      <c r="B451" s="24" t="s">
        <v>1381</v>
      </c>
      <c r="C451" s="40" t="s">
        <v>3545</v>
      </c>
      <c r="D451" s="24" t="s">
        <v>82</v>
      </c>
      <c r="E451" s="24" t="s">
        <v>348</v>
      </c>
      <c r="F451" s="41" t="n">
        <f aca="false">INDEX((BOM_COEF!R537~BOM_COEF!S537~BOM_COEF!T537~BOM_COEF!U537~BOM_COEF!V537~BOM_COEF!W537~BOM_COEF!X537~BOM_COEF!Y537~BOM_COEF!Z537~BOM_COEF!AA537),1,1,INDEX(P_VAL,MATCH("AÑO_DIS",P_ID,0))-2025)</f>
        <v>0.5</v>
      </c>
      <c r="G451" s="24" t="s">
        <v>2281</v>
      </c>
      <c r="H451" s="42" t="n">
        <f aca="false">BOM_COEF!R537*DEMANDA!F41</f>
        <v>0.5</v>
      </c>
      <c r="I451" s="42" t="n">
        <f aca="false">BOM_COEF!S537*DEMANDA!G41</f>
        <v>0.5</v>
      </c>
      <c r="J451" s="42" t="n">
        <f aca="false">BOM_COEF!T537*DEMANDA!H41</f>
        <v>1</v>
      </c>
      <c r="K451" s="42" t="n">
        <f aca="false">BOM_COEF!U537*DEMANDA!I41</f>
        <v>2</v>
      </c>
      <c r="L451" s="42" t="n">
        <f aca="false">BOM_COEF!V537*DEMANDA!J41</f>
        <v>2.5</v>
      </c>
      <c r="M451" s="42" t="n">
        <f aca="false">BOM_COEF!W537*DEMANDA!K41</f>
        <v>3</v>
      </c>
      <c r="N451" s="42" t="n">
        <f aca="false">BOM_COEF!X537*DEMANDA!L41</f>
        <v>3.5</v>
      </c>
      <c r="O451" s="42" t="n">
        <f aca="false">BOM_COEF!Y537*DEMANDA!M41</f>
        <v>4</v>
      </c>
      <c r="P451" s="42" t="n">
        <f aca="false">BOM_COEF!Z537*DEMANDA!N41</f>
        <v>4.5</v>
      </c>
      <c r="Q451" s="42" t="n">
        <f aca="false">BOM_COEF!AA537*DEMANDA!O41</f>
        <v>5</v>
      </c>
      <c r="R451" s="24" t="s">
        <v>3544</v>
      </c>
    </row>
    <row r="452" customFormat="false" ht="15" hidden="false" customHeight="false" outlineLevel="1" collapsed="false">
      <c r="A452" s="24" t="n">
        <v>1</v>
      </c>
      <c r="B452" s="24" t="s">
        <v>1381</v>
      </c>
      <c r="C452" s="40" t="s">
        <v>3546</v>
      </c>
      <c r="D452" s="24" t="s">
        <v>82</v>
      </c>
      <c r="E452" s="24" t="s">
        <v>318</v>
      </c>
      <c r="F452" s="41" t="n">
        <f aca="false">INDEX((BOM_COEF!R552~BOM_COEF!S552~BOM_COEF!T552~BOM_COEF!U552~BOM_COEF!V552~BOM_COEF!W552~BOM_COEF!X552~BOM_COEF!Y552~BOM_COEF!Z552~BOM_COEF!AA552),1,1,INDEX(P_VAL,MATCH("AÑO_DIS",P_ID,0))-2025)</f>
        <v>0.2</v>
      </c>
      <c r="G452" s="24" t="s">
        <v>2281</v>
      </c>
      <c r="H452" s="42" t="n">
        <f aca="false">BOM_COEF!R552*DEMANDA!F31</f>
        <v>1.3655034518</v>
      </c>
      <c r="I452" s="42" t="n">
        <f aca="false">BOM_COEF!S552*DEMANDA!G31</f>
        <v>9.414622418</v>
      </c>
      <c r="J452" s="42" t="n">
        <f aca="false">BOM_COEF!T552*DEMANDA!H31</f>
        <v>17.777935246</v>
      </c>
      <c r="K452" s="42" t="n">
        <f aca="false">BOM_COEF!U552*DEMANDA!I31</f>
        <v>31.90049826</v>
      </c>
      <c r="L452" s="42" t="n">
        <f aca="false">BOM_COEF!V552*DEMANDA!J31</f>
        <v>43.95924038</v>
      </c>
      <c r="M452" s="42" t="n">
        <f aca="false">BOM_COEF!W552*DEMANDA!K31</f>
        <v>58.37397062</v>
      </c>
      <c r="N452" s="42" t="n">
        <f aca="false">BOM_COEF!X552*DEMANDA!L31</f>
        <v>73.76883384</v>
      </c>
      <c r="O452" s="42" t="n">
        <f aca="false">BOM_COEF!Y552*DEMANDA!M31</f>
        <v>81.68179062</v>
      </c>
      <c r="P452" s="42" t="n">
        <f aca="false">BOM_COEF!Z552*DEMANDA!N31</f>
        <v>89.15638886</v>
      </c>
      <c r="Q452" s="42" t="n">
        <f aca="false">BOM_COEF!AA552*DEMANDA!O31</f>
        <v>96.69584068</v>
      </c>
      <c r="R452" s="24" t="s">
        <v>3547</v>
      </c>
    </row>
    <row r="453" customFormat="false" ht="15" hidden="false" customHeight="false" outlineLevel="1" collapsed="false">
      <c r="A453" s="24" t="n">
        <v>1</v>
      </c>
      <c r="B453" s="24" t="s">
        <v>1381</v>
      </c>
      <c r="C453" s="40" t="s">
        <v>3548</v>
      </c>
      <c r="D453" s="24" t="s">
        <v>82</v>
      </c>
      <c r="E453" s="24" t="s">
        <v>351</v>
      </c>
      <c r="F453" s="41" t="n">
        <f aca="false">INDEX((BOM_COEF!R552~BOM_COEF!S552~BOM_COEF!T552~BOM_COEF!U552~BOM_COEF!V552~BOM_COEF!W552~BOM_COEF!X552~BOM_COEF!Y552~BOM_COEF!Z552~BOM_COEF!AA552),1,1,INDEX(P_VAL,MATCH("AÑO_DIS",P_ID,0))-2025)</f>
        <v>0.2</v>
      </c>
      <c r="G453" s="24" t="s">
        <v>2281</v>
      </c>
      <c r="H453" s="42" t="n">
        <f aca="false">BOM_COEF!R552*DEMANDA!F42</f>
        <v>0.2</v>
      </c>
      <c r="I453" s="42" t="n">
        <f aca="false">BOM_COEF!S552*DEMANDA!G42</f>
        <v>0.2</v>
      </c>
      <c r="J453" s="42" t="n">
        <f aca="false">BOM_COEF!T552*DEMANDA!H42</f>
        <v>0.2</v>
      </c>
      <c r="K453" s="42" t="n">
        <f aca="false">BOM_COEF!U552*DEMANDA!I42</f>
        <v>0.4</v>
      </c>
      <c r="L453" s="42" t="n">
        <f aca="false">BOM_COEF!V552*DEMANDA!J42</f>
        <v>0.6</v>
      </c>
      <c r="M453" s="42" t="n">
        <f aca="false">BOM_COEF!W552*DEMANDA!K42</f>
        <v>0.8</v>
      </c>
      <c r="N453" s="42" t="n">
        <f aca="false">BOM_COEF!X552*DEMANDA!L42</f>
        <v>0.8</v>
      </c>
      <c r="O453" s="42" t="n">
        <f aca="false">BOM_COEF!Y552*DEMANDA!M42</f>
        <v>1</v>
      </c>
      <c r="P453" s="42" t="n">
        <f aca="false">BOM_COEF!Z552*DEMANDA!N42</f>
        <v>1</v>
      </c>
      <c r="Q453" s="42" t="n">
        <f aca="false">BOM_COEF!AA552*DEMANDA!O42</f>
        <v>1.2</v>
      </c>
      <c r="R453" s="24" t="s">
        <v>3547</v>
      </c>
    </row>
    <row r="454" customFormat="false" ht="15" hidden="false" customHeight="false" outlineLevel="1" collapsed="false">
      <c r="A454" s="24" t="n">
        <v>1</v>
      </c>
      <c r="B454" s="24" t="s">
        <v>1381</v>
      </c>
      <c r="C454" s="40" t="s">
        <v>3549</v>
      </c>
      <c r="D454" s="24" t="s">
        <v>82</v>
      </c>
      <c r="E454" s="24" t="s">
        <v>321</v>
      </c>
      <c r="F454" s="41" t="n">
        <f aca="false">INDEX((BOM_COEF!R564~BOM_COEF!S564~BOM_COEF!T564~BOM_COEF!U564~BOM_COEF!V564~BOM_COEF!W564~BOM_COEF!X564~BOM_COEF!Y564~BOM_COEF!Z564~BOM_COEF!AA564),1,1,INDEX(P_VAL,MATCH("AÑO_DIS",P_ID,0))-2025)</f>
        <v>0.5</v>
      </c>
      <c r="G454" s="24" t="s">
        <v>2281</v>
      </c>
      <c r="H454" s="42" t="n">
        <f aca="false">BOM_COEF!R564*DEMANDA!F32</f>
        <v>40.965103555</v>
      </c>
      <c r="I454" s="42" t="n">
        <f aca="false">BOM_COEF!S564*DEMANDA!G32</f>
        <v>167.69942765</v>
      </c>
      <c r="J454" s="42" t="n">
        <f aca="false">BOM_COEF!T564*DEMANDA!H32</f>
        <v>373.29917605</v>
      </c>
      <c r="K454" s="42" t="n">
        <f aca="false">BOM_COEF!U564*DEMANDA!I32</f>
        <v>679.4499185</v>
      </c>
      <c r="L454" s="42" t="n">
        <f aca="false">BOM_COEF!V564*DEMANDA!J32</f>
        <v>980.562761</v>
      </c>
      <c r="M454" s="42" t="n">
        <f aca="false">BOM_COEF!W564*DEMANDA!K32</f>
        <v>1299.270706</v>
      </c>
      <c r="N454" s="42" t="n">
        <f aca="false">BOM_COEF!X564*DEMANDA!L32</f>
        <v>1598.6317385</v>
      </c>
      <c r="O454" s="42" t="n">
        <f aca="false">BOM_COEF!Y564*DEMANDA!M32</f>
        <v>1789.269726</v>
      </c>
      <c r="P454" s="42" t="n">
        <f aca="false">BOM_COEF!Z564*DEMANDA!N32</f>
        <v>1935.3739985</v>
      </c>
      <c r="Q454" s="42" t="n">
        <f aca="false">BOM_COEF!AA564*DEMANDA!O32</f>
        <v>2083.779811</v>
      </c>
      <c r="R454" s="24" t="s">
        <v>3550</v>
      </c>
    </row>
    <row r="455" customFormat="false" ht="15" hidden="false" customHeight="false" outlineLevel="1" collapsed="false">
      <c r="A455" s="24" t="n">
        <v>1</v>
      </c>
      <c r="B455" s="24" t="s">
        <v>1381</v>
      </c>
      <c r="C455" s="40" t="s">
        <v>3551</v>
      </c>
      <c r="D455" s="24" t="s">
        <v>82</v>
      </c>
      <c r="E455" s="24" t="s">
        <v>354</v>
      </c>
      <c r="F455" s="41" t="n">
        <f aca="false">INDEX((BOM_COEF!R564~BOM_COEF!S564~BOM_COEF!T564~BOM_COEF!U564~BOM_COEF!V564~BOM_COEF!W564~BOM_COEF!X564~BOM_COEF!Y564~BOM_COEF!Z564~BOM_COEF!AA564),1,1,INDEX(P_VAL,MATCH("AÑO_DIS",P_ID,0))-2025)</f>
        <v>0.5</v>
      </c>
      <c r="G455" s="24" t="s">
        <v>2281</v>
      </c>
      <c r="H455" s="42" t="n">
        <f aca="false">BOM_COEF!R564*DEMANDA!F43</f>
        <v>0.5</v>
      </c>
      <c r="I455" s="42" t="n">
        <f aca="false">BOM_COEF!S564*DEMANDA!G43</f>
        <v>2</v>
      </c>
      <c r="J455" s="42" t="n">
        <f aca="false">BOM_COEF!T564*DEMANDA!H43</f>
        <v>4.5</v>
      </c>
      <c r="K455" s="42" t="n">
        <f aca="false">BOM_COEF!U564*DEMANDA!I43</f>
        <v>7.5</v>
      </c>
      <c r="L455" s="42" t="n">
        <f aca="false">BOM_COEF!V564*DEMANDA!J43</f>
        <v>11</v>
      </c>
      <c r="M455" s="42" t="n">
        <f aca="false">BOM_COEF!W564*DEMANDA!K43</f>
        <v>14.5</v>
      </c>
      <c r="N455" s="42" t="n">
        <f aca="false">BOM_COEF!X564*DEMANDA!L43</f>
        <v>17.5</v>
      </c>
      <c r="O455" s="42" t="n">
        <f aca="false">BOM_COEF!Y564*DEMANDA!M43</f>
        <v>19.5</v>
      </c>
      <c r="P455" s="42" t="n">
        <f aca="false">BOM_COEF!Z564*DEMANDA!N43</f>
        <v>21</v>
      </c>
      <c r="Q455" s="42" t="n">
        <f aca="false">BOM_COEF!AA564*DEMANDA!O43</f>
        <v>22.5</v>
      </c>
      <c r="R455" s="24" t="s">
        <v>3550</v>
      </c>
    </row>
    <row r="456" customFormat="false" ht="15" hidden="false" customHeight="false" outlineLevel="1" collapsed="false">
      <c r="A456" s="24" t="n">
        <v>1</v>
      </c>
      <c r="B456" s="24" t="s">
        <v>1381</v>
      </c>
      <c r="C456" s="40" t="s">
        <v>3552</v>
      </c>
      <c r="D456" s="24" t="s">
        <v>82</v>
      </c>
      <c r="E456" s="24" t="s">
        <v>330</v>
      </c>
      <c r="F456" s="41" t="n">
        <f aca="false">INDEX((BOM_COEF!R597~BOM_COEF!S597~BOM_COEF!T597~BOM_COEF!U597~BOM_COEF!V597~BOM_COEF!W597~BOM_COEF!X597~BOM_COEF!Y597~BOM_COEF!Z597~BOM_COEF!AA597),1,1,INDEX(P_VAL,MATCH("AÑO_DIS",P_ID,0))-2025)</f>
        <v>0.2</v>
      </c>
      <c r="G456" s="24" t="s">
        <v>2281</v>
      </c>
      <c r="H456" s="42" t="n">
        <f aca="false">BOM_COEF!R597*DEMANDA!F35</f>
        <v>3.641342538</v>
      </c>
      <c r="I456" s="42" t="n">
        <f aca="false">BOM_COEF!S597*DEMANDA!G35</f>
        <v>22.41502438</v>
      </c>
      <c r="J456" s="42" t="n">
        <f aca="false">BOM_COEF!T597*DEMANDA!H35</f>
        <v>46.17080824</v>
      </c>
      <c r="K456" s="42" t="n">
        <f aca="false">BOM_COEF!U597*DEMANDA!I35</f>
        <v>80.1430669</v>
      </c>
      <c r="L456" s="42" t="n">
        <f aca="false">BOM_COEF!V597*DEMANDA!J35</f>
        <v>114.9015579</v>
      </c>
      <c r="M456" s="42" t="n">
        <f aca="false">BOM_COEF!W597*DEMANDA!K35</f>
        <v>150.86912456</v>
      </c>
      <c r="N456" s="42" t="n">
        <f aca="false">BOM_COEF!X597*DEMANDA!L35</f>
        <v>188.96976808</v>
      </c>
      <c r="O456" s="42" t="n">
        <f aca="false">BOM_COEF!Y597*DEMANDA!M35</f>
        <v>214.4469342</v>
      </c>
      <c r="P456" s="42" t="n">
        <f aca="false">BOM_COEF!Z597*DEMANDA!N35</f>
        <v>234.3391506</v>
      </c>
      <c r="Q456" s="42" t="n">
        <f aca="false">BOM_COEF!AA597*DEMANDA!O35</f>
        <v>254.3882198</v>
      </c>
      <c r="R456" s="24" t="s">
        <v>3553</v>
      </c>
    </row>
    <row r="457" customFormat="false" ht="15" hidden="false" customHeight="false" outlineLevel="1" collapsed="false">
      <c r="A457" s="24" t="n">
        <v>1</v>
      </c>
      <c r="B457" s="24" t="s">
        <v>1381</v>
      </c>
      <c r="C457" s="40" t="s">
        <v>3554</v>
      </c>
      <c r="D457" s="24" t="s">
        <v>82</v>
      </c>
      <c r="E457" s="24" t="s">
        <v>360</v>
      </c>
      <c r="F457" s="41" t="n">
        <f aca="false">INDEX((BOM_COEF!R597~BOM_COEF!S597~BOM_COEF!T597~BOM_COEF!U597~BOM_COEF!V597~BOM_COEF!W597~BOM_COEF!X597~BOM_COEF!Y597~BOM_COEF!Z597~BOM_COEF!AA597),1,1,INDEX(P_VAL,MATCH("AÑO_DIS",P_ID,0))-2025)</f>
        <v>0.2</v>
      </c>
      <c r="G457" s="24" t="s">
        <v>2281</v>
      </c>
      <c r="H457" s="42" t="n">
        <f aca="false">BOM_COEF!R597*DEMANDA!F45</f>
        <v>0.2</v>
      </c>
      <c r="I457" s="42" t="n">
        <f aca="false">BOM_COEF!S597*DEMANDA!G45</f>
        <v>0.4</v>
      </c>
      <c r="J457" s="42" t="n">
        <f aca="false">BOM_COEF!T597*DEMANDA!H45</f>
        <v>0.6</v>
      </c>
      <c r="K457" s="42" t="n">
        <f aca="false">BOM_COEF!U597*DEMANDA!I45</f>
        <v>1</v>
      </c>
      <c r="L457" s="42" t="n">
        <f aca="false">BOM_COEF!V597*DEMANDA!J45</f>
        <v>1.4</v>
      </c>
      <c r="M457" s="42" t="n">
        <f aca="false">BOM_COEF!W597*DEMANDA!K45</f>
        <v>1.8</v>
      </c>
      <c r="N457" s="42" t="n">
        <f aca="false">BOM_COEF!X597*DEMANDA!L45</f>
        <v>2.2</v>
      </c>
      <c r="O457" s="42" t="n">
        <f aca="false">BOM_COEF!Y597*DEMANDA!M45</f>
        <v>2.4</v>
      </c>
      <c r="P457" s="42" t="n">
        <f aca="false">BOM_COEF!Z597*DEMANDA!N45</f>
        <v>2.6</v>
      </c>
      <c r="Q457" s="42" t="n">
        <f aca="false">BOM_COEF!AA597*DEMANDA!O45</f>
        <v>2.8</v>
      </c>
      <c r="R457" s="24" t="s">
        <v>3553</v>
      </c>
    </row>
    <row r="458" customFormat="false" ht="15" hidden="false" customHeight="false" outlineLevel="1" collapsed="false">
      <c r="A458" s="24" t="n">
        <v>1</v>
      </c>
      <c r="B458" s="24" t="s">
        <v>1381</v>
      </c>
      <c r="C458" s="40" t="s">
        <v>3555</v>
      </c>
      <c r="D458" s="24" t="s">
        <v>82</v>
      </c>
      <c r="E458" s="24" t="s">
        <v>333</v>
      </c>
      <c r="F458" s="41" t="n">
        <f aca="false">INDEX((BOM_COEF!R609~BOM_COEF!S609~BOM_COEF!T609~BOM_COEF!U609~BOM_COEF!V609~BOM_COEF!W609~BOM_COEF!X609~BOM_COEF!Y609~BOM_COEF!Z609~BOM_COEF!AA609),1,1,INDEX(P_VAL,MATCH("AÑO_DIS",P_ID,0))-2025)</f>
        <v>0.2</v>
      </c>
      <c r="G458" s="24" t="s">
        <v>2281</v>
      </c>
      <c r="H458" s="42" t="n">
        <f aca="false">BOM_COEF!R609*DEMANDA!F36</f>
        <v>1.3655034518</v>
      </c>
      <c r="I458" s="42" t="n">
        <f aca="false">BOM_COEF!S609*DEMANDA!G36</f>
        <v>9.414622418</v>
      </c>
      <c r="J458" s="42" t="n">
        <f aca="false">BOM_COEF!T609*DEMANDA!H36</f>
        <v>17.777935246</v>
      </c>
      <c r="K458" s="42" t="n">
        <f aca="false">BOM_COEF!U609*DEMANDA!I36</f>
        <v>29.65583648</v>
      </c>
      <c r="L458" s="42" t="n">
        <f aca="false">BOM_COEF!V609*DEMANDA!J36</f>
        <v>41.04521064</v>
      </c>
      <c r="M458" s="42" t="n">
        <f aca="false">BOM_COEF!W609*DEMANDA!K36</f>
        <v>51.153029</v>
      </c>
      <c r="N458" s="42" t="n">
        <f aca="false">BOM_COEF!X609*DEMANDA!L36</f>
        <v>65.68358036</v>
      </c>
      <c r="O458" s="42" t="n">
        <f aca="false">BOM_COEF!Y609*DEMANDA!M36</f>
        <v>73.38161426</v>
      </c>
      <c r="P458" s="42" t="n">
        <f aca="false">BOM_COEF!Z609*DEMANDA!N36</f>
        <v>80.33634142</v>
      </c>
      <c r="Q458" s="42" t="n">
        <f aca="false">BOM_COEF!AA609*DEMANDA!O36</f>
        <v>87.33735646</v>
      </c>
      <c r="R458" s="24" t="s">
        <v>3556</v>
      </c>
    </row>
    <row r="459" customFormat="false" ht="15" hidden="false" customHeight="false" outlineLevel="1" collapsed="false">
      <c r="A459" s="24" t="n">
        <v>1</v>
      </c>
      <c r="B459" s="24" t="s">
        <v>1381</v>
      </c>
      <c r="C459" s="40" t="s">
        <v>3557</v>
      </c>
      <c r="D459" s="24" t="s">
        <v>82</v>
      </c>
      <c r="E459" s="24" t="s">
        <v>363</v>
      </c>
      <c r="F459" s="41" t="n">
        <f aca="false">INDEX((BOM_COEF!R609~BOM_COEF!S609~BOM_COEF!T609~BOM_COEF!U609~BOM_COEF!V609~BOM_COEF!W609~BOM_COEF!X609~BOM_COEF!Y609~BOM_COEF!Z609~BOM_COEF!AA609),1,1,INDEX(P_VAL,MATCH("AÑO_DIS",P_ID,0))-2025)</f>
        <v>0.2</v>
      </c>
      <c r="G459" s="24" t="s">
        <v>2281</v>
      </c>
      <c r="H459" s="42" t="n">
        <f aca="false">BOM_COEF!R609*DEMANDA!F46</f>
        <v>0.2</v>
      </c>
      <c r="I459" s="42" t="n">
        <f aca="false">BOM_COEF!S609*DEMANDA!G46</f>
        <v>0.2</v>
      </c>
      <c r="J459" s="42" t="n">
        <f aca="false">BOM_COEF!T609*DEMANDA!H46</f>
        <v>0.2</v>
      </c>
      <c r="K459" s="42" t="n">
        <f aca="false">BOM_COEF!U609*DEMANDA!I46</f>
        <v>0.4</v>
      </c>
      <c r="L459" s="42" t="n">
        <f aca="false">BOM_COEF!V609*DEMANDA!J46</f>
        <v>0.6</v>
      </c>
      <c r="M459" s="42" t="n">
        <f aca="false">BOM_COEF!W609*DEMANDA!K46</f>
        <v>0.6</v>
      </c>
      <c r="N459" s="42" t="n">
        <f aca="false">BOM_COEF!X609*DEMANDA!L46</f>
        <v>0.8</v>
      </c>
      <c r="O459" s="42" t="n">
        <f aca="false">BOM_COEF!Y609*DEMANDA!M46</f>
        <v>0.8</v>
      </c>
      <c r="P459" s="42" t="n">
        <f aca="false">BOM_COEF!Z609*DEMANDA!N46</f>
        <v>1</v>
      </c>
      <c r="Q459" s="42" t="n">
        <f aca="false">BOM_COEF!AA609*DEMANDA!O46</f>
        <v>1</v>
      </c>
      <c r="R459" s="24" t="s">
        <v>3556</v>
      </c>
    </row>
    <row r="460" customFormat="false" ht="15" hidden="false" customHeight="false" outlineLevel="0" collapsed="false">
      <c r="A460" s="38" t="n">
        <v>0</v>
      </c>
      <c r="B460" s="38" t="s">
        <v>1355</v>
      </c>
      <c r="C460" s="38" t="s">
        <v>1354</v>
      </c>
      <c r="D460" s="38" t="s">
        <v>82</v>
      </c>
      <c r="E460" s="38"/>
      <c r="F460" s="38"/>
      <c r="G460" s="38"/>
      <c r="H460" s="39" t="n">
        <f aca="false">SUM(H461:H489)</f>
        <v>6911.793098083</v>
      </c>
      <c r="I460" s="39" t="n">
        <f aca="false">SUM(I461:I489)</f>
        <v>30997.68091414</v>
      </c>
      <c r="J460" s="39" t="n">
        <f aca="false">SUM(J461:J489)</f>
        <v>62151.05799968</v>
      </c>
      <c r="K460" s="39" t="n">
        <f aca="false">SUM(K461:K489)</f>
        <v>115285.7954345</v>
      </c>
      <c r="L460" s="39" t="n">
        <f aca="false">SUM(L461:L489)</f>
        <v>169687.3957989</v>
      </c>
      <c r="M460" s="39" t="n">
        <f aca="false">SUM(M461:M489)</f>
        <v>230961.1081102</v>
      </c>
      <c r="N460" s="39" t="n">
        <f aca="false">SUM(N461:N489)</f>
        <v>286842.7821746</v>
      </c>
      <c r="O460" s="39" t="n">
        <f aca="false">SUM(O461:O489)</f>
        <v>326096.2382256</v>
      </c>
      <c r="P460" s="39" t="n">
        <f aca="false">SUM(P461:P489)</f>
        <v>350752.7154843</v>
      </c>
      <c r="Q460" s="39" t="n">
        <f aca="false">SUM(Q461:Q489)</f>
        <v>375925.689583</v>
      </c>
      <c r="R460" s="38"/>
    </row>
    <row r="461" customFormat="false" ht="15" hidden="false" customHeight="false" outlineLevel="1" collapsed="false">
      <c r="A461" s="24" t="n">
        <v>1</v>
      </c>
      <c r="B461" s="24" t="s">
        <v>1355</v>
      </c>
      <c r="C461" s="40" t="s">
        <v>3558</v>
      </c>
      <c r="D461" s="24" t="s">
        <v>82</v>
      </c>
      <c r="E461" s="24" t="s">
        <v>282</v>
      </c>
      <c r="F461" s="41" t="n">
        <f aca="false">INDEX((BOM_COEF!R385~BOM_COEF!S385~BOM_COEF!T385~BOM_COEF!U385~BOM_COEF!V385~BOM_COEF!W385~BOM_COEF!X385~BOM_COEF!Y385~BOM_COEF!Z385~BOM_COEF!AA385),1,1,INDEX(P_VAL,MATCH("AÑO_DIS",P_ID,0))-2025)</f>
        <v>1</v>
      </c>
      <c r="G461" s="24" t="s">
        <v>2281</v>
      </c>
      <c r="H461" s="42" t="n">
        <f aca="false">BOM_COEF!R385*DEMANDA!F20</f>
        <v>3477.482124</v>
      </c>
      <c r="I461" s="42" t="n">
        <f aca="false">BOM_COEF!S385*DEMANDA!G20</f>
        <v>16970.58564</v>
      </c>
      <c r="J461" s="42" t="n">
        <f aca="false">BOM_COEF!T385*DEMANDA!H20</f>
        <v>30546.08951</v>
      </c>
      <c r="K461" s="42" t="n">
        <f aca="false">BOM_COEF!U385*DEMANDA!I20</f>
        <v>56048.31106</v>
      </c>
      <c r="L461" s="42" t="n">
        <f aca="false">BOM_COEF!V385*DEMANDA!J20</f>
        <v>84270.22613</v>
      </c>
      <c r="M461" s="42" t="n">
        <f aca="false">BOM_COEF!W385*DEMANDA!K20</f>
        <v>117407.8231</v>
      </c>
      <c r="N461" s="42" t="n">
        <f aca="false">BOM_COEF!X385*DEMANDA!L20</f>
        <v>147610.6356</v>
      </c>
      <c r="O461" s="42" t="n">
        <f aca="false">BOM_COEF!Y385*DEMANDA!M20</f>
        <v>171404.3607</v>
      </c>
      <c r="P461" s="42" t="n">
        <f aca="false">BOM_COEF!Z385*DEMANDA!N20</f>
        <v>183690.566</v>
      </c>
      <c r="Q461" s="42" t="n">
        <f aca="false">BOM_COEF!AA385*DEMANDA!O20</f>
        <v>196282.6907</v>
      </c>
      <c r="R461" s="24" t="s">
        <v>3559</v>
      </c>
    </row>
    <row r="462" customFormat="false" ht="15" hidden="false" customHeight="false" outlineLevel="1" collapsed="false">
      <c r="A462" s="24" t="n">
        <v>1</v>
      </c>
      <c r="B462" s="24" t="s">
        <v>1355</v>
      </c>
      <c r="C462" s="40" t="s">
        <v>3560</v>
      </c>
      <c r="D462" s="24" t="s">
        <v>82</v>
      </c>
      <c r="E462" s="24" t="s">
        <v>286</v>
      </c>
      <c r="F462" s="41" t="n">
        <f aca="false">INDEX((BOM_COEF!R399~BOM_COEF!S399~BOM_COEF!T399~BOM_COEF!U399~BOM_COEF!V399~BOM_COEF!W399~BOM_COEF!X399~BOM_COEF!Y399~BOM_COEF!Z399~BOM_COEF!AA399),1,1,INDEX(P_VAL,MATCH("AÑO_DIS",P_ID,0))-2025)</f>
        <v>1</v>
      </c>
      <c r="G462" s="24" t="s">
        <v>2281</v>
      </c>
      <c r="H462" s="42" t="n">
        <f aca="false">BOM_COEF!R399*DEMANDA!F21</f>
        <v>329.9966675</v>
      </c>
      <c r="I462" s="42" t="n">
        <f aca="false">BOM_COEF!S399*DEMANDA!G21</f>
        <v>1287.414024</v>
      </c>
      <c r="J462" s="42" t="n">
        <f aca="false">BOM_COEF!T399*DEMANDA!H21</f>
        <v>2947.169216</v>
      </c>
      <c r="K462" s="42" t="n">
        <f aca="false">BOM_COEF!U399*DEMANDA!I21</f>
        <v>5426.043269</v>
      </c>
      <c r="L462" s="42" t="n">
        <f aca="false">BOM_COEF!V399*DEMANDA!J21</f>
        <v>7850.875806</v>
      </c>
      <c r="M462" s="42" t="n">
        <f aca="false">BOM_COEF!W399*DEMANDA!K21</f>
        <v>10423.94365</v>
      </c>
      <c r="N462" s="42" t="n">
        <f aca="false">BOM_COEF!X399*DEMANDA!L21</f>
        <v>12809.89571</v>
      </c>
      <c r="O462" s="42" t="n">
        <f aca="false">BOM_COEF!Y399*DEMANDA!M21</f>
        <v>14263.06831</v>
      </c>
      <c r="P462" s="42" t="n">
        <f aca="false">BOM_COEF!Z399*DEMANDA!N21</f>
        <v>15432.86983</v>
      </c>
      <c r="Q462" s="42" t="n">
        <f aca="false">BOM_COEF!AA399*DEMANDA!O21</f>
        <v>16620.76117</v>
      </c>
      <c r="R462" s="24" t="s">
        <v>3561</v>
      </c>
    </row>
    <row r="463" customFormat="false" ht="15" hidden="false" customHeight="false" outlineLevel="1" collapsed="false">
      <c r="A463" s="24" t="n">
        <v>1</v>
      </c>
      <c r="B463" s="24" t="s">
        <v>1355</v>
      </c>
      <c r="C463" s="40" t="s">
        <v>3562</v>
      </c>
      <c r="D463" s="24" t="s">
        <v>82</v>
      </c>
      <c r="E463" s="24" t="s">
        <v>290</v>
      </c>
      <c r="F463" s="41" t="n">
        <f aca="false">INDEX((BOM_COEF!R414~BOM_COEF!S414~BOM_COEF!T414~BOM_COEF!U414~BOM_COEF!V414~BOM_COEF!W414~BOM_COEF!X414~BOM_COEF!Y414~BOM_COEF!Z414~BOM_COEF!AA414),1,1,INDEX(P_VAL,MATCH("AÑO_DIS",P_ID,0))-2025)</f>
        <v>1</v>
      </c>
      <c r="G463" s="24" t="s">
        <v>2281</v>
      </c>
      <c r="H463" s="42" t="n">
        <f aca="false">BOM_COEF!R414*DEMANDA!F22</f>
        <v>1950.394097</v>
      </c>
      <c r="I463" s="42" t="n">
        <f aca="false">BOM_COEF!S414*DEMANDA!G22</f>
        <v>7852.61852</v>
      </c>
      <c r="J463" s="42" t="n">
        <f aca="false">BOM_COEF!T414*DEMANDA!H22</f>
        <v>17775.85701</v>
      </c>
      <c r="K463" s="42" t="n">
        <f aca="false">BOM_COEF!U414*DEMANDA!I22</f>
        <v>33605.56835</v>
      </c>
      <c r="L463" s="42" t="n">
        <f aca="false">BOM_COEF!V414*DEMANDA!J22</f>
        <v>48407.57189</v>
      </c>
      <c r="M463" s="42" t="n">
        <f aca="false">BOM_COEF!W414*DEMANDA!K22</f>
        <v>64323.04276</v>
      </c>
      <c r="N463" s="42" t="n">
        <f aca="false">BOM_COEF!X414*DEMANDA!L22</f>
        <v>78721.10039</v>
      </c>
      <c r="O463" s="42" t="n">
        <f aca="false">BOM_COEF!Y414*DEMANDA!M22</f>
        <v>87237.2124</v>
      </c>
      <c r="P463" s="42" t="n">
        <f aca="false">BOM_COEF!Z414*DEMANDA!N22</f>
        <v>94103.66761</v>
      </c>
      <c r="Q463" s="42" t="n">
        <f aca="false">BOM_COEF!AA414*DEMANDA!O22</f>
        <v>101095.1762</v>
      </c>
      <c r="R463" s="24" t="s">
        <v>3563</v>
      </c>
    </row>
    <row r="464" customFormat="false" ht="15" hidden="false" customHeight="false" outlineLevel="1" collapsed="false">
      <c r="A464" s="24" t="n">
        <v>1</v>
      </c>
      <c r="B464" s="24" t="s">
        <v>1355</v>
      </c>
      <c r="C464" s="40" t="s">
        <v>3564</v>
      </c>
      <c r="D464" s="24" t="s">
        <v>82</v>
      </c>
      <c r="E464" s="24" t="s">
        <v>336</v>
      </c>
      <c r="F464" s="41" t="n">
        <f aca="false">INDEX((BOM_COEF!R414~BOM_COEF!S414~BOM_COEF!T414~BOM_COEF!U414~BOM_COEF!V414~BOM_COEF!W414~BOM_COEF!X414~BOM_COEF!Y414~BOM_COEF!Z414~BOM_COEF!AA414),1,1,INDEX(P_VAL,MATCH("AÑO_DIS",P_ID,0))-2025)</f>
        <v>1</v>
      </c>
      <c r="G464" s="24" t="s">
        <v>2281</v>
      </c>
      <c r="H464" s="42" t="n">
        <f aca="false">BOM_COEF!R414*DEMANDA!F37</f>
        <v>63</v>
      </c>
      <c r="I464" s="42" t="n">
        <f aca="false">BOM_COEF!S414*DEMANDA!G37</f>
        <v>282</v>
      </c>
      <c r="J464" s="42" t="n">
        <f aca="false">BOM_COEF!T414*DEMANDA!H37</f>
        <v>553</v>
      </c>
      <c r="K464" s="42" t="n">
        <f aca="false">BOM_COEF!U414*DEMANDA!I37</f>
        <v>1025</v>
      </c>
      <c r="L464" s="42" t="n">
        <f aca="false">BOM_COEF!V414*DEMANDA!J37</f>
        <v>1515</v>
      </c>
      <c r="M464" s="42" t="n">
        <f aca="false">BOM_COEF!W414*DEMANDA!K37</f>
        <v>2072</v>
      </c>
      <c r="N464" s="42" t="n">
        <f aca="false">BOM_COEF!X414*DEMANDA!L37</f>
        <v>2579</v>
      </c>
      <c r="O464" s="42" t="n">
        <f aca="false">BOM_COEF!Y414*DEMANDA!M37</f>
        <v>2944</v>
      </c>
      <c r="P464" s="42" t="n">
        <f aca="false">BOM_COEF!Z414*DEMANDA!N37</f>
        <v>3164</v>
      </c>
      <c r="Q464" s="42" t="n">
        <f aca="false">BOM_COEF!AA414*DEMANDA!O37</f>
        <v>3388</v>
      </c>
      <c r="R464" s="24" t="s">
        <v>3563</v>
      </c>
    </row>
    <row r="465" customFormat="false" ht="15" hidden="false" customHeight="false" outlineLevel="1" collapsed="false">
      <c r="A465" s="24" t="n">
        <v>1</v>
      </c>
      <c r="B465" s="24" t="s">
        <v>1355</v>
      </c>
      <c r="C465" s="40" t="s">
        <v>3565</v>
      </c>
      <c r="D465" s="24" t="s">
        <v>82</v>
      </c>
      <c r="E465" s="24" t="s">
        <v>293</v>
      </c>
      <c r="F465" s="41" t="n">
        <f aca="false">INDEX((BOM_COEF!R429~BOM_COEF!S429~BOM_COEF!T429~BOM_COEF!U429~BOM_COEF!V429~BOM_COEF!W429~BOM_COEF!X429~BOM_COEF!Y429~BOM_COEF!Z429~BOM_COEF!AA429),1,1,INDEX(P_VAL,MATCH("AÑO_DIS",P_ID,0))-2025)</f>
        <v>1</v>
      </c>
      <c r="G465" s="24" t="s">
        <v>2281</v>
      </c>
      <c r="H465" s="42" t="n">
        <f aca="false">BOM_COEF!R429*DEMANDA!F23</f>
        <v>118.3436325</v>
      </c>
      <c r="I465" s="42" t="n">
        <f aca="false">BOM_COEF!S429*DEMANDA!G23</f>
        <v>437.7165779</v>
      </c>
      <c r="J465" s="42" t="n">
        <f aca="false">BOM_COEF!T429*DEMANDA!H23</f>
        <v>1024.974821</v>
      </c>
      <c r="K465" s="42" t="n">
        <f aca="false">BOM_COEF!U429*DEMANDA!I23</f>
        <v>1960.409862</v>
      </c>
      <c r="L465" s="42" t="n">
        <f aca="false">BOM_COEF!V429*DEMANDA!J23</f>
        <v>2844.976846</v>
      </c>
      <c r="M465" s="42" t="n">
        <f aca="false">BOM_COEF!W429*DEMANDA!K23</f>
        <v>3810.390622</v>
      </c>
      <c r="N465" s="42" t="n">
        <f aca="false">BOM_COEF!X429*DEMANDA!L23</f>
        <v>4663.67807</v>
      </c>
      <c r="O465" s="42" t="n">
        <f aca="false">BOM_COEF!Y429*DEMANDA!M23</f>
        <v>5164.514584</v>
      </c>
      <c r="P465" s="42" t="n">
        <f aca="false">BOM_COEF!Z429*DEMANDA!N23</f>
        <v>5571.544328</v>
      </c>
      <c r="Q465" s="42" t="n">
        <f aca="false">BOM_COEF!AA429*DEMANDA!O23</f>
        <v>5985.950855</v>
      </c>
      <c r="R465" s="24" t="s">
        <v>3566</v>
      </c>
    </row>
    <row r="466" customFormat="false" ht="15" hidden="false" customHeight="false" outlineLevel="1" collapsed="false">
      <c r="A466" s="24" t="n">
        <v>1</v>
      </c>
      <c r="B466" s="24" t="s">
        <v>1355</v>
      </c>
      <c r="C466" s="40" t="s">
        <v>3567</v>
      </c>
      <c r="D466" s="24" t="s">
        <v>82</v>
      </c>
      <c r="E466" s="24" t="s">
        <v>339</v>
      </c>
      <c r="F466" s="41" t="n">
        <f aca="false">INDEX((BOM_COEF!R429~BOM_COEF!S429~BOM_COEF!T429~BOM_COEF!U429~BOM_COEF!V429~BOM_COEF!W429~BOM_COEF!X429~BOM_COEF!Y429~BOM_COEF!Z429~BOM_COEF!AA429),1,1,INDEX(P_VAL,MATCH("AÑO_DIS",P_ID,0))-2025)</f>
        <v>1</v>
      </c>
      <c r="G466" s="24" t="s">
        <v>2281</v>
      </c>
      <c r="H466" s="42" t="n">
        <f aca="false">BOM_COEF!R429*DEMANDA!F38</f>
        <v>2</v>
      </c>
      <c r="I466" s="42" t="n">
        <f aca="false">BOM_COEF!S429*DEMANDA!G38</f>
        <v>5</v>
      </c>
      <c r="J466" s="42" t="n">
        <f aca="false">BOM_COEF!T429*DEMANDA!H38</f>
        <v>12</v>
      </c>
      <c r="K466" s="42" t="n">
        <f aca="false">BOM_COEF!U429*DEMANDA!I38</f>
        <v>22</v>
      </c>
      <c r="L466" s="42" t="n">
        <f aca="false">BOM_COEF!V429*DEMANDA!J38</f>
        <v>31</v>
      </c>
      <c r="M466" s="42" t="n">
        <f aca="false">BOM_COEF!W429*DEMANDA!K38</f>
        <v>42</v>
      </c>
      <c r="N466" s="42" t="n">
        <f aca="false">BOM_COEF!X429*DEMANDA!L38</f>
        <v>51</v>
      </c>
      <c r="O466" s="42" t="n">
        <f aca="false">BOM_COEF!Y429*DEMANDA!M38</f>
        <v>56</v>
      </c>
      <c r="P466" s="42" t="n">
        <f aca="false">BOM_COEF!Z429*DEMANDA!N38</f>
        <v>61</v>
      </c>
      <c r="Q466" s="42" t="n">
        <f aca="false">BOM_COEF!AA429*DEMANDA!O38</f>
        <v>65</v>
      </c>
      <c r="R466" s="24" t="s">
        <v>3566</v>
      </c>
    </row>
    <row r="467" customFormat="false" ht="15" hidden="false" customHeight="false" outlineLevel="1" collapsed="false">
      <c r="A467" s="24" t="n">
        <v>1</v>
      </c>
      <c r="B467" s="24" t="s">
        <v>1355</v>
      </c>
      <c r="C467" s="40" t="s">
        <v>3568</v>
      </c>
      <c r="D467" s="24" t="s">
        <v>82</v>
      </c>
      <c r="E467" s="24" t="s">
        <v>296</v>
      </c>
      <c r="F467" s="41" t="n">
        <f aca="false">INDEX((BOM_COEF!R444~BOM_COEF!S444~BOM_COEF!T444~BOM_COEF!U444~BOM_COEF!V444~BOM_COEF!W444~BOM_COEF!X444~BOM_COEF!Y444~BOM_COEF!Z444~BOM_COEF!AA444),1,1,INDEX(P_VAL,MATCH("AÑO_DIS",P_ID,0))-2025)</f>
        <v>1</v>
      </c>
      <c r="G467" s="24" t="s">
        <v>2281</v>
      </c>
      <c r="H467" s="42" t="n">
        <f aca="false">BOM_COEF!R444*DEMANDA!F24</f>
        <v>17.63775292</v>
      </c>
      <c r="I467" s="42" t="n">
        <f aca="false">BOM_COEF!S444*DEMANDA!G24</f>
        <v>85.9878194</v>
      </c>
      <c r="J467" s="42" t="n">
        <f aca="false">BOM_COEF!T444*DEMANDA!H24</f>
        <v>186.8695673</v>
      </c>
      <c r="K467" s="42" t="n">
        <f aca="false">BOM_COEF!U444*DEMANDA!I24</f>
        <v>336.5836208</v>
      </c>
      <c r="L467" s="42" t="n">
        <f aca="false">BOM_COEF!V444*DEMANDA!J24</f>
        <v>484.1325977</v>
      </c>
      <c r="M467" s="42" t="n">
        <f aca="false">BOM_COEF!W444*DEMANDA!K24</f>
        <v>643.2203854</v>
      </c>
      <c r="N467" s="42" t="n">
        <f aca="false">BOM_COEF!X444*DEMANDA!L24</f>
        <v>792.4317423</v>
      </c>
      <c r="O467" s="42" t="n">
        <f aca="false">BOM_COEF!Y444*DEMANDA!M24</f>
        <v>889.677707</v>
      </c>
      <c r="P467" s="42" t="n">
        <f aca="false">BOM_COEF!Z444*DEMANDA!N24</f>
        <v>965.3111095</v>
      </c>
      <c r="Q467" s="42" t="n">
        <f aca="false">BOM_COEF!AA444*DEMANDA!O24</f>
        <v>1041.939702</v>
      </c>
      <c r="R467" s="24" t="s">
        <v>3569</v>
      </c>
    </row>
    <row r="468" customFormat="false" ht="15" hidden="false" customHeight="false" outlineLevel="1" collapsed="false">
      <c r="A468" s="24" t="n">
        <v>1</v>
      </c>
      <c r="B468" s="24" t="s">
        <v>1355</v>
      </c>
      <c r="C468" s="40" t="s">
        <v>3570</v>
      </c>
      <c r="D468" s="24" t="s">
        <v>82</v>
      </c>
      <c r="E468" s="24" t="s">
        <v>300</v>
      </c>
      <c r="F468" s="41" t="n">
        <f aca="false">INDEX((BOM_COEF!R459~BOM_COEF!S459~BOM_COEF!T459~BOM_COEF!U459~BOM_COEF!V459~BOM_COEF!W459~BOM_COEF!X459~BOM_COEF!Y459~BOM_COEF!Z459~BOM_COEF!AA459),1,1,INDEX(P_VAL,MATCH("AÑO_DIS",P_ID,0))-2025)</f>
        <v>1</v>
      </c>
      <c r="G468" s="24" t="s">
        <v>2281</v>
      </c>
      <c r="H468" s="42" t="n">
        <f aca="false">BOM_COEF!R459*DEMANDA!F25</f>
        <v>38.80305642</v>
      </c>
      <c r="I468" s="42" t="n">
        <f aca="false">BOM_COEF!S459*DEMANDA!G25</f>
        <v>189.1732027</v>
      </c>
      <c r="J468" s="42" t="n">
        <f aca="false">BOM_COEF!T459*DEMANDA!H25</f>
        <v>411.113048</v>
      </c>
      <c r="K468" s="42" t="n">
        <f aca="false">BOM_COEF!U459*DEMANDA!I25</f>
        <v>740.4839657</v>
      </c>
      <c r="L468" s="42" t="n">
        <f aca="false">BOM_COEF!V459*DEMANDA!J25</f>
        <v>1065.091715</v>
      </c>
      <c r="M468" s="42" t="n">
        <f aca="false">BOM_COEF!W459*DEMANDA!K25</f>
        <v>1415.084848</v>
      </c>
      <c r="N468" s="42" t="n">
        <f aca="false">BOM_COEF!X459*DEMANDA!L25</f>
        <v>1743.349833</v>
      </c>
      <c r="O468" s="42" t="n">
        <f aca="false">BOM_COEF!Y459*DEMANDA!M25</f>
        <v>1957.290955</v>
      </c>
      <c r="P468" s="42" t="n">
        <f aca="false">BOM_COEF!Z459*DEMANDA!N25</f>
        <v>2123.684441</v>
      </c>
      <c r="Q468" s="42" t="n">
        <f aca="false">BOM_COEF!AA459*DEMANDA!O25</f>
        <v>2292.267343</v>
      </c>
      <c r="R468" s="24" t="s">
        <v>3571</v>
      </c>
    </row>
    <row r="469" customFormat="false" ht="15" hidden="false" customHeight="false" outlineLevel="1" collapsed="false">
      <c r="A469" s="24" t="n">
        <v>1</v>
      </c>
      <c r="B469" s="24" t="s">
        <v>1355</v>
      </c>
      <c r="C469" s="40" t="s">
        <v>3572</v>
      </c>
      <c r="D469" s="24" t="s">
        <v>82</v>
      </c>
      <c r="E469" s="24" t="s">
        <v>366</v>
      </c>
      <c r="F469" s="41" t="n">
        <f aca="false">INDEX((BOM_COEF!R459~BOM_COEF!S459~BOM_COEF!T459~BOM_COEF!U459~BOM_COEF!V459~BOM_COEF!W459~BOM_COEF!X459~BOM_COEF!Y459~BOM_COEF!Z459~BOM_COEF!AA459),1,1,INDEX(P_VAL,MATCH("AÑO_DIS",P_ID,0))-2025)</f>
        <v>1</v>
      </c>
      <c r="G469" s="24" t="s">
        <v>2281</v>
      </c>
      <c r="H469" s="42" t="n">
        <f aca="false">BOM_COEF!R459*DEMANDA!F47</f>
        <v>1</v>
      </c>
      <c r="I469" s="42" t="n">
        <f aca="false">BOM_COEF!S459*DEMANDA!G47</f>
        <v>3</v>
      </c>
      <c r="J469" s="42" t="n">
        <f aca="false">BOM_COEF!T459*DEMANDA!H47</f>
        <v>7</v>
      </c>
      <c r="K469" s="42" t="n">
        <f aca="false">BOM_COEF!U459*DEMANDA!I47</f>
        <v>12</v>
      </c>
      <c r="L469" s="42" t="n">
        <f aca="false">BOM_COEF!V459*DEMANDA!J47</f>
        <v>17</v>
      </c>
      <c r="M469" s="42" t="n">
        <f aca="false">BOM_COEF!W459*DEMANDA!K47</f>
        <v>23</v>
      </c>
      <c r="N469" s="42" t="n">
        <f aca="false">BOM_COEF!X459*DEMANDA!L47</f>
        <v>28</v>
      </c>
      <c r="O469" s="42" t="n">
        <f aca="false">BOM_COEF!Y459*DEMANDA!M47</f>
        <v>31</v>
      </c>
      <c r="P469" s="42" t="n">
        <f aca="false">BOM_COEF!Z459*DEMANDA!N47</f>
        <v>34</v>
      </c>
      <c r="Q469" s="42" t="n">
        <f aca="false">BOM_COEF!AA459*DEMANDA!O47</f>
        <v>36</v>
      </c>
      <c r="R469" s="24" t="s">
        <v>3571</v>
      </c>
    </row>
    <row r="470" customFormat="false" ht="15" hidden="false" customHeight="false" outlineLevel="1" collapsed="false">
      <c r="A470" s="24" t="n">
        <v>1</v>
      </c>
      <c r="B470" s="24" t="s">
        <v>1355</v>
      </c>
      <c r="C470" s="40" t="s">
        <v>3573</v>
      </c>
      <c r="D470" s="24" t="s">
        <v>82</v>
      </c>
      <c r="E470" s="24" t="s">
        <v>303</v>
      </c>
      <c r="F470" s="41" t="n">
        <f aca="false">INDEX((BOM_COEF!R474~BOM_COEF!S474~BOM_COEF!T474~BOM_COEF!U474~BOM_COEF!V474~BOM_COEF!W474~BOM_COEF!X474~BOM_COEF!Y474~BOM_COEF!Z474~BOM_COEF!AA474),1,1,INDEX(P_VAL,MATCH("AÑO_DIS",P_ID,0))-2025)</f>
        <v>1</v>
      </c>
      <c r="G470" s="24" t="s">
        <v>2281</v>
      </c>
      <c r="H470" s="42" t="n">
        <f aca="false">BOM_COEF!R474*DEMANDA!F26</f>
        <v>8.466121401</v>
      </c>
      <c r="I470" s="42" t="n">
        <f aca="false">BOM_COEF!S474*DEMANDA!G26</f>
        <v>41.27415331</v>
      </c>
      <c r="J470" s="42" t="n">
        <f aca="false">BOM_COEF!T474*DEMANDA!H26</f>
        <v>89.69739229</v>
      </c>
      <c r="K470" s="42" t="n">
        <f aca="false">BOM_COEF!U474*DEMANDA!I26</f>
        <v>161.560138</v>
      </c>
      <c r="L470" s="42" t="n">
        <f aca="false">BOM_COEF!V474*DEMANDA!J26</f>
        <v>232.3836469</v>
      </c>
      <c r="M470" s="42" t="n">
        <f aca="false">BOM_COEF!W474*DEMANDA!K26</f>
        <v>308.745785</v>
      </c>
      <c r="N470" s="42" t="n">
        <f aca="false">BOM_COEF!X474*DEMANDA!L26</f>
        <v>380.3672363</v>
      </c>
      <c r="O470" s="42" t="n">
        <f aca="false">BOM_COEF!Y474*DEMANDA!M26</f>
        <v>427.0452993</v>
      </c>
      <c r="P470" s="42" t="n">
        <f aca="false">BOM_COEF!Z474*DEMANDA!N26</f>
        <v>463.3493326</v>
      </c>
      <c r="Q470" s="42" t="n">
        <f aca="false">BOM_COEF!AA474*DEMANDA!O26</f>
        <v>500.1310567</v>
      </c>
      <c r="R470" s="24" t="s">
        <v>3574</v>
      </c>
    </row>
    <row r="471" customFormat="false" ht="15" hidden="false" customHeight="false" outlineLevel="1" collapsed="false">
      <c r="A471" s="24" t="n">
        <v>1</v>
      </c>
      <c r="B471" s="24" t="s">
        <v>1355</v>
      </c>
      <c r="C471" s="40" t="s">
        <v>3575</v>
      </c>
      <c r="D471" s="24" t="s">
        <v>82</v>
      </c>
      <c r="E471" s="24" t="s">
        <v>306</v>
      </c>
      <c r="F471" s="41" t="n">
        <f aca="false">INDEX((BOM_COEF!R489~BOM_COEF!S489~BOM_COEF!T489~BOM_COEF!U489~BOM_COEF!V489~BOM_COEF!W489~BOM_COEF!X489~BOM_COEF!Y489~BOM_COEF!Z489~BOM_COEF!AA489),1,1,INDEX(P_VAL,MATCH("AÑO_DIS",P_ID,0))-2025)</f>
        <v>1</v>
      </c>
      <c r="G471" s="24" t="s">
        <v>2281</v>
      </c>
      <c r="H471" s="42" t="n">
        <f aca="false">BOM_COEF!R489*DEMANDA!F27</f>
        <v>5.644080934</v>
      </c>
      <c r="I471" s="42" t="n">
        <f aca="false">BOM_COEF!S489*DEMANDA!G27</f>
        <v>27.51610221</v>
      </c>
      <c r="J471" s="42" t="n">
        <f aca="false">BOM_COEF!T489*DEMANDA!H27</f>
        <v>59.79826153</v>
      </c>
      <c r="K471" s="42" t="n">
        <f aca="false">BOM_COEF!U489*DEMANDA!I27</f>
        <v>107.7067586</v>
      </c>
      <c r="L471" s="42" t="n">
        <f aca="false">BOM_COEF!V489*DEMANDA!J27</f>
        <v>154.9224313</v>
      </c>
      <c r="M471" s="42" t="n">
        <f aca="false">BOM_COEF!W489*DEMANDA!K27</f>
        <v>205.8305233</v>
      </c>
      <c r="N471" s="42" t="n">
        <f aca="false">BOM_COEF!X489*DEMANDA!L27</f>
        <v>253.5781575</v>
      </c>
      <c r="O471" s="42" t="n">
        <f aca="false">BOM_COEF!Y489*DEMANDA!M27</f>
        <v>284.6968662</v>
      </c>
      <c r="P471" s="42" t="n">
        <f aca="false">BOM_COEF!Z489*DEMANDA!N27</f>
        <v>308.899555</v>
      </c>
      <c r="Q471" s="42" t="n">
        <f aca="false">BOM_COEF!AA489*DEMANDA!O27</f>
        <v>333.4207045</v>
      </c>
      <c r="R471" s="24" t="s">
        <v>3576</v>
      </c>
    </row>
    <row r="472" customFormat="false" ht="15" hidden="false" customHeight="false" outlineLevel="1" collapsed="false">
      <c r="A472" s="24" t="n">
        <v>1</v>
      </c>
      <c r="B472" s="24" t="s">
        <v>1355</v>
      </c>
      <c r="C472" s="40" t="s">
        <v>3577</v>
      </c>
      <c r="D472" s="24" t="s">
        <v>82</v>
      </c>
      <c r="E472" s="24" t="s">
        <v>369</v>
      </c>
      <c r="F472" s="41" t="n">
        <f aca="false">INDEX((BOM_COEF!R489~BOM_COEF!S489~BOM_COEF!T489~BOM_COEF!U489~BOM_COEF!V489~BOM_COEF!W489~BOM_COEF!X489~BOM_COEF!Y489~BOM_COEF!Z489~BOM_COEF!AA489),1,1,INDEX(P_VAL,MATCH("AÑO_DIS",P_ID,0))-2025)</f>
        <v>1</v>
      </c>
      <c r="G472" s="24" t="s">
        <v>2281</v>
      </c>
      <c r="H472" s="42" t="n">
        <f aca="false">BOM_COEF!R489*DEMANDA!F48</f>
        <v>1</v>
      </c>
      <c r="I472" s="42" t="n">
        <f aca="false">BOM_COEF!S489*DEMANDA!G48</f>
        <v>1</v>
      </c>
      <c r="J472" s="42" t="n">
        <f aca="false">BOM_COEF!T489*DEMANDA!H48</f>
        <v>2</v>
      </c>
      <c r="K472" s="42" t="n">
        <f aca="false">BOM_COEF!U489*DEMANDA!I48</f>
        <v>3</v>
      </c>
      <c r="L472" s="42" t="n">
        <f aca="false">BOM_COEF!V489*DEMANDA!J48</f>
        <v>5</v>
      </c>
      <c r="M472" s="42" t="n">
        <f aca="false">BOM_COEF!W489*DEMANDA!K48</f>
        <v>6</v>
      </c>
      <c r="N472" s="42" t="n">
        <f aca="false">BOM_COEF!X489*DEMANDA!L48</f>
        <v>7</v>
      </c>
      <c r="O472" s="42" t="n">
        <f aca="false">BOM_COEF!Y489*DEMANDA!M48</f>
        <v>8</v>
      </c>
      <c r="P472" s="42" t="n">
        <f aca="false">BOM_COEF!Z489*DEMANDA!N48</f>
        <v>9</v>
      </c>
      <c r="Q472" s="42" t="n">
        <f aca="false">BOM_COEF!AA489*DEMANDA!O48</f>
        <v>9</v>
      </c>
      <c r="R472" s="24" t="s">
        <v>3576</v>
      </c>
    </row>
    <row r="473" customFormat="false" ht="15" hidden="false" customHeight="false" outlineLevel="1" collapsed="false">
      <c r="A473" s="24" t="n">
        <v>1</v>
      </c>
      <c r="B473" s="24" t="s">
        <v>1355</v>
      </c>
      <c r="C473" s="40" t="s">
        <v>3578</v>
      </c>
      <c r="D473" s="24" t="s">
        <v>82</v>
      </c>
      <c r="E473" s="24" t="s">
        <v>309</v>
      </c>
      <c r="F473" s="41" t="n">
        <f aca="false">INDEX((BOM_COEF!R502~BOM_COEF!S502~BOM_COEF!T502~BOM_COEF!U502~BOM_COEF!V502~BOM_COEF!W502~BOM_COEF!X502~BOM_COEF!Y502~BOM_COEF!Z502~BOM_COEF!AA502),1,1,INDEX(P_VAL,MATCH("AÑO_DIS",P_ID,0))-2025)</f>
        <v>1</v>
      </c>
      <c r="G473" s="24" t="s">
        <v>2281</v>
      </c>
      <c r="H473" s="42" t="n">
        <f aca="false">BOM_COEF!R502*DEMANDA!F28</f>
        <v>159.308736</v>
      </c>
      <c r="I473" s="42" t="n">
        <f aca="false">BOM_COEF!S502*DEMANDA!G28</f>
        <v>643.4235418</v>
      </c>
      <c r="J473" s="42" t="n">
        <f aca="false">BOM_COEF!T502*DEMANDA!H28</f>
        <v>1474.362741</v>
      </c>
      <c r="K473" s="42" t="n">
        <f aca="false">BOM_COEF!U502*DEMANDA!I28</f>
        <v>2766.451205</v>
      </c>
      <c r="L473" s="42" t="n">
        <f aca="false">BOM_COEF!V502*DEMANDA!J28</f>
        <v>3991.465221</v>
      </c>
      <c r="M473" s="42" t="n">
        <f aca="false">BOM_COEF!W502*DEMANDA!K28</f>
        <v>5335.75578</v>
      </c>
      <c r="N473" s="42" t="n">
        <f aca="false">BOM_COEF!X502*DEMANDA!L28</f>
        <v>6538.958887</v>
      </c>
      <c r="O473" s="42" t="n">
        <f aca="false">BOM_COEF!Y502*DEMANDA!M28</f>
        <v>7269.819681</v>
      </c>
      <c r="P473" s="42" t="n">
        <f aca="false">BOM_COEF!Z502*DEMANDA!N28</f>
        <v>7855.44139</v>
      </c>
      <c r="Q473" s="42" t="n">
        <f aca="false">BOM_COEF!AA502*DEMANDA!O28</f>
        <v>8450.814081</v>
      </c>
      <c r="R473" s="24" t="s">
        <v>3579</v>
      </c>
    </row>
    <row r="474" customFormat="false" ht="15" hidden="false" customHeight="false" outlineLevel="1" collapsed="false">
      <c r="A474" s="24" t="n">
        <v>1</v>
      </c>
      <c r="B474" s="24" t="s">
        <v>1355</v>
      </c>
      <c r="C474" s="40" t="s">
        <v>3580</v>
      </c>
      <c r="D474" s="24" t="s">
        <v>82</v>
      </c>
      <c r="E474" s="24" t="s">
        <v>342</v>
      </c>
      <c r="F474" s="41" t="n">
        <f aca="false">INDEX((BOM_COEF!R502~BOM_COEF!S502~BOM_COEF!T502~BOM_COEF!U502~BOM_COEF!V502~BOM_COEF!W502~BOM_COEF!X502~BOM_COEF!Y502~BOM_COEF!Z502~BOM_COEF!AA502),1,1,INDEX(P_VAL,MATCH("AÑO_DIS",P_ID,0))-2025)</f>
        <v>1</v>
      </c>
      <c r="G474" s="24" t="s">
        <v>2281</v>
      </c>
      <c r="H474" s="42" t="n">
        <f aca="false">BOM_COEF!R502*DEMANDA!F39</f>
        <v>2</v>
      </c>
      <c r="I474" s="42" t="n">
        <f aca="false">BOM_COEF!S502*DEMANDA!G39</f>
        <v>7</v>
      </c>
      <c r="J474" s="42" t="n">
        <f aca="false">BOM_COEF!T502*DEMANDA!H39</f>
        <v>16</v>
      </c>
      <c r="K474" s="42" t="n">
        <f aca="false">BOM_COEF!U502*DEMANDA!I39</f>
        <v>30</v>
      </c>
      <c r="L474" s="42" t="n">
        <f aca="false">BOM_COEF!V502*DEMANDA!J39</f>
        <v>44</v>
      </c>
      <c r="M474" s="42" t="n">
        <f aca="false">BOM_COEF!W502*DEMANDA!K39</f>
        <v>58</v>
      </c>
      <c r="N474" s="42" t="n">
        <f aca="false">BOM_COEF!X502*DEMANDA!L39</f>
        <v>71</v>
      </c>
      <c r="O474" s="42" t="n">
        <f aca="false">BOM_COEF!Y502*DEMANDA!M39</f>
        <v>79</v>
      </c>
      <c r="P474" s="42" t="n">
        <f aca="false">BOM_COEF!Z502*DEMANDA!N39</f>
        <v>85</v>
      </c>
      <c r="Q474" s="42" t="n">
        <f aca="false">BOM_COEF!AA502*DEMANDA!O39</f>
        <v>92</v>
      </c>
      <c r="R474" s="24" t="s">
        <v>3579</v>
      </c>
    </row>
    <row r="475" customFormat="false" ht="15" hidden="false" customHeight="false" outlineLevel="1" collapsed="false">
      <c r="A475" s="24" t="n">
        <v>1</v>
      </c>
      <c r="B475" s="24" t="s">
        <v>1355</v>
      </c>
      <c r="C475" s="40" t="s">
        <v>3581</v>
      </c>
      <c r="D475" s="24" t="s">
        <v>82</v>
      </c>
      <c r="E475" s="24" t="s">
        <v>312</v>
      </c>
      <c r="F475" s="41" t="n">
        <f aca="false">INDEX((BOM_COEF!R516~BOM_COEF!S516~BOM_COEF!T516~BOM_COEF!U516~BOM_COEF!V516~BOM_COEF!W516~BOM_COEF!X516~BOM_COEF!Y516~BOM_COEF!Z516~BOM_COEF!AA516),1,1,INDEX(P_VAL,MATCH("AÑO_DIS",P_ID,0))-2025)</f>
        <v>1</v>
      </c>
      <c r="G475" s="24" t="s">
        <v>2281</v>
      </c>
      <c r="H475" s="42" t="n">
        <f aca="false">BOM_COEF!R516*DEMANDA!F29</f>
        <v>22.75839086</v>
      </c>
      <c r="I475" s="42" t="n">
        <f aca="false">BOM_COEF!S516*DEMANDA!G29</f>
        <v>161.315751</v>
      </c>
      <c r="J475" s="42" t="n">
        <f aca="false">BOM_COEF!T516*DEMANDA!H29</f>
        <v>316.6072761</v>
      </c>
      <c r="K475" s="42" t="n">
        <f aca="false">BOM_COEF!U516*DEMANDA!I29</f>
        <v>527.3946199</v>
      </c>
      <c r="L475" s="42" t="n">
        <f aca="false">BOM_COEF!V516*DEMANDA!J29</f>
        <v>743.7889463</v>
      </c>
      <c r="M475" s="42" t="n">
        <f aca="false">BOM_COEF!W516*DEMANDA!K29</f>
        <v>962.8743352</v>
      </c>
      <c r="N475" s="42" t="n">
        <f aca="false">BOM_COEF!X516*DEMANDA!L29</f>
        <v>1194.942207</v>
      </c>
      <c r="O475" s="42" t="n">
        <f aca="false">BOM_COEF!Y516*DEMANDA!M29</f>
        <v>1351.617183</v>
      </c>
      <c r="P475" s="42" t="n">
        <f aca="false">BOM_COEF!Z516*DEMANDA!N29</f>
        <v>1477.54886</v>
      </c>
      <c r="Q475" s="42" t="n">
        <f aca="false">BOM_COEF!AA516*DEMANDA!O29</f>
        <v>1604.441422</v>
      </c>
      <c r="R475" s="24" t="s">
        <v>3582</v>
      </c>
    </row>
    <row r="476" customFormat="false" ht="15" hidden="false" customHeight="false" outlineLevel="1" collapsed="false">
      <c r="A476" s="24" t="n">
        <v>1</v>
      </c>
      <c r="B476" s="24" t="s">
        <v>1355</v>
      </c>
      <c r="C476" s="40" t="s">
        <v>3583</v>
      </c>
      <c r="D476" s="24" t="s">
        <v>82</v>
      </c>
      <c r="E476" s="24" t="s">
        <v>345</v>
      </c>
      <c r="F476" s="41" t="n">
        <f aca="false">INDEX((BOM_COEF!R516~BOM_COEF!S516~BOM_COEF!T516~BOM_COEF!U516~BOM_COEF!V516~BOM_COEF!W516~BOM_COEF!X516~BOM_COEF!Y516~BOM_COEF!Z516~BOM_COEF!AA516),1,1,INDEX(P_VAL,MATCH("AÑO_DIS",P_ID,0))-2025)</f>
        <v>1</v>
      </c>
      <c r="G476" s="24" t="s">
        <v>2281</v>
      </c>
      <c r="H476" s="42" t="n">
        <f aca="false">BOM_COEF!R516*DEMANDA!F40</f>
        <v>1</v>
      </c>
      <c r="I476" s="42" t="n">
        <f aca="false">BOM_COEF!S516*DEMANDA!G40</f>
        <v>2</v>
      </c>
      <c r="J476" s="42" t="n">
        <f aca="false">BOM_COEF!T516*DEMANDA!H40</f>
        <v>4</v>
      </c>
      <c r="K476" s="42" t="n">
        <f aca="false">BOM_COEF!U516*DEMANDA!I40</f>
        <v>6</v>
      </c>
      <c r="L476" s="42" t="n">
        <f aca="false">BOM_COEF!V516*DEMANDA!J40</f>
        <v>9</v>
      </c>
      <c r="M476" s="42" t="n">
        <f aca="false">BOM_COEF!W516*DEMANDA!K40</f>
        <v>11</v>
      </c>
      <c r="N476" s="42" t="n">
        <f aca="false">BOM_COEF!X516*DEMANDA!L40</f>
        <v>13</v>
      </c>
      <c r="O476" s="42" t="n">
        <f aca="false">BOM_COEF!Y516*DEMANDA!M40</f>
        <v>15</v>
      </c>
      <c r="P476" s="42" t="n">
        <f aca="false">BOM_COEF!Z516*DEMANDA!N40</f>
        <v>16</v>
      </c>
      <c r="Q476" s="42" t="n">
        <f aca="false">BOM_COEF!AA516*DEMANDA!O40</f>
        <v>18</v>
      </c>
      <c r="R476" s="24" t="s">
        <v>3582</v>
      </c>
    </row>
    <row r="477" customFormat="false" ht="15" hidden="false" customHeight="false" outlineLevel="1" collapsed="false">
      <c r="A477" s="24" t="n">
        <v>1</v>
      </c>
      <c r="B477" s="24" t="s">
        <v>1355</v>
      </c>
      <c r="C477" s="40" t="s">
        <v>3584</v>
      </c>
      <c r="D477" s="24" t="s">
        <v>82</v>
      </c>
      <c r="E477" s="24" t="s">
        <v>315</v>
      </c>
      <c r="F477" s="41" t="n">
        <f aca="false">INDEX((BOM_COEF!R530~BOM_COEF!S530~BOM_COEF!T530~BOM_COEF!U530~BOM_COEF!V530~BOM_COEF!W530~BOM_COEF!X530~BOM_COEF!Y530~BOM_COEF!Z530~BOM_COEF!AA530),1,1,INDEX(P_VAL,MATCH("AÑO_DIS",P_ID,0))-2025)</f>
        <v>1</v>
      </c>
      <c r="G477" s="24" t="s">
        <v>2281</v>
      </c>
      <c r="H477" s="42" t="n">
        <f aca="false">BOM_COEF!R530*DEMANDA!F30</f>
        <v>11.37919543</v>
      </c>
      <c r="I477" s="42" t="n">
        <f aca="false">BOM_COEF!S530*DEMANDA!G30</f>
        <v>83.22351964</v>
      </c>
      <c r="J477" s="42" t="n">
        <f aca="false">BOM_COEF!T530*DEMANDA!H30</f>
        <v>164.4638337</v>
      </c>
      <c r="K477" s="42" t="n">
        <f aca="false">BOM_COEF!U530*DEMANDA!I30</f>
        <v>281.3411453</v>
      </c>
      <c r="L477" s="42" t="n">
        <f aca="false">BOM_COEF!V530*DEMANDA!J30</f>
        <v>398.9025091</v>
      </c>
      <c r="M477" s="42" t="n">
        <f aca="false">BOM_COEF!W530*DEMANDA!K30</f>
        <v>514.5272844</v>
      </c>
      <c r="N477" s="42" t="n">
        <f aca="false">BOM_COEF!X530*DEMANDA!L30</f>
        <v>629.0655051</v>
      </c>
      <c r="O477" s="42" t="n">
        <f aca="false">BOM_COEF!Y530*DEMANDA!M30</f>
        <v>711.1780237</v>
      </c>
      <c r="P477" s="42" t="n">
        <f aca="false">BOM_COEF!Z530*DEMANDA!N30</f>
        <v>773.4109798</v>
      </c>
      <c r="Q477" s="42" t="n">
        <f aca="false">BOM_COEF!AA530*DEMANDA!O30</f>
        <v>836.3508051</v>
      </c>
      <c r="R477" s="24" t="s">
        <v>3585</v>
      </c>
    </row>
    <row r="478" customFormat="false" ht="15" hidden="false" customHeight="false" outlineLevel="1" collapsed="false">
      <c r="A478" s="24" t="n">
        <v>1</v>
      </c>
      <c r="B478" s="24" t="s">
        <v>1355</v>
      </c>
      <c r="C478" s="40" t="s">
        <v>3586</v>
      </c>
      <c r="D478" s="24" t="s">
        <v>82</v>
      </c>
      <c r="E478" s="24" t="s">
        <v>348</v>
      </c>
      <c r="F478" s="41" t="n">
        <f aca="false">INDEX((BOM_COEF!R530~BOM_COEF!S530~BOM_COEF!T530~BOM_COEF!U530~BOM_COEF!V530~BOM_COEF!W530~BOM_COEF!X530~BOM_COEF!Y530~BOM_COEF!Z530~BOM_COEF!AA530),1,1,INDEX(P_VAL,MATCH("AÑO_DIS",P_ID,0))-2025)</f>
        <v>1</v>
      </c>
      <c r="G478" s="24" t="s">
        <v>2281</v>
      </c>
      <c r="H478" s="42" t="n">
        <f aca="false">BOM_COEF!R530*DEMANDA!F41</f>
        <v>1</v>
      </c>
      <c r="I478" s="42" t="n">
        <f aca="false">BOM_COEF!S530*DEMANDA!G41</f>
        <v>1</v>
      </c>
      <c r="J478" s="42" t="n">
        <f aca="false">BOM_COEF!T530*DEMANDA!H41</f>
        <v>2</v>
      </c>
      <c r="K478" s="42" t="n">
        <f aca="false">BOM_COEF!U530*DEMANDA!I41</f>
        <v>4</v>
      </c>
      <c r="L478" s="42" t="n">
        <f aca="false">BOM_COEF!V530*DEMANDA!J41</f>
        <v>5</v>
      </c>
      <c r="M478" s="42" t="n">
        <f aca="false">BOM_COEF!W530*DEMANDA!K41</f>
        <v>6</v>
      </c>
      <c r="N478" s="42" t="n">
        <f aca="false">BOM_COEF!X530*DEMANDA!L41</f>
        <v>7</v>
      </c>
      <c r="O478" s="42" t="n">
        <f aca="false">BOM_COEF!Y530*DEMANDA!M41</f>
        <v>8</v>
      </c>
      <c r="P478" s="42" t="n">
        <f aca="false">BOM_COEF!Z530*DEMANDA!N41</f>
        <v>9</v>
      </c>
      <c r="Q478" s="42" t="n">
        <f aca="false">BOM_COEF!AA530*DEMANDA!O41</f>
        <v>10</v>
      </c>
      <c r="R478" s="24" t="s">
        <v>3585</v>
      </c>
    </row>
    <row r="479" customFormat="false" ht="15" hidden="false" customHeight="false" outlineLevel="1" collapsed="false">
      <c r="A479" s="24" t="n">
        <v>1</v>
      </c>
      <c r="B479" s="24" t="s">
        <v>1355</v>
      </c>
      <c r="C479" s="40" t="s">
        <v>3587</v>
      </c>
      <c r="D479" s="24" t="s">
        <v>82</v>
      </c>
      <c r="E479" s="24" t="s">
        <v>318</v>
      </c>
      <c r="F479" s="41" t="n">
        <f aca="false">INDEX((BOM_COEF!R545~BOM_COEF!S545~BOM_COEF!T545~BOM_COEF!U545~BOM_COEF!V545~BOM_COEF!W545~BOM_COEF!X545~BOM_COEF!Y545~BOM_COEF!Z545~BOM_COEF!AA545),1,1,INDEX(P_VAL,MATCH("AÑO_DIS",P_ID,0))-2025)</f>
        <v>1</v>
      </c>
      <c r="G479" s="24" t="s">
        <v>2281</v>
      </c>
      <c r="H479" s="42" t="n">
        <f aca="false">BOM_COEF!R545*DEMANDA!F31</f>
        <v>6.827517259</v>
      </c>
      <c r="I479" s="42" t="n">
        <f aca="false">BOM_COEF!S545*DEMANDA!G31</f>
        <v>47.07311209</v>
      </c>
      <c r="J479" s="42" t="n">
        <f aca="false">BOM_COEF!T545*DEMANDA!H31</f>
        <v>88.88967623</v>
      </c>
      <c r="K479" s="42" t="n">
        <f aca="false">BOM_COEF!U545*DEMANDA!I31</f>
        <v>159.5024913</v>
      </c>
      <c r="L479" s="42" t="n">
        <f aca="false">BOM_COEF!V545*DEMANDA!J31</f>
        <v>219.7962019</v>
      </c>
      <c r="M479" s="42" t="n">
        <f aca="false">BOM_COEF!W545*DEMANDA!K31</f>
        <v>291.8698531</v>
      </c>
      <c r="N479" s="42" t="n">
        <f aca="false">BOM_COEF!X545*DEMANDA!L31</f>
        <v>368.8441692</v>
      </c>
      <c r="O479" s="42" t="n">
        <f aca="false">BOM_COEF!Y545*DEMANDA!M31</f>
        <v>408.4089531</v>
      </c>
      <c r="P479" s="42" t="n">
        <f aca="false">BOM_COEF!Z545*DEMANDA!N31</f>
        <v>445.7819443</v>
      </c>
      <c r="Q479" s="42" t="n">
        <f aca="false">BOM_COEF!AA545*DEMANDA!O31</f>
        <v>483.4792034</v>
      </c>
      <c r="R479" s="24" t="s">
        <v>3588</v>
      </c>
    </row>
    <row r="480" customFormat="false" ht="15" hidden="false" customHeight="false" outlineLevel="1" collapsed="false">
      <c r="A480" s="24" t="n">
        <v>1</v>
      </c>
      <c r="B480" s="24" t="s">
        <v>1355</v>
      </c>
      <c r="C480" s="40" t="s">
        <v>3589</v>
      </c>
      <c r="D480" s="24" t="s">
        <v>82</v>
      </c>
      <c r="E480" s="24" t="s">
        <v>351</v>
      </c>
      <c r="F480" s="41" t="n">
        <f aca="false">INDEX((BOM_COEF!R545~BOM_COEF!S545~BOM_COEF!T545~BOM_COEF!U545~BOM_COEF!V545~BOM_COEF!W545~BOM_COEF!X545~BOM_COEF!Y545~BOM_COEF!Z545~BOM_COEF!AA545),1,1,INDEX(P_VAL,MATCH("AÑO_DIS",P_ID,0))-2025)</f>
        <v>1</v>
      </c>
      <c r="G480" s="24" t="s">
        <v>2281</v>
      </c>
      <c r="H480" s="42" t="n">
        <f aca="false">BOM_COEF!R545*DEMANDA!F42</f>
        <v>1</v>
      </c>
      <c r="I480" s="42" t="n">
        <f aca="false">BOM_COEF!S545*DEMANDA!G42</f>
        <v>1</v>
      </c>
      <c r="J480" s="42" t="n">
        <f aca="false">BOM_COEF!T545*DEMANDA!H42</f>
        <v>1</v>
      </c>
      <c r="K480" s="42" t="n">
        <f aca="false">BOM_COEF!U545*DEMANDA!I42</f>
        <v>2</v>
      </c>
      <c r="L480" s="42" t="n">
        <f aca="false">BOM_COEF!V545*DEMANDA!J42</f>
        <v>3</v>
      </c>
      <c r="M480" s="42" t="n">
        <f aca="false">BOM_COEF!W545*DEMANDA!K42</f>
        <v>4</v>
      </c>
      <c r="N480" s="42" t="n">
        <f aca="false">BOM_COEF!X545*DEMANDA!L42</f>
        <v>4</v>
      </c>
      <c r="O480" s="42" t="n">
        <f aca="false">BOM_COEF!Y545*DEMANDA!M42</f>
        <v>5</v>
      </c>
      <c r="P480" s="42" t="n">
        <f aca="false">BOM_COEF!Z545*DEMANDA!N42</f>
        <v>5</v>
      </c>
      <c r="Q480" s="42" t="n">
        <f aca="false">BOM_COEF!AA545*DEMANDA!O42</f>
        <v>6</v>
      </c>
      <c r="R480" s="24" t="s">
        <v>3588</v>
      </c>
    </row>
    <row r="481" customFormat="false" ht="15" hidden="false" customHeight="false" outlineLevel="1" collapsed="false">
      <c r="A481" s="24" t="n">
        <v>1</v>
      </c>
      <c r="B481" s="24" t="s">
        <v>1355</v>
      </c>
      <c r="C481" s="40" t="s">
        <v>3590</v>
      </c>
      <c r="D481" s="24" t="s">
        <v>82</v>
      </c>
      <c r="E481" s="24" t="s">
        <v>321</v>
      </c>
      <c r="F481" s="41" t="n">
        <f aca="false">INDEX((BOM_COEF!R557~BOM_COEF!S557~BOM_COEF!T557~BOM_COEF!U557~BOM_COEF!V557~BOM_COEF!W557~BOM_COEF!X557~BOM_COEF!Y557~BOM_COEF!Z557~BOM_COEF!AA557),1,1,INDEX(P_VAL,MATCH("AÑO_DIS",P_ID,0))-2025)</f>
        <v>1</v>
      </c>
      <c r="G481" s="24" t="s">
        <v>2281</v>
      </c>
      <c r="H481" s="42" t="n">
        <f aca="false">BOM_COEF!R557*DEMANDA!F32</f>
        <v>81.93020711</v>
      </c>
      <c r="I481" s="42" t="n">
        <f aca="false">BOM_COEF!S557*DEMANDA!G32</f>
        <v>335.3988553</v>
      </c>
      <c r="J481" s="42" t="n">
        <f aca="false">BOM_COEF!T557*DEMANDA!H32</f>
        <v>746.5983521</v>
      </c>
      <c r="K481" s="42" t="n">
        <f aca="false">BOM_COEF!U557*DEMANDA!I32</f>
        <v>1358.899837</v>
      </c>
      <c r="L481" s="42" t="n">
        <f aca="false">BOM_COEF!V557*DEMANDA!J32</f>
        <v>1961.125522</v>
      </c>
      <c r="M481" s="42" t="n">
        <f aca="false">BOM_COEF!W557*DEMANDA!K32</f>
        <v>2598.541412</v>
      </c>
      <c r="N481" s="42" t="n">
        <f aca="false">BOM_COEF!X557*DEMANDA!L32</f>
        <v>3197.263477</v>
      </c>
      <c r="O481" s="42" t="n">
        <f aca="false">BOM_COEF!Y557*DEMANDA!M32</f>
        <v>3578.539452</v>
      </c>
      <c r="P481" s="42" t="n">
        <f aca="false">BOM_COEF!Z557*DEMANDA!N32</f>
        <v>3870.747997</v>
      </c>
      <c r="Q481" s="42" t="n">
        <f aca="false">BOM_COEF!AA557*DEMANDA!O32</f>
        <v>4167.559622</v>
      </c>
      <c r="R481" s="24" t="s">
        <v>3591</v>
      </c>
    </row>
    <row r="482" customFormat="false" ht="15" hidden="false" customHeight="false" outlineLevel="1" collapsed="false">
      <c r="A482" s="24" t="n">
        <v>1</v>
      </c>
      <c r="B482" s="24" t="s">
        <v>1355</v>
      </c>
      <c r="C482" s="40" t="s">
        <v>3592</v>
      </c>
      <c r="D482" s="24" t="s">
        <v>82</v>
      </c>
      <c r="E482" s="24" t="s">
        <v>354</v>
      </c>
      <c r="F482" s="41" t="n">
        <f aca="false">INDEX((BOM_COEF!R557~BOM_COEF!S557~BOM_COEF!T557~BOM_COEF!U557~BOM_COEF!V557~BOM_COEF!W557~BOM_COEF!X557~BOM_COEF!Y557~BOM_COEF!Z557~BOM_COEF!AA557),1,1,INDEX(P_VAL,MATCH("AÑO_DIS",P_ID,0))-2025)</f>
        <v>1</v>
      </c>
      <c r="G482" s="24" t="s">
        <v>2281</v>
      </c>
      <c r="H482" s="42" t="n">
        <f aca="false">BOM_COEF!R557*DEMANDA!F43</f>
        <v>1</v>
      </c>
      <c r="I482" s="42" t="n">
        <f aca="false">BOM_COEF!S557*DEMANDA!G43</f>
        <v>4</v>
      </c>
      <c r="J482" s="42" t="n">
        <f aca="false">BOM_COEF!T557*DEMANDA!H43</f>
        <v>9</v>
      </c>
      <c r="K482" s="42" t="n">
        <f aca="false">BOM_COEF!U557*DEMANDA!I43</f>
        <v>15</v>
      </c>
      <c r="L482" s="42" t="n">
        <f aca="false">BOM_COEF!V557*DEMANDA!J43</f>
        <v>22</v>
      </c>
      <c r="M482" s="42" t="n">
        <f aca="false">BOM_COEF!W557*DEMANDA!K43</f>
        <v>29</v>
      </c>
      <c r="N482" s="42" t="n">
        <f aca="false">BOM_COEF!X557*DEMANDA!L43</f>
        <v>35</v>
      </c>
      <c r="O482" s="42" t="n">
        <f aca="false">BOM_COEF!Y557*DEMANDA!M43</f>
        <v>39</v>
      </c>
      <c r="P482" s="42" t="n">
        <f aca="false">BOM_COEF!Z557*DEMANDA!N43</f>
        <v>42</v>
      </c>
      <c r="Q482" s="42" t="n">
        <f aca="false">BOM_COEF!AA557*DEMANDA!O43</f>
        <v>45</v>
      </c>
      <c r="R482" s="24" t="s">
        <v>3591</v>
      </c>
    </row>
    <row r="483" customFormat="false" ht="15" hidden="false" customHeight="false" outlineLevel="1" collapsed="false">
      <c r="A483" s="24" t="n">
        <v>1</v>
      </c>
      <c r="B483" s="24" t="s">
        <v>1355</v>
      </c>
      <c r="C483" s="40" t="s">
        <v>3593</v>
      </c>
      <c r="D483" s="24" t="s">
        <v>82</v>
      </c>
      <c r="E483" s="24" t="s">
        <v>324</v>
      </c>
      <c r="F483" s="41" t="n">
        <f aca="false">INDEX((BOM_COEF!R567~BOM_COEF!S567~BOM_COEF!T567~BOM_COEF!U567~BOM_COEF!V567~BOM_COEF!W567~BOM_COEF!X567~BOM_COEF!Y567~BOM_COEF!Z567~BOM_COEF!AA567),1,1,INDEX(P_VAL,MATCH("AÑO_DIS",P_ID,0))-2025)</f>
        <v>1</v>
      </c>
      <c r="G483" s="24" t="s">
        <v>2281</v>
      </c>
      <c r="H483" s="42" t="n">
        <f aca="false">BOM_COEF!R567*DEMANDA!F33</f>
        <v>450.6161391</v>
      </c>
      <c r="I483" s="42" t="n">
        <f aca="false">BOM_COEF!S567*DEMANDA!G33</f>
        <v>1697.18149</v>
      </c>
      <c r="J483" s="42" t="n">
        <f aca="false">BOM_COEF!T567*DEMANDA!H33</f>
        <v>3955.196858</v>
      </c>
      <c r="K483" s="42" t="n">
        <f aca="false">BOM_COEF!U567*DEMANDA!I33</f>
        <v>7561.26033</v>
      </c>
      <c r="L483" s="42" t="n">
        <f aca="false">BOM_COEF!V567*DEMANDA!J33</f>
        <v>10920.14481</v>
      </c>
      <c r="M483" s="42" t="n">
        <f aca="false">BOM_COEF!W567*DEMANDA!K33</f>
        <v>14514.88522</v>
      </c>
      <c r="N483" s="42" t="n">
        <f aca="false">BOM_COEF!X567*DEMANDA!L33</f>
        <v>17746.49927</v>
      </c>
      <c r="O483" s="42" t="n">
        <f aca="false">BOM_COEF!Y567*DEMANDA!M33</f>
        <v>19617.20546</v>
      </c>
      <c r="P483" s="42" t="n">
        <f aca="false">BOM_COEF!Z567*DEMANDA!N33</f>
        <v>21161.80625</v>
      </c>
      <c r="Q483" s="42" t="n">
        <f aca="false">BOM_COEF!AA567*DEMANDA!O33</f>
        <v>22734.50171</v>
      </c>
      <c r="R483" s="24" t="s">
        <v>3594</v>
      </c>
    </row>
    <row r="484" customFormat="false" ht="15" hidden="false" customHeight="false" outlineLevel="1" collapsed="false">
      <c r="A484" s="24" t="n">
        <v>1</v>
      </c>
      <c r="B484" s="24" t="s">
        <v>1355</v>
      </c>
      <c r="C484" s="40" t="s">
        <v>3595</v>
      </c>
      <c r="D484" s="24" t="s">
        <v>82</v>
      </c>
      <c r="E484" s="24" t="s">
        <v>327</v>
      </c>
      <c r="F484" s="41" t="n">
        <f aca="false">INDEX((BOM_COEF!R578~BOM_COEF!S578~BOM_COEF!T578~BOM_COEF!U578~BOM_COEF!V578~BOM_COEF!W578~BOM_COEF!X578~BOM_COEF!Y578~BOM_COEF!Z578~BOM_COEF!AA578),1,1,INDEX(P_VAL,MATCH("AÑO_DIS",P_ID,0))-2025)</f>
        <v>1</v>
      </c>
      <c r="G484" s="24" t="s">
        <v>2281</v>
      </c>
      <c r="H484" s="42" t="n">
        <f aca="false">BOM_COEF!R578*DEMANDA!F34</f>
        <v>125.1711497</v>
      </c>
      <c r="I484" s="42" t="n">
        <f aca="false">BOM_COEF!S578*DEMANDA!G34</f>
        <v>643.6303708</v>
      </c>
      <c r="J484" s="42" t="n">
        <f aca="false">BOM_COEF!T578*DEMANDA!H34</f>
        <v>1375.626719</v>
      </c>
      <c r="K484" s="42" t="n">
        <f aca="false">BOM_COEF!U578*DEMANDA!I34</f>
        <v>2460.284265</v>
      </c>
      <c r="L484" s="42" t="n">
        <f aca="false">BOM_COEF!V578*DEMANDA!J34</f>
        <v>3545.257683</v>
      </c>
      <c r="M484" s="42" t="n">
        <f aca="false">BOM_COEF!W578*DEMANDA!K34</f>
        <v>4723.461784</v>
      </c>
      <c r="N484" s="42" t="n">
        <f aca="false">BOM_COEF!X578*DEMANDA!L34</f>
        <v>5853.905178</v>
      </c>
      <c r="O484" s="42" t="n">
        <f aca="false">BOM_COEF!Y578*DEMANDA!M34</f>
        <v>6608.459909</v>
      </c>
      <c r="P484" s="42" t="n">
        <f aca="false">BOM_COEF!Z578*DEMANDA!N34</f>
        <v>7185.708397</v>
      </c>
      <c r="Q484" s="42" t="n">
        <f aca="false">BOM_COEF!AA578*DEMANDA!O34</f>
        <v>7769.577127</v>
      </c>
      <c r="R484" s="24" t="s">
        <v>3596</v>
      </c>
    </row>
    <row r="485" customFormat="false" ht="15" hidden="false" customHeight="false" outlineLevel="1" collapsed="false">
      <c r="A485" s="24" t="n">
        <v>1</v>
      </c>
      <c r="B485" s="24" t="s">
        <v>1355</v>
      </c>
      <c r="C485" s="40" t="s">
        <v>3597</v>
      </c>
      <c r="D485" s="24" t="s">
        <v>82</v>
      </c>
      <c r="E485" s="24" t="s">
        <v>357</v>
      </c>
      <c r="F485" s="41" t="n">
        <f aca="false">INDEX((BOM_COEF!R578~BOM_COEF!S578~BOM_COEF!T578~BOM_COEF!U578~BOM_COEF!V578~BOM_COEF!W578~BOM_COEF!X578~BOM_COEF!Y578~BOM_COEF!Z578~BOM_COEF!AA578),1,1,INDEX(P_VAL,MATCH("AÑO_DIS",P_ID,0))-2025)</f>
        <v>1</v>
      </c>
      <c r="G485" s="24" t="s">
        <v>2281</v>
      </c>
      <c r="H485" s="42" t="n">
        <f aca="false">BOM_COEF!R578*DEMANDA!F44</f>
        <v>7</v>
      </c>
      <c r="I485" s="42" t="n">
        <f aca="false">BOM_COEF!S578*DEMANDA!G44</f>
        <v>26</v>
      </c>
      <c r="J485" s="42" t="n">
        <f aca="false">BOM_COEF!T578*DEMANDA!H44</f>
        <v>58</v>
      </c>
      <c r="K485" s="42" t="n">
        <f aca="false">BOM_COEF!U578*DEMANDA!I44</f>
        <v>109</v>
      </c>
      <c r="L485" s="42" t="n">
        <f aca="false">BOM_COEF!V578*DEMANDA!J44</f>
        <v>156</v>
      </c>
      <c r="M485" s="42" t="n">
        <f aca="false">BOM_COEF!W578*DEMANDA!K44</f>
        <v>208</v>
      </c>
      <c r="N485" s="42" t="n">
        <f aca="false">BOM_COEF!X578*DEMANDA!L44</f>
        <v>255</v>
      </c>
      <c r="O485" s="42" t="n">
        <f aca="false">BOM_COEF!Y578*DEMANDA!M44</f>
        <v>283</v>
      </c>
      <c r="P485" s="42" t="n">
        <f aca="false">BOM_COEF!Z578*DEMANDA!N44</f>
        <v>306</v>
      </c>
      <c r="Q485" s="42" t="n">
        <f aca="false">BOM_COEF!AA578*DEMANDA!O44</f>
        <v>330</v>
      </c>
      <c r="R485" s="24" t="s">
        <v>3596</v>
      </c>
    </row>
    <row r="486" customFormat="false" ht="15" hidden="false" customHeight="false" outlineLevel="1" collapsed="false">
      <c r="A486" s="24" t="n">
        <v>1</v>
      </c>
      <c r="B486" s="24" t="s">
        <v>1355</v>
      </c>
      <c r="C486" s="40" t="s">
        <v>3598</v>
      </c>
      <c r="D486" s="24" t="s">
        <v>82</v>
      </c>
      <c r="E486" s="24" t="s">
        <v>330</v>
      </c>
      <c r="F486" s="41" t="n">
        <f aca="false">INDEX((BOM_COEF!R590~BOM_COEF!S590~BOM_COEF!T590~BOM_COEF!U590~BOM_COEF!V590~BOM_COEF!W590~BOM_COEF!X590~BOM_COEF!Y590~BOM_COEF!Z590~BOM_COEF!AA590),1,1,INDEX(P_VAL,MATCH("AÑO_DIS",P_ID,0))-2025)</f>
        <v>1</v>
      </c>
      <c r="G486" s="24" t="s">
        <v>2281</v>
      </c>
      <c r="H486" s="42" t="n">
        <f aca="false">BOM_COEF!R590*DEMANDA!F35</f>
        <v>18.20671269</v>
      </c>
      <c r="I486" s="42" t="n">
        <f aca="false">BOM_COEF!S590*DEMANDA!G35</f>
        <v>112.0751219</v>
      </c>
      <c r="J486" s="42" t="n">
        <f aca="false">BOM_COEF!T590*DEMANDA!H35</f>
        <v>230.8540412</v>
      </c>
      <c r="K486" s="42" t="n">
        <f aca="false">BOM_COEF!U590*DEMANDA!I35</f>
        <v>400.7153345</v>
      </c>
      <c r="L486" s="42" t="n">
        <f aca="false">BOM_COEF!V590*DEMANDA!J35</f>
        <v>574.5077895</v>
      </c>
      <c r="M486" s="42" t="n">
        <f aca="false">BOM_COEF!W590*DEMANDA!K35</f>
        <v>754.3456228</v>
      </c>
      <c r="N486" s="42" t="n">
        <f aca="false">BOM_COEF!X590*DEMANDA!L35</f>
        <v>944.8488404</v>
      </c>
      <c r="O486" s="42" t="n">
        <f aca="false">BOM_COEF!Y590*DEMANDA!M35</f>
        <v>1072.234671</v>
      </c>
      <c r="P486" s="42" t="n">
        <f aca="false">BOM_COEF!Z590*DEMANDA!N35</f>
        <v>1171.695753</v>
      </c>
      <c r="Q486" s="42" t="n">
        <f aca="false">BOM_COEF!AA590*DEMANDA!O35</f>
        <v>1271.941099</v>
      </c>
      <c r="R486" s="24" t="s">
        <v>3599</v>
      </c>
    </row>
    <row r="487" customFormat="false" ht="15" hidden="false" customHeight="false" outlineLevel="1" collapsed="false">
      <c r="A487" s="24" t="n">
        <v>1</v>
      </c>
      <c r="B487" s="24" t="s">
        <v>1355</v>
      </c>
      <c r="C487" s="40" t="s">
        <v>3600</v>
      </c>
      <c r="D487" s="24" t="s">
        <v>82</v>
      </c>
      <c r="E487" s="24" t="s">
        <v>360</v>
      </c>
      <c r="F487" s="41" t="n">
        <f aca="false">INDEX((BOM_COEF!R590~BOM_COEF!S590~BOM_COEF!T590~BOM_COEF!U590~BOM_COEF!V590~BOM_COEF!W590~BOM_COEF!X590~BOM_COEF!Y590~BOM_COEF!Z590~BOM_COEF!AA590),1,1,INDEX(P_VAL,MATCH("AÑO_DIS",P_ID,0))-2025)</f>
        <v>1</v>
      </c>
      <c r="G487" s="24" t="s">
        <v>2281</v>
      </c>
      <c r="H487" s="42" t="n">
        <f aca="false">BOM_COEF!R590*DEMANDA!F45</f>
        <v>1</v>
      </c>
      <c r="I487" s="42" t="n">
        <f aca="false">BOM_COEF!S590*DEMANDA!G45</f>
        <v>2</v>
      </c>
      <c r="J487" s="42" t="n">
        <f aca="false">BOM_COEF!T590*DEMANDA!H45</f>
        <v>3</v>
      </c>
      <c r="K487" s="42" t="n">
        <f aca="false">BOM_COEF!U590*DEMANDA!I45</f>
        <v>5</v>
      </c>
      <c r="L487" s="42" t="n">
        <f aca="false">BOM_COEF!V590*DEMANDA!J45</f>
        <v>7</v>
      </c>
      <c r="M487" s="42" t="n">
        <f aca="false">BOM_COEF!W590*DEMANDA!K45</f>
        <v>9</v>
      </c>
      <c r="N487" s="42" t="n">
        <f aca="false">BOM_COEF!X590*DEMANDA!L45</f>
        <v>11</v>
      </c>
      <c r="O487" s="42" t="n">
        <f aca="false">BOM_COEF!Y590*DEMANDA!M45</f>
        <v>12</v>
      </c>
      <c r="P487" s="42" t="n">
        <f aca="false">BOM_COEF!Z590*DEMANDA!N45</f>
        <v>13</v>
      </c>
      <c r="Q487" s="42" t="n">
        <f aca="false">BOM_COEF!AA590*DEMANDA!O45</f>
        <v>14</v>
      </c>
      <c r="R487" s="24" t="s">
        <v>3599</v>
      </c>
    </row>
    <row r="488" customFormat="false" ht="15" hidden="false" customHeight="false" outlineLevel="1" collapsed="false">
      <c r="A488" s="24" t="n">
        <v>1</v>
      </c>
      <c r="B488" s="24" t="s">
        <v>1355</v>
      </c>
      <c r="C488" s="40" t="s">
        <v>3601</v>
      </c>
      <c r="D488" s="24" t="s">
        <v>82</v>
      </c>
      <c r="E488" s="24" t="s">
        <v>333</v>
      </c>
      <c r="F488" s="41" t="n">
        <f aca="false">INDEX((BOM_COEF!R602~BOM_COEF!S602~BOM_COEF!T602~BOM_COEF!U602~BOM_COEF!V602~BOM_COEF!W602~BOM_COEF!X602~BOM_COEF!Y602~BOM_COEF!Z602~BOM_COEF!AA602),1,1,INDEX(P_VAL,MATCH("AÑO_DIS",P_ID,0))-2025)</f>
        <v>1</v>
      </c>
      <c r="G488" s="24" t="s">
        <v>2281</v>
      </c>
      <c r="H488" s="42" t="n">
        <f aca="false">BOM_COEF!R602*DEMANDA!F36</f>
        <v>6.827517259</v>
      </c>
      <c r="I488" s="42" t="n">
        <f aca="false">BOM_COEF!S602*DEMANDA!G36</f>
        <v>47.07311209</v>
      </c>
      <c r="J488" s="42" t="n">
        <f aca="false">BOM_COEF!T602*DEMANDA!H36</f>
        <v>88.88967623</v>
      </c>
      <c r="K488" s="42" t="n">
        <f aca="false">BOM_COEF!U602*DEMANDA!I36</f>
        <v>148.2791824</v>
      </c>
      <c r="L488" s="42" t="n">
        <f aca="false">BOM_COEF!V602*DEMANDA!J36</f>
        <v>205.2260532</v>
      </c>
      <c r="M488" s="42" t="n">
        <f aca="false">BOM_COEF!W602*DEMANDA!K36</f>
        <v>255.765145</v>
      </c>
      <c r="N488" s="42" t="n">
        <f aca="false">BOM_COEF!X602*DEMANDA!L36</f>
        <v>328.4179018</v>
      </c>
      <c r="O488" s="42" t="n">
        <f aca="false">BOM_COEF!Y602*DEMANDA!M36</f>
        <v>366.9080713</v>
      </c>
      <c r="P488" s="42" t="n">
        <f aca="false">BOM_COEF!Z602*DEMANDA!N36</f>
        <v>401.6817071</v>
      </c>
      <c r="Q488" s="42" t="n">
        <f aca="false">BOM_COEF!AA602*DEMANDA!O36</f>
        <v>436.6867823</v>
      </c>
      <c r="R488" s="24" t="s">
        <v>3602</v>
      </c>
    </row>
    <row r="489" customFormat="false" ht="15" hidden="false" customHeight="false" outlineLevel="1" collapsed="false">
      <c r="A489" s="24" t="n">
        <v>1</v>
      </c>
      <c r="B489" s="24" t="s">
        <v>1355</v>
      </c>
      <c r="C489" s="40" t="s">
        <v>3603</v>
      </c>
      <c r="D489" s="24" t="s">
        <v>82</v>
      </c>
      <c r="E489" s="24" t="s">
        <v>363</v>
      </c>
      <c r="F489" s="41" t="n">
        <f aca="false">INDEX((BOM_COEF!R602~BOM_COEF!S602~BOM_COEF!T602~BOM_COEF!U602~BOM_COEF!V602~BOM_COEF!W602~BOM_COEF!X602~BOM_COEF!Y602~BOM_COEF!Z602~BOM_COEF!AA602),1,1,INDEX(P_VAL,MATCH("AÑO_DIS",P_ID,0))-2025)</f>
        <v>1</v>
      </c>
      <c r="G489" s="24" t="s">
        <v>2281</v>
      </c>
      <c r="H489" s="42" t="n">
        <f aca="false">BOM_COEF!R602*DEMANDA!F46</f>
        <v>1</v>
      </c>
      <c r="I489" s="42" t="n">
        <f aca="false">BOM_COEF!S602*DEMANDA!G46</f>
        <v>1</v>
      </c>
      <c r="J489" s="42" t="n">
        <f aca="false">BOM_COEF!T602*DEMANDA!H46</f>
        <v>1</v>
      </c>
      <c r="K489" s="42" t="n">
        <f aca="false">BOM_COEF!U602*DEMANDA!I46</f>
        <v>2</v>
      </c>
      <c r="L489" s="42" t="n">
        <f aca="false">BOM_COEF!V602*DEMANDA!J46</f>
        <v>3</v>
      </c>
      <c r="M489" s="42" t="n">
        <f aca="false">BOM_COEF!W602*DEMANDA!K46</f>
        <v>3</v>
      </c>
      <c r="N489" s="42" t="n">
        <f aca="false">BOM_COEF!X602*DEMANDA!L46</f>
        <v>4</v>
      </c>
      <c r="O489" s="42" t="n">
        <f aca="false">BOM_COEF!Y602*DEMANDA!M46</f>
        <v>4</v>
      </c>
      <c r="P489" s="42" t="n">
        <f aca="false">BOM_COEF!Z602*DEMANDA!N46</f>
        <v>5</v>
      </c>
      <c r="Q489" s="42" t="n">
        <f aca="false">BOM_COEF!AA602*DEMANDA!O46</f>
        <v>5</v>
      </c>
      <c r="R489" s="24" t="s">
        <v>3602</v>
      </c>
    </row>
    <row r="490" customFormat="false" ht="15" hidden="false" customHeight="false" outlineLevel="0" collapsed="false">
      <c r="A490" s="38" t="n">
        <v>0</v>
      </c>
      <c r="B490" s="38" t="s">
        <v>1567</v>
      </c>
      <c r="C490" s="38" t="s">
        <v>2197</v>
      </c>
      <c r="D490" s="38" t="s">
        <v>82</v>
      </c>
      <c r="E490" s="38"/>
      <c r="F490" s="38"/>
      <c r="G490" s="38"/>
      <c r="H490" s="39" t="n">
        <f aca="false">SUM(H491:H493)</f>
        <v>144.321444198432</v>
      </c>
      <c r="I490" s="39" t="n">
        <f aca="false">SUM(I491:I493)</f>
        <v>586.107821961069</v>
      </c>
      <c r="J490" s="39" t="n">
        <f aca="false">SUM(J491:J493)</f>
        <v>1334.47210413755</v>
      </c>
      <c r="K490" s="39" t="n">
        <f aca="false">SUM(K491:K493)</f>
        <v>2508.71793296121</v>
      </c>
      <c r="L490" s="39" t="n">
        <f aca="false">SUM(L491:L493)</f>
        <v>3620.78562775655</v>
      </c>
      <c r="M490" s="39" t="n">
        <f aca="false">SUM(M491:M493)</f>
        <v>4815.63503302955</v>
      </c>
      <c r="N490" s="39" t="n">
        <f aca="false">SUM(N491:N493)</f>
        <v>5907.45693588493</v>
      </c>
      <c r="O490" s="39" t="n">
        <f aca="false">SUM(O491:O493)</f>
        <v>6564.55287464842</v>
      </c>
      <c r="P490" s="39" t="n">
        <f aca="false">SUM(P491:P493)</f>
        <v>7095.64175312449</v>
      </c>
      <c r="Q490" s="39" t="n">
        <f aca="false">SUM(Q491:Q493)</f>
        <v>7635.53544464282</v>
      </c>
      <c r="R490" s="38"/>
    </row>
    <row r="491" customFormat="false" ht="15" hidden="false" customHeight="false" outlineLevel="1" collapsed="false">
      <c r="A491" s="24" t="n">
        <v>1</v>
      </c>
      <c r="B491" s="24" t="s">
        <v>1567</v>
      </c>
      <c r="C491" s="40" t="s">
        <v>3604</v>
      </c>
      <c r="D491" s="24" t="s">
        <v>82</v>
      </c>
      <c r="E491" s="24" t="s">
        <v>324</v>
      </c>
      <c r="F491" s="41" t="n">
        <f aca="false">INDEX((BOM_COEF!R572~BOM_COEF!S572~BOM_COEF!T572~BOM_COEF!U572~BOM_COEF!V572~BOM_COEF!W572~BOM_COEF!X572~BOM_COEF!Y572~BOM_COEF!Z572~BOM_COEF!AA572),1,1,INDEX(P_VAL,MATCH("AÑO_DIS",P_ID,0))-2025)</f>
        <v>0.247633</v>
      </c>
      <c r="G491" s="24" t="s">
        <v>2281</v>
      </c>
      <c r="H491" s="42" t="n">
        <f aca="false">BOM_COEF!R572*DEMANDA!F33</f>
        <v>111.590580686724</v>
      </c>
      <c r="I491" s="42" t="n">
        <f aca="false">BOM_COEF!S572*DEMANDA!G33</f>
        <v>420.28323545764</v>
      </c>
      <c r="J491" s="42" t="n">
        <f aca="false">BOM_COEF!T572*DEMANDA!H33</f>
        <v>979.453084324546</v>
      </c>
      <c r="K491" s="42" t="n">
        <f aca="false">BOM_COEF!U572*DEMANDA!I33</f>
        <v>1872.46294686087</v>
      </c>
      <c r="L491" s="42" t="n">
        <f aca="false">BOM_COEF!V572*DEMANDA!J33</f>
        <v>2704.22098016916</v>
      </c>
      <c r="M491" s="42" t="n">
        <f aca="false">BOM_COEF!W572*DEMANDA!K33</f>
        <v>3594.42263122514</v>
      </c>
      <c r="N491" s="42" t="n">
        <f aca="false">BOM_COEF!X572*DEMANDA!L33</f>
        <v>4394.67209322572</v>
      </c>
      <c r="O491" s="42" t="n">
        <f aca="false">BOM_COEF!Y572*DEMANDA!M33</f>
        <v>4857.96552570348</v>
      </c>
      <c r="P491" s="42" t="n">
        <f aca="false">BOM_COEF!Z572*DEMANDA!N33</f>
        <v>5240.425052525</v>
      </c>
      <c r="Q491" s="42" t="n">
        <f aca="false">BOM_COEF!AA572*DEMANDA!O33</f>
        <v>5629.81286195243</v>
      </c>
      <c r="R491" s="24" t="s">
        <v>3605</v>
      </c>
    </row>
    <row r="492" customFormat="false" ht="15" hidden="false" customHeight="false" outlineLevel="1" collapsed="false">
      <c r="A492" s="24" t="n">
        <v>1</v>
      </c>
      <c r="B492" s="24" t="s">
        <v>1567</v>
      </c>
      <c r="C492" s="40" t="s">
        <v>3606</v>
      </c>
      <c r="D492" s="24" t="s">
        <v>82</v>
      </c>
      <c r="E492" s="24" t="s">
        <v>327</v>
      </c>
      <c r="F492" s="41" t="n">
        <f aca="false">INDEX((BOM_COEF!R583~BOM_COEF!S583~BOM_COEF!T583~BOM_COEF!U583~BOM_COEF!V583~BOM_COEF!W583~BOM_COEF!X583~BOM_COEF!Y583~BOM_COEF!Z583~BOM_COEF!AA583),1,1,INDEX(P_VAL,MATCH("AÑO_DIS",P_ID,0))-2025)</f>
        <v>0.247633</v>
      </c>
      <c r="G492" s="24" t="s">
        <v>2281</v>
      </c>
      <c r="H492" s="42" t="n">
        <f aca="false">BOM_COEF!R583*DEMANDA!F34</f>
        <v>30.997383511708</v>
      </c>
      <c r="I492" s="42" t="n">
        <f aca="false">BOM_COEF!S583*DEMANDA!G34</f>
        <v>159.386050503429</v>
      </c>
      <c r="J492" s="42" t="n">
        <f aca="false">BOM_COEF!T583*DEMANDA!H34</f>
        <v>340.656073813003</v>
      </c>
      <c r="K492" s="42" t="n">
        <f aca="false">BOM_COEF!U583*DEMANDA!I34</f>
        <v>609.262335100335</v>
      </c>
      <c r="L492" s="42" t="n">
        <f aca="false">BOM_COEF!V583*DEMANDA!J34</f>
        <v>877.933431587388</v>
      </c>
      <c r="M492" s="42" t="n">
        <f aca="false">BOM_COEF!W583*DEMANDA!K34</f>
        <v>1169.70390580441</v>
      </c>
      <c r="N492" s="42" t="n">
        <f aca="false">BOM_COEF!X583*DEMANDA!L34</f>
        <v>1449.63766265921</v>
      </c>
      <c r="O492" s="42" t="n">
        <f aca="false">BOM_COEF!Y583*DEMANDA!M34</f>
        <v>1636.50579494494</v>
      </c>
      <c r="P492" s="42" t="n">
        <f aca="false">BOM_COEF!Z583*DEMANDA!N34</f>
        <v>1779.44008459949</v>
      </c>
      <c r="Q492" s="42" t="n">
        <f aca="false">BOM_COEF!AA583*DEMANDA!O34</f>
        <v>1924.00369269039</v>
      </c>
      <c r="R492" s="24" t="s">
        <v>3607</v>
      </c>
    </row>
    <row r="493" customFormat="false" ht="15" hidden="false" customHeight="false" outlineLevel="1" collapsed="false">
      <c r="A493" s="24" t="n">
        <v>1</v>
      </c>
      <c r="B493" s="24" t="s">
        <v>1567</v>
      </c>
      <c r="C493" s="40" t="s">
        <v>3608</v>
      </c>
      <c r="D493" s="24" t="s">
        <v>82</v>
      </c>
      <c r="E493" s="24" t="s">
        <v>357</v>
      </c>
      <c r="F493" s="41" t="n">
        <f aca="false">INDEX((BOM_COEF!R583~BOM_COEF!S583~BOM_COEF!T583~BOM_COEF!U583~BOM_COEF!V583~BOM_COEF!W583~BOM_COEF!X583~BOM_COEF!Y583~BOM_COEF!Z583~BOM_COEF!AA583),1,1,INDEX(P_VAL,MATCH("AÑO_DIS",P_ID,0))-2025)</f>
        <v>0.247633</v>
      </c>
      <c r="G493" s="24" t="s">
        <v>2281</v>
      </c>
      <c r="H493" s="42" t="n">
        <f aca="false">BOM_COEF!R583*DEMANDA!F44</f>
        <v>1.73348</v>
      </c>
      <c r="I493" s="42" t="n">
        <f aca="false">BOM_COEF!S583*DEMANDA!G44</f>
        <v>6.438536</v>
      </c>
      <c r="J493" s="42" t="n">
        <f aca="false">BOM_COEF!T583*DEMANDA!H44</f>
        <v>14.362946</v>
      </c>
      <c r="K493" s="42" t="n">
        <f aca="false">BOM_COEF!U583*DEMANDA!I44</f>
        <v>26.992651</v>
      </c>
      <c r="L493" s="42" t="n">
        <f aca="false">BOM_COEF!V583*DEMANDA!J44</f>
        <v>38.631216</v>
      </c>
      <c r="M493" s="42" t="n">
        <f aca="false">BOM_COEF!W583*DEMANDA!K44</f>
        <v>51.508496</v>
      </c>
      <c r="N493" s="42" t="n">
        <f aca="false">BOM_COEF!X583*DEMANDA!L44</f>
        <v>63.14718</v>
      </c>
      <c r="O493" s="42" t="n">
        <f aca="false">BOM_COEF!Y583*DEMANDA!M44</f>
        <v>70.081554</v>
      </c>
      <c r="P493" s="42" t="n">
        <f aca="false">BOM_COEF!Z583*DEMANDA!N44</f>
        <v>75.776616</v>
      </c>
      <c r="Q493" s="42" t="n">
        <f aca="false">BOM_COEF!AA583*DEMANDA!O44</f>
        <v>81.71889</v>
      </c>
      <c r="R493" s="24" t="s">
        <v>3607</v>
      </c>
    </row>
    <row r="494" customFormat="false" ht="15" hidden="false" customHeight="false" outlineLevel="0" collapsed="false">
      <c r="A494" s="38" t="n">
        <v>0</v>
      </c>
      <c r="B494" s="38" t="s">
        <v>1619</v>
      </c>
      <c r="C494" s="38" t="s">
        <v>2200</v>
      </c>
      <c r="D494" s="38" t="s">
        <v>82</v>
      </c>
      <c r="E494" s="38"/>
      <c r="F494" s="38"/>
      <c r="G494" s="38"/>
      <c r="H494" s="39" t="n">
        <f aca="false">SUM(H495:H506)</f>
        <v>82</v>
      </c>
      <c r="I494" s="39" t="n">
        <f aca="false">SUM(I495:I506)</f>
        <v>256.98333333</v>
      </c>
      <c r="J494" s="39" t="n">
        <f aca="false">SUM(J495:J506)</f>
        <v>349.31666667</v>
      </c>
      <c r="K494" s="39" t="n">
        <f aca="false">SUM(K495:K506)</f>
        <v>599.43333333</v>
      </c>
      <c r="L494" s="39" t="n">
        <f aca="false">SUM(L495:L506)</f>
        <v>641.93333333</v>
      </c>
      <c r="M494" s="39" t="n">
        <f aca="false">SUM(M495:M506)</f>
        <v>742.25</v>
      </c>
      <c r="N494" s="39" t="n">
        <f aca="false">SUM(N495:N506)</f>
        <v>714.08333333</v>
      </c>
      <c r="O494" s="39" t="n">
        <f aca="false">SUM(O495:O506)</f>
        <v>568</v>
      </c>
      <c r="P494" s="39" t="n">
        <f aca="false">SUM(P495:P506)</f>
        <v>434.48333333</v>
      </c>
      <c r="Q494" s="39" t="n">
        <f aca="false">SUM(Q495:Q506)</f>
        <v>451.35</v>
      </c>
      <c r="R494" s="38"/>
    </row>
    <row r="495" customFormat="false" ht="15" hidden="false" customHeight="false" outlineLevel="1" collapsed="false">
      <c r="A495" s="24" t="n">
        <v>1</v>
      </c>
      <c r="B495" s="24" t="s">
        <v>1619</v>
      </c>
      <c r="C495" s="40" t="s">
        <v>3609</v>
      </c>
      <c r="D495" s="24" t="s">
        <v>82</v>
      </c>
      <c r="E495" s="24" t="s">
        <v>372</v>
      </c>
      <c r="F495" s="41" t="n">
        <f aca="false">INDEX((BOM_COEF!R611~BOM_COEF!S611~BOM_COEF!T611~BOM_COEF!U611~BOM_COEF!V611~BOM_COEF!W611~BOM_COEF!X611~BOM_COEF!Y611~BOM_COEF!Z611~BOM_COEF!AA611),1,1,INDEX(P_VAL,MATCH("AÑO_DIS",P_ID,0))-2025)</f>
        <v>1</v>
      </c>
      <c r="G495" s="24" t="s">
        <v>2281</v>
      </c>
      <c r="H495" s="42" t="n">
        <f aca="false">BOM_COEF!R611*DEMANDA!F49</f>
        <v>63</v>
      </c>
      <c r="I495" s="42" t="n">
        <f aca="false">BOM_COEF!S611*DEMANDA!G49</f>
        <v>222.15</v>
      </c>
      <c r="J495" s="42" t="n">
        <f aca="false">BOM_COEF!T611*DEMANDA!H49</f>
        <v>285.1</v>
      </c>
      <c r="K495" s="42" t="n">
        <f aca="false">BOM_COEF!U611*DEMANDA!I49</f>
        <v>499.65</v>
      </c>
      <c r="L495" s="42" t="n">
        <f aca="false">BOM_COEF!V611*DEMANDA!J49</f>
        <v>541.25</v>
      </c>
      <c r="M495" s="42" t="n">
        <f aca="false">BOM_COEF!W611*DEMANDA!K49</f>
        <v>632.75</v>
      </c>
      <c r="N495" s="42" t="n">
        <f aca="false">BOM_COEF!X611*DEMANDA!L49</f>
        <v>610.6</v>
      </c>
      <c r="O495" s="42" t="n">
        <f aca="false">BOM_COEF!Y611*DEMANDA!M49</f>
        <v>493.95</v>
      </c>
      <c r="P495" s="42" t="n">
        <f aca="false">BOM_COEF!Z611*DEMANDA!N49</f>
        <v>367.2</v>
      </c>
      <c r="Q495" s="42" t="n">
        <f aca="false">BOM_COEF!AA611*DEMANDA!O49</f>
        <v>382.2</v>
      </c>
      <c r="R495" s="24" t="s">
        <v>3610</v>
      </c>
    </row>
    <row r="496" customFormat="false" ht="15" hidden="false" customHeight="false" outlineLevel="1" collapsed="false">
      <c r="A496" s="24" t="n">
        <v>1</v>
      </c>
      <c r="B496" s="24" t="s">
        <v>1619</v>
      </c>
      <c r="C496" s="40" t="s">
        <v>3611</v>
      </c>
      <c r="D496" s="24" t="s">
        <v>82</v>
      </c>
      <c r="E496" s="24" t="s">
        <v>375</v>
      </c>
      <c r="F496" s="41" t="n">
        <f aca="false">INDEX((BOM_COEF!R615~BOM_COEF!S615~BOM_COEF!T615~BOM_COEF!U615~BOM_COEF!V615~BOM_COEF!W615~BOM_COEF!X615~BOM_COEF!Y615~BOM_COEF!Z615~BOM_COEF!AA615),1,1,INDEX(P_VAL,MATCH("AÑO_DIS",P_ID,0))-2025)</f>
        <v>1</v>
      </c>
      <c r="G496" s="24" t="s">
        <v>2281</v>
      </c>
      <c r="H496" s="42" t="n">
        <f aca="false">BOM_COEF!R615*DEMANDA!F50</f>
        <v>2</v>
      </c>
      <c r="I496" s="42" t="n">
        <f aca="false">BOM_COEF!S615*DEMANDA!G50</f>
        <v>3.1</v>
      </c>
      <c r="J496" s="42" t="n">
        <f aca="false">BOM_COEF!T615*DEMANDA!H50</f>
        <v>7.25</v>
      </c>
      <c r="K496" s="42" t="n">
        <f aca="false">BOM_COEF!U615*DEMANDA!I50</f>
        <v>10.6</v>
      </c>
      <c r="L496" s="42" t="n">
        <f aca="false">BOM_COEF!V615*DEMANDA!J50</f>
        <v>10.1</v>
      </c>
      <c r="M496" s="42" t="n">
        <f aca="false">BOM_COEF!W615*DEMANDA!K50</f>
        <v>12.55</v>
      </c>
      <c r="N496" s="42" t="n">
        <f aca="false">BOM_COEF!X615*DEMANDA!L50</f>
        <v>11.1</v>
      </c>
      <c r="O496" s="42" t="n">
        <f aca="false">BOM_COEF!Y615*DEMANDA!M50</f>
        <v>7.55</v>
      </c>
      <c r="P496" s="42" t="n">
        <f aca="false">BOM_COEF!Z615*DEMANDA!N50</f>
        <v>7.8</v>
      </c>
      <c r="Q496" s="42" t="n">
        <f aca="false">BOM_COEF!AA615*DEMANDA!O50</f>
        <v>7.05</v>
      </c>
      <c r="R496" s="24" t="s">
        <v>3612</v>
      </c>
    </row>
    <row r="497" customFormat="false" ht="15" hidden="false" customHeight="false" outlineLevel="1" collapsed="false">
      <c r="A497" s="24" t="n">
        <v>1</v>
      </c>
      <c r="B497" s="24" t="s">
        <v>1619</v>
      </c>
      <c r="C497" s="40" t="s">
        <v>3613</v>
      </c>
      <c r="D497" s="24" t="s">
        <v>82</v>
      </c>
      <c r="E497" s="24" t="s">
        <v>378</v>
      </c>
      <c r="F497" s="41" t="n">
        <f aca="false">INDEX((BOM_COEF!R620~BOM_COEF!S620~BOM_COEF!T620~BOM_COEF!U620~BOM_COEF!V620~BOM_COEF!W620~BOM_COEF!X620~BOM_COEF!Y620~BOM_COEF!Z620~BOM_COEF!AA620),1,1,INDEX(P_VAL,MATCH("AÑO_DIS",P_ID,0))-2025)</f>
        <v>1</v>
      </c>
      <c r="G497" s="24" t="s">
        <v>2281</v>
      </c>
      <c r="H497" s="42" t="n">
        <f aca="false">BOM_COEF!R620*DEMANDA!F51</f>
        <v>2</v>
      </c>
      <c r="I497" s="42" t="n">
        <f aca="false">BOM_COEF!S620*DEMANDA!G51</f>
        <v>5.1</v>
      </c>
      <c r="J497" s="42" t="n">
        <f aca="false">BOM_COEF!T620*DEMANDA!H51</f>
        <v>9.35</v>
      </c>
      <c r="K497" s="42" t="n">
        <f aca="false">BOM_COEF!U620*DEMANDA!I51</f>
        <v>14.8</v>
      </c>
      <c r="L497" s="42" t="n">
        <f aca="false">BOM_COEF!V620*DEMANDA!J51</f>
        <v>15.5</v>
      </c>
      <c r="M497" s="42" t="n">
        <f aca="false">BOM_COEF!W620*DEMANDA!K51</f>
        <v>16.2</v>
      </c>
      <c r="N497" s="42" t="n">
        <f aca="false">BOM_COEF!X620*DEMANDA!L51</f>
        <v>15.9</v>
      </c>
      <c r="O497" s="42" t="n">
        <f aca="false">BOM_COEF!Y620*DEMANDA!M51</f>
        <v>11.55</v>
      </c>
      <c r="P497" s="42" t="n">
        <f aca="false">BOM_COEF!Z620*DEMANDA!N51</f>
        <v>9.95</v>
      </c>
      <c r="Q497" s="42" t="n">
        <f aca="false">BOM_COEF!AA620*DEMANDA!O51</f>
        <v>11.25</v>
      </c>
      <c r="R497" s="24" t="s">
        <v>3614</v>
      </c>
    </row>
    <row r="498" customFormat="false" ht="15" hidden="false" customHeight="false" outlineLevel="1" collapsed="false">
      <c r="A498" s="24" t="n">
        <v>1</v>
      </c>
      <c r="B498" s="24" t="s">
        <v>1619</v>
      </c>
      <c r="C498" s="40" t="s">
        <v>3615</v>
      </c>
      <c r="D498" s="24" t="s">
        <v>82</v>
      </c>
      <c r="E498" s="24" t="s">
        <v>381</v>
      </c>
      <c r="F498" s="41" t="n">
        <f aca="false">INDEX((BOM_COEF!R625~BOM_COEF!S625~BOM_COEF!T625~BOM_COEF!U625~BOM_COEF!V625~BOM_COEF!W625~BOM_COEF!X625~BOM_COEF!Y625~BOM_COEF!Z625~BOM_COEF!AA625),1,1,INDEX(P_VAL,MATCH("AÑO_DIS",P_ID,0))-2025)</f>
        <v>1</v>
      </c>
      <c r="G498" s="24" t="s">
        <v>2281</v>
      </c>
      <c r="H498" s="42" t="n">
        <f aca="false">BOM_COEF!R625*DEMANDA!F52</f>
        <v>1</v>
      </c>
      <c r="I498" s="42" t="n">
        <f aca="false">BOM_COEF!S625*DEMANDA!G52</f>
        <v>1.05</v>
      </c>
      <c r="J498" s="42" t="n">
        <f aca="false">BOM_COEF!T625*DEMANDA!H52</f>
        <v>2.1</v>
      </c>
      <c r="K498" s="42" t="n">
        <f aca="false">BOM_COEF!U625*DEMANDA!I52</f>
        <v>2.2</v>
      </c>
      <c r="L498" s="42" t="n">
        <f aca="false">BOM_COEF!V625*DEMANDA!J52</f>
        <v>3.3</v>
      </c>
      <c r="M498" s="42" t="n">
        <f aca="false">BOM_COEF!W625*DEMANDA!K52</f>
        <v>2.45</v>
      </c>
      <c r="N498" s="42" t="n">
        <f aca="false">BOM_COEF!X625*DEMANDA!L52</f>
        <v>2.55</v>
      </c>
      <c r="O498" s="42" t="n">
        <f aca="false">BOM_COEF!Y625*DEMANDA!M52</f>
        <v>2.65</v>
      </c>
      <c r="P498" s="42" t="n">
        <f aca="false">BOM_COEF!Z625*DEMANDA!N52</f>
        <v>1.75</v>
      </c>
      <c r="Q498" s="42" t="n">
        <f aca="false">BOM_COEF!AA625*DEMANDA!O52</f>
        <v>2.8</v>
      </c>
      <c r="R498" s="24" t="s">
        <v>3616</v>
      </c>
    </row>
    <row r="499" customFormat="false" ht="15" hidden="false" customHeight="false" outlineLevel="1" collapsed="false">
      <c r="A499" s="24" t="n">
        <v>1</v>
      </c>
      <c r="B499" s="24" t="s">
        <v>1619</v>
      </c>
      <c r="C499" s="40" t="s">
        <v>3617</v>
      </c>
      <c r="D499" s="24" t="s">
        <v>82</v>
      </c>
      <c r="E499" s="24" t="s">
        <v>384</v>
      </c>
      <c r="F499" s="41" t="n">
        <f aca="false">INDEX((BOM_COEF!R630~BOM_COEF!S630~BOM_COEF!T630~BOM_COEF!U630~BOM_COEF!V630~BOM_COEF!W630~BOM_COEF!X630~BOM_COEF!Y630~BOM_COEF!Z630~BOM_COEF!AA630),1,1,INDEX(P_VAL,MATCH("AÑO_DIS",P_ID,0))-2025)</f>
        <v>1</v>
      </c>
      <c r="G499" s="24" t="s">
        <v>2281</v>
      </c>
      <c r="H499" s="42" t="n">
        <f aca="false">BOM_COEF!R630*DEMANDA!F53</f>
        <v>1</v>
      </c>
      <c r="I499" s="42" t="n">
        <f aca="false">BOM_COEF!S630*DEMANDA!G53</f>
        <v>0.05</v>
      </c>
      <c r="J499" s="42" t="n">
        <f aca="false">BOM_COEF!T630*DEMANDA!H53</f>
        <v>1.05</v>
      </c>
      <c r="K499" s="42" t="n">
        <f aca="false">BOM_COEF!U630*DEMANDA!I53</f>
        <v>2.1</v>
      </c>
      <c r="L499" s="42" t="n">
        <f aca="false">BOM_COEF!V630*DEMANDA!J53</f>
        <v>1.2</v>
      </c>
      <c r="M499" s="42" t="n">
        <f aca="false">BOM_COEF!W630*DEMANDA!K53</f>
        <v>1.25</v>
      </c>
      <c r="N499" s="42" t="n">
        <f aca="false">BOM_COEF!X630*DEMANDA!L53</f>
        <v>1.3</v>
      </c>
      <c r="O499" s="42" t="n">
        <f aca="false">BOM_COEF!Y630*DEMANDA!M53</f>
        <v>1.35</v>
      </c>
      <c r="P499" s="42" t="n">
        <f aca="false">BOM_COEF!Z630*DEMANDA!N53</f>
        <v>1.4</v>
      </c>
      <c r="Q499" s="42" t="n">
        <f aca="false">BOM_COEF!AA630*DEMANDA!O53</f>
        <v>1.45</v>
      </c>
      <c r="R499" s="24" t="s">
        <v>3618</v>
      </c>
    </row>
    <row r="500" customFormat="false" ht="15" hidden="false" customHeight="false" outlineLevel="1" collapsed="false">
      <c r="A500" s="24" t="n">
        <v>1</v>
      </c>
      <c r="B500" s="24" t="s">
        <v>1619</v>
      </c>
      <c r="C500" s="40" t="s">
        <v>3619</v>
      </c>
      <c r="D500" s="24" t="s">
        <v>82</v>
      </c>
      <c r="E500" s="24" t="s">
        <v>387</v>
      </c>
      <c r="F500" s="41" t="n">
        <f aca="false">INDEX((BOM_COEF!R635~BOM_COEF!S635~BOM_COEF!T635~BOM_COEF!U635~BOM_COEF!V635~BOM_COEF!W635~BOM_COEF!X635~BOM_COEF!Y635~BOM_COEF!Z635~BOM_COEF!AA635),1,1,INDEX(P_VAL,MATCH("AÑO_DIS",P_ID,0))-2025)</f>
        <v>1</v>
      </c>
      <c r="G500" s="24" t="s">
        <v>2281</v>
      </c>
      <c r="H500" s="42" t="n">
        <f aca="false">BOM_COEF!R635*DEMANDA!F54</f>
        <v>1</v>
      </c>
      <c r="I500" s="42" t="n">
        <f aca="false">BOM_COEF!S635*DEMANDA!G54</f>
        <v>0.05</v>
      </c>
      <c r="J500" s="42" t="n">
        <f aca="false">BOM_COEF!T635*DEMANDA!H54</f>
        <v>0.05</v>
      </c>
      <c r="K500" s="42" t="n">
        <f aca="false">BOM_COEF!U635*DEMANDA!I54</f>
        <v>1.05</v>
      </c>
      <c r="L500" s="42" t="n">
        <f aca="false">BOM_COEF!V635*DEMANDA!J54</f>
        <v>1.1</v>
      </c>
      <c r="M500" s="42" t="n">
        <f aca="false">BOM_COEF!W635*DEMANDA!K54</f>
        <v>1.15</v>
      </c>
      <c r="N500" s="42" t="n">
        <f aca="false">BOM_COEF!X635*DEMANDA!L54</f>
        <v>0.2</v>
      </c>
      <c r="O500" s="42" t="n">
        <f aca="false">BOM_COEF!Y635*DEMANDA!M54</f>
        <v>1.2</v>
      </c>
      <c r="P500" s="42" t="n">
        <f aca="false">BOM_COEF!Z635*DEMANDA!N54</f>
        <v>0.25</v>
      </c>
      <c r="Q500" s="42" t="n">
        <f aca="false">BOM_COEF!AA635*DEMANDA!O54</f>
        <v>1.25</v>
      </c>
      <c r="R500" s="24" t="s">
        <v>3620</v>
      </c>
    </row>
    <row r="501" customFormat="false" ht="15" hidden="false" customHeight="false" outlineLevel="1" collapsed="false">
      <c r="A501" s="24" t="n">
        <v>1</v>
      </c>
      <c r="B501" s="24" t="s">
        <v>1619</v>
      </c>
      <c r="C501" s="40" t="s">
        <v>3621</v>
      </c>
      <c r="D501" s="24" t="s">
        <v>82</v>
      </c>
      <c r="E501" s="24" t="s">
        <v>390</v>
      </c>
      <c r="F501" s="41" t="n">
        <f aca="false">INDEX((BOM_COEF!R640~BOM_COEF!S640~BOM_COEF!T640~BOM_COEF!U640~BOM_COEF!V640~BOM_COEF!W640~BOM_COEF!X640~BOM_COEF!Y640~BOM_COEF!Z640~BOM_COEF!AA640),1,1,INDEX(P_VAL,MATCH("AÑO_DIS",P_ID,0))-2025)</f>
        <v>1</v>
      </c>
      <c r="G501" s="24" t="s">
        <v>2281</v>
      </c>
      <c r="H501" s="42" t="n">
        <f aca="false">BOM_COEF!R640*DEMANDA!F55</f>
        <v>1</v>
      </c>
      <c r="I501" s="42" t="n">
        <f aca="false">BOM_COEF!S640*DEMANDA!G55</f>
        <v>3.05</v>
      </c>
      <c r="J501" s="42" t="n">
        <f aca="false">BOM_COEF!T640*DEMANDA!H55</f>
        <v>5.2</v>
      </c>
      <c r="K501" s="42" t="n">
        <f aca="false">BOM_COEF!U640*DEMANDA!I55</f>
        <v>6.45</v>
      </c>
      <c r="L501" s="42" t="n">
        <f aca="false">BOM_COEF!V640*DEMANDA!J55</f>
        <v>7.75</v>
      </c>
      <c r="M501" s="42" t="n">
        <f aca="false">BOM_COEF!W640*DEMANDA!K55</f>
        <v>8.1</v>
      </c>
      <c r="N501" s="42" t="n">
        <f aca="false">BOM_COEF!X640*DEMANDA!L55</f>
        <v>7.45</v>
      </c>
      <c r="O501" s="42" t="n">
        <f aca="false">BOM_COEF!Y640*DEMANDA!M55</f>
        <v>5.75</v>
      </c>
      <c r="P501" s="42" t="n">
        <f aca="false">BOM_COEF!Z640*DEMANDA!N55</f>
        <v>4.95</v>
      </c>
      <c r="Q501" s="42" t="n">
        <f aca="false">BOM_COEF!AA640*DEMANDA!O55</f>
        <v>5.1</v>
      </c>
      <c r="R501" s="24" t="s">
        <v>3622</v>
      </c>
    </row>
    <row r="502" customFormat="false" ht="15" hidden="false" customHeight="false" outlineLevel="1" collapsed="false">
      <c r="A502" s="24" t="n">
        <v>1</v>
      </c>
      <c r="B502" s="24" t="s">
        <v>1619</v>
      </c>
      <c r="C502" s="40" t="s">
        <v>3623</v>
      </c>
      <c r="D502" s="24" t="s">
        <v>82</v>
      </c>
      <c r="E502" s="24" t="s">
        <v>393</v>
      </c>
      <c r="F502" s="41" t="n">
        <f aca="false">INDEX((BOM_COEF!R645~BOM_COEF!S645~BOM_COEF!T645~BOM_COEF!U645~BOM_COEF!V645~BOM_COEF!W645~BOM_COEF!X645~BOM_COEF!Y645~BOM_COEF!Z645~BOM_COEF!AA645),1,1,INDEX(P_VAL,MATCH("AÑO_DIS",P_ID,0))-2025)</f>
        <v>1</v>
      </c>
      <c r="G502" s="24" t="s">
        <v>2281</v>
      </c>
      <c r="H502" s="42" t="n">
        <f aca="false">BOM_COEF!R645*DEMANDA!F56</f>
        <v>7</v>
      </c>
      <c r="I502" s="42" t="n">
        <f aca="false">BOM_COEF!S645*DEMANDA!G56</f>
        <v>19.23333333</v>
      </c>
      <c r="J502" s="42" t="n">
        <f aca="false">BOM_COEF!T645*DEMANDA!H56</f>
        <v>32.86666667</v>
      </c>
      <c r="K502" s="42" t="n">
        <f aca="false">BOM_COEF!U645*DEMANDA!I56</f>
        <v>52.93333333</v>
      </c>
      <c r="L502" s="42" t="n">
        <f aca="false">BOM_COEF!V645*DEMANDA!J56</f>
        <v>50.63333333</v>
      </c>
      <c r="M502" s="42" t="n">
        <f aca="false">BOM_COEF!W645*DEMANDA!K56</f>
        <v>57.2</v>
      </c>
      <c r="N502" s="42" t="n">
        <f aca="false">BOM_COEF!X645*DEMANDA!L56</f>
        <v>53.93333333</v>
      </c>
      <c r="O502" s="42" t="n">
        <f aca="false">BOM_COEF!Y645*DEMANDA!M56</f>
        <v>36.5</v>
      </c>
      <c r="P502" s="42" t="n">
        <f aca="false">BOM_COEF!Z645*DEMANDA!N56</f>
        <v>32.43333333</v>
      </c>
      <c r="Q502" s="42" t="n">
        <f aca="false">BOM_COEF!AA645*DEMANDA!O56</f>
        <v>34.2</v>
      </c>
      <c r="R502" s="24" t="s">
        <v>3624</v>
      </c>
    </row>
    <row r="503" customFormat="false" ht="15" hidden="false" customHeight="false" outlineLevel="1" collapsed="false">
      <c r="A503" s="24" t="n">
        <v>1</v>
      </c>
      <c r="B503" s="24" t="s">
        <v>1619</v>
      </c>
      <c r="C503" s="40" t="s">
        <v>3625</v>
      </c>
      <c r="D503" s="24" t="s">
        <v>82</v>
      </c>
      <c r="E503" s="24" t="s">
        <v>396</v>
      </c>
      <c r="F503" s="41" t="n">
        <f aca="false">INDEX((BOM_COEF!R650~BOM_COEF!S650~BOM_COEF!T650~BOM_COEF!U650~BOM_COEF!V650~BOM_COEF!W650~BOM_COEF!X650~BOM_COEF!Y650~BOM_COEF!Z650~BOM_COEF!AA650),1,1,INDEX(P_VAL,MATCH("AÑO_DIS",P_ID,0))-2025)</f>
        <v>1</v>
      </c>
      <c r="G503" s="24" t="s">
        <v>2281</v>
      </c>
      <c r="H503" s="42" t="n">
        <f aca="false">BOM_COEF!R650*DEMANDA!F57</f>
        <v>1</v>
      </c>
      <c r="I503" s="42" t="n">
        <f aca="false">BOM_COEF!S650*DEMANDA!G57</f>
        <v>1.05</v>
      </c>
      <c r="J503" s="42" t="n">
        <f aca="false">BOM_COEF!T650*DEMANDA!H57</f>
        <v>1.1</v>
      </c>
      <c r="K503" s="42" t="n">
        <f aca="false">BOM_COEF!U650*DEMANDA!I57</f>
        <v>2.15</v>
      </c>
      <c r="L503" s="42" t="n">
        <f aca="false">BOM_COEF!V650*DEMANDA!J57</f>
        <v>2.25</v>
      </c>
      <c r="M503" s="42" t="n">
        <f aca="false">BOM_COEF!W650*DEMANDA!K57</f>
        <v>2.35</v>
      </c>
      <c r="N503" s="42" t="n">
        <f aca="false">BOM_COEF!X650*DEMANDA!L57</f>
        <v>2.45</v>
      </c>
      <c r="O503" s="42" t="n">
        <f aca="false">BOM_COEF!Y650*DEMANDA!M57</f>
        <v>1.55</v>
      </c>
      <c r="P503" s="42" t="n">
        <f aca="false">BOM_COEF!Z650*DEMANDA!N57</f>
        <v>1.6</v>
      </c>
      <c r="Q503" s="42" t="n">
        <f aca="false">BOM_COEF!AA650*DEMANDA!O57</f>
        <v>1.65</v>
      </c>
      <c r="R503" s="24" t="s">
        <v>3626</v>
      </c>
    </row>
    <row r="504" customFormat="false" ht="15" hidden="false" customHeight="false" outlineLevel="1" collapsed="false">
      <c r="A504" s="24" t="n">
        <v>1</v>
      </c>
      <c r="B504" s="24" t="s">
        <v>1619</v>
      </c>
      <c r="C504" s="40" t="s">
        <v>3627</v>
      </c>
      <c r="D504" s="24" t="s">
        <v>82</v>
      </c>
      <c r="E504" s="24" t="s">
        <v>399</v>
      </c>
      <c r="F504" s="41" t="n">
        <f aca="false">INDEX((BOM_COEF!R655~BOM_COEF!S655~BOM_COEF!T655~BOM_COEF!U655~BOM_COEF!V655~BOM_COEF!W655~BOM_COEF!X655~BOM_COEF!Y655~BOM_COEF!Z655~BOM_COEF!AA655),1,1,INDEX(P_VAL,MATCH("AÑO_DIS",P_ID,0))-2025)</f>
        <v>1</v>
      </c>
      <c r="G504" s="24" t="s">
        <v>2281</v>
      </c>
      <c r="H504" s="42" t="n">
        <f aca="false">BOM_COEF!R655*DEMANDA!F58</f>
        <v>1</v>
      </c>
      <c r="I504" s="42" t="n">
        <f aca="false">BOM_COEF!S655*DEMANDA!G58</f>
        <v>0.05</v>
      </c>
      <c r="J504" s="42" t="n">
        <f aca="false">BOM_COEF!T655*DEMANDA!H58</f>
        <v>0.05</v>
      </c>
      <c r="K504" s="42" t="n">
        <f aca="false">BOM_COEF!U655*DEMANDA!I58</f>
        <v>1.05</v>
      </c>
      <c r="L504" s="42" t="n">
        <f aca="false">BOM_COEF!V655*DEMANDA!J58</f>
        <v>1.1</v>
      </c>
      <c r="M504" s="42" t="n">
        <f aca="false">BOM_COEF!W655*DEMANDA!K58</f>
        <v>0.15</v>
      </c>
      <c r="N504" s="42" t="n">
        <f aca="false">BOM_COEF!X655*DEMANDA!L58</f>
        <v>1.15</v>
      </c>
      <c r="O504" s="42" t="n">
        <f aca="false">BOM_COEF!Y655*DEMANDA!M58</f>
        <v>0.2</v>
      </c>
      <c r="P504" s="42" t="n">
        <f aca="false">BOM_COEF!Z655*DEMANDA!N58</f>
        <v>1.2</v>
      </c>
      <c r="Q504" s="42" t="n">
        <f aca="false">BOM_COEF!AA655*DEMANDA!O58</f>
        <v>0.25</v>
      </c>
      <c r="R504" s="24" t="s">
        <v>3628</v>
      </c>
    </row>
    <row r="505" customFormat="false" ht="15" hidden="false" customHeight="false" outlineLevel="1" collapsed="false">
      <c r="A505" s="24" t="n">
        <v>1</v>
      </c>
      <c r="B505" s="24" t="s">
        <v>1619</v>
      </c>
      <c r="C505" s="40" t="s">
        <v>3629</v>
      </c>
      <c r="D505" s="24" t="s">
        <v>82</v>
      </c>
      <c r="E505" s="24" t="s">
        <v>402</v>
      </c>
      <c r="F505" s="41" t="n">
        <f aca="false">INDEX((BOM_COEF!R659~BOM_COEF!S659~BOM_COEF!T659~BOM_COEF!U659~BOM_COEF!V659~BOM_COEF!W659~BOM_COEF!X659~BOM_COEF!Y659~BOM_COEF!Z659~BOM_COEF!AA659),1,1,INDEX(P_VAL,MATCH("AÑO_DIS",P_ID,0))-2025)</f>
        <v>1</v>
      </c>
      <c r="G505" s="24" t="s">
        <v>2281</v>
      </c>
      <c r="H505" s="42" t="n">
        <f aca="false">BOM_COEF!R659*DEMANDA!F59</f>
        <v>1</v>
      </c>
      <c r="I505" s="42" t="n">
        <f aca="false">BOM_COEF!S659*DEMANDA!G59</f>
        <v>2.05</v>
      </c>
      <c r="J505" s="42" t="n">
        <f aca="false">BOM_COEF!T659*DEMANDA!H59</f>
        <v>4.15</v>
      </c>
      <c r="K505" s="42" t="n">
        <f aca="false">BOM_COEF!U659*DEMANDA!I59</f>
        <v>5.35</v>
      </c>
      <c r="L505" s="42" t="n">
        <f aca="false">BOM_COEF!V659*DEMANDA!J59</f>
        <v>5.6</v>
      </c>
      <c r="M505" s="42" t="n">
        <f aca="false">BOM_COEF!W659*DEMANDA!K59</f>
        <v>6.85</v>
      </c>
      <c r="N505" s="42" t="n">
        <f aca="false">BOM_COEF!X659*DEMANDA!L59</f>
        <v>6.15</v>
      </c>
      <c r="O505" s="42" t="n">
        <f aca="false">BOM_COEF!Y659*DEMANDA!M59</f>
        <v>4.4</v>
      </c>
      <c r="P505" s="42" t="n">
        <f aca="false">BOM_COEF!Z659*DEMANDA!N59</f>
        <v>4.55</v>
      </c>
      <c r="Q505" s="42" t="n">
        <f aca="false">BOM_COEF!AA659*DEMANDA!O59</f>
        <v>3.7</v>
      </c>
      <c r="R505" s="24" t="s">
        <v>3630</v>
      </c>
    </row>
    <row r="506" customFormat="false" ht="15" hidden="false" customHeight="false" outlineLevel="1" collapsed="false">
      <c r="A506" s="24" t="n">
        <v>1</v>
      </c>
      <c r="B506" s="24" t="s">
        <v>1619</v>
      </c>
      <c r="C506" s="40" t="s">
        <v>3631</v>
      </c>
      <c r="D506" s="24" t="s">
        <v>82</v>
      </c>
      <c r="E506" s="24" t="s">
        <v>405</v>
      </c>
      <c r="F506" s="41" t="n">
        <f aca="false">INDEX((BOM_COEF!R663~BOM_COEF!S663~BOM_COEF!T663~BOM_COEF!U663~BOM_COEF!V663~BOM_COEF!W663~BOM_COEF!X663~BOM_COEF!Y663~BOM_COEF!Z663~BOM_COEF!AA663),1,1,INDEX(P_VAL,MATCH("AÑO_DIS",P_ID,0))-2025)</f>
        <v>1</v>
      </c>
      <c r="G506" s="24" t="s">
        <v>2281</v>
      </c>
      <c r="H506" s="42" t="n">
        <f aca="false">BOM_COEF!R663*DEMANDA!F60</f>
        <v>1</v>
      </c>
      <c r="I506" s="42" t="n">
        <f aca="false">BOM_COEF!S663*DEMANDA!G60</f>
        <v>0.05</v>
      </c>
      <c r="J506" s="42" t="n">
        <f aca="false">BOM_COEF!T663*DEMANDA!H60</f>
        <v>1.05</v>
      </c>
      <c r="K506" s="42" t="n">
        <f aca="false">BOM_COEF!U663*DEMANDA!I60</f>
        <v>1.1</v>
      </c>
      <c r="L506" s="42" t="n">
        <f aca="false">BOM_COEF!V663*DEMANDA!J60</f>
        <v>2.15</v>
      </c>
      <c r="M506" s="42" t="n">
        <f aca="false">BOM_COEF!W663*DEMANDA!K60</f>
        <v>1.25</v>
      </c>
      <c r="N506" s="42" t="n">
        <f aca="false">BOM_COEF!X663*DEMANDA!L60</f>
        <v>1.3</v>
      </c>
      <c r="O506" s="42" t="n">
        <f aca="false">BOM_COEF!Y663*DEMANDA!M60</f>
        <v>1.35</v>
      </c>
      <c r="P506" s="42" t="n">
        <f aca="false">BOM_COEF!Z663*DEMANDA!N60</f>
        <v>1.4</v>
      </c>
      <c r="Q506" s="42" t="n">
        <f aca="false">BOM_COEF!AA663*DEMANDA!O60</f>
        <v>0.45</v>
      </c>
      <c r="R506" s="24" t="s">
        <v>3632</v>
      </c>
    </row>
    <row r="507" customFormat="false" ht="15" hidden="false" customHeight="false" outlineLevel="0" collapsed="false">
      <c r="A507" s="38" t="n">
        <v>0</v>
      </c>
      <c r="B507" s="38" t="s">
        <v>1624</v>
      </c>
      <c r="C507" s="38" t="s">
        <v>1623</v>
      </c>
      <c r="D507" s="38" t="s">
        <v>82</v>
      </c>
      <c r="E507" s="38"/>
      <c r="F507" s="38"/>
      <c r="G507" s="38"/>
      <c r="H507" s="39" t="n">
        <f aca="false">SUM(H508:H519)</f>
        <v>82</v>
      </c>
      <c r="I507" s="39" t="n">
        <f aca="false">SUM(I508:I519)</f>
        <v>256.98333333</v>
      </c>
      <c r="J507" s="39" t="n">
        <f aca="false">SUM(J508:J519)</f>
        <v>349.31666667</v>
      </c>
      <c r="K507" s="39" t="n">
        <f aca="false">SUM(K508:K519)</f>
        <v>599.43333333</v>
      </c>
      <c r="L507" s="39" t="n">
        <f aca="false">SUM(L508:L519)</f>
        <v>641.93333333</v>
      </c>
      <c r="M507" s="39" t="n">
        <f aca="false">SUM(M508:M519)</f>
        <v>742.25</v>
      </c>
      <c r="N507" s="39" t="n">
        <f aca="false">SUM(N508:N519)</f>
        <v>714.08333333</v>
      </c>
      <c r="O507" s="39" t="n">
        <f aca="false">SUM(O508:O519)</f>
        <v>568</v>
      </c>
      <c r="P507" s="39" t="n">
        <f aca="false">SUM(P508:P519)</f>
        <v>434.48333333</v>
      </c>
      <c r="Q507" s="39" t="n">
        <f aca="false">SUM(Q508:Q519)</f>
        <v>451.35</v>
      </c>
      <c r="R507" s="38"/>
    </row>
    <row r="508" customFormat="false" ht="15" hidden="false" customHeight="false" outlineLevel="1" collapsed="false">
      <c r="A508" s="24" t="n">
        <v>1</v>
      </c>
      <c r="B508" s="24" t="s">
        <v>1624</v>
      </c>
      <c r="C508" s="40" t="s">
        <v>3633</v>
      </c>
      <c r="D508" s="24" t="s">
        <v>82</v>
      </c>
      <c r="E508" s="24" t="s">
        <v>372</v>
      </c>
      <c r="F508" s="41" t="n">
        <f aca="false">INDEX((BOM_COEF!R612~BOM_COEF!S612~BOM_COEF!T612~BOM_COEF!U612~BOM_COEF!V612~BOM_COEF!W612~BOM_COEF!X612~BOM_COEF!Y612~BOM_COEF!Z612~BOM_COEF!AA612),1,1,INDEX(P_VAL,MATCH("AÑO_DIS",P_ID,0))-2025)</f>
        <v>1</v>
      </c>
      <c r="G508" s="24" t="s">
        <v>2281</v>
      </c>
      <c r="H508" s="42" t="n">
        <f aca="false">BOM_COEF!R612*DEMANDA!F49</f>
        <v>63</v>
      </c>
      <c r="I508" s="42" t="n">
        <f aca="false">BOM_COEF!S612*DEMANDA!G49</f>
        <v>222.15</v>
      </c>
      <c r="J508" s="42" t="n">
        <f aca="false">BOM_COEF!T612*DEMANDA!H49</f>
        <v>285.1</v>
      </c>
      <c r="K508" s="42" t="n">
        <f aca="false">BOM_COEF!U612*DEMANDA!I49</f>
        <v>499.65</v>
      </c>
      <c r="L508" s="42" t="n">
        <f aca="false">BOM_COEF!V612*DEMANDA!J49</f>
        <v>541.25</v>
      </c>
      <c r="M508" s="42" t="n">
        <f aca="false">BOM_COEF!W612*DEMANDA!K49</f>
        <v>632.75</v>
      </c>
      <c r="N508" s="42" t="n">
        <f aca="false">BOM_COEF!X612*DEMANDA!L49</f>
        <v>610.6</v>
      </c>
      <c r="O508" s="42" t="n">
        <f aca="false">BOM_COEF!Y612*DEMANDA!M49</f>
        <v>493.95</v>
      </c>
      <c r="P508" s="42" t="n">
        <f aca="false">BOM_COEF!Z612*DEMANDA!N49</f>
        <v>367.2</v>
      </c>
      <c r="Q508" s="42" t="n">
        <f aca="false">BOM_COEF!AA612*DEMANDA!O49</f>
        <v>382.2</v>
      </c>
      <c r="R508" s="24" t="s">
        <v>3634</v>
      </c>
    </row>
    <row r="509" customFormat="false" ht="15" hidden="false" customHeight="false" outlineLevel="1" collapsed="false">
      <c r="A509" s="24" t="n">
        <v>1</v>
      </c>
      <c r="B509" s="24" t="s">
        <v>1624</v>
      </c>
      <c r="C509" s="40" t="s">
        <v>3635</v>
      </c>
      <c r="D509" s="24" t="s">
        <v>82</v>
      </c>
      <c r="E509" s="24" t="s">
        <v>375</v>
      </c>
      <c r="F509" s="41" t="n">
        <f aca="false">INDEX((BOM_COEF!R616~BOM_COEF!S616~BOM_COEF!T616~BOM_COEF!U616~BOM_COEF!V616~BOM_COEF!W616~BOM_COEF!X616~BOM_COEF!Y616~BOM_COEF!Z616~BOM_COEF!AA616),1,1,INDEX(P_VAL,MATCH("AÑO_DIS",P_ID,0))-2025)</f>
        <v>1</v>
      </c>
      <c r="G509" s="24" t="s">
        <v>2281</v>
      </c>
      <c r="H509" s="42" t="n">
        <f aca="false">BOM_COEF!R616*DEMANDA!F50</f>
        <v>2</v>
      </c>
      <c r="I509" s="42" t="n">
        <f aca="false">BOM_COEF!S616*DEMANDA!G50</f>
        <v>3.1</v>
      </c>
      <c r="J509" s="42" t="n">
        <f aca="false">BOM_COEF!T616*DEMANDA!H50</f>
        <v>7.25</v>
      </c>
      <c r="K509" s="42" t="n">
        <f aca="false">BOM_COEF!U616*DEMANDA!I50</f>
        <v>10.6</v>
      </c>
      <c r="L509" s="42" t="n">
        <f aca="false">BOM_COEF!V616*DEMANDA!J50</f>
        <v>10.1</v>
      </c>
      <c r="M509" s="42" t="n">
        <f aca="false">BOM_COEF!W616*DEMANDA!K50</f>
        <v>12.55</v>
      </c>
      <c r="N509" s="42" t="n">
        <f aca="false">BOM_COEF!X616*DEMANDA!L50</f>
        <v>11.1</v>
      </c>
      <c r="O509" s="42" t="n">
        <f aca="false">BOM_COEF!Y616*DEMANDA!M50</f>
        <v>7.55</v>
      </c>
      <c r="P509" s="42" t="n">
        <f aca="false">BOM_COEF!Z616*DEMANDA!N50</f>
        <v>7.8</v>
      </c>
      <c r="Q509" s="42" t="n">
        <f aca="false">BOM_COEF!AA616*DEMANDA!O50</f>
        <v>7.05</v>
      </c>
      <c r="R509" s="24" t="s">
        <v>3636</v>
      </c>
    </row>
    <row r="510" customFormat="false" ht="15" hidden="false" customHeight="false" outlineLevel="1" collapsed="false">
      <c r="A510" s="24" t="n">
        <v>1</v>
      </c>
      <c r="B510" s="24" t="s">
        <v>1624</v>
      </c>
      <c r="C510" s="40" t="s">
        <v>3637</v>
      </c>
      <c r="D510" s="24" t="s">
        <v>82</v>
      </c>
      <c r="E510" s="24" t="s">
        <v>378</v>
      </c>
      <c r="F510" s="41" t="n">
        <f aca="false">INDEX((BOM_COEF!R621~BOM_COEF!S621~BOM_COEF!T621~BOM_COEF!U621~BOM_COEF!V621~BOM_COEF!W621~BOM_COEF!X621~BOM_COEF!Y621~BOM_COEF!Z621~BOM_COEF!AA621),1,1,INDEX(P_VAL,MATCH("AÑO_DIS",P_ID,0))-2025)</f>
        <v>1</v>
      </c>
      <c r="G510" s="24" t="s">
        <v>2281</v>
      </c>
      <c r="H510" s="42" t="n">
        <f aca="false">BOM_COEF!R621*DEMANDA!F51</f>
        <v>2</v>
      </c>
      <c r="I510" s="42" t="n">
        <f aca="false">BOM_COEF!S621*DEMANDA!G51</f>
        <v>5.1</v>
      </c>
      <c r="J510" s="42" t="n">
        <f aca="false">BOM_COEF!T621*DEMANDA!H51</f>
        <v>9.35</v>
      </c>
      <c r="K510" s="42" t="n">
        <f aca="false">BOM_COEF!U621*DEMANDA!I51</f>
        <v>14.8</v>
      </c>
      <c r="L510" s="42" t="n">
        <f aca="false">BOM_COEF!V621*DEMANDA!J51</f>
        <v>15.5</v>
      </c>
      <c r="M510" s="42" t="n">
        <f aca="false">BOM_COEF!W621*DEMANDA!K51</f>
        <v>16.2</v>
      </c>
      <c r="N510" s="42" t="n">
        <f aca="false">BOM_COEF!X621*DEMANDA!L51</f>
        <v>15.9</v>
      </c>
      <c r="O510" s="42" t="n">
        <f aca="false">BOM_COEF!Y621*DEMANDA!M51</f>
        <v>11.55</v>
      </c>
      <c r="P510" s="42" t="n">
        <f aca="false">BOM_COEF!Z621*DEMANDA!N51</f>
        <v>9.95</v>
      </c>
      <c r="Q510" s="42" t="n">
        <f aca="false">BOM_COEF!AA621*DEMANDA!O51</f>
        <v>11.25</v>
      </c>
      <c r="R510" s="24" t="s">
        <v>3638</v>
      </c>
    </row>
    <row r="511" customFormat="false" ht="15" hidden="false" customHeight="false" outlineLevel="1" collapsed="false">
      <c r="A511" s="24" t="n">
        <v>1</v>
      </c>
      <c r="B511" s="24" t="s">
        <v>1624</v>
      </c>
      <c r="C511" s="40" t="s">
        <v>3639</v>
      </c>
      <c r="D511" s="24" t="s">
        <v>82</v>
      </c>
      <c r="E511" s="24" t="s">
        <v>381</v>
      </c>
      <c r="F511" s="41" t="n">
        <f aca="false">INDEX((BOM_COEF!R626~BOM_COEF!S626~BOM_COEF!T626~BOM_COEF!U626~BOM_COEF!V626~BOM_COEF!W626~BOM_COEF!X626~BOM_COEF!Y626~BOM_COEF!Z626~BOM_COEF!AA626),1,1,INDEX(P_VAL,MATCH("AÑO_DIS",P_ID,0))-2025)</f>
        <v>1</v>
      </c>
      <c r="G511" s="24" t="s">
        <v>2281</v>
      </c>
      <c r="H511" s="42" t="n">
        <f aca="false">BOM_COEF!R626*DEMANDA!F52</f>
        <v>1</v>
      </c>
      <c r="I511" s="42" t="n">
        <f aca="false">BOM_COEF!S626*DEMANDA!G52</f>
        <v>1.05</v>
      </c>
      <c r="J511" s="42" t="n">
        <f aca="false">BOM_COEF!T626*DEMANDA!H52</f>
        <v>2.1</v>
      </c>
      <c r="K511" s="42" t="n">
        <f aca="false">BOM_COEF!U626*DEMANDA!I52</f>
        <v>2.2</v>
      </c>
      <c r="L511" s="42" t="n">
        <f aca="false">BOM_COEF!V626*DEMANDA!J52</f>
        <v>3.3</v>
      </c>
      <c r="M511" s="42" t="n">
        <f aca="false">BOM_COEF!W626*DEMANDA!K52</f>
        <v>2.45</v>
      </c>
      <c r="N511" s="42" t="n">
        <f aca="false">BOM_COEF!X626*DEMANDA!L52</f>
        <v>2.55</v>
      </c>
      <c r="O511" s="42" t="n">
        <f aca="false">BOM_COEF!Y626*DEMANDA!M52</f>
        <v>2.65</v>
      </c>
      <c r="P511" s="42" t="n">
        <f aca="false">BOM_COEF!Z626*DEMANDA!N52</f>
        <v>1.75</v>
      </c>
      <c r="Q511" s="42" t="n">
        <f aca="false">BOM_COEF!AA626*DEMANDA!O52</f>
        <v>2.8</v>
      </c>
      <c r="R511" s="24" t="s">
        <v>3640</v>
      </c>
    </row>
    <row r="512" customFormat="false" ht="15" hidden="false" customHeight="false" outlineLevel="1" collapsed="false">
      <c r="A512" s="24" t="n">
        <v>1</v>
      </c>
      <c r="B512" s="24" t="s">
        <v>1624</v>
      </c>
      <c r="C512" s="40" t="s">
        <v>3641</v>
      </c>
      <c r="D512" s="24" t="s">
        <v>82</v>
      </c>
      <c r="E512" s="24" t="s">
        <v>384</v>
      </c>
      <c r="F512" s="41" t="n">
        <f aca="false">INDEX((BOM_COEF!R631~BOM_COEF!S631~BOM_COEF!T631~BOM_COEF!U631~BOM_COEF!V631~BOM_COEF!W631~BOM_COEF!X631~BOM_COEF!Y631~BOM_COEF!Z631~BOM_COEF!AA631),1,1,INDEX(P_VAL,MATCH("AÑO_DIS",P_ID,0))-2025)</f>
        <v>1</v>
      </c>
      <c r="G512" s="24" t="s">
        <v>2281</v>
      </c>
      <c r="H512" s="42" t="n">
        <f aca="false">BOM_COEF!R631*DEMANDA!F53</f>
        <v>1</v>
      </c>
      <c r="I512" s="42" t="n">
        <f aca="false">BOM_COEF!S631*DEMANDA!G53</f>
        <v>0.05</v>
      </c>
      <c r="J512" s="42" t="n">
        <f aca="false">BOM_COEF!T631*DEMANDA!H53</f>
        <v>1.05</v>
      </c>
      <c r="K512" s="42" t="n">
        <f aca="false">BOM_COEF!U631*DEMANDA!I53</f>
        <v>2.1</v>
      </c>
      <c r="L512" s="42" t="n">
        <f aca="false">BOM_COEF!V631*DEMANDA!J53</f>
        <v>1.2</v>
      </c>
      <c r="M512" s="42" t="n">
        <f aca="false">BOM_COEF!W631*DEMANDA!K53</f>
        <v>1.25</v>
      </c>
      <c r="N512" s="42" t="n">
        <f aca="false">BOM_COEF!X631*DEMANDA!L53</f>
        <v>1.3</v>
      </c>
      <c r="O512" s="42" t="n">
        <f aca="false">BOM_COEF!Y631*DEMANDA!M53</f>
        <v>1.35</v>
      </c>
      <c r="P512" s="42" t="n">
        <f aca="false">BOM_COEF!Z631*DEMANDA!N53</f>
        <v>1.4</v>
      </c>
      <c r="Q512" s="42" t="n">
        <f aca="false">BOM_COEF!AA631*DEMANDA!O53</f>
        <v>1.45</v>
      </c>
      <c r="R512" s="24" t="s">
        <v>3642</v>
      </c>
    </row>
    <row r="513" customFormat="false" ht="15" hidden="false" customHeight="false" outlineLevel="1" collapsed="false">
      <c r="A513" s="24" t="n">
        <v>1</v>
      </c>
      <c r="B513" s="24" t="s">
        <v>1624</v>
      </c>
      <c r="C513" s="40" t="s">
        <v>3643</v>
      </c>
      <c r="D513" s="24" t="s">
        <v>82</v>
      </c>
      <c r="E513" s="24" t="s">
        <v>387</v>
      </c>
      <c r="F513" s="41" t="n">
        <f aca="false">INDEX((BOM_COEF!R636~BOM_COEF!S636~BOM_COEF!T636~BOM_COEF!U636~BOM_COEF!V636~BOM_COEF!W636~BOM_COEF!X636~BOM_COEF!Y636~BOM_COEF!Z636~BOM_COEF!AA636),1,1,INDEX(P_VAL,MATCH("AÑO_DIS",P_ID,0))-2025)</f>
        <v>1</v>
      </c>
      <c r="G513" s="24" t="s">
        <v>2281</v>
      </c>
      <c r="H513" s="42" t="n">
        <f aca="false">BOM_COEF!R636*DEMANDA!F54</f>
        <v>1</v>
      </c>
      <c r="I513" s="42" t="n">
        <f aca="false">BOM_COEF!S636*DEMANDA!G54</f>
        <v>0.05</v>
      </c>
      <c r="J513" s="42" t="n">
        <f aca="false">BOM_COEF!T636*DEMANDA!H54</f>
        <v>0.05</v>
      </c>
      <c r="K513" s="42" t="n">
        <f aca="false">BOM_COEF!U636*DEMANDA!I54</f>
        <v>1.05</v>
      </c>
      <c r="L513" s="42" t="n">
        <f aca="false">BOM_COEF!V636*DEMANDA!J54</f>
        <v>1.1</v>
      </c>
      <c r="M513" s="42" t="n">
        <f aca="false">BOM_COEF!W636*DEMANDA!K54</f>
        <v>1.15</v>
      </c>
      <c r="N513" s="42" t="n">
        <f aca="false">BOM_COEF!X636*DEMANDA!L54</f>
        <v>0.2</v>
      </c>
      <c r="O513" s="42" t="n">
        <f aca="false">BOM_COEF!Y636*DEMANDA!M54</f>
        <v>1.2</v>
      </c>
      <c r="P513" s="42" t="n">
        <f aca="false">BOM_COEF!Z636*DEMANDA!N54</f>
        <v>0.25</v>
      </c>
      <c r="Q513" s="42" t="n">
        <f aca="false">BOM_COEF!AA636*DEMANDA!O54</f>
        <v>1.25</v>
      </c>
      <c r="R513" s="24" t="s">
        <v>3644</v>
      </c>
    </row>
    <row r="514" customFormat="false" ht="15" hidden="false" customHeight="false" outlineLevel="1" collapsed="false">
      <c r="A514" s="24" t="n">
        <v>1</v>
      </c>
      <c r="B514" s="24" t="s">
        <v>1624</v>
      </c>
      <c r="C514" s="40" t="s">
        <v>3645</v>
      </c>
      <c r="D514" s="24" t="s">
        <v>82</v>
      </c>
      <c r="E514" s="24" t="s">
        <v>390</v>
      </c>
      <c r="F514" s="41" t="n">
        <f aca="false">INDEX((BOM_COEF!R641~BOM_COEF!S641~BOM_COEF!T641~BOM_COEF!U641~BOM_COEF!V641~BOM_COEF!W641~BOM_COEF!X641~BOM_COEF!Y641~BOM_COEF!Z641~BOM_COEF!AA641),1,1,INDEX(P_VAL,MATCH("AÑO_DIS",P_ID,0))-2025)</f>
        <v>1</v>
      </c>
      <c r="G514" s="24" t="s">
        <v>2281</v>
      </c>
      <c r="H514" s="42" t="n">
        <f aca="false">BOM_COEF!R641*DEMANDA!F55</f>
        <v>1</v>
      </c>
      <c r="I514" s="42" t="n">
        <f aca="false">BOM_COEF!S641*DEMANDA!G55</f>
        <v>3.05</v>
      </c>
      <c r="J514" s="42" t="n">
        <f aca="false">BOM_COEF!T641*DEMANDA!H55</f>
        <v>5.2</v>
      </c>
      <c r="K514" s="42" t="n">
        <f aca="false">BOM_COEF!U641*DEMANDA!I55</f>
        <v>6.45</v>
      </c>
      <c r="L514" s="42" t="n">
        <f aca="false">BOM_COEF!V641*DEMANDA!J55</f>
        <v>7.75</v>
      </c>
      <c r="M514" s="42" t="n">
        <f aca="false">BOM_COEF!W641*DEMANDA!K55</f>
        <v>8.1</v>
      </c>
      <c r="N514" s="42" t="n">
        <f aca="false">BOM_COEF!X641*DEMANDA!L55</f>
        <v>7.45</v>
      </c>
      <c r="O514" s="42" t="n">
        <f aca="false">BOM_COEF!Y641*DEMANDA!M55</f>
        <v>5.75</v>
      </c>
      <c r="P514" s="42" t="n">
        <f aca="false">BOM_COEF!Z641*DEMANDA!N55</f>
        <v>4.95</v>
      </c>
      <c r="Q514" s="42" t="n">
        <f aca="false">BOM_COEF!AA641*DEMANDA!O55</f>
        <v>5.1</v>
      </c>
      <c r="R514" s="24" t="s">
        <v>3646</v>
      </c>
    </row>
    <row r="515" customFormat="false" ht="15" hidden="false" customHeight="false" outlineLevel="1" collapsed="false">
      <c r="A515" s="24" t="n">
        <v>1</v>
      </c>
      <c r="B515" s="24" t="s">
        <v>1624</v>
      </c>
      <c r="C515" s="40" t="s">
        <v>3647</v>
      </c>
      <c r="D515" s="24" t="s">
        <v>82</v>
      </c>
      <c r="E515" s="24" t="s">
        <v>393</v>
      </c>
      <c r="F515" s="41" t="n">
        <f aca="false">INDEX((BOM_COEF!R646~BOM_COEF!S646~BOM_COEF!T646~BOM_COEF!U646~BOM_COEF!V646~BOM_COEF!W646~BOM_COEF!X646~BOM_COEF!Y646~BOM_COEF!Z646~BOM_COEF!AA646),1,1,INDEX(P_VAL,MATCH("AÑO_DIS",P_ID,0))-2025)</f>
        <v>1</v>
      </c>
      <c r="G515" s="24" t="s">
        <v>2281</v>
      </c>
      <c r="H515" s="42" t="n">
        <f aca="false">BOM_COEF!R646*DEMANDA!F56</f>
        <v>7</v>
      </c>
      <c r="I515" s="42" t="n">
        <f aca="false">BOM_COEF!S646*DEMANDA!G56</f>
        <v>19.23333333</v>
      </c>
      <c r="J515" s="42" t="n">
        <f aca="false">BOM_COEF!T646*DEMANDA!H56</f>
        <v>32.86666667</v>
      </c>
      <c r="K515" s="42" t="n">
        <f aca="false">BOM_COEF!U646*DEMANDA!I56</f>
        <v>52.93333333</v>
      </c>
      <c r="L515" s="42" t="n">
        <f aca="false">BOM_COEF!V646*DEMANDA!J56</f>
        <v>50.63333333</v>
      </c>
      <c r="M515" s="42" t="n">
        <f aca="false">BOM_COEF!W646*DEMANDA!K56</f>
        <v>57.2</v>
      </c>
      <c r="N515" s="42" t="n">
        <f aca="false">BOM_COEF!X646*DEMANDA!L56</f>
        <v>53.93333333</v>
      </c>
      <c r="O515" s="42" t="n">
        <f aca="false">BOM_COEF!Y646*DEMANDA!M56</f>
        <v>36.5</v>
      </c>
      <c r="P515" s="42" t="n">
        <f aca="false">BOM_COEF!Z646*DEMANDA!N56</f>
        <v>32.43333333</v>
      </c>
      <c r="Q515" s="42" t="n">
        <f aca="false">BOM_COEF!AA646*DEMANDA!O56</f>
        <v>34.2</v>
      </c>
      <c r="R515" s="24" t="s">
        <v>3648</v>
      </c>
    </row>
    <row r="516" customFormat="false" ht="15" hidden="false" customHeight="false" outlineLevel="1" collapsed="false">
      <c r="A516" s="24" t="n">
        <v>1</v>
      </c>
      <c r="B516" s="24" t="s">
        <v>1624</v>
      </c>
      <c r="C516" s="40" t="s">
        <v>3649</v>
      </c>
      <c r="D516" s="24" t="s">
        <v>82</v>
      </c>
      <c r="E516" s="24" t="s">
        <v>396</v>
      </c>
      <c r="F516" s="41" t="n">
        <f aca="false">INDEX((BOM_COEF!R651~BOM_COEF!S651~BOM_COEF!T651~BOM_COEF!U651~BOM_COEF!V651~BOM_COEF!W651~BOM_COEF!X651~BOM_COEF!Y651~BOM_COEF!Z651~BOM_COEF!AA651),1,1,INDEX(P_VAL,MATCH("AÑO_DIS",P_ID,0))-2025)</f>
        <v>1</v>
      </c>
      <c r="G516" s="24" t="s">
        <v>2281</v>
      </c>
      <c r="H516" s="42" t="n">
        <f aca="false">BOM_COEF!R651*DEMANDA!F57</f>
        <v>1</v>
      </c>
      <c r="I516" s="42" t="n">
        <f aca="false">BOM_COEF!S651*DEMANDA!G57</f>
        <v>1.05</v>
      </c>
      <c r="J516" s="42" t="n">
        <f aca="false">BOM_COEF!T651*DEMANDA!H57</f>
        <v>1.1</v>
      </c>
      <c r="K516" s="42" t="n">
        <f aca="false">BOM_COEF!U651*DEMANDA!I57</f>
        <v>2.15</v>
      </c>
      <c r="L516" s="42" t="n">
        <f aca="false">BOM_COEF!V651*DEMANDA!J57</f>
        <v>2.25</v>
      </c>
      <c r="M516" s="42" t="n">
        <f aca="false">BOM_COEF!W651*DEMANDA!K57</f>
        <v>2.35</v>
      </c>
      <c r="N516" s="42" t="n">
        <f aca="false">BOM_COEF!X651*DEMANDA!L57</f>
        <v>2.45</v>
      </c>
      <c r="O516" s="42" t="n">
        <f aca="false">BOM_COEF!Y651*DEMANDA!M57</f>
        <v>1.55</v>
      </c>
      <c r="P516" s="42" t="n">
        <f aca="false">BOM_COEF!Z651*DEMANDA!N57</f>
        <v>1.6</v>
      </c>
      <c r="Q516" s="42" t="n">
        <f aca="false">BOM_COEF!AA651*DEMANDA!O57</f>
        <v>1.65</v>
      </c>
      <c r="R516" s="24" t="s">
        <v>3650</v>
      </c>
    </row>
    <row r="517" customFormat="false" ht="15" hidden="false" customHeight="false" outlineLevel="1" collapsed="false">
      <c r="A517" s="24" t="n">
        <v>1</v>
      </c>
      <c r="B517" s="24" t="s">
        <v>1624</v>
      </c>
      <c r="C517" s="40" t="s">
        <v>3651</v>
      </c>
      <c r="D517" s="24" t="s">
        <v>82</v>
      </c>
      <c r="E517" s="24" t="s">
        <v>399</v>
      </c>
      <c r="F517" s="41" t="n">
        <f aca="false">INDEX((BOM_COEF!R656~BOM_COEF!S656~BOM_COEF!T656~BOM_COEF!U656~BOM_COEF!V656~BOM_COEF!W656~BOM_COEF!X656~BOM_COEF!Y656~BOM_COEF!Z656~BOM_COEF!AA656),1,1,INDEX(P_VAL,MATCH("AÑO_DIS",P_ID,0))-2025)</f>
        <v>1</v>
      </c>
      <c r="G517" s="24" t="s">
        <v>2281</v>
      </c>
      <c r="H517" s="42" t="n">
        <f aca="false">BOM_COEF!R656*DEMANDA!F58</f>
        <v>1</v>
      </c>
      <c r="I517" s="42" t="n">
        <f aca="false">BOM_COEF!S656*DEMANDA!G58</f>
        <v>0.05</v>
      </c>
      <c r="J517" s="42" t="n">
        <f aca="false">BOM_COEF!T656*DEMANDA!H58</f>
        <v>0.05</v>
      </c>
      <c r="K517" s="42" t="n">
        <f aca="false">BOM_COEF!U656*DEMANDA!I58</f>
        <v>1.05</v>
      </c>
      <c r="L517" s="42" t="n">
        <f aca="false">BOM_COEF!V656*DEMANDA!J58</f>
        <v>1.1</v>
      </c>
      <c r="M517" s="42" t="n">
        <f aca="false">BOM_COEF!W656*DEMANDA!K58</f>
        <v>0.15</v>
      </c>
      <c r="N517" s="42" t="n">
        <f aca="false">BOM_COEF!X656*DEMANDA!L58</f>
        <v>1.15</v>
      </c>
      <c r="O517" s="42" t="n">
        <f aca="false">BOM_COEF!Y656*DEMANDA!M58</f>
        <v>0.2</v>
      </c>
      <c r="P517" s="42" t="n">
        <f aca="false">BOM_COEF!Z656*DEMANDA!N58</f>
        <v>1.2</v>
      </c>
      <c r="Q517" s="42" t="n">
        <f aca="false">BOM_COEF!AA656*DEMANDA!O58</f>
        <v>0.25</v>
      </c>
      <c r="R517" s="24" t="s">
        <v>3652</v>
      </c>
    </row>
    <row r="518" customFormat="false" ht="15" hidden="false" customHeight="false" outlineLevel="1" collapsed="false">
      <c r="A518" s="24" t="n">
        <v>1</v>
      </c>
      <c r="B518" s="24" t="s">
        <v>1624</v>
      </c>
      <c r="C518" s="40" t="s">
        <v>3653</v>
      </c>
      <c r="D518" s="24" t="s">
        <v>82</v>
      </c>
      <c r="E518" s="24" t="s">
        <v>402</v>
      </c>
      <c r="F518" s="41" t="n">
        <f aca="false">INDEX((BOM_COEF!R660~BOM_COEF!S660~BOM_COEF!T660~BOM_COEF!U660~BOM_COEF!V660~BOM_COEF!W660~BOM_COEF!X660~BOM_COEF!Y660~BOM_COEF!Z660~BOM_COEF!AA660),1,1,INDEX(P_VAL,MATCH("AÑO_DIS",P_ID,0))-2025)</f>
        <v>1</v>
      </c>
      <c r="G518" s="24" t="s">
        <v>2281</v>
      </c>
      <c r="H518" s="42" t="n">
        <f aca="false">BOM_COEF!R660*DEMANDA!F59</f>
        <v>1</v>
      </c>
      <c r="I518" s="42" t="n">
        <f aca="false">BOM_COEF!S660*DEMANDA!G59</f>
        <v>2.05</v>
      </c>
      <c r="J518" s="42" t="n">
        <f aca="false">BOM_COEF!T660*DEMANDA!H59</f>
        <v>4.15</v>
      </c>
      <c r="K518" s="42" t="n">
        <f aca="false">BOM_COEF!U660*DEMANDA!I59</f>
        <v>5.35</v>
      </c>
      <c r="L518" s="42" t="n">
        <f aca="false">BOM_COEF!V660*DEMANDA!J59</f>
        <v>5.6</v>
      </c>
      <c r="M518" s="42" t="n">
        <f aca="false">BOM_COEF!W660*DEMANDA!K59</f>
        <v>6.85</v>
      </c>
      <c r="N518" s="42" t="n">
        <f aca="false">BOM_COEF!X660*DEMANDA!L59</f>
        <v>6.15</v>
      </c>
      <c r="O518" s="42" t="n">
        <f aca="false">BOM_COEF!Y660*DEMANDA!M59</f>
        <v>4.4</v>
      </c>
      <c r="P518" s="42" t="n">
        <f aca="false">BOM_COEF!Z660*DEMANDA!N59</f>
        <v>4.55</v>
      </c>
      <c r="Q518" s="42" t="n">
        <f aca="false">BOM_COEF!AA660*DEMANDA!O59</f>
        <v>3.7</v>
      </c>
      <c r="R518" s="24" t="s">
        <v>3654</v>
      </c>
    </row>
    <row r="519" customFormat="false" ht="15" hidden="false" customHeight="false" outlineLevel="1" collapsed="false">
      <c r="A519" s="24" t="n">
        <v>1</v>
      </c>
      <c r="B519" s="24" t="s">
        <v>1624</v>
      </c>
      <c r="C519" s="40" t="s">
        <v>3655</v>
      </c>
      <c r="D519" s="24" t="s">
        <v>82</v>
      </c>
      <c r="E519" s="24" t="s">
        <v>405</v>
      </c>
      <c r="F519" s="41" t="n">
        <f aca="false">INDEX((BOM_COEF!R664~BOM_COEF!S664~BOM_COEF!T664~BOM_COEF!U664~BOM_COEF!V664~BOM_COEF!W664~BOM_COEF!X664~BOM_COEF!Y664~BOM_COEF!Z664~BOM_COEF!AA664),1,1,INDEX(P_VAL,MATCH("AÑO_DIS",P_ID,0))-2025)</f>
        <v>1</v>
      </c>
      <c r="G519" s="24" t="s">
        <v>2281</v>
      </c>
      <c r="H519" s="42" t="n">
        <f aca="false">BOM_COEF!R664*DEMANDA!F60</f>
        <v>1</v>
      </c>
      <c r="I519" s="42" t="n">
        <f aca="false">BOM_COEF!S664*DEMANDA!G60</f>
        <v>0.05</v>
      </c>
      <c r="J519" s="42" t="n">
        <f aca="false">BOM_COEF!T664*DEMANDA!H60</f>
        <v>1.05</v>
      </c>
      <c r="K519" s="42" t="n">
        <f aca="false">BOM_COEF!U664*DEMANDA!I60</f>
        <v>1.1</v>
      </c>
      <c r="L519" s="42" t="n">
        <f aca="false">BOM_COEF!V664*DEMANDA!J60</f>
        <v>2.15</v>
      </c>
      <c r="M519" s="42" t="n">
        <f aca="false">BOM_COEF!W664*DEMANDA!K60</f>
        <v>1.25</v>
      </c>
      <c r="N519" s="42" t="n">
        <f aca="false">BOM_COEF!X664*DEMANDA!L60</f>
        <v>1.3</v>
      </c>
      <c r="O519" s="42" t="n">
        <f aca="false">BOM_COEF!Y664*DEMANDA!M60</f>
        <v>1.35</v>
      </c>
      <c r="P519" s="42" t="n">
        <f aca="false">BOM_COEF!Z664*DEMANDA!N60</f>
        <v>1.4</v>
      </c>
      <c r="Q519" s="42" t="n">
        <f aca="false">BOM_COEF!AA664*DEMANDA!O60</f>
        <v>0.45</v>
      </c>
      <c r="R519" s="24" t="s">
        <v>3656</v>
      </c>
    </row>
    <row r="520" customFormat="false" ht="15" hidden="false" customHeight="false" outlineLevel="0" collapsed="false">
      <c r="A520" s="38" t="n">
        <v>0</v>
      </c>
      <c r="B520" s="38" t="s">
        <v>1628</v>
      </c>
      <c r="C520" s="38" t="s">
        <v>1627</v>
      </c>
      <c r="D520" s="38" t="s">
        <v>82</v>
      </c>
      <c r="E520" s="38"/>
      <c r="F520" s="38"/>
      <c r="G520" s="38"/>
      <c r="H520" s="39" t="n">
        <f aca="false">SUM(H521:H532)</f>
        <v>82</v>
      </c>
      <c r="I520" s="39" t="n">
        <f aca="false">SUM(I521:I532)</f>
        <v>256.98333333</v>
      </c>
      <c r="J520" s="39" t="n">
        <f aca="false">SUM(J521:J532)</f>
        <v>349.31666667</v>
      </c>
      <c r="K520" s="39" t="n">
        <f aca="false">SUM(K521:K532)</f>
        <v>599.43333333</v>
      </c>
      <c r="L520" s="39" t="n">
        <f aca="false">SUM(L521:L532)</f>
        <v>641.93333333</v>
      </c>
      <c r="M520" s="39" t="n">
        <f aca="false">SUM(M521:M532)</f>
        <v>742.25</v>
      </c>
      <c r="N520" s="39" t="n">
        <f aca="false">SUM(N521:N532)</f>
        <v>714.08333333</v>
      </c>
      <c r="O520" s="39" t="n">
        <f aca="false">SUM(O521:O532)</f>
        <v>568</v>
      </c>
      <c r="P520" s="39" t="n">
        <f aca="false">SUM(P521:P532)</f>
        <v>434.48333333</v>
      </c>
      <c r="Q520" s="39" t="n">
        <f aca="false">SUM(Q521:Q532)</f>
        <v>451.35</v>
      </c>
      <c r="R520" s="38"/>
    </row>
    <row r="521" customFormat="false" ht="15" hidden="false" customHeight="false" outlineLevel="1" collapsed="false">
      <c r="A521" s="24" t="n">
        <v>1</v>
      </c>
      <c r="B521" s="24" t="s">
        <v>1628</v>
      </c>
      <c r="C521" s="40" t="s">
        <v>3657</v>
      </c>
      <c r="D521" s="24" t="s">
        <v>82</v>
      </c>
      <c r="E521" s="24" t="s">
        <v>372</v>
      </c>
      <c r="F521" s="41" t="n">
        <f aca="false">INDEX((BOM_COEF!R613~BOM_COEF!S613~BOM_COEF!T613~BOM_COEF!U613~BOM_COEF!V613~BOM_COEF!W613~BOM_COEF!X613~BOM_COEF!Y613~BOM_COEF!Z613~BOM_COEF!AA613),1,1,INDEX(P_VAL,MATCH("AÑO_DIS",P_ID,0))-2025)</f>
        <v>1</v>
      </c>
      <c r="G521" s="24" t="s">
        <v>2281</v>
      </c>
      <c r="H521" s="42" t="n">
        <f aca="false">BOM_COEF!R613*DEMANDA!F49</f>
        <v>63</v>
      </c>
      <c r="I521" s="42" t="n">
        <f aca="false">BOM_COEF!S613*DEMANDA!G49</f>
        <v>222.15</v>
      </c>
      <c r="J521" s="42" t="n">
        <f aca="false">BOM_COEF!T613*DEMANDA!H49</f>
        <v>285.1</v>
      </c>
      <c r="K521" s="42" t="n">
        <f aca="false">BOM_COEF!U613*DEMANDA!I49</f>
        <v>499.65</v>
      </c>
      <c r="L521" s="42" t="n">
        <f aca="false">BOM_COEF!V613*DEMANDA!J49</f>
        <v>541.25</v>
      </c>
      <c r="M521" s="42" t="n">
        <f aca="false">BOM_COEF!W613*DEMANDA!K49</f>
        <v>632.75</v>
      </c>
      <c r="N521" s="42" t="n">
        <f aca="false">BOM_COEF!X613*DEMANDA!L49</f>
        <v>610.6</v>
      </c>
      <c r="O521" s="42" t="n">
        <f aca="false">BOM_COEF!Y613*DEMANDA!M49</f>
        <v>493.95</v>
      </c>
      <c r="P521" s="42" t="n">
        <f aca="false">BOM_COEF!Z613*DEMANDA!N49</f>
        <v>367.2</v>
      </c>
      <c r="Q521" s="42" t="n">
        <f aca="false">BOM_COEF!AA613*DEMANDA!O49</f>
        <v>382.2</v>
      </c>
      <c r="R521" s="24" t="s">
        <v>3658</v>
      </c>
    </row>
    <row r="522" customFormat="false" ht="15" hidden="false" customHeight="false" outlineLevel="1" collapsed="false">
      <c r="A522" s="24" t="n">
        <v>1</v>
      </c>
      <c r="B522" s="24" t="s">
        <v>1628</v>
      </c>
      <c r="C522" s="40" t="s">
        <v>3659</v>
      </c>
      <c r="D522" s="24" t="s">
        <v>82</v>
      </c>
      <c r="E522" s="24" t="s">
        <v>375</v>
      </c>
      <c r="F522" s="41" t="n">
        <f aca="false">INDEX((BOM_COEF!R617~BOM_COEF!S617~BOM_COEF!T617~BOM_COEF!U617~BOM_COEF!V617~BOM_COEF!W617~BOM_COEF!X617~BOM_COEF!Y617~BOM_COEF!Z617~BOM_COEF!AA617),1,1,INDEX(P_VAL,MATCH("AÑO_DIS",P_ID,0))-2025)</f>
        <v>1</v>
      </c>
      <c r="G522" s="24" t="s">
        <v>2281</v>
      </c>
      <c r="H522" s="42" t="n">
        <f aca="false">BOM_COEF!R617*DEMANDA!F50</f>
        <v>2</v>
      </c>
      <c r="I522" s="42" t="n">
        <f aca="false">BOM_COEF!S617*DEMANDA!G50</f>
        <v>3.1</v>
      </c>
      <c r="J522" s="42" t="n">
        <f aca="false">BOM_COEF!T617*DEMANDA!H50</f>
        <v>7.25</v>
      </c>
      <c r="K522" s="42" t="n">
        <f aca="false">BOM_COEF!U617*DEMANDA!I50</f>
        <v>10.6</v>
      </c>
      <c r="L522" s="42" t="n">
        <f aca="false">BOM_COEF!V617*DEMANDA!J50</f>
        <v>10.1</v>
      </c>
      <c r="M522" s="42" t="n">
        <f aca="false">BOM_COEF!W617*DEMANDA!K50</f>
        <v>12.55</v>
      </c>
      <c r="N522" s="42" t="n">
        <f aca="false">BOM_COEF!X617*DEMANDA!L50</f>
        <v>11.1</v>
      </c>
      <c r="O522" s="42" t="n">
        <f aca="false">BOM_COEF!Y617*DEMANDA!M50</f>
        <v>7.55</v>
      </c>
      <c r="P522" s="42" t="n">
        <f aca="false">BOM_COEF!Z617*DEMANDA!N50</f>
        <v>7.8</v>
      </c>
      <c r="Q522" s="42" t="n">
        <f aca="false">BOM_COEF!AA617*DEMANDA!O50</f>
        <v>7.05</v>
      </c>
      <c r="R522" s="24" t="s">
        <v>3660</v>
      </c>
    </row>
    <row r="523" customFormat="false" ht="15" hidden="false" customHeight="false" outlineLevel="1" collapsed="false">
      <c r="A523" s="24" t="n">
        <v>1</v>
      </c>
      <c r="B523" s="24" t="s">
        <v>1628</v>
      </c>
      <c r="C523" s="40" t="s">
        <v>3661</v>
      </c>
      <c r="D523" s="24" t="s">
        <v>82</v>
      </c>
      <c r="E523" s="24" t="s">
        <v>378</v>
      </c>
      <c r="F523" s="41" t="n">
        <f aca="false">INDEX((BOM_COEF!R622~BOM_COEF!S622~BOM_COEF!T622~BOM_COEF!U622~BOM_COEF!V622~BOM_COEF!W622~BOM_COEF!X622~BOM_COEF!Y622~BOM_COEF!Z622~BOM_COEF!AA622),1,1,INDEX(P_VAL,MATCH("AÑO_DIS",P_ID,0))-2025)</f>
        <v>1</v>
      </c>
      <c r="G523" s="24" t="s">
        <v>2281</v>
      </c>
      <c r="H523" s="42" t="n">
        <f aca="false">BOM_COEF!R622*DEMANDA!F51</f>
        <v>2</v>
      </c>
      <c r="I523" s="42" t="n">
        <f aca="false">BOM_COEF!S622*DEMANDA!G51</f>
        <v>5.1</v>
      </c>
      <c r="J523" s="42" t="n">
        <f aca="false">BOM_COEF!T622*DEMANDA!H51</f>
        <v>9.35</v>
      </c>
      <c r="K523" s="42" t="n">
        <f aca="false">BOM_COEF!U622*DEMANDA!I51</f>
        <v>14.8</v>
      </c>
      <c r="L523" s="42" t="n">
        <f aca="false">BOM_COEF!V622*DEMANDA!J51</f>
        <v>15.5</v>
      </c>
      <c r="M523" s="42" t="n">
        <f aca="false">BOM_COEF!W622*DEMANDA!K51</f>
        <v>16.2</v>
      </c>
      <c r="N523" s="42" t="n">
        <f aca="false">BOM_COEF!X622*DEMANDA!L51</f>
        <v>15.9</v>
      </c>
      <c r="O523" s="42" t="n">
        <f aca="false">BOM_COEF!Y622*DEMANDA!M51</f>
        <v>11.55</v>
      </c>
      <c r="P523" s="42" t="n">
        <f aca="false">BOM_COEF!Z622*DEMANDA!N51</f>
        <v>9.95</v>
      </c>
      <c r="Q523" s="42" t="n">
        <f aca="false">BOM_COEF!AA622*DEMANDA!O51</f>
        <v>11.25</v>
      </c>
      <c r="R523" s="24" t="s">
        <v>3662</v>
      </c>
    </row>
    <row r="524" customFormat="false" ht="15" hidden="false" customHeight="false" outlineLevel="1" collapsed="false">
      <c r="A524" s="24" t="n">
        <v>1</v>
      </c>
      <c r="B524" s="24" t="s">
        <v>1628</v>
      </c>
      <c r="C524" s="40" t="s">
        <v>3663</v>
      </c>
      <c r="D524" s="24" t="s">
        <v>82</v>
      </c>
      <c r="E524" s="24" t="s">
        <v>381</v>
      </c>
      <c r="F524" s="41" t="n">
        <f aca="false">INDEX((BOM_COEF!R627~BOM_COEF!S627~BOM_COEF!T627~BOM_COEF!U627~BOM_COEF!V627~BOM_COEF!W627~BOM_COEF!X627~BOM_COEF!Y627~BOM_COEF!Z627~BOM_COEF!AA627),1,1,INDEX(P_VAL,MATCH("AÑO_DIS",P_ID,0))-2025)</f>
        <v>1</v>
      </c>
      <c r="G524" s="24" t="s">
        <v>2281</v>
      </c>
      <c r="H524" s="42" t="n">
        <f aca="false">BOM_COEF!R627*DEMANDA!F52</f>
        <v>1</v>
      </c>
      <c r="I524" s="42" t="n">
        <f aca="false">BOM_COEF!S627*DEMANDA!G52</f>
        <v>1.05</v>
      </c>
      <c r="J524" s="42" t="n">
        <f aca="false">BOM_COEF!T627*DEMANDA!H52</f>
        <v>2.1</v>
      </c>
      <c r="K524" s="42" t="n">
        <f aca="false">BOM_COEF!U627*DEMANDA!I52</f>
        <v>2.2</v>
      </c>
      <c r="L524" s="42" t="n">
        <f aca="false">BOM_COEF!V627*DEMANDA!J52</f>
        <v>3.3</v>
      </c>
      <c r="M524" s="42" t="n">
        <f aca="false">BOM_COEF!W627*DEMANDA!K52</f>
        <v>2.45</v>
      </c>
      <c r="N524" s="42" t="n">
        <f aca="false">BOM_COEF!X627*DEMANDA!L52</f>
        <v>2.55</v>
      </c>
      <c r="O524" s="42" t="n">
        <f aca="false">BOM_COEF!Y627*DEMANDA!M52</f>
        <v>2.65</v>
      </c>
      <c r="P524" s="42" t="n">
        <f aca="false">BOM_COEF!Z627*DEMANDA!N52</f>
        <v>1.75</v>
      </c>
      <c r="Q524" s="42" t="n">
        <f aca="false">BOM_COEF!AA627*DEMANDA!O52</f>
        <v>2.8</v>
      </c>
      <c r="R524" s="24" t="s">
        <v>3664</v>
      </c>
    </row>
    <row r="525" customFormat="false" ht="15" hidden="false" customHeight="false" outlineLevel="1" collapsed="false">
      <c r="A525" s="24" t="n">
        <v>1</v>
      </c>
      <c r="B525" s="24" t="s">
        <v>1628</v>
      </c>
      <c r="C525" s="40" t="s">
        <v>3665</v>
      </c>
      <c r="D525" s="24" t="s">
        <v>82</v>
      </c>
      <c r="E525" s="24" t="s">
        <v>384</v>
      </c>
      <c r="F525" s="41" t="n">
        <f aca="false">INDEX((BOM_COEF!R632~BOM_COEF!S632~BOM_COEF!T632~BOM_COEF!U632~BOM_COEF!V632~BOM_COEF!W632~BOM_COEF!X632~BOM_COEF!Y632~BOM_COEF!Z632~BOM_COEF!AA632),1,1,INDEX(P_VAL,MATCH("AÑO_DIS",P_ID,0))-2025)</f>
        <v>1</v>
      </c>
      <c r="G525" s="24" t="s">
        <v>2281</v>
      </c>
      <c r="H525" s="42" t="n">
        <f aca="false">BOM_COEF!R632*DEMANDA!F53</f>
        <v>1</v>
      </c>
      <c r="I525" s="42" t="n">
        <f aca="false">BOM_COEF!S632*DEMANDA!G53</f>
        <v>0.05</v>
      </c>
      <c r="J525" s="42" t="n">
        <f aca="false">BOM_COEF!T632*DEMANDA!H53</f>
        <v>1.05</v>
      </c>
      <c r="K525" s="42" t="n">
        <f aca="false">BOM_COEF!U632*DEMANDA!I53</f>
        <v>2.1</v>
      </c>
      <c r="L525" s="42" t="n">
        <f aca="false">BOM_COEF!V632*DEMANDA!J53</f>
        <v>1.2</v>
      </c>
      <c r="M525" s="42" t="n">
        <f aca="false">BOM_COEF!W632*DEMANDA!K53</f>
        <v>1.25</v>
      </c>
      <c r="N525" s="42" t="n">
        <f aca="false">BOM_COEF!X632*DEMANDA!L53</f>
        <v>1.3</v>
      </c>
      <c r="O525" s="42" t="n">
        <f aca="false">BOM_COEF!Y632*DEMANDA!M53</f>
        <v>1.35</v>
      </c>
      <c r="P525" s="42" t="n">
        <f aca="false">BOM_COEF!Z632*DEMANDA!N53</f>
        <v>1.4</v>
      </c>
      <c r="Q525" s="42" t="n">
        <f aca="false">BOM_COEF!AA632*DEMANDA!O53</f>
        <v>1.45</v>
      </c>
      <c r="R525" s="24" t="s">
        <v>3666</v>
      </c>
    </row>
    <row r="526" customFormat="false" ht="15" hidden="false" customHeight="false" outlineLevel="1" collapsed="false">
      <c r="A526" s="24" t="n">
        <v>1</v>
      </c>
      <c r="B526" s="24" t="s">
        <v>1628</v>
      </c>
      <c r="C526" s="40" t="s">
        <v>3667</v>
      </c>
      <c r="D526" s="24" t="s">
        <v>82</v>
      </c>
      <c r="E526" s="24" t="s">
        <v>387</v>
      </c>
      <c r="F526" s="41" t="n">
        <f aca="false">INDEX((BOM_COEF!R637~BOM_COEF!S637~BOM_COEF!T637~BOM_COEF!U637~BOM_COEF!V637~BOM_COEF!W637~BOM_COEF!X637~BOM_COEF!Y637~BOM_COEF!Z637~BOM_COEF!AA637),1,1,INDEX(P_VAL,MATCH("AÑO_DIS",P_ID,0))-2025)</f>
        <v>1</v>
      </c>
      <c r="G526" s="24" t="s">
        <v>2281</v>
      </c>
      <c r="H526" s="42" t="n">
        <f aca="false">BOM_COEF!R637*DEMANDA!F54</f>
        <v>1</v>
      </c>
      <c r="I526" s="42" t="n">
        <f aca="false">BOM_COEF!S637*DEMANDA!G54</f>
        <v>0.05</v>
      </c>
      <c r="J526" s="42" t="n">
        <f aca="false">BOM_COEF!T637*DEMANDA!H54</f>
        <v>0.05</v>
      </c>
      <c r="K526" s="42" t="n">
        <f aca="false">BOM_COEF!U637*DEMANDA!I54</f>
        <v>1.05</v>
      </c>
      <c r="L526" s="42" t="n">
        <f aca="false">BOM_COEF!V637*DEMANDA!J54</f>
        <v>1.1</v>
      </c>
      <c r="M526" s="42" t="n">
        <f aca="false">BOM_COEF!W637*DEMANDA!K54</f>
        <v>1.15</v>
      </c>
      <c r="N526" s="42" t="n">
        <f aca="false">BOM_COEF!X637*DEMANDA!L54</f>
        <v>0.2</v>
      </c>
      <c r="O526" s="42" t="n">
        <f aca="false">BOM_COEF!Y637*DEMANDA!M54</f>
        <v>1.2</v>
      </c>
      <c r="P526" s="42" t="n">
        <f aca="false">BOM_COEF!Z637*DEMANDA!N54</f>
        <v>0.25</v>
      </c>
      <c r="Q526" s="42" t="n">
        <f aca="false">BOM_COEF!AA637*DEMANDA!O54</f>
        <v>1.25</v>
      </c>
      <c r="R526" s="24" t="s">
        <v>3668</v>
      </c>
    </row>
    <row r="527" customFormat="false" ht="15" hidden="false" customHeight="false" outlineLevel="1" collapsed="false">
      <c r="A527" s="24" t="n">
        <v>1</v>
      </c>
      <c r="B527" s="24" t="s">
        <v>1628</v>
      </c>
      <c r="C527" s="40" t="s">
        <v>3669</v>
      </c>
      <c r="D527" s="24" t="s">
        <v>82</v>
      </c>
      <c r="E527" s="24" t="s">
        <v>390</v>
      </c>
      <c r="F527" s="41" t="n">
        <f aca="false">INDEX((BOM_COEF!R642~BOM_COEF!S642~BOM_COEF!T642~BOM_COEF!U642~BOM_COEF!V642~BOM_COEF!W642~BOM_COEF!X642~BOM_COEF!Y642~BOM_COEF!Z642~BOM_COEF!AA642),1,1,INDEX(P_VAL,MATCH("AÑO_DIS",P_ID,0))-2025)</f>
        <v>1</v>
      </c>
      <c r="G527" s="24" t="s">
        <v>2281</v>
      </c>
      <c r="H527" s="42" t="n">
        <f aca="false">BOM_COEF!R642*DEMANDA!F55</f>
        <v>1</v>
      </c>
      <c r="I527" s="42" t="n">
        <f aca="false">BOM_COEF!S642*DEMANDA!G55</f>
        <v>3.05</v>
      </c>
      <c r="J527" s="42" t="n">
        <f aca="false">BOM_COEF!T642*DEMANDA!H55</f>
        <v>5.2</v>
      </c>
      <c r="K527" s="42" t="n">
        <f aca="false">BOM_COEF!U642*DEMANDA!I55</f>
        <v>6.45</v>
      </c>
      <c r="L527" s="42" t="n">
        <f aca="false">BOM_COEF!V642*DEMANDA!J55</f>
        <v>7.75</v>
      </c>
      <c r="M527" s="42" t="n">
        <f aca="false">BOM_COEF!W642*DEMANDA!K55</f>
        <v>8.1</v>
      </c>
      <c r="N527" s="42" t="n">
        <f aca="false">BOM_COEF!X642*DEMANDA!L55</f>
        <v>7.45</v>
      </c>
      <c r="O527" s="42" t="n">
        <f aca="false">BOM_COEF!Y642*DEMANDA!M55</f>
        <v>5.75</v>
      </c>
      <c r="P527" s="42" t="n">
        <f aca="false">BOM_COEF!Z642*DEMANDA!N55</f>
        <v>4.95</v>
      </c>
      <c r="Q527" s="42" t="n">
        <f aca="false">BOM_COEF!AA642*DEMANDA!O55</f>
        <v>5.1</v>
      </c>
      <c r="R527" s="24" t="s">
        <v>3670</v>
      </c>
    </row>
    <row r="528" customFormat="false" ht="15" hidden="false" customHeight="false" outlineLevel="1" collapsed="false">
      <c r="A528" s="24" t="n">
        <v>1</v>
      </c>
      <c r="B528" s="24" t="s">
        <v>1628</v>
      </c>
      <c r="C528" s="40" t="s">
        <v>3671</v>
      </c>
      <c r="D528" s="24" t="s">
        <v>82</v>
      </c>
      <c r="E528" s="24" t="s">
        <v>393</v>
      </c>
      <c r="F528" s="41" t="n">
        <f aca="false">INDEX((BOM_COEF!R647~BOM_COEF!S647~BOM_COEF!T647~BOM_COEF!U647~BOM_COEF!V647~BOM_COEF!W647~BOM_COEF!X647~BOM_COEF!Y647~BOM_COEF!Z647~BOM_COEF!AA647),1,1,INDEX(P_VAL,MATCH("AÑO_DIS",P_ID,0))-2025)</f>
        <v>1</v>
      </c>
      <c r="G528" s="24" t="s">
        <v>2281</v>
      </c>
      <c r="H528" s="42" t="n">
        <f aca="false">BOM_COEF!R647*DEMANDA!F56</f>
        <v>7</v>
      </c>
      <c r="I528" s="42" t="n">
        <f aca="false">BOM_COEF!S647*DEMANDA!G56</f>
        <v>19.23333333</v>
      </c>
      <c r="J528" s="42" t="n">
        <f aca="false">BOM_COEF!T647*DEMANDA!H56</f>
        <v>32.86666667</v>
      </c>
      <c r="K528" s="42" t="n">
        <f aca="false">BOM_COEF!U647*DEMANDA!I56</f>
        <v>52.93333333</v>
      </c>
      <c r="L528" s="42" t="n">
        <f aca="false">BOM_COEF!V647*DEMANDA!J56</f>
        <v>50.63333333</v>
      </c>
      <c r="M528" s="42" t="n">
        <f aca="false">BOM_COEF!W647*DEMANDA!K56</f>
        <v>57.2</v>
      </c>
      <c r="N528" s="42" t="n">
        <f aca="false">BOM_COEF!X647*DEMANDA!L56</f>
        <v>53.93333333</v>
      </c>
      <c r="O528" s="42" t="n">
        <f aca="false">BOM_COEF!Y647*DEMANDA!M56</f>
        <v>36.5</v>
      </c>
      <c r="P528" s="42" t="n">
        <f aca="false">BOM_COEF!Z647*DEMANDA!N56</f>
        <v>32.43333333</v>
      </c>
      <c r="Q528" s="42" t="n">
        <f aca="false">BOM_COEF!AA647*DEMANDA!O56</f>
        <v>34.2</v>
      </c>
      <c r="R528" s="24" t="s">
        <v>3672</v>
      </c>
    </row>
    <row r="529" customFormat="false" ht="15" hidden="false" customHeight="false" outlineLevel="1" collapsed="false">
      <c r="A529" s="24" t="n">
        <v>1</v>
      </c>
      <c r="B529" s="24" t="s">
        <v>1628</v>
      </c>
      <c r="C529" s="40" t="s">
        <v>3673</v>
      </c>
      <c r="D529" s="24" t="s">
        <v>82</v>
      </c>
      <c r="E529" s="24" t="s">
        <v>396</v>
      </c>
      <c r="F529" s="41" t="n">
        <f aca="false">INDEX((BOM_COEF!R652~BOM_COEF!S652~BOM_COEF!T652~BOM_COEF!U652~BOM_COEF!V652~BOM_COEF!W652~BOM_COEF!X652~BOM_COEF!Y652~BOM_COEF!Z652~BOM_COEF!AA652),1,1,INDEX(P_VAL,MATCH("AÑO_DIS",P_ID,0))-2025)</f>
        <v>1</v>
      </c>
      <c r="G529" s="24" t="s">
        <v>2281</v>
      </c>
      <c r="H529" s="42" t="n">
        <f aca="false">BOM_COEF!R652*DEMANDA!F57</f>
        <v>1</v>
      </c>
      <c r="I529" s="42" t="n">
        <f aca="false">BOM_COEF!S652*DEMANDA!G57</f>
        <v>1.05</v>
      </c>
      <c r="J529" s="42" t="n">
        <f aca="false">BOM_COEF!T652*DEMANDA!H57</f>
        <v>1.1</v>
      </c>
      <c r="K529" s="42" t="n">
        <f aca="false">BOM_COEF!U652*DEMANDA!I57</f>
        <v>2.15</v>
      </c>
      <c r="L529" s="42" t="n">
        <f aca="false">BOM_COEF!V652*DEMANDA!J57</f>
        <v>2.25</v>
      </c>
      <c r="M529" s="42" t="n">
        <f aca="false">BOM_COEF!W652*DEMANDA!K57</f>
        <v>2.35</v>
      </c>
      <c r="N529" s="42" t="n">
        <f aca="false">BOM_COEF!X652*DEMANDA!L57</f>
        <v>2.45</v>
      </c>
      <c r="O529" s="42" t="n">
        <f aca="false">BOM_COEF!Y652*DEMANDA!M57</f>
        <v>1.55</v>
      </c>
      <c r="P529" s="42" t="n">
        <f aca="false">BOM_COEF!Z652*DEMANDA!N57</f>
        <v>1.6</v>
      </c>
      <c r="Q529" s="42" t="n">
        <f aca="false">BOM_COEF!AA652*DEMANDA!O57</f>
        <v>1.65</v>
      </c>
      <c r="R529" s="24" t="s">
        <v>3674</v>
      </c>
    </row>
    <row r="530" customFormat="false" ht="15" hidden="false" customHeight="false" outlineLevel="1" collapsed="false">
      <c r="A530" s="24" t="n">
        <v>1</v>
      </c>
      <c r="B530" s="24" t="s">
        <v>1628</v>
      </c>
      <c r="C530" s="40" t="s">
        <v>3675</v>
      </c>
      <c r="D530" s="24" t="s">
        <v>82</v>
      </c>
      <c r="E530" s="24" t="s">
        <v>399</v>
      </c>
      <c r="F530" s="41" t="n">
        <f aca="false">INDEX((BOM_COEF!R657~BOM_COEF!S657~BOM_COEF!T657~BOM_COEF!U657~BOM_COEF!V657~BOM_COEF!W657~BOM_COEF!X657~BOM_COEF!Y657~BOM_COEF!Z657~BOM_COEF!AA657),1,1,INDEX(P_VAL,MATCH("AÑO_DIS",P_ID,0))-2025)</f>
        <v>1</v>
      </c>
      <c r="G530" s="24" t="s">
        <v>2281</v>
      </c>
      <c r="H530" s="42" t="n">
        <f aca="false">BOM_COEF!R657*DEMANDA!F58</f>
        <v>1</v>
      </c>
      <c r="I530" s="42" t="n">
        <f aca="false">BOM_COEF!S657*DEMANDA!G58</f>
        <v>0.05</v>
      </c>
      <c r="J530" s="42" t="n">
        <f aca="false">BOM_COEF!T657*DEMANDA!H58</f>
        <v>0.05</v>
      </c>
      <c r="K530" s="42" t="n">
        <f aca="false">BOM_COEF!U657*DEMANDA!I58</f>
        <v>1.05</v>
      </c>
      <c r="L530" s="42" t="n">
        <f aca="false">BOM_COEF!V657*DEMANDA!J58</f>
        <v>1.1</v>
      </c>
      <c r="M530" s="42" t="n">
        <f aca="false">BOM_COEF!W657*DEMANDA!K58</f>
        <v>0.15</v>
      </c>
      <c r="N530" s="42" t="n">
        <f aca="false">BOM_COEF!X657*DEMANDA!L58</f>
        <v>1.15</v>
      </c>
      <c r="O530" s="42" t="n">
        <f aca="false">BOM_COEF!Y657*DEMANDA!M58</f>
        <v>0.2</v>
      </c>
      <c r="P530" s="42" t="n">
        <f aca="false">BOM_COEF!Z657*DEMANDA!N58</f>
        <v>1.2</v>
      </c>
      <c r="Q530" s="42" t="n">
        <f aca="false">BOM_COEF!AA657*DEMANDA!O58</f>
        <v>0.25</v>
      </c>
      <c r="R530" s="24" t="s">
        <v>3676</v>
      </c>
    </row>
    <row r="531" customFormat="false" ht="15" hidden="false" customHeight="false" outlineLevel="1" collapsed="false">
      <c r="A531" s="24" t="n">
        <v>1</v>
      </c>
      <c r="B531" s="24" t="s">
        <v>1628</v>
      </c>
      <c r="C531" s="40" t="s">
        <v>3677</v>
      </c>
      <c r="D531" s="24" t="s">
        <v>82</v>
      </c>
      <c r="E531" s="24" t="s">
        <v>402</v>
      </c>
      <c r="F531" s="41" t="n">
        <f aca="false">INDEX((BOM_COEF!R661~BOM_COEF!S661~BOM_COEF!T661~BOM_COEF!U661~BOM_COEF!V661~BOM_COEF!W661~BOM_COEF!X661~BOM_COEF!Y661~BOM_COEF!Z661~BOM_COEF!AA661),1,1,INDEX(P_VAL,MATCH("AÑO_DIS",P_ID,0))-2025)</f>
        <v>1</v>
      </c>
      <c r="G531" s="24" t="s">
        <v>2281</v>
      </c>
      <c r="H531" s="42" t="n">
        <f aca="false">BOM_COEF!R661*DEMANDA!F59</f>
        <v>1</v>
      </c>
      <c r="I531" s="42" t="n">
        <f aca="false">BOM_COEF!S661*DEMANDA!G59</f>
        <v>2.05</v>
      </c>
      <c r="J531" s="42" t="n">
        <f aca="false">BOM_COEF!T661*DEMANDA!H59</f>
        <v>4.15</v>
      </c>
      <c r="K531" s="42" t="n">
        <f aca="false">BOM_COEF!U661*DEMANDA!I59</f>
        <v>5.35</v>
      </c>
      <c r="L531" s="42" t="n">
        <f aca="false">BOM_COEF!V661*DEMANDA!J59</f>
        <v>5.6</v>
      </c>
      <c r="M531" s="42" t="n">
        <f aca="false">BOM_COEF!W661*DEMANDA!K59</f>
        <v>6.85</v>
      </c>
      <c r="N531" s="42" t="n">
        <f aca="false">BOM_COEF!X661*DEMANDA!L59</f>
        <v>6.15</v>
      </c>
      <c r="O531" s="42" t="n">
        <f aca="false">BOM_COEF!Y661*DEMANDA!M59</f>
        <v>4.4</v>
      </c>
      <c r="P531" s="42" t="n">
        <f aca="false">BOM_COEF!Z661*DEMANDA!N59</f>
        <v>4.55</v>
      </c>
      <c r="Q531" s="42" t="n">
        <f aca="false">BOM_COEF!AA661*DEMANDA!O59</f>
        <v>3.7</v>
      </c>
      <c r="R531" s="24" t="s">
        <v>3678</v>
      </c>
    </row>
    <row r="532" customFormat="false" ht="15" hidden="false" customHeight="false" outlineLevel="1" collapsed="false">
      <c r="A532" s="24" t="n">
        <v>1</v>
      </c>
      <c r="B532" s="24" t="s">
        <v>1628</v>
      </c>
      <c r="C532" s="40" t="s">
        <v>3679</v>
      </c>
      <c r="D532" s="24" t="s">
        <v>82</v>
      </c>
      <c r="E532" s="24" t="s">
        <v>405</v>
      </c>
      <c r="F532" s="41" t="n">
        <f aca="false">INDEX((BOM_COEF!R665~BOM_COEF!S665~BOM_COEF!T665~BOM_COEF!U665~BOM_COEF!V665~BOM_COEF!W665~BOM_COEF!X665~BOM_COEF!Y665~BOM_COEF!Z665~BOM_COEF!AA665),1,1,INDEX(P_VAL,MATCH("AÑO_DIS",P_ID,0))-2025)</f>
        <v>1</v>
      </c>
      <c r="G532" s="24" t="s">
        <v>2281</v>
      </c>
      <c r="H532" s="42" t="n">
        <f aca="false">BOM_COEF!R665*DEMANDA!F60</f>
        <v>1</v>
      </c>
      <c r="I532" s="42" t="n">
        <f aca="false">BOM_COEF!S665*DEMANDA!G60</f>
        <v>0.05</v>
      </c>
      <c r="J532" s="42" t="n">
        <f aca="false">BOM_COEF!T665*DEMANDA!H60</f>
        <v>1.05</v>
      </c>
      <c r="K532" s="42" t="n">
        <f aca="false">BOM_COEF!U665*DEMANDA!I60</f>
        <v>1.1</v>
      </c>
      <c r="L532" s="42" t="n">
        <f aca="false">BOM_COEF!V665*DEMANDA!J60</f>
        <v>2.15</v>
      </c>
      <c r="M532" s="42" t="n">
        <f aca="false">BOM_COEF!W665*DEMANDA!K60</f>
        <v>1.25</v>
      </c>
      <c r="N532" s="42" t="n">
        <f aca="false">BOM_COEF!X665*DEMANDA!L60</f>
        <v>1.3</v>
      </c>
      <c r="O532" s="42" t="n">
        <f aca="false">BOM_COEF!Y665*DEMANDA!M60</f>
        <v>1.35</v>
      </c>
      <c r="P532" s="42" t="n">
        <f aca="false">BOM_COEF!Z665*DEMANDA!N60</f>
        <v>1.4</v>
      </c>
      <c r="Q532" s="42" t="n">
        <f aca="false">BOM_COEF!AA665*DEMANDA!O60</f>
        <v>0.45</v>
      </c>
      <c r="R532" s="24" t="s">
        <v>3680</v>
      </c>
    </row>
    <row r="533" customFormat="false" ht="15" hidden="false" customHeight="false" outlineLevel="0" collapsed="false">
      <c r="A533" s="38" t="n">
        <v>0</v>
      </c>
      <c r="B533" s="38" t="s">
        <v>1632</v>
      </c>
      <c r="C533" s="38" t="s">
        <v>2203</v>
      </c>
      <c r="D533" s="38" t="s">
        <v>82</v>
      </c>
      <c r="E533" s="38"/>
      <c r="F533" s="38"/>
      <c r="G533" s="38"/>
      <c r="H533" s="39" t="n">
        <f aca="false">SUM(H534:H545)</f>
        <v>82</v>
      </c>
      <c r="I533" s="39" t="n">
        <f aca="false">SUM(I534:I545)</f>
        <v>256.98333333</v>
      </c>
      <c r="J533" s="39" t="n">
        <f aca="false">SUM(J534:J545)</f>
        <v>349.31666667</v>
      </c>
      <c r="K533" s="39" t="n">
        <f aca="false">SUM(K534:K545)</f>
        <v>599.43333333</v>
      </c>
      <c r="L533" s="39" t="n">
        <f aca="false">SUM(L534:L545)</f>
        <v>641.93333333</v>
      </c>
      <c r="M533" s="39" t="n">
        <f aca="false">SUM(M534:M545)</f>
        <v>742.25</v>
      </c>
      <c r="N533" s="39" t="n">
        <f aca="false">SUM(N534:N545)</f>
        <v>714.08333333</v>
      </c>
      <c r="O533" s="39" t="n">
        <f aca="false">SUM(O534:O545)</f>
        <v>568</v>
      </c>
      <c r="P533" s="39" t="n">
        <f aca="false">SUM(P534:P545)</f>
        <v>434.48333333</v>
      </c>
      <c r="Q533" s="39" t="n">
        <f aca="false">SUM(Q534:Q545)</f>
        <v>451.35</v>
      </c>
      <c r="R533" s="38"/>
    </row>
    <row r="534" customFormat="false" ht="15" hidden="false" customHeight="false" outlineLevel="1" collapsed="false">
      <c r="A534" s="24" t="n">
        <v>1</v>
      </c>
      <c r="B534" s="24" t="s">
        <v>1632</v>
      </c>
      <c r="C534" s="40" t="s">
        <v>3681</v>
      </c>
      <c r="D534" s="24" t="s">
        <v>82</v>
      </c>
      <c r="E534" s="24" t="s">
        <v>372</v>
      </c>
      <c r="F534" s="41" t="n">
        <f aca="false">INDEX((BOM_COEF!R614~BOM_COEF!S614~BOM_COEF!T614~BOM_COEF!U614~BOM_COEF!V614~BOM_COEF!W614~BOM_COEF!X614~BOM_COEF!Y614~BOM_COEF!Z614~BOM_COEF!AA614),1,1,INDEX(P_VAL,MATCH("AÑO_DIS",P_ID,0))-2025)</f>
        <v>1</v>
      </c>
      <c r="G534" s="24" t="s">
        <v>2281</v>
      </c>
      <c r="H534" s="42" t="n">
        <f aca="false">BOM_COEF!R614*DEMANDA!F49</f>
        <v>63</v>
      </c>
      <c r="I534" s="42" t="n">
        <f aca="false">BOM_COEF!S614*DEMANDA!G49</f>
        <v>222.15</v>
      </c>
      <c r="J534" s="42" t="n">
        <f aca="false">BOM_COEF!T614*DEMANDA!H49</f>
        <v>285.1</v>
      </c>
      <c r="K534" s="42" t="n">
        <f aca="false">BOM_COEF!U614*DEMANDA!I49</f>
        <v>499.65</v>
      </c>
      <c r="L534" s="42" t="n">
        <f aca="false">BOM_COEF!V614*DEMANDA!J49</f>
        <v>541.25</v>
      </c>
      <c r="M534" s="42" t="n">
        <f aca="false">BOM_COEF!W614*DEMANDA!K49</f>
        <v>632.75</v>
      </c>
      <c r="N534" s="42" t="n">
        <f aca="false">BOM_COEF!X614*DEMANDA!L49</f>
        <v>610.6</v>
      </c>
      <c r="O534" s="42" t="n">
        <f aca="false">BOM_COEF!Y614*DEMANDA!M49</f>
        <v>493.95</v>
      </c>
      <c r="P534" s="42" t="n">
        <f aca="false">BOM_COEF!Z614*DEMANDA!N49</f>
        <v>367.2</v>
      </c>
      <c r="Q534" s="42" t="n">
        <f aca="false">BOM_COEF!AA614*DEMANDA!O49</f>
        <v>382.2</v>
      </c>
      <c r="R534" s="24" t="s">
        <v>3682</v>
      </c>
    </row>
    <row r="535" customFormat="false" ht="15" hidden="false" customHeight="false" outlineLevel="1" collapsed="false">
      <c r="A535" s="24" t="n">
        <v>1</v>
      </c>
      <c r="B535" s="24" t="s">
        <v>1632</v>
      </c>
      <c r="C535" s="40" t="s">
        <v>3683</v>
      </c>
      <c r="D535" s="24" t="s">
        <v>82</v>
      </c>
      <c r="E535" s="24" t="s">
        <v>375</v>
      </c>
      <c r="F535" s="41" t="n">
        <f aca="false">INDEX((BOM_COEF!R618~BOM_COEF!S618~BOM_COEF!T618~BOM_COEF!U618~BOM_COEF!V618~BOM_COEF!W618~BOM_COEF!X618~BOM_COEF!Y618~BOM_COEF!Z618~BOM_COEF!AA618),1,1,INDEX(P_VAL,MATCH("AÑO_DIS",P_ID,0))-2025)</f>
        <v>1</v>
      </c>
      <c r="G535" s="24" t="s">
        <v>2281</v>
      </c>
      <c r="H535" s="42" t="n">
        <f aca="false">BOM_COEF!R618*DEMANDA!F50</f>
        <v>2</v>
      </c>
      <c r="I535" s="42" t="n">
        <f aca="false">BOM_COEF!S618*DEMANDA!G50</f>
        <v>3.1</v>
      </c>
      <c r="J535" s="42" t="n">
        <f aca="false">BOM_COEF!T618*DEMANDA!H50</f>
        <v>7.25</v>
      </c>
      <c r="K535" s="42" t="n">
        <f aca="false">BOM_COEF!U618*DEMANDA!I50</f>
        <v>10.6</v>
      </c>
      <c r="L535" s="42" t="n">
        <f aca="false">BOM_COEF!V618*DEMANDA!J50</f>
        <v>10.1</v>
      </c>
      <c r="M535" s="42" t="n">
        <f aca="false">BOM_COEF!W618*DEMANDA!K50</f>
        <v>12.55</v>
      </c>
      <c r="N535" s="42" t="n">
        <f aca="false">BOM_COEF!X618*DEMANDA!L50</f>
        <v>11.1</v>
      </c>
      <c r="O535" s="42" t="n">
        <f aca="false">BOM_COEF!Y618*DEMANDA!M50</f>
        <v>7.55</v>
      </c>
      <c r="P535" s="42" t="n">
        <f aca="false">BOM_COEF!Z618*DEMANDA!N50</f>
        <v>7.8</v>
      </c>
      <c r="Q535" s="42" t="n">
        <f aca="false">BOM_COEF!AA618*DEMANDA!O50</f>
        <v>7.05</v>
      </c>
      <c r="R535" s="24" t="s">
        <v>3684</v>
      </c>
    </row>
    <row r="536" customFormat="false" ht="15" hidden="false" customHeight="false" outlineLevel="1" collapsed="false">
      <c r="A536" s="24" t="n">
        <v>1</v>
      </c>
      <c r="B536" s="24" t="s">
        <v>1632</v>
      </c>
      <c r="C536" s="40" t="s">
        <v>3685</v>
      </c>
      <c r="D536" s="24" t="s">
        <v>82</v>
      </c>
      <c r="E536" s="24" t="s">
        <v>378</v>
      </c>
      <c r="F536" s="41" t="n">
        <f aca="false">INDEX((BOM_COEF!R623~BOM_COEF!S623~BOM_COEF!T623~BOM_COEF!U623~BOM_COEF!V623~BOM_COEF!W623~BOM_COEF!X623~BOM_COEF!Y623~BOM_COEF!Z623~BOM_COEF!AA623),1,1,INDEX(P_VAL,MATCH("AÑO_DIS",P_ID,0))-2025)</f>
        <v>1</v>
      </c>
      <c r="G536" s="24" t="s">
        <v>2281</v>
      </c>
      <c r="H536" s="42" t="n">
        <f aca="false">BOM_COEF!R623*DEMANDA!F51</f>
        <v>2</v>
      </c>
      <c r="I536" s="42" t="n">
        <f aca="false">BOM_COEF!S623*DEMANDA!G51</f>
        <v>5.1</v>
      </c>
      <c r="J536" s="42" t="n">
        <f aca="false">BOM_COEF!T623*DEMANDA!H51</f>
        <v>9.35</v>
      </c>
      <c r="K536" s="42" t="n">
        <f aca="false">BOM_COEF!U623*DEMANDA!I51</f>
        <v>14.8</v>
      </c>
      <c r="L536" s="42" t="n">
        <f aca="false">BOM_COEF!V623*DEMANDA!J51</f>
        <v>15.5</v>
      </c>
      <c r="M536" s="42" t="n">
        <f aca="false">BOM_COEF!W623*DEMANDA!K51</f>
        <v>16.2</v>
      </c>
      <c r="N536" s="42" t="n">
        <f aca="false">BOM_COEF!X623*DEMANDA!L51</f>
        <v>15.9</v>
      </c>
      <c r="O536" s="42" t="n">
        <f aca="false">BOM_COEF!Y623*DEMANDA!M51</f>
        <v>11.55</v>
      </c>
      <c r="P536" s="42" t="n">
        <f aca="false">BOM_COEF!Z623*DEMANDA!N51</f>
        <v>9.95</v>
      </c>
      <c r="Q536" s="42" t="n">
        <f aca="false">BOM_COEF!AA623*DEMANDA!O51</f>
        <v>11.25</v>
      </c>
      <c r="R536" s="24" t="s">
        <v>3686</v>
      </c>
    </row>
    <row r="537" customFormat="false" ht="15" hidden="false" customHeight="false" outlineLevel="1" collapsed="false">
      <c r="A537" s="24" t="n">
        <v>1</v>
      </c>
      <c r="B537" s="24" t="s">
        <v>1632</v>
      </c>
      <c r="C537" s="40" t="s">
        <v>3687</v>
      </c>
      <c r="D537" s="24" t="s">
        <v>82</v>
      </c>
      <c r="E537" s="24" t="s">
        <v>381</v>
      </c>
      <c r="F537" s="41" t="n">
        <f aca="false">INDEX((BOM_COEF!R628~BOM_COEF!S628~BOM_COEF!T628~BOM_COEF!U628~BOM_COEF!V628~BOM_COEF!W628~BOM_COEF!X628~BOM_COEF!Y628~BOM_COEF!Z628~BOM_COEF!AA628),1,1,INDEX(P_VAL,MATCH("AÑO_DIS",P_ID,0))-2025)</f>
        <v>1</v>
      </c>
      <c r="G537" s="24" t="s">
        <v>2281</v>
      </c>
      <c r="H537" s="42" t="n">
        <f aca="false">BOM_COEF!R628*DEMANDA!F52</f>
        <v>1</v>
      </c>
      <c r="I537" s="42" t="n">
        <f aca="false">BOM_COEF!S628*DEMANDA!G52</f>
        <v>1.05</v>
      </c>
      <c r="J537" s="42" t="n">
        <f aca="false">BOM_COEF!T628*DEMANDA!H52</f>
        <v>2.1</v>
      </c>
      <c r="K537" s="42" t="n">
        <f aca="false">BOM_COEF!U628*DEMANDA!I52</f>
        <v>2.2</v>
      </c>
      <c r="L537" s="42" t="n">
        <f aca="false">BOM_COEF!V628*DEMANDA!J52</f>
        <v>3.3</v>
      </c>
      <c r="M537" s="42" t="n">
        <f aca="false">BOM_COEF!W628*DEMANDA!K52</f>
        <v>2.45</v>
      </c>
      <c r="N537" s="42" t="n">
        <f aca="false">BOM_COEF!X628*DEMANDA!L52</f>
        <v>2.55</v>
      </c>
      <c r="O537" s="42" t="n">
        <f aca="false">BOM_COEF!Y628*DEMANDA!M52</f>
        <v>2.65</v>
      </c>
      <c r="P537" s="42" t="n">
        <f aca="false">BOM_COEF!Z628*DEMANDA!N52</f>
        <v>1.75</v>
      </c>
      <c r="Q537" s="42" t="n">
        <f aca="false">BOM_COEF!AA628*DEMANDA!O52</f>
        <v>2.8</v>
      </c>
      <c r="R537" s="24" t="s">
        <v>3688</v>
      </c>
    </row>
    <row r="538" customFormat="false" ht="15" hidden="false" customHeight="false" outlineLevel="1" collapsed="false">
      <c r="A538" s="24" t="n">
        <v>1</v>
      </c>
      <c r="B538" s="24" t="s">
        <v>1632</v>
      </c>
      <c r="C538" s="40" t="s">
        <v>3689</v>
      </c>
      <c r="D538" s="24" t="s">
        <v>82</v>
      </c>
      <c r="E538" s="24" t="s">
        <v>384</v>
      </c>
      <c r="F538" s="41" t="n">
        <f aca="false">INDEX((BOM_COEF!R633~BOM_COEF!S633~BOM_COEF!T633~BOM_COEF!U633~BOM_COEF!V633~BOM_COEF!W633~BOM_COEF!X633~BOM_COEF!Y633~BOM_COEF!Z633~BOM_COEF!AA633),1,1,INDEX(P_VAL,MATCH("AÑO_DIS",P_ID,0))-2025)</f>
        <v>1</v>
      </c>
      <c r="G538" s="24" t="s">
        <v>2281</v>
      </c>
      <c r="H538" s="42" t="n">
        <f aca="false">BOM_COEF!R633*DEMANDA!F53</f>
        <v>1</v>
      </c>
      <c r="I538" s="42" t="n">
        <f aca="false">BOM_COEF!S633*DEMANDA!G53</f>
        <v>0.05</v>
      </c>
      <c r="J538" s="42" t="n">
        <f aca="false">BOM_COEF!T633*DEMANDA!H53</f>
        <v>1.05</v>
      </c>
      <c r="K538" s="42" t="n">
        <f aca="false">BOM_COEF!U633*DEMANDA!I53</f>
        <v>2.1</v>
      </c>
      <c r="L538" s="42" t="n">
        <f aca="false">BOM_COEF!V633*DEMANDA!J53</f>
        <v>1.2</v>
      </c>
      <c r="M538" s="42" t="n">
        <f aca="false">BOM_COEF!W633*DEMANDA!K53</f>
        <v>1.25</v>
      </c>
      <c r="N538" s="42" t="n">
        <f aca="false">BOM_COEF!X633*DEMANDA!L53</f>
        <v>1.3</v>
      </c>
      <c r="O538" s="42" t="n">
        <f aca="false">BOM_COEF!Y633*DEMANDA!M53</f>
        <v>1.35</v>
      </c>
      <c r="P538" s="42" t="n">
        <f aca="false">BOM_COEF!Z633*DEMANDA!N53</f>
        <v>1.4</v>
      </c>
      <c r="Q538" s="42" t="n">
        <f aca="false">BOM_COEF!AA633*DEMANDA!O53</f>
        <v>1.45</v>
      </c>
      <c r="R538" s="24" t="s">
        <v>3690</v>
      </c>
    </row>
    <row r="539" customFormat="false" ht="15" hidden="false" customHeight="false" outlineLevel="1" collapsed="false">
      <c r="A539" s="24" t="n">
        <v>1</v>
      </c>
      <c r="B539" s="24" t="s">
        <v>1632</v>
      </c>
      <c r="C539" s="40" t="s">
        <v>3691</v>
      </c>
      <c r="D539" s="24" t="s">
        <v>82</v>
      </c>
      <c r="E539" s="24" t="s">
        <v>387</v>
      </c>
      <c r="F539" s="41" t="n">
        <f aca="false">INDEX((BOM_COEF!R638~BOM_COEF!S638~BOM_COEF!T638~BOM_COEF!U638~BOM_COEF!V638~BOM_COEF!W638~BOM_COEF!X638~BOM_COEF!Y638~BOM_COEF!Z638~BOM_COEF!AA638),1,1,INDEX(P_VAL,MATCH("AÑO_DIS",P_ID,0))-2025)</f>
        <v>1</v>
      </c>
      <c r="G539" s="24" t="s">
        <v>2281</v>
      </c>
      <c r="H539" s="42" t="n">
        <f aca="false">BOM_COEF!R638*DEMANDA!F54</f>
        <v>1</v>
      </c>
      <c r="I539" s="42" t="n">
        <f aca="false">BOM_COEF!S638*DEMANDA!G54</f>
        <v>0.05</v>
      </c>
      <c r="J539" s="42" t="n">
        <f aca="false">BOM_COEF!T638*DEMANDA!H54</f>
        <v>0.05</v>
      </c>
      <c r="K539" s="42" t="n">
        <f aca="false">BOM_COEF!U638*DEMANDA!I54</f>
        <v>1.05</v>
      </c>
      <c r="L539" s="42" t="n">
        <f aca="false">BOM_COEF!V638*DEMANDA!J54</f>
        <v>1.1</v>
      </c>
      <c r="M539" s="42" t="n">
        <f aca="false">BOM_COEF!W638*DEMANDA!K54</f>
        <v>1.15</v>
      </c>
      <c r="N539" s="42" t="n">
        <f aca="false">BOM_COEF!X638*DEMANDA!L54</f>
        <v>0.2</v>
      </c>
      <c r="O539" s="42" t="n">
        <f aca="false">BOM_COEF!Y638*DEMANDA!M54</f>
        <v>1.2</v>
      </c>
      <c r="P539" s="42" t="n">
        <f aca="false">BOM_COEF!Z638*DEMANDA!N54</f>
        <v>0.25</v>
      </c>
      <c r="Q539" s="42" t="n">
        <f aca="false">BOM_COEF!AA638*DEMANDA!O54</f>
        <v>1.25</v>
      </c>
      <c r="R539" s="24" t="s">
        <v>3692</v>
      </c>
    </row>
    <row r="540" customFormat="false" ht="15" hidden="false" customHeight="false" outlineLevel="1" collapsed="false">
      <c r="A540" s="24" t="n">
        <v>1</v>
      </c>
      <c r="B540" s="24" t="s">
        <v>1632</v>
      </c>
      <c r="C540" s="40" t="s">
        <v>3693</v>
      </c>
      <c r="D540" s="24" t="s">
        <v>82</v>
      </c>
      <c r="E540" s="24" t="s">
        <v>390</v>
      </c>
      <c r="F540" s="41" t="n">
        <f aca="false">INDEX((BOM_COEF!R643~BOM_COEF!S643~BOM_COEF!T643~BOM_COEF!U643~BOM_COEF!V643~BOM_COEF!W643~BOM_COEF!X643~BOM_COEF!Y643~BOM_COEF!Z643~BOM_COEF!AA643),1,1,INDEX(P_VAL,MATCH("AÑO_DIS",P_ID,0))-2025)</f>
        <v>1</v>
      </c>
      <c r="G540" s="24" t="s">
        <v>2281</v>
      </c>
      <c r="H540" s="42" t="n">
        <f aca="false">BOM_COEF!R643*DEMANDA!F55</f>
        <v>1</v>
      </c>
      <c r="I540" s="42" t="n">
        <f aca="false">BOM_COEF!S643*DEMANDA!G55</f>
        <v>3.05</v>
      </c>
      <c r="J540" s="42" t="n">
        <f aca="false">BOM_COEF!T643*DEMANDA!H55</f>
        <v>5.2</v>
      </c>
      <c r="K540" s="42" t="n">
        <f aca="false">BOM_COEF!U643*DEMANDA!I55</f>
        <v>6.45</v>
      </c>
      <c r="L540" s="42" t="n">
        <f aca="false">BOM_COEF!V643*DEMANDA!J55</f>
        <v>7.75</v>
      </c>
      <c r="M540" s="42" t="n">
        <f aca="false">BOM_COEF!W643*DEMANDA!K55</f>
        <v>8.1</v>
      </c>
      <c r="N540" s="42" t="n">
        <f aca="false">BOM_COEF!X643*DEMANDA!L55</f>
        <v>7.45</v>
      </c>
      <c r="O540" s="42" t="n">
        <f aca="false">BOM_COEF!Y643*DEMANDA!M55</f>
        <v>5.75</v>
      </c>
      <c r="P540" s="42" t="n">
        <f aca="false">BOM_COEF!Z643*DEMANDA!N55</f>
        <v>4.95</v>
      </c>
      <c r="Q540" s="42" t="n">
        <f aca="false">BOM_COEF!AA643*DEMANDA!O55</f>
        <v>5.1</v>
      </c>
      <c r="R540" s="24" t="s">
        <v>3694</v>
      </c>
    </row>
    <row r="541" customFormat="false" ht="15" hidden="false" customHeight="false" outlineLevel="1" collapsed="false">
      <c r="A541" s="24" t="n">
        <v>1</v>
      </c>
      <c r="B541" s="24" t="s">
        <v>1632</v>
      </c>
      <c r="C541" s="40" t="s">
        <v>3695</v>
      </c>
      <c r="D541" s="24" t="s">
        <v>82</v>
      </c>
      <c r="E541" s="24" t="s">
        <v>393</v>
      </c>
      <c r="F541" s="41" t="n">
        <f aca="false">INDEX((BOM_COEF!R648~BOM_COEF!S648~BOM_COEF!T648~BOM_COEF!U648~BOM_COEF!V648~BOM_COEF!W648~BOM_COEF!X648~BOM_COEF!Y648~BOM_COEF!Z648~BOM_COEF!AA648),1,1,INDEX(P_VAL,MATCH("AÑO_DIS",P_ID,0))-2025)</f>
        <v>1</v>
      </c>
      <c r="G541" s="24" t="s">
        <v>2281</v>
      </c>
      <c r="H541" s="42" t="n">
        <f aca="false">BOM_COEF!R648*DEMANDA!F56</f>
        <v>7</v>
      </c>
      <c r="I541" s="42" t="n">
        <f aca="false">BOM_COEF!S648*DEMANDA!G56</f>
        <v>19.23333333</v>
      </c>
      <c r="J541" s="42" t="n">
        <f aca="false">BOM_COEF!T648*DEMANDA!H56</f>
        <v>32.86666667</v>
      </c>
      <c r="K541" s="42" t="n">
        <f aca="false">BOM_COEF!U648*DEMANDA!I56</f>
        <v>52.93333333</v>
      </c>
      <c r="L541" s="42" t="n">
        <f aca="false">BOM_COEF!V648*DEMANDA!J56</f>
        <v>50.63333333</v>
      </c>
      <c r="M541" s="42" t="n">
        <f aca="false">BOM_COEF!W648*DEMANDA!K56</f>
        <v>57.2</v>
      </c>
      <c r="N541" s="42" t="n">
        <f aca="false">BOM_COEF!X648*DEMANDA!L56</f>
        <v>53.93333333</v>
      </c>
      <c r="O541" s="42" t="n">
        <f aca="false">BOM_COEF!Y648*DEMANDA!M56</f>
        <v>36.5</v>
      </c>
      <c r="P541" s="42" t="n">
        <f aca="false">BOM_COEF!Z648*DEMANDA!N56</f>
        <v>32.43333333</v>
      </c>
      <c r="Q541" s="42" t="n">
        <f aca="false">BOM_COEF!AA648*DEMANDA!O56</f>
        <v>34.2</v>
      </c>
      <c r="R541" s="24" t="s">
        <v>3696</v>
      </c>
    </row>
    <row r="542" customFormat="false" ht="15" hidden="false" customHeight="false" outlineLevel="1" collapsed="false">
      <c r="A542" s="24" t="n">
        <v>1</v>
      </c>
      <c r="B542" s="24" t="s">
        <v>1632</v>
      </c>
      <c r="C542" s="40" t="s">
        <v>3697</v>
      </c>
      <c r="D542" s="24" t="s">
        <v>82</v>
      </c>
      <c r="E542" s="24" t="s">
        <v>396</v>
      </c>
      <c r="F542" s="41" t="n">
        <f aca="false">INDEX((BOM_COEF!R653~BOM_COEF!S653~BOM_COEF!T653~BOM_COEF!U653~BOM_COEF!V653~BOM_COEF!W653~BOM_COEF!X653~BOM_COEF!Y653~BOM_COEF!Z653~BOM_COEF!AA653),1,1,INDEX(P_VAL,MATCH("AÑO_DIS",P_ID,0))-2025)</f>
        <v>1</v>
      </c>
      <c r="G542" s="24" t="s">
        <v>2281</v>
      </c>
      <c r="H542" s="42" t="n">
        <f aca="false">BOM_COEF!R653*DEMANDA!F57</f>
        <v>1</v>
      </c>
      <c r="I542" s="42" t="n">
        <f aca="false">BOM_COEF!S653*DEMANDA!G57</f>
        <v>1.05</v>
      </c>
      <c r="J542" s="42" t="n">
        <f aca="false">BOM_COEF!T653*DEMANDA!H57</f>
        <v>1.1</v>
      </c>
      <c r="K542" s="42" t="n">
        <f aca="false">BOM_COEF!U653*DEMANDA!I57</f>
        <v>2.15</v>
      </c>
      <c r="L542" s="42" t="n">
        <f aca="false">BOM_COEF!V653*DEMANDA!J57</f>
        <v>2.25</v>
      </c>
      <c r="M542" s="42" t="n">
        <f aca="false">BOM_COEF!W653*DEMANDA!K57</f>
        <v>2.35</v>
      </c>
      <c r="N542" s="42" t="n">
        <f aca="false">BOM_COEF!X653*DEMANDA!L57</f>
        <v>2.45</v>
      </c>
      <c r="O542" s="42" t="n">
        <f aca="false">BOM_COEF!Y653*DEMANDA!M57</f>
        <v>1.55</v>
      </c>
      <c r="P542" s="42" t="n">
        <f aca="false">BOM_COEF!Z653*DEMANDA!N57</f>
        <v>1.6</v>
      </c>
      <c r="Q542" s="42" t="n">
        <f aca="false">BOM_COEF!AA653*DEMANDA!O57</f>
        <v>1.65</v>
      </c>
      <c r="R542" s="24" t="s">
        <v>3698</v>
      </c>
    </row>
    <row r="543" customFormat="false" ht="15" hidden="false" customHeight="false" outlineLevel="1" collapsed="false">
      <c r="A543" s="24" t="n">
        <v>1</v>
      </c>
      <c r="B543" s="24" t="s">
        <v>1632</v>
      </c>
      <c r="C543" s="40" t="s">
        <v>3699</v>
      </c>
      <c r="D543" s="24" t="s">
        <v>82</v>
      </c>
      <c r="E543" s="24" t="s">
        <v>399</v>
      </c>
      <c r="F543" s="41" t="n">
        <f aca="false">INDEX((BOM_COEF!R658~BOM_COEF!S658~BOM_COEF!T658~BOM_COEF!U658~BOM_COEF!V658~BOM_COEF!W658~BOM_COEF!X658~BOM_COEF!Y658~BOM_COEF!Z658~BOM_COEF!AA658),1,1,INDEX(P_VAL,MATCH("AÑO_DIS",P_ID,0))-2025)</f>
        <v>1</v>
      </c>
      <c r="G543" s="24" t="s">
        <v>2281</v>
      </c>
      <c r="H543" s="42" t="n">
        <f aca="false">BOM_COEF!R658*DEMANDA!F58</f>
        <v>1</v>
      </c>
      <c r="I543" s="42" t="n">
        <f aca="false">BOM_COEF!S658*DEMANDA!G58</f>
        <v>0.05</v>
      </c>
      <c r="J543" s="42" t="n">
        <f aca="false">BOM_COEF!T658*DEMANDA!H58</f>
        <v>0.05</v>
      </c>
      <c r="K543" s="42" t="n">
        <f aca="false">BOM_COEF!U658*DEMANDA!I58</f>
        <v>1.05</v>
      </c>
      <c r="L543" s="42" t="n">
        <f aca="false">BOM_COEF!V658*DEMANDA!J58</f>
        <v>1.1</v>
      </c>
      <c r="M543" s="42" t="n">
        <f aca="false">BOM_COEF!W658*DEMANDA!K58</f>
        <v>0.15</v>
      </c>
      <c r="N543" s="42" t="n">
        <f aca="false">BOM_COEF!X658*DEMANDA!L58</f>
        <v>1.15</v>
      </c>
      <c r="O543" s="42" t="n">
        <f aca="false">BOM_COEF!Y658*DEMANDA!M58</f>
        <v>0.2</v>
      </c>
      <c r="P543" s="42" t="n">
        <f aca="false">BOM_COEF!Z658*DEMANDA!N58</f>
        <v>1.2</v>
      </c>
      <c r="Q543" s="42" t="n">
        <f aca="false">BOM_COEF!AA658*DEMANDA!O58</f>
        <v>0.25</v>
      </c>
      <c r="R543" s="24" t="s">
        <v>3700</v>
      </c>
    </row>
    <row r="544" customFormat="false" ht="15" hidden="false" customHeight="false" outlineLevel="1" collapsed="false">
      <c r="A544" s="24" t="n">
        <v>1</v>
      </c>
      <c r="B544" s="24" t="s">
        <v>1632</v>
      </c>
      <c r="C544" s="40" t="s">
        <v>3701</v>
      </c>
      <c r="D544" s="24" t="s">
        <v>82</v>
      </c>
      <c r="E544" s="24" t="s">
        <v>402</v>
      </c>
      <c r="F544" s="41" t="n">
        <f aca="false">INDEX((BOM_COEF!R662~BOM_COEF!S662~BOM_COEF!T662~BOM_COEF!U662~BOM_COEF!V662~BOM_COEF!W662~BOM_COEF!X662~BOM_COEF!Y662~BOM_COEF!Z662~BOM_COEF!AA662),1,1,INDEX(P_VAL,MATCH("AÑO_DIS",P_ID,0))-2025)</f>
        <v>1</v>
      </c>
      <c r="G544" s="24" t="s">
        <v>2281</v>
      </c>
      <c r="H544" s="42" t="n">
        <f aca="false">BOM_COEF!R662*DEMANDA!F59</f>
        <v>1</v>
      </c>
      <c r="I544" s="42" t="n">
        <f aca="false">BOM_COEF!S662*DEMANDA!G59</f>
        <v>2.05</v>
      </c>
      <c r="J544" s="42" t="n">
        <f aca="false">BOM_COEF!T662*DEMANDA!H59</f>
        <v>4.15</v>
      </c>
      <c r="K544" s="42" t="n">
        <f aca="false">BOM_COEF!U662*DEMANDA!I59</f>
        <v>5.35</v>
      </c>
      <c r="L544" s="42" t="n">
        <f aca="false">BOM_COEF!V662*DEMANDA!J59</f>
        <v>5.6</v>
      </c>
      <c r="M544" s="42" t="n">
        <f aca="false">BOM_COEF!W662*DEMANDA!K59</f>
        <v>6.85</v>
      </c>
      <c r="N544" s="42" t="n">
        <f aca="false">BOM_COEF!X662*DEMANDA!L59</f>
        <v>6.15</v>
      </c>
      <c r="O544" s="42" t="n">
        <f aca="false">BOM_COEF!Y662*DEMANDA!M59</f>
        <v>4.4</v>
      </c>
      <c r="P544" s="42" t="n">
        <f aca="false">BOM_COEF!Z662*DEMANDA!N59</f>
        <v>4.55</v>
      </c>
      <c r="Q544" s="42" t="n">
        <f aca="false">BOM_COEF!AA662*DEMANDA!O59</f>
        <v>3.7</v>
      </c>
      <c r="R544" s="24" t="s">
        <v>3702</v>
      </c>
    </row>
    <row r="545" customFormat="false" ht="15" hidden="false" customHeight="false" outlineLevel="1" collapsed="false">
      <c r="A545" s="24" t="n">
        <v>1</v>
      </c>
      <c r="B545" s="24" t="s">
        <v>1632</v>
      </c>
      <c r="C545" s="40" t="s">
        <v>3703</v>
      </c>
      <c r="D545" s="24" t="s">
        <v>82</v>
      </c>
      <c r="E545" s="24" t="s">
        <v>405</v>
      </c>
      <c r="F545" s="41" t="n">
        <f aca="false">INDEX((BOM_COEF!R666~BOM_COEF!S666~BOM_COEF!T666~BOM_COEF!U666~BOM_COEF!V666~BOM_COEF!W666~BOM_COEF!X666~BOM_COEF!Y666~BOM_COEF!Z666~BOM_COEF!AA666),1,1,INDEX(P_VAL,MATCH("AÑO_DIS",P_ID,0))-2025)</f>
        <v>1</v>
      </c>
      <c r="G545" s="24" t="s">
        <v>2281</v>
      </c>
      <c r="H545" s="42" t="n">
        <f aca="false">BOM_COEF!R666*DEMANDA!F60</f>
        <v>1</v>
      </c>
      <c r="I545" s="42" t="n">
        <f aca="false">BOM_COEF!S666*DEMANDA!G60</f>
        <v>0.05</v>
      </c>
      <c r="J545" s="42" t="n">
        <f aca="false">BOM_COEF!T666*DEMANDA!H60</f>
        <v>1.05</v>
      </c>
      <c r="K545" s="42" t="n">
        <f aca="false">BOM_COEF!U666*DEMANDA!I60</f>
        <v>1.1</v>
      </c>
      <c r="L545" s="42" t="n">
        <f aca="false">BOM_COEF!V666*DEMANDA!J60</f>
        <v>2.15</v>
      </c>
      <c r="M545" s="42" t="n">
        <f aca="false">BOM_COEF!W666*DEMANDA!K60</f>
        <v>1.25</v>
      </c>
      <c r="N545" s="42" t="n">
        <f aca="false">BOM_COEF!X666*DEMANDA!L60</f>
        <v>1.3</v>
      </c>
      <c r="O545" s="42" t="n">
        <f aca="false">BOM_COEF!Y666*DEMANDA!M60</f>
        <v>1.35</v>
      </c>
      <c r="P545" s="42" t="n">
        <f aca="false">BOM_COEF!Z666*DEMANDA!N60</f>
        <v>1.4</v>
      </c>
      <c r="Q545" s="42" t="n">
        <f aca="false">BOM_COEF!AA666*DEMANDA!O60</f>
        <v>0.45</v>
      </c>
      <c r="R545" s="24" t="s">
        <v>3704</v>
      </c>
    </row>
    <row r="546" customFormat="false" ht="15" hidden="false" customHeight="false" outlineLevel="0" collapsed="false">
      <c r="A546" s="38" t="n">
        <v>0</v>
      </c>
      <c r="B546" s="38" t="s">
        <v>1530</v>
      </c>
      <c r="C546" s="38" t="s">
        <v>2204</v>
      </c>
      <c r="D546" s="38" t="s">
        <v>73</v>
      </c>
      <c r="E546" s="38"/>
      <c r="F546" s="38"/>
      <c r="G546" s="38"/>
      <c r="H546" s="39" t="n">
        <f aca="false">SUM(H547:H548)</f>
        <v>3.0386421999438</v>
      </c>
      <c r="I546" s="39" t="n">
        <f aca="false">SUM(I547:I548)</f>
        <v>18.6610206510962</v>
      </c>
      <c r="J546" s="39" t="n">
        <f aca="false">SUM(J547:J548)</f>
        <v>34.8938239673426</v>
      </c>
      <c r="K546" s="39" t="n">
        <f aca="false">SUM(K547:K548)</f>
        <v>62.6944596102035</v>
      </c>
      <c r="L546" s="39" t="n">
        <f aca="false">SUM(L547:L548)</f>
        <v>86.485029653542</v>
      </c>
      <c r="M546" s="39" t="n">
        <f aca="false">SUM(M547:M548)</f>
        <v>114.852238925624</v>
      </c>
      <c r="N546" s="39" t="n">
        <f aca="false">SUM(N547:N548)</f>
        <v>144.730649600056</v>
      </c>
      <c r="O546" s="39" t="n">
        <f aca="false">SUM(O547:O548)</f>
        <v>160.481221503889</v>
      </c>
      <c r="P546" s="39" t="n">
        <f aca="false">SUM(P547:P548)</f>
        <v>174.984535138374</v>
      </c>
      <c r="Q546" s="39" t="n">
        <f aca="false">SUM(Q547:Q548)</f>
        <v>189.998694987761</v>
      </c>
      <c r="R546" s="38"/>
    </row>
    <row r="547" customFormat="false" ht="15" hidden="false" customHeight="false" outlineLevel="1" collapsed="false">
      <c r="A547" s="24" t="n">
        <v>1</v>
      </c>
      <c r="B547" s="24" t="s">
        <v>1530</v>
      </c>
      <c r="C547" s="40" t="s">
        <v>3705</v>
      </c>
      <c r="D547" s="24" t="s">
        <v>73</v>
      </c>
      <c r="E547" s="24" t="s">
        <v>318</v>
      </c>
      <c r="F547" s="41" t="n">
        <f aca="false">INDEX((BOM_COEF!R543~BOM_COEF!S543~BOM_COEF!T543~BOM_COEF!U543~BOM_COEF!V543~BOM_COEF!W543~BOM_COEF!X543~BOM_COEF!Y543~BOM_COEF!Z543~BOM_COEF!AA543),1,1,INDEX(P_VAL,MATCH("AÑO_DIS",P_ID,0))-2025)</f>
        <v>0.388165</v>
      </c>
      <c r="G547" s="24" t="s">
        <v>2281</v>
      </c>
      <c r="H547" s="42" t="n">
        <f aca="false">BOM_COEF!R543*DEMANDA!F31</f>
        <v>2.6504421999438</v>
      </c>
      <c r="I547" s="42" t="n">
        <f aca="false">BOM_COEF!S543*DEMANDA!G31</f>
        <v>18.2728406510962</v>
      </c>
      <c r="J547" s="42" t="n">
        <f aca="false">BOM_COEF!T543*DEMANDA!H31</f>
        <v>34.5056389673426</v>
      </c>
      <c r="K547" s="42" t="n">
        <f aca="false">BOM_COEF!U543*DEMANDA!I31</f>
        <v>61.9180696102035</v>
      </c>
      <c r="L547" s="42" t="n">
        <f aca="false">BOM_COEF!V543*DEMANDA!J31</f>
        <v>85.320489653542</v>
      </c>
      <c r="M547" s="42" t="n">
        <f aca="false">BOM_COEF!W543*DEMANDA!K31</f>
        <v>113.299498925624</v>
      </c>
      <c r="N547" s="42" t="n">
        <f aca="false">BOM_COEF!X543*DEMANDA!L31</f>
        <v>143.177929600056</v>
      </c>
      <c r="O547" s="42" t="n">
        <f aca="false">BOM_COEF!Y543*DEMANDA!M31</f>
        <v>158.540271503889</v>
      </c>
      <c r="P547" s="42" t="n">
        <f aca="false">BOM_COEF!Z543*DEMANDA!N31</f>
        <v>173.043635138374</v>
      </c>
      <c r="Q547" s="42" t="n">
        <f aca="false">BOM_COEF!AA543*DEMANDA!O31</f>
        <v>187.669704987761</v>
      </c>
      <c r="R547" s="24" t="s">
        <v>3706</v>
      </c>
    </row>
    <row r="548" customFormat="false" ht="15" hidden="false" customHeight="false" outlineLevel="1" collapsed="false">
      <c r="A548" s="24" t="n">
        <v>1</v>
      </c>
      <c r="B548" s="24" t="s">
        <v>1530</v>
      </c>
      <c r="C548" s="40" t="s">
        <v>3707</v>
      </c>
      <c r="D548" s="24" t="s">
        <v>73</v>
      </c>
      <c r="E548" s="24" t="s">
        <v>351</v>
      </c>
      <c r="F548" s="41" t="n">
        <f aca="false">INDEX((BOM_COEF!R543~BOM_COEF!S543~BOM_COEF!T543~BOM_COEF!U543~BOM_COEF!V543~BOM_COEF!W543~BOM_COEF!X543~BOM_COEF!Y543~BOM_COEF!Z543~BOM_COEF!AA543),1,1,INDEX(P_VAL,MATCH("AÑO_DIS",P_ID,0))-2025)</f>
        <v>0.388165</v>
      </c>
      <c r="G548" s="24" t="s">
        <v>2281</v>
      </c>
      <c r="H548" s="42" t="n">
        <f aca="false">BOM_COEF!R543*DEMANDA!F42</f>
        <v>0.3882</v>
      </c>
      <c r="I548" s="42" t="n">
        <f aca="false">BOM_COEF!S543*DEMANDA!G42</f>
        <v>0.38818</v>
      </c>
      <c r="J548" s="42" t="n">
        <f aca="false">BOM_COEF!T543*DEMANDA!H42</f>
        <v>0.388185</v>
      </c>
      <c r="K548" s="42" t="n">
        <f aca="false">BOM_COEF!U543*DEMANDA!I42</f>
        <v>0.77639</v>
      </c>
      <c r="L548" s="42" t="n">
        <f aca="false">BOM_COEF!V543*DEMANDA!J42</f>
        <v>1.16454</v>
      </c>
      <c r="M548" s="42" t="n">
        <f aca="false">BOM_COEF!W543*DEMANDA!K42</f>
        <v>1.55274</v>
      </c>
      <c r="N548" s="42" t="n">
        <f aca="false">BOM_COEF!X543*DEMANDA!L42</f>
        <v>1.55272</v>
      </c>
      <c r="O548" s="42" t="n">
        <f aca="false">BOM_COEF!Y543*DEMANDA!M42</f>
        <v>1.94095</v>
      </c>
      <c r="P548" s="42" t="n">
        <f aca="false">BOM_COEF!Z543*DEMANDA!N42</f>
        <v>1.9409</v>
      </c>
      <c r="Q548" s="42" t="n">
        <f aca="false">BOM_COEF!AA543*DEMANDA!O42</f>
        <v>2.32899</v>
      </c>
      <c r="R548" s="24" t="s">
        <v>3706</v>
      </c>
    </row>
    <row r="549" customFormat="false" ht="15" hidden="false" customHeight="false" outlineLevel="0" collapsed="false">
      <c r="A549" s="38" t="n">
        <v>0</v>
      </c>
      <c r="B549" s="38" t="s">
        <v>1603</v>
      </c>
      <c r="C549" s="38" t="s">
        <v>2206</v>
      </c>
      <c r="D549" s="38" t="s">
        <v>73</v>
      </c>
      <c r="E549" s="38"/>
      <c r="F549" s="38"/>
      <c r="G549" s="38"/>
      <c r="H549" s="39" t="n">
        <f aca="false">SUM(H550:H551)</f>
        <v>4.53025388881884</v>
      </c>
      <c r="I549" s="39" t="n">
        <f aca="false">SUM(I550:I551)</f>
        <v>27.8210637211732</v>
      </c>
      <c r="J549" s="39" t="n">
        <f aca="false">SUM(J550:J551)</f>
        <v>52.0221219936166</v>
      </c>
      <c r="K549" s="39" t="n">
        <f aca="false">SUM(K550:K551)</f>
        <v>86.9742270931824</v>
      </c>
      <c r="L549" s="39" t="n">
        <f aca="false">SUM(L550:L551)</f>
        <v>120.505414412117</v>
      </c>
      <c r="M549" s="39" t="n">
        <f aca="false">SUM(M550:M551)</f>
        <v>149.755928661285</v>
      </c>
      <c r="N549" s="39" t="n">
        <f aca="false">SUM(N550:N551)</f>
        <v>192.378217801303</v>
      </c>
      <c r="O549" s="39" t="n">
        <f aca="false">SUM(O550:O551)</f>
        <v>214.660079000305</v>
      </c>
      <c r="P549" s="39" t="n">
        <f aca="false">SUM(P550:P551)</f>
        <v>235.35646425974</v>
      </c>
      <c r="Q549" s="39" t="n">
        <f aca="false">SUM(Q550:Q551)</f>
        <v>255.602815856663</v>
      </c>
      <c r="R549" s="38"/>
    </row>
    <row r="550" customFormat="false" ht="15" hidden="false" customHeight="false" outlineLevel="1" collapsed="false">
      <c r="A550" s="24" t="n">
        <v>1</v>
      </c>
      <c r="B550" s="24" t="s">
        <v>1603</v>
      </c>
      <c r="C550" s="40" t="s">
        <v>3708</v>
      </c>
      <c r="D550" s="24" t="s">
        <v>73</v>
      </c>
      <c r="E550" s="24" t="s">
        <v>333</v>
      </c>
      <c r="F550" s="41" t="n">
        <f aca="false">INDEX((BOM_COEF!R600~BOM_COEF!S600~BOM_COEF!T600~BOM_COEF!U600~BOM_COEF!V600~BOM_COEF!W600~BOM_COEF!X600~BOM_COEF!Y600~BOM_COEF!Z600~BOM_COEF!AA600),1,1,INDEX(P_VAL,MATCH("AÑO_DIS",P_ID,0))-2025)</f>
        <v>0.578697</v>
      </c>
      <c r="G550" s="24" t="s">
        <v>2281</v>
      </c>
      <c r="H550" s="42" t="n">
        <f aca="false">BOM_COEF!R600*DEMANDA!F36</f>
        <v>3.95149388881884</v>
      </c>
      <c r="I550" s="42" t="n">
        <f aca="false">BOM_COEF!S600*DEMANDA!G36</f>
        <v>27.2423397211732</v>
      </c>
      <c r="J550" s="42" t="n">
        <f aca="false">BOM_COEF!T600*DEMANDA!H36</f>
        <v>51.4433889936166</v>
      </c>
      <c r="K550" s="42" t="n">
        <f aca="false">BOM_COEF!U600*DEMANDA!I36</f>
        <v>85.8167250931824</v>
      </c>
      <c r="L550" s="42" t="n">
        <f aca="false">BOM_COEF!V600*DEMANDA!J36</f>
        <v>118.769242412117</v>
      </c>
      <c r="M550" s="42" t="n">
        <f aca="false">BOM_COEF!W600*DEMANDA!K36</f>
        <v>148.019729661285</v>
      </c>
      <c r="N550" s="42" t="n">
        <f aca="false">BOM_COEF!X600*DEMANDA!L36</f>
        <v>190.063321801303</v>
      </c>
      <c r="O550" s="42" t="n">
        <f aca="false">BOM_COEF!Y600*DEMANDA!M36</f>
        <v>212.345111000305</v>
      </c>
      <c r="P550" s="42" t="n">
        <f aca="false">BOM_COEF!Z600*DEMANDA!N36</f>
        <v>232.46284425974</v>
      </c>
      <c r="Q550" s="42" t="n">
        <f aca="false">BOM_COEF!AA600*DEMANDA!O36</f>
        <v>252.709330856663</v>
      </c>
      <c r="R550" s="24" t="s">
        <v>3709</v>
      </c>
    </row>
    <row r="551" customFormat="false" ht="15" hidden="false" customHeight="false" outlineLevel="1" collapsed="false">
      <c r="A551" s="24" t="n">
        <v>1</v>
      </c>
      <c r="B551" s="24" t="s">
        <v>1603</v>
      </c>
      <c r="C551" s="40" t="s">
        <v>3710</v>
      </c>
      <c r="D551" s="24" t="s">
        <v>73</v>
      </c>
      <c r="E551" s="24" t="s">
        <v>363</v>
      </c>
      <c r="F551" s="41" t="n">
        <f aca="false">INDEX((BOM_COEF!R600~BOM_COEF!S600~BOM_COEF!T600~BOM_COEF!U600~BOM_COEF!V600~BOM_COEF!W600~BOM_COEF!X600~BOM_COEF!Y600~BOM_COEF!Z600~BOM_COEF!AA600),1,1,INDEX(P_VAL,MATCH("AÑO_DIS",P_ID,0))-2025)</f>
        <v>0.578697</v>
      </c>
      <c r="G551" s="24" t="s">
        <v>2281</v>
      </c>
      <c r="H551" s="42" t="n">
        <f aca="false">BOM_COEF!R600*DEMANDA!F46</f>
        <v>0.57876</v>
      </c>
      <c r="I551" s="42" t="n">
        <f aca="false">BOM_COEF!S600*DEMANDA!G46</f>
        <v>0.578724</v>
      </c>
      <c r="J551" s="42" t="n">
        <f aca="false">BOM_COEF!T600*DEMANDA!H46</f>
        <v>0.578733</v>
      </c>
      <c r="K551" s="42" t="n">
        <f aca="false">BOM_COEF!U600*DEMANDA!I46</f>
        <v>1.157502</v>
      </c>
      <c r="L551" s="42" t="n">
        <f aca="false">BOM_COEF!V600*DEMANDA!J46</f>
        <v>1.736172</v>
      </c>
      <c r="M551" s="42" t="n">
        <f aca="false">BOM_COEF!W600*DEMANDA!K46</f>
        <v>1.736199</v>
      </c>
      <c r="N551" s="42" t="n">
        <f aca="false">BOM_COEF!X600*DEMANDA!L46</f>
        <v>2.314896</v>
      </c>
      <c r="O551" s="42" t="n">
        <f aca="false">BOM_COEF!Y600*DEMANDA!M46</f>
        <v>2.314968</v>
      </c>
      <c r="P551" s="42" t="n">
        <f aca="false">BOM_COEF!Z600*DEMANDA!N46</f>
        <v>2.89362</v>
      </c>
      <c r="Q551" s="42" t="n">
        <f aca="false">BOM_COEF!AA600*DEMANDA!O46</f>
        <v>2.893485</v>
      </c>
      <c r="R551" s="24" t="s">
        <v>3709</v>
      </c>
    </row>
    <row r="552" customFormat="false" ht="15" hidden="false" customHeight="false" outlineLevel="0" collapsed="false">
      <c r="A552" s="38" t="n">
        <v>0</v>
      </c>
      <c r="B552" s="38" t="s">
        <v>1558</v>
      </c>
      <c r="C552" s="38" t="s">
        <v>2207</v>
      </c>
      <c r="D552" s="38" t="s">
        <v>73</v>
      </c>
      <c r="E552" s="38"/>
      <c r="F552" s="38"/>
      <c r="G552" s="38"/>
      <c r="H552" s="39" t="n">
        <f aca="false">SUM(H553:H555)</f>
        <v>148.801381247389</v>
      </c>
      <c r="I552" s="39" t="n">
        <f aca="false">SUM(I553:I555)</f>
        <v>642.252856500803</v>
      </c>
      <c r="J552" s="39" t="n">
        <f aca="false">SUM(J553:J555)</f>
        <v>1436.3073807884</v>
      </c>
      <c r="K552" s="39" t="n">
        <f aca="false">SUM(K553:K555)</f>
        <v>2664.23890511224</v>
      </c>
      <c r="L552" s="39" t="n">
        <f aca="false">SUM(L553:L555)</f>
        <v>3843.1810134615</v>
      </c>
      <c r="M552" s="39" t="n">
        <f aca="false">SUM(M553:M555)</f>
        <v>5113.9707974987</v>
      </c>
      <c r="N552" s="39" t="n">
        <f aca="false">SUM(N553:N555)</f>
        <v>6290.35155956011</v>
      </c>
      <c r="O552" s="39" t="n">
        <f aca="false">SUM(O553:O555)</f>
        <v>7019.58494122509</v>
      </c>
      <c r="P552" s="39" t="n">
        <f aca="false">SUM(P553:P555)</f>
        <v>7599.58529974509</v>
      </c>
      <c r="Q552" s="39" t="n">
        <f aca="false">SUM(Q553:Q555)</f>
        <v>8188.46223778897</v>
      </c>
      <c r="R552" s="38"/>
    </row>
    <row r="553" customFormat="false" ht="15" hidden="false" customHeight="false" outlineLevel="1" collapsed="false">
      <c r="A553" s="24" t="n">
        <v>1</v>
      </c>
      <c r="B553" s="24" t="s">
        <v>1558</v>
      </c>
      <c r="C553" s="40" t="s">
        <v>3711</v>
      </c>
      <c r="D553" s="24" t="s">
        <v>73</v>
      </c>
      <c r="E553" s="24" t="s">
        <v>324</v>
      </c>
      <c r="F553" s="41" t="n">
        <f aca="false">INDEX((BOM_COEF!R566~BOM_COEF!S566~BOM_COEF!T566~BOM_COEF!U566~BOM_COEF!V566~BOM_COEF!W566~BOM_COEF!X566~BOM_COEF!Y566~BOM_COEF!Z566~BOM_COEF!AA566),1,1,INDEX(P_VAL,MATCH("AÑO_DIS",P_ID,0))-2025)</f>
        <v>0.1905027</v>
      </c>
      <c r="G553" s="24" t="s">
        <v>2281</v>
      </c>
      <c r="H553" s="42" t="n">
        <f aca="false">BOM_COEF!R566*DEMANDA!F33</f>
        <v>85.8495843567756</v>
      </c>
      <c r="I553" s="42" t="n">
        <f aca="false">BOM_COEF!S566*DEMANDA!G33</f>
        <v>323.327330169516</v>
      </c>
      <c r="J553" s="42" t="n">
        <f aca="false">BOM_COEF!T566*DEMANDA!H33</f>
        <v>753.505739976637</v>
      </c>
      <c r="K553" s="42" t="n">
        <f aca="false">BOM_COEF!U566*DEMANDA!I33</f>
        <v>1440.52670663565</v>
      </c>
      <c r="L553" s="42" t="n">
        <f aca="false">BOM_COEF!V566*DEMANDA!J33</f>
        <v>2080.3793155214</v>
      </c>
      <c r="M553" s="42" t="n">
        <f aca="false">BOM_COEF!W566*DEMANDA!K33</f>
        <v>2765.23513772777</v>
      </c>
      <c r="N553" s="42" t="n">
        <f aca="false">BOM_COEF!X566*DEMANDA!L33</f>
        <v>3380.85718152887</v>
      </c>
      <c r="O553" s="42" t="n">
        <f aca="false">BOM_COEF!Y566*DEMANDA!M33</f>
        <v>3737.31697003661</v>
      </c>
      <c r="P553" s="42" t="n">
        <f aca="false">BOM_COEF!Z566*DEMANDA!N33</f>
        <v>4031.5018497975</v>
      </c>
      <c r="Q553" s="42" t="n">
        <f aca="false">BOM_COEF!AA566*DEMANDA!O33</f>
        <v>4330.98395890962</v>
      </c>
      <c r="R553" s="24" t="s">
        <v>3712</v>
      </c>
    </row>
    <row r="554" customFormat="false" ht="15" hidden="false" customHeight="false" outlineLevel="1" collapsed="false">
      <c r="A554" s="24" t="n">
        <v>1</v>
      </c>
      <c r="B554" s="24" t="s">
        <v>1558</v>
      </c>
      <c r="C554" s="40" t="s">
        <v>3713</v>
      </c>
      <c r="D554" s="24" t="s">
        <v>73</v>
      </c>
      <c r="E554" s="24" t="s">
        <v>327</v>
      </c>
      <c r="F554" s="41" t="n">
        <f aca="false">INDEX((BOM_COEF!R577~BOM_COEF!S577~BOM_COEF!T577~BOM_COEF!U577~BOM_COEF!V577~BOM_COEF!W577~BOM_COEF!X577~BOM_COEF!Y577~BOM_COEF!Z577~BOM_COEF!AA577),1,1,INDEX(P_VAL,MATCH("AÑO_DIS",P_ID,0))-2025)</f>
        <v>0.47625675</v>
      </c>
      <c r="G554" s="24" t="s">
        <v>2281</v>
      </c>
      <c r="H554" s="42" t="n">
        <f aca="false">BOM_COEF!R577*DEMANDA!F34</f>
        <v>59.617766890613</v>
      </c>
      <c r="I554" s="42" t="n">
        <f aca="false">BOM_COEF!S577*DEMANDA!G34</f>
        <v>306.542480331287</v>
      </c>
      <c r="J554" s="42" t="n">
        <f aca="false">BOM_COEF!T577*DEMANDA!H34</f>
        <v>655.177647311764</v>
      </c>
      <c r="K554" s="42" t="n">
        <f aca="false">BOM_COEF!U577*DEMANDA!I34</f>
        <v>1171.79710622659</v>
      </c>
      <c r="L554" s="42" t="n">
        <f aca="false">BOM_COEF!V577*DEMANDA!J34</f>
        <v>1688.50342194009</v>
      </c>
      <c r="M554" s="42" t="n">
        <f aca="false">BOM_COEF!W577*DEMANDA!K34</f>
        <v>2249.67030377094</v>
      </c>
      <c r="N554" s="42" t="n">
        <f aca="false">BOM_COEF!X577*DEMANDA!L34</f>
        <v>2788.04527303124</v>
      </c>
      <c r="O554" s="42" t="n">
        <f aca="false">BOM_COEF!Y577*DEMANDA!M34</f>
        <v>3147.48058968847</v>
      </c>
      <c r="P554" s="42" t="n">
        <f aca="false">BOM_COEF!Z577*DEMANDA!N34</f>
        <v>3422.34452394759</v>
      </c>
      <c r="Q554" s="42" t="n">
        <f aca="false">BOM_COEF!AA577*DEMANDA!O34</f>
        <v>3700.31355137936</v>
      </c>
      <c r="R554" s="24" t="s">
        <v>3714</v>
      </c>
    </row>
    <row r="555" customFormat="false" ht="15" hidden="false" customHeight="false" outlineLevel="1" collapsed="false">
      <c r="A555" s="24" t="n">
        <v>1</v>
      </c>
      <c r="B555" s="24" t="s">
        <v>1558</v>
      </c>
      <c r="C555" s="40" t="s">
        <v>3715</v>
      </c>
      <c r="D555" s="24" t="s">
        <v>73</v>
      </c>
      <c r="E555" s="24" t="s">
        <v>357</v>
      </c>
      <c r="F555" s="41" t="n">
        <f aca="false">INDEX((BOM_COEF!R577~BOM_COEF!S577~BOM_COEF!T577~BOM_COEF!U577~BOM_COEF!V577~BOM_COEF!W577~BOM_COEF!X577~BOM_COEF!Y577~BOM_COEF!Z577~BOM_COEF!AA577),1,1,INDEX(P_VAL,MATCH("AÑO_DIS",P_ID,0))-2025)</f>
        <v>0.47625675</v>
      </c>
      <c r="G555" s="24" t="s">
        <v>2281</v>
      </c>
      <c r="H555" s="42" t="n">
        <f aca="false">BOM_COEF!R577*DEMANDA!F44</f>
        <v>3.33403</v>
      </c>
      <c r="I555" s="42" t="n">
        <f aca="false">BOM_COEF!S577*DEMANDA!G44</f>
        <v>12.383046</v>
      </c>
      <c r="J555" s="42" t="n">
        <f aca="false">BOM_COEF!T577*DEMANDA!H44</f>
        <v>27.6239935</v>
      </c>
      <c r="K555" s="42" t="n">
        <f aca="false">BOM_COEF!U577*DEMANDA!I44</f>
        <v>51.91509225</v>
      </c>
      <c r="L555" s="42" t="n">
        <f aca="false">BOM_COEF!V577*DEMANDA!J44</f>
        <v>74.298276</v>
      </c>
      <c r="M555" s="42" t="n">
        <f aca="false">BOM_COEF!W577*DEMANDA!K44</f>
        <v>99.065356</v>
      </c>
      <c r="N555" s="42" t="n">
        <f aca="false">BOM_COEF!X577*DEMANDA!L44</f>
        <v>121.449105</v>
      </c>
      <c r="O555" s="42" t="n">
        <f aca="false">BOM_COEF!Y577*DEMANDA!M44</f>
        <v>134.7873815</v>
      </c>
      <c r="P555" s="42" t="n">
        <f aca="false">BOM_COEF!Z577*DEMANDA!N44</f>
        <v>145.738926</v>
      </c>
      <c r="Q555" s="42" t="n">
        <f aca="false">BOM_COEF!AA577*DEMANDA!O44</f>
        <v>157.1647275</v>
      </c>
      <c r="R555" s="24" t="s">
        <v>3714</v>
      </c>
    </row>
    <row r="556" customFormat="false" ht="15" hidden="false" customHeight="false" outlineLevel="0" collapsed="false">
      <c r="A556" s="38" t="n">
        <v>0</v>
      </c>
      <c r="B556" s="38" t="s">
        <v>1586</v>
      </c>
      <c r="C556" s="38" t="s">
        <v>2209</v>
      </c>
      <c r="D556" s="38" t="s">
        <v>73</v>
      </c>
      <c r="E556" s="38"/>
      <c r="F556" s="38"/>
      <c r="G556" s="38"/>
      <c r="H556" s="39" t="n">
        <f aca="false">SUM(H557:H558)</f>
        <v>7.31879469737526</v>
      </c>
      <c r="I556" s="39" t="n">
        <f aca="false">SUM(I557:I558)</f>
        <v>43.4665684431177</v>
      </c>
      <c r="J556" s="39" t="n">
        <f aca="false">SUM(J557:J558)</f>
        <v>89.1076152391253</v>
      </c>
      <c r="K556" s="39" t="n">
        <f aca="false">SUM(K557:K558)</f>
        <v>154.597483353191</v>
      </c>
      <c r="L556" s="39" t="n">
        <f aca="false">SUM(L557:L558)</f>
        <v>221.574587969017</v>
      </c>
      <c r="M556" s="39" t="n">
        <f aca="false">SUM(M557:M558)</f>
        <v>290.864796271619</v>
      </c>
      <c r="N556" s="39" t="n">
        <f aca="false">SUM(N557:N558)</f>
        <v>364.211480562278</v>
      </c>
      <c r="O556" s="39" t="n">
        <f aca="false">SUM(O557:O558)</f>
        <v>413.141441246925</v>
      </c>
      <c r="P556" s="39" t="n">
        <f aca="false">SUM(P557:P558)</f>
        <v>451.410072366054</v>
      </c>
      <c r="Q556" s="39" t="n">
        <f aca="false">SUM(Q557:Q558)</f>
        <v>489.969341838035</v>
      </c>
      <c r="R556" s="38"/>
    </row>
    <row r="557" customFormat="false" ht="15" hidden="false" customHeight="false" outlineLevel="1" collapsed="false">
      <c r="A557" s="24" t="n">
        <v>1</v>
      </c>
      <c r="B557" s="24" t="s">
        <v>1586</v>
      </c>
      <c r="C557" s="40" t="s">
        <v>3716</v>
      </c>
      <c r="D557" s="24" t="s">
        <v>73</v>
      </c>
      <c r="E557" s="24" t="s">
        <v>330</v>
      </c>
      <c r="F557" s="41" t="n">
        <f aca="false">INDEX((BOM_COEF!R588~BOM_COEF!S588~BOM_COEF!T588~BOM_COEF!U588~BOM_COEF!V588~BOM_COEF!W588~BOM_COEF!X588~BOM_COEF!Y588~BOM_COEF!Z588~BOM_COEF!AA588),1,1,INDEX(P_VAL,MATCH("AÑO_DIS",P_ID,0))-2025)</f>
        <v>0.38102005</v>
      </c>
      <c r="G557" s="24" t="s">
        <v>2281</v>
      </c>
      <c r="H557" s="42" t="n">
        <f aca="false">BOM_COEF!R588*DEMANDA!F35</f>
        <v>6.93774069737526</v>
      </c>
      <c r="I557" s="42" t="n">
        <f aca="false">BOM_COEF!S588*DEMANDA!G35</f>
        <v>42.7044992431177</v>
      </c>
      <c r="J557" s="42" t="n">
        <f aca="false">BOM_COEF!T588*DEMANDA!H35</f>
        <v>87.9644968891253</v>
      </c>
      <c r="K557" s="42" t="n">
        <f aca="false">BOM_COEF!U588*DEMANDA!I35</f>
        <v>152.692237603191</v>
      </c>
      <c r="L557" s="42" t="n">
        <f aca="false">BOM_COEF!V588*DEMANDA!J35</f>
        <v>218.907345769017</v>
      </c>
      <c r="M557" s="42" t="n">
        <f aca="false">BOM_COEF!W588*DEMANDA!K35</f>
        <v>287.435441221619</v>
      </c>
      <c r="N557" s="42" t="n">
        <f aca="false">BOM_COEF!X588*DEMANDA!L35</f>
        <v>360.020099962278</v>
      </c>
      <c r="O557" s="42" t="n">
        <f aca="false">BOM_COEF!Y588*DEMANDA!M35</f>
        <v>408.568909646925</v>
      </c>
      <c r="P557" s="42" t="n">
        <f aca="false">BOM_COEF!Z588*DEMANDA!N35</f>
        <v>446.456622566054</v>
      </c>
      <c r="Q557" s="42" t="n">
        <f aca="false">BOM_COEF!AA588*DEMANDA!O35</f>
        <v>484.635061138035</v>
      </c>
      <c r="R557" s="24" t="s">
        <v>3717</v>
      </c>
    </row>
    <row r="558" customFormat="false" ht="15" hidden="false" customHeight="false" outlineLevel="1" collapsed="false">
      <c r="A558" s="24" t="n">
        <v>1</v>
      </c>
      <c r="B558" s="24" t="s">
        <v>1586</v>
      </c>
      <c r="C558" s="40" t="s">
        <v>3718</v>
      </c>
      <c r="D558" s="24" t="s">
        <v>73</v>
      </c>
      <c r="E558" s="24" t="s">
        <v>360</v>
      </c>
      <c r="F558" s="41" t="n">
        <f aca="false">INDEX((BOM_COEF!R588~BOM_COEF!S588~BOM_COEF!T588~BOM_COEF!U588~BOM_COEF!V588~BOM_COEF!W588~BOM_COEF!X588~BOM_COEF!Y588~BOM_COEF!Z588~BOM_COEF!AA588),1,1,INDEX(P_VAL,MATCH("AÑO_DIS",P_ID,0))-2025)</f>
        <v>0.38102005</v>
      </c>
      <c r="G558" s="24" t="s">
        <v>2281</v>
      </c>
      <c r="H558" s="42" t="n">
        <f aca="false">BOM_COEF!R588*DEMANDA!F45</f>
        <v>0.381054</v>
      </c>
      <c r="I558" s="42" t="n">
        <f aca="false">BOM_COEF!S588*DEMANDA!G45</f>
        <v>0.7620692</v>
      </c>
      <c r="J558" s="42" t="n">
        <f aca="false">BOM_COEF!T588*DEMANDA!H45</f>
        <v>1.14311835</v>
      </c>
      <c r="K558" s="42" t="n">
        <f aca="false">BOM_COEF!U588*DEMANDA!I45</f>
        <v>1.90524575</v>
      </c>
      <c r="L558" s="42" t="n">
        <f aca="false">BOM_COEF!V588*DEMANDA!J45</f>
        <v>2.6672422</v>
      </c>
      <c r="M558" s="42" t="n">
        <f aca="false">BOM_COEF!W588*DEMANDA!K45</f>
        <v>3.42935505</v>
      </c>
      <c r="N558" s="42" t="n">
        <f aca="false">BOM_COEF!X588*DEMANDA!L45</f>
        <v>4.1913806</v>
      </c>
      <c r="O558" s="42" t="n">
        <f aca="false">BOM_COEF!Y588*DEMANDA!M45</f>
        <v>4.5725316</v>
      </c>
      <c r="P558" s="42" t="n">
        <f aca="false">BOM_COEF!Z588*DEMANDA!N45</f>
        <v>4.9534498</v>
      </c>
      <c r="Q558" s="42" t="n">
        <f aca="false">BOM_COEF!AA588*DEMANDA!O45</f>
        <v>5.3342807</v>
      </c>
      <c r="R558" s="24" t="s">
        <v>3717</v>
      </c>
    </row>
    <row r="559" customFormat="false" ht="15" hidden="false" customHeight="false" outlineLevel="0" collapsed="false">
      <c r="A559" s="38" t="n">
        <v>0</v>
      </c>
      <c r="B559" s="38" t="s">
        <v>1499</v>
      </c>
      <c r="C559" s="38" t="s">
        <v>2213</v>
      </c>
      <c r="D559" s="38" t="s">
        <v>1489</v>
      </c>
      <c r="E559" s="38"/>
      <c r="F559" s="38"/>
      <c r="G559" s="38"/>
      <c r="H559" s="39" t="n">
        <f aca="false">SUM(H560:H563)</f>
        <v>25.696310403</v>
      </c>
      <c r="I559" s="39" t="n">
        <f aca="false">SUM(I560:I563)</f>
        <v>175.33000476</v>
      </c>
      <c r="J559" s="39" t="n">
        <f aca="false">SUM(J560:J563)</f>
        <v>345.87793338</v>
      </c>
      <c r="K559" s="39" t="n">
        <f aca="false">SUM(K560:K563)</f>
        <v>588.03010392</v>
      </c>
      <c r="L559" s="39" t="n">
        <f aca="false">SUM(L560:L563)</f>
        <v>831.69044754</v>
      </c>
      <c r="M559" s="39" t="n">
        <f aca="false">SUM(M560:M563)</f>
        <v>1072.95322716</v>
      </c>
      <c r="N559" s="39" t="n">
        <f aca="false">SUM(N560:N563)</f>
        <v>1316.48091975</v>
      </c>
      <c r="O559" s="39" t="n">
        <f aca="false">SUM(O560:O563)</f>
        <v>1488.75219045</v>
      </c>
      <c r="P559" s="39" t="n">
        <f aca="false">SUM(P560:P563)</f>
        <v>1621.6811277</v>
      </c>
      <c r="Q559" s="39" t="n">
        <f aca="false">SUM(Q560:Q563)</f>
        <v>1756.25863425</v>
      </c>
      <c r="R559" s="38"/>
    </row>
    <row r="560" customFormat="false" ht="15" hidden="false" customHeight="false" outlineLevel="1" collapsed="false">
      <c r="A560" s="24" t="n">
        <v>1</v>
      </c>
      <c r="B560" s="24" t="s">
        <v>1499</v>
      </c>
      <c r="C560" s="40" t="s">
        <v>3719</v>
      </c>
      <c r="D560" s="24" t="s">
        <v>1489</v>
      </c>
      <c r="E560" s="24" t="s">
        <v>312</v>
      </c>
      <c r="F560" s="41" t="n">
        <f aca="false">INDEX((BOM_COEF!R515~BOM_COEF!S515~BOM_COEF!T515~BOM_COEF!U515~BOM_COEF!V515~BOM_COEF!W515~BOM_COEF!X515~BOM_COEF!Y515~BOM_COEF!Z515~BOM_COEF!AA515),1,1,INDEX(P_VAL,MATCH("AÑO_DIS",P_ID,0))-2025)</f>
        <v>0.3</v>
      </c>
      <c r="G560" s="24" t="s">
        <v>2281</v>
      </c>
      <c r="H560" s="42" t="n">
        <f aca="false">BOM_COEF!R515*DEMANDA!F29</f>
        <v>6.827517258</v>
      </c>
      <c r="I560" s="42" t="n">
        <f aca="false">BOM_COEF!S515*DEMANDA!G29</f>
        <v>48.3947253</v>
      </c>
      <c r="J560" s="42" t="n">
        <f aca="false">BOM_COEF!T515*DEMANDA!H29</f>
        <v>94.98218283</v>
      </c>
      <c r="K560" s="42" t="n">
        <f aca="false">BOM_COEF!U515*DEMANDA!I29</f>
        <v>158.21838597</v>
      </c>
      <c r="L560" s="42" t="n">
        <f aca="false">BOM_COEF!V515*DEMANDA!J29</f>
        <v>223.13668389</v>
      </c>
      <c r="M560" s="42" t="n">
        <f aca="false">BOM_COEF!W515*DEMANDA!K29</f>
        <v>288.86230056</v>
      </c>
      <c r="N560" s="42" t="n">
        <f aca="false">BOM_COEF!X515*DEMANDA!L29</f>
        <v>358.4826621</v>
      </c>
      <c r="O560" s="42" t="n">
        <f aca="false">BOM_COEF!Y515*DEMANDA!M29</f>
        <v>405.4851549</v>
      </c>
      <c r="P560" s="42" t="n">
        <f aca="false">BOM_COEF!Z515*DEMANDA!N29</f>
        <v>443.264658</v>
      </c>
      <c r="Q560" s="42" t="n">
        <f aca="false">BOM_COEF!AA515*DEMANDA!O29</f>
        <v>481.3324266</v>
      </c>
      <c r="R560" s="24" t="s">
        <v>3720</v>
      </c>
    </row>
    <row r="561" customFormat="false" ht="15" hidden="false" customHeight="false" outlineLevel="1" collapsed="false">
      <c r="A561" s="24" t="n">
        <v>1</v>
      </c>
      <c r="B561" s="24" t="s">
        <v>1499</v>
      </c>
      <c r="C561" s="40" t="s">
        <v>3721</v>
      </c>
      <c r="D561" s="24" t="s">
        <v>1489</v>
      </c>
      <c r="E561" s="24" t="s">
        <v>345</v>
      </c>
      <c r="F561" s="41" t="n">
        <f aca="false">INDEX((BOM_COEF!R515~BOM_COEF!S515~BOM_COEF!T515~BOM_COEF!U515~BOM_COEF!V515~BOM_COEF!W515~BOM_COEF!X515~BOM_COEF!Y515~BOM_COEF!Z515~BOM_COEF!AA515),1,1,INDEX(P_VAL,MATCH("AÑO_DIS",P_ID,0))-2025)</f>
        <v>0.3</v>
      </c>
      <c r="G561" s="24" t="s">
        <v>2281</v>
      </c>
      <c r="H561" s="42" t="n">
        <f aca="false">BOM_COEF!R515*DEMANDA!F40</f>
        <v>0.3</v>
      </c>
      <c r="I561" s="42" t="n">
        <f aca="false">BOM_COEF!S515*DEMANDA!G40</f>
        <v>0.6</v>
      </c>
      <c r="J561" s="42" t="n">
        <f aca="false">BOM_COEF!T515*DEMANDA!H40</f>
        <v>1.2</v>
      </c>
      <c r="K561" s="42" t="n">
        <f aca="false">BOM_COEF!U515*DEMANDA!I40</f>
        <v>1.8</v>
      </c>
      <c r="L561" s="42" t="n">
        <f aca="false">BOM_COEF!V515*DEMANDA!J40</f>
        <v>2.7</v>
      </c>
      <c r="M561" s="42" t="n">
        <f aca="false">BOM_COEF!W515*DEMANDA!K40</f>
        <v>3.3</v>
      </c>
      <c r="N561" s="42" t="n">
        <f aca="false">BOM_COEF!X515*DEMANDA!L40</f>
        <v>3.9</v>
      </c>
      <c r="O561" s="42" t="n">
        <f aca="false">BOM_COEF!Y515*DEMANDA!M40</f>
        <v>4.5</v>
      </c>
      <c r="P561" s="42" t="n">
        <f aca="false">BOM_COEF!Z515*DEMANDA!N40</f>
        <v>4.8</v>
      </c>
      <c r="Q561" s="42" t="n">
        <f aca="false">BOM_COEF!AA515*DEMANDA!O40</f>
        <v>5.4</v>
      </c>
      <c r="R561" s="24" t="s">
        <v>3720</v>
      </c>
    </row>
    <row r="562" customFormat="false" ht="15" hidden="false" customHeight="false" outlineLevel="1" collapsed="false">
      <c r="A562" s="24" t="n">
        <v>1</v>
      </c>
      <c r="B562" s="24" t="s">
        <v>1499</v>
      </c>
      <c r="C562" s="40" t="s">
        <v>3722</v>
      </c>
      <c r="D562" s="24" t="s">
        <v>1489</v>
      </c>
      <c r="E562" s="24" t="s">
        <v>315</v>
      </c>
      <c r="F562" s="41" t="n">
        <f aca="false">INDEX((BOM_COEF!R529~BOM_COEF!S529~BOM_COEF!T529~BOM_COEF!U529~BOM_COEF!V529~BOM_COEF!W529~BOM_COEF!X529~BOM_COEF!Y529~BOM_COEF!Z529~BOM_COEF!AA529),1,1,INDEX(P_VAL,MATCH("AÑO_DIS",P_ID,0))-2025)</f>
        <v>1.5</v>
      </c>
      <c r="G562" s="24" t="s">
        <v>2281</v>
      </c>
      <c r="H562" s="42" t="n">
        <f aca="false">BOM_COEF!R529*DEMANDA!F30</f>
        <v>17.068793145</v>
      </c>
      <c r="I562" s="42" t="n">
        <f aca="false">BOM_COEF!S529*DEMANDA!G30</f>
        <v>124.83527946</v>
      </c>
      <c r="J562" s="42" t="n">
        <f aca="false">BOM_COEF!T529*DEMANDA!H30</f>
        <v>246.69575055</v>
      </c>
      <c r="K562" s="42" t="n">
        <f aca="false">BOM_COEF!U529*DEMANDA!I30</f>
        <v>422.01171795</v>
      </c>
      <c r="L562" s="42" t="n">
        <f aca="false">BOM_COEF!V529*DEMANDA!J30</f>
        <v>598.35376365</v>
      </c>
      <c r="M562" s="42" t="n">
        <f aca="false">BOM_COEF!W529*DEMANDA!K30</f>
        <v>771.7909266</v>
      </c>
      <c r="N562" s="42" t="n">
        <f aca="false">BOM_COEF!X529*DEMANDA!L30</f>
        <v>943.59825765</v>
      </c>
      <c r="O562" s="42" t="n">
        <f aca="false">BOM_COEF!Y529*DEMANDA!M30</f>
        <v>1066.76703555</v>
      </c>
      <c r="P562" s="42" t="n">
        <f aca="false">BOM_COEF!Z529*DEMANDA!N30</f>
        <v>1160.1164697</v>
      </c>
      <c r="Q562" s="42" t="n">
        <f aca="false">BOM_COEF!AA529*DEMANDA!O30</f>
        <v>1254.52620765</v>
      </c>
      <c r="R562" s="24" t="s">
        <v>3723</v>
      </c>
    </row>
    <row r="563" customFormat="false" ht="15" hidden="false" customHeight="false" outlineLevel="1" collapsed="false">
      <c r="A563" s="24" t="n">
        <v>1</v>
      </c>
      <c r="B563" s="24" t="s">
        <v>1499</v>
      </c>
      <c r="C563" s="40" t="s">
        <v>3724</v>
      </c>
      <c r="D563" s="24" t="s">
        <v>1489</v>
      </c>
      <c r="E563" s="24" t="s">
        <v>348</v>
      </c>
      <c r="F563" s="41" t="n">
        <f aca="false">INDEX((BOM_COEF!R529~BOM_COEF!S529~BOM_COEF!T529~BOM_COEF!U529~BOM_COEF!V529~BOM_COEF!W529~BOM_COEF!X529~BOM_COEF!Y529~BOM_COEF!Z529~BOM_COEF!AA529),1,1,INDEX(P_VAL,MATCH("AÑO_DIS",P_ID,0))-2025)</f>
        <v>1.5</v>
      </c>
      <c r="G563" s="24" t="s">
        <v>2281</v>
      </c>
      <c r="H563" s="42" t="n">
        <f aca="false">BOM_COEF!R529*DEMANDA!F41</f>
        <v>1.5</v>
      </c>
      <c r="I563" s="42" t="n">
        <f aca="false">BOM_COEF!S529*DEMANDA!G41</f>
        <v>1.5</v>
      </c>
      <c r="J563" s="42" t="n">
        <f aca="false">BOM_COEF!T529*DEMANDA!H41</f>
        <v>3</v>
      </c>
      <c r="K563" s="42" t="n">
        <f aca="false">BOM_COEF!U529*DEMANDA!I41</f>
        <v>6</v>
      </c>
      <c r="L563" s="42" t="n">
        <f aca="false">BOM_COEF!V529*DEMANDA!J41</f>
        <v>7.5</v>
      </c>
      <c r="M563" s="42" t="n">
        <f aca="false">BOM_COEF!W529*DEMANDA!K41</f>
        <v>9</v>
      </c>
      <c r="N563" s="42" t="n">
        <f aca="false">BOM_COEF!X529*DEMANDA!L41</f>
        <v>10.5</v>
      </c>
      <c r="O563" s="42" t="n">
        <f aca="false">BOM_COEF!Y529*DEMANDA!M41</f>
        <v>12</v>
      </c>
      <c r="P563" s="42" t="n">
        <f aca="false">BOM_COEF!Z529*DEMANDA!N41</f>
        <v>13.5</v>
      </c>
      <c r="Q563" s="42" t="n">
        <f aca="false">BOM_COEF!AA529*DEMANDA!O41</f>
        <v>15</v>
      </c>
      <c r="R563" s="24" t="s">
        <v>3723</v>
      </c>
    </row>
    <row r="564" customFormat="false" ht="15" hidden="false" customHeight="false" outlineLevel="0" collapsed="false">
      <c r="A564" s="38" t="n">
        <v>0</v>
      </c>
      <c r="B564" s="38" t="s">
        <v>1545</v>
      </c>
      <c r="C564" s="38" t="s">
        <v>2216</v>
      </c>
      <c r="D564" s="38" t="s">
        <v>1489</v>
      </c>
      <c r="E564" s="38"/>
      <c r="F564" s="38"/>
      <c r="G564" s="38"/>
      <c r="H564" s="39" t="n">
        <f aca="false">SUM(H565:H566)</f>
        <v>505.0449612999</v>
      </c>
      <c r="I564" s="39" t="n">
        <f aca="false">SUM(I565:I566)</f>
        <v>2066.939028777</v>
      </c>
      <c r="J564" s="39" t="n">
        <f aca="false">SUM(J565:J566)</f>
        <v>4601.593964289</v>
      </c>
      <c r="K564" s="39" t="n">
        <f aca="false">SUM(K565:K566)</f>
        <v>8367.05000733</v>
      </c>
      <c r="L564" s="39" t="n">
        <f aca="false">SUM(L565:L566)</f>
        <v>12077.23442898</v>
      </c>
      <c r="M564" s="39" t="n">
        <f aca="false">SUM(M565:M566)</f>
        <v>16001.72719908</v>
      </c>
      <c r="N564" s="39" t="n">
        <f aca="false">SUM(N565:N566)</f>
        <v>19684.48457493</v>
      </c>
      <c r="O564" s="39" t="n">
        <f aca="false">SUM(O565:O566)</f>
        <v>22030.81526268</v>
      </c>
      <c r="P564" s="39" t="n">
        <f aca="false">SUM(P565:P566)</f>
        <v>23828.63530173</v>
      </c>
      <c r="Q564" s="39" t="n">
        <f aca="false">SUM(Q565:Q566)</f>
        <v>25654.48809798</v>
      </c>
      <c r="R564" s="38"/>
    </row>
    <row r="565" customFormat="false" ht="15" hidden="false" customHeight="false" outlineLevel="1" collapsed="false">
      <c r="A565" s="24" t="n">
        <v>1</v>
      </c>
      <c r="B565" s="24" t="s">
        <v>1545</v>
      </c>
      <c r="C565" s="40" t="s">
        <v>3725</v>
      </c>
      <c r="D565" s="24" t="s">
        <v>1489</v>
      </c>
      <c r="E565" s="24" t="s">
        <v>321</v>
      </c>
      <c r="F565" s="41" t="n">
        <f aca="false">INDEX((BOM_COEF!R555~BOM_COEF!S555~BOM_COEF!T555~BOM_COEF!U555~BOM_COEF!V555~BOM_COEF!W555~BOM_COEF!X555~BOM_COEF!Y555~BOM_COEF!Z555~BOM_COEF!AA555),1,1,INDEX(P_VAL,MATCH("AÑO_DIS",P_ID,0))-2025)</f>
        <v>6.09</v>
      </c>
      <c r="G565" s="24" t="s">
        <v>2281</v>
      </c>
      <c r="H565" s="42" t="n">
        <f aca="false">BOM_COEF!R555*DEMANDA!F32</f>
        <v>498.9549612999</v>
      </c>
      <c r="I565" s="42" t="n">
        <f aca="false">BOM_COEF!S555*DEMANDA!G32</f>
        <v>2042.579028777</v>
      </c>
      <c r="J565" s="42" t="n">
        <f aca="false">BOM_COEF!T555*DEMANDA!H32</f>
        <v>4546.783964289</v>
      </c>
      <c r="K565" s="42" t="n">
        <f aca="false">BOM_COEF!U555*DEMANDA!I32</f>
        <v>8275.70000733</v>
      </c>
      <c r="L565" s="42" t="n">
        <f aca="false">BOM_COEF!V555*DEMANDA!J32</f>
        <v>11943.25442898</v>
      </c>
      <c r="M565" s="42" t="n">
        <f aca="false">BOM_COEF!W555*DEMANDA!K32</f>
        <v>15825.11719908</v>
      </c>
      <c r="N565" s="42" t="n">
        <f aca="false">BOM_COEF!X555*DEMANDA!L32</f>
        <v>19471.33457493</v>
      </c>
      <c r="O565" s="42" t="n">
        <f aca="false">BOM_COEF!Y555*DEMANDA!M32</f>
        <v>21793.30526268</v>
      </c>
      <c r="P565" s="42" t="n">
        <f aca="false">BOM_COEF!Z555*DEMANDA!N32</f>
        <v>23572.85530173</v>
      </c>
      <c r="Q565" s="42" t="n">
        <f aca="false">BOM_COEF!AA555*DEMANDA!O32</f>
        <v>25380.43809798</v>
      </c>
      <c r="R565" s="24" t="s">
        <v>3726</v>
      </c>
    </row>
    <row r="566" customFormat="false" ht="15" hidden="false" customHeight="false" outlineLevel="1" collapsed="false">
      <c r="A566" s="24" t="n">
        <v>1</v>
      </c>
      <c r="B566" s="24" t="s">
        <v>1545</v>
      </c>
      <c r="C566" s="40" t="s">
        <v>3727</v>
      </c>
      <c r="D566" s="24" t="s">
        <v>1489</v>
      </c>
      <c r="E566" s="24" t="s">
        <v>354</v>
      </c>
      <c r="F566" s="41" t="n">
        <f aca="false">INDEX((BOM_COEF!R555~BOM_COEF!S555~BOM_COEF!T555~BOM_COEF!U555~BOM_COEF!V555~BOM_COEF!W555~BOM_COEF!X555~BOM_COEF!Y555~BOM_COEF!Z555~BOM_COEF!AA555),1,1,INDEX(P_VAL,MATCH("AÑO_DIS",P_ID,0))-2025)</f>
        <v>6.09</v>
      </c>
      <c r="G566" s="24" t="s">
        <v>2281</v>
      </c>
      <c r="H566" s="42" t="n">
        <f aca="false">BOM_COEF!R555*DEMANDA!F43</f>
        <v>6.09</v>
      </c>
      <c r="I566" s="42" t="n">
        <f aca="false">BOM_COEF!S555*DEMANDA!G43</f>
        <v>24.36</v>
      </c>
      <c r="J566" s="42" t="n">
        <f aca="false">BOM_COEF!T555*DEMANDA!H43</f>
        <v>54.81</v>
      </c>
      <c r="K566" s="42" t="n">
        <f aca="false">BOM_COEF!U555*DEMANDA!I43</f>
        <v>91.35</v>
      </c>
      <c r="L566" s="42" t="n">
        <f aca="false">BOM_COEF!V555*DEMANDA!J43</f>
        <v>133.98</v>
      </c>
      <c r="M566" s="42" t="n">
        <f aca="false">BOM_COEF!W555*DEMANDA!K43</f>
        <v>176.61</v>
      </c>
      <c r="N566" s="42" t="n">
        <f aca="false">BOM_COEF!X555*DEMANDA!L43</f>
        <v>213.15</v>
      </c>
      <c r="O566" s="42" t="n">
        <f aca="false">BOM_COEF!Y555*DEMANDA!M43</f>
        <v>237.51</v>
      </c>
      <c r="P566" s="42" t="n">
        <f aca="false">BOM_COEF!Z555*DEMANDA!N43</f>
        <v>255.78</v>
      </c>
      <c r="Q566" s="42" t="n">
        <f aca="false">BOM_COEF!AA555*DEMANDA!O43</f>
        <v>274.05</v>
      </c>
      <c r="R566" s="24" t="s">
        <v>3726</v>
      </c>
    </row>
    <row r="567" customFormat="false" ht="15" hidden="false" customHeight="false" outlineLevel="0" collapsed="false">
      <c r="A567" s="38" t="n">
        <v>0</v>
      </c>
      <c r="B567" s="38" t="s">
        <v>1926</v>
      </c>
      <c r="C567" s="38" t="s">
        <v>2219</v>
      </c>
      <c r="D567" s="38" t="s">
        <v>1489</v>
      </c>
      <c r="E567" s="38"/>
      <c r="F567" s="38"/>
      <c r="G567" s="38"/>
      <c r="H567" s="39" t="n">
        <f aca="false">SUM(H568:H596)</f>
        <v>51.8384482356225</v>
      </c>
      <c r="I567" s="39" t="n">
        <f aca="false">SUM(I568:I596)</f>
        <v>232.48260685605</v>
      </c>
      <c r="J567" s="39" t="n">
        <f aca="false">SUM(J568:J596)</f>
        <v>466.1329349976</v>
      </c>
      <c r="K567" s="39" t="n">
        <f aca="false">SUM(K568:K596)</f>
        <v>864.64346575875</v>
      </c>
      <c r="L567" s="39" t="n">
        <f aca="false">SUM(L568:L596)</f>
        <v>1272.65546849175</v>
      </c>
      <c r="M567" s="39" t="n">
        <f aca="false">SUM(M568:M596)</f>
        <v>1732.2083108265</v>
      </c>
      <c r="N567" s="39" t="n">
        <f aca="false">SUM(N568:N596)</f>
        <v>2151.3208663095</v>
      </c>
      <c r="O567" s="39" t="n">
        <f aca="false">SUM(O568:O596)</f>
        <v>2445.721786692</v>
      </c>
      <c r="P567" s="39" t="n">
        <f aca="false">SUM(P568:P596)</f>
        <v>2630.64536613225</v>
      </c>
      <c r="Q567" s="39" t="n">
        <f aca="false">SUM(Q568:Q596)</f>
        <v>2819.4426718725</v>
      </c>
      <c r="R567" s="38"/>
    </row>
    <row r="568" customFormat="false" ht="15" hidden="false" customHeight="false" outlineLevel="1" collapsed="false">
      <c r="A568" s="24" t="n">
        <v>1</v>
      </c>
      <c r="B568" s="24" t="s">
        <v>1926</v>
      </c>
      <c r="C568" s="40" t="s">
        <v>3728</v>
      </c>
      <c r="D568" s="24" t="s">
        <v>1489</v>
      </c>
      <c r="E568" s="24" t="s">
        <v>282</v>
      </c>
      <c r="F568" s="41" t="n">
        <f aca="false">PROCESO!$I$152</f>
        <v>0.0075</v>
      </c>
      <c r="G568" s="24" t="s">
        <v>2281</v>
      </c>
      <c r="H568" s="42" t="n">
        <f aca="false">PROCESO!$I$152*DEMANDA!F20</f>
        <v>26.08111593</v>
      </c>
      <c r="I568" s="42" t="n">
        <f aca="false">PROCESO!$I$152*DEMANDA!G20</f>
        <v>127.2793923</v>
      </c>
      <c r="J568" s="42" t="n">
        <f aca="false">PROCESO!$I$152*DEMANDA!H20</f>
        <v>229.095671325</v>
      </c>
      <c r="K568" s="42" t="n">
        <f aca="false">PROCESO!$I$152*DEMANDA!I20</f>
        <v>420.36233295</v>
      </c>
      <c r="L568" s="42" t="n">
        <f aca="false">PROCESO!$I$152*DEMANDA!J20</f>
        <v>632.026695975</v>
      </c>
      <c r="M568" s="42" t="n">
        <f aca="false">PROCESO!$I$152*DEMANDA!K20</f>
        <v>880.55867325</v>
      </c>
      <c r="N568" s="42" t="n">
        <f aca="false">PROCESO!$I$152*DEMANDA!L20</f>
        <v>1107.079767</v>
      </c>
      <c r="O568" s="42" t="n">
        <f aca="false">PROCESO!$I$152*DEMANDA!M20</f>
        <v>1285.53270525</v>
      </c>
      <c r="P568" s="42" t="n">
        <f aca="false">PROCESO!$I$152*DEMANDA!N20</f>
        <v>1377.679245</v>
      </c>
      <c r="Q568" s="42" t="n">
        <f aca="false">PROCESO!$I$152*DEMANDA!O20</f>
        <v>1472.12018025</v>
      </c>
      <c r="R568" s="24" t="s">
        <v>3729</v>
      </c>
    </row>
    <row r="569" customFormat="false" ht="15" hidden="false" customHeight="false" outlineLevel="1" collapsed="false">
      <c r="A569" s="24" t="n">
        <v>1</v>
      </c>
      <c r="B569" s="24" t="s">
        <v>1926</v>
      </c>
      <c r="C569" s="40" t="s">
        <v>3730</v>
      </c>
      <c r="D569" s="24" t="s">
        <v>1489</v>
      </c>
      <c r="E569" s="24" t="s">
        <v>286</v>
      </c>
      <c r="F569" s="41" t="n">
        <f aca="false">PROCESO!$I$153</f>
        <v>0.0075</v>
      </c>
      <c r="G569" s="24" t="s">
        <v>2281</v>
      </c>
      <c r="H569" s="42" t="n">
        <f aca="false">PROCESO!$I$153*DEMANDA!F21</f>
        <v>2.47497500625</v>
      </c>
      <c r="I569" s="42" t="n">
        <f aca="false">PROCESO!$I$153*DEMANDA!G21</f>
        <v>9.65560518</v>
      </c>
      <c r="J569" s="42" t="n">
        <f aca="false">PROCESO!$I$153*DEMANDA!H21</f>
        <v>22.10376912</v>
      </c>
      <c r="K569" s="42" t="n">
        <f aca="false">PROCESO!$I$153*DEMANDA!I21</f>
        <v>40.6953245175</v>
      </c>
      <c r="L569" s="42" t="n">
        <f aca="false">PROCESO!$I$153*DEMANDA!J21</f>
        <v>58.881568545</v>
      </c>
      <c r="M569" s="42" t="n">
        <f aca="false">PROCESO!$I$153*DEMANDA!K21</f>
        <v>78.179577375</v>
      </c>
      <c r="N569" s="42" t="n">
        <f aca="false">PROCESO!$I$153*DEMANDA!L21</f>
        <v>96.074217825</v>
      </c>
      <c r="O569" s="42" t="n">
        <f aca="false">PROCESO!$I$153*DEMANDA!M21</f>
        <v>106.973012325</v>
      </c>
      <c r="P569" s="42" t="n">
        <f aca="false">PROCESO!$I$153*DEMANDA!N21</f>
        <v>115.746523725</v>
      </c>
      <c r="Q569" s="42" t="n">
        <f aca="false">PROCESO!$I$153*DEMANDA!O21</f>
        <v>124.655708775</v>
      </c>
      <c r="R569" s="24" t="s">
        <v>3731</v>
      </c>
    </row>
    <row r="570" customFormat="false" ht="15" hidden="false" customHeight="false" outlineLevel="1" collapsed="false">
      <c r="A570" s="24" t="n">
        <v>1</v>
      </c>
      <c r="B570" s="24" t="s">
        <v>1926</v>
      </c>
      <c r="C570" s="40" t="s">
        <v>3732</v>
      </c>
      <c r="D570" s="24" t="s">
        <v>1489</v>
      </c>
      <c r="E570" s="24" t="s">
        <v>290</v>
      </c>
      <c r="F570" s="41" t="n">
        <f aca="false">PROCESO!$I$154</f>
        <v>0.0075</v>
      </c>
      <c r="G570" s="24" t="s">
        <v>2281</v>
      </c>
      <c r="H570" s="42" t="n">
        <f aca="false">PROCESO!$I$154*DEMANDA!F22</f>
        <v>14.6279557275</v>
      </c>
      <c r="I570" s="42" t="n">
        <f aca="false">PROCESO!$I$154*DEMANDA!G22</f>
        <v>58.8946389</v>
      </c>
      <c r="J570" s="42" t="n">
        <f aca="false">PROCESO!$I$154*DEMANDA!H22</f>
        <v>133.318927575</v>
      </c>
      <c r="K570" s="42" t="n">
        <f aca="false">PROCESO!$I$154*DEMANDA!I22</f>
        <v>252.041762625</v>
      </c>
      <c r="L570" s="42" t="n">
        <f aca="false">PROCESO!$I$154*DEMANDA!J22</f>
        <v>363.056789175</v>
      </c>
      <c r="M570" s="42" t="n">
        <f aca="false">PROCESO!$I$154*DEMANDA!K22</f>
        <v>482.4228207</v>
      </c>
      <c r="N570" s="42" t="n">
        <f aca="false">PROCESO!$I$154*DEMANDA!L22</f>
        <v>590.408252925</v>
      </c>
      <c r="O570" s="42" t="n">
        <f aca="false">PROCESO!$I$154*DEMANDA!M22</f>
        <v>654.279093</v>
      </c>
      <c r="P570" s="42" t="n">
        <f aca="false">PROCESO!$I$154*DEMANDA!N22</f>
        <v>705.777507075</v>
      </c>
      <c r="Q570" s="42" t="n">
        <f aca="false">PROCESO!$I$154*DEMANDA!O22</f>
        <v>758.2138215</v>
      </c>
      <c r="R570" s="24" t="s">
        <v>3733</v>
      </c>
    </row>
    <row r="571" customFormat="false" ht="15" hidden="false" customHeight="false" outlineLevel="1" collapsed="false">
      <c r="A571" s="24" t="n">
        <v>1</v>
      </c>
      <c r="B571" s="24" t="s">
        <v>1926</v>
      </c>
      <c r="C571" s="40" t="s">
        <v>3734</v>
      </c>
      <c r="D571" s="24" t="s">
        <v>1489</v>
      </c>
      <c r="E571" s="24" t="s">
        <v>336</v>
      </c>
      <c r="F571" s="41" t="n">
        <f aca="false">PROCESO!$I$154</f>
        <v>0.0075</v>
      </c>
      <c r="G571" s="24" t="s">
        <v>2281</v>
      </c>
      <c r="H571" s="42" t="n">
        <f aca="false">PROCESO!$I$154*DEMANDA!F37</f>
        <v>0.4725</v>
      </c>
      <c r="I571" s="42" t="n">
        <f aca="false">PROCESO!$I$154*DEMANDA!G37</f>
        <v>2.115</v>
      </c>
      <c r="J571" s="42" t="n">
        <f aca="false">PROCESO!$I$154*DEMANDA!H37</f>
        <v>4.1475</v>
      </c>
      <c r="K571" s="42" t="n">
        <f aca="false">PROCESO!$I$154*DEMANDA!I37</f>
        <v>7.6875</v>
      </c>
      <c r="L571" s="42" t="n">
        <f aca="false">PROCESO!$I$154*DEMANDA!J37</f>
        <v>11.3625</v>
      </c>
      <c r="M571" s="42" t="n">
        <f aca="false">PROCESO!$I$154*DEMANDA!K37</f>
        <v>15.54</v>
      </c>
      <c r="N571" s="42" t="n">
        <f aca="false">PROCESO!$I$154*DEMANDA!L37</f>
        <v>19.3425</v>
      </c>
      <c r="O571" s="42" t="n">
        <f aca="false">PROCESO!$I$154*DEMANDA!M37</f>
        <v>22.08</v>
      </c>
      <c r="P571" s="42" t="n">
        <f aca="false">PROCESO!$I$154*DEMANDA!N37</f>
        <v>23.73</v>
      </c>
      <c r="Q571" s="42" t="n">
        <f aca="false">PROCESO!$I$154*DEMANDA!O37</f>
        <v>25.41</v>
      </c>
      <c r="R571" s="24" t="s">
        <v>3733</v>
      </c>
    </row>
    <row r="572" customFormat="false" ht="15" hidden="false" customHeight="false" outlineLevel="1" collapsed="false">
      <c r="A572" s="24" t="n">
        <v>1</v>
      </c>
      <c r="B572" s="24" t="s">
        <v>1926</v>
      </c>
      <c r="C572" s="40" t="s">
        <v>3735</v>
      </c>
      <c r="D572" s="24" t="s">
        <v>1489</v>
      </c>
      <c r="E572" s="24" t="s">
        <v>293</v>
      </c>
      <c r="F572" s="41" t="n">
        <f aca="false">PROCESO!$I$155</f>
        <v>0.0075</v>
      </c>
      <c r="G572" s="24" t="s">
        <v>2281</v>
      </c>
      <c r="H572" s="42" t="n">
        <f aca="false">PROCESO!$I$155*DEMANDA!F23</f>
        <v>0.88757724375</v>
      </c>
      <c r="I572" s="42" t="n">
        <f aca="false">PROCESO!$I$155*DEMANDA!G23</f>
        <v>3.28287433425</v>
      </c>
      <c r="J572" s="42" t="n">
        <f aca="false">PROCESO!$I$155*DEMANDA!H23</f>
        <v>7.6873111575</v>
      </c>
      <c r="K572" s="42" t="n">
        <f aca="false">PROCESO!$I$155*DEMANDA!I23</f>
        <v>14.703073965</v>
      </c>
      <c r="L572" s="42" t="n">
        <f aca="false">PROCESO!$I$155*DEMANDA!J23</f>
        <v>21.337326345</v>
      </c>
      <c r="M572" s="42" t="n">
        <f aca="false">PROCESO!$I$155*DEMANDA!K23</f>
        <v>28.577929665</v>
      </c>
      <c r="N572" s="42" t="n">
        <f aca="false">PROCESO!$I$155*DEMANDA!L23</f>
        <v>34.977585525</v>
      </c>
      <c r="O572" s="42" t="n">
        <f aca="false">PROCESO!$I$155*DEMANDA!M23</f>
        <v>38.73385938</v>
      </c>
      <c r="P572" s="42" t="n">
        <f aca="false">PROCESO!$I$155*DEMANDA!N23</f>
        <v>41.78658246</v>
      </c>
      <c r="Q572" s="42" t="n">
        <f aca="false">PROCESO!$I$155*DEMANDA!O23</f>
        <v>44.8946314125</v>
      </c>
      <c r="R572" s="24" t="s">
        <v>3736</v>
      </c>
    </row>
    <row r="573" customFormat="false" ht="15" hidden="false" customHeight="false" outlineLevel="1" collapsed="false">
      <c r="A573" s="24" t="n">
        <v>1</v>
      </c>
      <c r="B573" s="24" t="s">
        <v>1926</v>
      </c>
      <c r="C573" s="40" t="s">
        <v>3737</v>
      </c>
      <c r="D573" s="24" t="s">
        <v>1489</v>
      </c>
      <c r="E573" s="24" t="s">
        <v>339</v>
      </c>
      <c r="F573" s="41" t="n">
        <f aca="false">PROCESO!$I$155</f>
        <v>0.0075</v>
      </c>
      <c r="G573" s="24" t="s">
        <v>2281</v>
      </c>
      <c r="H573" s="42" t="n">
        <f aca="false">PROCESO!$I$155*DEMANDA!F38</f>
        <v>0.015</v>
      </c>
      <c r="I573" s="42" t="n">
        <f aca="false">PROCESO!$I$155*DEMANDA!G38</f>
        <v>0.0375</v>
      </c>
      <c r="J573" s="42" t="n">
        <f aca="false">PROCESO!$I$155*DEMANDA!H38</f>
        <v>0.09</v>
      </c>
      <c r="K573" s="42" t="n">
        <f aca="false">PROCESO!$I$155*DEMANDA!I38</f>
        <v>0.165</v>
      </c>
      <c r="L573" s="42" t="n">
        <f aca="false">PROCESO!$I$155*DEMANDA!J38</f>
        <v>0.2325</v>
      </c>
      <c r="M573" s="42" t="n">
        <f aca="false">PROCESO!$I$155*DEMANDA!K38</f>
        <v>0.315</v>
      </c>
      <c r="N573" s="42" t="n">
        <f aca="false">PROCESO!$I$155*DEMANDA!L38</f>
        <v>0.3825</v>
      </c>
      <c r="O573" s="42" t="n">
        <f aca="false">PROCESO!$I$155*DEMANDA!M38</f>
        <v>0.42</v>
      </c>
      <c r="P573" s="42" t="n">
        <f aca="false">PROCESO!$I$155*DEMANDA!N38</f>
        <v>0.4575</v>
      </c>
      <c r="Q573" s="42" t="n">
        <f aca="false">PROCESO!$I$155*DEMANDA!O38</f>
        <v>0.4875</v>
      </c>
      <c r="R573" s="24" t="s">
        <v>3736</v>
      </c>
    </row>
    <row r="574" customFormat="false" ht="15" hidden="false" customHeight="false" outlineLevel="1" collapsed="false">
      <c r="A574" s="24" t="n">
        <v>1</v>
      </c>
      <c r="B574" s="24" t="s">
        <v>1926</v>
      </c>
      <c r="C574" s="40" t="s">
        <v>3738</v>
      </c>
      <c r="D574" s="24" t="s">
        <v>1489</v>
      </c>
      <c r="E574" s="24" t="s">
        <v>296</v>
      </c>
      <c r="F574" s="41" t="n">
        <f aca="false">PROCESO!$I$156</f>
        <v>0.0075</v>
      </c>
      <c r="G574" s="24" t="s">
        <v>2281</v>
      </c>
      <c r="H574" s="42" t="n">
        <f aca="false">PROCESO!$I$156*DEMANDA!F24</f>
        <v>0.1322831469</v>
      </c>
      <c r="I574" s="42" t="n">
        <f aca="false">PROCESO!$I$156*DEMANDA!G24</f>
        <v>0.6449086455</v>
      </c>
      <c r="J574" s="42" t="n">
        <f aca="false">PROCESO!$I$156*DEMANDA!H24</f>
        <v>1.40152175475</v>
      </c>
      <c r="K574" s="42" t="n">
        <f aca="false">PROCESO!$I$156*DEMANDA!I24</f>
        <v>2.524377156</v>
      </c>
      <c r="L574" s="42" t="n">
        <f aca="false">PROCESO!$I$156*DEMANDA!J24</f>
        <v>3.63099448275</v>
      </c>
      <c r="M574" s="42" t="n">
        <f aca="false">PROCESO!$I$156*DEMANDA!K24</f>
        <v>4.8241528905</v>
      </c>
      <c r="N574" s="42" t="n">
        <f aca="false">PROCESO!$I$156*DEMANDA!L24</f>
        <v>5.94323806725</v>
      </c>
      <c r="O574" s="42" t="n">
        <f aca="false">PROCESO!$I$156*DEMANDA!M24</f>
        <v>6.6725828025</v>
      </c>
      <c r="P574" s="42" t="n">
        <f aca="false">PROCESO!$I$156*DEMANDA!N24</f>
        <v>7.23983332125</v>
      </c>
      <c r="Q574" s="42" t="n">
        <f aca="false">PROCESO!$I$156*DEMANDA!O24</f>
        <v>7.814547765</v>
      </c>
      <c r="R574" s="24" t="s">
        <v>3739</v>
      </c>
    </row>
    <row r="575" customFormat="false" ht="15" hidden="false" customHeight="false" outlineLevel="1" collapsed="false">
      <c r="A575" s="24" t="n">
        <v>1</v>
      </c>
      <c r="B575" s="24" t="s">
        <v>1926</v>
      </c>
      <c r="C575" s="40" t="s">
        <v>3740</v>
      </c>
      <c r="D575" s="24" t="s">
        <v>1489</v>
      </c>
      <c r="E575" s="24" t="s">
        <v>300</v>
      </c>
      <c r="F575" s="41" t="n">
        <f aca="false">PROCESO!$I$157</f>
        <v>0.0075</v>
      </c>
      <c r="G575" s="24" t="s">
        <v>2281</v>
      </c>
      <c r="H575" s="42" t="n">
        <f aca="false">PROCESO!$I$157*DEMANDA!F25</f>
        <v>0.29102292315</v>
      </c>
      <c r="I575" s="42" t="n">
        <f aca="false">PROCESO!$I$157*DEMANDA!G25</f>
        <v>1.41879902025</v>
      </c>
      <c r="J575" s="42" t="n">
        <f aca="false">PROCESO!$I$157*DEMANDA!H25</f>
        <v>3.08334786</v>
      </c>
      <c r="K575" s="42" t="n">
        <f aca="false">PROCESO!$I$157*DEMANDA!I25</f>
        <v>5.55362974275</v>
      </c>
      <c r="L575" s="42" t="n">
        <f aca="false">PROCESO!$I$157*DEMANDA!J25</f>
        <v>7.9881878625</v>
      </c>
      <c r="M575" s="42" t="n">
        <f aca="false">PROCESO!$I$157*DEMANDA!K25</f>
        <v>10.61313636</v>
      </c>
      <c r="N575" s="42" t="n">
        <f aca="false">PROCESO!$I$157*DEMANDA!L25</f>
        <v>13.0751237475</v>
      </c>
      <c r="O575" s="42" t="n">
        <f aca="false">PROCESO!$I$157*DEMANDA!M25</f>
        <v>14.6796821625</v>
      </c>
      <c r="P575" s="42" t="n">
        <f aca="false">PROCESO!$I$157*DEMANDA!N25</f>
        <v>15.9276333075</v>
      </c>
      <c r="Q575" s="42" t="n">
        <f aca="false">PROCESO!$I$157*DEMANDA!O25</f>
        <v>17.1920050725</v>
      </c>
      <c r="R575" s="24" t="s">
        <v>3741</v>
      </c>
    </row>
    <row r="576" customFormat="false" ht="15" hidden="false" customHeight="false" outlineLevel="1" collapsed="false">
      <c r="A576" s="24" t="n">
        <v>1</v>
      </c>
      <c r="B576" s="24" t="s">
        <v>1926</v>
      </c>
      <c r="C576" s="40" t="s">
        <v>3742</v>
      </c>
      <c r="D576" s="24" t="s">
        <v>1489</v>
      </c>
      <c r="E576" s="24" t="s">
        <v>366</v>
      </c>
      <c r="F576" s="41" t="n">
        <f aca="false">PROCESO!$I$157</f>
        <v>0.0075</v>
      </c>
      <c r="G576" s="24" t="s">
        <v>2281</v>
      </c>
      <c r="H576" s="42" t="n">
        <f aca="false">PROCESO!$I$157*DEMANDA!F47</f>
        <v>0.0075</v>
      </c>
      <c r="I576" s="42" t="n">
        <f aca="false">PROCESO!$I$157*DEMANDA!G47</f>
        <v>0.0225</v>
      </c>
      <c r="J576" s="42" t="n">
        <f aca="false">PROCESO!$I$157*DEMANDA!H47</f>
        <v>0.0525</v>
      </c>
      <c r="K576" s="42" t="n">
        <f aca="false">PROCESO!$I$157*DEMANDA!I47</f>
        <v>0.09</v>
      </c>
      <c r="L576" s="42" t="n">
        <f aca="false">PROCESO!$I$157*DEMANDA!J47</f>
        <v>0.1275</v>
      </c>
      <c r="M576" s="42" t="n">
        <f aca="false">PROCESO!$I$157*DEMANDA!K47</f>
        <v>0.1725</v>
      </c>
      <c r="N576" s="42" t="n">
        <f aca="false">PROCESO!$I$157*DEMANDA!L47</f>
        <v>0.21</v>
      </c>
      <c r="O576" s="42" t="n">
        <f aca="false">PROCESO!$I$157*DEMANDA!M47</f>
        <v>0.2325</v>
      </c>
      <c r="P576" s="42" t="n">
        <f aca="false">PROCESO!$I$157*DEMANDA!N47</f>
        <v>0.255</v>
      </c>
      <c r="Q576" s="42" t="n">
        <f aca="false">PROCESO!$I$157*DEMANDA!O47</f>
        <v>0.27</v>
      </c>
      <c r="R576" s="24" t="s">
        <v>3741</v>
      </c>
    </row>
    <row r="577" customFormat="false" ht="15" hidden="false" customHeight="false" outlineLevel="1" collapsed="false">
      <c r="A577" s="24" t="n">
        <v>1</v>
      </c>
      <c r="B577" s="24" t="s">
        <v>1926</v>
      </c>
      <c r="C577" s="40" t="s">
        <v>3743</v>
      </c>
      <c r="D577" s="24" t="s">
        <v>1489</v>
      </c>
      <c r="E577" s="24" t="s">
        <v>303</v>
      </c>
      <c r="F577" s="41" t="n">
        <f aca="false">PROCESO!$I$158</f>
        <v>0.0075</v>
      </c>
      <c r="G577" s="24" t="s">
        <v>2281</v>
      </c>
      <c r="H577" s="42" t="n">
        <f aca="false">PROCESO!$I$158*DEMANDA!F26</f>
        <v>0.0634959105075</v>
      </c>
      <c r="I577" s="42" t="n">
        <f aca="false">PROCESO!$I$158*DEMANDA!G26</f>
        <v>0.309556149825</v>
      </c>
      <c r="J577" s="42" t="n">
        <f aca="false">PROCESO!$I$158*DEMANDA!H26</f>
        <v>0.672730442175</v>
      </c>
      <c r="K577" s="42" t="n">
        <f aca="false">PROCESO!$I$158*DEMANDA!I26</f>
        <v>1.211701035</v>
      </c>
      <c r="L577" s="42" t="n">
        <f aca="false">PROCESO!$I$158*DEMANDA!J26</f>
        <v>1.74287735175</v>
      </c>
      <c r="M577" s="42" t="n">
        <f aca="false">PROCESO!$I$158*DEMANDA!K26</f>
        <v>2.3155933875</v>
      </c>
      <c r="N577" s="42" t="n">
        <f aca="false">PROCESO!$I$158*DEMANDA!L26</f>
        <v>2.85275427225</v>
      </c>
      <c r="O577" s="42" t="n">
        <f aca="false">PROCESO!$I$158*DEMANDA!M26</f>
        <v>3.20283974475</v>
      </c>
      <c r="P577" s="42" t="n">
        <f aca="false">PROCESO!$I$158*DEMANDA!N26</f>
        <v>3.4751199945</v>
      </c>
      <c r="Q577" s="42" t="n">
        <f aca="false">PROCESO!$I$158*DEMANDA!O26</f>
        <v>3.75098292525</v>
      </c>
      <c r="R577" s="24" t="s">
        <v>3744</v>
      </c>
    </row>
    <row r="578" customFormat="false" ht="15" hidden="false" customHeight="false" outlineLevel="1" collapsed="false">
      <c r="A578" s="24" t="n">
        <v>1</v>
      </c>
      <c r="B578" s="24" t="s">
        <v>1926</v>
      </c>
      <c r="C578" s="40" t="s">
        <v>3745</v>
      </c>
      <c r="D578" s="24" t="s">
        <v>1489</v>
      </c>
      <c r="E578" s="24" t="s">
        <v>306</v>
      </c>
      <c r="F578" s="41" t="n">
        <f aca="false">PROCESO!$I$159</f>
        <v>0.0075</v>
      </c>
      <c r="G578" s="24" t="s">
        <v>2281</v>
      </c>
      <c r="H578" s="42" t="n">
        <f aca="false">PROCESO!$I$159*DEMANDA!F27</f>
        <v>0.042330607005</v>
      </c>
      <c r="I578" s="42" t="n">
        <f aca="false">PROCESO!$I$159*DEMANDA!G27</f>
        <v>0.206370766575</v>
      </c>
      <c r="J578" s="42" t="n">
        <f aca="false">PROCESO!$I$159*DEMANDA!H27</f>
        <v>0.448486961475</v>
      </c>
      <c r="K578" s="42" t="n">
        <f aca="false">PROCESO!$I$159*DEMANDA!I27</f>
        <v>0.8078006895</v>
      </c>
      <c r="L578" s="42" t="n">
        <f aca="false">PROCESO!$I$159*DEMANDA!J27</f>
        <v>1.16191823475</v>
      </c>
      <c r="M578" s="42" t="n">
        <f aca="false">PROCESO!$I$159*DEMANDA!K27</f>
        <v>1.54372892475</v>
      </c>
      <c r="N578" s="42" t="n">
        <f aca="false">PROCESO!$I$159*DEMANDA!L27</f>
        <v>1.90183618125</v>
      </c>
      <c r="O578" s="42" t="n">
        <f aca="false">PROCESO!$I$159*DEMANDA!M27</f>
        <v>2.1352264965</v>
      </c>
      <c r="P578" s="42" t="n">
        <f aca="false">PROCESO!$I$159*DEMANDA!N27</f>
        <v>2.3167466625</v>
      </c>
      <c r="Q578" s="42" t="n">
        <f aca="false">PROCESO!$I$159*DEMANDA!O27</f>
        <v>2.50065528375</v>
      </c>
      <c r="R578" s="24" t="s">
        <v>3746</v>
      </c>
    </row>
    <row r="579" customFormat="false" ht="15" hidden="false" customHeight="false" outlineLevel="1" collapsed="false">
      <c r="A579" s="24" t="n">
        <v>1</v>
      </c>
      <c r="B579" s="24" t="s">
        <v>1926</v>
      </c>
      <c r="C579" s="40" t="s">
        <v>3747</v>
      </c>
      <c r="D579" s="24" t="s">
        <v>1489</v>
      </c>
      <c r="E579" s="24" t="s">
        <v>369</v>
      </c>
      <c r="F579" s="41" t="n">
        <f aca="false">PROCESO!$I$159</f>
        <v>0.0075</v>
      </c>
      <c r="G579" s="24" t="s">
        <v>2281</v>
      </c>
      <c r="H579" s="42" t="n">
        <f aca="false">PROCESO!$I$159*DEMANDA!F48</f>
        <v>0.0075</v>
      </c>
      <c r="I579" s="42" t="n">
        <f aca="false">PROCESO!$I$159*DEMANDA!G48</f>
        <v>0.0075</v>
      </c>
      <c r="J579" s="42" t="n">
        <f aca="false">PROCESO!$I$159*DEMANDA!H48</f>
        <v>0.015</v>
      </c>
      <c r="K579" s="42" t="n">
        <f aca="false">PROCESO!$I$159*DEMANDA!I48</f>
        <v>0.0225</v>
      </c>
      <c r="L579" s="42" t="n">
        <f aca="false">PROCESO!$I$159*DEMANDA!J48</f>
        <v>0.0375</v>
      </c>
      <c r="M579" s="42" t="n">
        <f aca="false">PROCESO!$I$159*DEMANDA!K48</f>
        <v>0.045</v>
      </c>
      <c r="N579" s="42" t="n">
        <f aca="false">PROCESO!$I$159*DEMANDA!L48</f>
        <v>0.0525</v>
      </c>
      <c r="O579" s="42" t="n">
        <f aca="false">PROCESO!$I$159*DEMANDA!M48</f>
        <v>0.06</v>
      </c>
      <c r="P579" s="42" t="n">
        <f aca="false">PROCESO!$I$159*DEMANDA!N48</f>
        <v>0.0675</v>
      </c>
      <c r="Q579" s="42" t="n">
        <f aca="false">PROCESO!$I$159*DEMANDA!O48</f>
        <v>0.0675</v>
      </c>
      <c r="R579" s="24" t="s">
        <v>3746</v>
      </c>
    </row>
    <row r="580" customFormat="false" ht="15" hidden="false" customHeight="false" outlineLevel="1" collapsed="false">
      <c r="A580" s="24" t="n">
        <v>1</v>
      </c>
      <c r="B580" s="24" t="s">
        <v>1926</v>
      </c>
      <c r="C580" s="40" t="s">
        <v>3748</v>
      </c>
      <c r="D580" s="24" t="s">
        <v>1489</v>
      </c>
      <c r="E580" s="24" t="s">
        <v>309</v>
      </c>
      <c r="F580" s="41" t="n">
        <f aca="false">PROCESO!$I$160</f>
        <v>0.0075</v>
      </c>
      <c r="G580" s="24" t="s">
        <v>2281</v>
      </c>
      <c r="H580" s="42" t="n">
        <f aca="false">PROCESO!$I$160*DEMANDA!F28</f>
        <v>1.19481552</v>
      </c>
      <c r="I580" s="42" t="n">
        <f aca="false">PROCESO!$I$160*DEMANDA!G28</f>
        <v>4.8256765635</v>
      </c>
      <c r="J580" s="42" t="n">
        <f aca="false">PROCESO!$I$160*DEMANDA!H28</f>
        <v>11.0577205575</v>
      </c>
      <c r="K580" s="42" t="n">
        <f aca="false">PROCESO!$I$160*DEMANDA!I28</f>
        <v>20.7483840375</v>
      </c>
      <c r="L580" s="42" t="n">
        <f aca="false">PROCESO!$I$160*DEMANDA!J28</f>
        <v>29.9359891575</v>
      </c>
      <c r="M580" s="42" t="n">
        <f aca="false">PROCESO!$I$160*DEMANDA!K28</f>
        <v>40.01816835</v>
      </c>
      <c r="N580" s="42" t="n">
        <f aca="false">PROCESO!$I$160*DEMANDA!L28</f>
        <v>49.0421916525</v>
      </c>
      <c r="O580" s="42" t="n">
        <f aca="false">PROCESO!$I$160*DEMANDA!M28</f>
        <v>54.5236476075</v>
      </c>
      <c r="P580" s="42" t="n">
        <f aca="false">PROCESO!$I$160*DEMANDA!N28</f>
        <v>58.915810425</v>
      </c>
      <c r="Q580" s="42" t="n">
        <f aca="false">PROCESO!$I$160*DEMANDA!O28</f>
        <v>63.3811056075</v>
      </c>
      <c r="R580" s="24" t="s">
        <v>3749</v>
      </c>
    </row>
    <row r="581" customFormat="false" ht="15" hidden="false" customHeight="false" outlineLevel="1" collapsed="false">
      <c r="A581" s="24" t="n">
        <v>1</v>
      </c>
      <c r="B581" s="24" t="s">
        <v>1926</v>
      </c>
      <c r="C581" s="40" t="s">
        <v>3750</v>
      </c>
      <c r="D581" s="24" t="s">
        <v>1489</v>
      </c>
      <c r="E581" s="24" t="s">
        <v>342</v>
      </c>
      <c r="F581" s="41" t="n">
        <f aca="false">PROCESO!$I$160</f>
        <v>0.0075</v>
      </c>
      <c r="G581" s="24" t="s">
        <v>2281</v>
      </c>
      <c r="H581" s="42" t="n">
        <f aca="false">PROCESO!$I$160*DEMANDA!F39</f>
        <v>0.015</v>
      </c>
      <c r="I581" s="42" t="n">
        <f aca="false">PROCESO!$I$160*DEMANDA!G39</f>
        <v>0.0525</v>
      </c>
      <c r="J581" s="42" t="n">
        <f aca="false">PROCESO!$I$160*DEMANDA!H39</f>
        <v>0.12</v>
      </c>
      <c r="K581" s="42" t="n">
        <f aca="false">PROCESO!$I$160*DEMANDA!I39</f>
        <v>0.225</v>
      </c>
      <c r="L581" s="42" t="n">
        <f aca="false">PROCESO!$I$160*DEMANDA!J39</f>
        <v>0.33</v>
      </c>
      <c r="M581" s="42" t="n">
        <f aca="false">PROCESO!$I$160*DEMANDA!K39</f>
        <v>0.435</v>
      </c>
      <c r="N581" s="42" t="n">
        <f aca="false">PROCESO!$I$160*DEMANDA!L39</f>
        <v>0.5325</v>
      </c>
      <c r="O581" s="42" t="n">
        <f aca="false">PROCESO!$I$160*DEMANDA!M39</f>
        <v>0.5925</v>
      </c>
      <c r="P581" s="42" t="n">
        <f aca="false">PROCESO!$I$160*DEMANDA!N39</f>
        <v>0.6375</v>
      </c>
      <c r="Q581" s="42" t="n">
        <f aca="false">PROCESO!$I$160*DEMANDA!O39</f>
        <v>0.69</v>
      </c>
      <c r="R581" s="24" t="s">
        <v>3749</v>
      </c>
    </row>
    <row r="582" customFormat="false" ht="15" hidden="false" customHeight="false" outlineLevel="1" collapsed="false">
      <c r="A582" s="24" t="n">
        <v>1</v>
      </c>
      <c r="B582" s="24" t="s">
        <v>1926</v>
      </c>
      <c r="C582" s="40" t="s">
        <v>3751</v>
      </c>
      <c r="D582" s="24" t="s">
        <v>1489</v>
      </c>
      <c r="E582" s="24" t="s">
        <v>312</v>
      </c>
      <c r="F582" s="41" t="n">
        <f aca="false">PROCESO!$I$161</f>
        <v>0.0075</v>
      </c>
      <c r="G582" s="24" t="s">
        <v>2281</v>
      </c>
      <c r="H582" s="42" t="n">
        <f aca="false">PROCESO!$I$161*DEMANDA!F29</f>
        <v>0.17068793145</v>
      </c>
      <c r="I582" s="42" t="n">
        <f aca="false">PROCESO!$I$161*DEMANDA!G29</f>
        <v>1.2098681325</v>
      </c>
      <c r="J582" s="42" t="n">
        <f aca="false">PROCESO!$I$161*DEMANDA!H29</f>
        <v>2.37455457075</v>
      </c>
      <c r="K582" s="42" t="n">
        <f aca="false">PROCESO!$I$161*DEMANDA!I29</f>
        <v>3.95545964925</v>
      </c>
      <c r="L582" s="42" t="n">
        <f aca="false">PROCESO!$I$161*DEMANDA!J29</f>
        <v>5.57841709725</v>
      </c>
      <c r="M582" s="42" t="n">
        <f aca="false">PROCESO!$I$161*DEMANDA!K29</f>
        <v>7.221557514</v>
      </c>
      <c r="N582" s="42" t="n">
        <f aca="false">PROCESO!$I$161*DEMANDA!L29</f>
        <v>8.9620665525</v>
      </c>
      <c r="O582" s="42" t="n">
        <f aca="false">PROCESO!$I$161*DEMANDA!M29</f>
        <v>10.1371288725</v>
      </c>
      <c r="P582" s="42" t="n">
        <f aca="false">PROCESO!$I$161*DEMANDA!N29</f>
        <v>11.08161645</v>
      </c>
      <c r="Q582" s="42" t="n">
        <f aca="false">PROCESO!$I$161*DEMANDA!O29</f>
        <v>12.033310665</v>
      </c>
      <c r="R582" s="24" t="s">
        <v>3752</v>
      </c>
    </row>
    <row r="583" customFormat="false" ht="15" hidden="false" customHeight="false" outlineLevel="1" collapsed="false">
      <c r="A583" s="24" t="n">
        <v>1</v>
      </c>
      <c r="B583" s="24" t="s">
        <v>1926</v>
      </c>
      <c r="C583" s="40" t="s">
        <v>3753</v>
      </c>
      <c r="D583" s="24" t="s">
        <v>1489</v>
      </c>
      <c r="E583" s="24" t="s">
        <v>345</v>
      </c>
      <c r="F583" s="41" t="n">
        <f aca="false">PROCESO!$I$161</f>
        <v>0.0075</v>
      </c>
      <c r="G583" s="24" t="s">
        <v>2281</v>
      </c>
      <c r="H583" s="42" t="n">
        <f aca="false">PROCESO!$I$161*DEMANDA!F40</f>
        <v>0.0075</v>
      </c>
      <c r="I583" s="42" t="n">
        <f aca="false">PROCESO!$I$161*DEMANDA!G40</f>
        <v>0.015</v>
      </c>
      <c r="J583" s="42" t="n">
        <f aca="false">PROCESO!$I$161*DEMANDA!H40</f>
        <v>0.03</v>
      </c>
      <c r="K583" s="42" t="n">
        <f aca="false">PROCESO!$I$161*DEMANDA!I40</f>
        <v>0.045</v>
      </c>
      <c r="L583" s="42" t="n">
        <f aca="false">PROCESO!$I$161*DEMANDA!J40</f>
        <v>0.0675</v>
      </c>
      <c r="M583" s="42" t="n">
        <f aca="false">PROCESO!$I$161*DEMANDA!K40</f>
        <v>0.0825</v>
      </c>
      <c r="N583" s="42" t="n">
        <f aca="false">PROCESO!$I$161*DEMANDA!L40</f>
        <v>0.0975</v>
      </c>
      <c r="O583" s="42" t="n">
        <f aca="false">PROCESO!$I$161*DEMANDA!M40</f>
        <v>0.1125</v>
      </c>
      <c r="P583" s="42" t="n">
        <f aca="false">PROCESO!$I$161*DEMANDA!N40</f>
        <v>0.12</v>
      </c>
      <c r="Q583" s="42" t="n">
        <f aca="false">PROCESO!$I$161*DEMANDA!O40</f>
        <v>0.135</v>
      </c>
      <c r="R583" s="24" t="s">
        <v>3752</v>
      </c>
    </row>
    <row r="584" customFormat="false" ht="15" hidden="false" customHeight="false" outlineLevel="1" collapsed="false">
      <c r="A584" s="24" t="n">
        <v>1</v>
      </c>
      <c r="B584" s="24" t="s">
        <v>1926</v>
      </c>
      <c r="C584" s="40" t="s">
        <v>3754</v>
      </c>
      <c r="D584" s="24" t="s">
        <v>1489</v>
      </c>
      <c r="E584" s="24" t="s">
        <v>315</v>
      </c>
      <c r="F584" s="41" t="n">
        <f aca="false">PROCESO!$I$162</f>
        <v>0.0075</v>
      </c>
      <c r="G584" s="24" t="s">
        <v>2281</v>
      </c>
      <c r="H584" s="42" t="n">
        <f aca="false">PROCESO!$I$162*DEMANDA!F30</f>
        <v>0.085343965725</v>
      </c>
      <c r="I584" s="42" t="n">
        <f aca="false">PROCESO!$I$162*DEMANDA!G30</f>
        <v>0.6241763973</v>
      </c>
      <c r="J584" s="42" t="n">
        <f aca="false">PROCESO!$I$162*DEMANDA!H30</f>
        <v>1.23347875275</v>
      </c>
      <c r="K584" s="42" t="n">
        <f aca="false">PROCESO!$I$162*DEMANDA!I30</f>
        <v>2.11005858975</v>
      </c>
      <c r="L584" s="42" t="n">
        <f aca="false">PROCESO!$I$162*DEMANDA!J30</f>
        <v>2.99176881825</v>
      </c>
      <c r="M584" s="42" t="n">
        <f aca="false">PROCESO!$I$162*DEMANDA!K30</f>
        <v>3.858954633</v>
      </c>
      <c r="N584" s="42" t="n">
        <f aca="false">PROCESO!$I$162*DEMANDA!L30</f>
        <v>4.71799128825</v>
      </c>
      <c r="O584" s="42" t="n">
        <f aca="false">PROCESO!$I$162*DEMANDA!M30</f>
        <v>5.33383517775</v>
      </c>
      <c r="P584" s="42" t="n">
        <f aca="false">PROCESO!$I$162*DEMANDA!N30</f>
        <v>5.8005823485</v>
      </c>
      <c r="Q584" s="42" t="n">
        <f aca="false">PROCESO!$I$162*DEMANDA!O30</f>
        <v>6.27263103825</v>
      </c>
      <c r="R584" s="24" t="s">
        <v>3755</v>
      </c>
    </row>
    <row r="585" customFormat="false" ht="15" hidden="false" customHeight="false" outlineLevel="1" collapsed="false">
      <c r="A585" s="24" t="n">
        <v>1</v>
      </c>
      <c r="B585" s="24" t="s">
        <v>1926</v>
      </c>
      <c r="C585" s="40" t="s">
        <v>3756</v>
      </c>
      <c r="D585" s="24" t="s">
        <v>1489</v>
      </c>
      <c r="E585" s="24" t="s">
        <v>348</v>
      </c>
      <c r="F585" s="41" t="n">
        <f aca="false">PROCESO!$I$162</f>
        <v>0.0075</v>
      </c>
      <c r="G585" s="24" t="s">
        <v>2281</v>
      </c>
      <c r="H585" s="42" t="n">
        <f aca="false">PROCESO!$I$162*DEMANDA!F41</f>
        <v>0.0075</v>
      </c>
      <c r="I585" s="42" t="n">
        <f aca="false">PROCESO!$I$162*DEMANDA!G41</f>
        <v>0.0075</v>
      </c>
      <c r="J585" s="42" t="n">
        <f aca="false">PROCESO!$I$162*DEMANDA!H41</f>
        <v>0.015</v>
      </c>
      <c r="K585" s="42" t="n">
        <f aca="false">PROCESO!$I$162*DEMANDA!I41</f>
        <v>0.03</v>
      </c>
      <c r="L585" s="42" t="n">
        <f aca="false">PROCESO!$I$162*DEMANDA!J41</f>
        <v>0.0375</v>
      </c>
      <c r="M585" s="42" t="n">
        <f aca="false">PROCESO!$I$162*DEMANDA!K41</f>
        <v>0.045</v>
      </c>
      <c r="N585" s="42" t="n">
        <f aca="false">PROCESO!$I$162*DEMANDA!L41</f>
        <v>0.0525</v>
      </c>
      <c r="O585" s="42" t="n">
        <f aca="false">PROCESO!$I$162*DEMANDA!M41</f>
        <v>0.06</v>
      </c>
      <c r="P585" s="42" t="n">
        <f aca="false">PROCESO!$I$162*DEMANDA!N41</f>
        <v>0.0675</v>
      </c>
      <c r="Q585" s="42" t="n">
        <f aca="false">PROCESO!$I$162*DEMANDA!O41</f>
        <v>0.075</v>
      </c>
      <c r="R585" s="24" t="s">
        <v>3755</v>
      </c>
    </row>
    <row r="586" customFormat="false" ht="15" hidden="false" customHeight="false" outlineLevel="1" collapsed="false">
      <c r="A586" s="24" t="n">
        <v>1</v>
      </c>
      <c r="B586" s="24" t="s">
        <v>1926</v>
      </c>
      <c r="C586" s="40" t="s">
        <v>3757</v>
      </c>
      <c r="D586" s="24" t="s">
        <v>1489</v>
      </c>
      <c r="E586" s="24" t="s">
        <v>318</v>
      </c>
      <c r="F586" s="41" t="n">
        <f aca="false">PROCESO!$I$163</f>
        <v>0.0075</v>
      </c>
      <c r="G586" s="24" t="s">
        <v>2281</v>
      </c>
      <c r="H586" s="42" t="n">
        <f aca="false">PROCESO!$I$163*DEMANDA!F31</f>
        <v>0.0512063794425</v>
      </c>
      <c r="I586" s="42" t="n">
        <f aca="false">PROCESO!$I$163*DEMANDA!G31</f>
        <v>0.353048340675</v>
      </c>
      <c r="J586" s="42" t="n">
        <f aca="false">PROCESO!$I$163*DEMANDA!H31</f>
        <v>0.666672571725</v>
      </c>
      <c r="K586" s="42" t="n">
        <f aca="false">PROCESO!$I$163*DEMANDA!I31</f>
        <v>1.19626868475</v>
      </c>
      <c r="L586" s="42" t="n">
        <f aca="false">PROCESO!$I$163*DEMANDA!J31</f>
        <v>1.64847151425</v>
      </c>
      <c r="M586" s="42" t="n">
        <f aca="false">PROCESO!$I$163*DEMANDA!K31</f>
        <v>2.18902389825</v>
      </c>
      <c r="N586" s="42" t="n">
        <f aca="false">PROCESO!$I$163*DEMANDA!L31</f>
        <v>2.766331269</v>
      </c>
      <c r="O586" s="42" t="n">
        <f aca="false">PROCESO!$I$163*DEMANDA!M31</f>
        <v>3.06306714825</v>
      </c>
      <c r="P586" s="42" t="n">
        <f aca="false">PROCESO!$I$163*DEMANDA!N31</f>
        <v>3.34336458225</v>
      </c>
      <c r="Q586" s="42" t="n">
        <f aca="false">PROCESO!$I$163*DEMANDA!O31</f>
        <v>3.6260940255</v>
      </c>
      <c r="R586" s="24" t="s">
        <v>3758</v>
      </c>
    </row>
    <row r="587" customFormat="false" ht="15" hidden="false" customHeight="false" outlineLevel="1" collapsed="false">
      <c r="A587" s="24" t="n">
        <v>1</v>
      </c>
      <c r="B587" s="24" t="s">
        <v>1926</v>
      </c>
      <c r="C587" s="40" t="s">
        <v>3759</v>
      </c>
      <c r="D587" s="24" t="s">
        <v>1489</v>
      </c>
      <c r="E587" s="24" t="s">
        <v>351</v>
      </c>
      <c r="F587" s="41" t="n">
        <f aca="false">PROCESO!$I$163</f>
        <v>0.0075</v>
      </c>
      <c r="G587" s="24" t="s">
        <v>2281</v>
      </c>
      <c r="H587" s="42" t="n">
        <f aca="false">PROCESO!$I$163*DEMANDA!F42</f>
        <v>0.0075</v>
      </c>
      <c r="I587" s="42" t="n">
        <f aca="false">PROCESO!$I$163*DEMANDA!G42</f>
        <v>0.0075</v>
      </c>
      <c r="J587" s="42" t="n">
        <f aca="false">PROCESO!$I$163*DEMANDA!H42</f>
        <v>0.0075</v>
      </c>
      <c r="K587" s="42" t="n">
        <f aca="false">PROCESO!$I$163*DEMANDA!I42</f>
        <v>0.015</v>
      </c>
      <c r="L587" s="42" t="n">
        <f aca="false">PROCESO!$I$163*DEMANDA!J42</f>
        <v>0.0225</v>
      </c>
      <c r="M587" s="42" t="n">
        <f aca="false">PROCESO!$I$163*DEMANDA!K42</f>
        <v>0.03</v>
      </c>
      <c r="N587" s="42" t="n">
        <f aca="false">PROCESO!$I$163*DEMANDA!L42</f>
        <v>0.03</v>
      </c>
      <c r="O587" s="42" t="n">
        <f aca="false">PROCESO!$I$163*DEMANDA!M42</f>
        <v>0.0375</v>
      </c>
      <c r="P587" s="42" t="n">
        <f aca="false">PROCESO!$I$163*DEMANDA!N42</f>
        <v>0.0375</v>
      </c>
      <c r="Q587" s="42" t="n">
        <f aca="false">PROCESO!$I$163*DEMANDA!O42</f>
        <v>0.045</v>
      </c>
      <c r="R587" s="24" t="s">
        <v>3758</v>
      </c>
    </row>
    <row r="588" customFormat="false" ht="15" hidden="false" customHeight="false" outlineLevel="1" collapsed="false">
      <c r="A588" s="24" t="n">
        <v>1</v>
      </c>
      <c r="B588" s="24" t="s">
        <v>1926</v>
      </c>
      <c r="C588" s="40" t="s">
        <v>3760</v>
      </c>
      <c r="D588" s="24" t="s">
        <v>1489</v>
      </c>
      <c r="E588" s="24" t="s">
        <v>321</v>
      </c>
      <c r="F588" s="41" t="n">
        <f aca="false">PROCESO!$I$164</f>
        <v>0.0075</v>
      </c>
      <c r="G588" s="24" t="s">
        <v>2281</v>
      </c>
      <c r="H588" s="42" t="n">
        <f aca="false">PROCESO!$I$164*DEMANDA!F32</f>
        <v>0.614476553325</v>
      </c>
      <c r="I588" s="42" t="n">
        <f aca="false">PROCESO!$I$164*DEMANDA!G32</f>
        <v>2.51549141475</v>
      </c>
      <c r="J588" s="42" t="n">
        <f aca="false">PROCESO!$I$164*DEMANDA!H32</f>
        <v>5.59948764075</v>
      </c>
      <c r="K588" s="42" t="n">
        <f aca="false">PROCESO!$I$164*DEMANDA!I32</f>
        <v>10.1917487775</v>
      </c>
      <c r="L588" s="42" t="n">
        <f aca="false">PROCESO!$I$164*DEMANDA!J32</f>
        <v>14.708441415</v>
      </c>
      <c r="M588" s="42" t="n">
        <f aca="false">PROCESO!$I$164*DEMANDA!K32</f>
        <v>19.48906059</v>
      </c>
      <c r="N588" s="42" t="n">
        <f aca="false">PROCESO!$I$164*DEMANDA!L32</f>
        <v>23.9794760775</v>
      </c>
      <c r="O588" s="42" t="n">
        <f aca="false">PROCESO!$I$164*DEMANDA!M32</f>
        <v>26.83904589</v>
      </c>
      <c r="P588" s="42" t="n">
        <f aca="false">PROCESO!$I$164*DEMANDA!N32</f>
        <v>29.0306099775</v>
      </c>
      <c r="Q588" s="42" t="n">
        <f aca="false">PROCESO!$I$164*DEMANDA!O32</f>
        <v>31.256697165</v>
      </c>
      <c r="R588" s="24" t="s">
        <v>3761</v>
      </c>
    </row>
    <row r="589" customFormat="false" ht="15" hidden="false" customHeight="false" outlineLevel="1" collapsed="false">
      <c r="A589" s="24" t="n">
        <v>1</v>
      </c>
      <c r="B589" s="24" t="s">
        <v>1926</v>
      </c>
      <c r="C589" s="40" t="s">
        <v>3762</v>
      </c>
      <c r="D589" s="24" t="s">
        <v>1489</v>
      </c>
      <c r="E589" s="24" t="s">
        <v>354</v>
      </c>
      <c r="F589" s="41" t="n">
        <f aca="false">PROCESO!$I$164</f>
        <v>0.0075</v>
      </c>
      <c r="G589" s="24" t="s">
        <v>2281</v>
      </c>
      <c r="H589" s="42" t="n">
        <f aca="false">PROCESO!$I$164*DEMANDA!F43</f>
        <v>0.0075</v>
      </c>
      <c r="I589" s="42" t="n">
        <f aca="false">PROCESO!$I$164*DEMANDA!G43</f>
        <v>0.03</v>
      </c>
      <c r="J589" s="42" t="n">
        <f aca="false">PROCESO!$I$164*DEMANDA!H43</f>
        <v>0.0675</v>
      </c>
      <c r="K589" s="42" t="n">
        <f aca="false">PROCESO!$I$164*DEMANDA!I43</f>
        <v>0.1125</v>
      </c>
      <c r="L589" s="42" t="n">
        <f aca="false">PROCESO!$I$164*DEMANDA!J43</f>
        <v>0.165</v>
      </c>
      <c r="M589" s="42" t="n">
        <f aca="false">PROCESO!$I$164*DEMANDA!K43</f>
        <v>0.2175</v>
      </c>
      <c r="N589" s="42" t="n">
        <f aca="false">PROCESO!$I$164*DEMANDA!L43</f>
        <v>0.2625</v>
      </c>
      <c r="O589" s="42" t="n">
        <f aca="false">PROCESO!$I$164*DEMANDA!M43</f>
        <v>0.2925</v>
      </c>
      <c r="P589" s="42" t="n">
        <f aca="false">PROCESO!$I$164*DEMANDA!N43</f>
        <v>0.315</v>
      </c>
      <c r="Q589" s="42" t="n">
        <f aca="false">PROCESO!$I$164*DEMANDA!O43</f>
        <v>0.3375</v>
      </c>
      <c r="R589" s="24" t="s">
        <v>3761</v>
      </c>
    </row>
    <row r="590" customFormat="false" ht="15" hidden="false" customHeight="false" outlineLevel="1" collapsed="false">
      <c r="A590" s="24" t="n">
        <v>1</v>
      </c>
      <c r="B590" s="24" t="s">
        <v>1926</v>
      </c>
      <c r="C590" s="40" t="s">
        <v>3763</v>
      </c>
      <c r="D590" s="24" t="s">
        <v>1489</v>
      </c>
      <c r="E590" s="24" t="s">
        <v>324</v>
      </c>
      <c r="F590" s="41" t="n">
        <f aca="false">PROCESO!$I$165</f>
        <v>0.0075</v>
      </c>
      <c r="G590" s="24" t="s">
        <v>2281</v>
      </c>
      <c r="H590" s="42" t="n">
        <f aca="false">PROCESO!$I$165*DEMANDA!F33</f>
        <v>3.37962104325</v>
      </c>
      <c r="I590" s="42" t="n">
        <f aca="false">PROCESO!$I$165*DEMANDA!G33</f>
        <v>12.728861175</v>
      </c>
      <c r="J590" s="42" t="n">
        <f aca="false">PROCESO!$I$165*DEMANDA!H33</f>
        <v>29.663976435</v>
      </c>
      <c r="K590" s="42" t="n">
        <f aca="false">PROCESO!$I$165*DEMANDA!I33</f>
        <v>56.709452475</v>
      </c>
      <c r="L590" s="42" t="n">
        <f aca="false">PROCESO!$I$165*DEMANDA!J33</f>
        <v>81.901086075</v>
      </c>
      <c r="M590" s="42" t="n">
        <f aca="false">PROCESO!$I$165*DEMANDA!K33</f>
        <v>108.86163915</v>
      </c>
      <c r="N590" s="42" t="n">
        <f aca="false">PROCESO!$I$165*DEMANDA!L33</f>
        <v>133.098744525</v>
      </c>
      <c r="O590" s="42" t="n">
        <f aca="false">PROCESO!$I$165*DEMANDA!M33</f>
        <v>147.12904095</v>
      </c>
      <c r="P590" s="42" t="n">
        <f aca="false">PROCESO!$I$165*DEMANDA!N33</f>
        <v>158.713546875</v>
      </c>
      <c r="Q590" s="42" t="n">
        <f aca="false">PROCESO!$I$165*DEMANDA!O33</f>
        <v>170.508762825</v>
      </c>
      <c r="R590" s="24" t="s">
        <v>3764</v>
      </c>
    </row>
    <row r="591" customFormat="false" ht="15" hidden="false" customHeight="false" outlineLevel="1" collapsed="false">
      <c r="A591" s="24" t="n">
        <v>1</v>
      </c>
      <c r="B591" s="24" t="s">
        <v>1926</v>
      </c>
      <c r="C591" s="40" t="s">
        <v>3765</v>
      </c>
      <c r="D591" s="24" t="s">
        <v>1489</v>
      </c>
      <c r="E591" s="24" t="s">
        <v>327</v>
      </c>
      <c r="F591" s="41" t="n">
        <f aca="false">PROCESO!$I$166</f>
        <v>0.0075</v>
      </c>
      <c r="G591" s="24" t="s">
        <v>2281</v>
      </c>
      <c r="H591" s="42" t="n">
        <f aca="false">PROCESO!$I$166*DEMANDA!F34</f>
        <v>0.93878362275</v>
      </c>
      <c r="I591" s="42" t="n">
        <f aca="false">PROCESO!$I$166*DEMANDA!G34</f>
        <v>4.827227781</v>
      </c>
      <c r="J591" s="42" t="n">
        <f aca="false">PROCESO!$I$166*DEMANDA!H34</f>
        <v>10.3172003925</v>
      </c>
      <c r="K591" s="42" t="n">
        <f aca="false">PROCESO!$I$166*DEMANDA!I34</f>
        <v>18.4521319875</v>
      </c>
      <c r="L591" s="42" t="n">
        <f aca="false">PROCESO!$I$166*DEMANDA!J34</f>
        <v>26.5894326225</v>
      </c>
      <c r="M591" s="42" t="n">
        <f aca="false">PROCESO!$I$166*DEMANDA!K34</f>
        <v>35.42596338</v>
      </c>
      <c r="N591" s="42" t="n">
        <f aca="false">PROCESO!$I$166*DEMANDA!L34</f>
        <v>43.904288835</v>
      </c>
      <c r="O591" s="42" t="n">
        <f aca="false">PROCESO!$I$166*DEMANDA!M34</f>
        <v>49.5634493175</v>
      </c>
      <c r="P591" s="42" t="n">
        <f aca="false">PROCESO!$I$166*DEMANDA!N34</f>
        <v>53.8928129775</v>
      </c>
      <c r="Q591" s="42" t="n">
        <f aca="false">PROCESO!$I$166*DEMANDA!O34</f>
        <v>58.2718284525</v>
      </c>
      <c r="R591" s="24" t="s">
        <v>3766</v>
      </c>
    </row>
    <row r="592" customFormat="false" ht="15" hidden="false" customHeight="false" outlineLevel="1" collapsed="false">
      <c r="A592" s="24" t="n">
        <v>1</v>
      </c>
      <c r="B592" s="24" t="s">
        <v>1926</v>
      </c>
      <c r="C592" s="40" t="s">
        <v>3767</v>
      </c>
      <c r="D592" s="24" t="s">
        <v>1489</v>
      </c>
      <c r="E592" s="24" t="s">
        <v>357</v>
      </c>
      <c r="F592" s="41" t="n">
        <f aca="false">PROCESO!$I$166</f>
        <v>0.0075</v>
      </c>
      <c r="G592" s="24" t="s">
        <v>2281</v>
      </c>
      <c r="H592" s="42" t="n">
        <f aca="false">PROCESO!$I$166*DEMANDA!F44</f>
        <v>0.0525</v>
      </c>
      <c r="I592" s="42" t="n">
        <f aca="false">PROCESO!$I$166*DEMANDA!G44</f>
        <v>0.195</v>
      </c>
      <c r="J592" s="42" t="n">
        <f aca="false">PROCESO!$I$166*DEMANDA!H44</f>
        <v>0.435</v>
      </c>
      <c r="K592" s="42" t="n">
        <f aca="false">PROCESO!$I$166*DEMANDA!I44</f>
        <v>0.8175</v>
      </c>
      <c r="L592" s="42" t="n">
        <f aca="false">PROCESO!$I$166*DEMANDA!J44</f>
        <v>1.17</v>
      </c>
      <c r="M592" s="42" t="n">
        <f aca="false">PROCESO!$I$166*DEMANDA!K44</f>
        <v>1.56</v>
      </c>
      <c r="N592" s="42" t="n">
        <f aca="false">PROCESO!$I$166*DEMANDA!L44</f>
        <v>1.9125</v>
      </c>
      <c r="O592" s="42" t="n">
        <f aca="false">PROCESO!$I$166*DEMANDA!M44</f>
        <v>2.1225</v>
      </c>
      <c r="P592" s="42" t="n">
        <f aca="false">PROCESO!$I$166*DEMANDA!N44</f>
        <v>2.295</v>
      </c>
      <c r="Q592" s="42" t="n">
        <f aca="false">PROCESO!$I$166*DEMANDA!O44</f>
        <v>2.475</v>
      </c>
      <c r="R592" s="24" t="s">
        <v>3766</v>
      </c>
    </row>
    <row r="593" customFormat="false" ht="15" hidden="false" customHeight="false" outlineLevel="1" collapsed="false">
      <c r="A593" s="24" t="n">
        <v>1</v>
      </c>
      <c r="B593" s="24" t="s">
        <v>1926</v>
      </c>
      <c r="C593" s="40" t="s">
        <v>3768</v>
      </c>
      <c r="D593" s="24" t="s">
        <v>1489</v>
      </c>
      <c r="E593" s="24" t="s">
        <v>330</v>
      </c>
      <c r="F593" s="41" t="n">
        <f aca="false">PROCESO!$I$167</f>
        <v>0.0075</v>
      </c>
      <c r="G593" s="24" t="s">
        <v>2281</v>
      </c>
      <c r="H593" s="42" t="n">
        <f aca="false">PROCESO!$I$167*DEMANDA!F35</f>
        <v>0.136550345175</v>
      </c>
      <c r="I593" s="42" t="n">
        <f aca="false">PROCESO!$I$167*DEMANDA!G35</f>
        <v>0.84056341425</v>
      </c>
      <c r="J593" s="42" t="n">
        <f aca="false">PROCESO!$I$167*DEMANDA!H35</f>
        <v>1.731405309</v>
      </c>
      <c r="K593" s="42" t="n">
        <f aca="false">PROCESO!$I$167*DEMANDA!I35</f>
        <v>3.00536500875</v>
      </c>
      <c r="L593" s="42" t="n">
        <f aca="false">PROCESO!$I$167*DEMANDA!J35</f>
        <v>4.30880842125</v>
      </c>
      <c r="M593" s="42" t="n">
        <f aca="false">PROCESO!$I$167*DEMANDA!K35</f>
        <v>5.657592171</v>
      </c>
      <c r="N593" s="42" t="n">
        <f aca="false">PROCESO!$I$167*DEMANDA!L35</f>
        <v>7.086366303</v>
      </c>
      <c r="O593" s="42" t="n">
        <f aca="false">PROCESO!$I$167*DEMANDA!M35</f>
        <v>8.0417600325</v>
      </c>
      <c r="P593" s="42" t="n">
        <f aca="false">PROCESO!$I$167*DEMANDA!N35</f>
        <v>8.7877181475</v>
      </c>
      <c r="Q593" s="42" t="n">
        <f aca="false">PROCESO!$I$167*DEMANDA!O35</f>
        <v>9.5395582425</v>
      </c>
      <c r="R593" s="24" t="s">
        <v>3769</v>
      </c>
    </row>
    <row r="594" customFormat="false" ht="15" hidden="false" customHeight="false" outlineLevel="1" collapsed="false">
      <c r="A594" s="24" t="n">
        <v>1</v>
      </c>
      <c r="B594" s="24" t="s">
        <v>1926</v>
      </c>
      <c r="C594" s="40" t="s">
        <v>3770</v>
      </c>
      <c r="D594" s="24" t="s">
        <v>1489</v>
      </c>
      <c r="E594" s="24" t="s">
        <v>360</v>
      </c>
      <c r="F594" s="41" t="n">
        <f aca="false">PROCESO!$I$167</f>
        <v>0.0075</v>
      </c>
      <c r="G594" s="24" t="s">
        <v>2281</v>
      </c>
      <c r="H594" s="42" t="n">
        <f aca="false">PROCESO!$I$167*DEMANDA!F45</f>
        <v>0.0075</v>
      </c>
      <c r="I594" s="42" t="n">
        <f aca="false">PROCESO!$I$167*DEMANDA!G45</f>
        <v>0.015</v>
      </c>
      <c r="J594" s="42" t="n">
        <f aca="false">PROCESO!$I$167*DEMANDA!H45</f>
        <v>0.0225</v>
      </c>
      <c r="K594" s="42" t="n">
        <f aca="false">PROCESO!$I$167*DEMANDA!I45</f>
        <v>0.0375</v>
      </c>
      <c r="L594" s="42" t="n">
        <f aca="false">PROCESO!$I$167*DEMANDA!J45</f>
        <v>0.0525</v>
      </c>
      <c r="M594" s="42" t="n">
        <f aca="false">PROCESO!$I$167*DEMANDA!K45</f>
        <v>0.0675</v>
      </c>
      <c r="N594" s="42" t="n">
        <f aca="false">PROCESO!$I$167*DEMANDA!L45</f>
        <v>0.0825</v>
      </c>
      <c r="O594" s="42" t="n">
        <f aca="false">PROCESO!$I$167*DEMANDA!M45</f>
        <v>0.09</v>
      </c>
      <c r="P594" s="42" t="n">
        <f aca="false">PROCESO!$I$167*DEMANDA!N45</f>
        <v>0.0975</v>
      </c>
      <c r="Q594" s="42" t="n">
        <f aca="false">PROCESO!$I$167*DEMANDA!O45</f>
        <v>0.105</v>
      </c>
      <c r="R594" s="24" t="s">
        <v>3769</v>
      </c>
    </row>
    <row r="595" customFormat="false" ht="15" hidden="false" customHeight="false" outlineLevel="1" collapsed="false">
      <c r="A595" s="24" t="n">
        <v>1</v>
      </c>
      <c r="B595" s="24" t="s">
        <v>1926</v>
      </c>
      <c r="C595" s="40" t="s">
        <v>3771</v>
      </c>
      <c r="D595" s="24" t="s">
        <v>1489</v>
      </c>
      <c r="E595" s="24" t="s">
        <v>333</v>
      </c>
      <c r="F595" s="41" t="n">
        <f aca="false">PROCESO!$I$168</f>
        <v>0.0075</v>
      </c>
      <c r="G595" s="24" t="s">
        <v>2281</v>
      </c>
      <c r="H595" s="42" t="n">
        <f aca="false">PROCESO!$I$168*DEMANDA!F36</f>
        <v>0.0512063794425</v>
      </c>
      <c r="I595" s="42" t="n">
        <f aca="false">PROCESO!$I$168*DEMANDA!G36</f>
        <v>0.353048340675</v>
      </c>
      <c r="J595" s="42" t="n">
        <f aca="false">PROCESO!$I$168*DEMANDA!H36</f>
        <v>0.666672571725</v>
      </c>
      <c r="K595" s="42" t="n">
        <f aca="false">PROCESO!$I$168*DEMANDA!I36</f>
        <v>1.112093868</v>
      </c>
      <c r="L595" s="42" t="n">
        <f aca="false">PROCESO!$I$168*DEMANDA!J36</f>
        <v>1.539195399</v>
      </c>
      <c r="M595" s="42" t="n">
        <f aca="false">PROCESO!$I$168*DEMANDA!K36</f>
        <v>1.9182385875</v>
      </c>
      <c r="N595" s="42" t="n">
        <f aca="false">PROCESO!$I$168*DEMANDA!L36</f>
        <v>2.4631342635</v>
      </c>
      <c r="O595" s="42" t="n">
        <f aca="false">PROCESO!$I$168*DEMANDA!M36</f>
        <v>2.75181053475</v>
      </c>
      <c r="P595" s="42" t="n">
        <f aca="false">PROCESO!$I$168*DEMANDA!N36</f>
        <v>3.01261280325</v>
      </c>
      <c r="Q595" s="42" t="n">
        <f aca="false">PROCESO!$I$168*DEMANDA!O36</f>
        <v>3.27515086725</v>
      </c>
      <c r="R595" s="24" t="s">
        <v>3772</v>
      </c>
    </row>
    <row r="596" customFormat="false" ht="15" hidden="false" customHeight="false" outlineLevel="1" collapsed="false">
      <c r="A596" s="24" t="n">
        <v>1</v>
      </c>
      <c r="B596" s="24" t="s">
        <v>1926</v>
      </c>
      <c r="C596" s="40" t="s">
        <v>3773</v>
      </c>
      <c r="D596" s="24" t="s">
        <v>1489</v>
      </c>
      <c r="E596" s="24" t="s">
        <v>363</v>
      </c>
      <c r="F596" s="41" t="n">
        <f aca="false">PROCESO!$I$168</f>
        <v>0.0075</v>
      </c>
      <c r="G596" s="24" t="s">
        <v>2281</v>
      </c>
      <c r="H596" s="42" t="n">
        <f aca="false">PROCESO!$I$168*DEMANDA!F46</f>
        <v>0.0075</v>
      </c>
      <c r="I596" s="42" t="n">
        <f aca="false">PROCESO!$I$168*DEMANDA!G46</f>
        <v>0.0075</v>
      </c>
      <c r="J596" s="42" t="n">
        <f aca="false">PROCESO!$I$168*DEMANDA!H46</f>
        <v>0.0075</v>
      </c>
      <c r="K596" s="42" t="n">
        <f aca="false">PROCESO!$I$168*DEMANDA!I46</f>
        <v>0.015</v>
      </c>
      <c r="L596" s="42" t="n">
        <f aca="false">PROCESO!$I$168*DEMANDA!J46</f>
        <v>0.0225</v>
      </c>
      <c r="M596" s="42" t="n">
        <f aca="false">PROCESO!$I$168*DEMANDA!K46</f>
        <v>0.0225</v>
      </c>
      <c r="N596" s="42" t="n">
        <f aca="false">PROCESO!$I$168*DEMANDA!L46</f>
        <v>0.03</v>
      </c>
      <c r="O596" s="42" t="n">
        <f aca="false">PROCESO!$I$168*DEMANDA!M46</f>
        <v>0.03</v>
      </c>
      <c r="P596" s="42" t="n">
        <f aca="false">PROCESO!$I$168*DEMANDA!N46</f>
        <v>0.0375</v>
      </c>
      <c r="Q596" s="42" t="n">
        <f aca="false">PROCESO!$I$168*DEMANDA!O46</f>
        <v>0.0375</v>
      </c>
      <c r="R596" s="24" t="s">
        <v>3772</v>
      </c>
    </row>
    <row r="597" customFormat="false" ht="15" hidden="false" customHeight="false" outlineLevel="0" collapsed="false">
      <c r="A597" s="38" t="n">
        <v>0</v>
      </c>
      <c r="B597" s="38" t="s">
        <v>1901</v>
      </c>
      <c r="C597" s="38" t="s">
        <v>2255</v>
      </c>
      <c r="D597" s="38" t="s">
        <v>82</v>
      </c>
      <c r="E597" s="38"/>
      <c r="F597" s="38"/>
      <c r="G597" s="38"/>
      <c r="H597" s="39" t="n">
        <f aca="false">SUM(H598:H598)</f>
        <v>1</v>
      </c>
      <c r="I597" s="39" t="n">
        <f aca="false">SUM(I598:I598)</f>
        <v>2.05</v>
      </c>
      <c r="J597" s="39" t="n">
        <f aca="false">SUM(J598:J598)</f>
        <v>4.15</v>
      </c>
      <c r="K597" s="39" t="n">
        <f aca="false">SUM(K598:K598)</f>
        <v>5.35</v>
      </c>
      <c r="L597" s="39" t="n">
        <f aca="false">SUM(L598:L598)</f>
        <v>5.6</v>
      </c>
      <c r="M597" s="39" t="n">
        <f aca="false">SUM(M598:M598)</f>
        <v>6.85</v>
      </c>
      <c r="N597" s="39" t="n">
        <f aca="false">SUM(N598:N598)</f>
        <v>6.15</v>
      </c>
      <c r="O597" s="39" t="n">
        <f aca="false">SUM(O598:O598)</f>
        <v>4.4</v>
      </c>
      <c r="P597" s="39" t="n">
        <f aca="false">SUM(P598:P598)</f>
        <v>4.55</v>
      </c>
      <c r="Q597" s="39" t="n">
        <f aca="false">SUM(Q598:Q598)</f>
        <v>3.7</v>
      </c>
      <c r="R597" s="38"/>
    </row>
    <row r="598" customFormat="false" ht="15" hidden="false" customHeight="false" outlineLevel="1" collapsed="false">
      <c r="A598" s="24" t="n">
        <v>1</v>
      </c>
      <c r="B598" s="24" t="s">
        <v>1901</v>
      </c>
      <c r="C598" s="40" t="s">
        <v>3774</v>
      </c>
      <c r="D598" s="24" t="s">
        <v>82</v>
      </c>
      <c r="E598" s="24" t="s">
        <v>402</v>
      </c>
      <c r="F598" s="41" t="n">
        <f aca="false">PROCESO!$I$95</f>
        <v>1</v>
      </c>
      <c r="G598" s="24" t="s">
        <v>2281</v>
      </c>
      <c r="H598" s="42" t="n">
        <f aca="false">PROCESO!$I$95*DEMANDA!F59</f>
        <v>1</v>
      </c>
      <c r="I598" s="42" t="n">
        <f aca="false">PROCESO!$I$95*DEMANDA!G59</f>
        <v>2.05</v>
      </c>
      <c r="J598" s="42" t="n">
        <f aca="false">PROCESO!$I$95*DEMANDA!H59</f>
        <v>4.15</v>
      </c>
      <c r="K598" s="42" t="n">
        <f aca="false">PROCESO!$I$95*DEMANDA!I59</f>
        <v>5.35</v>
      </c>
      <c r="L598" s="42" t="n">
        <f aca="false">PROCESO!$I$95*DEMANDA!J59</f>
        <v>5.6</v>
      </c>
      <c r="M598" s="42" t="n">
        <f aca="false">PROCESO!$I$95*DEMANDA!K59</f>
        <v>6.85</v>
      </c>
      <c r="N598" s="42" t="n">
        <f aca="false">PROCESO!$I$95*DEMANDA!L59</f>
        <v>6.15</v>
      </c>
      <c r="O598" s="42" t="n">
        <f aca="false">PROCESO!$I$95*DEMANDA!M59</f>
        <v>4.4</v>
      </c>
      <c r="P598" s="42" t="n">
        <f aca="false">PROCESO!$I$95*DEMANDA!N59</f>
        <v>4.55</v>
      </c>
      <c r="Q598" s="42" t="n">
        <f aca="false">PROCESO!$I$95*DEMANDA!O59</f>
        <v>3.7</v>
      </c>
      <c r="R598" s="24" t="s">
        <v>2912</v>
      </c>
    </row>
    <row r="599" customFormat="false" ht="15" hidden="false" customHeight="false" outlineLevel="0" collapsed="false">
      <c r="A599" s="38" t="n">
        <v>0</v>
      </c>
      <c r="B599" s="38" t="s">
        <v>1924</v>
      </c>
      <c r="C599" s="38" t="s">
        <v>2257</v>
      </c>
      <c r="D599" s="38" t="s">
        <v>82</v>
      </c>
      <c r="E599" s="38"/>
      <c r="F599" s="38"/>
      <c r="G599" s="38"/>
      <c r="H599" s="39" t="n">
        <f aca="false">SUM(H600:H600)</f>
        <v>1</v>
      </c>
      <c r="I599" s="39" t="n">
        <f aca="false">SUM(I600:I600)</f>
        <v>0.05</v>
      </c>
      <c r="J599" s="39" t="n">
        <f aca="false">SUM(J600:J600)</f>
        <v>1.05</v>
      </c>
      <c r="K599" s="39" t="n">
        <f aca="false">SUM(K600:K600)</f>
        <v>1.1</v>
      </c>
      <c r="L599" s="39" t="n">
        <f aca="false">SUM(L600:L600)</f>
        <v>2.15</v>
      </c>
      <c r="M599" s="39" t="n">
        <f aca="false">SUM(M600:M600)</f>
        <v>1.25</v>
      </c>
      <c r="N599" s="39" t="n">
        <f aca="false">SUM(N600:N600)</f>
        <v>1.3</v>
      </c>
      <c r="O599" s="39" t="n">
        <f aca="false">SUM(O600:O600)</f>
        <v>1.35</v>
      </c>
      <c r="P599" s="39" t="n">
        <f aca="false">SUM(P600:P600)</f>
        <v>1.4</v>
      </c>
      <c r="Q599" s="39" t="n">
        <f aca="false">SUM(Q600:Q600)</f>
        <v>0.45</v>
      </c>
      <c r="R599" s="38"/>
    </row>
    <row r="600" customFormat="false" ht="15" hidden="false" customHeight="false" outlineLevel="1" collapsed="false">
      <c r="A600" s="24" t="n">
        <v>1</v>
      </c>
      <c r="B600" s="24" t="s">
        <v>1924</v>
      </c>
      <c r="C600" s="40" t="s">
        <v>3775</v>
      </c>
      <c r="D600" s="24" t="s">
        <v>82</v>
      </c>
      <c r="E600" s="24" t="s">
        <v>405</v>
      </c>
      <c r="F600" s="41" t="n">
        <f aca="false">PROCESO!$I$145</f>
        <v>1</v>
      </c>
      <c r="G600" s="24" t="s">
        <v>2281</v>
      </c>
      <c r="H600" s="42" t="n">
        <f aca="false">PROCESO!$I$145*DEMANDA!F60</f>
        <v>1</v>
      </c>
      <c r="I600" s="42" t="n">
        <f aca="false">PROCESO!$I$145*DEMANDA!G60</f>
        <v>0.05</v>
      </c>
      <c r="J600" s="42" t="n">
        <f aca="false">PROCESO!$I$145*DEMANDA!H60</f>
        <v>1.05</v>
      </c>
      <c r="K600" s="42" t="n">
        <f aca="false">PROCESO!$I$145*DEMANDA!I60</f>
        <v>1.1</v>
      </c>
      <c r="L600" s="42" t="n">
        <f aca="false">PROCESO!$I$145*DEMANDA!J60</f>
        <v>2.15</v>
      </c>
      <c r="M600" s="42" t="n">
        <f aca="false">PROCESO!$I$145*DEMANDA!K60</f>
        <v>1.25</v>
      </c>
      <c r="N600" s="42" t="n">
        <f aca="false">PROCESO!$I$145*DEMANDA!L60</f>
        <v>1.3</v>
      </c>
      <c r="O600" s="42" t="n">
        <f aca="false">PROCESO!$I$145*DEMANDA!M60</f>
        <v>1.35</v>
      </c>
      <c r="P600" s="42" t="n">
        <f aca="false">PROCESO!$I$145*DEMANDA!N60</f>
        <v>1.4</v>
      </c>
      <c r="Q600" s="42" t="n">
        <f aca="false">PROCESO!$I$145*DEMANDA!O60</f>
        <v>0.45</v>
      </c>
      <c r="R600" s="24" t="s">
        <v>2918</v>
      </c>
    </row>
    <row r="601" customFormat="false" ht="15" hidden="false" customHeight="false" outlineLevel="0" collapsed="false">
      <c r="A601" s="38" t="n">
        <v>0</v>
      </c>
      <c r="B601" s="38" t="s">
        <v>1329</v>
      </c>
      <c r="C601" s="38" t="s">
        <v>2258</v>
      </c>
      <c r="D601" s="38" t="s">
        <v>82</v>
      </c>
      <c r="E601" s="38"/>
      <c r="F601" s="38"/>
      <c r="G601" s="38"/>
      <c r="H601" s="39" t="n">
        <f aca="false">SUM(H602:H602)</f>
        <v>2</v>
      </c>
      <c r="I601" s="39" t="n">
        <f aca="false">SUM(I602:I602)</f>
        <v>5.1</v>
      </c>
      <c r="J601" s="39" t="n">
        <f aca="false">SUM(J602:J602)</f>
        <v>9.35</v>
      </c>
      <c r="K601" s="39" t="n">
        <f aca="false">SUM(K602:K602)</f>
        <v>14.8</v>
      </c>
      <c r="L601" s="39" t="n">
        <f aca="false">SUM(L602:L602)</f>
        <v>15.5</v>
      </c>
      <c r="M601" s="39" t="n">
        <f aca="false">SUM(M602:M602)</f>
        <v>16.2</v>
      </c>
      <c r="N601" s="39" t="n">
        <f aca="false">SUM(N602:N602)</f>
        <v>15.9</v>
      </c>
      <c r="O601" s="39" t="n">
        <f aca="false">SUM(O602:O602)</f>
        <v>11.55</v>
      </c>
      <c r="P601" s="39" t="n">
        <f aca="false">SUM(P602:P602)</f>
        <v>9.95</v>
      </c>
      <c r="Q601" s="39" t="n">
        <f aca="false">SUM(Q602:Q602)</f>
        <v>11.25</v>
      </c>
      <c r="R601" s="38"/>
    </row>
    <row r="602" customFormat="false" ht="15" hidden="false" customHeight="false" outlineLevel="1" collapsed="false">
      <c r="A602" s="24" t="n">
        <v>1</v>
      </c>
      <c r="B602" s="24" t="s">
        <v>1329</v>
      </c>
      <c r="C602" s="40" t="s">
        <v>3776</v>
      </c>
      <c r="D602" s="24" t="s">
        <v>82</v>
      </c>
      <c r="E602" s="24" t="s">
        <v>378</v>
      </c>
      <c r="F602" s="41" t="n">
        <f aca="false">INDEX((BOM_COEF!R619~BOM_COEF!S619~BOM_COEF!T619~BOM_COEF!U619~BOM_COEF!V619~BOM_COEF!W619~BOM_COEF!X619~BOM_COEF!Y619~BOM_COEF!Z619~BOM_COEF!AA619),1,1,INDEX(P_VAL,MATCH("AÑO_DIS",P_ID,0))-2025)</f>
        <v>1</v>
      </c>
      <c r="G602" s="24" t="s">
        <v>2281</v>
      </c>
      <c r="H602" s="42" t="n">
        <f aca="false">BOM_COEF!R619*DEMANDA!F51</f>
        <v>2</v>
      </c>
      <c r="I602" s="42" t="n">
        <f aca="false">BOM_COEF!S619*DEMANDA!G51</f>
        <v>5.1</v>
      </c>
      <c r="J602" s="42" t="n">
        <f aca="false">BOM_COEF!T619*DEMANDA!H51</f>
        <v>9.35</v>
      </c>
      <c r="K602" s="42" t="n">
        <f aca="false">BOM_COEF!U619*DEMANDA!I51</f>
        <v>14.8</v>
      </c>
      <c r="L602" s="42" t="n">
        <f aca="false">BOM_COEF!V619*DEMANDA!J51</f>
        <v>15.5</v>
      </c>
      <c r="M602" s="42" t="n">
        <f aca="false">BOM_COEF!W619*DEMANDA!K51</f>
        <v>16.2</v>
      </c>
      <c r="N602" s="42" t="n">
        <f aca="false">BOM_COEF!X619*DEMANDA!L51</f>
        <v>15.9</v>
      </c>
      <c r="O602" s="42" t="n">
        <f aca="false">BOM_COEF!Y619*DEMANDA!M51</f>
        <v>11.55</v>
      </c>
      <c r="P602" s="42" t="n">
        <f aca="false">BOM_COEF!Z619*DEMANDA!N51</f>
        <v>9.95</v>
      </c>
      <c r="Q602" s="42" t="n">
        <f aca="false">BOM_COEF!AA619*DEMANDA!O51</f>
        <v>11.25</v>
      </c>
      <c r="R602" s="24" t="s">
        <v>3777</v>
      </c>
    </row>
    <row r="603" customFormat="false" ht="15" hidden="false" customHeight="false" outlineLevel="0" collapsed="false">
      <c r="A603" s="38" t="n">
        <v>0</v>
      </c>
      <c r="B603" s="38" t="s">
        <v>1333</v>
      </c>
      <c r="C603" s="38" t="s">
        <v>2264</v>
      </c>
      <c r="D603" s="38" t="s">
        <v>82</v>
      </c>
      <c r="E603" s="38"/>
      <c r="F603" s="38"/>
      <c r="G603" s="38"/>
      <c r="H603" s="39" t="n">
        <f aca="false">SUM(H604:H604)</f>
        <v>1</v>
      </c>
      <c r="I603" s="39" t="n">
        <f aca="false">SUM(I604:I604)</f>
        <v>1.05</v>
      </c>
      <c r="J603" s="39" t="n">
        <f aca="false">SUM(J604:J604)</f>
        <v>2.1</v>
      </c>
      <c r="K603" s="39" t="n">
        <f aca="false">SUM(K604:K604)</f>
        <v>2.2</v>
      </c>
      <c r="L603" s="39" t="n">
        <f aca="false">SUM(L604:L604)</f>
        <v>3.3</v>
      </c>
      <c r="M603" s="39" t="n">
        <f aca="false">SUM(M604:M604)</f>
        <v>2.45</v>
      </c>
      <c r="N603" s="39" t="n">
        <f aca="false">SUM(N604:N604)</f>
        <v>2.55</v>
      </c>
      <c r="O603" s="39" t="n">
        <f aca="false">SUM(O604:O604)</f>
        <v>2.65</v>
      </c>
      <c r="P603" s="39" t="n">
        <f aca="false">SUM(P604:P604)</f>
        <v>1.75</v>
      </c>
      <c r="Q603" s="39" t="n">
        <f aca="false">SUM(Q604:Q604)</f>
        <v>2.8</v>
      </c>
      <c r="R603" s="38"/>
    </row>
    <row r="604" customFormat="false" ht="15" hidden="false" customHeight="false" outlineLevel="1" collapsed="false">
      <c r="A604" s="24" t="n">
        <v>1</v>
      </c>
      <c r="B604" s="24" t="s">
        <v>1333</v>
      </c>
      <c r="C604" s="40" t="s">
        <v>3778</v>
      </c>
      <c r="D604" s="24" t="s">
        <v>82</v>
      </c>
      <c r="E604" s="24" t="s">
        <v>381</v>
      </c>
      <c r="F604" s="41" t="n">
        <f aca="false">INDEX((BOM_COEF!R624~BOM_COEF!S624~BOM_COEF!T624~BOM_COEF!U624~BOM_COEF!V624~BOM_COEF!W624~BOM_COEF!X624~BOM_COEF!Y624~BOM_COEF!Z624~BOM_COEF!AA624),1,1,INDEX(P_VAL,MATCH("AÑO_DIS",P_ID,0))-2025)</f>
        <v>1</v>
      </c>
      <c r="G604" s="24" t="s">
        <v>2281</v>
      </c>
      <c r="H604" s="42" t="n">
        <f aca="false">BOM_COEF!R624*DEMANDA!F52</f>
        <v>1</v>
      </c>
      <c r="I604" s="42" t="n">
        <f aca="false">BOM_COEF!S624*DEMANDA!G52</f>
        <v>1.05</v>
      </c>
      <c r="J604" s="42" t="n">
        <f aca="false">BOM_COEF!T624*DEMANDA!H52</f>
        <v>2.1</v>
      </c>
      <c r="K604" s="42" t="n">
        <f aca="false">BOM_COEF!U624*DEMANDA!I52</f>
        <v>2.2</v>
      </c>
      <c r="L604" s="42" t="n">
        <f aca="false">BOM_COEF!V624*DEMANDA!J52</f>
        <v>3.3</v>
      </c>
      <c r="M604" s="42" t="n">
        <f aca="false">BOM_COEF!W624*DEMANDA!K52</f>
        <v>2.45</v>
      </c>
      <c r="N604" s="42" t="n">
        <f aca="false">BOM_COEF!X624*DEMANDA!L52</f>
        <v>2.55</v>
      </c>
      <c r="O604" s="42" t="n">
        <f aca="false">BOM_COEF!Y624*DEMANDA!M52</f>
        <v>2.65</v>
      </c>
      <c r="P604" s="42" t="n">
        <f aca="false">BOM_COEF!Z624*DEMANDA!N52</f>
        <v>1.75</v>
      </c>
      <c r="Q604" s="42" t="n">
        <f aca="false">BOM_COEF!AA624*DEMANDA!O52</f>
        <v>2.8</v>
      </c>
      <c r="R604" s="24" t="s">
        <v>3779</v>
      </c>
    </row>
    <row r="605" customFormat="false" ht="15" hidden="false" customHeight="false" outlineLevel="0" collapsed="false">
      <c r="A605" s="38" t="n">
        <v>0</v>
      </c>
      <c r="B605" s="38" t="s">
        <v>1334</v>
      </c>
      <c r="C605" s="38" t="s">
        <v>2265</v>
      </c>
      <c r="D605" s="38" t="s">
        <v>82</v>
      </c>
      <c r="E605" s="38"/>
      <c r="F605" s="38"/>
      <c r="G605" s="38"/>
      <c r="H605" s="39" t="n">
        <f aca="false">SUM(H606:H606)</f>
        <v>1</v>
      </c>
      <c r="I605" s="39" t="n">
        <f aca="false">SUM(I606:I606)</f>
        <v>0.05</v>
      </c>
      <c r="J605" s="39" t="n">
        <f aca="false">SUM(J606:J606)</f>
        <v>1.05</v>
      </c>
      <c r="K605" s="39" t="n">
        <f aca="false">SUM(K606:K606)</f>
        <v>2.1</v>
      </c>
      <c r="L605" s="39" t="n">
        <f aca="false">SUM(L606:L606)</f>
        <v>1.2</v>
      </c>
      <c r="M605" s="39" t="n">
        <f aca="false">SUM(M606:M606)</f>
        <v>1.25</v>
      </c>
      <c r="N605" s="39" t="n">
        <f aca="false">SUM(N606:N606)</f>
        <v>1.3</v>
      </c>
      <c r="O605" s="39" t="n">
        <f aca="false">SUM(O606:O606)</f>
        <v>1.35</v>
      </c>
      <c r="P605" s="39" t="n">
        <f aca="false">SUM(P606:P606)</f>
        <v>1.4</v>
      </c>
      <c r="Q605" s="39" t="n">
        <f aca="false">SUM(Q606:Q606)</f>
        <v>1.45</v>
      </c>
      <c r="R605" s="38"/>
    </row>
    <row r="606" customFormat="false" ht="15" hidden="false" customHeight="false" outlineLevel="1" collapsed="false">
      <c r="A606" s="24" t="n">
        <v>1</v>
      </c>
      <c r="B606" s="24" t="s">
        <v>1334</v>
      </c>
      <c r="C606" s="40" t="s">
        <v>3780</v>
      </c>
      <c r="D606" s="24" t="s">
        <v>82</v>
      </c>
      <c r="E606" s="24" t="s">
        <v>384</v>
      </c>
      <c r="F606" s="41" t="n">
        <f aca="false">INDEX((BOM_COEF!R629~BOM_COEF!S629~BOM_COEF!T629~BOM_COEF!U629~BOM_COEF!V629~BOM_COEF!W629~BOM_COEF!X629~BOM_COEF!Y629~BOM_COEF!Z629~BOM_COEF!AA629),1,1,INDEX(P_VAL,MATCH("AÑO_DIS",P_ID,0))-2025)</f>
        <v>1</v>
      </c>
      <c r="G606" s="24" t="s">
        <v>2281</v>
      </c>
      <c r="H606" s="42" t="n">
        <f aca="false">BOM_COEF!R629*DEMANDA!F53</f>
        <v>1</v>
      </c>
      <c r="I606" s="42" t="n">
        <f aca="false">BOM_COEF!S629*DEMANDA!G53</f>
        <v>0.05</v>
      </c>
      <c r="J606" s="42" t="n">
        <f aca="false">BOM_COEF!T629*DEMANDA!H53</f>
        <v>1.05</v>
      </c>
      <c r="K606" s="42" t="n">
        <f aca="false">BOM_COEF!U629*DEMANDA!I53</f>
        <v>2.1</v>
      </c>
      <c r="L606" s="42" t="n">
        <f aca="false">BOM_COEF!V629*DEMANDA!J53</f>
        <v>1.2</v>
      </c>
      <c r="M606" s="42" t="n">
        <f aca="false">BOM_COEF!W629*DEMANDA!K53</f>
        <v>1.25</v>
      </c>
      <c r="N606" s="42" t="n">
        <f aca="false">BOM_COEF!X629*DEMANDA!L53</f>
        <v>1.3</v>
      </c>
      <c r="O606" s="42" t="n">
        <f aca="false">BOM_COEF!Y629*DEMANDA!M53</f>
        <v>1.35</v>
      </c>
      <c r="P606" s="42" t="n">
        <f aca="false">BOM_COEF!Z629*DEMANDA!N53</f>
        <v>1.4</v>
      </c>
      <c r="Q606" s="42" t="n">
        <f aca="false">BOM_COEF!AA629*DEMANDA!O53</f>
        <v>1.45</v>
      </c>
      <c r="R606" s="24" t="s">
        <v>3781</v>
      </c>
    </row>
    <row r="607" customFormat="false" ht="15" hidden="false" customHeight="false" outlineLevel="0" collapsed="false">
      <c r="A607" s="38" t="n">
        <v>0</v>
      </c>
      <c r="B607" s="38" t="s">
        <v>1335</v>
      </c>
      <c r="C607" s="38" t="s">
        <v>2266</v>
      </c>
      <c r="D607" s="38" t="s">
        <v>82</v>
      </c>
      <c r="E607" s="38"/>
      <c r="F607" s="38"/>
      <c r="G607" s="38"/>
      <c r="H607" s="39" t="n">
        <f aca="false">SUM(H608:H608)</f>
        <v>1</v>
      </c>
      <c r="I607" s="39" t="n">
        <f aca="false">SUM(I608:I608)</f>
        <v>0.05</v>
      </c>
      <c r="J607" s="39" t="n">
        <f aca="false">SUM(J608:J608)</f>
        <v>0.05</v>
      </c>
      <c r="K607" s="39" t="n">
        <f aca="false">SUM(K608:K608)</f>
        <v>1.05</v>
      </c>
      <c r="L607" s="39" t="n">
        <f aca="false">SUM(L608:L608)</f>
        <v>1.1</v>
      </c>
      <c r="M607" s="39" t="n">
        <f aca="false">SUM(M608:M608)</f>
        <v>1.15</v>
      </c>
      <c r="N607" s="39" t="n">
        <f aca="false">SUM(N608:N608)</f>
        <v>0.2</v>
      </c>
      <c r="O607" s="39" t="n">
        <f aca="false">SUM(O608:O608)</f>
        <v>1.2</v>
      </c>
      <c r="P607" s="39" t="n">
        <f aca="false">SUM(P608:P608)</f>
        <v>0.25</v>
      </c>
      <c r="Q607" s="39" t="n">
        <f aca="false">SUM(Q608:Q608)</f>
        <v>1.25</v>
      </c>
      <c r="R607" s="38"/>
    </row>
    <row r="608" customFormat="false" ht="15" hidden="false" customHeight="false" outlineLevel="1" collapsed="false">
      <c r="A608" s="24" t="n">
        <v>1</v>
      </c>
      <c r="B608" s="24" t="s">
        <v>1335</v>
      </c>
      <c r="C608" s="40" t="s">
        <v>3782</v>
      </c>
      <c r="D608" s="24" t="s">
        <v>82</v>
      </c>
      <c r="E608" s="24" t="s">
        <v>387</v>
      </c>
      <c r="F608" s="41" t="n">
        <f aca="false">INDEX((BOM_COEF!R634~BOM_COEF!S634~BOM_COEF!T634~BOM_COEF!U634~BOM_COEF!V634~BOM_COEF!W634~BOM_COEF!X634~BOM_COEF!Y634~BOM_COEF!Z634~BOM_COEF!AA634),1,1,INDEX(P_VAL,MATCH("AÑO_DIS",P_ID,0))-2025)</f>
        <v>1</v>
      </c>
      <c r="G608" s="24" t="s">
        <v>2281</v>
      </c>
      <c r="H608" s="42" t="n">
        <f aca="false">BOM_COEF!R634*DEMANDA!F54</f>
        <v>1</v>
      </c>
      <c r="I608" s="42" t="n">
        <f aca="false">BOM_COEF!S634*DEMANDA!G54</f>
        <v>0.05</v>
      </c>
      <c r="J608" s="42" t="n">
        <f aca="false">BOM_COEF!T634*DEMANDA!H54</f>
        <v>0.05</v>
      </c>
      <c r="K608" s="42" t="n">
        <f aca="false">BOM_COEF!U634*DEMANDA!I54</f>
        <v>1.05</v>
      </c>
      <c r="L608" s="42" t="n">
        <f aca="false">BOM_COEF!V634*DEMANDA!J54</f>
        <v>1.1</v>
      </c>
      <c r="M608" s="42" t="n">
        <f aca="false">BOM_COEF!W634*DEMANDA!K54</f>
        <v>1.15</v>
      </c>
      <c r="N608" s="42" t="n">
        <f aca="false">BOM_COEF!X634*DEMANDA!L54</f>
        <v>0.2</v>
      </c>
      <c r="O608" s="42" t="n">
        <f aca="false">BOM_COEF!Y634*DEMANDA!M54</f>
        <v>1.2</v>
      </c>
      <c r="P608" s="42" t="n">
        <f aca="false">BOM_COEF!Z634*DEMANDA!N54</f>
        <v>0.25</v>
      </c>
      <c r="Q608" s="42" t="n">
        <f aca="false">BOM_COEF!AA634*DEMANDA!O54</f>
        <v>1.25</v>
      </c>
      <c r="R608" s="24" t="s">
        <v>3783</v>
      </c>
    </row>
    <row r="609" customFormat="false" ht="15" hidden="false" customHeight="false" outlineLevel="0" collapsed="false">
      <c r="A609" s="38" t="n">
        <v>0</v>
      </c>
      <c r="B609" s="38" t="s">
        <v>1336</v>
      </c>
      <c r="C609" s="38" t="s">
        <v>2268</v>
      </c>
      <c r="D609" s="38" t="s">
        <v>82</v>
      </c>
      <c r="E609" s="38"/>
      <c r="F609" s="38"/>
      <c r="G609" s="38"/>
      <c r="H609" s="39" t="n">
        <f aca="false">SUM(H610:H610)</f>
        <v>1</v>
      </c>
      <c r="I609" s="39" t="n">
        <f aca="false">SUM(I610:I610)</f>
        <v>3.05</v>
      </c>
      <c r="J609" s="39" t="n">
        <f aca="false">SUM(J610:J610)</f>
        <v>5.2</v>
      </c>
      <c r="K609" s="39" t="n">
        <f aca="false">SUM(K610:K610)</f>
        <v>6.45</v>
      </c>
      <c r="L609" s="39" t="n">
        <f aca="false">SUM(L610:L610)</f>
        <v>7.75</v>
      </c>
      <c r="M609" s="39" t="n">
        <f aca="false">SUM(M610:M610)</f>
        <v>8.1</v>
      </c>
      <c r="N609" s="39" t="n">
        <f aca="false">SUM(N610:N610)</f>
        <v>7.45</v>
      </c>
      <c r="O609" s="39" t="n">
        <f aca="false">SUM(O610:O610)</f>
        <v>5.75</v>
      </c>
      <c r="P609" s="39" t="n">
        <f aca="false">SUM(P610:P610)</f>
        <v>4.95</v>
      </c>
      <c r="Q609" s="39" t="n">
        <f aca="false">SUM(Q610:Q610)</f>
        <v>5.1</v>
      </c>
      <c r="R609" s="38"/>
    </row>
    <row r="610" customFormat="false" ht="15" hidden="false" customHeight="false" outlineLevel="1" collapsed="false">
      <c r="A610" s="24" t="n">
        <v>1</v>
      </c>
      <c r="B610" s="24" t="s">
        <v>1336</v>
      </c>
      <c r="C610" s="40" t="s">
        <v>3784</v>
      </c>
      <c r="D610" s="24" t="s">
        <v>82</v>
      </c>
      <c r="E610" s="24" t="s">
        <v>390</v>
      </c>
      <c r="F610" s="41" t="n">
        <f aca="false">INDEX((BOM_COEF!R639~BOM_COEF!S639~BOM_COEF!T639~BOM_COEF!U639~BOM_COEF!V639~BOM_COEF!W639~BOM_COEF!X639~BOM_COEF!Y639~BOM_COEF!Z639~BOM_COEF!AA639),1,1,INDEX(P_VAL,MATCH("AÑO_DIS",P_ID,0))-2025)</f>
        <v>1</v>
      </c>
      <c r="G610" s="24" t="s">
        <v>2281</v>
      </c>
      <c r="H610" s="42" t="n">
        <f aca="false">BOM_COEF!R639*DEMANDA!F55</f>
        <v>1</v>
      </c>
      <c r="I610" s="42" t="n">
        <f aca="false">BOM_COEF!S639*DEMANDA!G55</f>
        <v>3.05</v>
      </c>
      <c r="J610" s="42" t="n">
        <f aca="false">BOM_COEF!T639*DEMANDA!H55</f>
        <v>5.2</v>
      </c>
      <c r="K610" s="42" t="n">
        <f aca="false">BOM_COEF!U639*DEMANDA!I55</f>
        <v>6.45</v>
      </c>
      <c r="L610" s="42" t="n">
        <f aca="false">BOM_COEF!V639*DEMANDA!J55</f>
        <v>7.75</v>
      </c>
      <c r="M610" s="42" t="n">
        <f aca="false">BOM_COEF!W639*DEMANDA!K55</f>
        <v>8.1</v>
      </c>
      <c r="N610" s="42" t="n">
        <f aca="false">BOM_COEF!X639*DEMANDA!L55</f>
        <v>7.45</v>
      </c>
      <c r="O610" s="42" t="n">
        <f aca="false">BOM_COEF!Y639*DEMANDA!M55</f>
        <v>5.75</v>
      </c>
      <c r="P610" s="42" t="n">
        <f aca="false">BOM_COEF!Z639*DEMANDA!N55</f>
        <v>4.95</v>
      </c>
      <c r="Q610" s="42" t="n">
        <f aca="false">BOM_COEF!AA639*DEMANDA!O55</f>
        <v>5.1</v>
      </c>
      <c r="R610" s="24" t="s">
        <v>3785</v>
      </c>
    </row>
    <row r="611" customFormat="false" ht="15" hidden="false" customHeight="false" outlineLevel="0" collapsed="false">
      <c r="A611" s="38" t="n">
        <v>0</v>
      </c>
      <c r="B611" s="38" t="s">
        <v>1338</v>
      </c>
      <c r="C611" s="38" t="s">
        <v>2270</v>
      </c>
      <c r="D611" s="38" t="s">
        <v>82</v>
      </c>
      <c r="E611" s="38"/>
      <c r="F611" s="38"/>
      <c r="G611" s="38"/>
      <c r="H611" s="39" t="n">
        <f aca="false">SUM(H612:H612)</f>
        <v>7</v>
      </c>
      <c r="I611" s="39" t="n">
        <f aca="false">SUM(I612:I612)</f>
        <v>19.23333333</v>
      </c>
      <c r="J611" s="39" t="n">
        <f aca="false">SUM(J612:J612)</f>
        <v>32.86666667</v>
      </c>
      <c r="K611" s="39" t="n">
        <f aca="false">SUM(K612:K612)</f>
        <v>52.93333333</v>
      </c>
      <c r="L611" s="39" t="n">
        <f aca="false">SUM(L612:L612)</f>
        <v>50.63333333</v>
      </c>
      <c r="M611" s="39" t="n">
        <f aca="false">SUM(M612:M612)</f>
        <v>57.2</v>
      </c>
      <c r="N611" s="39" t="n">
        <f aca="false">SUM(N612:N612)</f>
        <v>53.93333333</v>
      </c>
      <c r="O611" s="39" t="n">
        <f aca="false">SUM(O612:O612)</f>
        <v>36.5</v>
      </c>
      <c r="P611" s="39" t="n">
        <f aca="false">SUM(P612:P612)</f>
        <v>32.43333333</v>
      </c>
      <c r="Q611" s="39" t="n">
        <f aca="false">SUM(Q612:Q612)</f>
        <v>34.2</v>
      </c>
      <c r="R611" s="38"/>
    </row>
    <row r="612" customFormat="false" ht="15" hidden="false" customHeight="false" outlineLevel="1" collapsed="false">
      <c r="A612" s="24" t="n">
        <v>1</v>
      </c>
      <c r="B612" s="24" t="s">
        <v>1338</v>
      </c>
      <c r="C612" s="40" t="s">
        <v>3786</v>
      </c>
      <c r="D612" s="24" t="s">
        <v>82</v>
      </c>
      <c r="E612" s="24" t="s">
        <v>393</v>
      </c>
      <c r="F612" s="41" t="n">
        <f aca="false">INDEX((BOM_COEF!R644~BOM_COEF!S644~BOM_COEF!T644~BOM_COEF!U644~BOM_COEF!V644~BOM_COEF!W644~BOM_COEF!X644~BOM_COEF!Y644~BOM_COEF!Z644~BOM_COEF!AA644),1,1,INDEX(P_VAL,MATCH("AÑO_DIS",P_ID,0))-2025)</f>
        <v>1</v>
      </c>
      <c r="G612" s="24" t="s">
        <v>2281</v>
      </c>
      <c r="H612" s="42" t="n">
        <f aca="false">BOM_COEF!R644*DEMANDA!F56</f>
        <v>7</v>
      </c>
      <c r="I612" s="42" t="n">
        <f aca="false">BOM_COEF!S644*DEMANDA!G56</f>
        <v>19.23333333</v>
      </c>
      <c r="J612" s="42" t="n">
        <f aca="false">BOM_COEF!T644*DEMANDA!H56</f>
        <v>32.86666667</v>
      </c>
      <c r="K612" s="42" t="n">
        <f aca="false">BOM_COEF!U644*DEMANDA!I56</f>
        <v>52.93333333</v>
      </c>
      <c r="L612" s="42" t="n">
        <f aca="false">BOM_COEF!V644*DEMANDA!J56</f>
        <v>50.63333333</v>
      </c>
      <c r="M612" s="42" t="n">
        <f aca="false">BOM_COEF!W644*DEMANDA!K56</f>
        <v>57.2</v>
      </c>
      <c r="N612" s="42" t="n">
        <f aca="false">BOM_COEF!X644*DEMANDA!L56</f>
        <v>53.93333333</v>
      </c>
      <c r="O612" s="42" t="n">
        <f aca="false">BOM_COEF!Y644*DEMANDA!M56</f>
        <v>36.5</v>
      </c>
      <c r="P612" s="42" t="n">
        <f aca="false">BOM_COEF!Z644*DEMANDA!N56</f>
        <v>32.43333333</v>
      </c>
      <c r="Q612" s="42" t="n">
        <f aca="false">BOM_COEF!AA644*DEMANDA!O56</f>
        <v>34.2</v>
      </c>
      <c r="R612" s="24" t="s">
        <v>3787</v>
      </c>
    </row>
    <row r="613" customFormat="false" ht="15" hidden="false" customHeight="false" outlineLevel="0" collapsed="false">
      <c r="A613" s="38" t="n">
        <v>0</v>
      </c>
      <c r="B613" s="38" t="s">
        <v>1339</v>
      </c>
      <c r="C613" s="38" t="s">
        <v>2271</v>
      </c>
      <c r="D613" s="38" t="s">
        <v>82</v>
      </c>
      <c r="E613" s="38"/>
      <c r="F613" s="38"/>
      <c r="G613" s="38"/>
      <c r="H613" s="39" t="n">
        <f aca="false">SUM(H614:H614)</f>
        <v>1</v>
      </c>
      <c r="I613" s="39" t="n">
        <f aca="false">SUM(I614:I614)</f>
        <v>1.05</v>
      </c>
      <c r="J613" s="39" t="n">
        <f aca="false">SUM(J614:J614)</f>
        <v>1.1</v>
      </c>
      <c r="K613" s="39" t="n">
        <f aca="false">SUM(K614:K614)</f>
        <v>2.15</v>
      </c>
      <c r="L613" s="39" t="n">
        <f aca="false">SUM(L614:L614)</f>
        <v>2.25</v>
      </c>
      <c r="M613" s="39" t="n">
        <f aca="false">SUM(M614:M614)</f>
        <v>2.35</v>
      </c>
      <c r="N613" s="39" t="n">
        <f aca="false">SUM(N614:N614)</f>
        <v>2.45</v>
      </c>
      <c r="O613" s="39" t="n">
        <f aca="false">SUM(O614:O614)</f>
        <v>1.55</v>
      </c>
      <c r="P613" s="39" t="n">
        <f aca="false">SUM(P614:P614)</f>
        <v>1.6</v>
      </c>
      <c r="Q613" s="39" t="n">
        <f aca="false">SUM(Q614:Q614)</f>
        <v>1.65</v>
      </c>
      <c r="R613" s="38"/>
    </row>
    <row r="614" customFormat="false" ht="15" hidden="false" customHeight="false" outlineLevel="1" collapsed="false">
      <c r="A614" s="24" t="n">
        <v>1</v>
      </c>
      <c r="B614" s="24" t="s">
        <v>1339</v>
      </c>
      <c r="C614" s="40" t="s">
        <v>3788</v>
      </c>
      <c r="D614" s="24" t="s">
        <v>82</v>
      </c>
      <c r="E614" s="24" t="s">
        <v>396</v>
      </c>
      <c r="F614" s="41" t="n">
        <f aca="false">INDEX((BOM_COEF!R649~BOM_COEF!S649~BOM_COEF!T649~BOM_COEF!U649~BOM_COEF!V649~BOM_COEF!W649~BOM_COEF!X649~BOM_COEF!Y649~BOM_COEF!Z649~BOM_COEF!AA649),1,1,INDEX(P_VAL,MATCH("AÑO_DIS",P_ID,0))-2025)</f>
        <v>1</v>
      </c>
      <c r="G614" s="24" t="s">
        <v>2281</v>
      </c>
      <c r="H614" s="42" t="n">
        <f aca="false">BOM_COEF!R649*DEMANDA!F57</f>
        <v>1</v>
      </c>
      <c r="I614" s="42" t="n">
        <f aca="false">BOM_COEF!S649*DEMANDA!G57</f>
        <v>1.05</v>
      </c>
      <c r="J614" s="42" t="n">
        <f aca="false">BOM_COEF!T649*DEMANDA!H57</f>
        <v>1.1</v>
      </c>
      <c r="K614" s="42" t="n">
        <f aca="false">BOM_COEF!U649*DEMANDA!I57</f>
        <v>2.15</v>
      </c>
      <c r="L614" s="42" t="n">
        <f aca="false">BOM_COEF!V649*DEMANDA!J57</f>
        <v>2.25</v>
      </c>
      <c r="M614" s="42" t="n">
        <f aca="false">BOM_COEF!W649*DEMANDA!K57</f>
        <v>2.35</v>
      </c>
      <c r="N614" s="42" t="n">
        <f aca="false">BOM_COEF!X649*DEMANDA!L57</f>
        <v>2.45</v>
      </c>
      <c r="O614" s="42" t="n">
        <f aca="false">BOM_COEF!Y649*DEMANDA!M57</f>
        <v>1.55</v>
      </c>
      <c r="P614" s="42" t="n">
        <f aca="false">BOM_COEF!Z649*DEMANDA!N57</f>
        <v>1.6</v>
      </c>
      <c r="Q614" s="42" t="n">
        <f aca="false">BOM_COEF!AA649*DEMANDA!O57</f>
        <v>1.65</v>
      </c>
      <c r="R614" s="24" t="s">
        <v>3789</v>
      </c>
    </row>
    <row r="615" customFormat="false" ht="15" hidden="false" customHeight="false" outlineLevel="0" collapsed="false">
      <c r="A615" s="38" t="n">
        <v>0</v>
      </c>
      <c r="B615" s="38" t="s">
        <v>1340</v>
      </c>
      <c r="C615" s="38" t="s">
        <v>2272</v>
      </c>
      <c r="D615" s="38" t="s">
        <v>82</v>
      </c>
      <c r="E615" s="38"/>
      <c r="F615" s="38"/>
      <c r="G615" s="38"/>
      <c r="H615" s="39" t="n">
        <f aca="false">SUM(H616:H616)</f>
        <v>1</v>
      </c>
      <c r="I615" s="39" t="n">
        <f aca="false">SUM(I616:I616)</f>
        <v>0.05</v>
      </c>
      <c r="J615" s="39" t="n">
        <f aca="false">SUM(J616:J616)</f>
        <v>0.05</v>
      </c>
      <c r="K615" s="39" t="n">
        <f aca="false">SUM(K616:K616)</f>
        <v>1.05</v>
      </c>
      <c r="L615" s="39" t="n">
        <f aca="false">SUM(L616:L616)</f>
        <v>1.1</v>
      </c>
      <c r="M615" s="39" t="n">
        <f aca="false">SUM(M616:M616)</f>
        <v>0.15</v>
      </c>
      <c r="N615" s="39" t="n">
        <f aca="false">SUM(N616:N616)</f>
        <v>1.15</v>
      </c>
      <c r="O615" s="39" t="n">
        <f aca="false">SUM(O616:O616)</f>
        <v>0.2</v>
      </c>
      <c r="P615" s="39" t="n">
        <f aca="false">SUM(P616:P616)</f>
        <v>1.2</v>
      </c>
      <c r="Q615" s="39" t="n">
        <f aca="false">SUM(Q616:Q616)</f>
        <v>0.25</v>
      </c>
      <c r="R615" s="38"/>
    </row>
    <row r="616" customFormat="false" ht="15" hidden="false" customHeight="false" outlineLevel="1" collapsed="false">
      <c r="A616" s="24" t="n">
        <v>1</v>
      </c>
      <c r="B616" s="24" t="s">
        <v>1340</v>
      </c>
      <c r="C616" s="40" t="s">
        <v>3790</v>
      </c>
      <c r="D616" s="24" t="s">
        <v>82</v>
      </c>
      <c r="E616" s="24" t="s">
        <v>399</v>
      </c>
      <c r="F616" s="41" t="n">
        <f aca="false">INDEX((BOM_COEF!R654~BOM_COEF!S654~BOM_COEF!T654~BOM_COEF!U654~BOM_COEF!V654~BOM_COEF!W654~BOM_COEF!X654~BOM_COEF!Y654~BOM_COEF!Z654~BOM_COEF!AA654),1,1,INDEX(P_VAL,MATCH("AÑO_DIS",P_ID,0))-2025)</f>
        <v>1</v>
      </c>
      <c r="G616" s="24" t="s">
        <v>2281</v>
      </c>
      <c r="H616" s="42" t="n">
        <f aca="false">BOM_COEF!R654*DEMANDA!F58</f>
        <v>1</v>
      </c>
      <c r="I616" s="42" t="n">
        <f aca="false">BOM_COEF!S654*DEMANDA!G58</f>
        <v>0.05</v>
      </c>
      <c r="J616" s="42" t="n">
        <f aca="false">BOM_COEF!T654*DEMANDA!H58</f>
        <v>0.05</v>
      </c>
      <c r="K616" s="42" t="n">
        <f aca="false">BOM_COEF!U654*DEMANDA!I58</f>
        <v>1.05</v>
      </c>
      <c r="L616" s="42" t="n">
        <f aca="false">BOM_COEF!V654*DEMANDA!J58</f>
        <v>1.1</v>
      </c>
      <c r="M616" s="42" t="n">
        <f aca="false">BOM_COEF!W654*DEMANDA!K58</f>
        <v>0.15</v>
      </c>
      <c r="N616" s="42" t="n">
        <f aca="false">BOM_COEF!X654*DEMANDA!L58</f>
        <v>1.15</v>
      </c>
      <c r="O616" s="42" t="n">
        <f aca="false">BOM_COEF!Y654*DEMANDA!M58</f>
        <v>0.2</v>
      </c>
      <c r="P616" s="42" t="n">
        <f aca="false">BOM_COEF!Z654*DEMANDA!N58</f>
        <v>1.2</v>
      </c>
      <c r="Q616" s="42" t="n">
        <f aca="false">BOM_COEF!AA654*DEMANDA!O58</f>
        <v>0.25</v>
      </c>
      <c r="R616" s="24" t="s">
        <v>3791</v>
      </c>
    </row>
  </sheetData>
  <autoFilter ref="A3:R61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4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3792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8" t="n">
        <v>0</v>
      </c>
      <c r="B4" s="38" t="s">
        <v>1777</v>
      </c>
      <c r="C4" s="38" t="s">
        <v>2088</v>
      </c>
      <c r="D4" s="38" t="s">
        <v>1778</v>
      </c>
      <c r="E4" s="38"/>
      <c r="F4" s="38"/>
      <c r="G4" s="38"/>
      <c r="H4" s="39" t="n">
        <f aca="false">SUM(H5:H16)</f>
        <v>3.48167032372207</v>
      </c>
      <c r="I4" s="39" t="n">
        <f aca="false">SUM(I5:I16)</f>
        <v>10.7014540718638</v>
      </c>
      <c r="J4" s="39" t="n">
        <f aca="false">SUM(J5:J16)</f>
        <v>14.5323647315336</v>
      </c>
      <c r="K4" s="39" t="n">
        <f aca="false">SUM(K5:K16)</f>
        <v>24.7252745259131</v>
      </c>
      <c r="L4" s="39" t="n">
        <f aca="false">SUM(L5:L16)</f>
        <v>26.9525807945402</v>
      </c>
      <c r="M4" s="39" t="n">
        <f aca="false">SUM(M5:M16)</f>
        <v>31.2350905726588</v>
      </c>
      <c r="N4" s="39" t="n">
        <f aca="false">SUM(N5:N16)</f>
        <v>30.0164787106428</v>
      </c>
      <c r="O4" s="39" t="n">
        <f aca="false">SUM(O5:O16)</f>
        <v>24.1706166855284</v>
      </c>
      <c r="P4" s="39" t="n">
        <f aca="false">SUM(P5:P16)</f>
        <v>18.4783849333312</v>
      </c>
      <c r="Q4" s="39" t="n">
        <f aca="false">SUM(Q5:Q16)</f>
        <v>18.6538733276576</v>
      </c>
      <c r="R4" s="38"/>
    </row>
    <row r="5" customFormat="false" ht="15" hidden="false" customHeight="false" outlineLevel="1" collapsed="false">
      <c r="A5" s="24" t="n">
        <v>1</v>
      </c>
      <c r="B5" s="24" t="s">
        <v>1777</v>
      </c>
      <c r="C5" s="40" t="s">
        <v>3793</v>
      </c>
      <c r="D5" s="24" t="s">
        <v>1778</v>
      </c>
      <c r="E5" s="24" t="s">
        <v>372</v>
      </c>
      <c r="F5" s="41" t="n">
        <f aca="false">PROCESO!$I$30</f>
        <v>0.0453864664264621</v>
      </c>
      <c r="G5" s="24" t="s">
        <v>2281</v>
      </c>
      <c r="H5" s="42" t="n">
        <f aca="false">PROCESO!$I$30*DEMANDA!F49</f>
        <v>2.85934738486712</v>
      </c>
      <c r="I5" s="42" t="n">
        <f aca="false">PROCESO!$I$30*DEMANDA!G49</f>
        <v>10.0826035166386</v>
      </c>
      <c r="J5" s="42" t="n">
        <f aca="false">PROCESO!$I$30*DEMANDA!H49</f>
        <v>12.9396815781844</v>
      </c>
      <c r="K5" s="42" t="n">
        <f aca="false">PROCESO!$I$30*DEMANDA!I49</f>
        <v>22.6773479499818</v>
      </c>
      <c r="L5" s="42" t="n">
        <f aca="false">PROCESO!$I$30*DEMANDA!J49</f>
        <v>24.5654249533226</v>
      </c>
      <c r="M5" s="42" t="n">
        <f aca="false">PROCESO!$I$30*DEMANDA!K49</f>
        <v>28.7182866313439</v>
      </c>
      <c r="N5" s="42" t="n">
        <f aca="false">PROCESO!$I$30*DEMANDA!L49</f>
        <v>27.7129763999978</v>
      </c>
      <c r="O5" s="42" t="n">
        <f aca="false">PROCESO!$I$30*DEMANDA!M49</f>
        <v>22.418645091351</v>
      </c>
      <c r="P5" s="42" t="n">
        <f aca="false">PROCESO!$I$30*DEMANDA!N49</f>
        <v>16.6659104717969</v>
      </c>
      <c r="Q5" s="42" t="n">
        <f aca="false">PROCESO!$I$30*DEMANDA!O49</f>
        <v>17.3467074681938</v>
      </c>
      <c r="R5" s="24" t="s">
        <v>2545</v>
      </c>
    </row>
    <row r="6" customFormat="false" ht="15" hidden="false" customHeight="false" outlineLevel="1" collapsed="false">
      <c r="A6" s="24" t="n">
        <v>1</v>
      </c>
      <c r="B6" s="24" t="s">
        <v>1777</v>
      </c>
      <c r="C6" s="40" t="s">
        <v>3794</v>
      </c>
      <c r="D6" s="24" t="s">
        <v>1778</v>
      </c>
      <c r="E6" s="24" t="s">
        <v>375</v>
      </c>
      <c r="F6" s="41" t="n">
        <f aca="false">PROCESO!$I$43</f>
        <v>0.0565114694274797</v>
      </c>
      <c r="G6" s="24" t="s">
        <v>2281</v>
      </c>
      <c r="H6" s="42" t="n">
        <f aca="false">PROCESO!$I$43*DEMANDA!F50</f>
        <v>0.113022938854959</v>
      </c>
      <c r="I6" s="42" t="n">
        <f aca="false">PROCESO!$I$43*DEMANDA!G50</f>
        <v>0.175185555225187</v>
      </c>
      <c r="J6" s="42" t="n">
        <f aca="false">PROCESO!$I$43*DEMANDA!H50</f>
        <v>0.409708153349228</v>
      </c>
      <c r="K6" s="42" t="n">
        <f aca="false">PROCESO!$I$43*DEMANDA!I50</f>
        <v>0.599021575931285</v>
      </c>
      <c r="L6" s="42" t="n">
        <f aca="false">PROCESO!$I$43*DEMANDA!J50</f>
        <v>0.570765841217545</v>
      </c>
      <c r="M6" s="42" t="n">
        <f aca="false">PROCESO!$I$43*DEMANDA!K50</f>
        <v>0.70921894131487</v>
      </c>
      <c r="N6" s="42" t="n">
        <f aca="false">PROCESO!$I$43*DEMANDA!L50</f>
        <v>0.627277310645025</v>
      </c>
      <c r="O6" s="42" t="n">
        <f aca="false">PROCESO!$I$43*DEMANDA!M50</f>
        <v>0.426661594177472</v>
      </c>
      <c r="P6" s="42" t="n">
        <f aca="false">PROCESO!$I$43*DEMANDA!N50</f>
        <v>0.440789461534342</v>
      </c>
      <c r="Q6" s="42" t="n">
        <f aca="false">PROCESO!$I$43*DEMANDA!O50</f>
        <v>0.398405859463732</v>
      </c>
      <c r="R6" s="24" t="s">
        <v>2548</v>
      </c>
    </row>
    <row r="7" customFormat="false" ht="15" hidden="false" customHeight="false" outlineLevel="1" collapsed="false">
      <c r="A7" s="24" t="n">
        <v>1</v>
      </c>
      <c r="B7" s="24" t="s">
        <v>1777</v>
      </c>
      <c r="C7" s="40" t="s">
        <v>3075</v>
      </c>
      <c r="D7" s="24" t="s">
        <v>1778</v>
      </c>
      <c r="E7" s="24" t="s">
        <v>402</v>
      </c>
      <c r="F7" s="41" t="n">
        <f aca="false">PROCESO!$I$79</f>
        <v>0.0041</v>
      </c>
      <c r="G7" s="24" t="s">
        <v>2281</v>
      </c>
      <c r="H7" s="42" t="n">
        <f aca="false">PROCESO!$I$79*DEMANDA!F59</f>
        <v>0.0041</v>
      </c>
      <c r="I7" s="42" t="n">
        <f aca="false">PROCESO!$I$79*DEMANDA!G59</f>
        <v>0.008405</v>
      </c>
      <c r="J7" s="42" t="n">
        <f aca="false">PROCESO!$I$79*DEMANDA!H59</f>
        <v>0.017015</v>
      </c>
      <c r="K7" s="42" t="n">
        <f aca="false">PROCESO!$I$79*DEMANDA!I59</f>
        <v>0.021935</v>
      </c>
      <c r="L7" s="42" t="n">
        <f aca="false">PROCESO!$I$79*DEMANDA!J59</f>
        <v>0.02296</v>
      </c>
      <c r="M7" s="42" t="n">
        <f aca="false">PROCESO!$I$79*DEMANDA!K59</f>
        <v>0.028085</v>
      </c>
      <c r="N7" s="42" t="n">
        <f aca="false">PROCESO!$I$79*DEMANDA!L59</f>
        <v>0.025215</v>
      </c>
      <c r="O7" s="42" t="n">
        <f aca="false">PROCESO!$I$79*DEMANDA!M59</f>
        <v>0.01804</v>
      </c>
      <c r="P7" s="42" t="n">
        <f aca="false">PROCESO!$I$79*DEMANDA!N59</f>
        <v>0.018655</v>
      </c>
      <c r="Q7" s="42" t="n">
        <f aca="false">PROCESO!$I$79*DEMANDA!O59</f>
        <v>0.01517</v>
      </c>
      <c r="R7" s="24" t="s">
        <v>2926</v>
      </c>
    </row>
    <row r="8" customFormat="false" ht="15" hidden="false" customHeight="false" outlineLevel="1" collapsed="false">
      <c r="A8" s="24" t="n">
        <v>1</v>
      </c>
      <c r="B8" s="24" t="s">
        <v>1777</v>
      </c>
      <c r="C8" s="40" t="s">
        <v>3076</v>
      </c>
      <c r="D8" s="24" t="s">
        <v>1778</v>
      </c>
      <c r="E8" s="24" t="s">
        <v>402</v>
      </c>
      <c r="F8" s="41" t="n">
        <f aca="false">PROCESO!$I$81</f>
        <v>0.022</v>
      </c>
      <c r="G8" s="24" t="s">
        <v>2281</v>
      </c>
      <c r="H8" s="42" t="n">
        <f aca="false">PROCESO!$I$81*DEMANDA!F59</f>
        <v>0.022</v>
      </c>
      <c r="I8" s="42" t="n">
        <f aca="false">PROCESO!$I$81*DEMANDA!G59</f>
        <v>0.0451</v>
      </c>
      <c r="J8" s="42" t="n">
        <f aca="false">PROCESO!$I$81*DEMANDA!H59</f>
        <v>0.0913</v>
      </c>
      <c r="K8" s="42" t="n">
        <f aca="false">PROCESO!$I$81*DEMANDA!I59</f>
        <v>0.1177</v>
      </c>
      <c r="L8" s="42" t="n">
        <f aca="false">PROCESO!$I$81*DEMANDA!J59</f>
        <v>0.1232</v>
      </c>
      <c r="M8" s="42" t="n">
        <f aca="false">PROCESO!$I$81*DEMANDA!K59</f>
        <v>0.1507</v>
      </c>
      <c r="N8" s="42" t="n">
        <f aca="false">PROCESO!$I$81*DEMANDA!L59</f>
        <v>0.1353</v>
      </c>
      <c r="O8" s="42" t="n">
        <f aca="false">PROCESO!$I$81*DEMANDA!M59</f>
        <v>0.0968</v>
      </c>
      <c r="P8" s="42" t="n">
        <f aca="false">PROCESO!$I$81*DEMANDA!N59</f>
        <v>0.1001</v>
      </c>
      <c r="Q8" s="42" t="n">
        <f aca="false">PROCESO!$I$81*DEMANDA!O59</f>
        <v>0.0814</v>
      </c>
      <c r="R8" s="24" t="s">
        <v>2927</v>
      </c>
    </row>
    <row r="9" customFormat="false" ht="15" hidden="false" customHeight="false" outlineLevel="1" collapsed="false">
      <c r="A9" s="24" t="n">
        <v>1</v>
      </c>
      <c r="B9" s="24" t="s">
        <v>1777</v>
      </c>
      <c r="C9" s="40" t="s">
        <v>3077</v>
      </c>
      <c r="D9" s="24" t="s">
        <v>1778</v>
      </c>
      <c r="E9" s="24" t="s">
        <v>402</v>
      </c>
      <c r="F9" s="41" t="n">
        <f aca="false">PROCESO!$I$83</f>
        <v>0.01</v>
      </c>
      <c r="G9" s="24" t="s">
        <v>2281</v>
      </c>
      <c r="H9" s="42" t="n">
        <f aca="false">PROCESO!$I$83*DEMANDA!F59</f>
        <v>0.01</v>
      </c>
      <c r="I9" s="42" t="n">
        <f aca="false">PROCESO!$I$83*DEMANDA!G59</f>
        <v>0.0205</v>
      </c>
      <c r="J9" s="42" t="n">
        <f aca="false">PROCESO!$I$83*DEMANDA!H59</f>
        <v>0.0415</v>
      </c>
      <c r="K9" s="42" t="n">
        <f aca="false">PROCESO!$I$83*DEMANDA!I59</f>
        <v>0.0535</v>
      </c>
      <c r="L9" s="42" t="n">
        <f aca="false">PROCESO!$I$83*DEMANDA!J59</f>
        <v>0.056</v>
      </c>
      <c r="M9" s="42" t="n">
        <f aca="false">PROCESO!$I$83*DEMANDA!K59</f>
        <v>0.0685</v>
      </c>
      <c r="N9" s="42" t="n">
        <f aca="false">PROCESO!$I$83*DEMANDA!L59</f>
        <v>0.0615</v>
      </c>
      <c r="O9" s="42" t="n">
        <f aca="false">PROCESO!$I$83*DEMANDA!M59</f>
        <v>0.044</v>
      </c>
      <c r="P9" s="42" t="n">
        <f aca="false">PROCESO!$I$83*DEMANDA!N59</f>
        <v>0.0455</v>
      </c>
      <c r="Q9" s="42" t="n">
        <f aca="false">PROCESO!$I$83*DEMANDA!O59</f>
        <v>0.037</v>
      </c>
      <c r="R9" s="24" t="s">
        <v>2928</v>
      </c>
    </row>
    <row r="10" customFormat="false" ht="15" hidden="false" customHeight="false" outlineLevel="1" collapsed="false">
      <c r="A10" s="24" t="n">
        <v>1</v>
      </c>
      <c r="B10" s="24" t="s">
        <v>1777</v>
      </c>
      <c r="C10" s="40" t="s">
        <v>3078</v>
      </c>
      <c r="D10" s="24" t="s">
        <v>1778</v>
      </c>
      <c r="E10" s="24" t="s">
        <v>402</v>
      </c>
      <c r="F10" s="41" t="n">
        <f aca="false">PROCESO!$I$85</f>
        <v>0.075</v>
      </c>
      <c r="G10" s="24" t="s">
        <v>2281</v>
      </c>
      <c r="H10" s="42" t="n">
        <f aca="false">PROCESO!$I$85*DEMANDA!F59</f>
        <v>0.075</v>
      </c>
      <c r="I10" s="42" t="n">
        <f aca="false">PROCESO!$I$85*DEMANDA!G59</f>
        <v>0.15375</v>
      </c>
      <c r="J10" s="42" t="n">
        <f aca="false">PROCESO!$I$85*DEMANDA!H59</f>
        <v>0.31125</v>
      </c>
      <c r="K10" s="42" t="n">
        <f aca="false">PROCESO!$I$85*DEMANDA!I59</f>
        <v>0.40125</v>
      </c>
      <c r="L10" s="42" t="n">
        <f aca="false">PROCESO!$I$85*DEMANDA!J59</f>
        <v>0.42</v>
      </c>
      <c r="M10" s="42" t="n">
        <f aca="false">PROCESO!$I$85*DEMANDA!K59</f>
        <v>0.51375</v>
      </c>
      <c r="N10" s="42" t="n">
        <f aca="false">PROCESO!$I$85*DEMANDA!L59</f>
        <v>0.46125</v>
      </c>
      <c r="O10" s="42" t="n">
        <f aca="false">PROCESO!$I$85*DEMANDA!M59</f>
        <v>0.33</v>
      </c>
      <c r="P10" s="42" t="n">
        <f aca="false">PROCESO!$I$85*DEMANDA!N59</f>
        <v>0.34125</v>
      </c>
      <c r="Q10" s="42" t="n">
        <f aca="false">PROCESO!$I$85*DEMANDA!O59</f>
        <v>0.2775</v>
      </c>
      <c r="R10" s="24" t="s">
        <v>2929</v>
      </c>
    </row>
    <row r="11" customFormat="false" ht="15" hidden="false" customHeight="false" outlineLevel="1" collapsed="false">
      <c r="A11" s="24" t="n">
        <v>1</v>
      </c>
      <c r="B11" s="24" t="s">
        <v>1777</v>
      </c>
      <c r="C11" s="40" t="s">
        <v>3079</v>
      </c>
      <c r="D11" s="24" t="s">
        <v>1778</v>
      </c>
      <c r="E11" s="24" t="s">
        <v>402</v>
      </c>
      <c r="F11" s="41" t="n">
        <f aca="false">PROCESO!$I$87</f>
        <v>0.098</v>
      </c>
      <c r="G11" s="24" t="s">
        <v>2281</v>
      </c>
      <c r="H11" s="42" t="n">
        <f aca="false">PROCESO!$I$87*DEMANDA!F59</f>
        <v>0.098</v>
      </c>
      <c r="I11" s="42" t="n">
        <f aca="false">PROCESO!$I$87*DEMANDA!G59</f>
        <v>0.2009</v>
      </c>
      <c r="J11" s="42" t="n">
        <f aca="false">PROCESO!$I$87*DEMANDA!H59</f>
        <v>0.4067</v>
      </c>
      <c r="K11" s="42" t="n">
        <f aca="false">PROCESO!$I$87*DEMANDA!I59</f>
        <v>0.5243</v>
      </c>
      <c r="L11" s="42" t="n">
        <f aca="false">PROCESO!$I$87*DEMANDA!J59</f>
        <v>0.5488</v>
      </c>
      <c r="M11" s="42" t="n">
        <f aca="false">PROCESO!$I$87*DEMANDA!K59</f>
        <v>0.6713</v>
      </c>
      <c r="N11" s="42" t="n">
        <f aca="false">PROCESO!$I$87*DEMANDA!L59</f>
        <v>0.6027</v>
      </c>
      <c r="O11" s="42" t="n">
        <f aca="false">PROCESO!$I$87*DEMANDA!M59</f>
        <v>0.4312</v>
      </c>
      <c r="P11" s="42" t="n">
        <f aca="false">PROCESO!$I$87*DEMANDA!N59</f>
        <v>0.4459</v>
      </c>
      <c r="Q11" s="42" t="n">
        <f aca="false">PROCESO!$I$87*DEMANDA!O59</f>
        <v>0.3626</v>
      </c>
      <c r="R11" s="24" t="s">
        <v>2930</v>
      </c>
    </row>
    <row r="12" customFormat="false" ht="15" hidden="false" customHeight="false" outlineLevel="1" collapsed="false">
      <c r="A12" s="24" t="n">
        <v>1</v>
      </c>
      <c r="B12" s="24" t="s">
        <v>1777</v>
      </c>
      <c r="C12" s="40" t="s">
        <v>3080</v>
      </c>
      <c r="D12" s="24" t="s">
        <v>1778</v>
      </c>
      <c r="E12" s="24" t="s">
        <v>405</v>
      </c>
      <c r="F12" s="41" t="n">
        <f aca="false">PROCESO!$I$127</f>
        <v>0.0102</v>
      </c>
      <c r="G12" s="24" t="s">
        <v>2281</v>
      </c>
      <c r="H12" s="42" t="n">
        <f aca="false">PROCESO!$I$127*DEMANDA!F60</f>
        <v>0.0102</v>
      </c>
      <c r="I12" s="42" t="n">
        <f aca="false">PROCESO!$I$127*DEMANDA!G60</f>
        <v>0.00051</v>
      </c>
      <c r="J12" s="42" t="n">
        <f aca="false">PROCESO!$I$127*DEMANDA!H60</f>
        <v>0.01071</v>
      </c>
      <c r="K12" s="42" t="n">
        <f aca="false">PROCESO!$I$127*DEMANDA!I60</f>
        <v>0.01122</v>
      </c>
      <c r="L12" s="42" t="n">
        <f aca="false">PROCESO!$I$127*DEMANDA!J60</f>
        <v>0.02193</v>
      </c>
      <c r="M12" s="42" t="n">
        <f aca="false">PROCESO!$I$127*DEMANDA!K60</f>
        <v>0.01275</v>
      </c>
      <c r="N12" s="42" t="n">
        <f aca="false">PROCESO!$I$127*DEMANDA!L60</f>
        <v>0.01326</v>
      </c>
      <c r="O12" s="42" t="n">
        <f aca="false">PROCESO!$I$127*DEMANDA!M60</f>
        <v>0.01377</v>
      </c>
      <c r="P12" s="42" t="n">
        <f aca="false">PROCESO!$I$127*DEMANDA!N60</f>
        <v>0.01428</v>
      </c>
      <c r="Q12" s="42" t="n">
        <f aca="false">PROCESO!$I$127*DEMANDA!O60</f>
        <v>0.00459</v>
      </c>
      <c r="R12" s="24" t="s">
        <v>2936</v>
      </c>
    </row>
    <row r="13" customFormat="false" ht="15" hidden="false" customHeight="false" outlineLevel="1" collapsed="false">
      <c r="A13" s="24" t="n">
        <v>1</v>
      </c>
      <c r="B13" s="24" t="s">
        <v>1777</v>
      </c>
      <c r="C13" s="40" t="s">
        <v>3081</v>
      </c>
      <c r="D13" s="24" t="s">
        <v>1778</v>
      </c>
      <c r="E13" s="24" t="s">
        <v>405</v>
      </c>
      <c r="F13" s="41" t="n">
        <f aca="false">PROCESO!$I$129</f>
        <v>0.042</v>
      </c>
      <c r="G13" s="24" t="s">
        <v>2281</v>
      </c>
      <c r="H13" s="42" t="n">
        <f aca="false">PROCESO!$I$129*DEMANDA!F60</f>
        <v>0.042</v>
      </c>
      <c r="I13" s="42" t="n">
        <f aca="false">PROCESO!$I$129*DEMANDA!G60</f>
        <v>0.0021</v>
      </c>
      <c r="J13" s="42" t="n">
        <f aca="false">PROCESO!$I$129*DEMANDA!H60</f>
        <v>0.0441</v>
      </c>
      <c r="K13" s="42" t="n">
        <f aca="false">PROCESO!$I$129*DEMANDA!I60</f>
        <v>0.0462</v>
      </c>
      <c r="L13" s="42" t="n">
        <f aca="false">PROCESO!$I$129*DEMANDA!J60</f>
        <v>0.0903</v>
      </c>
      <c r="M13" s="42" t="n">
        <f aca="false">PROCESO!$I$129*DEMANDA!K60</f>
        <v>0.0525</v>
      </c>
      <c r="N13" s="42" t="n">
        <f aca="false">PROCESO!$I$129*DEMANDA!L60</f>
        <v>0.0546</v>
      </c>
      <c r="O13" s="42" t="n">
        <f aca="false">PROCESO!$I$129*DEMANDA!M60</f>
        <v>0.0567</v>
      </c>
      <c r="P13" s="42" t="n">
        <f aca="false">PROCESO!$I$129*DEMANDA!N60</f>
        <v>0.0588</v>
      </c>
      <c r="Q13" s="42" t="n">
        <f aca="false">PROCESO!$I$129*DEMANDA!O60</f>
        <v>0.0189</v>
      </c>
      <c r="R13" s="24" t="s">
        <v>2937</v>
      </c>
    </row>
    <row r="14" customFormat="false" ht="15" hidden="false" customHeight="false" outlineLevel="1" collapsed="false">
      <c r="A14" s="24" t="n">
        <v>1</v>
      </c>
      <c r="B14" s="24" t="s">
        <v>1777</v>
      </c>
      <c r="C14" s="40" t="s">
        <v>3082</v>
      </c>
      <c r="D14" s="24" t="s">
        <v>1778</v>
      </c>
      <c r="E14" s="24" t="s">
        <v>405</v>
      </c>
      <c r="F14" s="41" t="n">
        <f aca="false">PROCESO!$I$131</f>
        <v>0.017</v>
      </c>
      <c r="G14" s="24" t="s">
        <v>2281</v>
      </c>
      <c r="H14" s="42" t="n">
        <f aca="false">PROCESO!$I$131*DEMANDA!F60</f>
        <v>0.017</v>
      </c>
      <c r="I14" s="42" t="n">
        <f aca="false">PROCESO!$I$131*DEMANDA!G60</f>
        <v>0.00085</v>
      </c>
      <c r="J14" s="42" t="n">
        <f aca="false">PROCESO!$I$131*DEMANDA!H60</f>
        <v>0.01785</v>
      </c>
      <c r="K14" s="42" t="n">
        <f aca="false">PROCESO!$I$131*DEMANDA!I60</f>
        <v>0.0187</v>
      </c>
      <c r="L14" s="42" t="n">
        <f aca="false">PROCESO!$I$131*DEMANDA!J60</f>
        <v>0.03655</v>
      </c>
      <c r="M14" s="42" t="n">
        <f aca="false">PROCESO!$I$131*DEMANDA!K60</f>
        <v>0.02125</v>
      </c>
      <c r="N14" s="42" t="n">
        <f aca="false">PROCESO!$I$131*DEMANDA!L60</f>
        <v>0.0221</v>
      </c>
      <c r="O14" s="42" t="n">
        <f aca="false">PROCESO!$I$131*DEMANDA!M60</f>
        <v>0.02295</v>
      </c>
      <c r="P14" s="42" t="n">
        <f aca="false">PROCESO!$I$131*DEMANDA!N60</f>
        <v>0.0238</v>
      </c>
      <c r="Q14" s="42" t="n">
        <f aca="false">PROCESO!$I$131*DEMANDA!O60</f>
        <v>0.00765</v>
      </c>
      <c r="R14" s="24" t="s">
        <v>2938</v>
      </c>
    </row>
    <row r="15" customFormat="false" ht="15" hidden="false" customHeight="false" outlineLevel="1" collapsed="false">
      <c r="A15" s="24" t="n">
        <v>1</v>
      </c>
      <c r="B15" s="24" t="s">
        <v>1777</v>
      </c>
      <c r="C15" s="40" t="s">
        <v>3083</v>
      </c>
      <c r="D15" s="24" t="s">
        <v>1778</v>
      </c>
      <c r="E15" s="24" t="s">
        <v>405</v>
      </c>
      <c r="F15" s="41" t="n">
        <f aca="false">PROCESO!$I$133</f>
        <v>0.122</v>
      </c>
      <c r="G15" s="24" t="s">
        <v>2281</v>
      </c>
      <c r="H15" s="42" t="n">
        <f aca="false">PROCESO!$I$133*DEMANDA!F60</f>
        <v>0.122</v>
      </c>
      <c r="I15" s="42" t="n">
        <f aca="false">PROCESO!$I$133*DEMANDA!G60</f>
        <v>0.0061</v>
      </c>
      <c r="J15" s="42" t="n">
        <f aca="false">PROCESO!$I$133*DEMANDA!H60</f>
        <v>0.1281</v>
      </c>
      <c r="K15" s="42" t="n">
        <f aca="false">PROCESO!$I$133*DEMANDA!I60</f>
        <v>0.1342</v>
      </c>
      <c r="L15" s="42" t="n">
        <f aca="false">PROCESO!$I$133*DEMANDA!J60</f>
        <v>0.2623</v>
      </c>
      <c r="M15" s="42" t="n">
        <f aca="false">PROCESO!$I$133*DEMANDA!K60</f>
        <v>0.1525</v>
      </c>
      <c r="N15" s="42" t="n">
        <f aca="false">PROCESO!$I$133*DEMANDA!L60</f>
        <v>0.1586</v>
      </c>
      <c r="O15" s="42" t="n">
        <f aca="false">PROCESO!$I$133*DEMANDA!M60</f>
        <v>0.1647</v>
      </c>
      <c r="P15" s="42" t="n">
        <f aca="false">PROCESO!$I$133*DEMANDA!N60</f>
        <v>0.1708</v>
      </c>
      <c r="Q15" s="42" t="n">
        <f aca="false">PROCESO!$I$133*DEMANDA!O60</f>
        <v>0.0549</v>
      </c>
      <c r="R15" s="24" t="s">
        <v>2939</v>
      </c>
    </row>
    <row r="16" customFormat="false" ht="15" hidden="false" customHeight="false" outlineLevel="1" collapsed="false">
      <c r="A16" s="24" t="n">
        <v>1</v>
      </c>
      <c r="B16" s="24" t="s">
        <v>1777</v>
      </c>
      <c r="C16" s="40" t="s">
        <v>3084</v>
      </c>
      <c r="D16" s="24" t="s">
        <v>1778</v>
      </c>
      <c r="E16" s="24" t="s">
        <v>405</v>
      </c>
      <c r="F16" s="41" t="n">
        <f aca="false">PROCESO!$I$135</f>
        <v>0.109</v>
      </c>
      <c r="G16" s="24" t="s">
        <v>2281</v>
      </c>
      <c r="H16" s="42" t="n">
        <f aca="false">PROCESO!$I$135*DEMANDA!F60</f>
        <v>0.109</v>
      </c>
      <c r="I16" s="42" t="n">
        <f aca="false">PROCESO!$I$135*DEMANDA!G60</f>
        <v>0.00545</v>
      </c>
      <c r="J16" s="42" t="n">
        <f aca="false">PROCESO!$I$135*DEMANDA!H60</f>
        <v>0.11445</v>
      </c>
      <c r="K16" s="42" t="n">
        <f aca="false">PROCESO!$I$135*DEMANDA!I60</f>
        <v>0.1199</v>
      </c>
      <c r="L16" s="42" t="n">
        <f aca="false">PROCESO!$I$135*DEMANDA!J60</f>
        <v>0.23435</v>
      </c>
      <c r="M16" s="42" t="n">
        <f aca="false">PROCESO!$I$135*DEMANDA!K60</f>
        <v>0.13625</v>
      </c>
      <c r="N16" s="42" t="n">
        <f aca="false">PROCESO!$I$135*DEMANDA!L60</f>
        <v>0.1417</v>
      </c>
      <c r="O16" s="42" t="n">
        <f aca="false">PROCESO!$I$135*DEMANDA!M60</f>
        <v>0.14715</v>
      </c>
      <c r="P16" s="42" t="n">
        <f aca="false">PROCESO!$I$135*DEMANDA!N60</f>
        <v>0.1526</v>
      </c>
      <c r="Q16" s="42" t="n">
        <f aca="false">PROCESO!$I$135*DEMANDA!O60</f>
        <v>0.04905</v>
      </c>
      <c r="R16" s="24" t="s">
        <v>2940</v>
      </c>
    </row>
    <row r="17" customFormat="false" ht="15" hidden="false" customHeight="false" outlineLevel="0" collapsed="false">
      <c r="A17" s="38" t="n">
        <v>0</v>
      </c>
      <c r="B17" s="38" t="s">
        <v>1788</v>
      </c>
      <c r="C17" s="38" t="s">
        <v>2092</v>
      </c>
      <c r="D17" s="38" t="s">
        <v>82</v>
      </c>
      <c r="E17" s="38"/>
      <c r="F17" s="38"/>
      <c r="G17" s="38"/>
      <c r="H17" s="39" t="n">
        <f aca="false">SUM(H18:H21)</f>
        <v>0.9296125</v>
      </c>
      <c r="I17" s="39" t="n">
        <f aca="false">SUM(I18:I21)</f>
        <v>2.315205625</v>
      </c>
      <c r="J17" s="39" t="n">
        <f aca="false">SUM(J18:J21)</f>
        <v>3.391241875</v>
      </c>
      <c r="K17" s="39" t="n">
        <f aca="false">SUM(K18:K21)</f>
        <v>5.544983125</v>
      </c>
      <c r="L17" s="39" t="n">
        <f aca="false">SUM(L18:L21)</f>
        <v>6.176845625</v>
      </c>
      <c r="M17" s="39" t="n">
        <f aca="false">SUM(M18:M21)</f>
        <v>6.9894175</v>
      </c>
      <c r="N17" s="39" t="n">
        <f aca="false">SUM(N18:N21)</f>
        <v>6.702345</v>
      </c>
      <c r="O17" s="39" t="n">
        <f aca="false">SUM(O18:O21)</f>
        <v>5.40630125</v>
      </c>
      <c r="P17" s="39" t="n">
        <f aca="false">SUM(P18:P21)</f>
        <v>4.27215875</v>
      </c>
      <c r="Q17" s="39" t="n">
        <f aca="false">SUM(Q18:Q21)</f>
        <v>4.100981875</v>
      </c>
      <c r="R17" s="38"/>
    </row>
    <row r="18" customFormat="false" ht="15" hidden="false" customHeight="false" outlineLevel="1" collapsed="false">
      <c r="A18" s="24" t="n">
        <v>1</v>
      </c>
      <c r="B18" s="24" t="s">
        <v>1788</v>
      </c>
      <c r="C18" s="40" t="s">
        <v>3073</v>
      </c>
      <c r="D18" s="24" t="s">
        <v>82</v>
      </c>
      <c r="E18" s="24" t="s">
        <v>372</v>
      </c>
      <c r="F18" s="41" t="n">
        <f aca="false">PROCESO!$I$32</f>
        <v>0.0091875</v>
      </c>
      <c r="G18" s="24" t="s">
        <v>2281</v>
      </c>
      <c r="H18" s="42" t="n">
        <f aca="false">PROCESO!$I$32*DEMANDA!F49</f>
        <v>0.5788125</v>
      </c>
      <c r="I18" s="42" t="n">
        <f aca="false">PROCESO!$I$32*DEMANDA!G49</f>
        <v>2.041003125</v>
      </c>
      <c r="J18" s="42" t="n">
        <f aca="false">PROCESO!$I$32*DEMANDA!H49</f>
        <v>2.61935625</v>
      </c>
      <c r="K18" s="42" t="n">
        <f aca="false">PROCESO!$I$32*DEMANDA!I49</f>
        <v>4.590534375</v>
      </c>
      <c r="L18" s="42" t="n">
        <f aca="false">PROCESO!$I$32*DEMANDA!J49</f>
        <v>4.972734375</v>
      </c>
      <c r="M18" s="42" t="n">
        <f aca="false">PROCESO!$I$32*DEMANDA!K49</f>
        <v>5.813390625</v>
      </c>
      <c r="N18" s="42" t="n">
        <f aca="false">PROCESO!$I$32*DEMANDA!L49</f>
        <v>5.6098875</v>
      </c>
      <c r="O18" s="42" t="n">
        <f aca="false">PROCESO!$I$32*DEMANDA!M49</f>
        <v>4.538165625</v>
      </c>
      <c r="P18" s="42" t="n">
        <f aca="false">PROCESO!$I$32*DEMANDA!N49</f>
        <v>3.37365</v>
      </c>
      <c r="Q18" s="42" t="n">
        <f aca="false">PROCESO!$I$32*DEMANDA!O49</f>
        <v>3.5114625</v>
      </c>
      <c r="R18" s="24" t="s">
        <v>2552</v>
      </c>
    </row>
    <row r="19" customFormat="false" ht="15" hidden="false" customHeight="false" outlineLevel="1" collapsed="false">
      <c r="A19" s="24" t="n">
        <v>1</v>
      </c>
      <c r="B19" s="24" t="s">
        <v>1788</v>
      </c>
      <c r="C19" s="40" t="s">
        <v>3074</v>
      </c>
      <c r="D19" s="24" t="s">
        <v>82</v>
      </c>
      <c r="E19" s="24" t="s">
        <v>375</v>
      </c>
      <c r="F19" s="41" t="n">
        <f aca="false">PROCESO!$I$45</f>
        <v>0.0114375</v>
      </c>
      <c r="G19" s="24" t="s">
        <v>2281</v>
      </c>
      <c r="H19" s="42" t="n">
        <f aca="false">PROCESO!$I$45*DEMANDA!F50</f>
        <v>0.022875</v>
      </c>
      <c r="I19" s="42" t="n">
        <f aca="false">PROCESO!$I$45*DEMANDA!G50</f>
        <v>0.03545625</v>
      </c>
      <c r="J19" s="42" t="n">
        <f aca="false">PROCESO!$I$45*DEMANDA!H50</f>
        <v>0.082921875</v>
      </c>
      <c r="K19" s="42" t="n">
        <f aca="false">PROCESO!$I$45*DEMANDA!I50</f>
        <v>0.1212375</v>
      </c>
      <c r="L19" s="42" t="n">
        <f aca="false">PROCESO!$I$45*DEMANDA!J50</f>
        <v>0.11551875</v>
      </c>
      <c r="M19" s="42" t="n">
        <f aca="false">PROCESO!$I$45*DEMANDA!K50</f>
        <v>0.143540625</v>
      </c>
      <c r="N19" s="42" t="n">
        <f aca="false">PROCESO!$I$45*DEMANDA!L50</f>
        <v>0.12695625</v>
      </c>
      <c r="O19" s="42" t="n">
        <f aca="false">PROCESO!$I$45*DEMANDA!M50</f>
        <v>0.086353125</v>
      </c>
      <c r="P19" s="42" t="n">
        <f aca="false">PROCESO!$I$45*DEMANDA!N50</f>
        <v>0.0892125</v>
      </c>
      <c r="Q19" s="42" t="n">
        <f aca="false">PROCESO!$I$45*DEMANDA!O50</f>
        <v>0.080634375</v>
      </c>
      <c r="R19" s="24" t="s">
        <v>2553</v>
      </c>
    </row>
    <row r="20" customFormat="false" ht="15" hidden="false" customHeight="false" outlineLevel="1" collapsed="false">
      <c r="A20" s="24" t="n">
        <v>1</v>
      </c>
      <c r="B20" s="24" t="s">
        <v>1788</v>
      </c>
      <c r="C20" s="40" t="s">
        <v>3795</v>
      </c>
      <c r="D20" s="24" t="s">
        <v>82</v>
      </c>
      <c r="E20" s="24" t="s">
        <v>402</v>
      </c>
      <c r="F20" s="41" t="n">
        <f aca="false">PROCESO!$I$89</f>
        <v>0.111175</v>
      </c>
      <c r="G20" s="24" t="s">
        <v>2281</v>
      </c>
      <c r="H20" s="42" t="n">
        <f aca="false">PROCESO!$I$89*DEMANDA!F59</f>
        <v>0.111175</v>
      </c>
      <c r="I20" s="42" t="n">
        <f aca="false">PROCESO!$I$89*DEMANDA!G59</f>
        <v>0.22790875</v>
      </c>
      <c r="J20" s="42" t="n">
        <f aca="false">PROCESO!$I$89*DEMANDA!H59</f>
        <v>0.46137625</v>
      </c>
      <c r="K20" s="42" t="n">
        <f aca="false">PROCESO!$I$89*DEMANDA!I59</f>
        <v>0.59478625</v>
      </c>
      <c r="L20" s="42" t="n">
        <f aca="false">PROCESO!$I$89*DEMANDA!J59</f>
        <v>0.62258</v>
      </c>
      <c r="M20" s="42" t="n">
        <f aca="false">PROCESO!$I$89*DEMANDA!K59</f>
        <v>0.76154875</v>
      </c>
      <c r="N20" s="42" t="n">
        <f aca="false">PROCESO!$I$89*DEMANDA!L59</f>
        <v>0.68372625</v>
      </c>
      <c r="O20" s="42" t="n">
        <f aca="false">PROCESO!$I$89*DEMANDA!M59</f>
        <v>0.48917</v>
      </c>
      <c r="P20" s="42" t="n">
        <f aca="false">PROCESO!$I$89*DEMANDA!N59</f>
        <v>0.50584625</v>
      </c>
      <c r="Q20" s="42" t="n">
        <f aca="false">PROCESO!$I$89*DEMANDA!O59</f>
        <v>0.4113475</v>
      </c>
      <c r="R20" s="24" t="s">
        <v>2945</v>
      </c>
    </row>
    <row r="21" customFormat="false" ht="15" hidden="false" customHeight="false" outlineLevel="1" collapsed="false">
      <c r="A21" s="24" t="n">
        <v>1</v>
      </c>
      <c r="B21" s="24" t="s">
        <v>1788</v>
      </c>
      <c r="C21" s="40" t="s">
        <v>3796</v>
      </c>
      <c r="D21" s="24" t="s">
        <v>82</v>
      </c>
      <c r="E21" s="24" t="s">
        <v>405</v>
      </c>
      <c r="F21" s="41" t="n">
        <f aca="false">PROCESO!$I$137</f>
        <v>0.21675</v>
      </c>
      <c r="G21" s="24" t="s">
        <v>2281</v>
      </c>
      <c r="H21" s="42" t="n">
        <f aca="false">PROCESO!$I$137*DEMANDA!F60</f>
        <v>0.21675</v>
      </c>
      <c r="I21" s="42" t="n">
        <f aca="false">PROCESO!$I$137*DEMANDA!G60</f>
        <v>0.0108375</v>
      </c>
      <c r="J21" s="42" t="n">
        <f aca="false">PROCESO!$I$137*DEMANDA!H60</f>
        <v>0.2275875</v>
      </c>
      <c r="K21" s="42" t="n">
        <f aca="false">PROCESO!$I$137*DEMANDA!I60</f>
        <v>0.238425</v>
      </c>
      <c r="L21" s="42" t="n">
        <f aca="false">PROCESO!$I$137*DEMANDA!J60</f>
        <v>0.4660125</v>
      </c>
      <c r="M21" s="42" t="n">
        <f aca="false">PROCESO!$I$137*DEMANDA!K60</f>
        <v>0.2709375</v>
      </c>
      <c r="N21" s="42" t="n">
        <f aca="false">PROCESO!$I$137*DEMANDA!L60</f>
        <v>0.281775</v>
      </c>
      <c r="O21" s="42" t="n">
        <f aca="false">PROCESO!$I$137*DEMANDA!M60</f>
        <v>0.2926125</v>
      </c>
      <c r="P21" s="42" t="n">
        <f aca="false">PROCESO!$I$137*DEMANDA!N60</f>
        <v>0.30345</v>
      </c>
      <c r="Q21" s="42" t="n">
        <f aca="false">PROCESO!$I$137*DEMANDA!O60</f>
        <v>0.0975375</v>
      </c>
      <c r="R21" s="24" t="s">
        <v>2951</v>
      </c>
    </row>
    <row r="22" customFormat="false" ht="15" hidden="false" customHeight="false" outlineLevel="0" collapsed="false">
      <c r="A22" s="38" t="n">
        <v>0</v>
      </c>
      <c r="B22" s="38" t="s">
        <v>1872</v>
      </c>
      <c r="C22" s="38" t="s">
        <v>2097</v>
      </c>
      <c r="D22" s="38" t="s">
        <v>82</v>
      </c>
      <c r="E22" s="38"/>
      <c r="F22" s="38"/>
      <c r="G22" s="38"/>
      <c r="H22" s="39" t="n">
        <f aca="false">SUM(H23:H25)</f>
        <v>0.1375</v>
      </c>
      <c r="I22" s="39" t="n">
        <f aca="false">SUM(I23:I25)</f>
        <v>0.056875</v>
      </c>
      <c r="J22" s="39" t="n">
        <f aca="false">SUM(J23:J25)</f>
        <v>0.221875</v>
      </c>
      <c r="K22" s="39" t="n">
        <f aca="false">SUM(K23:K25)</f>
        <v>0.2575</v>
      </c>
      <c r="L22" s="39" t="n">
        <f aca="false">SUM(L23:L25)</f>
        <v>0.381875</v>
      </c>
      <c r="M22" s="39" t="n">
        <f aca="false">SUM(M23:M25)</f>
        <v>0.311875</v>
      </c>
      <c r="N22" s="39" t="n">
        <f aca="false">SUM(N23:N25)</f>
        <v>0.3</v>
      </c>
      <c r="O22" s="39" t="n">
        <f aca="false">SUM(O23:O25)</f>
        <v>0.261875</v>
      </c>
      <c r="P22" s="39" t="n">
        <f aca="false">SUM(P23:P25)</f>
        <v>0.27125</v>
      </c>
      <c r="Q22" s="39" t="n">
        <f aca="false">SUM(Q23:Q25)</f>
        <v>0.143125</v>
      </c>
      <c r="R22" s="38"/>
    </row>
    <row r="23" customFormat="false" ht="15" hidden="false" customHeight="false" outlineLevel="1" collapsed="false">
      <c r="A23" s="24" t="n">
        <v>1</v>
      </c>
      <c r="B23" s="24" t="s">
        <v>1872</v>
      </c>
      <c r="C23" s="40" t="s">
        <v>3797</v>
      </c>
      <c r="D23" s="24" t="s">
        <v>82</v>
      </c>
      <c r="E23" s="24" t="s">
        <v>402</v>
      </c>
      <c r="F23" s="41" t="n">
        <f aca="false">PROCESO!$I$92</f>
        <v>0.025</v>
      </c>
      <c r="G23" s="24" t="s">
        <v>2281</v>
      </c>
      <c r="H23" s="42" t="n">
        <f aca="false">PROCESO!$I$92*DEMANDA!F59</f>
        <v>0.025</v>
      </c>
      <c r="I23" s="42" t="n">
        <f aca="false">PROCESO!$I$92*DEMANDA!G59</f>
        <v>0.05125</v>
      </c>
      <c r="J23" s="42" t="n">
        <f aca="false">PROCESO!$I$92*DEMANDA!H59</f>
        <v>0.10375</v>
      </c>
      <c r="K23" s="42" t="n">
        <f aca="false">PROCESO!$I$92*DEMANDA!I59</f>
        <v>0.13375</v>
      </c>
      <c r="L23" s="42" t="n">
        <f aca="false">PROCESO!$I$92*DEMANDA!J59</f>
        <v>0.14</v>
      </c>
      <c r="M23" s="42" t="n">
        <f aca="false">PROCESO!$I$92*DEMANDA!K59</f>
        <v>0.17125</v>
      </c>
      <c r="N23" s="42" t="n">
        <f aca="false">PROCESO!$I$92*DEMANDA!L59</f>
        <v>0.15375</v>
      </c>
      <c r="O23" s="42" t="n">
        <f aca="false">PROCESO!$I$92*DEMANDA!M59</f>
        <v>0.11</v>
      </c>
      <c r="P23" s="42" t="n">
        <f aca="false">PROCESO!$I$92*DEMANDA!N59</f>
        <v>0.11375</v>
      </c>
      <c r="Q23" s="42" t="n">
        <f aca="false">PROCESO!$I$92*DEMANDA!O59</f>
        <v>0.0925</v>
      </c>
      <c r="R23" s="24" t="s">
        <v>2956</v>
      </c>
    </row>
    <row r="24" customFormat="false" ht="15" hidden="false" customHeight="false" outlineLevel="1" collapsed="false">
      <c r="A24" s="24" t="n">
        <v>1</v>
      </c>
      <c r="B24" s="24" t="s">
        <v>1872</v>
      </c>
      <c r="C24" s="40" t="s">
        <v>3798</v>
      </c>
      <c r="D24" s="24" t="s">
        <v>82</v>
      </c>
      <c r="E24" s="24" t="s">
        <v>405</v>
      </c>
      <c r="F24" s="41" t="n">
        <f aca="false">PROCESO!$I$139</f>
        <v>0.0875</v>
      </c>
      <c r="G24" s="24" t="s">
        <v>2281</v>
      </c>
      <c r="H24" s="42" t="n">
        <f aca="false">PROCESO!$I$139*DEMANDA!F60</f>
        <v>0.0875</v>
      </c>
      <c r="I24" s="42" t="n">
        <f aca="false">PROCESO!$I$139*DEMANDA!G60</f>
        <v>0.004375</v>
      </c>
      <c r="J24" s="42" t="n">
        <f aca="false">PROCESO!$I$139*DEMANDA!H60</f>
        <v>0.091875</v>
      </c>
      <c r="K24" s="42" t="n">
        <f aca="false">PROCESO!$I$139*DEMANDA!I60</f>
        <v>0.09625</v>
      </c>
      <c r="L24" s="42" t="n">
        <f aca="false">PROCESO!$I$139*DEMANDA!J60</f>
        <v>0.188125</v>
      </c>
      <c r="M24" s="42" t="n">
        <f aca="false">PROCESO!$I$139*DEMANDA!K60</f>
        <v>0.109375</v>
      </c>
      <c r="N24" s="42" t="n">
        <f aca="false">PROCESO!$I$139*DEMANDA!L60</f>
        <v>0.11375</v>
      </c>
      <c r="O24" s="42" t="n">
        <f aca="false">PROCESO!$I$139*DEMANDA!M60</f>
        <v>0.118125</v>
      </c>
      <c r="P24" s="42" t="n">
        <f aca="false">PROCESO!$I$139*DEMANDA!N60</f>
        <v>0.1225</v>
      </c>
      <c r="Q24" s="42" t="n">
        <f aca="false">PROCESO!$I$139*DEMANDA!O60</f>
        <v>0.039375</v>
      </c>
      <c r="R24" s="24" t="s">
        <v>2963</v>
      </c>
    </row>
    <row r="25" customFormat="false" ht="15" hidden="false" customHeight="false" outlineLevel="1" collapsed="false">
      <c r="A25" s="24" t="n">
        <v>1</v>
      </c>
      <c r="B25" s="24" t="s">
        <v>1872</v>
      </c>
      <c r="C25" s="40" t="s">
        <v>3799</v>
      </c>
      <c r="D25" s="24" t="s">
        <v>82</v>
      </c>
      <c r="E25" s="24" t="s">
        <v>405</v>
      </c>
      <c r="F25" s="41" t="n">
        <f aca="false">PROCESO!$I$142</f>
        <v>0.025</v>
      </c>
      <c r="G25" s="24" t="s">
        <v>2281</v>
      </c>
      <c r="H25" s="42" t="n">
        <f aca="false">PROCESO!$I$142*DEMANDA!F60</f>
        <v>0.025</v>
      </c>
      <c r="I25" s="42" t="n">
        <f aca="false">PROCESO!$I$142*DEMANDA!G60</f>
        <v>0.00125</v>
      </c>
      <c r="J25" s="42" t="n">
        <f aca="false">PROCESO!$I$142*DEMANDA!H60</f>
        <v>0.02625</v>
      </c>
      <c r="K25" s="42" t="n">
        <f aca="false">PROCESO!$I$142*DEMANDA!I60</f>
        <v>0.0275</v>
      </c>
      <c r="L25" s="42" t="n">
        <f aca="false">PROCESO!$I$142*DEMANDA!J60</f>
        <v>0.05375</v>
      </c>
      <c r="M25" s="42" t="n">
        <f aca="false">PROCESO!$I$142*DEMANDA!K60</f>
        <v>0.03125</v>
      </c>
      <c r="N25" s="42" t="n">
        <f aca="false">PROCESO!$I$142*DEMANDA!L60</f>
        <v>0.0325</v>
      </c>
      <c r="O25" s="42" t="n">
        <f aca="false">PROCESO!$I$142*DEMANDA!M60</f>
        <v>0.03375</v>
      </c>
      <c r="P25" s="42" t="n">
        <f aca="false">PROCESO!$I$142*DEMANDA!N60</f>
        <v>0.035</v>
      </c>
      <c r="Q25" s="42" t="n">
        <f aca="false">PROCESO!$I$142*DEMANDA!O60</f>
        <v>0.01125</v>
      </c>
      <c r="R25" s="24" t="s">
        <v>2965</v>
      </c>
    </row>
    <row r="26" customFormat="false" ht="15" hidden="false" customHeight="false" outlineLevel="0" collapsed="false">
      <c r="A26" s="38" t="n">
        <v>0</v>
      </c>
      <c r="B26" s="38" t="s">
        <v>1791</v>
      </c>
      <c r="C26" s="38" t="s">
        <v>2099</v>
      </c>
      <c r="D26" s="38" t="s">
        <v>82</v>
      </c>
      <c r="E26" s="38"/>
      <c r="F26" s="38"/>
      <c r="G26" s="38"/>
      <c r="H26" s="39" t="n">
        <f aca="false">SUM(H27:H31)</f>
        <v>0.465208333333333</v>
      </c>
      <c r="I26" s="39" t="n">
        <f aca="false">SUM(I27:I31)</f>
        <v>1.51326041666667</v>
      </c>
      <c r="J26" s="39" t="n">
        <f aca="false">SUM(J27:J31)</f>
        <v>1.99796875</v>
      </c>
      <c r="K26" s="39" t="n">
        <f aca="false">SUM(K27:K31)</f>
        <v>3.45797916666667</v>
      </c>
      <c r="L26" s="39" t="n">
        <f aca="false">SUM(L27:L31)</f>
        <v>3.76144791666667</v>
      </c>
      <c r="M26" s="39" t="n">
        <f aca="false">SUM(M27:M31)</f>
        <v>4.36984375</v>
      </c>
      <c r="N26" s="39" t="n">
        <f aca="false">SUM(N27:N31)</f>
        <v>4.21035416666667</v>
      </c>
      <c r="O26" s="39" t="n">
        <f aca="false">SUM(O27:O31)</f>
        <v>3.40161458333333</v>
      </c>
      <c r="P26" s="39" t="n">
        <f aca="false">SUM(P27:P31)</f>
        <v>2.560375</v>
      </c>
      <c r="Q26" s="39" t="n">
        <f aca="false">SUM(Q27:Q31)</f>
        <v>2.62559375</v>
      </c>
      <c r="R26" s="38"/>
    </row>
    <row r="27" customFormat="false" ht="15" hidden="false" customHeight="false" outlineLevel="1" collapsed="false">
      <c r="A27" s="24" t="n">
        <v>1</v>
      </c>
      <c r="B27" s="24" t="s">
        <v>1791</v>
      </c>
      <c r="C27" s="40" t="s">
        <v>3800</v>
      </c>
      <c r="D27" s="24" t="s">
        <v>82</v>
      </c>
      <c r="E27" s="24" t="s">
        <v>372</v>
      </c>
      <c r="F27" s="41" t="n">
        <f aca="false">PROCESO!$I$33</f>
        <v>0.00666666666666667</v>
      </c>
      <c r="G27" s="24" t="s">
        <v>2281</v>
      </c>
      <c r="H27" s="42" t="n">
        <f aca="false">PROCESO!$I$33*DEMANDA!F49</f>
        <v>0.42</v>
      </c>
      <c r="I27" s="42" t="n">
        <f aca="false">PROCESO!$I$33*DEMANDA!G49</f>
        <v>1.481</v>
      </c>
      <c r="J27" s="42" t="n">
        <f aca="false">PROCESO!$I$33*DEMANDA!H49</f>
        <v>1.90066666666667</v>
      </c>
      <c r="K27" s="42" t="n">
        <f aca="false">PROCESO!$I$33*DEMANDA!I49</f>
        <v>3.331</v>
      </c>
      <c r="L27" s="42" t="n">
        <f aca="false">PROCESO!$I$33*DEMANDA!J49</f>
        <v>3.60833333333333</v>
      </c>
      <c r="M27" s="42" t="n">
        <f aca="false">PROCESO!$I$33*DEMANDA!K49</f>
        <v>4.21833333333333</v>
      </c>
      <c r="N27" s="42" t="n">
        <f aca="false">PROCESO!$I$33*DEMANDA!L49</f>
        <v>4.07066666666667</v>
      </c>
      <c r="O27" s="42" t="n">
        <f aca="false">PROCESO!$I$33*DEMANDA!M49</f>
        <v>3.293</v>
      </c>
      <c r="P27" s="42" t="n">
        <f aca="false">PROCESO!$I$33*DEMANDA!N49</f>
        <v>2.448</v>
      </c>
      <c r="Q27" s="42" t="n">
        <f aca="false">PROCESO!$I$33*DEMANDA!O49</f>
        <v>2.548</v>
      </c>
      <c r="R27" s="24" t="s">
        <v>2561</v>
      </c>
    </row>
    <row r="28" customFormat="false" ht="15" hidden="false" customHeight="false" outlineLevel="1" collapsed="false">
      <c r="A28" s="24" t="n">
        <v>1</v>
      </c>
      <c r="B28" s="24" t="s">
        <v>1791</v>
      </c>
      <c r="C28" s="40" t="s">
        <v>3801</v>
      </c>
      <c r="D28" s="24" t="s">
        <v>82</v>
      </c>
      <c r="E28" s="24" t="s">
        <v>375</v>
      </c>
      <c r="F28" s="41" t="n">
        <f aca="false">PROCESO!$I$46</f>
        <v>0.00666666666666667</v>
      </c>
      <c r="G28" s="24" t="s">
        <v>2281</v>
      </c>
      <c r="H28" s="42" t="n">
        <f aca="false">PROCESO!$I$46*DEMANDA!F50</f>
        <v>0.0133333333333333</v>
      </c>
      <c r="I28" s="42" t="n">
        <f aca="false">PROCESO!$I$46*DEMANDA!G50</f>
        <v>0.0206666666666667</v>
      </c>
      <c r="J28" s="42" t="n">
        <f aca="false">PROCESO!$I$46*DEMANDA!H50</f>
        <v>0.0483333333333333</v>
      </c>
      <c r="K28" s="42" t="n">
        <f aca="false">PROCESO!$I$46*DEMANDA!I50</f>
        <v>0.0706666666666667</v>
      </c>
      <c r="L28" s="42" t="n">
        <f aca="false">PROCESO!$I$46*DEMANDA!J50</f>
        <v>0.0673333333333333</v>
      </c>
      <c r="M28" s="42" t="n">
        <f aca="false">PROCESO!$I$46*DEMANDA!K50</f>
        <v>0.0836666666666667</v>
      </c>
      <c r="N28" s="42" t="n">
        <f aca="false">PROCESO!$I$46*DEMANDA!L50</f>
        <v>0.074</v>
      </c>
      <c r="O28" s="42" t="n">
        <f aca="false">PROCESO!$I$46*DEMANDA!M50</f>
        <v>0.0503333333333333</v>
      </c>
      <c r="P28" s="42" t="n">
        <f aca="false">PROCESO!$I$46*DEMANDA!N50</f>
        <v>0.052</v>
      </c>
      <c r="Q28" s="42" t="n">
        <f aca="false">PROCESO!$I$46*DEMANDA!O50</f>
        <v>0.047</v>
      </c>
      <c r="R28" s="24" t="s">
        <v>2564</v>
      </c>
    </row>
    <row r="29" customFormat="false" ht="15" hidden="false" customHeight="false" outlineLevel="1" collapsed="false">
      <c r="A29" s="24" t="n">
        <v>1</v>
      </c>
      <c r="B29" s="24" t="s">
        <v>1791</v>
      </c>
      <c r="C29" s="40" t="s">
        <v>3797</v>
      </c>
      <c r="D29" s="24" t="s">
        <v>82</v>
      </c>
      <c r="E29" s="24" t="s">
        <v>402</v>
      </c>
      <c r="F29" s="41" t="n">
        <f aca="false">PROCESO!$I$93</f>
        <v>0.005</v>
      </c>
      <c r="G29" s="24" t="s">
        <v>2281</v>
      </c>
      <c r="H29" s="42" t="n">
        <f aca="false">PROCESO!$I$93*DEMANDA!F59</f>
        <v>0.005</v>
      </c>
      <c r="I29" s="42" t="n">
        <f aca="false">PROCESO!$I$93*DEMANDA!G59</f>
        <v>0.01025</v>
      </c>
      <c r="J29" s="42" t="n">
        <f aca="false">PROCESO!$I$93*DEMANDA!H59</f>
        <v>0.02075</v>
      </c>
      <c r="K29" s="42" t="n">
        <f aca="false">PROCESO!$I$93*DEMANDA!I59</f>
        <v>0.02675</v>
      </c>
      <c r="L29" s="42" t="n">
        <f aca="false">PROCESO!$I$93*DEMANDA!J59</f>
        <v>0.028</v>
      </c>
      <c r="M29" s="42" t="n">
        <f aca="false">PROCESO!$I$93*DEMANDA!K59</f>
        <v>0.03425</v>
      </c>
      <c r="N29" s="42" t="n">
        <f aca="false">PROCESO!$I$93*DEMANDA!L59</f>
        <v>0.03075</v>
      </c>
      <c r="O29" s="42" t="n">
        <f aca="false">PROCESO!$I$93*DEMANDA!M59</f>
        <v>0.022</v>
      </c>
      <c r="P29" s="42" t="n">
        <f aca="false">PROCESO!$I$93*DEMANDA!N59</f>
        <v>0.02275</v>
      </c>
      <c r="Q29" s="42" t="n">
        <f aca="false">PROCESO!$I$93*DEMANDA!O59</f>
        <v>0.0185</v>
      </c>
      <c r="R29" s="24" t="s">
        <v>2968</v>
      </c>
    </row>
    <row r="30" customFormat="false" ht="15" hidden="false" customHeight="false" outlineLevel="1" collapsed="false">
      <c r="A30" s="24" t="n">
        <v>1</v>
      </c>
      <c r="B30" s="24" t="s">
        <v>1791</v>
      </c>
      <c r="C30" s="40" t="s">
        <v>3798</v>
      </c>
      <c r="D30" s="24" t="s">
        <v>82</v>
      </c>
      <c r="E30" s="24" t="s">
        <v>405</v>
      </c>
      <c r="F30" s="41" t="n">
        <f aca="false">PROCESO!$I$140</f>
        <v>0.021875</v>
      </c>
      <c r="G30" s="24" t="s">
        <v>2281</v>
      </c>
      <c r="H30" s="42" t="n">
        <f aca="false">PROCESO!$I$140*DEMANDA!F60</f>
        <v>0.021875</v>
      </c>
      <c r="I30" s="42" t="n">
        <f aca="false">PROCESO!$I$140*DEMANDA!G60</f>
        <v>0.00109375</v>
      </c>
      <c r="J30" s="42" t="n">
        <f aca="false">PROCESO!$I$140*DEMANDA!H60</f>
        <v>0.02296875</v>
      </c>
      <c r="K30" s="42" t="n">
        <f aca="false">PROCESO!$I$140*DEMANDA!I60</f>
        <v>0.0240625</v>
      </c>
      <c r="L30" s="42" t="n">
        <f aca="false">PROCESO!$I$140*DEMANDA!J60</f>
        <v>0.04703125</v>
      </c>
      <c r="M30" s="42" t="n">
        <f aca="false">PROCESO!$I$140*DEMANDA!K60</f>
        <v>0.02734375</v>
      </c>
      <c r="N30" s="42" t="n">
        <f aca="false">PROCESO!$I$140*DEMANDA!L60</f>
        <v>0.0284375</v>
      </c>
      <c r="O30" s="42" t="n">
        <f aca="false">PROCESO!$I$140*DEMANDA!M60</f>
        <v>0.02953125</v>
      </c>
      <c r="P30" s="42" t="n">
        <f aca="false">PROCESO!$I$140*DEMANDA!N60</f>
        <v>0.030625</v>
      </c>
      <c r="Q30" s="42" t="n">
        <f aca="false">PROCESO!$I$140*DEMANDA!O60</f>
        <v>0.00984375</v>
      </c>
      <c r="R30" s="24" t="s">
        <v>2971</v>
      </c>
    </row>
    <row r="31" customFormat="false" ht="15" hidden="false" customHeight="false" outlineLevel="1" collapsed="false">
      <c r="A31" s="24" t="n">
        <v>1</v>
      </c>
      <c r="B31" s="24" t="s">
        <v>1791</v>
      </c>
      <c r="C31" s="40" t="s">
        <v>3799</v>
      </c>
      <c r="D31" s="24" t="s">
        <v>82</v>
      </c>
      <c r="E31" s="24" t="s">
        <v>405</v>
      </c>
      <c r="F31" s="41" t="n">
        <f aca="false">PROCESO!$I$143</f>
        <v>0.005</v>
      </c>
      <c r="G31" s="24" t="s">
        <v>2281</v>
      </c>
      <c r="H31" s="42" t="n">
        <f aca="false">PROCESO!$I$143*DEMANDA!F60</f>
        <v>0.005</v>
      </c>
      <c r="I31" s="42" t="n">
        <f aca="false">PROCESO!$I$143*DEMANDA!G60</f>
        <v>0.00025</v>
      </c>
      <c r="J31" s="42" t="n">
        <f aca="false">PROCESO!$I$143*DEMANDA!H60</f>
        <v>0.00525</v>
      </c>
      <c r="K31" s="42" t="n">
        <f aca="false">PROCESO!$I$143*DEMANDA!I60</f>
        <v>0.0055</v>
      </c>
      <c r="L31" s="42" t="n">
        <f aca="false">PROCESO!$I$143*DEMANDA!J60</f>
        <v>0.01075</v>
      </c>
      <c r="M31" s="42" t="n">
        <f aca="false">PROCESO!$I$143*DEMANDA!K60</f>
        <v>0.00625</v>
      </c>
      <c r="N31" s="42" t="n">
        <f aca="false">PROCESO!$I$143*DEMANDA!L60</f>
        <v>0.0065</v>
      </c>
      <c r="O31" s="42" t="n">
        <f aca="false">PROCESO!$I$143*DEMANDA!M60</f>
        <v>0.00675</v>
      </c>
      <c r="P31" s="42" t="n">
        <f aca="false">PROCESO!$I$143*DEMANDA!N60</f>
        <v>0.007</v>
      </c>
      <c r="Q31" s="42" t="n">
        <f aca="false">PROCESO!$I$143*DEMANDA!O60</f>
        <v>0.00225</v>
      </c>
      <c r="R31" s="24" t="s">
        <v>2972</v>
      </c>
    </row>
    <row r="32" customFormat="false" ht="15" hidden="false" customHeight="false" outlineLevel="0" collapsed="false">
      <c r="A32" s="38" t="n">
        <v>0</v>
      </c>
      <c r="B32" s="38" t="s">
        <v>1869</v>
      </c>
      <c r="C32" s="38" t="s">
        <v>2101</v>
      </c>
      <c r="D32" s="38" t="s">
        <v>82</v>
      </c>
      <c r="E32" s="38"/>
      <c r="F32" s="38"/>
      <c r="G32" s="38"/>
      <c r="H32" s="39" t="n">
        <f aca="false">SUM(H33:H34)</f>
        <v>0.03</v>
      </c>
      <c r="I32" s="39" t="n">
        <f aca="false">SUM(I33:I34)</f>
        <v>0.0315</v>
      </c>
      <c r="J32" s="39" t="n">
        <f aca="false">SUM(J33:J34)</f>
        <v>0.078</v>
      </c>
      <c r="K32" s="39" t="n">
        <f aca="false">SUM(K33:K34)</f>
        <v>0.09675</v>
      </c>
      <c r="L32" s="39" t="n">
        <f aca="false">SUM(L33:L34)</f>
        <v>0.11625</v>
      </c>
      <c r="M32" s="39" t="n">
        <f aca="false">SUM(M33:M34)</f>
        <v>0.1215</v>
      </c>
      <c r="N32" s="39" t="n">
        <f aca="false">SUM(N33:N34)</f>
        <v>0.11175</v>
      </c>
      <c r="O32" s="39" t="n">
        <f aca="false">SUM(O33:O34)</f>
        <v>0.08625</v>
      </c>
      <c r="P32" s="39" t="n">
        <f aca="false">SUM(P33:P34)</f>
        <v>0.08925</v>
      </c>
      <c r="Q32" s="39" t="n">
        <f aca="false">SUM(Q33:Q34)</f>
        <v>0.06225</v>
      </c>
      <c r="R32" s="38"/>
    </row>
    <row r="33" customFormat="false" ht="15" hidden="false" customHeight="false" outlineLevel="1" collapsed="false">
      <c r="A33" s="24" t="n">
        <v>1</v>
      </c>
      <c r="B33" s="24" t="s">
        <v>1869</v>
      </c>
      <c r="C33" s="40" t="s">
        <v>3797</v>
      </c>
      <c r="D33" s="24" t="s">
        <v>82</v>
      </c>
      <c r="E33" s="24" t="s">
        <v>402</v>
      </c>
      <c r="F33" s="41" t="n">
        <f aca="false">PROCESO!$I$91</f>
        <v>0.015</v>
      </c>
      <c r="G33" s="24" t="s">
        <v>2281</v>
      </c>
      <c r="H33" s="42" t="n">
        <f aca="false">PROCESO!$I$91*DEMANDA!F59</f>
        <v>0.015</v>
      </c>
      <c r="I33" s="42" t="n">
        <f aca="false">PROCESO!$I$91*DEMANDA!G59</f>
        <v>0.03075</v>
      </c>
      <c r="J33" s="42" t="n">
        <f aca="false">PROCESO!$I$91*DEMANDA!H59</f>
        <v>0.06225</v>
      </c>
      <c r="K33" s="42" t="n">
        <f aca="false">PROCESO!$I$91*DEMANDA!I59</f>
        <v>0.08025</v>
      </c>
      <c r="L33" s="42" t="n">
        <f aca="false">PROCESO!$I$91*DEMANDA!J59</f>
        <v>0.084</v>
      </c>
      <c r="M33" s="42" t="n">
        <f aca="false">PROCESO!$I$91*DEMANDA!K59</f>
        <v>0.10275</v>
      </c>
      <c r="N33" s="42" t="n">
        <f aca="false">PROCESO!$I$91*DEMANDA!L59</f>
        <v>0.09225</v>
      </c>
      <c r="O33" s="42" t="n">
        <f aca="false">PROCESO!$I$91*DEMANDA!M59</f>
        <v>0.066</v>
      </c>
      <c r="P33" s="42" t="n">
        <f aca="false">PROCESO!$I$91*DEMANDA!N59</f>
        <v>0.06825</v>
      </c>
      <c r="Q33" s="42" t="n">
        <f aca="false">PROCESO!$I$91*DEMANDA!O59</f>
        <v>0.0555</v>
      </c>
      <c r="R33" s="24" t="s">
        <v>2974</v>
      </c>
    </row>
    <row r="34" customFormat="false" ht="15" hidden="false" customHeight="false" outlineLevel="1" collapsed="false">
      <c r="A34" s="24" t="n">
        <v>1</v>
      </c>
      <c r="B34" s="24" t="s">
        <v>1869</v>
      </c>
      <c r="C34" s="40" t="s">
        <v>3799</v>
      </c>
      <c r="D34" s="24" t="s">
        <v>82</v>
      </c>
      <c r="E34" s="24" t="s">
        <v>405</v>
      </c>
      <c r="F34" s="41" t="n">
        <f aca="false">PROCESO!$I$141</f>
        <v>0.015</v>
      </c>
      <c r="G34" s="24" t="s">
        <v>2281</v>
      </c>
      <c r="H34" s="42" t="n">
        <f aca="false">PROCESO!$I$141*DEMANDA!F60</f>
        <v>0.015</v>
      </c>
      <c r="I34" s="42" t="n">
        <f aca="false">PROCESO!$I$141*DEMANDA!G60</f>
        <v>0.00075</v>
      </c>
      <c r="J34" s="42" t="n">
        <f aca="false">PROCESO!$I$141*DEMANDA!H60</f>
        <v>0.01575</v>
      </c>
      <c r="K34" s="42" t="n">
        <f aca="false">PROCESO!$I$141*DEMANDA!I60</f>
        <v>0.0165</v>
      </c>
      <c r="L34" s="42" t="n">
        <f aca="false">PROCESO!$I$141*DEMANDA!J60</f>
        <v>0.03225</v>
      </c>
      <c r="M34" s="42" t="n">
        <f aca="false">PROCESO!$I$141*DEMANDA!K60</f>
        <v>0.01875</v>
      </c>
      <c r="N34" s="42" t="n">
        <f aca="false">PROCESO!$I$141*DEMANDA!L60</f>
        <v>0.0195</v>
      </c>
      <c r="O34" s="42" t="n">
        <f aca="false">PROCESO!$I$141*DEMANDA!M60</f>
        <v>0.02025</v>
      </c>
      <c r="P34" s="42" t="n">
        <f aca="false">PROCESO!$I$141*DEMANDA!N60</f>
        <v>0.021</v>
      </c>
      <c r="Q34" s="42" t="n">
        <f aca="false">PROCESO!$I$141*DEMANDA!O60</f>
        <v>0.00675</v>
      </c>
      <c r="R34" s="24" t="s">
        <v>2976</v>
      </c>
    </row>
    <row r="35" customFormat="false" ht="15" hidden="false" customHeight="false" outlineLevel="0" collapsed="false">
      <c r="A35" s="38" t="n">
        <v>0</v>
      </c>
      <c r="B35" s="38" t="s">
        <v>1877</v>
      </c>
      <c r="C35" s="38" t="s">
        <v>2102</v>
      </c>
      <c r="D35" s="38" t="s">
        <v>82</v>
      </c>
      <c r="E35" s="38"/>
      <c r="F35" s="38"/>
      <c r="G35" s="38"/>
      <c r="H35" s="39" t="n">
        <f aca="false">SUM(H36:H37)</f>
        <v>0.02</v>
      </c>
      <c r="I35" s="39" t="n">
        <f aca="false">SUM(I36:I37)</f>
        <v>0.021</v>
      </c>
      <c r="J35" s="39" t="n">
        <f aca="false">SUM(J36:J37)</f>
        <v>0.052</v>
      </c>
      <c r="K35" s="39" t="n">
        <f aca="false">SUM(K36:K37)</f>
        <v>0.0645</v>
      </c>
      <c r="L35" s="39" t="n">
        <f aca="false">SUM(L36:L37)</f>
        <v>0.0775</v>
      </c>
      <c r="M35" s="39" t="n">
        <f aca="false">SUM(M36:M37)</f>
        <v>0.081</v>
      </c>
      <c r="N35" s="39" t="n">
        <f aca="false">SUM(N36:N37)</f>
        <v>0.0745</v>
      </c>
      <c r="O35" s="39" t="n">
        <f aca="false">SUM(O36:O37)</f>
        <v>0.0575</v>
      </c>
      <c r="P35" s="39" t="n">
        <f aca="false">SUM(P36:P37)</f>
        <v>0.0595</v>
      </c>
      <c r="Q35" s="39" t="n">
        <f aca="false">SUM(Q36:Q37)</f>
        <v>0.0415</v>
      </c>
      <c r="R35" s="38"/>
    </row>
    <row r="36" customFormat="false" ht="15" hidden="false" customHeight="false" outlineLevel="1" collapsed="false">
      <c r="A36" s="24" t="n">
        <v>1</v>
      </c>
      <c r="B36" s="24" t="s">
        <v>1877</v>
      </c>
      <c r="C36" s="40" t="s">
        <v>3797</v>
      </c>
      <c r="D36" s="24" t="s">
        <v>82</v>
      </c>
      <c r="E36" s="24" t="s">
        <v>402</v>
      </c>
      <c r="F36" s="41" t="n">
        <f aca="false">PROCESO!$I$94</f>
        <v>0.01</v>
      </c>
      <c r="G36" s="24" t="s">
        <v>2281</v>
      </c>
      <c r="H36" s="42" t="n">
        <f aca="false">PROCESO!$I$94*DEMANDA!F59</f>
        <v>0.01</v>
      </c>
      <c r="I36" s="42" t="n">
        <f aca="false">PROCESO!$I$94*DEMANDA!G59</f>
        <v>0.0205</v>
      </c>
      <c r="J36" s="42" t="n">
        <f aca="false">PROCESO!$I$94*DEMANDA!H59</f>
        <v>0.0415</v>
      </c>
      <c r="K36" s="42" t="n">
        <f aca="false">PROCESO!$I$94*DEMANDA!I59</f>
        <v>0.0535</v>
      </c>
      <c r="L36" s="42" t="n">
        <f aca="false">PROCESO!$I$94*DEMANDA!J59</f>
        <v>0.056</v>
      </c>
      <c r="M36" s="42" t="n">
        <f aca="false">PROCESO!$I$94*DEMANDA!K59</f>
        <v>0.0685</v>
      </c>
      <c r="N36" s="42" t="n">
        <f aca="false">PROCESO!$I$94*DEMANDA!L59</f>
        <v>0.0615</v>
      </c>
      <c r="O36" s="42" t="n">
        <f aca="false">PROCESO!$I$94*DEMANDA!M59</f>
        <v>0.044</v>
      </c>
      <c r="P36" s="42" t="n">
        <f aca="false">PROCESO!$I$94*DEMANDA!N59</f>
        <v>0.0455</v>
      </c>
      <c r="Q36" s="42" t="n">
        <f aca="false">PROCESO!$I$94*DEMANDA!O59</f>
        <v>0.037</v>
      </c>
      <c r="R36" s="24" t="s">
        <v>2978</v>
      </c>
    </row>
    <row r="37" customFormat="false" ht="15" hidden="false" customHeight="false" outlineLevel="1" collapsed="false">
      <c r="A37" s="24" t="n">
        <v>1</v>
      </c>
      <c r="B37" s="24" t="s">
        <v>1877</v>
      </c>
      <c r="C37" s="40" t="s">
        <v>3799</v>
      </c>
      <c r="D37" s="24" t="s">
        <v>82</v>
      </c>
      <c r="E37" s="24" t="s">
        <v>405</v>
      </c>
      <c r="F37" s="41" t="n">
        <f aca="false">PROCESO!$I$144</f>
        <v>0.01</v>
      </c>
      <c r="G37" s="24" t="s">
        <v>2281</v>
      </c>
      <c r="H37" s="42" t="n">
        <f aca="false">PROCESO!$I$144*DEMANDA!F60</f>
        <v>0.01</v>
      </c>
      <c r="I37" s="42" t="n">
        <f aca="false">PROCESO!$I$144*DEMANDA!G60</f>
        <v>0.0005</v>
      </c>
      <c r="J37" s="42" t="n">
        <f aca="false">PROCESO!$I$144*DEMANDA!H60</f>
        <v>0.0105</v>
      </c>
      <c r="K37" s="42" t="n">
        <f aca="false">PROCESO!$I$144*DEMANDA!I60</f>
        <v>0.011</v>
      </c>
      <c r="L37" s="42" t="n">
        <f aca="false">PROCESO!$I$144*DEMANDA!J60</f>
        <v>0.0215</v>
      </c>
      <c r="M37" s="42" t="n">
        <f aca="false">PROCESO!$I$144*DEMANDA!K60</f>
        <v>0.0125</v>
      </c>
      <c r="N37" s="42" t="n">
        <f aca="false">PROCESO!$I$144*DEMANDA!L60</f>
        <v>0.013</v>
      </c>
      <c r="O37" s="42" t="n">
        <f aca="false">PROCESO!$I$144*DEMANDA!M60</f>
        <v>0.0135</v>
      </c>
      <c r="P37" s="42" t="n">
        <f aca="false">PROCESO!$I$144*DEMANDA!N60</f>
        <v>0.014</v>
      </c>
      <c r="Q37" s="42" t="n">
        <f aca="false">PROCESO!$I$144*DEMANDA!O60</f>
        <v>0.0045</v>
      </c>
      <c r="R37" s="24" t="s">
        <v>2980</v>
      </c>
    </row>
    <row r="38" customFormat="false" ht="15" hidden="false" customHeight="false" outlineLevel="0" collapsed="false">
      <c r="A38" s="38" t="n">
        <v>0</v>
      </c>
      <c r="B38" s="38" t="s">
        <v>1865</v>
      </c>
      <c r="C38" s="38" t="s">
        <v>2104</v>
      </c>
      <c r="D38" s="38" t="s">
        <v>82</v>
      </c>
      <c r="E38" s="38"/>
      <c r="F38" s="38"/>
      <c r="G38" s="38"/>
      <c r="H38" s="39" t="n">
        <f aca="false">SUM(H39:H40)</f>
        <v>0.005</v>
      </c>
      <c r="I38" s="39" t="n">
        <f aca="false">SUM(I39:I40)</f>
        <v>0.00525</v>
      </c>
      <c r="J38" s="39" t="n">
        <f aca="false">SUM(J39:J40)</f>
        <v>0.013</v>
      </c>
      <c r="K38" s="39" t="n">
        <f aca="false">SUM(K39:K40)</f>
        <v>0.016125</v>
      </c>
      <c r="L38" s="39" t="n">
        <f aca="false">SUM(L39:L40)</f>
        <v>0.019375</v>
      </c>
      <c r="M38" s="39" t="n">
        <f aca="false">SUM(M39:M40)</f>
        <v>0.02025</v>
      </c>
      <c r="N38" s="39" t="n">
        <f aca="false">SUM(N39:N40)</f>
        <v>0.018625</v>
      </c>
      <c r="O38" s="39" t="n">
        <f aca="false">SUM(O39:O40)</f>
        <v>0.014375</v>
      </c>
      <c r="P38" s="39" t="n">
        <f aca="false">SUM(P39:P40)</f>
        <v>0.014875</v>
      </c>
      <c r="Q38" s="39" t="n">
        <f aca="false">SUM(Q39:Q40)</f>
        <v>0.010375</v>
      </c>
      <c r="R38" s="38"/>
    </row>
    <row r="39" customFormat="false" ht="15" hidden="false" customHeight="false" outlineLevel="1" collapsed="false">
      <c r="A39" s="24" t="n">
        <v>1</v>
      </c>
      <c r="B39" s="24" t="s">
        <v>1865</v>
      </c>
      <c r="C39" s="40" t="s">
        <v>3077</v>
      </c>
      <c r="D39" s="24" t="s">
        <v>82</v>
      </c>
      <c r="E39" s="24" t="s">
        <v>402</v>
      </c>
      <c r="F39" s="41" t="n">
        <f aca="false">PROCESO!$I$90</f>
        <v>0.0025</v>
      </c>
      <c r="G39" s="24" t="s">
        <v>2281</v>
      </c>
      <c r="H39" s="42" t="n">
        <f aca="false">PROCESO!$I$90*DEMANDA!F59</f>
        <v>0.0025</v>
      </c>
      <c r="I39" s="42" t="n">
        <f aca="false">PROCESO!$I$90*DEMANDA!G59</f>
        <v>0.005125</v>
      </c>
      <c r="J39" s="42" t="n">
        <f aca="false">PROCESO!$I$90*DEMANDA!H59</f>
        <v>0.010375</v>
      </c>
      <c r="K39" s="42" t="n">
        <f aca="false">PROCESO!$I$90*DEMANDA!I59</f>
        <v>0.013375</v>
      </c>
      <c r="L39" s="42" t="n">
        <f aca="false">PROCESO!$I$90*DEMANDA!J59</f>
        <v>0.014</v>
      </c>
      <c r="M39" s="42" t="n">
        <f aca="false">PROCESO!$I$90*DEMANDA!K59</f>
        <v>0.017125</v>
      </c>
      <c r="N39" s="42" t="n">
        <f aca="false">PROCESO!$I$90*DEMANDA!L59</f>
        <v>0.015375</v>
      </c>
      <c r="O39" s="42" t="n">
        <f aca="false">PROCESO!$I$90*DEMANDA!M59</f>
        <v>0.011</v>
      </c>
      <c r="P39" s="42" t="n">
        <f aca="false">PROCESO!$I$90*DEMANDA!N59</f>
        <v>0.011375</v>
      </c>
      <c r="Q39" s="42" t="n">
        <f aca="false">PROCESO!$I$90*DEMANDA!O59</f>
        <v>0.00925</v>
      </c>
      <c r="R39" s="24" t="s">
        <v>2982</v>
      </c>
    </row>
    <row r="40" customFormat="false" ht="15" hidden="false" customHeight="false" outlineLevel="1" collapsed="false">
      <c r="A40" s="24" t="n">
        <v>1</v>
      </c>
      <c r="B40" s="24" t="s">
        <v>1865</v>
      </c>
      <c r="C40" s="40" t="s">
        <v>3082</v>
      </c>
      <c r="D40" s="24" t="s">
        <v>82</v>
      </c>
      <c r="E40" s="24" t="s">
        <v>405</v>
      </c>
      <c r="F40" s="41" t="n">
        <f aca="false">PROCESO!$I$138</f>
        <v>0.0025</v>
      </c>
      <c r="G40" s="24" t="s">
        <v>2281</v>
      </c>
      <c r="H40" s="42" t="n">
        <f aca="false">PROCESO!$I$138*DEMANDA!F60</f>
        <v>0.0025</v>
      </c>
      <c r="I40" s="42" t="n">
        <f aca="false">PROCESO!$I$138*DEMANDA!G60</f>
        <v>0.000125</v>
      </c>
      <c r="J40" s="42" t="n">
        <f aca="false">PROCESO!$I$138*DEMANDA!H60</f>
        <v>0.002625</v>
      </c>
      <c r="K40" s="42" t="n">
        <f aca="false">PROCESO!$I$138*DEMANDA!I60</f>
        <v>0.00275</v>
      </c>
      <c r="L40" s="42" t="n">
        <f aca="false">PROCESO!$I$138*DEMANDA!J60</f>
        <v>0.005375</v>
      </c>
      <c r="M40" s="42" t="n">
        <f aca="false">PROCESO!$I$138*DEMANDA!K60</f>
        <v>0.003125</v>
      </c>
      <c r="N40" s="42" t="n">
        <f aca="false">PROCESO!$I$138*DEMANDA!L60</f>
        <v>0.00325</v>
      </c>
      <c r="O40" s="42" t="n">
        <f aca="false">PROCESO!$I$138*DEMANDA!M60</f>
        <v>0.003375</v>
      </c>
      <c r="P40" s="42" t="n">
        <f aca="false">PROCESO!$I$138*DEMANDA!N60</f>
        <v>0.0035</v>
      </c>
      <c r="Q40" s="42" t="n">
        <f aca="false">PROCESO!$I$138*DEMANDA!O60</f>
        <v>0.001125</v>
      </c>
      <c r="R40" s="24" t="s">
        <v>2984</v>
      </c>
    </row>
    <row r="41" customFormat="false" ht="15" hidden="false" customHeight="false" outlineLevel="0" collapsed="false">
      <c r="A41" s="38" t="n">
        <v>0</v>
      </c>
      <c r="B41" s="38" t="s">
        <v>1795</v>
      </c>
      <c r="C41" s="38" t="s">
        <v>2107</v>
      </c>
      <c r="D41" s="38" t="s">
        <v>73</v>
      </c>
      <c r="E41" s="38"/>
      <c r="F41" s="38"/>
      <c r="G41" s="38"/>
      <c r="H41" s="39" t="n">
        <f aca="false">SUM(H42:H43)</f>
        <v>5.2</v>
      </c>
      <c r="I41" s="39" t="n">
        <f aca="false">SUM(I42:I43)</f>
        <v>18.02</v>
      </c>
      <c r="J41" s="39" t="n">
        <f aca="false">SUM(J42:J43)</f>
        <v>23.388</v>
      </c>
      <c r="K41" s="39" t="n">
        <f aca="false">SUM(K42:K43)</f>
        <v>40.82</v>
      </c>
      <c r="L41" s="39" t="n">
        <f aca="false">SUM(L42:L43)</f>
        <v>44.108</v>
      </c>
      <c r="M41" s="39" t="n">
        <f aca="false">SUM(M42:M43)</f>
        <v>51.624</v>
      </c>
      <c r="N41" s="39" t="n">
        <f aca="false">SUM(N42:N43)</f>
        <v>49.736</v>
      </c>
      <c r="O41" s="39" t="n">
        <f aca="false">SUM(O42:O43)</f>
        <v>40.12</v>
      </c>
      <c r="P41" s="39" t="n">
        <f aca="false">SUM(P42:P43)</f>
        <v>30</v>
      </c>
      <c r="Q41" s="39" t="n">
        <f aca="false">SUM(Q42:Q43)</f>
        <v>31.14</v>
      </c>
      <c r="R41" s="38"/>
    </row>
    <row r="42" customFormat="false" ht="15" hidden="false" customHeight="false" outlineLevel="1" collapsed="false">
      <c r="A42" s="24" t="n">
        <v>1</v>
      </c>
      <c r="B42" s="24" t="s">
        <v>1795</v>
      </c>
      <c r="C42" s="40" t="s">
        <v>3802</v>
      </c>
      <c r="D42" s="24" t="s">
        <v>73</v>
      </c>
      <c r="E42" s="24" t="s">
        <v>372</v>
      </c>
      <c r="F42" s="41" t="n">
        <f aca="false">PROCESO!$I$34</f>
        <v>0.08</v>
      </c>
      <c r="G42" s="24" t="s">
        <v>2281</v>
      </c>
      <c r="H42" s="42" t="n">
        <f aca="false">PROCESO!$I$34*DEMANDA!F49</f>
        <v>5.04</v>
      </c>
      <c r="I42" s="42" t="n">
        <f aca="false">PROCESO!$I$34*DEMANDA!G49</f>
        <v>17.772</v>
      </c>
      <c r="J42" s="42" t="n">
        <f aca="false">PROCESO!$I$34*DEMANDA!H49</f>
        <v>22.808</v>
      </c>
      <c r="K42" s="42" t="n">
        <f aca="false">PROCESO!$I$34*DEMANDA!I49</f>
        <v>39.972</v>
      </c>
      <c r="L42" s="42" t="n">
        <f aca="false">PROCESO!$I$34*DEMANDA!J49</f>
        <v>43.3</v>
      </c>
      <c r="M42" s="42" t="n">
        <f aca="false">PROCESO!$I$34*DEMANDA!K49</f>
        <v>50.62</v>
      </c>
      <c r="N42" s="42" t="n">
        <f aca="false">PROCESO!$I$34*DEMANDA!L49</f>
        <v>48.848</v>
      </c>
      <c r="O42" s="42" t="n">
        <f aca="false">PROCESO!$I$34*DEMANDA!M49</f>
        <v>39.516</v>
      </c>
      <c r="P42" s="42" t="n">
        <f aca="false">PROCESO!$I$34*DEMANDA!N49</f>
        <v>29.376</v>
      </c>
      <c r="Q42" s="42" t="n">
        <f aca="false">PROCESO!$I$34*DEMANDA!O49</f>
        <v>30.576</v>
      </c>
      <c r="R42" s="24" t="s">
        <v>2573</v>
      </c>
    </row>
    <row r="43" customFormat="false" ht="15" hidden="false" customHeight="false" outlineLevel="1" collapsed="false">
      <c r="A43" s="24" t="n">
        <v>1</v>
      </c>
      <c r="B43" s="24" t="s">
        <v>1795</v>
      </c>
      <c r="C43" s="40" t="s">
        <v>3803</v>
      </c>
      <c r="D43" s="24" t="s">
        <v>73</v>
      </c>
      <c r="E43" s="24" t="s">
        <v>375</v>
      </c>
      <c r="F43" s="41" t="n">
        <f aca="false">PROCESO!$I$47</f>
        <v>0.08</v>
      </c>
      <c r="G43" s="24" t="s">
        <v>2281</v>
      </c>
      <c r="H43" s="42" t="n">
        <f aca="false">PROCESO!$I$47*DEMANDA!F50</f>
        <v>0.16</v>
      </c>
      <c r="I43" s="42" t="n">
        <f aca="false">PROCESO!$I$47*DEMANDA!G50</f>
        <v>0.248</v>
      </c>
      <c r="J43" s="42" t="n">
        <f aca="false">PROCESO!$I$47*DEMANDA!H50</f>
        <v>0.58</v>
      </c>
      <c r="K43" s="42" t="n">
        <f aca="false">PROCESO!$I$47*DEMANDA!I50</f>
        <v>0.848</v>
      </c>
      <c r="L43" s="42" t="n">
        <f aca="false">PROCESO!$I$47*DEMANDA!J50</f>
        <v>0.808</v>
      </c>
      <c r="M43" s="42" t="n">
        <f aca="false">PROCESO!$I$47*DEMANDA!K50</f>
        <v>1.004</v>
      </c>
      <c r="N43" s="42" t="n">
        <f aca="false">PROCESO!$I$47*DEMANDA!L50</f>
        <v>0.888</v>
      </c>
      <c r="O43" s="42" t="n">
        <f aca="false">PROCESO!$I$47*DEMANDA!M50</f>
        <v>0.604</v>
      </c>
      <c r="P43" s="42" t="n">
        <f aca="false">PROCESO!$I$47*DEMANDA!N50</f>
        <v>0.624</v>
      </c>
      <c r="Q43" s="42" t="n">
        <f aca="false">PROCESO!$I$47*DEMANDA!O50</f>
        <v>0.564</v>
      </c>
      <c r="R43" s="24" t="s">
        <v>2576</v>
      </c>
    </row>
    <row r="44" customFormat="false" ht="15" hidden="false" customHeight="false" outlineLevel="0" collapsed="false">
      <c r="A44" s="38" t="n">
        <v>0</v>
      </c>
      <c r="B44" s="38" t="s">
        <v>1799</v>
      </c>
      <c r="C44" s="38" t="s">
        <v>2117</v>
      </c>
      <c r="D44" s="38" t="s">
        <v>82</v>
      </c>
      <c r="E44" s="38"/>
      <c r="F44" s="38"/>
      <c r="G44" s="38"/>
      <c r="H44" s="39" t="n">
        <f aca="false">SUM(H45:H46)</f>
        <v>1.3</v>
      </c>
      <c r="I44" s="39" t="n">
        <f aca="false">SUM(I45:I46)</f>
        <v>4.505</v>
      </c>
      <c r="J44" s="39" t="n">
        <f aca="false">SUM(J45:J46)</f>
        <v>5.847</v>
      </c>
      <c r="K44" s="39" t="n">
        <f aca="false">SUM(K45:K46)</f>
        <v>10.205</v>
      </c>
      <c r="L44" s="39" t="n">
        <f aca="false">SUM(L45:L46)</f>
        <v>11.027</v>
      </c>
      <c r="M44" s="39" t="n">
        <f aca="false">SUM(M45:M46)</f>
        <v>12.906</v>
      </c>
      <c r="N44" s="39" t="n">
        <f aca="false">SUM(N45:N46)</f>
        <v>12.434</v>
      </c>
      <c r="O44" s="39" t="n">
        <f aca="false">SUM(O45:O46)</f>
        <v>10.03</v>
      </c>
      <c r="P44" s="39" t="n">
        <f aca="false">SUM(P45:P46)</f>
        <v>7.5</v>
      </c>
      <c r="Q44" s="39" t="n">
        <f aca="false">SUM(Q45:Q46)</f>
        <v>7.785</v>
      </c>
      <c r="R44" s="38"/>
    </row>
    <row r="45" customFormat="false" ht="15" hidden="false" customHeight="false" outlineLevel="1" collapsed="false">
      <c r="A45" s="24" t="n">
        <v>1</v>
      </c>
      <c r="B45" s="24" t="s">
        <v>1799</v>
      </c>
      <c r="C45" s="40" t="s">
        <v>3804</v>
      </c>
      <c r="D45" s="24" t="s">
        <v>82</v>
      </c>
      <c r="E45" s="24" t="s">
        <v>372</v>
      </c>
      <c r="F45" s="41" t="n">
        <f aca="false">PROCESO!$I$35</f>
        <v>0.02</v>
      </c>
      <c r="G45" s="24" t="s">
        <v>2281</v>
      </c>
      <c r="H45" s="42" t="n">
        <f aca="false">PROCESO!$I$35*DEMANDA!F49</f>
        <v>1.26</v>
      </c>
      <c r="I45" s="42" t="n">
        <f aca="false">PROCESO!$I$35*DEMANDA!G49</f>
        <v>4.443</v>
      </c>
      <c r="J45" s="42" t="n">
        <f aca="false">PROCESO!$I$35*DEMANDA!H49</f>
        <v>5.702</v>
      </c>
      <c r="K45" s="42" t="n">
        <f aca="false">PROCESO!$I$35*DEMANDA!I49</f>
        <v>9.993</v>
      </c>
      <c r="L45" s="42" t="n">
        <f aca="false">PROCESO!$I$35*DEMANDA!J49</f>
        <v>10.825</v>
      </c>
      <c r="M45" s="42" t="n">
        <f aca="false">PROCESO!$I$35*DEMANDA!K49</f>
        <v>12.655</v>
      </c>
      <c r="N45" s="42" t="n">
        <f aca="false">PROCESO!$I$35*DEMANDA!L49</f>
        <v>12.212</v>
      </c>
      <c r="O45" s="42" t="n">
        <f aca="false">PROCESO!$I$35*DEMANDA!M49</f>
        <v>9.879</v>
      </c>
      <c r="P45" s="42" t="n">
        <f aca="false">PROCESO!$I$35*DEMANDA!N49</f>
        <v>7.344</v>
      </c>
      <c r="Q45" s="42" t="n">
        <f aca="false">PROCESO!$I$35*DEMANDA!O49</f>
        <v>7.644</v>
      </c>
      <c r="R45" s="24" t="s">
        <v>2585</v>
      </c>
    </row>
    <row r="46" customFormat="false" ht="15" hidden="false" customHeight="false" outlineLevel="1" collapsed="false">
      <c r="A46" s="24" t="n">
        <v>1</v>
      </c>
      <c r="B46" s="24" t="s">
        <v>1799</v>
      </c>
      <c r="C46" s="40" t="s">
        <v>3805</v>
      </c>
      <c r="D46" s="24" t="s">
        <v>82</v>
      </c>
      <c r="E46" s="24" t="s">
        <v>375</v>
      </c>
      <c r="F46" s="41" t="n">
        <f aca="false">PROCESO!$I$48</f>
        <v>0.02</v>
      </c>
      <c r="G46" s="24" t="s">
        <v>2281</v>
      </c>
      <c r="H46" s="42" t="n">
        <f aca="false">PROCESO!$I$48*DEMANDA!F50</f>
        <v>0.04</v>
      </c>
      <c r="I46" s="42" t="n">
        <f aca="false">PROCESO!$I$48*DEMANDA!G50</f>
        <v>0.062</v>
      </c>
      <c r="J46" s="42" t="n">
        <f aca="false">PROCESO!$I$48*DEMANDA!H50</f>
        <v>0.145</v>
      </c>
      <c r="K46" s="42" t="n">
        <f aca="false">PROCESO!$I$48*DEMANDA!I50</f>
        <v>0.212</v>
      </c>
      <c r="L46" s="42" t="n">
        <f aca="false">PROCESO!$I$48*DEMANDA!J50</f>
        <v>0.202</v>
      </c>
      <c r="M46" s="42" t="n">
        <f aca="false">PROCESO!$I$48*DEMANDA!K50</f>
        <v>0.251</v>
      </c>
      <c r="N46" s="42" t="n">
        <f aca="false">PROCESO!$I$48*DEMANDA!L50</f>
        <v>0.222</v>
      </c>
      <c r="O46" s="42" t="n">
        <f aca="false">PROCESO!$I$48*DEMANDA!M50</f>
        <v>0.151</v>
      </c>
      <c r="P46" s="42" t="n">
        <f aca="false">PROCESO!$I$48*DEMANDA!N50</f>
        <v>0.156</v>
      </c>
      <c r="Q46" s="42" t="n">
        <f aca="false">PROCESO!$I$48*DEMANDA!O50</f>
        <v>0.141</v>
      </c>
      <c r="R46" s="24" t="s">
        <v>2588</v>
      </c>
    </row>
  </sheetData>
  <autoFilter ref="A3:R4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3806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8" t="n">
        <v>0</v>
      </c>
      <c r="B4" s="38" t="s">
        <v>688</v>
      </c>
      <c r="C4" s="38" t="s">
        <v>1374</v>
      </c>
      <c r="D4" s="38" t="s">
        <v>82</v>
      </c>
      <c r="E4" s="38"/>
      <c r="F4" s="38"/>
      <c r="G4" s="38"/>
      <c r="H4" s="39" t="n">
        <f aca="false">SUM(H5:H13)</f>
        <v>289.134455460256</v>
      </c>
      <c r="I4" s="39" t="n">
        <f aca="false">SUM(I5:I13)</f>
        <v>510.667493357073</v>
      </c>
      <c r="J4" s="39" t="n">
        <f aca="false">SUM(J5:J13)</f>
        <v>673.713240737074</v>
      </c>
      <c r="K4" s="39" t="n">
        <f aca="false">SUM(K5:K13)</f>
        <v>915.295670179263</v>
      </c>
      <c r="L4" s="39" t="n">
        <f aca="false">SUM(L5:L13)</f>
        <v>1442.16052209004</v>
      </c>
      <c r="M4" s="39" t="n">
        <f aca="false">SUM(M5:M13)</f>
        <v>1968.29985641314</v>
      </c>
      <c r="N4" s="39" t="n">
        <f aca="false">SUM(N5:N13)</f>
        <v>2537.34532534233</v>
      </c>
      <c r="O4" s="39" t="n">
        <f aca="false">SUM(O5:O13)</f>
        <v>3151.29515674435</v>
      </c>
      <c r="P4" s="39" t="n">
        <f aca="false">SUM(P5:P13)</f>
        <v>3681.46258880589</v>
      </c>
      <c r="Q4" s="39" t="n">
        <f aca="false">SUM(Q5:Q13)</f>
        <v>4254.36264937325</v>
      </c>
      <c r="R4" s="38"/>
    </row>
    <row r="5" customFormat="false" ht="15" hidden="false" customHeight="false" outlineLevel="1" collapsed="false">
      <c r="A5" s="24" t="n">
        <v>1</v>
      </c>
      <c r="B5" s="24" t="s">
        <v>688</v>
      </c>
      <c r="C5" s="40" t="s">
        <v>3807</v>
      </c>
      <c r="D5" s="24" t="s">
        <v>82</v>
      </c>
      <c r="E5" s="24" t="s">
        <v>409</v>
      </c>
      <c r="F5" s="41" t="n">
        <f aca="false">INDEX((BOM_COEF!R365~BOM_COEF!S365~BOM_COEF!T365~BOM_COEF!U365~BOM_COEF!V365~BOM_COEF!W365~BOM_COEF!X365~BOM_COEF!Y365~BOM_COEF!Z365~BOM_COEF!AA365),1,1,INDEX(P_VAL,MATCH("AÑO_DIS",P_ID,0))-2025)</f>
        <v>1</v>
      </c>
      <c r="G5" s="24" t="s">
        <v>689</v>
      </c>
      <c r="H5" s="42" t="n">
        <f aca="false">BOM_COEF!R365*DEMANDA!F61*INDEX(PY_VAL,MATCH("P_CABA_NUE",PY_ID,0),1)</f>
        <v>40.9435207411915</v>
      </c>
      <c r="I5" s="42" t="n">
        <f aca="false">BOM_COEF!S365*DEMANDA!G61*INDEX(PY_VAL,MATCH("P_CABA_NUE",PY_ID,0),2)</f>
        <v>74.6717600224589</v>
      </c>
      <c r="J5" s="42" t="n">
        <f aca="false">BOM_COEF!T365*DEMANDA!H61*INDEX(PY_VAL,MATCH("P_CABA_NUE",PY_ID,0),3)</f>
        <v>101.751257463072</v>
      </c>
      <c r="K5" s="42" t="n">
        <f aca="false">BOM_COEF!U365*DEMANDA!I61*INDEX(PY_VAL,MATCH("P_CABA_NUE",PY_ID,0),4)</f>
        <v>140.408175074522</v>
      </c>
      <c r="L5" s="42" t="n">
        <f aca="false">BOM_COEF!V365*DEMANDA!J61*INDEX(PY_VAL,MATCH("P_CABA_NUE",PY_ID,0),5)</f>
        <v>227.401111572593</v>
      </c>
      <c r="M5" s="42" t="n">
        <f aca="false">BOM_COEF!W365*DEMANDA!K61*INDEX(PY_VAL,MATCH("P_CABA_NUE",PY_ID,0),6)</f>
        <v>320.007884052515</v>
      </c>
      <c r="N5" s="42" t="n">
        <f aca="false">BOM_COEF!X365*DEMANDA!L61*INDEX(PY_VAL,MATCH("P_CABA_NUE",PY_ID,0),7)</f>
        <v>413.486582183441</v>
      </c>
      <c r="O5" s="42" t="n">
        <f aca="false">BOM_COEF!Y365*DEMANDA!M61*INDEX(PY_VAL,MATCH("P_CABA_NUE",PY_ID,0),8)</f>
        <v>513.287053998141</v>
      </c>
      <c r="P5" s="42" t="n">
        <f aca="false">BOM_COEF!Z365*DEMANDA!N61*INDEX(PY_VAL,MATCH("P_CABA_NUE",PY_ID,0),9)</f>
        <v>596.737685476414</v>
      </c>
      <c r="Q5" s="42" t="n">
        <f aca="false">BOM_COEF!AA365*DEMANDA!O61*INDEX(PY_VAL,MATCH("P_CABA_NUE",PY_ID,0),10)</f>
        <v>686.180826276164</v>
      </c>
      <c r="R5" s="24" t="s">
        <v>3808</v>
      </c>
    </row>
    <row r="6" customFormat="false" ht="15" hidden="false" customHeight="false" outlineLevel="1" collapsed="false">
      <c r="A6" s="24" t="n">
        <v>1</v>
      </c>
      <c r="B6" s="24" t="s">
        <v>688</v>
      </c>
      <c r="C6" s="40" t="s">
        <v>3809</v>
      </c>
      <c r="D6" s="24" t="s">
        <v>82</v>
      </c>
      <c r="E6" s="24" t="s">
        <v>412</v>
      </c>
      <c r="F6" s="41" t="n">
        <f aca="false">INDEX((BOM_COEF!R367~BOM_COEF!S367~BOM_COEF!T367~BOM_COEF!U367~BOM_COEF!V367~BOM_COEF!W367~BOM_COEF!X367~BOM_COEF!Y367~BOM_COEF!Z367~BOM_COEF!AA367),1,1,INDEX(P_VAL,MATCH("AÑO_DIS",P_ID,0))-2025)</f>
        <v>1</v>
      </c>
      <c r="G6" s="24" t="s">
        <v>689</v>
      </c>
      <c r="H6" s="42" t="n">
        <f aca="false">BOM_COEF!R367*DEMANDA!F62*INDEX(PY_VAL,MATCH("P_CABA_NUE",PY_ID,0),1)</f>
        <v>23.1991387388353</v>
      </c>
      <c r="I6" s="42" t="n">
        <f aca="false">BOM_COEF!S367*DEMANDA!G62*INDEX(PY_VAL,MATCH("P_CABA_NUE",PY_ID,0),2)</f>
        <v>37.2639880755105</v>
      </c>
      <c r="J6" s="42" t="n">
        <f aca="false">BOM_COEF!T367*DEMANDA!H62*INDEX(PY_VAL,MATCH("P_CABA_NUE",PY_ID,0),3)</f>
        <v>45.0772799818731</v>
      </c>
      <c r="K6" s="42" t="n">
        <f aca="false">BOM_COEF!U367*DEMANDA!I62*INDEX(PY_VAL,MATCH("P_CABA_NUE",PY_ID,0),4)</f>
        <v>57.7875937454449</v>
      </c>
      <c r="L6" s="42" t="n">
        <f aca="false">BOM_COEF!V367*DEMANDA!J62*INDEX(PY_VAL,MATCH("P_CABA_NUE",PY_ID,0),5)</f>
        <v>84.0466525327851</v>
      </c>
      <c r="M6" s="42" t="n">
        <f aca="false">BOM_COEF!W367*DEMANDA!K62*INDEX(PY_VAL,MATCH("P_CABA_NUE",PY_ID,0),6)</f>
        <v>104.608247959096</v>
      </c>
      <c r="N6" s="42" t="n">
        <f aca="false">BOM_COEF!X367*DEMANDA!L62*INDEX(PY_VAL,MATCH("P_CABA_NUE",PY_ID,0),7)</f>
        <v>134.292210625932</v>
      </c>
      <c r="O6" s="42" t="n">
        <f aca="false">BOM_COEF!Y367*DEMANDA!M62*INDEX(PY_VAL,MATCH("P_CABA_NUE",PY_ID,0),8)</f>
        <v>166.930793284828</v>
      </c>
      <c r="P6" s="42" t="n">
        <f aca="false">BOM_COEF!Z367*DEMANDA!N62*INDEX(PY_VAL,MATCH("P_CABA_NUE",PY_ID,0),9)</f>
        <v>196.700227975643</v>
      </c>
      <c r="Q6" s="42" t="n">
        <f aca="false">BOM_COEF!AA367*DEMANDA!O62*INDEX(PY_VAL,MATCH("P_CABA_NUE",PY_ID,0),10)</f>
        <v>229.295038569043</v>
      </c>
      <c r="R6" s="24" t="s">
        <v>3810</v>
      </c>
    </row>
    <row r="7" customFormat="false" ht="15" hidden="false" customHeight="false" outlineLevel="1" collapsed="false">
      <c r="A7" s="24" t="n">
        <v>1</v>
      </c>
      <c r="B7" s="24" t="s">
        <v>688</v>
      </c>
      <c r="C7" s="40" t="s">
        <v>3811</v>
      </c>
      <c r="D7" s="24" t="s">
        <v>82</v>
      </c>
      <c r="E7" s="24" t="s">
        <v>415</v>
      </c>
      <c r="F7" s="41" t="n">
        <f aca="false">INDEX((BOM_COEF!R369~BOM_COEF!S369~BOM_COEF!T369~BOM_COEF!U369~BOM_COEF!V369~BOM_COEF!W369~BOM_COEF!X369~BOM_COEF!Y369~BOM_COEF!Z369~BOM_COEF!AA369),1,1,INDEX(P_VAL,MATCH("AÑO_DIS",P_ID,0))-2025)</f>
        <v>1</v>
      </c>
      <c r="G7" s="24" t="s">
        <v>689</v>
      </c>
      <c r="H7" s="42" t="n">
        <f aca="false">BOM_COEF!R369*DEMANDA!F63*INDEX(PY_VAL,MATCH("P_CABA_NUE",PY_ID,0),1)</f>
        <v>9.94248803226171</v>
      </c>
      <c r="I7" s="42" t="n">
        <f aca="false">BOM_COEF!S369*DEMANDA!G63*INDEX(PY_VAL,MATCH("P_CABA_NUE",PY_ID,0),2)</f>
        <v>15.9702806067868</v>
      </c>
      <c r="J7" s="42" t="n">
        <f aca="false">BOM_COEF!T369*DEMANDA!H63*INDEX(PY_VAL,MATCH("P_CABA_NUE",PY_ID,0),3)</f>
        <v>19.3188342809421</v>
      </c>
      <c r="K7" s="42" t="n">
        <f aca="false">BOM_COEF!U369*DEMANDA!I63*INDEX(PY_VAL,MATCH("P_CABA_NUE",PY_ID,0),4)</f>
        <v>24.7661116118514</v>
      </c>
      <c r="L7" s="42" t="n">
        <f aca="false">BOM_COEF!V369*DEMANDA!J63*INDEX(PY_VAL,MATCH("P_CABA_NUE",PY_ID,0),5)</f>
        <v>36.0199939392895</v>
      </c>
      <c r="M7" s="42" t="n">
        <f aca="false">BOM_COEF!W369*DEMANDA!K63*INDEX(PY_VAL,MATCH("P_CABA_NUE",PY_ID,0),6)</f>
        <v>44.8321062715206</v>
      </c>
      <c r="N7" s="42" t="n">
        <f aca="false">BOM_COEF!X369*DEMANDA!L63*INDEX(PY_VAL,MATCH("P_CABA_NUE",PY_ID,0),7)</f>
        <v>57.5538045606562</v>
      </c>
      <c r="O7" s="42" t="n">
        <f aca="false">BOM_COEF!Y369*DEMANDA!M63*INDEX(PY_VAL,MATCH("P_CABA_NUE",PY_ID,0),8)</f>
        <v>71.5417685539912</v>
      </c>
      <c r="P7" s="42" t="n">
        <f aca="false">BOM_COEF!Z369*DEMANDA!N63*INDEX(PY_VAL,MATCH("P_CABA_NUE",PY_ID,0),9)</f>
        <v>84.3000977139302</v>
      </c>
      <c r="Q7" s="42" t="n">
        <f aca="false">BOM_COEF!AA369*DEMANDA!O63*INDEX(PY_VAL,MATCH("P_CABA_NUE",PY_ID,0),10)</f>
        <v>98.2693022472501</v>
      </c>
      <c r="R7" s="24" t="s">
        <v>3812</v>
      </c>
    </row>
    <row r="8" customFormat="false" ht="15" hidden="false" customHeight="false" outlineLevel="1" collapsed="false">
      <c r="A8" s="24" t="n">
        <v>1</v>
      </c>
      <c r="B8" s="24" t="s">
        <v>688</v>
      </c>
      <c r="C8" s="40" t="s">
        <v>3813</v>
      </c>
      <c r="D8" s="24" t="s">
        <v>82</v>
      </c>
      <c r="E8" s="24" t="s">
        <v>418</v>
      </c>
      <c r="F8" s="41" t="n">
        <f aca="false">INDEX((BOM_COEF!R371~BOM_COEF!S371~BOM_COEF!T371~BOM_COEF!U371~BOM_COEF!V371~BOM_COEF!W371~BOM_COEF!X371~BOM_COEF!Y371~BOM_COEF!Z371~BOM_COEF!AA371),1,1,INDEX(P_VAL,MATCH("AÑO_DIS",P_ID,0))-2025)</f>
        <v>1</v>
      </c>
      <c r="G8" s="24" t="s">
        <v>689</v>
      </c>
      <c r="H8" s="42" t="n">
        <f aca="false">BOM_COEF!R371*DEMANDA!F64*INDEX(PY_VAL,MATCH("P_CABA_NUE",PY_ID,0),1)</f>
        <v>6.62832535328679</v>
      </c>
      <c r="I8" s="42" t="n">
        <f aca="false">BOM_COEF!S371*DEMANDA!G64*INDEX(PY_VAL,MATCH("P_CABA_NUE",PY_ID,0),2)</f>
        <v>10.6468537378578</v>
      </c>
      <c r="J8" s="42" t="n">
        <f aca="false">BOM_COEF!T371*DEMANDA!H64*INDEX(PY_VAL,MATCH("P_CABA_NUE",PY_ID,0),3)</f>
        <v>12.8792228539614</v>
      </c>
      <c r="K8" s="42" t="n">
        <f aca="false">BOM_COEF!U371*DEMANDA!I64*INDEX(PY_VAL,MATCH("P_CABA_NUE",PY_ID,0),4)</f>
        <v>16.5107410714592</v>
      </c>
      <c r="L8" s="42" t="n">
        <f aca="false">BOM_COEF!V371*DEMANDA!J64*INDEX(PY_VAL,MATCH("P_CABA_NUE",PY_ID,0),5)</f>
        <v>24.0133292850833</v>
      </c>
      <c r="M8" s="42" t="n">
        <f aca="false">BOM_COEF!W371*DEMANDA!K64*INDEX(PY_VAL,MATCH("P_CABA_NUE",PY_ID,0),6)</f>
        <v>29.888070855466</v>
      </c>
      <c r="N8" s="42" t="n">
        <f aca="false">BOM_COEF!X371*DEMANDA!L64*INDEX(PY_VAL,MATCH("P_CABA_NUE",PY_ID,0),7)</f>
        <v>38.3692030326381</v>
      </c>
      <c r="O8" s="42" t="n">
        <f aca="false">BOM_COEF!Y371*DEMANDA!M64*INDEX(PY_VAL,MATCH("P_CABA_NUE",PY_ID,0),8)</f>
        <v>47.6945123771455</v>
      </c>
      <c r="P8" s="42" t="n">
        <f aca="false">BOM_COEF!Z371*DEMANDA!N64*INDEX(PY_VAL,MATCH("P_CABA_NUE",PY_ID,0),9)</f>
        <v>56.2000651426202</v>
      </c>
      <c r="Q8" s="42" t="n">
        <f aca="false">BOM_COEF!AA371*DEMANDA!O64*INDEX(PY_VAL,MATCH("P_CABA_NUE",PY_ID,0),10)</f>
        <v>65.5128681490858</v>
      </c>
      <c r="R8" s="24" t="s">
        <v>3814</v>
      </c>
    </row>
    <row r="9" customFormat="false" ht="15" hidden="false" customHeight="false" outlineLevel="1" collapsed="false">
      <c r="A9" s="24" t="n">
        <v>1</v>
      </c>
      <c r="B9" s="24" t="s">
        <v>688</v>
      </c>
      <c r="C9" s="40" t="s">
        <v>3815</v>
      </c>
      <c r="D9" s="24" t="s">
        <v>82</v>
      </c>
      <c r="E9" s="24" t="s">
        <v>421</v>
      </c>
      <c r="F9" s="41" t="n">
        <f aca="false">INDEX((BOM_COEF!R373~BOM_COEF!S373~BOM_COEF!T373~BOM_COEF!U373~BOM_COEF!V373~BOM_COEF!W373~BOM_COEF!X373~BOM_COEF!Y373~BOM_COEF!Z373~BOM_COEF!AA373),1,1,INDEX(P_VAL,MATCH("AÑO_DIS",P_ID,0))-2025)</f>
        <v>1</v>
      </c>
      <c r="G9" s="24" t="s">
        <v>689</v>
      </c>
      <c r="H9" s="42" t="n">
        <f aca="false">BOM_COEF!R373*DEMANDA!F65*INDEX(PY_VAL,MATCH("P_CABA_NUE",PY_ID,0),1)</f>
        <v>23.4577866280161</v>
      </c>
      <c r="I9" s="42" t="n">
        <f aca="false">BOM_COEF!S373*DEMANDA!G65*INDEX(PY_VAL,MATCH("P_CABA_NUE",PY_ID,0),2)</f>
        <v>44.0252863368286</v>
      </c>
      <c r="J9" s="42" t="n">
        <f aca="false">BOM_COEF!T373*DEMANDA!H65*INDEX(PY_VAL,MATCH("P_CABA_NUE",PY_ID,0),3)</f>
        <v>58.0293484516087</v>
      </c>
      <c r="K9" s="42" t="n">
        <f aca="false">BOM_COEF!U373*DEMANDA!I65*INDEX(PY_VAL,MATCH("P_CABA_NUE",PY_ID,0),4)</f>
        <v>81.2240222852076</v>
      </c>
      <c r="L9" s="42" t="n">
        <f aca="false">BOM_COEF!V373*DEMANDA!J65*INDEX(PY_VAL,MATCH("P_CABA_NUE",PY_ID,0),5)</f>
        <v>127.41727672884</v>
      </c>
      <c r="M9" s="42" t="n">
        <f aca="false">BOM_COEF!W373*DEMANDA!K65*INDEX(PY_VAL,MATCH("P_CABA_NUE",PY_ID,0),6)</f>
        <v>175.610387748154</v>
      </c>
      <c r="N9" s="42" t="n">
        <f aca="false">BOM_COEF!X373*DEMANDA!L65*INDEX(PY_VAL,MATCH("P_CABA_NUE",PY_ID,0),7)</f>
        <v>224.632379024331</v>
      </c>
      <c r="O9" s="42" t="n">
        <f aca="false">BOM_COEF!Y373*DEMANDA!M65*INDEX(PY_VAL,MATCH("P_CABA_NUE",PY_ID,0),8)</f>
        <v>279.437652136128</v>
      </c>
      <c r="P9" s="42" t="n">
        <f aca="false">BOM_COEF!Z373*DEMANDA!N65*INDEX(PY_VAL,MATCH("P_CABA_NUE",PY_ID,0),9)</f>
        <v>331.721105468185</v>
      </c>
      <c r="Q9" s="42" t="n">
        <f aca="false">BOM_COEF!AA373*DEMANDA!O65*INDEX(PY_VAL,MATCH("P_CABA_NUE",PY_ID,0),10)</f>
        <v>389.550841150517</v>
      </c>
      <c r="R9" s="24" t="s">
        <v>3816</v>
      </c>
    </row>
    <row r="10" customFormat="false" ht="15" hidden="false" customHeight="false" outlineLevel="1" collapsed="false">
      <c r="A10" s="24" t="n">
        <v>1</v>
      </c>
      <c r="B10" s="24" t="s">
        <v>688</v>
      </c>
      <c r="C10" s="40" t="s">
        <v>3817</v>
      </c>
      <c r="D10" s="24" t="s">
        <v>82</v>
      </c>
      <c r="E10" s="24" t="s">
        <v>424</v>
      </c>
      <c r="F10" s="41" t="n">
        <f aca="false">INDEX((BOM_COEF!R375~BOM_COEF!S375~BOM_COEF!T375~BOM_COEF!U375~BOM_COEF!V375~BOM_COEF!W375~BOM_COEF!X375~BOM_COEF!Y375~BOM_COEF!Z375~BOM_COEF!AA375),1,1,INDEX(P_VAL,MATCH("AÑO_DIS",P_ID,0))-2025)</f>
        <v>1</v>
      </c>
      <c r="G10" s="24" t="s">
        <v>689</v>
      </c>
      <c r="H10" s="42" t="n">
        <f aca="false">BOM_COEF!R375*DEMANDA!F66*INDEX(PY_VAL,MATCH("P_CABA_NUE",PY_ID,0),1)</f>
        <v>98.3869181150879</v>
      </c>
      <c r="I10" s="42" t="n">
        <f aca="false">BOM_COEF!S375*DEMANDA!G66*INDEX(PY_VAL,MATCH("P_CABA_NUE",PY_ID,0),2)</f>
        <v>180.00071815873</v>
      </c>
      <c r="J10" s="42" t="n">
        <f aca="false">BOM_COEF!T375*DEMANDA!H66*INDEX(PY_VAL,MATCH("P_CABA_NUE",PY_ID,0),3)</f>
        <v>248.526426749981</v>
      </c>
      <c r="K10" s="42" t="n">
        <f aca="false">BOM_COEF!U375*DEMANDA!I66*INDEX(PY_VAL,MATCH("P_CABA_NUE",PY_ID,0),4)</f>
        <v>343.851116376219</v>
      </c>
      <c r="L10" s="42" t="n">
        <f aca="false">BOM_COEF!V375*DEMANDA!J66*INDEX(PY_VAL,MATCH("P_CABA_NUE",PY_ID,0),5)</f>
        <v>558.645468777732</v>
      </c>
      <c r="M10" s="42" t="n">
        <f aca="false">BOM_COEF!W375*DEMANDA!K66*INDEX(PY_VAL,MATCH("P_CABA_NUE",PY_ID,0),6)</f>
        <v>773.473276393731</v>
      </c>
      <c r="N10" s="42" t="n">
        <f aca="false">BOM_COEF!X375*DEMANDA!L66*INDEX(PY_VAL,MATCH("P_CABA_NUE",PY_ID,0),7)</f>
        <v>1000.07693192138</v>
      </c>
      <c r="O10" s="42" t="n">
        <f aca="false">BOM_COEF!Y375*DEMANDA!M66*INDEX(PY_VAL,MATCH("P_CABA_NUE",PY_ID,0),8)</f>
        <v>1241.28810099513</v>
      </c>
      <c r="P10" s="42" t="n">
        <f aca="false">BOM_COEF!Z375*DEMANDA!N66*INDEX(PY_VAL,MATCH("P_CABA_NUE",PY_ID,0),9)</f>
        <v>1441.10641768508</v>
      </c>
      <c r="Q10" s="42" t="n">
        <f aca="false">BOM_COEF!AA375*DEMANDA!O66*INDEX(PY_VAL,MATCH("P_CABA_NUE",PY_ID,0),10)</f>
        <v>1654.7527648005</v>
      </c>
      <c r="R10" s="24" t="s">
        <v>3818</v>
      </c>
    </row>
    <row r="11" customFormat="false" ht="15" hidden="false" customHeight="false" outlineLevel="1" collapsed="false">
      <c r="A11" s="24" t="n">
        <v>1</v>
      </c>
      <c r="B11" s="24" t="s">
        <v>688</v>
      </c>
      <c r="C11" s="40" t="s">
        <v>3819</v>
      </c>
      <c r="D11" s="24" t="s">
        <v>82</v>
      </c>
      <c r="E11" s="24" t="s">
        <v>427</v>
      </c>
      <c r="F11" s="41" t="n">
        <f aca="false">INDEX((BOM_COEF!R377~BOM_COEF!S377~BOM_COEF!T377~BOM_COEF!U377~BOM_COEF!V377~BOM_COEF!W377~BOM_COEF!X377~BOM_COEF!Y377~BOM_COEF!Z377~BOM_COEF!AA377),1,1,INDEX(P_VAL,MATCH("AÑO_DIS",P_ID,0))-2025)</f>
        <v>1</v>
      </c>
      <c r="G11" s="24" t="s">
        <v>689</v>
      </c>
      <c r="H11" s="42" t="n">
        <f aca="false">BOM_COEF!R377*DEMANDA!F67*INDEX(PY_VAL,MATCH("P_CABA_NUE",PY_ID,0),1)</f>
        <v>66.2246598316892</v>
      </c>
      <c r="I11" s="42" t="n">
        <f aca="false">BOM_COEF!S377*DEMANDA!G67*INDEX(PY_VAL,MATCH("P_CABA_NUE",PY_ID,0),2)</f>
        <v>114.074238297512</v>
      </c>
      <c r="J11" s="42" t="n">
        <f aca="false">BOM_COEF!T377*DEMANDA!H67*INDEX(PY_VAL,MATCH("P_CABA_NUE",PY_ID,0),3)</f>
        <v>145.762680991972</v>
      </c>
      <c r="K11" s="42" t="n">
        <f aca="false">BOM_COEF!U377*DEMANDA!I67*INDEX(PY_VAL,MATCH("P_CABA_NUE",PY_ID,0),4)</f>
        <v>195.114566855999</v>
      </c>
      <c r="L11" s="42" t="n">
        <f aca="false">BOM_COEF!V377*DEMANDA!J67*INDEX(PY_VAL,MATCH("P_CABA_NUE",PY_ID,0),5)</f>
        <v>300.743578575051</v>
      </c>
      <c r="M11" s="42" t="n">
        <f aca="false">BOM_COEF!W377*DEMANDA!K67*INDEX(PY_VAL,MATCH("P_CABA_NUE",PY_ID,0),6)</f>
        <v>409.150338830375</v>
      </c>
      <c r="N11" s="42" t="n">
        <f aca="false">BOM_COEF!X377*DEMANDA!L67*INDEX(PY_VAL,MATCH("P_CABA_NUE",PY_ID,0),7)</f>
        <v>526.51410431484</v>
      </c>
      <c r="O11" s="42" t="n">
        <f aca="false">BOM_COEF!Y377*DEMANDA!M67*INDEX(PY_VAL,MATCH("P_CABA_NUE",PY_ID,0),8)</f>
        <v>654.15117716773</v>
      </c>
      <c r="P11" s="42" t="n">
        <f aca="false">BOM_COEF!Z377*DEMANDA!N67*INDEX(PY_VAL,MATCH("P_CABA_NUE",PY_ID,0),9)</f>
        <v>766.989963279783</v>
      </c>
      <c r="Q11" s="42" t="n">
        <f aca="false">BOM_COEF!AA377*DEMANDA!O67*INDEX(PY_VAL,MATCH("P_CABA_NUE",PY_ID,0),10)</f>
        <v>889.627768588389</v>
      </c>
      <c r="R11" s="24" t="s">
        <v>3820</v>
      </c>
    </row>
    <row r="12" customFormat="false" ht="15" hidden="false" customHeight="false" outlineLevel="1" collapsed="false">
      <c r="A12" s="24" t="n">
        <v>1</v>
      </c>
      <c r="B12" s="24" t="s">
        <v>688</v>
      </c>
      <c r="C12" s="40" t="s">
        <v>3821</v>
      </c>
      <c r="D12" s="24" t="s">
        <v>82</v>
      </c>
      <c r="E12" s="24" t="s">
        <v>430</v>
      </c>
      <c r="F12" s="41" t="n">
        <f aca="false">INDEX((BOM_COEF!R379~BOM_COEF!S379~BOM_COEF!T379~BOM_COEF!U379~BOM_COEF!V379~BOM_COEF!W379~BOM_COEF!X379~BOM_COEF!Y379~BOM_COEF!Z379~BOM_COEF!AA379),1,1,INDEX(P_VAL,MATCH("AÑO_DIS",P_ID,0))-2025)</f>
        <v>1</v>
      </c>
      <c r="G12" s="24" t="s">
        <v>689</v>
      </c>
      <c r="H12" s="42" t="n">
        <f aca="false">BOM_COEF!R379*DEMANDA!F68*INDEX(PY_VAL,MATCH("P_CABA_NUE",PY_ID,0),1)</f>
        <v>13.7232926666005</v>
      </c>
      <c r="I12" s="42" t="n">
        <f aca="false">BOM_COEF!S379*DEMANDA!G68*INDEX(PY_VAL,MATCH("P_CABA_NUE",PY_ID,0),2)</f>
        <v>23.3675143835305</v>
      </c>
      <c r="J12" s="42" t="n">
        <f aca="false">BOM_COEF!T379*DEMANDA!H68*INDEX(PY_VAL,MATCH("P_CABA_NUE",PY_ID,0),3)</f>
        <v>29.4889671097021</v>
      </c>
      <c r="K12" s="42" t="n">
        <f aca="false">BOM_COEF!U379*DEMANDA!I68*INDEX(PY_VAL,MATCH("P_CABA_NUE",PY_ID,0),4)</f>
        <v>39.1226020871002</v>
      </c>
      <c r="L12" s="42" t="n">
        <f aca="false">BOM_COEF!V379*DEMANDA!J68*INDEX(PY_VAL,MATCH("P_CABA_NUE",PY_ID,0),5)</f>
        <v>59.8597813935811</v>
      </c>
      <c r="M12" s="42" t="n">
        <f aca="false">BOM_COEF!W379*DEMANDA!K68*INDEX(PY_VAL,MATCH("P_CABA_NUE",PY_ID,0),6)</f>
        <v>80.8414734468217</v>
      </c>
      <c r="N12" s="42" t="n">
        <f aca="false">BOM_COEF!X379*DEMANDA!L68*INDEX(PY_VAL,MATCH("P_CABA_NUE",PY_ID,0),7)</f>
        <v>104.050906646473</v>
      </c>
      <c r="O12" s="42" t="n">
        <f aca="false">BOM_COEF!Y379*DEMANDA!M68*INDEX(PY_VAL,MATCH("P_CABA_NUE",PY_ID,0),8)</f>
        <v>129.269585854113</v>
      </c>
      <c r="P12" s="42" t="n">
        <f aca="false">BOM_COEF!Z379*DEMANDA!N68*INDEX(PY_VAL,MATCH("P_CABA_NUE",PY_ID,0),9)</f>
        <v>151.506960921615</v>
      </c>
      <c r="Q12" s="42" t="n">
        <f aca="false">BOM_COEF!AA379*DEMANDA!O68*INDEX(PY_VAL,MATCH("P_CABA_NUE",PY_ID,0),10)</f>
        <v>175.660371443208</v>
      </c>
      <c r="R12" s="24" t="s">
        <v>3822</v>
      </c>
    </row>
    <row r="13" customFormat="false" ht="15" hidden="false" customHeight="false" outlineLevel="1" collapsed="false">
      <c r="A13" s="24" t="n">
        <v>1</v>
      </c>
      <c r="B13" s="24" t="s">
        <v>688</v>
      </c>
      <c r="C13" s="40" t="s">
        <v>3823</v>
      </c>
      <c r="D13" s="24" t="s">
        <v>82</v>
      </c>
      <c r="E13" s="24" t="s">
        <v>433</v>
      </c>
      <c r="F13" s="41" t="n">
        <f aca="false">INDEX((BOM_COEF!R381~BOM_COEF!S381~BOM_COEF!T381~BOM_COEF!U381~BOM_COEF!V381~BOM_COEF!W381~BOM_COEF!X381~BOM_COEF!Y381~BOM_COEF!Z381~BOM_COEF!AA381),1,1,INDEX(P_VAL,MATCH("AÑO_DIS",P_ID,0))-2025)</f>
        <v>1</v>
      </c>
      <c r="G13" s="24" t="s">
        <v>689</v>
      </c>
      <c r="H13" s="42" t="n">
        <f aca="false">BOM_COEF!R381*DEMANDA!F69*INDEX(PY_VAL,MATCH("P_CABA_NUE",PY_ID,0),1)</f>
        <v>6.62832535328679</v>
      </c>
      <c r="I13" s="42" t="n">
        <f aca="false">BOM_COEF!S381*DEMANDA!G69*INDEX(PY_VAL,MATCH("P_CABA_NUE",PY_ID,0),2)</f>
        <v>10.6468537378578</v>
      </c>
      <c r="J13" s="42" t="n">
        <f aca="false">BOM_COEF!T381*DEMANDA!H69*INDEX(PY_VAL,MATCH("P_CABA_NUE",PY_ID,0),3)</f>
        <v>12.8792228539614</v>
      </c>
      <c r="K13" s="42" t="n">
        <f aca="false">BOM_COEF!U381*DEMANDA!I69*INDEX(PY_VAL,MATCH("P_CABA_NUE",PY_ID,0),4)</f>
        <v>16.5107410714592</v>
      </c>
      <c r="L13" s="42" t="n">
        <f aca="false">BOM_COEF!V381*DEMANDA!J69*INDEX(PY_VAL,MATCH("P_CABA_NUE",PY_ID,0),5)</f>
        <v>24.0133292850833</v>
      </c>
      <c r="M13" s="42" t="n">
        <f aca="false">BOM_COEF!W381*DEMANDA!K69*INDEX(PY_VAL,MATCH("P_CABA_NUE",PY_ID,0),6)</f>
        <v>29.888070855466</v>
      </c>
      <c r="N13" s="42" t="n">
        <f aca="false">BOM_COEF!X381*DEMANDA!L69*INDEX(PY_VAL,MATCH("P_CABA_NUE",PY_ID,0),7)</f>
        <v>38.3692030326381</v>
      </c>
      <c r="O13" s="42" t="n">
        <f aca="false">BOM_COEF!Y381*DEMANDA!M69*INDEX(PY_VAL,MATCH("P_CABA_NUE",PY_ID,0),8)</f>
        <v>47.6945123771455</v>
      </c>
      <c r="P13" s="42" t="n">
        <f aca="false">BOM_COEF!Z381*DEMANDA!N69*INDEX(PY_VAL,MATCH("P_CABA_NUE",PY_ID,0),9)</f>
        <v>56.2000651426202</v>
      </c>
      <c r="Q13" s="42" t="n">
        <f aca="false">BOM_COEF!AA381*DEMANDA!O69*INDEX(PY_VAL,MATCH("P_CABA_NUE",PY_ID,0),10)</f>
        <v>65.5128681490858</v>
      </c>
      <c r="R13" s="24" t="s">
        <v>3824</v>
      </c>
    </row>
    <row r="14" customFormat="false" ht="15" hidden="false" customHeight="false" outlineLevel="0" collapsed="false">
      <c r="A14" s="38" t="n">
        <v>0</v>
      </c>
      <c r="B14" s="38" t="s">
        <v>1329</v>
      </c>
      <c r="C14" s="38" t="s">
        <v>2258</v>
      </c>
      <c r="D14" s="38" t="s">
        <v>82</v>
      </c>
      <c r="E14" s="38"/>
      <c r="F14" s="38"/>
      <c r="G14" s="38"/>
      <c r="H14" s="39" t="n">
        <f aca="false">SUM(H15:H15)</f>
        <v>175.6079593</v>
      </c>
      <c r="I14" s="39" t="n">
        <f aca="false">SUM(I15:I15)</f>
        <v>320.3906115</v>
      </c>
      <c r="J14" s="39" t="n">
        <f aca="false">SUM(J15:J15)</f>
        <v>436.5887807</v>
      </c>
      <c r="K14" s="39" t="n">
        <f aca="false">SUM(K15:K15)</f>
        <v>602.2865757</v>
      </c>
      <c r="L14" s="39" t="n">
        <f aca="false">SUM(L15:L15)</f>
        <v>974.7593754</v>
      </c>
      <c r="M14" s="39" t="n">
        <f aca="false">SUM(M15:M15)</f>
        <v>1370.081328</v>
      </c>
      <c r="N14" s="39" t="n">
        <f aca="false">SUM(N15:N15)</f>
        <v>1767.18337</v>
      </c>
      <c r="O14" s="39" t="n">
        <f aca="false">SUM(O15:O15)</f>
        <v>2188.466718</v>
      </c>
      <c r="P14" s="39" t="n">
        <f aca="false">SUM(P15:P15)</f>
        <v>2536.343254</v>
      </c>
      <c r="Q14" s="39" t="n">
        <f aca="false">SUM(Q15:Q15)</f>
        <v>2904.897406</v>
      </c>
      <c r="R14" s="38"/>
    </row>
    <row r="15" customFormat="false" ht="15" hidden="false" customHeight="false" outlineLevel="1" collapsed="false">
      <c r="A15" s="24" t="n">
        <v>1</v>
      </c>
      <c r="B15" s="24" t="s">
        <v>1329</v>
      </c>
      <c r="C15" s="40" t="s">
        <v>3825</v>
      </c>
      <c r="D15" s="24" t="s">
        <v>82</v>
      </c>
      <c r="E15" s="24" t="s">
        <v>409</v>
      </c>
      <c r="F15" s="41" t="n">
        <f aca="false">INDEX((BOM_COEF!R364~BOM_COEF!S364~BOM_COEF!T364~BOM_COEF!U364~BOM_COEF!V364~BOM_COEF!W364~BOM_COEF!X364~BOM_COEF!Y364~BOM_COEF!Z364~BOM_COEF!AA364),1,1,INDEX(P_VAL,MATCH("AÑO_DIS",P_ID,0))-2025)</f>
        <v>1</v>
      </c>
      <c r="G15" s="24" t="s">
        <v>2281</v>
      </c>
      <c r="H15" s="42" t="n">
        <f aca="false">BOM_COEF!R364*DEMANDA!F61</f>
        <v>175.6079593</v>
      </c>
      <c r="I15" s="42" t="n">
        <f aca="false">BOM_COEF!S364*DEMANDA!G61</f>
        <v>320.3906115</v>
      </c>
      <c r="J15" s="42" t="n">
        <f aca="false">BOM_COEF!T364*DEMANDA!H61</f>
        <v>436.5887807</v>
      </c>
      <c r="K15" s="42" t="n">
        <f aca="false">BOM_COEF!U364*DEMANDA!I61</f>
        <v>602.2865757</v>
      </c>
      <c r="L15" s="42" t="n">
        <f aca="false">BOM_COEF!V364*DEMANDA!J61</f>
        <v>974.7593754</v>
      </c>
      <c r="M15" s="42" t="n">
        <f aca="false">BOM_COEF!W364*DEMANDA!K61</f>
        <v>1370.081328</v>
      </c>
      <c r="N15" s="42" t="n">
        <f aca="false">BOM_COEF!X364*DEMANDA!L61</f>
        <v>1767.18337</v>
      </c>
      <c r="O15" s="42" t="n">
        <f aca="false">BOM_COEF!Y364*DEMANDA!M61</f>
        <v>2188.466718</v>
      </c>
      <c r="P15" s="42" t="n">
        <f aca="false">BOM_COEF!Z364*DEMANDA!N61</f>
        <v>2536.343254</v>
      </c>
      <c r="Q15" s="42" t="n">
        <f aca="false">BOM_COEF!AA364*DEMANDA!O61</f>
        <v>2904.897406</v>
      </c>
      <c r="R15" s="24" t="s">
        <v>3826</v>
      </c>
    </row>
    <row r="16" customFormat="false" ht="15" hidden="false" customHeight="false" outlineLevel="0" collapsed="false">
      <c r="A16" s="38" t="n">
        <v>0</v>
      </c>
      <c r="B16" s="38" t="s">
        <v>1333</v>
      </c>
      <c r="C16" s="38" t="s">
        <v>2264</v>
      </c>
      <c r="D16" s="38" t="s">
        <v>82</v>
      </c>
      <c r="E16" s="38"/>
      <c r="F16" s="38"/>
      <c r="G16" s="38"/>
      <c r="H16" s="39" t="n">
        <f aca="false">SUM(H17:H17)</f>
        <v>99.50178533</v>
      </c>
      <c r="I16" s="39" t="n">
        <f aca="false">SUM(I17:I17)</f>
        <v>159.8868424</v>
      </c>
      <c r="J16" s="39" t="n">
        <f aca="false">SUM(J17:J17)</f>
        <v>193.4151498</v>
      </c>
      <c r="K16" s="39" t="n">
        <f aca="false">SUM(K17:K17)</f>
        <v>247.8822329</v>
      </c>
      <c r="L16" s="39" t="n">
        <f aca="false">SUM(L17:L17)</f>
        <v>360.2676432</v>
      </c>
      <c r="M16" s="39" t="n">
        <f aca="false">SUM(M17:M17)</f>
        <v>447.8696133</v>
      </c>
      <c r="N16" s="39" t="n">
        <f aca="false">SUM(N17:N17)</f>
        <v>573.9459793</v>
      </c>
      <c r="O16" s="39" t="n">
        <f aca="false">SUM(O17:O17)</f>
        <v>711.731345</v>
      </c>
      <c r="P16" s="39" t="n">
        <f aca="false">SUM(P17:P17)</f>
        <v>836.044561</v>
      </c>
      <c r="Q16" s="39" t="n">
        <f aca="false">SUM(Q17:Q17)</f>
        <v>970.7041311</v>
      </c>
      <c r="R16" s="38"/>
    </row>
    <row r="17" customFormat="false" ht="15" hidden="false" customHeight="false" outlineLevel="1" collapsed="false">
      <c r="A17" s="24" t="n">
        <v>1</v>
      </c>
      <c r="B17" s="24" t="s">
        <v>1333</v>
      </c>
      <c r="C17" s="40" t="s">
        <v>3827</v>
      </c>
      <c r="D17" s="24" t="s">
        <v>82</v>
      </c>
      <c r="E17" s="24" t="s">
        <v>412</v>
      </c>
      <c r="F17" s="41" t="n">
        <f aca="false">INDEX((BOM_COEF!R366~BOM_COEF!S366~BOM_COEF!T366~BOM_COEF!U366~BOM_COEF!V366~BOM_COEF!W366~BOM_COEF!X366~BOM_COEF!Y366~BOM_COEF!Z366~BOM_COEF!AA366),1,1,INDEX(P_VAL,MATCH("AÑO_DIS",P_ID,0))-2025)</f>
        <v>1</v>
      </c>
      <c r="G17" s="24" t="s">
        <v>2281</v>
      </c>
      <c r="H17" s="42" t="n">
        <f aca="false">BOM_COEF!R366*DEMANDA!F62</f>
        <v>99.50178533</v>
      </c>
      <c r="I17" s="42" t="n">
        <f aca="false">BOM_COEF!S366*DEMANDA!G62</f>
        <v>159.8868424</v>
      </c>
      <c r="J17" s="42" t="n">
        <f aca="false">BOM_COEF!T366*DEMANDA!H62</f>
        <v>193.4151498</v>
      </c>
      <c r="K17" s="42" t="n">
        <f aca="false">BOM_COEF!U366*DEMANDA!I62</f>
        <v>247.8822329</v>
      </c>
      <c r="L17" s="42" t="n">
        <f aca="false">BOM_COEF!V366*DEMANDA!J62</f>
        <v>360.2676432</v>
      </c>
      <c r="M17" s="42" t="n">
        <f aca="false">BOM_COEF!W366*DEMANDA!K62</f>
        <v>447.8696133</v>
      </c>
      <c r="N17" s="42" t="n">
        <f aca="false">BOM_COEF!X366*DEMANDA!L62</f>
        <v>573.9459793</v>
      </c>
      <c r="O17" s="42" t="n">
        <f aca="false">BOM_COEF!Y366*DEMANDA!M62</f>
        <v>711.731345</v>
      </c>
      <c r="P17" s="42" t="n">
        <f aca="false">BOM_COEF!Z366*DEMANDA!N62</f>
        <v>836.044561</v>
      </c>
      <c r="Q17" s="42" t="n">
        <f aca="false">BOM_COEF!AA366*DEMANDA!O62</f>
        <v>970.7041311</v>
      </c>
      <c r="R17" s="24" t="s">
        <v>3828</v>
      </c>
    </row>
    <row r="18" customFormat="false" ht="15" hidden="false" customHeight="false" outlineLevel="0" collapsed="false">
      <c r="A18" s="38" t="n">
        <v>0</v>
      </c>
      <c r="B18" s="38" t="s">
        <v>1334</v>
      </c>
      <c r="C18" s="38" t="s">
        <v>2265</v>
      </c>
      <c r="D18" s="38" t="s">
        <v>82</v>
      </c>
      <c r="E18" s="38"/>
      <c r="F18" s="38"/>
      <c r="G18" s="38"/>
      <c r="H18" s="39" t="n">
        <f aca="false">SUM(H19:H19)</f>
        <v>42.64362229</v>
      </c>
      <c r="I18" s="39" t="n">
        <f aca="false">SUM(I19:I19)</f>
        <v>68.52293247</v>
      </c>
      <c r="J18" s="39" t="n">
        <f aca="false">SUM(J19:J19)</f>
        <v>82.89220707</v>
      </c>
      <c r="K18" s="39" t="n">
        <f aca="false">SUM(K19:K19)</f>
        <v>106.2352427</v>
      </c>
      <c r="L18" s="39" t="n">
        <f aca="false">SUM(L19:L19)</f>
        <v>154.4004185</v>
      </c>
      <c r="M18" s="39" t="n">
        <f aca="false">SUM(M19:M19)</f>
        <v>191.94412</v>
      </c>
      <c r="N18" s="39" t="n">
        <f aca="false">SUM(N19:N19)</f>
        <v>245.9768483</v>
      </c>
      <c r="O18" s="39" t="n">
        <f aca="false">SUM(O19:O19)</f>
        <v>305.0277193</v>
      </c>
      <c r="P18" s="39" t="n">
        <f aca="false">SUM(P19:P19)</f>
        <v>358.3048119</v>
      </c>
      <c r="Q18" s="39" t="n">
        <f aca="false">SUM(Q19:Q19)</f>
        <v>416.0160562</v>
      </c>
      <c r="R18" s="38"/>
    </row>
    <row r="19" customFormat="false" ht="15" hidden="false" customHeight="false" outlineLevel="1" collapsed="false">
      <c r="A19" s="24" t="n">
        <v>1</v>
      </c>
      <c r="B19" s="24" t="s">
        <v>1334</v>
      </c>
      <c r="C19" s="40" t="s">
        <v>3829</v>
      </c>
      <c r="D19" s="24" t="s">
        <v>82</v>
      </c>
      <c r="E19" s="24" t="s">
        <v>415</v>
      </c>
      <c r="F19" s="41" t="n">
        <f aca="false">INDEX((BOM_COEF!R368~BOM_COEF!S368~BOM_COEF!T368~BOM_COEF!U368~BOM_COEF!V368~BOM_COEF!W368~BOM_COEF!X368~BOM_COEF!Y368~BOM_COEF!Z368~BOM_COEF!AA368),1,1,INDEX(P_VAL,MATCH("AÑO_DIS",P_ID,0))-2025)</f>
        <v>1</v>
      </c>
      <c r="G19" s="24" t="s">
        <v>2281</v>
      </c>
      <c r="H19" s="42" t="n">
        <f aca="false">BOM_COEF!R368*DEMANDA!F63</f>
        <v>42.64362229</v>
      </c>
      <c r="I19" s="42" t="n">
        <f aca="false">BOM_COEF!S368*DEMANDA!G63</f>
        <v>68.52293247</v>
      </c>
      <c r="J19" s="42" t="n">
        <f aca="false">BOM_COEF!T368*DEMANDA!H63</f>
        <v>82.89220707</v>
      </c>
      <c r="K19" s="42" t="n">
        <f aca="false">BOM_COEF!U368*DEMANDA!I63</f>
        <v>106.2352427</v>
      </c>
      <c r="L19" s="42" t="n">
        <f aca="false">BOM_COEF!V368*DEMANDA!J63</f>
        <v>154.4004185</v>
      </c>
      <c r="M19" s="42" t="n">
        <f aca="false">BOM_COEF!W368*DEMANDA!K63</f>
        <v>191.94412</v>
      </c>
      <c r="N19" s="42" t="n">
        <f aca="false">BOM_COEF!X368*DEMANDA!L63</f>
        <v>245.9768483</v>
      </c>
      <c r="O19" s="42" t="n">
        <f aca="false">BOM_COEF!Y368*DEMANDA!M63</f>
        <v>305.0277193</v>
      </c>
      <c r="P19" s="42" t="n">
        <f aca="false">BOM_COEF!Z368*DEMANDA!N63</f>
        <v>358.3048119</v>
      </c>
      <c r="Q19" s="42" t="n">
        <f aca="false">BOM_COEF!AA368*DEMANDA!O63</f>
        <v>416.0160562</v>
      </c>
      <c r="R19" s="24" t="s">
        <v>3830</v>
      </c>
    </row>
    <row r="20" customFormat="false" ht="15" hidden="false" customHeight="false" outlineLevel="0" collapsed="false">
      <c r="A20" s="38" t="n">
        <v>0</v>
      </c>
      <c r="B20" s="38" t="s">
        <v>1335</v>
      </c>
      <c r="C20" s="38" t="s">
        <v>2266</v>
      </c>
      <c r="D20" s="38" t="s">
        <v>82</v>
      </c>
      <c r="E20" s="38"/>
      <c r="F20" s="38"/>
      <c r="G20" s="38"/>
      <c r="H20" s="39" t="n">
        <f aca="false">SUM(H21:H21)</f>
        <v>28.42908152</v>
      </c>
      <c r="I20" s="39" t="n">
        <f aca="false">SUM(I21:I21)</f>
        <v>45.68195498</v>
      </c>
      <c r="J20" s="39" t="n">
        <f aca="false">SUM(J21:J21)</f>
        <v>55.26147138</v>
      </c>
      <c r="K20" s="39" t="n">
        <f aca="false">SUM(K21:K21)</f>
        <v>70.82349512</v>
      </c>
      <c r="L20" s="39" t="n">
        <f aca="false">SUM(L21:L21)</f>
        <v>102.9336123</v>
      </c>
      <c r="M20" s="39" t="n">
        <f aca="false">SUM(M21:M21)</f>
        <v>127.9627467</v>
      </c>
      <c r="N20" s="39" t="n">
        <f aca="false">SUM(N21:N21)</f>
        <v>163.9845655</v>
      </c>
      <c r="O20" s="39" t="n">
        <f aca="false">SUM(O21:O21)</f>
        <v>203.3518129</v>
      </c>
      <c r="P20" s="39" t="n">
        <f aca="false">SUM(P21:P21)</f>
        <v>238.8698746</v>
      </c>
      <c r="Q20" s="39" t="n">
        <f aca="false">SUM(Q21:Q21)</f>
        <v>277.3440374</v>
      </c>
      <c r="R20" s="38"/>
    </row>
    <row r="21" customFormat="false" ht="15" hidden="false" customHeight="false" outlineLevel="1" collapsed="false">
      <c r="A21" s="24" t="n">
        <v>1</v>
      </c>
      <c r="B21" s="24" t="s">
        <v>1335</v>
      </c>
      <c r="C21" s="40" t="s">
        <v>3831</v>
      </c>
      <c r="D21" s="24" t="s">
        <v>82</v>
      </c>
      <c r="E21" s="24" t="s">
        <v>418</v>
      </c>
      <c r="F21" s="41" t="n">
        <f aca="false">INDEX((BOM_COEF!R370~BOM_COEF!S370~BOM_COEF!T370~BOM_COEF!U370~BOM_COEF!V370~BOM_COEF!W370~BOM_COEF!X370~BOM_COEF!Y370~BOM_COEF!Z370~BOM_COEF!AA370),1,1,INDEX(P_VAL,MATCH("AÑO_DIS",P_ID,0))-2025)</f>
        <v>1</v>
      </c>
      <c r="G21" s="24" t="s">
        <v>2281</v>
      </c>
      <c r="H21" s="42" t="n">
        <f aca="false">BOM_COEF!R370*DEMANDA!F64</f>
        <v>28.42908152</v>
      </c>
      <c r="I21" s="42" t="n">
        <f aca="false">BOM_COEF!S370*DEMANDA!G64</f>
        <v>45.68195498</v>
      </c>
      <c r="J21" s="42" t="n">
        <f aca="false">BOM_COEF!T370*DEMANDA!H64</f>
        <v>55.26147138</v>
      </c>
      <c r="K21" s="42" t="n">
        <f aca="false">BOM_COEF!U370*DEMANDA!I64</f>
        <v>70.82349512</v>
      </c>
      <c r="L21" s="42" t="n">
        <f aca="false">BOM_COEF!V370*DEMANDA!J64</f>
        <v>102.9336123</v>
      </c>
      <c r="M21" s="42" t="n">
        <f aca="false">BOM_COEF!W370*DEMANDA!K64</f>
        <v>127.9627467</v>
      </c>
      <c r="N21" s="42" t="n">
        <f aca="false">BOM_COEF!X370*DEMANDA!L64</f>
        <v>163.9845655</v>
      </c>
      <c r="O21" s="42" t="n">
        <f aca="false">BOM_COEF!Y370*DEMANDA!M64</f>
        <v>203.3518129</v>
      </c>
      <c r="P21" s="42" t="n">
        <f aca="false">BOM_COEF!Z370*DEMANDA!N64</f>
        <v>238.8698746</v>
      </c>
      <c r="Q21" s="42" t="n">
        <f aca="false">BOM_COEF!AA370*DEMANDA!O64</f>
        <v>277.3440374</v>
      </c>
      <c r="R21" s="24" t="s">
        <v>3832</v>
      </c>
    </row>
    <row r="22" customFormat="false" ht="15" hidden="false" customHeight="false" outlineLevel="0" collapsed="false">
      <c r="A22" s="38" t="n">
        <v>0</v>
      </c>
      <c r="B22" s="38" t="s">
        <v>1336</v>
      </c>
      <c r="C22" s="38" t="s">
        <v>2268</v>
      </c>
      <c r="D22" s="38" t="s">
        <v>82</v>
      </c>
      <c r="E22" s="38"/>
      <c r="F22" s="38"/>
      <c r="G22" s="38"/>
      <c r="H22" s="39" t="n">
        <f aca="false">SUM(H23:H23)</f>
        <v>100.6111337</v>
      </c>
      <c r="I22" s="39" t="n">
        <f aca="false">SUM(I23:I23)</f>
        <v>188.8972271</v>
      </c>
      <c r="J22" s="39" t="n">
        <f aca="false">SUM(J23:J23)</f>
        <v>248.9891832</v>
      </c>
      <c r="K22" s="39" t="n">
        <f aca="false">SUM(K23:K23)</f>
        <v>348.413746</v>
      </c>
      <c r="L22" s="39" t="n">
        <f aca="false">SUM(L23:L23)</f>
        <v>546.1766841</v>
      </c>
      <c r="M22" s="39" t="n">
        <f aca="false">SUM(M23:M23)</f>
        <v>751.8580799</v>
      </c>
      <c r="N22" s="39" t="n">
        <f aca="false">SUM(N23:N23)</f>
        <v>960.0471253</v>
      </c>
      <c r="O22" s="39" t="n">
        <f aca="false">SUM(O23:O23)</f>
        <v>1191.419103</v>
      </c>
      <c r="P22" s="39" t="n">
        <f aca="false">SUM(P23:P23)</f>
        <v>1409.930374</v>
      </c>
      <c r="Q22" s="39" t="n">
        <f aca="false">SUM(Q23:Q23)</f>
        <v>1649.135599</v>
      </c>
      <c r="R22" s="38"/>
    </row>
    <row r="23" customFormat="false" ht="15" hidden="false" customHeight="false" outlineLevel="1" collapsed="false">
      <c r="A23" s="24" t="n">
        <v>1</v>
      </c>
      <c r="B23" s="24" t="s">
        <v>1336</v>
      </c>
      <c r="C23" s="40" t="s">
        <v>3833</v>
      </c>
      <c r="D23" s="24" t="s">
        <v>82</v>
      </c>
      <c r="E23" s="24" t="s">
        <v>421</v>
      </c>
      <c r="F23" s="41" t="n">
        <f aca="false">INDEX((BOM_COEF!R372~BOM_COEF!S372~BOM_COEF!T372~BOM_COEF!U372~BOM_COEF!V372~BOM_COEF!W372~BOM_COEF!X372~BOM_COEF!Y372~BOM_COEF!Z372~BOM_COEF!AA372),1,1,INDEX(P_VAL,MATCH("AÑO_DIS",P_ID,0))-2025)</f>
        <v>1</v>
      </c>
      <c r="G23" s="24" t="s">
        <v>2281</v>
      </c>
      <c r="H23" s="42" t="n">
        <f aca="false">BOM_COEF!R372*DEMANDA!F65</f>
        <v>100.6111337</v>
      </c>
      <c r="I23" s="42" t="n">
        <f aca="false">BOM_COEF!S372*DEMANDA!G65</f>
        <v>188.8972271</v>
      </c>
      <c r="J23" s="42" t="n">
        <f aca="false">BOM_COEF!T372*DEMANDA!H65</f>
        <v>248.9891832</v>
      </c>
      <c r="K23" s="42" t="n">
        <f aca="false">BOM_COEF!U372*DEMANDA!I65</f>
        <v>348.413746</v>
      </c>
      <c r="L23" s="42" t="n">
        <f aca="false">BOM_COEF!V372*DEMANDA!J65</f>
        <v>546.1766841</v>
      </c>
      <c r="M23" s="42" t="n">
        <f aca="false">BOM_COEF!W372*DEMANDA!K65</f>
        <v>751.8580799</v>
      </c>
      <c r="N23" s="42" t="n">
        <f aca="false">BOM_COEF!X372*DEMANDA!L65</f>
        <v>960.0471253</v>
      </c>
      <c r="O23" s="42" t="n">
        <f aca="false">BOM_COEF!Y372*DEMANDA!M65</f>
        <v>1191.419103</v>
      </c>
      <c r="P23" s="42" t="n">
        <f aca="false">BOM_COEF!Z372*DEMANDA!N65</f>
        <v>1409.930374</v>
      </c>
      <c r="Q23" s="42" t="n">
        <f aca="false">BOM_COEF!AA372*DEMANDA!O65</f>
        <v>1649.135599</v>
      </c>
      <c r="R23" s="24" t="s">
        <v>3834</v>
      </c>
    </row>
    <row r="24" customFormat="false" ht="15" hidden="false" customHeight="false" outlineLevel="0" collapsed="false">
      <c r="A24" s="38" t="n">
        <v>0</v>
      </c>
      <c r="B24" s="38" t="s">
        <v>1337</v>
      </c>
      <c r="C24" s="38" t="s">
        <v>2269</v>
      </c>
      <c r="D24" s="38" t="s">
        <v>82</v>
      </c>
      <c r="E24" s="38"/>
      <c r="F24" s="38"/>
      <c r="G24" s="38"/>
      <c r="H24" s="39" t="n">
        <f aca="false">SUM(H25:H25)</f>
        <v>421.9843726</v>
      </c>
      <c r="I24" s="39" t="n">
        <f aca="false">SUM(I25:I25)</f>
        <v>772.3206222</v>
      </c>
      <c r="J24" s="39" t="n">
        <f aca="false">SUM(J25:J25)</f>
        <v>1066.363722</v>
      </c>
      <c r="K24" s="39" t="n">
        <f aca="false">SUM(K25:K25)</f>
        <v>1474.963344</v>
      </c>
      <c r="L24" s="39" t="n">
        <f aca="false">SUM(L25:L25)</f>
        <v>2394.644883</v>
      </c>
      <c r="M24" s="39" t="n">
        <f aca="false">SUM(M25:M25)</f>
        <v>3311.547454</v>
      </c>
      <c r="N24" s="39" t="n">
        <f aca="false">SUM(N25:N25)</f>
        <v>4274.187843</v>
      </c>
      <c r="O24" s="39" t="n">
        <f aca="false">SUM(O25:O25)</f>
        <v>5292.394724</v>
      </c>
      <c r="P24" s="39" t="n">
        <f aca="false">SUM(P25:P25)</f>
        <v>6125.204809</v>
      </c>
      <c r="Q24" s="39" t="n">
        <f aca="false">SUM(Q25:Q25)</f>
        <v>7005.27737</v>
      </c>
      <c r="R24" s="38"/>
    </row>
    <row r="25" customFormat="false" ht="15" hidden="false" customHeight="false" outlineLevel="1" collapsed="false">
      <c r="A25" s="24" t="n">
        <v>1</v>
      </c>
      <c r="B25" s="24" t="s">
        <v>1337</v>
      </c>
      <c r="C25" s="40" t="s">
        <v>3835</v>
      </c>
      <c r="D25" s="24" t="s">
        <v>82</v>
      </c>
      <c r="E25" s="24" t="s">
        <v>424</v>
      </c>
      <c r="F25" s="41" t="n">
        <f aca="false">INDEX((BOM_COEF!R374~BOM_COEF!S374~BOM_COEF!T374~BOM_COEF!U374~BOM_COEF!V374~BOM_COEF!W374~BOM_COEF!X374~BOM_COEF!Y374~BOM_COEF!Z374~BOM_COEF!AA374),1,1,INDEX(P_VAL,MATCH("AÑO_DIS",P_ID,0))-2025)</f>
        <v>1</v>
      </c>
      <c r="G25" s="24" t="s">
        <v>2281</v>
      </c>
      <c r="H25" s="42" t="n">
        <f aca="false">BOM_COEF!R374*DEMANDA!F66</f>
        <v>421.9843726</v>
      </c>
      <c r="I25" s="42" t="n">
        <f aca="false">BOM_COEF!S374*DEMANDA!G66</f>
        <v>772.3206222</v>
      </c>
      <c r="J25" s="42" t="n">
        <f aca="false">BOM_COEF!T374*DEMANDA!H66</f>
        <v>1066.363722</v>
      </c>
      <c r="K25" s="42" t="n">
        <f aca="false">BOM_COEF!U374*DEMANDA!I66</f>
        <v>1474.963344</v>
      </c>
      <c r="L25" s="42" t="n">
        <f aca="false">BOM_COEF!V374*DEMANDA!J66</f>
        <v>2394.644883</v>
      </c>
      <c r="M25" s="42" t="n">
        <f aca="false">BOM_COEF!W374*DEMANDA!K66</f>
        <v>3311.547454</v>
      </c>
      <c r="N25" s="42" t="n">
        <f aca="false">BOM_COEF!X374*DEMANDA!L66</f>
        <v>4274.187843</v>
      </c>
      <c r="O25" s="42" t="n">
        <f aca="false">BOM_COEF!Y374*DEMANDA!M66</f>
        <v>5292.394724</v>
      </c>
      <c r="P25" s="42" t="n">
        <f aca="false">BOM_COEF!Z374*DEMANDA!N66</f>
        <v>6125.204809</v>
      </c>
      <c r="Q25" s="42" t="n">
        <f aca="false">BOM_COEF!AA374*DEMANDA!O66</f>
        <v>7005.27737</v>
      </c>
      <c r="R25" s="24" t="s">
        <v>3836</v>
      </c>
    </row>
    <row r="26" customFormat="false" ht="15" hidden="false" customHeight="false" outlineLevel="0" collapsed="false">
      <c r="A26" s="38" t="n">
        <v>0</v>
      </c>
      <c r="B26" s="38" t="s">
        <v>1338</v>
      </c>
      <c r="C26" s="38" t="s">
        <v>2270</v>
      </c>
      <c r="D26" s="38" t="s">
        <v>82</v>
      </c>
      <c r="E26" s="38"/>
      <c r="F26" s="38"/>
      <c r="G26" s="38"/>
      <c r="H26" s="39" t="n">
        <f aca="false">SUM(H27:H27)</f>
        <v>284.0395051</v>
      </c>
      <c r="I26" s="39" t="n">
        <f aca="false">SUM(I27:I27)</f>
        <v>489.4529733</v>
      </c>
      <c r="J26" s="39" t="n">
        <f aca="false">SUM(J27:J27)</f>
        <v>625.4306114</v>
      </c>
      <c r="K26" s="39" t="n">
        <f aca="false">SUM(K27:K27)</f>
        <v>836.9518675</v>
      </c>
      <c r="L26" s="39" t="n">
        <f aca="false">SUM(L27:L27)</f>
        <v>1289.143315</v>
      </c>
      <c r="M26" s="39" t="n">
        <f aca="false">SUM(M27:M27)</f>
        <v>1751.735715</v>
      </c>
      <c r="N26" s="39" t="n">
        <f aca="false">SUM(N27:N27)</f>
        <v>2250.247068</v>
      </c>
      <c r="O26" s="39" t="n">
        <f aca="false">SUM(O27:O27)</f>
        <v>2789.059394</v>
      </c>
      <c r="P26" s="39" t="n">
        <f aca="false">SUM(P27:P27)</f>
        <v>3259.974804</v>
      </c>
      <c r="Q26" s="39" t="n">
        <f aca="false">SUM(Q27:Q27)</f>
        <v>3766.175472</v>
      </c>
      <c r="R26" s="38"/>
    </row>
    <row r="27" customFormat="false" ht="15" hidden="false" customHeight="false" outlineLevel="1" collapsed="false">
      <c r="A27" s="24" t="n">
        <v>1</v>
      </c>
      <c r="B27" s="24" t="s">
        <v>1338</v>
      </c>
      <c r="C27" s="40" t="s">
        <v>3837</v>
      </c>
      <c r="D27" s="24" t="s">
        <v>82</v>
      </c>
      <c r="E27" s="24" t="s">
        <v>427</v>
      </c>
      <c r="F27" s="41" t="n">
        <f aca="false">INDEX((BOM_COEF!R376~BOM_COEF!S376~BOM_COEF!T376~BOM_COEF!U376~BOM_COEF!V376~BOM_COEF!W376~BOM_COEF!X376~BOM_COEF!Y376~BOM_COEF!Z376~BOM_COEF!AA376),1,1,INDEX(P_VAL,MATCH("AÑO_DIS",P_ID,0))-2025)</f>
        <v>1</v>
      </c>
      <c r="G27" s="24" t="s">
        <v>2281</v>
      </c>
      <c r="H27" s="42" t="n">
        <f aca="false">BOM_COEF!R376*DEMANDA!F67</f>
        <v>284.0395051</v>
      </c>
      <c r="I27" s="42" t="n">
        <f aca="false">BOM_COEF!S376*DEMANDA!G67</f>
        <v>489.4529733</v>
      </c>
      <c r="J27" s="42" t="n">
        <f aca="false">BOM_COEF!T376*DEMANDA!H67</f>
        <v>625.4306114</v>
      </c>
      <c r="K27" s="42" t="n">
        <f aca="false">BOM_COEF!U376*DEMANDA!I67</f>
        <v>836.9518675</v>
      </c>
      <c r="L27" s="42" t="n">
        <f aca="false">BOM_COEF!V376*DEMANDA!J67</f>
        <v>1289.143315</v>
      </c>
      <c r="M27" s="42" t="n">
        <f aca="false">BOM_COEF!W376*DEMANDA!K67</f>
        <v>1751.735715</v>
      </c>
      <c r="N27" s="42" t="n">
        <f aca="false">BOM_COEF!X376*DEMANDA!L67</f>
        <v>2250.247068</v>
      </c>
      <c r="O27" s="42" t="n">
        <f aca="false">BOM_COEF!Y376*DEMANDA!M67</f>
        <v>2789.059394</v>
      </c>
      <c r="P27" s="42" t="n">
        <f aca="false">BOM_COEF!Z376*DEMANDA!N67</f>
        <v>3259.974804</v>
      </c>
      <c r="Q27" s="42" t="n">
        <f aca="false">BOM_COEF!AA376*DEMANDA!O67</f>
        <v>3766.175472</v>
      </c>
      <c r="R27" s="24" t="s">
        <v>3838</v>
      </c>
    </row>
    <row r="28" customFormat="false" ht="15" hidden="false" customHeight="false" outlineLevel="0" collapsed="false">
      <c r="A28" s="38" t="n">
        <v>0</v>
      </c>
      <c r="B28" s="38" t="s">
        <v>1339</v>
      </c>
      <c r="C28" s="38" t="s">
        <v>2271</v>
      </c>
      <c r="D28" s="38" t="s">
        <v>82</v>
      </c>
      <c r="E28" s="38"/>
      <c r="F28" s="38"/>
      <c r="G28" s="38"/>
      <c r="H28" s="39" t="n">
        <f aca="false">SUM(H29:H29)</f>
        <v>58.85960407</v>
      </c>
      <c r="I28" s="39" t="n">
        <f aca="false">SUM(I29:I29)</f>
        <v>100.2618958</v>
      </c>
      <c r="J28" s="39" t="n">
        <f aca="false">SUM(J29:J29)</f>
        <v>126.5296618</v>
      </c>
      <c r="K28" s="39" t="n">
        <f aca="false">SUM(K29:K29)</f>
        <v>167.8179923</v>
      </c>
      <c r="L28" s="39" t="n">
        <f aca="false">SUM(L29:L29)</f>
        <v>256.5901403</v>
      </c>
      <c r="M28" s="39" t="n">
        <f aca="false">SUM(M29:M29)</f>
        <v>346.1145766</v>
      </c>
      <c r="N28" s="39" t="n">
        <f aca="false">SUM(N29:N29)</f>
        <v>444.6989087</v>
      </c>
      <c r="O28" s="39" t="n">
        <f aca="false">SUM(O29:O29)</f>
        <v>551.1578445</v>
      </c>
      <c r="P28" s="39" t="n">
        <f aca="false">SUM(P29:P29)</f>
        <v>643.9574165</v>
      </c>
      <c r="Q28" s="39" t="n">
        <f aca="false">SUM(Q29:Q29)</f>
        <v>743.6456074</v>
      </c>
      <c r="R28" s="38"/>
    </row>
    <row r="29" customFormat="false" ht="15" hidden="false" customHeight="false" outlineLevel="1" collapsed="false">
      <c r="A29" s="24" t="n">
        <v>1</v>
      </c>
      <c r="B29" s="24" t="s">
        <v>1339</v>
      </c>
      <c r="C29" s="40" t="s">
        <v>3839</v>
      </c>
      <c r="D29" s="24" t="s">
        <v>82</v>
      </c>
      <c r="E29" s="24" t="s">
        <v>430</v>
      </c>
      <c r="F29" s="41" t="n">
        <f aca="false">INDEX((BOM_COEF!R378~BOM_COEF!S378~BOM_COEF!T378~BOM_COEF!U378~BOM_COEF!V378~BOM_COEF!W378~BOM_COEF!X378~BOM_COEF!Y378~BOM_COEF!Z378~BOM_COEF!AA378),1,1,INDEX(P_VAL,MATCH("AÑO_DIS",P_ID,0))-2025)</f>
        <v>1</v>
      </c>
      <c r="G29" s="24" t="s">
        <v>2281</v>
      </c>
      <c r="H29" s="42" t="n">
        <f aca="false">BOM_COEF!R378*DEMANDA!F68</f>
        <v>58.85960407</v>
      </c>
      <c r="I29" s="42" t="n">
        <f aca="false">BOM_COEF!S378*DEMANDA!G68</f>
        <v>100.2618958</v>
      </c>
      <c r="J29" s="42" t="n">
        <f aca="false">BOM_COEF!T378*DEMANDA!H68</f>
        <v>126.5296618</v>
      </c>
      <c r="K29" s="42" t="n">
        <f aca="false">BOM_COEF!U378*DEMANDA!I68</f>
        <v>167.8179923</v>
      </c>
      <c r="L29" s="42" t="n">
        <f aca="false">BOM_COEF!V378*DEMANDA!J68</f>
        <v>256.5901403</v>
      </c>
      <c r="M29" s="42" t="n">
        <f aca="false">BOM_COEF!W378*DEMANDA!K68</f>
        <v>346.1145766</v>
      </c>
      <c r="N29" s="42" t="n">
        <f aca="false">BOM_COEF!X378*DEMANDA!L68</f>
        <v>444.6989087</v>
      </c>
      <c r="O29" s="42" t="n">
        <f aca="false">BOM_COEF!Y378*DEMANDA!M68</f>
        <v>551.1578445</v>
      </c>
      <c r="P29" s="42" t="n">
        <f aca="false">BOM_COEF!Z378*DEMANDA!N68</f>
        <v>643.9574165</v>
      </c>
      <c r="Q29" s="42" t="n">
        <f aca="false">BOM_COEF!AA378*DEMANDA!O68</f>
        <v>743.6456074</v>
      </c>
      <c r="R29" s="24" t="s">
        <v>3840</v>
      </c>
    </row>
    <row r="30" customFormat="false" ht="15" hidden="false" customHeight="false" outlineLevel="0" collapsed="false">
      <c r="A30" s="38" t="n">
        <v>0</v>
      </c>
      <c r="B30" s="38" t="s">
        <v>1340</v>
      </c>
      <c r="C30" s="38" t="s">
        <v>2272</v>
      </c>
      <c r="D30" s="38" t="s">
        <v>82</v>
      </c>
      <c r="E30" s="38"/>
      <c r="F30" s="38"/>
      <c r="G30" s="38"/>
      <c r="H30" s="39" t="n">
        <f aca="false">SUM(H31:H31)</f>
        <v>28.42908152</v>
      </c>
      <c r="I30" s="39" t="n">
        <f aca="false">SUM(I31:I31)</f>
        <v>45.68195498</v>
      </c>
      <c r="J30" s="39" t="n">
        <f aca="false">SUM(J31:J31)</f>
        <v>55.26147138</v>
      </c>
      <c r="K30" s="39" t="n">
        <f aca="false">SUM(K31:K31)</f>
        <v>70.82349512</v>
      </c>
      <c r="L30" s="39" t="n">
        <f aca="false">SUM(L31:L31)</f>
        <v>102.9336123</v>
      </c>
      <c r="M30" s="39" t="n">
        <f aca="false">SUM(M31:M31)</f>
        <v>127.9627467</v>
      </c>
      <c r="N30" s="39" t="n">
        <f aca="false">SUM(N31:N31)</f>
        <v>163.9845655</v>
      </c>
      <c r="O30" s="39" t="n">
        <f aca="false">SUM(O31:O31)</f>
        <v>203.3518129</v>
      </c>
      <c r="P30" s="39" t="n">
        <f aca="false">SUM(P31:P31)</f>
        <v>238.8698746</v>
      </c>
      <c r="Q30" s="39" t="n">
        <f aca="false">SUM(Q31:Q31)</f>
        <v>277.3440374</v>
      </c>
      <c r="R30" s="38"/>
    </row>
    <row r="31" customFormat="false" ht="15" hidden="false" customHeight="false" outlineLevel="1" collapsed="false">
      <c r="A31" s="24" t="n">
        <v>1</v>
      </c>
      <c r="B31" s="24" t="s">
        <v>1340</v>
      </c>
      <c r="C31" s="40" t="s">
        <v>3841</v>
      </c>
      <c r="D31" s="24" t="s">
        <v>82</v>
      </c>
      <c r="E31" s="24" t="s">
        <v>433</v>
      </c>
      <c r="F31" s="41" t="n">
        <f aca="false">INDEX((BOM_COEF!R380~BOM_COEF!S380~BOM_COEF!T380~BOM_COEF!U380~BOM_COEF!V380~BOM_COEF!W380~BOM_COEF!X380~BOM_COEF!Y380~BOM_COEF!Z380~BOM_COEF!AA380),1,1,INDEX(P_VAL,MATCH("AÑO_DIS",P_ID,0))-2025)</f>
        <v>1</v>
      </c>
      <c r="G31" s="24" t="s">
        <v>2281</v>
      </c>
      <c r="H31" s="42" t="n">
        <f aca="false">BOM_COEF!R380*DEMANDA!F69</f>
        <v>28.42908152</v>
      </c>
      <c r="I31" s="42" t="n">
        <f aca="false">BOM_COEF!S380*DEMANDA!G69</f>
        <v>45.68195498</v>
      </c>
      <c r="J31" s="42" t="n">
        <f aca="false">BOM_COEF!T380*DEMANDA!H69</f>
        <v>55.26147138</v>
      </c>
      <c r="K31" s="42" t="n">
        <f aca="false">BOM_COEF!U380*DEMANDA!I69</f>
        <v>70.82349512</v>
      </c>
      <c r="L31" s="42" t="n">
        <f aca="false">BOM_COEF!V380*DEMANDA!J69</f>
        <v>102.9336123</v>
      </c>
      <c r="M31" s="42" t="n">
        <f aca="false">BOM_COEF!W380*DEMANDA!K69</f>
        <v>127.9627467</v>
      </c>
      <c r="N31" s="42" t="n">
        <f aca="false">BOM_COEF!X380*DEMANDA!L69</f>
        <v>163.9845655</v>
      </c>
      <c r="O31" s="42" t="n">
        <f aca="false">BOM_COEF!Y380*DEMANDA!M69</f>
        <v>203.3518129</v>
      </c>
      <c r="P31" s="42" t="n">
        <f aca="false">BOM_COEF!Z380*DEMANDA!N69</f>
        <v>238.8698746</v>
      </c>
      <c r="Q31" s="42" t="n">
        <f aca="false">BOM_COEF!AA380*DEMANDA!O69</f>
        <v>277.3440374</v>
      </c>
      <c r="R31" s="24" t="s">
        <v>3842</v>
      </c>
    </row>
  </sheetData>
  <autoFilter ref="A3:R3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3843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C4" s="43" t="s">
        <v>3844</v>
      </c>
    </row>
  </sheetData>
  <autoFilter ref="A3:R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35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18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9" min="10" style="0" width="11"/>
    <col collapsed="false" customWidth="true" hidden="false" outlineLevel="0" max="20" min="20" style="0" width="12"/>
    <col collapsed="false" customWidth="true" hidden="false" outlineLevel="0" max="21" min="21" style="0" width="24"/>
    <col collapsed="false" customWidth="true" hidden="false" outlineLevel="0" max="22" min="22" style="0" width="10"/>
    <col collapsed="false" customWidth="true" hidden="false" outlineLevel="0" max="23" min="23" style="0" width="11"/>
    <col collapsed="false" customWidth="true" hidden="false" outlineLevel="0" max="24" min="24" style="0" width="24"/>
    <col collapsed="false" customWidth="true" hidden="false" outlineLevel="0" max="25" min="25" style="0" width="9"/>
  </cols>
  <sheetData>
    <row r="1" customFormat="false" ht="15" hidden="false" customHeight="false" outlineLevel="0" collapsed="false">
      <c r="A1" s="1" t="s">
        <v>3845</v>
      </c>
    </row>
    <row r="2" customFormat="false" ht="15" hidden="false" customHeight="false" outlineLevel="0" collapsed="false">
      <c r="A2" s="2" t="s">
        <v>3846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1773</v>
      </c>
      <c r="F3" s="3" t="s">
        <v>1949</v>
      </c>
      <c r="G3" s="3" t="s">
        <v>1950</v>
      </c>
      <c r="H3" s="3" t="s">
        <v>224</v>
      </c>
      <c r="I3" s="3" t="s">
        <v>3847</v>
      </c>
      <c r="J3" s="3" t="n">
        <v>2026</v>
      </c>
      <c r="K3" s="3" t="n">
        <v>2027</v>
      </c>
      <c r="L3" s="3" t="n">
        <v>2028</v>
      </c>
      <c r="M3" s="3" t="n">
        <v>2029</v>
      </c>
      <c r="N3" s="3" t="n">
        <v>2030</v>
      </c>
      <c r="O3" s="3" t="n">
        <v>2031</v>
      </c>
      <c r="P3" s="3" t="n">
        <v>2032</v>
      </c>
      <c r="Q3" s="3" t="n">
        <v>2033</v>
      </c>
      <c r="R3" s="3" t="n">
        <v>2034</v>
      </c>
      <c r="S3" s="3" t="n">
        <v>2035</v>
      </c>
      <c r="T3" s="3" t="s">
        <v>3848</v>
      </c>
      <c r="U3" s="3" t="s">
        <v>3849</v>
      </c>
      <c r="V3" s="3" t="s">
        <v>3850</v>
      </c>
      <c r="W3" s="3" t="s">
        <v>3851</v>
      </c>
      <c r="X3" s="3" t="s">
        <v>1951</v>
      </c>
      <c r="Y3" s="3" t="s">
        <v>1956</v>
      </c>
    </row>
    <row r="4" customFormat="false" ht="15" hidden="false" customHeight="false" outlineLevel="0" collapsed="false">
      <c r="A4" s="38" t="n">
        <v>0</v>
      </c>
      <c r="B4" s="38" t="s">
        <v>492</v>
      </c>
      <c r="C4" s="38" t="str">
        <f aca="false">INDEX(C_TAB,MATCH($B4,C_COD,0),2)</f>
        <v>Caño c/costura LF SAE 1010 Ø76,2 × 1,25 × 6 m (cuerpo 1 kg)</v>
      </c>
      <c r="D4" s="38" t="str">
        <f aca="false">INDEX(C_TAB,MATCH($B4,C_COD,0),3)</f>
        <v>barra</v>
      </c>
      <c r="E4" s="38" t="str">
        <f aca="false">INDEX(C_TAB,MATCH($B4,C_COD,0),4)</f>
        <v>Directo</v>
      </c>
      <c r="F4" s="38" t="str">
        <f aca="false">INDEX(C_TAB,MATCH($B4,C_COD,0),5)</f>
        <v>Materia prima</v>
      </c>
      <c r="G4" s="38" t="str">
        <f aca="false">INDEX(C_TAB,MATCH($B4,C_COD,0),6)</f>
        <v>Cantilever de caños y barras</v>
      </c>
      <c r="H4" s="38"/>
      <c r="I4" s="38"/>
      <c r="J4" s="39" t="n">
        <f aca="false">SUM(J5:J5)</f>
        <v>181.684197521739</v>
      </c>
      <c r="K4" s="39" t="n">
        <f aca="false">SUM(K5:K5)</f>
        <v>260.752346826087</v>
      </c>
      <c r="L4" s="39" t="n">
        <f aca="false">SUM(L5:L5)</f>
        <v>631.049902521739</v>
      </c>
      <c r="M4" s="39" t="n">
        <f aca="false">SUM(M5:M5)</f>
        <v>1528.77980647826</v>
      </c>
      <c r="N4" s="39" t="n">
        <f aca="false">SUM(N5:N5)</f>
        <v>2700.6709873913</v>
      </c>
      <c r="O4" s="39" t="n">
        <f aca="false">SUM(O5:O5)</f>
        <v>3795.6718726087</v>
      </c>
      <c r="P4" s="39" t="n">
        <f aca="false">SUM(P5:P5)</f>
        <v>5290.13709826087</v>
      </c>
      <c r="Q4" s="39" t="n">
        <f aca="false">SUM(Q5:Q5)</f>
        <v>6788.39471652174</v>
      </c>
      <c r="R4" s="39" t="n">
        <f aca="false">SUM(R5:R5)</f>
        <v>7625.78852782609</v>
      </c>
      <c r="S4" s="39" t="n">
        <f aca="false">SUM(S5:S5)</f>
        <v>8809.59300565217</v>
      </c>
      <c r="T4" s="39" t="n">
        <f aca="false">INDEX(J4:S4,INDEX(P_VAL,MATCH("AÑO_DIS",P_ID,0))-2025)</f>
        <v>8809.59300565217</v>
      </c>
      <c r="U4" s="38" t="str">
        <f aca="false">INDEX(C_TAB,MATCH($B4,C_COD,0),10)</f>
        <v>Atado de 16 barras</v>
      </c>
      <c r="V4" s="38" t="n">
        <f aca="false">INDEX(C_TAB,MATCH($B4,C_COD,0),11)</f>
        <v>16</v>
      </c>
      <c r="W4" s="44" t="n">
        <f aca="false">ROUNDUP(T4/V4,0)</f>
        <v>551</v>
      </c>
      <c r="X4" s="38" t="str">
        <f aca="false">INDEX(C_TAB,MATCH($B4,C_COD,0),7)</f>
        <v>Metalpri / Prilux</v>
      </c>
      <c r="Y4" s="38" t="n">
        <f aca="false">INDEX(C_TAB,MATCH($B4,C_COD,0),12)</f>
        <v>5</v>
      </c>
    </row>
    <row r="5" customFormat="false" ht="15" hidden="false" customHeight="false" outlineLevel="1" collapsed="false">
      <c r="A5" s="24" t="n">
        <v>1</v>
      </c>
      <c r="B5" s="24" t="s">
        <v>492</v>
      </c>
      <c r="C5" s="40" t="s">
        <v>3852</v>
      </c>
      <c r="D5" s="24"/>
      <c r="E5" s="24"/>
      <c r="F5" s="24"/>
      <c r="G5" s="24"/>
      <c r="H5" s="24" t="s">
        <v>229</v>
      </c>
      <c r="I5" s="24" t="s">
        <v>3853</v>
      </c>
      <c r="J5" s="42" t="n">
        <f aca="false">INSUMOS_DIRECTOS_MANUALES!H4</f>
        <v>181.684197521739</v>
      </c>
      <c r="K5" s="42" t="n">
        <f aca="false">INSUMOS_DIRECTOS_MANUALES!I4</f>
        <v>260.752346826087</v>
      </c>
      <c r="L5" s="42" t="n">
        <f aca="false">INSUMOS_DIRECTOS_MANUALES!J4</f>
        <v>631.049902521739</v>
      </c>
      <c r="M5" s="42" t="n">
        <f aca="false">INSUMOS_DIRECTOS_MANUALES!K4</f>
        <v>1528.77980647826</v>
      </c>
      <c r="N5" s="42" t="n">
        <f aca="false">INSUMOS_DIRECTOS_MANUALES!L4</f>
        <v>2700.6709873913</v>
      </c>
      <c r="O5" s="42" t="n">
        <f aca="false">INSUMOS_DIRECTOS_MANUALES!M4</f>
        <v>3795.6718726087</v>
      </c>
      <c r="P5" s="42" t="n">
        <f aca="false">INSUMOS_DIRECTOS_MANUALES!N4</f>
        <v>5290.13709826087</v>
      </c>
      <c r="Q5" s="42" t="n">
        <f aca="false">INSUMOS_DIRECTOS_MANUALES!O4</f>
        <v>6788.39471652174</v>
      </c>
      <c r="R5" s="42" t="n">
        <f aca="false">INSUMOS_DIRECTOS_MANUALES!P4</f>
        <v>7625.78852782609</v>
      </c>
      <c r="S5" s="42" t="n">
        <f aca="false">INSUMOS_DIRECTOS_MANUALES!Q4</f>
        <v>8809.59300565217</v>
      </c>
      <c r="T5" s="42" t="n">
        <f aca="false">INDEX(J5:S5,INDEX(P_VAL,MATCH("AÑO_DIS",P_ID,0))-2025)</f>
        <v>8809.59300565217</v>
      </c>
      <c r="U5" s="24"/>
      <c r="V5" s="24"/>
      <c r="W5" s="24"/>
      <c r="X5" s="24"/>
      <c r="Y5" s="24"/>
    </row>
    <row r="6" customFormat="false" ht="15" hidden="false" customHeight="false" outlineLevel="0" collapsed="false">
      <c r="A6" s="38" t="n">
        <v>0</v>
      </c>
      <c r="B6" s="38" t="s">
        <v>617</v>
      </c>
      <c r="C6" s="38" t="str">
        <f aca="false">INDEX(C_TAB,MATCH($B6,C_COD,0),2)</f>
        <v>Hoja LAF 1,25 × 1220 × 2440 mm (cuerpo 2,5 kg, 27 por hoja)</v>
      </c>
      <c r="D6" s="38" t="str">
        <f aca="false">INDEX(C_TAB,MATCH($B6,C_COD,0),3)</f>
        <v>hoja</v>
      </c>
      <c r="E6" s="38" t="str">
        <f aca="false">INDEX(C_TAB,MATCH($B6,C_COD,0),4)</f>
        <v>Directo</v>
      </c>
      <c r="F6" s="38" t="str">
        <f aca="false">INDEX(C_TAB,MATCH($B6,C_COD,0),5)</f>
        <v>Materia prima</v>
      </c>
      <c r="G6" s="38" t="str">
        <f aca="false">INDEX(C_TAB,MATCH($B6,C_COD,0),6)</f>
        <v>Chapa y fleje (manuales)</v>
      </c>
      <c r="H6" s="38"/>
      <c r="I6" s="38"/>
      <c r="J6" s="39" t="n">
        <f aca="false">SUM(J7:J7)</f>
        <v>10.9270502666667</v>
      </c>
      <c r="K6" s="39" t="n">
        <f aca="false">SUM(K7:K7)</f>
        <v>26.286201862963</v>
      </c>
      <c r="L6" s="39" t="n">
        <f aca="false">SUM(L7:L7)</f>
        <v>47.6469650962963</v>
      </c>
      <c r="M6" s="39" t="n">
        <f aca="false">SUM(M7:M7)</f>
        <v>94.2384508888889</v>
      </c>
      <c r="N6" s="39" t="n">
        <f aca="false">SUM(N7:N7)</f>
        <v>157.245471333333</v>
      </c>
      <c r="O6" s="39" t="n">
        <f aca="false">SUM(O7:O7)</f>
        <v>224.291477296296</v>
      </c>
      <c r="P6" s="39" t="n">
        <f aca="false">SUM(P7:P7)</f>
        <v>298.715389777778</v>
      </c>
      <c r="Q6" s="39" t="n">
        <f aca="false">SUM(Q7:Q7)</f>
        <v>378.789132851852</v>
      </c>
      <c r="R6" s="39" t="n">
        <f aca="false">SUM(R7:R7)</f>
        <v>442.095786777778</v>
      </c>
      <c r="S6" s="39" t="n">
        <f aca="false">SUM(S7:S7)</f>
        <v>521.994757185185</v>
      </c>
      <c r="T6" s="39" t="n">
        <f aca="false">INDEX(J6:S6,INDEX(P_VAL,MATCH("AÑO_DIS",P_ID,0))-2025)</f>
        <v>521.994757185185</v>
      </c>
      <c r="U6" s="38" t="str">
        <f aca="false">INDEX(C_TAB,MATCH($B6,C_COD,0),10)</f>
        <v>Paquete de 50 hojas</v>
      </c>
      <c r="V6" s="38" t="n">
        <f aca="false">INDEX(C_TAB,MATCH($B6,C_COD,0),11)</f>
        <v>50</v>
      </c>
      <c r="W6" s="44" t="n">
        <f aca="false">ROUNDUP(T6/V6,0)</f>
        <v>11</v>
      </c>
      <c r="X6" s="38" t="str">
        <f aca="false">INDEX(C_TAB,MATCH($B6,C_COD,0),7)</f>
        <v>Pradecon</v>
      </c>
      <c r="Y6" s="38" t="n">
        <f aca="false">INDEX(C_TAB,MATCH($B6,C_COD,0),12)</f>
        <v>10</v>
      </c>
    </row>
    <row r="7" customFormat="false" ht="15" hidden="false" customHeight="false" outlineLevel="1" collapsed="false">
      <c r="A7" s="24" t="n">
        <v>1</v>
      </c>
      <c r="B7" s="24" t="s">
        <v>617</v>
      </c>
      <c r="C7" s="40" t="s">
        <v>3852</v>
      </c>
      <c r="D7" s="24"/>
      <c r="E7" s="24"/>
      <c r="F7" s="24"/>
      <c r="G7" s="24"/>
      <c r="H7" s="24" t="s">
        <v>229</v>
      </c>
      <c r="I7" s="24" t="s">
        <v>3853</v>
      </c>
      <c r="J7" s="42" t="n">
        <f aca="false">INSUMOS_DIRECTOS_MANUALES!H7</f>
        <v>10.9270502666667</v>
      </c>
      <c r="K7" s="42" t="n">
        <f aca="false">INSUMOS_DIRECTOS_MANUALES!I7</f>
        <v>26.286201862963</v>
      </c>
      <c r="L7" s="42" t="n">
        <f aca="false">INSUMOS_DIRECTOS_MANUALES!J7</f>
        <v>47.6469650962963</v>
      </c>
      <c r="M7" s="42" t="n">
        <f aca="false">INSUMOS_DIRECTOS_MANUALES!K7</f>
        <v>94.2384508888889</v>
      </c>
      <c r="N7" s="42" t="n">
        <f aca="false">INSUMOS_DIRECTOS_MANUALES!L7</f>
        <v>157.245471333333</v>
      </c>
      <c r="O7" s="42" t="n">
        <f aca="false">INSUMOS_DIRECTOS_MANUALES!M7</f>
        <v>224.291477296296</v>
      </c>
      <c r="P7" s="42" t="n">
        <f aca="false">INSUMOS_DIRECTOS_MANUALES!N7</f>
        <v>298.715389777778</v>
      </c>
      <c r="Q7" s="42" t="n">
        <f aca="false">INSUMOS_DIRECTOS_MANUALES!O7</f>
        <v>378.789132851852</v>
      </c>
      <c r="R7" s="42" t="n">
        <f aca="false">INSUMOS_DIRECTOS_MANUALES!P7</f>
        <v>442.095786777778</v>
      </c>
      <c r="S7" s="42" t="n">
        <f aca="false">INSUMOS_DIRECTOS_MANUALES!Q7</f>
        <v>521.994757185185</v>
      </c>
      <c r="T7" s="42" t="n">
        <f aca="false">INDEX(J7:S7,INDEX(P_VAL,MATCH("AÑO_DIS",P_ID,0))-2025)</f>
        <v>521.994757185185</v>
      </c>
      <c r="U7" s="24"/>
      <c r="V7" s="24"/>
      <c r="W7" s="24"/>
      <c r="X7" s="24"/>
      <c r="Y7" s="24"/>
    </row>
    <row r="8" customFormat="false" ht="15" hidden="false" customHeight="false" outlineLevel="0" collapsed="false">
      <c r="A8" s="38" t="n">
        <v>0</v>
      </c>
      <c r="B8" s="38" t="s">
        <v>715</v>
      </c>
      <c r="C8" s="38" t="str">
        <f aca="false">INDEX(C_TAB,MATCH($B8,C_COD,0),2)</f>
        <v>Hoja LAF 1,6 × 1000 × 2000 mm (cuerpo 5 kg, 12 por hoja)</v>
      </c>
      <c r="D8" s="38" t="str">
        <f aca="false">INDEX(C_TAB,MATCH($B8,C_COD,0),3)</f>
        <v>hoja</v>
      </c>
      <c r="E8" s="38" t="str">
        <f aca="false">INDEX(C_TAB,MATCH($B8,C_COD,0),4)</f>
        <v>Directo</v>
      </c>
      <c r="F8" s="38" t="str">
        <f aca="false">INDEX(C_TAB,MATCH($B8,C_COD,0),5)</f>
        <v>Materia prima</v>
      </c>
      <c r="G8" s="38" t="str">
        <f aca="false">INDEX(C_TAB,MATCH($B8,C_COD,0),6)</f>
        <v>Chapa y fleje (manuales)</v>
      </c>
      <c r="H8" s="38"/>
      <c r="I8" s="38"/>
      <c r="J8" s="39" t="n">
        <f aca="false">SUM(J9:J10)</f>
        <v>231.06441875</v>
      </c>
      <c r="K8" s="39" t="n">
        <f aca="false">SUM(K9:K10)</f>
        <v>470.594073416667</v>
      </c>
      <c r="L8" s="39" t="n">
        <f aca="false">SUM(L9:L10)</f>
        <v>740.703132583333</v>
      </c>
      <c r="M8" s="39" t="n">
        <f aca="false">SUM(M9:M10)</f>
        <v>1327.39710941667</v>
      </c>
      <c r="N8" s="39" t="n">
        <f aca="false">SUM(N9:N10)</f>
        <v>2035.11307833333</v>
      </c>
      <c r="O8" s="39" t="n">
        <f aca="false">SUM(O9:O10)</f>
        <v>2751.82617583333</v>
      </c>
      <c r="P8" s="39" t="n">
        <f aca="false">SUM(P9:P10)</f>
        <v>3552.32998666667</v>
      </c>
      <c r="Q8" s="39" t="n">
        <f aca="false">SUM(Q9:Q10)</f>
        <v>4303.0946975</v>
      </c>
      <c r="R8" s="39" t="n">
        <f aca="false">SUM(R9:R10)</f>
        <v>4767.56037916667</v>
      </c>
      <c r="S8" s="39" t="n">
        <f aca="false">SUM(S9:S10)</f>
        <v>5467.99822666667</v>
      </c>
      <c r="T8" s="39" t="n">
        <f aca="false">INDEX(J8:S8,INDEX(P_VAL,MATCH("AÑO_DIS",P_ID,0))-2025)</f>
        <v>5467.99822666667</v>
      </c>
      <c r="U8" s="38" t="str">
        <f aca="false">INDEX(C_TAB,MATCH($B8,C_COD,0),10)</f>
        <v>Paquete de 80 hojas</v>
      </c>
      <c r="V8" s="38" t="n">
        <f aca="false">INDEX(C_TAB,MATCH($B8,C_COD,0),11)</f>
        <v>80</v>
      </c>
      <c r="W8" s="44" t="n">
        <f aca="false">ROUNDUP(T8/V8,0)</f>
        <v>69</v>
      </c>
      <c r="X8" s="38" t="str">
        <f aca="false">INDEX(C_TAB,MATCH($B8,C_COD,0),7)</f>
        <v>Pradecon</v>
      </c>
      <c r="Y8" s="38" t="n">
        <f aca="false">INDEX(C_TAB,MATCH($B8,C_COD,0),12)</f>
        <v>10</v>
      </c>
    </row>
    <row r="9" customFormat="false" ht="15" hidden="false" customHeight="false" outlineLevel="1" collapsed="false">
      <c r="A9" s="24" t="n">
        <v>1</v>
      </c>
      <c r="B9" s="24" t="s">
        <v>715</v>
      </c>
      <c r="C9" s="40" t="s">
        <v>3852</v>
      </c>
      <c r="D9" s="24"/>
      <c r="E9" s="24"/>
      <c r="F9" s="24"/>
      <c r="G9" s="24"/>
      <c r="H9" s="24" t="s">
        <v>229</v>
      </c>
      <c r="I9" s="24" t="s">
        <v>3853</v>
      </c>
      <c r="J9" s="42" t="n">
        <f aca="false">INSUMOS_DIRECTOS_MANUALES!H10</f>
        <v>225.81441875</v>
      </c>
      <c r="K9" s="42" t="n">
        <f aca="false">INSUMOS_DIRECTOS_MANUALES!I10</f>
        <v>452.081573416667</v>
      </c>
      <c r="L9" s="42" t="n">
        <f aca="false">INSUMOS_DIRECTOS_MANUALES!J10</f>
        <v>716.94479925</v>
      </c>
      <c r="M9" s="42" t="n">
        <f aca="false">INSUMOS_DIRECTOS_MANUALES!K10</f>
        <v>1285.75960941667</v>
      </c>
      <c r="N9" s="42" t="n">
        <f aca="false">INSUMOS_DIRECTOS_MANUALES!L10</f>
        <v>1990.00891166667</v>
      </c>
      <c r="O9" s="42" t="n">
        <f aca="false">INSUMOS_DIRECTOS_MANUALES!M10</f>
        <v>2699.09700916667</v>
      </c>
      <c r="P9" s="42" t="n">
        <f aca="false">INSUMOS_DIRECTOS_MANUALES!N10</f>
        <v>3501.44665333333</v>
      </c>
      <c r="Q9" s="42" t="n">
        <f aca="false">INSUMOS_DIRECTOS_MANUALES!O10</f>
        <v>4261.9321975</v>
      </c>
      <c r="R9" s="42" t="n">
        <f aca="false">INSUMOS_DIRECTOS_MANUALES!P10</f>
        <v>4736.96037916667</v>
      </c>
      <c r="S9" s="42" t="n">
        <f aca="false">INSUMOS_DIRECTOS_MANUALES!Q10</f>
        <v>5436.14822666667</v>
      </c>
      <c r="T9" s="42" t="n">
        <f aca="false">INDEX(J9:S9,INDEX(P_VAL,MATCH("AÑO_DIS",P_ID,0))-2025)</f>
        <v>5436.14822666667</v>
      </c>
      <c r="U9" s="24"/>
      <c r="V9" s="24"/>
      <c r="W9" s="24"/>
      <c r="X9" s="24"/>
      <c r="Y9" s="24"/>
    </row>
    <row r="10" customFormat="false" ht="15" hidden="false" customHeight="false" outlineLevel="1" collapsed="false">
      <c r="A10" s="24" t="n">
        <v>1</v>
      </c>
      <c r="B10" s="24" t="s">
        <v>715</v>
      </c>
      <c r="C10" s="40" t="s">
        <v>3854</v>
      </c>
      <c r="D10" s="24"/>
      <c r="E10" s="24"/>
      <c r="F10" s="24"/>
      <c r="G10" s="24"/>
      <c r="H10" s="24" t="s">
        <v>132</v>
      </c>
      <c r="I10" s="24" t="s">
        <v>3855</v>
      </c>
      <c r="J10" s="42" t="n">
        <f aca="false">INSUMOS_DIRECTOS_RECARGAS!H4</f>
        <v>5.25</v>
      </c>
      <c r="K10" s="42" t="n">
        <f aca="false">INSUMOS_DIRECTOS_RECARGAS!I4</f>
        <v>18.5125</v>
      </c>
      <c r="L10" s="42" t="n">
        <f aca="false">INSUMOS_DIRECTOS_RECARGAS!J4</f>
        <v>23.7583333333333</v>
      </c>
      <c r="M10" s="42" t="n">
        <f aca="false">INSUMOS_DIRECTOS_RECARGAS!K4</f>
        <v>41.6375</v>
      </c>
      <c r="N10" s="42" t="n">
        <f aca="false">INSUMOS_DIRECTOS_RECARGAS!L4</f>
        <v>45.1041666666667</v>
      </c>
      <c r="O10" s="42" t="n">
        <f aca="false">INSUMOS_DIRECTOS_RECARGAS!M4</f>
        <v>52.7291666666667</v>
      </c>
      <c r="P10" s="42" t="n">
        <f aca="false">INSUMOS_DIRECTOS_RECARGAS!N4</f>
        <v>50.8833333333333</v>
      </c>
      <c r="Q10" s="42" t="n">
        <f aca="false">INSUMOS_DIRECTOS_RECARGAS!O4</f>
        <v>41.1625</v>
      </c>
      <c r="R10" s="42" t="n">
        <f aca="false">INSUMOS_DIRECTOS_RECARGAS!P4</f>
        <v>30.6</v>
      </c>
      <c r="S10" s="42" t="n">
        <f aca="false">INSUMOS_DIRECTOS_RECARGAS!Q4</f>
        <v>31.85</v>
      </c>
      <c r="T10" s="42" t="n">
        <f aca="false">INDEX(J10:S10,INDEX(P_VAL,MATCH("AÑO_DIS",P_ID,0))-2025)</f>
        <v>31.85</v>
      </c>
      <c r="U10" s="24"/>
      <c r="V10" s="24"/>
      <c r="W10" s="24"/>
      <c r="X10" s="24"/>
      <c r="Y10" s="24"/>
    </row>
    <row r="11" customFormat="false" ht="15" hidden="false" customHeight="false" outlineLevel="0" collapsed="false">
      <c r="A11" s="38" t="n">
        <v>0</v>
      </c>
      <c r="B11" s="38" t="s">
        <v>799</v>
      </c>
      <c r="C11" s="38" t="str">
        <f aca="false">INDEX(C_TAB,MATCH($B11,C_COD,0),2)</f>
        <v>Hoja LAF 2,0 × 1500 × 3000 mm (cuerpo 10 kg, 15 por hoja)</v>
      </c>
      <c r="D11" s="38" t="str">
        <f aca="false">INDEX(C_TAB,MATCH($B11,C_COD,0),3)</f>
        <v>hoja</v>
      </c>
      <c r="E11" s="38" t="str">
        <f aca="false">INDEX(C_TAB,MATCH($B11,C_COD,0),4)</f>
        <v>Directo</v>
      </c>
      <c r="F11" s="38" t="str">
        <f aca="false">INDEX(C_TAB,MATCH($B11,C_COD,0),5)</f>
        <v>Materia prima</v>
      </c>
      <c r="G11" s="38" t="str">
        <f aca="false">INDEX(C_TAB,MATCH($B11,C_COD,0),6)</f>
        <v>Chapa y fleje (manuales)</v>
      </c>
      <c r="H11" s="38"/>
      <c r="I11" s="38"/>
      <c r="J11" s="39" t="n">
        <f aca="false">SUM(J12:J13)</f>
        <v>6.25554543533333</v>
      </c>
      <c r="K11" s="39" t="n">
        <f aca="false">SUM(K12:K13)</f>
        <v>12.0231531133333</v>
      </c>
      <c r="L11" s="39" t="n">
        <f aca="false">SUM(L12:L13)</f>
        <v>23.3752519866667</v>
      </c>
      <c r="M11" s="39" t="n">
        <f aca="false">SUM(M12:M13)</f>
        <v>45.5746996066667</v>
      </c>
      <c r="N11" s="39" t="n">
        <f aca="false">SUM(N12:N13)</f>
        <v>79.7478767933333</v>
      </c>
      <c r="O11" s="39" t="n">
        <f aca="false">SUM(O12:O13)</f>
        <v>115.397002133333</v>
      </c>
      <c r="P11" s="39" t="n">
        <f aca="false">SUM(P12:P13)</f>
        <v>155.577369666667</v>
      </c>
      <c r="Q11" s="39" t="n">
        <f aca="false">SUM(Q12:Q13)</f>
        <v>196.532987466667</v>
      </c>
      <c r="R11" s="39" t="n">
        <f aca="false">SUM(R12:R13)</f>
        <v>223.436670266667</v>
      </c>
      <c r="S11" s="39" t="n">
        <f aca="false">SUM(S12:S13)</f>
        <v>257.259871933333</v>
      </c>
      <c r="T11" s="39" t="n">
        <f aca="false">INDEX(J11:S11,INDEX(P_VAL,MATCH("AÑO_DIS",P_ID,0))-2025)</f>
        <v>257.259871933333</v>
      </c>
      <c r="U11" s="38" t="str">
        <f aca="false">INDEX(C_TAB,MATCH($B11,C_COD,0),10)</f>
        <v>Paquete de 20 hojas</v>
      </c>
      <c r="V11" s="38" t="n">
        <f aca="false">INDEX(C_TAB,MATCH($B11,C_COD,0),11)</f>
        <v>20</v>
      </c>
      <c r="W11" s="44" t="n">
        <f aca="false">ROUNDUP(T11/V11,0)</f>
        <v>13</v>
      </c>
      <c r="X11" s="38" t="str">
        <f aca="false">INDEX(C_TAB,MATCH($B11,C_COD,0),7)</f>
        <v>Pradecon</v>
      </c>
      <c r="Y11" s="38" t="n">
        <f aca="false">INDEX(C_TAB,MATCH($B11,C_COD,0),12)</f>
        <v>10</v>
      </c>
    </row>
    <row r="12" customFormat="false" ht="15" hidden="false" customHeight="false" outlineLevel="1" collapsed="false">
      <c r="A12" s="24" t="n">
        <v>1</v>
      </c>
      <c r="B12" s="24" t="s">
        <v>799</v>
      </c>
      <c r="C12" s="40" t="s">
        <v>3852</v>
      </c>
      <c r="D12" s="24"/>
      <c r="E12" s="24"/>
      <c r="F12" s="24"/>
      <c r="G12" s="24"/>
      <c r="H12" s="24" t="s">
        <v>229</v>
      </c>
      <c r="I12" s="24" t="s">
        <v>3853</v>
      </c>
      <c r="J12" s="42" t="n">
        <f aca="false">INSUMOS_DIRECTOS_MANUALES!H13</f>
        <v>6.122212102</v>
      </c>
      <c r="K12" s="42" t="n">
        <f aca="false">INSUMOS_DIRECTOS_MANUALES!I13</f>
        <v>11.8164864466667</v>
      </c>
      <c r="L12" s="42" t="n">
        <f aca="false">INSUMOS_DIRECTOS_MANUALES!J13</f>
        <v>22.8919186533333</v>
      </c>
      <c r="M12" s="42" t="n">
        <f aca="false">INSUMOS_DIRECTOS_MANUALES!K13</f>
        <v>44.86803294</v>
      </c>
      <c r="N12" s="42" t="n">
        <f aca="false">INSUMOS_DIRECTOS_MANUALES!L13</f>
        <v>79.07454346</v>
      </c>
      <c r="O12" s="42" t="n">
        <f aca="false">INSUMOS_DIRECTOS_MANUALES!M13</f>
        <v>114.560335466667</v>
      </c>
      <c r="P12" s="42" t="n">
        <f aca="false">INSUMOS_DIRECTOS_MANUALES!N13</f>
        <v>154.837369666667</v>
      </c>
      <c r="Q12" s="42" t="n">
        <f aca="false">INSUMOS_DIRECTOS_MANUALES!O13</f>
        <v>196.029654133333</v>
      </c>
      <c r="R12" s="42" t="n">
        <f aca="false">INSUMOS_DIRECTOS_MANUALES!P13</f>
        <v>222.916670266667</v>
      </c>
      <c r="S12" s="42" t="n">
        <f aca="false">INSUMOS_DIRECTOS_MANUALES!Q13</f>
        <v>256.789871933333</v>
      </c>
      <c r="T12" s="42" t="n">
        <f aca="false">INDEX(J12:S12,INDEX(P_VAL,MATCH("AÑO_DIS",P_ID,0))-2025)</f>
        <v>256.789871933333</v>
      </c>
      <c r="U12" s="24"/>
      <c r="V12" s="24"/>
      <c r="W12" s="24"/>
      <c r="X12" s="24"/>
      <c r="Y12" s="24"/>
    </row>
    <row r="13" customFormat="false" ht="15" hidden="false" customHeight="false" outlineLevel="1" collapsed="false">
      <c r="A13" s="24" t="n">
        <v>1</v>
      </c>
      <c r="B13" s="24" t="s">
        <v>799</v>
      </c>
      <c r="C13" s="40" t="s">
        <v>3854</v>
      </c>
      <c r="D13" s="24"/>
      <c r="E13" s="24"/>
      <c r="F13" s="24"/>
      <c r="G13" s="24"/>
      <c r="H13" s="24" t="s">
        <v>132</v>
      </c>
      <c r="I13" s="24" t="s">
        <v>3855</v>
      </c>
      <c r="J13" s="42" t="n">
        <f aca="false">INSUMOS_DIRECTOS_RECARGAS!H6</f>
        <v>0.133333333333333</v>
      </c>
      <c r="K13" s="42" t="n">
        <f aca="false">INSUMOS_DIRECTOS_RECARGAS!I6</f>
        <v>0.206666666666667</v>
      </c>
      <c r="L13" s="42" t="n">
        <f aca="false">INSUMOS_DIRECTOS_RECARGAS!J6</f>
        <v>0.483333333333333</v>
      </c>
      <c r="M13" s="42" t="n">
        <f aca="false">INSUMOS_DIRECTOS_RECARGAS!K6</f>
        <v>0.706666666666667</v>
      </c>
      <c r="N13" s="42" t="n">
        <f aca="false">INSUMOS_DIRECTOS_RECARGAS!L6</f>
        <v>0.673333333333333</v>
      </c>
      <c r="O13" s="42" t="n">
        <f aca="false">INSUMOS_DIRECTOS_RECARGAS!M6</f>
        <v>0.836666666666667</v>
      </c>
      <c r="P13" s="42" t="n">
        <f aca="false">INSUMOS_DIRECTOS_RECARGAS!N6</f>
        <v>0.74</v>
      </c>
      <c r="Q13" s="42" t="n">
        <f aca="false">INSUMOS_DIRECTOS_RECARGAS!O6</f>
        <v>0.503333333333333</v>
      </c>
      <c r="R13" s="42" t="n">
        <f aca="false">INSUMOS_DIRECTOS_RECARGAS!P6</f>
        <v>0.52</v>
      </c>
      <c r="S13" s="42" t="n">
        <f aca="false">INSUMOS_DIRECTOS_RECARGAS!Q6</f>
        <v>0.47</v>
      </c>
      <c r="T13" s="42" t="n">
        <f aca="false">INDEX(J13:S13,INDEX(P_VAL,MATCH("AÑO_DIS",P_ID,0))-2025)</f>
        <v>0.47</v>
      </c>
      <c r="U13" s="24"/>
      <c r="V13" s="24"/>
      <c r="W13" s="24"/>
      <c r="X13" s="24"/>
      <c r="Y13" s="24"/>
    </row>
    <row r="14" customFormat="false" ht="15" hidden="false" customHeight="false" outlineLevel="0" collapsed="false">
      <c r="A14" s="38" t="n">
        <v>0</v>
      </c>
      <c r="B14" s="38" t="s">
        <v>497</v>
      </c>
      <c r="C14" s="38" t="str">
        <f aca="false">INDEX(C_TAB,MATCH($B14,C_COD,0),2)</f>
        <v>Fleje LAF 0,9 × 114 mm (cúpula 1 kg, disco Ø95)</v>
      </c>
      <c r="D14" s="38" t="str">
        <f aca="false">INDEX(C_TAB,MATCH($B14,C_COD,0),3)</f>
        <v>kg</v>
      </c>
      <c r="E14" s="38" t="str">
        <f aca="false">INDEX(C_TAB,MATCH($B14,C_COD,0),4)</f>
        <v>Directo</v>
      </c>
      <c r="F14" s="38" t="str">
        <f aca="false">INDEX(C_TAB,MATCH($B14,C_COD,0),5)</f>
        <v>Materia prima</v>
      </c>
      <c r="G14" s="38" t="str">
        <f aca="false">INDEX(C_TAB,MATCH($B14,C_COD,0),6)</f>
        <v>Chapa y fleje (manuales)</v>
      </c>
      <c r="H14" s="38"/>
      <c r="I14" s="38"/>
      <c r="J14" s="39" t="n">
        <f aca="false">SUM(J15:J15)</f>
        <v>322.760675493463</v>
      </c>
      <c r="K14" s="39" t="n">
        <f aca="false">SUM(K15:K15)</f>
        <v>463.224676367483</v>
      </c>
      <c r="L14" s="39" t="n">
        <f aca="false">SUM(L15:L15)</f>
        <v>1121.05563161942</v>
      </c>
      <c r="M14" s="39" t="n">
        <f aca="false">SUM(M15:M15)</f>
        <v>2715.86637555888</v>
      </c>
      <c r="N14" s="39" t="n">
        <f aca="false">SUM(N15:N15)</f>
        <v>4797.72266419437</v>
      </c>
      <c r="O14" s="39" t="n">
        <f aca="false">SUM(O15:O15)</f>
        <v>6742.98389329173</v>
      </c>
      <c r="P14" s="39" t="n">
        <f aca="false">SUM(P15:P15)</f>
        <v>9397.8906618084</v>
      </c>
      <c r="Q14" s="39" t="n">
        <f aca="false">SUM(Q15:Q15)</f>
        <v>12059.5345886295</v>
      </c>
      <c r="R14" s="39" t="n">
        <f aca="false">SUM(R15:R15)</f>
        <v>13547.1586961598</v>
      </c>
      <c r="S14" s="39" t="n">
        <f aca="false">SUM(S15:S15)</f>
        <v>15650.1788714264</v>
      </c>
      <c r="T14" s="39" t="n">
        <f aca="false">INDEX(J14:S14,INDEX(P_VAL,MATCH("AÑO_DIS",P_ID,0))-2025)</f>
        <v>15650.1788714264</v>
      </c>
      <c r="U14" s="38" t="str">
        <f aca="false">INDEX(C_TAB,MATCH($B14,C_COD,0),10)</f>
        <v>Rollo de fleje ≈1.900 kg</v>
      </c>
      <c r="V14" s="38" t="n">
        <f aca="false">INDEX(C_TAB,MATCH($B14,C_COD,0),11)</f>
        <v>1900</v>
      </c>
      <c r="W14" s="44" t="n">
        <f aca="false">ROUNDUP(T14/V14,0)</f>
        <v>9</v>
      </c>
      <c r="X14" s="38" t="str">
        <f aca="false">INDEX(C_TAB,MATCH($B14,C_COD,0),7)</f>
        <v>Pradecon</v>
      </c>
      <c r="Y14" s="38" t="n">
        <f aca="false">INDEX(C_TAB,MATCH($B14,C_COD,0),12)</f>
        <v>10</v>
      </c>
    </row>
    <row r="15" customFormat="false" ht="15" hidden="false" customHeight="false" outlineLevel="1" collapsed="false">
      <c r="A15" s="24" t="n">
        <v>1</v>
      </c>
      <c r="B15" s="24" t="s">
        <v>497</v>
      </c>
      <c r="C15" s="40" t="s">
        <v>3852</v>
      </c>
      <c r="D15" s="24"/>
      <c r="E15" s="24"/>
      <c r="F15" s="24"/>
      <c r="G15" s="24"/>
      <c r="H15" s="24" t="s">
        <v>229</v>
      </c>
      <c r="I15" s="24" t="s">
        <v>3853</v>
      </c>
      <c r="J15" s="42" t="n">
        <f aca="false">INSUMOS_DIRECTOS_MANUALES!H16</f>
        <v>322.760675493463</v>
      </c>
      <c r="K15" s="42" t="n">
        <f aca="false">INSUMOS_DIRECTOS_MANUALES!I16</f>
        <v>463.224676367483</v>
      </c>
      <c r="L15" s="42" t="n">
        <f aca="false">INSUMOS_DIRECTOS_MANUALES!J16</f>
        <v>1121.05563161942</v>
      </c>
      <c r="M15" s="42" t="n">
        <f aca="false">INSUMOS_DIRECTOS_MANUALES!K16</f>
        <v>2715.86637555888</v>
      </c>
      <c r="N15" s="42" t="n">
        <f aca="false">INSUMOS_DIRECTOS_MANUALES!L16</f>
        <v>4797.72266419437</v>
      </c>
      <c r="O15" s="42" t="n">
        <f aca="false">INSUMOS_DIRECTOS_MANUALES!M16</f>
        <v>6742.98389329173</v>
      </c>
      <c r="P15" s="42" t="n">
        <f aca="false">INSUMOS_DIRECTOS_MANUALES!N16</f>
        <v>9397.8906618084</v>
      </c>
      <c r="Q15" s="42" t="n">
        <f aca="false">INSUMOS_DIRECTOS_MANUALES!O16</f>
        <v>12059.5345886295</v>
      </c>
      <c r="R15" s="42" t="n">
        <f aca="false">INSUMOS_DIRECTOS_MANUALES!P16</f>
        <v>13547.1586961598</v>
      </c>
      <c r="S15" s="42" t="n">
        <f aca="false">INSUMOS_DIRECTOS_MANUALES!Q16</f>
        <v>15650.1788714264</v>
      </c>
      <c r="T15" s="42" t="n">
        <f aca="false">INDEX(J15:S15,INDEX(P_VAL,MATCH("AÑO_DIS",P_ID,0))-2025)</f>
        <v>15650.1788714264</v>
      </c>
      <c r="U15" s="24"/>
      <c r="V15" s="24"/>
      <c r="W15" s="24"/>
      <c r="X15" s="24"/>
      <c r="Y15" s="24"/>
    </row>
    <row r="16" customFormat="false" ht="15" hidden="false" customHeight="false" outlineLevel="0" collapsed="false">
      <c r="A16" s="38" t="n">
        <v>0</v>
      </c>
      <c r="B16" s="38" t="s">
        <v>501</v>
      </c>
      <c r="C16" s="38" t="str">
        <f aca="false">INDEX(C_TAB,MATCH($B16,C_COD,0),2)</f>
        <v>Fleje LAF 1,25 × 135 mm (fondo 1 kg, disco Ø112)</v>
      </c>
      <c r="D16" s="38" t="str">
        <f aca="false">INDEX(C_TAB,MATCH($B16,C_COD,0),3)</f>
        <v>kg</v>
      </c>
      <c r="E16" s="38" t="str">
        <f aca="false">INDEX(C_TAB,MATCH($B16,C_COD,0),4)</f>
        <v>Directo</v>
      </c>
      <c r="F16" s="38" t="str">
        <f aca="false">INDEX(C_TAB,MATCH($B16,C_COD,0),5)</f>
        <v>Materia prima</v>
      </c>
      <c r="G16" s="38" t="str">
        <f aca="false">INDEX(C_TAB,MATCH($B16,C_COD,0),6)</f>
        <v>Chapa y fleje (manuales)</v>
      </c>
      <c r="H16" s="38"/>
      <c r="I16" s="38"/>
      <c r="J16" s="39" t="n">
        <f aca="false">SUM(J17:J17)</f>
        <v>626.897647282577</v>
      </c>
      <c r="K16" s="39" t="n">
        <f aca="false">SUM(K17:K17)</f>
        <v>899.720696562645</v>
      </c>
      <c r="L16" s="39" t="n">
        <f aca="false">SUM(L17:L17)</f>
        <v>2177.42491975089</v>
      </c>
      <c r="M16" s="39" t="n">
        <f aca="false">SUM(M17:M17)</f>
        <v>5275.02378834934</v>
      </c>
      <c r="N16" s="39" t="n">
        <f aca="false">SUM(N17:N17)</f>
        <v>9318.61059560419</v>
      </c>
      <c r="O16" s="39" t="n">
        <f aca="false">SUM(O17:O17)</f>
        <v>13096.8889933883</v>
      </c>
      <c r="P16" s="39" t="n">
        <f aca="false">SUM(P17:P17)</f>
        <v>18253.5110149313</v>
      </c>
      <c r="Q16" s="39" t="n">
        <f aca="false">SUM(Q17:Q17)</f>
        <v>23423.2186104339</v>
      </c>
      <c r="R16" s="39" t="n">
        <f aca="false">SUM(R17:R17)</f>
        <v>26312.6290121992</v>
      </c>
      <c r="S16" s="39" t="n">
        <f aca="false">SUM(S17:S17)</f>
        <v>30397.3224093944</v>
      </c>
      <c r="T16" s="39" t="n">
        <f aca="false">INDEX(J16:S16,INDEX(P_VAL,MATCH("AÑO_DIS",P_ID,0))-2025)</f>
        <v>30397.3224093944</v>
      </c>
      <c r="U16" s="38" t="str">
        <f aca="false">INDEX(C_TAB,MATCH($B16,C_COD,0),10)</f>
        <v>Rollo de fleje ≈1.900 kg</v>
      </c>
      <c r="V16" s="38" t="n">
        <f aca="false">INDEX(C_TAB,MATCH($B16,C_COD,0),11)</f>
        <v>1900</v>
      </c>
      <c r="W16" s="44" t="n">
        <f aca="false">ROUNDUP(T16/V16,0)</f>
        <v>16</v>
      </c>
      <c r="X16" s="38" t="str">
        <f aca="false">INDEX(C_TAB,MATCH($B16,C_COD,0),7)</f>
        <v>Pradecon</v>
      </c>
      <c r="Y16" s="38" t="n">
        <f aca="false">INDEX(C_TAB,MATCH($B16,C_COD,0),12)</f>
        <v>10</v>
      </c>
    </row>
    <row r="17" customFormat="false" ht="15" hidden="false" customHeight="false" outlineLevel="1" collapsed="false">
      <c r="A17" s="24" t="n">
        <v>1</v>
      </c>
      <c r="B17" s="24" t="s">
        <v>501</v>
      </c>
      <c r="C17" s="40" t="s">
        <v>3852</v>
      </c>
      <c r="D17" s="24"/>
      <c r="E17" s="24"/>
      <c r="F17" s="24"/>
      <c r="G17" s="24"/>
      <c r="H17" s="24" t="s">
        <v>229</v>
      </c>
      <c r="I17" s="24" t="s">
        <v>3853</v>
      </c>
      <c r="J17" s="42" t="n">
        <f aca="false">INSUMOS_DIRECTOS_MANUALES!H19</f>
        <v>626.897647282577</v>
      </c>
      <c r="K17" s="42" t="n">
        <f aca="false">INSUMOS_DIRECTOS_MANUALES!I19</f>
        <v>899.720696562645</v>
      </c>
      <c r="L17" s="42" t="n">
        <f aca="false">INSUMOS_DIRECTOS_MANUALES!J19</f>
        <v>2177.42491975089</v>
      </c>
      <c r="M17" s="42" t="n">
        <f aca="false">INSUMOS_DIRECTOS_MANUALES!K19</f>
        <v>5275.02378834934</v>
      </c>
      <c r="N17" s="42" t="n">
        <f aca="false">INSUMOS_DIRECTOS_MANUALES!L19</f>
        <v>9318.61059560419</v>
      </c>
      <c r="O17" s="42" t="n">
        <f aca="false">INSUMOS_DIRECTOS_MANUALES!M19</f>
        <v>13096.8889933883</v>
      </c>
      <c r="P17" s="42" t="n">
        <f aca="false">INSUMOS_DIRECTOS_MANUALES!N19</f>
        <v>18253.5110149313</v>
      </c>
      <c r="Q17" s="42" t="n">
        <f aca="false">INSUMOS_DIRECTOS_MANUALES!O19</f>
        <v>23423.2186104339</v>
      </c>
      <c r="R17" s="42" t="n">
        <f aca="false">INSUMOS_DIRECTOS_MANUALES!P19</f>
        <v>26312.6290121992</v>
      </c>
      <c r="S17" s="42" t="n">
        <f aca="false">INSUMOS_DIRECTOS_MANUALES!Q19</f>
        <v>30397.3224093944</v>
      </c>
      <c r="T17" s="42" t="n">
        <f aca="false">INDEX(J17:S17,INDEX(P_VAL,MATCH("AÑO_DIS",P_ID,0))-2025)</f>
        <v>30397.3224093944</v>
      </c>
      <c r="U17" s="24"/>
      <c r="V17" s="24"/>
      <c r="W17" s="24"/>
      <c r="X17" s="24"/>
      <c r="Y17" s="24"/>
    </row>
    <row r="18" customFormat="false" ht="15" hidden="false" customHeight="false" outlineLevel="0" collapsed="false">
      <c r="A18" s="38" t="n">
        <v>0</v>
      </c>
      <c r="B18" s="38" t="s">
        <v>620</v>
      </c>
      <c r="C18" s="38" t="str">
        <f aca="false">INDEX(C_TAB,MATCH($B18,C_COD,0),2)</f>
        <v>Fleje LAF 1,25 × 200 mm (cúpula Ø179 y fondo Ø148, 2,5 kg)</v>
      </c>
      <c r="D18" s="38" t="str">
        <f aca="false">INDEX(C_TAB,MATCH($B18,C_COD,0),3)</f>
        <v>kg</v>
      </c>
      <c r="E18" s="38" t="str">
        <f aca="false">INDEX(C_TAB,MATCH($B18,C_COD,0),4)</f>
        <v>Directo</v>
      </c>
      <c r="F18" s="38" t="str">
        <f aca="false">INDEX(C_TAB,MATCH($B18,C_COD,0),5)</f>
        <v>Materia prima</v>
      </c>
      <c r="G18" s="38" t="str">
        <f aca="false">INDEX(C_TAB,MATCH($B18,C_COD,0),6)</f>
        <v>Chapa y fleje (manuales)</v>
      </c>
      <c r="H18" s="38"/>
      <c r="I18" s="38"/>
      <c r="J18" s="39" t="n">
        <f aca="false">SUM(J19:J19)</f>
        <v>190.779536543648</v>
      </c>
      <c r="K18" s="39" t="n">
        <f aca="false">SUM(K19:K19)</f>
        <v>458.940819939931</v>
      </c>
      <c r="L18" s="39" t="n">
        <f aca="false">SUM(L19:L19)</f>
        <v>831.88652902168</v>
      </c>
      <c r="M18" s="39" t="n">
        <f aca="false">SUM(M19:M19)</f>
        <v>1645.34504247851</v>
      </c>
      <c r="N18" s="39" t="n">
        <f aca="false">SUM(N19:N19)</f>
        <v>2745.40863384461</v>
      </c>
      <c r="O18" s="39" t="n">
        <f aca="false">SUM(O19:O19)</f>
        <v>3915.99041324176</v>
      </c>
      <c r="P18" s="39" t="n">
        <f aca="false">SUM(P19:P19)</f>
        <v>5215.38587537257</v>
      </c>
      <c r="Q18" s="39" t="n">
        <f aca="false">SUM(Q19:Q19)</f>
        <v>6613.42388381738</v>
      </c>
      <c r="R18" s="39" t="n">
        <f aca="false">SUM(R19:R19)</f>
        <v>7718.71889037193</v>
      </c>
      <c r="S18" s="39" t="n">
        <f aca="false">SUM(S19:S19)</f>
        <v>9113.70547619733</v>
      </c>
      <c r="T18" s="39" t="n">
        <f aca="false">INDEX(J18:S18,INDEX(P_VAL,MATCH("AÑO_DIS",P_ID,0))-2025)</f>
        <v>9113.70547619733</v>
      </c>
      <c r="U18" s="38" t="str">
        <f aca="false">INDEX(C_TAB,MATCH($B18,C_COD,0),10)</f>
        <v>Rollo de 492 kg</v>
      </c>
      <c r="V18" s="38" t="n">
        <f aca="false">INDEX(C_TAB,MATCH($B18,C_COD,0),11)</f>
        <v>492</v>
      </c>
      <c r="W18" s="44" t="n">
        <f aca="false">ROUNDUP(T18/V18,0)</f>
        <v>19</v>
      </c>
      <c r="X18" s="38" t="str">
        <f aca="false">INDEX(C_TAB,MATCH($B18,C_COD,0),7)</f>
        <v>Pacheco Chapas</v>
      </c>
      <c r="Y18" s="38" t="n">
        <f aca="false">INDEX(C_TAB,MATCH($B18,C_COD,0),12)</f>
        <v>10</v>
      </c>
    </row>
    <row r="19" customFormat="false" ht="15" hidden="false" customHeight="false" outlineLevel="1" collapsed="false">
      <c r="A19" s="24" t="n">
        <v>1</v>
      </c>
      <c r="B19" s="24" t="s">
        <v>620</v>
      </c>
      <c r="C19" s="40" t="s">
        <v>3852</v>
      </c>
      <c r="D19" s="24"/>
      <c r="E19" s="24"/>
      <c r="F19" s="24"/>
      <c r="G19" s="24"/>
      <c r="H19" s="24" t="s">
        <v>229</v>
      </c>
      <c r="I19" s="24" t="s">
        <v>3853</v>
      </c>
      <c r="J19" s="42" t="n">
        <f aca="false">INSUMOS_DIRECTOS_MANUALES!H22</f>
        <v>190.779536543648</v>
      </c>
      <c r="K19" s="42" t="n">
        <f aca="false">INSUMOS_DIRECTOS_MANUALES!I22</f>
        <v>458.940819939931</v>
      </c>
      <c r="L19" s="42" t="n">
        <f aca="false">INSUMOS_DIRECTOS_MANUALES!J22</f>
        <v>831.88652902168</v>
      </c>
      <c r="M19" s="42" t="n">
        <f aca="false">INSUMOS_DIRECTOS_MANUALES!K22</f>
        <v>1645.34504247851</v>
      </c>
      <c r="N19" s="42" t="n">
        <f aca="false">INSUMOS_DIRECTOS_MANUALES!L22</f>
        <v>2745.40863384461</v>
      </c>
      <c r="O19" s="42" t="n">
        <f aca="false">INSUMOS_DIRECTOS_MANUALES!M22</f>
        <v>3915.99041324176</v>
      </c>
      <c r="P19" s="42" t="n">
        <f aca="false">INSUMOS_DIRECTOS_MANUALES!N22</f>
        <v>5215.38587537257</v>
      </c>
      <c r="Q19" s="42" t="n">
        <f aca="false">INSUMOS_DIRECTOS_MANUALES!O22</f>
        <v>6613.42388381738</v>
      </c>
      <c r="R19" s="42" t="n">
        <f aca="false">INSUMOS_DIRECTOS_MANUALES!P22</f>
        <v>7718.71889037193</v>
      </c>
      <c r="S19" s="42" t="n">
        <f aca="false">INSUMOS_DIRECTOS_MANUALES!Q22</f>
        <v>9113.70547619733</v>
      </c>
      <c r="T19" s="42" t="n">
        <f aca="false">INDEX(J19:S19,INDEX(P_VAL,MATCH("AÑO_DIS",P_ID,0))-2025)</f>
        <v>9113.70547619733</v>
      </c>
      <c r="U19" s="24"/>
      <c r="V19" s="24"/>
      <c r="W19" s="24"/>
      <c r="X19" s="24"/>
      <c r="Y19" s="24"/>
    </row>
    <row r="20" customFormat="false" ht="15" hidden="false" customHeight="false" outlineLevel="0" collapsed="false">
      <c r="A20" s="38" t="n">
        <v>0</v>
      </c>
      <c r="B20" s="38" t="s">
        <v>718</v>
      </c>
      <c r="C20" s="38" t="str">
        <f aca="false">INDEX(C_TAB,MATCH($B20,C_COD,0),2)</f>
        <v>Fleje LAF 1,6 × 250 mm (cúpula Ø221, 5 kg)</v>
      </c>
      <c r="D20" s="38" t="str">
        <f aca="false">INDEX(C_TAB,MATCH($B20,C_COD,0),3)</f>
        <v>kg</v>
      </c>
      <c r="E20" s="38" t="str">
        <f aca="false">INDEX(C_TAB,MATCH($B20,C_COD,0),4)</f>
        <v>Directo</v>
      </c>
      <c r="F20" s="38" t="str">
        <f aca="false">INDEX(C_TAB,MATCH($B20,C_COD,0),5)</f>
        <v>Materia prima</v>
      </c>
      <c r="G20" s="38" t="str">
        <f aca="false">INDEX(C_TAB,MATCH($B20,C_COD,0),6)</f>
        <v>Chapa y fleje (manuales)</v>
      </c>
      <c r="H20" s="38"/>
      <c r="I20" s="38"/>
      <c r="J20" s="39" t="n">
        <f aca="false">SUM(J21:J22)</f>
        <v>1938.0685246461</v>
      </c>
      <c r="K20" s="39" t="n">
        <f aca="false">SUM(K21:K22)</f>
        <v>3947.13979117928</v>
      </c>
      <c r="L20" s="39" t="n">
        <f aca="false">SUM(L21:L22)</f>
        <v>6212.69789235572</v>
      </c>
      <c r="M20" s="39" t="n">
        <f aca="false">SUM(M21:M22)</f>
        <v>11133.6335182357</v>
      </c>
      <c r="N20" s="39" t="n">
        <f aca="false">SUM(N21:N22)</f>
        <v>17069.6493322102</v>
      </c>
      <c r="O20" s="39" t="n">
        <f aca="false">SUM(O21:O22)</f>
        <v>23081.129173982</v>
      </c>
      <c r="P20" s="39" t="n">
        <f aca="false">SUM(P21:P22)</f>
        <v>29795.4093216058</v>
      </c>
      <c r="Q20" s="39" t="n">
        <f aca="false">SUM(Q21:Q22)</f>
        <v>36092.4993857207</v>
      </c>
      <c r="R20" s="39" t="n">
        <f aca="false">SUM(R21:R22)</f>
        <v>39988.2368743662</v>
      </c>
      <c r="S20" s="39" t="n">
        <f aca="false">SUM(S21:S22)</f>
        <v>45863.2069500461</v>
      </c>
      <c r="T20" s="39" t="n">
        <f aca="false">INDEX(J20:S20,INDEX(P_VAL,MATCH("AÑO_DIS",P_ID,0))-2025)</f>
        <v>45863.2069500461</v>
      </c>
      <c r="U20" s="38" t="str">
        <f aca="false">INDEX(C_TAB,MATCH($B20,C_COD,0),10)</f>
        <v>Rollo de 615 kg</v>
      </c>
      <c r="V20" s="38" t="n">
        <f aca="false">INDEX(C_TAB,MATCH($B20,C_COD,0),11)</f>
        <v>615</v>
      </c>
      <c r="W20" s="44" t="n">
        <f aca="false">ROUNDUP(T20/V20,0)</f>
        <v>75</v>
      </c>
      <c r="X20" s="38" t="str">
        <f aca="false">INDEX(C_TAB,MATCH($B20,C_COD,0),7)</f>
        <v>Pacheco Chapas</v>
      </c>
      <c r="Y20" s="38" t="n">
        <f aca="false">INDEX(C_TAB,MATCH($B20,C_COD,0),12)</f>
        <v>10</v>
      </c>
    </row>
    <row r="21" customFormat="false" ht="15" hidden="false" customHeight="false" outlineLevel="1" collapsed="false">
      <c r="A21" s="24" t="n">
        <v>1</v>
      </c>
      <c r="B21" s="24" t="s">
        <v>718</v>
      </c>
      <c r="C21" s="40" t="s">
        <v>3852</v>
      </c>
      <c r="D21" s="24"/>
      <c r="E21" s="24"/>
      <c r="F21" s="24"/>
      <c r="G21" s="24"/>
      <c r="H21" s="24" t="s">
        <v>229</v>
      </c>
      <c r="I21" s="24" t="s">
        <v>3853</v>
      </c>
      <c r="J21" s="42" t="n">
        <f aca="false">INSUMOS_DIRECTOS_MANUALES!H27</f>
        <v>1894.0337926461</v>
      </c>
      <c r="K21" s="42" t="n">
        <f aca="false">INSUMOS_DIRECTOS_MANUALES!I27</f>
        <v>3791.86493857928</v>
      </c>
      <c r="L21" s="42" t="n">
        <f aca="false">INSUMOS_DIRECTOS_MANUALES!J27</f>
        <v>6013.42325595572</v>
      </c>
      <c r="M21" s="42" t="n">
        <f aca="false">INSUMOS_DIRECTOS_MANUALES!K27</f>
        <v>10784.3961556357</v>
      </c>
      <c r="N21" s="42" t="n">
        <f aca="false">INSUMOS_DIRECTOS_MANUALES!L27</f>
        <v>16691.3350672102</v>
      </c>
      <c r="O21" s="42" t="n">
        <f aca="false">INSUMOS_DIRECTOS_MANUALES!M27</f>
        <v>22638.859702982</v>
      </c>
      <c r="P21" s="42" t="n">
        <f aca="false">INSUMOS_DIRECTOS_MANUALES!N27</f>
        <v>29368.6219032058</v>
      </c>
      <c r="Q21" s="42" t="n">
        <f aca="false">INSUMOS_DIRECTOS_MANUALES!O27</f>
        <v>35747.2461179207</v>
      </c>
      <c r="R21" s="42" t="n">
        <f aca="false">INSUMOS_DIRECTOS_MANUALES!P27</f>
        <v>39731.5772935662</v>
      </c>
      <c r="S21" s="42" t="n">
        <f aca="false">INSUMOS_DIRECTOS_MANUALES!Q27</f>
        <v>45596.0629092461</v>
      </c>
      <c r="T21" s="42" t="n">
        <f aca="false">INDEX(J21:S21,INDEX(P_VAL,MATCH("AÑO_DIS",P_ID,0))-2025)</f>
        <v>45596.0629092461</v>
      </c>
      <c r="U21" s="24"/>
      <c r="V21" s="24"/>
      <c r="W21" s="24"/>
      <c r="X21" s="24"/>
      <c r="Y21" s="24"/>
    </row>
    <row r="22" customFormat="false" ht="15" hidden="false" customHeight="false" outlineLevel="1" collapsed="false">
      <c r="A22" s="24" t="n">
        <v>1</v>
      </c>
      <c r="B22" s="24" t="s">
        <v>718</v>
      </c>
      <c r="C22" s="40" t="s">
        <v>3854</v>
      </c>
      <c r="D22" s="24"/>
      <c r="E22" s="24"/>
      <c r="F22" s="24"/>
      <c r="G22" s="24"/>
      <c r="H22" s="24" t="s">
        <v>132</v>
      </c>
      <c r="I22" s="24" t="s">
        <v>3855</v>
      </c>
      <c r="J22" s="42" t="n">
        <f aca="false">INSUMOS_DIRECTOS_RECARGAS!H8</f>
        <v>44.034732</v>
      </c>
      <c r="K22" s="42" t="n">
        <f aca="false">INSUMOS_DIRECTOS_RECARGAS!I8</f>
        <v>155.2748526</v>
      </c>
      <c r="L22" s="42" t="n">
        <f aca="false">INSUMOS_DIRECTOS_RECARGAS!J8</f>
        <v>199.2746364</v>
      </c>
      <c r="M22" s="42" t="n">
        <f aca="false">INSUMOS_DIRECTOS_RECARGAS!K8</f>
        <v>349.2373626</v>
      </c>
      <c r="N22" s="42" t="n">
        <f aca="false">INSUMOS_DIRECTOS_RECARGAS!L8</f>
        <v>378.314265</v>
      </c>
      <c r="O22" s="42" t="n">
        <f aca="false">INSUMOS_DIRECTOS_RECARGAS!M8</f>
        <v>442.269471</v>
      </c>
      <c r="P22" s="42" t="n">
        <f aca="false">INSUMOS_DIRECTOS_RECARGAS!N8</f>
        <v>426.7874184</v>
      </c>
      <c r="Q22" s="42" t="n">
        <f aca="false">INSUMOS_DIRECTOS_RECARGAS!O8</f>
        <v>345.2532678</v>
      </c>
      <c r="R22" s="42" t="n">
        <f aca="false">INSUMOS_DIRECTOS_RECARGAS!P8</f>
        <v>256.6595808</v>
      </c>
      <c r="S22" s="42" t="n">
        <f aca="false">INSUMOS_DIRECTOS_RECARGAS!Q8</f>
        <v>267.1440408</v>
      </c>
      <c r="T22" s="42" t="n">
        <f aca="false">INDEX(J22:S22,INDEX(P_VAL,MATCH("AÑO_DIS",P_ID,0))-2025)</f>
        <v>267.1440408</v>
      </c>
      <c r="U22" s="24"/>
      <c r="V22" s="24"/>
      <c r="W22" s="24"/>
      <c r="X22" s="24"/>
      <c r="Y22" s="24"/>
    </row>
    <row r="23" customFormat="false" ht="15" hidden="false" customHeight="false" outlineLevel="0" collapsed="false">
      <c r="A23" s="38" t="n">
        <v>0</v>
      </c>
      <c r="B23" s="38" t="s">
        <v>721</v>
      </c>
      <c r="C23" s="38" t="str">
        <f aca="false">INDEX(C_TAB,MATCH($B23,C_COD,0),2)</f>
        <v>Fleje LAF 1,6 × 200 mm (fondo Ø177, 5 kg)</v>
      </c>
      <c r="D23" s="38" t="str">
        <f aca="false">INDEX(C_TAB,MATCH($B23,C_COD,0),3)</f>
        <v>kg</v>
      </c>
      <c r="E23" s="38" t="str">
        <f aca="false">INDEX(C_TAB,MATCH($B23,C_COD,0),4)</f>
        <v>Directo</v>
      </c>
      <c r="F23" s="38" t="str">
        <f aca="false">INDEX(C_TAB,MATCH($B23,C_COD,0),5)</f>
        <v>Materia prima</v>
      </c>
      <c r="G23" s="38" t="str">
        <f aca="false">INDEX(C_TAB,MATCH($B23,C_COD,0),6)</f>
        <v>Chapa y fleje (manuales)</v>
      </c>
      <c r="H23" s="38"/>
      <c r="I23" s="38"/>
      <c r="J23" s="39" t="n">
        <f aca="false">SUM(J24:J25)</f>
        <v>1243.98576280968</v>
      </c>
      <c r="K23" s="39" t="n">
        <f aca="false">SUM(K24:K25)</f>
        <v>2533.54597198426</v>
      </c>
      <c r="L23" s="39" t="n">
        <f aca="false">SUM(L24:L25)</f>
        <v>3987.73708382653</v>
      </c>
      <c r="M23" s="39" t="n">
        <f aca="false">SUM(M24:M25)</f>
        <v>7146.33224207332</v>
      </c>
      <c r="N23" s="39" t="n">
        <f aca="false">SUM(N24:N25)</f>
        <v>10956.4757259038</v>
      </c>
      <c r="O23" s="39" t="n">
        <f aca="false">SUM(O24:O25)</f>
        <v>14815.0572164356</v>
      </c>
      <c r="P23" s="39" t="n">
        <f aca="false">SUM(P24:P25)</f>
        <v>19124.7443120891</v>
      </c>
      <c r="Q23" s="39" t="n">
        <f aca="false">SUM(Q24:Q25)</f>
        <v>23166.6500998732</v>
      </c>
      <c r="R23" s="39" t="n">
        <f aca="false">SUM(R24:R25)</f>
        <v>25667.2025364306</v>
      </c>
      <c r="S23" s="39" t="n">
        <f aca="false">SUM(S24:S25)</f>
        <v>29438.1626640727</v>
      </c>
      <c r="T23" s="39" t="n">
        <f aca="false">INDEX(J23:S23,INDEX(P_VAL,MATCH("AÑO_DIS",P_ID,0))-2025)</f>
        <v>29438.1626640727</v>
      </c>
      <c r="U23" s="38" t="str">
        <f aca="false">INDEX(C_TAB,MATCH($B23,C_COD,0),10)</f>
        <v>Rollo de 492 kg</v>
      </c>
      <c r="V23" s="38" t="n">
        <f aca="false">INDEX(C_TAB,MATCH($B23,C_COD,0),11)</f>
        <v>492</v>
      </c>
      <c r="W23" s="44" t="n">
        <f aca="false">ROUNDUP(T23/V23,0)</f>
        <v>60</v>
      </c>
      <c r="X23" s="38" t="str">
        <f aca="false">INDEX(C_TAB,MATCH($B23,C_COD,0),7)</f>
        <v>Pacheco Chapas</v>
      </c>
      <c r="Y23" s="38" t="n">
        <f aca="false">INDEX(C_TAB,MATCH($B23,C_COD,0),12)</f>
        <v>10</v>
      </c>
    </row>
    <row r="24" customFormat="false" ht="15" hidden="false" customHeight="false" outlineLevel="1" collapsed="false">
      <c r="A24" s="24" t="n">
        <v>1</v>
      </c>
      <c r="B24" s="24" t="s">
        <v>721</v>
      </c>
      <c r="C24" s="40" t="s">
        <v>3852</v>
      </c>
      <c r="D24" s="24"/>
      <c r="E24" s="24"/>
      <c r="F24" s="24"/>
      <c r="G24" s="24"/>
      <c r="H24" s="24" t="s">
        <v>229</v>
      </c>
      <c r="I24" s="24" t="s">
        <v>3853</v>
      </c>
      <c r="J24" s="42" t="n">
        <f aca="false">INSUMOS_DIRECTOS_MANUALES!H30</f>
        <v>1215.72124120968</v>
      </c>
      <c r="K24" s="42" t="n">
        <f aca="false">INSUMOS_DIRECTOS_MANUALES!I30</f>
        <v>2433.87988510426</v>
      </c>
      <c r="L24" s="42" t="n">
        <f aca="false">INSUMOS_DIRECTOS_MANUALES!J30</f>
        <v>3859.82890750653</v>
      </c>
      <c r="M24" s="42" t="n">
        <f aca="false">INSUMOS_DIRECTOS_MANUALES!K30</f>
        <v>6922.16766719332</v>
      </c>
      <c r="N24" s="42" t="n">
        <f aca="false">INSUMOS_DIRECTOS_MANUALES!L30</f>
        <v>10713.6475939038</v>
      </c>
      <c r="O24" s="42" t="n">
        <f aca="false">INSUMOS_DIRECTOS_MANUALES!M30</f>
        <v>14531.1782316356</v>
      </c>
      <c r="P24" s="42" t="n">
        <f aca="false">INSUMOS_DIRECTOS_MANUALES!N30</f>
        <v>18850.8027741691</v>
      </c>
      <c r="Q24" s="42" t="n">
        <f aca="false">INSUMOS_DIRECTOS_MANUALES!O30</f>
        <v>22945.0427912332</v>
      </c>
      <c r="R24" s="42" t="n">
        <f aca="false">INSUMOS_DIRECTOS_MANUALES!P30</f>
        <v>25502.4607533906</v>
      </c>
      <c r="S24" s="42" t="n">
        <f aca="false">INSUMOS_DIRECTOS_MANUALES!Q30</f>
        <v>29266.6912330327</v>
      </c>
      <c r="T24" s="42" t="n">
        <f aca="false">INDEX(J24:S24,INDEX(P_VAL,MATCH("AÑO_DIS",P_ID,0))-2025)</f>
        <v>29266.6912330327</v>
      </c>
      <c r="U24" s="24"/>
      <c r="V24" s="24"/>
      <c r="W24" s="24"/>
      <c r="X24" s="24"/>
      <c r="Y24" s="24"/>
    </row>
    <row r="25" customFormat="false" ht="15" hidden="false" customHeight="false" outlineLevel="1" collapsed="false">
      <c r="A25" s="24" t="n">
        <v>1</v>
      </c>
      <c r="B25" s="24" t="s">
        <v>721</v>
      </c>
      <c r="C25" s="40" t="s">
        <v>3854</v>
      </c>
      <c r="D25" s="24"/>
      <c r="E25" s="24"/>
      <c r="F25" s="24"/>
      <c r="G25" s="24"/>
      <c r="H25" s="24" t="s">
        <v>132</v>
      </c>
      <c r="I25" s="24" t="s">
        <v>3855</v>
      </c>
      <c r="J25" s="42" t="n">
        <f aca="false">INSUMOS_DIRECTOS_RECARGAS!H10</f>
        <v>28.2645216</v>
      </c>
      <c r="K25" s="42" t="n">
        <f aca="false">INSUMOS_DIRECTOS_RECARGAS!I10</f>
        <v>99.66608688</v>
      </c>
      <c r="L25" s="42" t="n">
        <f aca="false">INSUMOS_DIRECTOS_RECARGAS!J10</f>
        <v>127.90817632</v>
      </c>
      <c r="M25" s="42" t="n">
        <f aca="false">INSUMOS_DIRECTOS_RECARGAS!K10</f>
        <v>224.16457488</v>
      </c>
      <c r="N25" s="42" t="n">
        <f aca="false">INSUMOS_DIRECTOS_RECARGAS!L10</f>
        <v>242.828132</v>
      </c>
      <c r="O25" s="42" t="n">
        <f aca="false">INSUMOS_DIRECTOS_RECARGAS!M10</f>
        <v>283.8789848</v>
      </c>
      <c r="P25" s="42" t="n">
        <f aca="false">INSUMOS_DIRECTOS_RECARGAS!N10</f>
        <v>273.94153792</v>
      </c>
      <c r="Q25" s="42" t="n">
        <f aca="false">INSUMOS_DIRECTOS_RECARGAS!O10</f>
        <v>221.60730864</v>
      </c>
      <c r="R25" s="42" t="n">
        <f aca="false">INSUMOS_DIRECTOS_RECARGAS!P10</f>
        <v>164.74178304</v>
      </c>
      <c r="S25" s="42" t="n">
        <f aca="false">INSUMOS_DIRECTOS_RECARGAS!Q10</f>
        <v>171.47143104</v>
      </c>
      <c r="T25" s="42" t="n">
        <f aca="false">INDEX(J25:S25,INDEX(P_VAL,MATCH("AÑO_DIS",P_ID,0))-2025)</f>
        <v>171.47143104</v>
      </c>
      <c r="U25" s="24"/>
      <c r="V25" s="24"/>
      <c r="W25" s="24"/>
      <c r="X25" s="24"/>
      <c r="Y25" s="24"/>
    </row>
    <row r="26" customFormat="false" ht="15" hidden="false" customHeight="false" outlineLevel="0" collapsed="false">
      <c r="A26" s="38" t="n">
        <v>0</v>
      </c>
      <c r="B26" s="38" t="s">
        <v>802</v>
      </c>
      <c r="C26" s="38" t="str">
        <f aca="false">INDEX(C_TAB,MATCH($B26,C_COD,0),2)</f>
        <v>Fleje LAF 1,6 × 300 mm (cúpula Ø258, 10 kg)</v>
      </c>
      <c r="D26" s="38" t="str">
        <f aca="false">INDEX(C_TAB,MATCH($B26,C_COD,0),3)</f>
        <v>kg</v>
      </c>
      <c r="E26" s="38" t="str">
        <f aca="false">INDEX(C_TAB,MATCH($B26,C_COD,0),4)</f>
        <v>Directo</v>
      </c>
      <c r="F26" s="38" t="str">
        <f aca="false">INDEX(C_TAB,MATCH($B26,C_COD,0),5)</f>
        <v>Materia prima</v>
      </c>
      <c r="G26" s="38" t="str">
        <f aca="false">INDEX(C_TAB,MATCH($B26,C_COD,0),6)</f>
        <v>Chapa y fleje (manuales)</v>
      </c>
      <c r="H26" s="38"/>
      <c r="I26" s="38"/>
      <c r="J26" s="39" t="n">
        <f aca="false">SUM(J27:J28)</f>
        <v>91.7850659101084</v>
      </c>
      <c r="K26" s="39" t="n">
        <f aca="false">SUM(K27:K28)</f>
        <v>176.41082018547</v>
      </c>
      <c r="L26" s="39" t="n">
        <f aca="false">SUM(L27:L28)</f>
        <v>342.975535297549</v>
      </c>
      <c r="M26" s="39" t="n">
        <f aca="false">SUM(M27:M28)</f>
        <v>668.69897285118</v>
      </c>
      <c r="N26" s="39" t="n">
        <f aca="false">SUM(N27:N28)</f>
        <v>1170.10805905485</v>
      </c>
      <c r="O26" s="39" t="n">
        <f aca="false">SUM(O27:O28)</f>
        <v>1693.17313032553</v>
      </c>
      <c r="P26" s="39" t="n">
        <f aca="false">SUM(P27:P28)</f>
        <v>2282.72326955218</v>
      </c>
      <c r="Q26" s="39" t="n">
        <f aca="false">SUM(Q27:Q28)</f>
        <v>2883.64833963951</v>
      </c>
      <c r="R26" s="39" t="n">
        <f aca="false">SUM(R27:R28)</f>
        <v>3278.39510066133</v>
      </c>
      <c r="S26" s="39" t="n">
        <f aca="false">SUM(S27:S28)</f>
        <v>3774.66913885005</v>
      </c>
      <c r="T26" s="39" t="n">
        <f aca="false">INDEX(J26:S26,INDEX(P_VAL,MATCH("AÑO_DIS",P_ID,0))-2025)</f>
        <v>3774.66913885005</v>
      </c>
      <c r="U26" s="38" t="str">
        <f aca="false">INDEX(C_TAB,MATCH($B26,C_COD,0),10)</f>
        <v>Rollo ≈590 kg</v>
      </c>
      <c r="V26" s="38" t="n">
        <f aca="false">INDEX(C_TAB,MATCH($B26,C_COD,0),11)</f>
        <v>590</v>
      </c>
      <c r="W26" s="44" t="n">
        <f aca="false">ROUNDUP(T26/V26,0)</f>
        <v>7</v>
      </c>
      <c r="X26" s="38" t="str">
        <f aca="false">INDEX(C_TAB,MATCH($B26,C_COD,0),7)</f>
        <v>Pacheco Chapas</v>
      </c>
      <c r="Y26" s="38" t="n">
        <f aca="false">INDEX(C_TAB,MATCH($B26,C_COD,0),12)</f>
        <v>10</v>
      </c>
    </row>
    <row r="27" customFormat="false" ht="15" hidden="false" customHeight="false" outlineLevel="1" collapsed="false">
      <c r="A27" s="24" t="n">
        <v>1</v>
      </c>
      <c r="B27" s="24" t="s">
        <v>802</v>
      </c>
      <c r="C27" s="40" t="s">
        <v>3852</v>
      </c>
      <c r="D27" s="24"/>
      <c r="E27" s="24"/>
      <c r="F27" s="24"/>
      <c r="G27" s="24"/>
      <c r="H27" s="24" t="s">
        <v>229</v>
      </c>
      <c r="I27" s="24" t="s">
        <v>3853</v>
      </c>
      <c r="J27" s="42" t="n">
        <f aca="false">INSUMOS_DIRECTOS_MANUALES!H33</f>
        <v>89.8287203101084</v>
      </c>
      <c r="K27" s="42" t="n">
        <f aca="false">INSUMOS_DIRECTOS_MANUALES!I33</f>
        <v>173.37848450547</v>
      </c>
      <c r="L27" s="42" t="n">
        <f aca="false">INSUMOS_DIRECTOS_MANUALES!J33</f>
        <v>335.883782497549</v>
      </c>
      <c r="M27" s="42" t="n">
        <f aca="false">INSUMOS_DIRECTOS_MANUALES!K33</f>
        <v>658.33034117118</v>
      </c>
      <c r="N27" s="42" t="n">
        <f aca="false">INSUMOS_DIRECTOS_MANUALES!L33</f>
        <v>1160.22851377485</v>
      </c>
      <c r="O27" s="42" t="n">
        <f aca="false">INSUMOS_DIRECTOS_MANUALES!M33</f>
        <v>1680.89706168553</v>
      </c>
      <c r="P27" s="42" t="n">
        <f aca="false">INSUMOS_DIRECTOS_MANUALES!N33</f>
        <v>2271.86555147218</v>
      </c>
      <c r="Q27" s="42" t="n">
        <f aca="false">INSUMOS_DIRECTOS_MANUALES!O33</f>
        <v>2876.26313499951</v>
      </c>
      <c r="R27" s="42" t="n">
        <f aca="false">INSUMOS_DIRECTOS_MANUALES!P33</f>
        <v>3270.76535282133</v>
      </c>
      <c r="S27" s="42" t="n">
        <f aca="false">INSUMOS_DIRECTOS_MANUALES!Q33</f>
        <v>3767.77302061005</v>
      </c>
      <c r="T27" s="42" t="n">
        <f aca="false">INDEX(J27:S27,INDEX(P_VAL,MATCH("AÑO_DIS",P_ID,0))-2025)</f>
        <v>3767.77302061005</v>
      </c>
      <c r="U27" s="24"/>
      <c r="V27" s="24"/>
      <c r="W27" s="24"/>
      <c r="X27" s="24"/>
      <c r="Y27" s="24"/>
    </row>
    <row r="28" customFormat="false" ht="15" hidden="false" customHeight="false" outlineLevel="1" collapsed="false">
      <c r="A28" s="24" t="n">
        <v>1</v>
      </c>
      <c r="B28" s="24" t="s">
        <v>802</v>
      </c>
      <c r="C28" s="40" t="s">
        <v>3854</v>
      </c>
      <c r="D28" s="24"/>
      <c r="E28" s="24"/>
      <c r="F28" s="24"/>
      <c r="G28" s="24"/>
      <c r="H28" s="24" t="s">
        <v>132</v>
      </c>
      <c r="I28" s="24" t="s">
        <v>3855</v>
      </c>
      <c r="J28" s="42" t="n">
        <f aca="false">INSUMOS_DIRECTOS_RECARGAS!H12</f>
        <v>1.9563456</v>
      </c>
      <c r="K28" s="42" t="n">
        <f aca="false">INSUMOS_DIRECTOS_RECARGAS!I12</f>
        <v>3.03233568</v>
      </c>
      <c r="L28" s="42" t="n">
        <f aca="false">INSUMOS_DIRECTOS_RECARGAS!J12</f>
        <v>7.0917528</v>
      </c>
      <c r="M28" s="42" t="n">
        <f aca="false">INSUMOS_DIRECTOS_RECARGAS!K12</f>
        <v>10.36863168</v>
      </c>
      <c r="N28" s="42" t="n">
        <f aca="false">INSUMOS_DIRECTOS_RECARGAS!L12</f>
        <v>9.87954528</v>
      </c>
      <c r="O28" s="42" t="n">
        <f aca="false">INSUMOS_DIRECTOS_RECARGAS!M12</f>
        <v>12.27606864</v>
      </c>
      <c r="P28" s="42" t="n">
        <f aca="false">INSUMOS_DIRECTOS_RECARGAS!N12</f>
        <v>10.85771808</v>
      </c>
      <c r="Q28" s="42" t="n">
        <f aca="false">INSUMOS_DIRECTOS_RECARGAS!O12</f>
        <v>7.38520464</v>
      </c>
      <c r="R28" s="42" t="n">
        <f aca="false">INSUMOS_DIRECTOS_RECARGAS!P12</f>
        <v>7.62974784</v>
      </c>
      <c r="S28" s="42" t="n">
        <f aca="false">INSUMOS_DIRECTOS_RECARGAS!Q12</f>
        <v>6.89611824</v>
      </c>
      <c r="T28" s="42" t="n">
        <f aca="false">INDEX(J28:S28,INDEX(P_VAL,MATCH("AÑO_DIS",P_ID,0))-2025)</f>
        <v>6.89611824</v>
      </c>
      <c r="U28" s="24"/>
      <c r="V28" s="24"/>
      <c r="W28" s="24"/>
      <c r="X28" s="24"/>
      <c r="Y28" s="24"/>
    </row>
    <row r="29" customFormat="false" ht="15" hidden="false" customHeight="false" outlineLevel="0" collapsed="false">
      <c r="A29" s="38" t="n">
        <v>0</v>
      </c>
      <c r="B29" s="38" t="s">
        <v>805</v>
      </c>
      <c r="C29" s="38" t="str">
        <f aca="false">INDEX(C_TAB,MATCH($B29,C_COD,0),2)</f>
        <v>Fleje LAF 2,0 × 249 mm (fondo Ø205, 10 kg)</v>
      </c>
      <c r="D29" s="38" t="str">
        <f aca="false">INDEX(C_TAB,MATCH($B29,C_COD,0),3)</f>
        <v>kg</v>
      </c>
      <c r="E29" s="38" t="str">
        <f aca="false">INDEX(C_TAB,MATCH($B29,C_COD,0),4)</f>
        <v>Directo</v>
      </c>
      <c r="F29" s="38" t="str">
        <f aca="false">INDEX(C_TAB,MATCH($B29,C_COD,0),5)</f>
        <v>Materia prima</v>
      </c>
      <c r="G29" s="38" t="str">
        <f aca="false">INDEX(C_TAB,MATCH($B29,C_COD,0),6)</f>
        <v>Chapa y fleje (manuales)</v>
      </c>
      <c r="H29" s="38"/>
      <c r="I29" s="38"/>
      <c r="J29" s="39" t="n">
        <f aca="false">SUM(J30:J31)</f>
        <v>75.9321657069324</v>
      </c>
      <c r="K29" s="39" t="n">
        <f aca="false">SUM(K30:K31)</f>
        <v>145.941559206787</v>
      </c>
      <c r="L29" s="39" t="n">
        <f aca="false">SUM(L30:L31)</f>
        <v>283.737609396533</v>
      </c>
      <c r="M29" s="39" t="n">
        <f aca="false">SUM(M30:M31)</f>
        <v>553.202862700122</v>
      </c>
      <c r="N29" s="39" t="n">
        <f aca="false">SUM(N30:N31)</f>
        <v>968.009753593093</v>
      </c>
      <c r="O29" s="39" t="n">
        <f aca="false">SUM(O30:O31)</f>
        <v>1400.7322588657</v>
      </c>
      <c r="P29" s="39" t="n">
        <f aca="false">SUM(P30:P31)</f>
        <v>1888.45668789368</v>
      </c>
      <c r="Q29" s="39" t="n">
        <f aca="false">SUM(Q30:Q31)</f>
        <v>2385.59139654018</v>
      </c>
      <c r="R29" s="39" t="n">
        <f aca="false">SUM(R30:R31)</f>
        <v>2712.15842760316</v>
      </c>
      <c r="S29" s="39" t="n">
        <f aca="false">SUM(S30:S31)</f>
        <v>3122.71718386858</v>
      </c>
      <c r="T29" s="39" t="n">
        <f aca="false">INDEX(J29:S29,INDEX(P_VAL,MATCH("AÑO_DIS",P_ID,0))-2025)</f>
        <v>3122.71718386858</v>
      </c>
      <c r="U29" s="38" t="str">
        <f aca="false">INDEX(C_TAB,MATCH($B29,C_COD,0),10)</f>
        <v>Rollo de 498 kg</v>
      </c>
      <c r="V29" s="38" t="n">
        <f aca="false">INDEX(C_TAB,MATCH($B29,C_COD,0),11)</f>
        <v>498</v>
      </c>
      <c r="W29" s="44" t="n">
        <f aca="false">ROUNDUP(T29/V29,0)</f>
        <v>7</v>
      </c>
      <c r="X29" s="38" t="str">
        <f aca="false">INDEX(C_TAB,MATCH($B29,C_COD,0),7)</f>
        <v>Pacheco Chapas</v>
      </c>
      <c r="Y29" s="38" t="n">
        <f aca="false">INDEX(C_TAB,MATCH($B29,C_COD,0),12)</f>
        <v>10</v>
      </c>
    </row>
    <row r="30" customFormat="false" ht="15" hidden="false" customHeight="false" outlineLevel="1" collapsed="false">
      <c r="A30" s="24" t="n">
        <v>1</v>
      </c>
      <c r="B30" s="24" t="s">
        <v>805</v>
      </c>
      <c r="C30" s="40" t="s">
        <v>3852</v>
      </c>
      <c r="D30" s="24"/>
      <c r="E30" s="24"/>
      <c r="F30" s="24"/>
      <c r="G30" s="24"/>
      <c r="H30" s="24" t="s">
        <v>229</v>
      </c>
      <c r="I30" s="24" t="s">
        <v>3853</v>
      </c>
      <c r="J30" s="42" t="n">
        <f aca="false">INSUMOS_DIRECTOS_MANUALES!H36</f>
        <v>74.3137155069324</v>
      </c>
      <c r="K30" s="42" t="n">
        <f aca="false">INSUMOS_DIRECTOS_MANUALES!I36</f>
        <v>143.432961396787</v>
      </c>
      <c r="L30" s="42" t="n">
        <f aca="false">INSUMOS_DIRECTOS_MANUALES!J36</f>
        <v>277.870727421533</v>
      </c>
      <c r="M30" s="42" t="n">
        <f aca="false">INSUMOS_DIRECTOS_MANUALES!K36</f>
        <v>544.625076640122</v>
      </c>
      <c r="N30" s="42" t="n">
        <f aca="false">INSUMOS_DIRECTOS_MANUALES!L36</f>
        <v>959.836580083093</v>
      </c>
      <c r="O30" s="42" t="n">
        <f aca="false">INSUMOS_DIRECTOS_MANUALES!M36</f>
        <v>1390.5764838607</v>
      </c>
      <c r="P30" s="42" t="n">
        <f aca="false">INSUMOS_DIRECTOS_MANUALES!N36</f>
        <v>1879.47428928368</v>
      </c>
      <c r="Q30" s="42" t="n">
        <f aca="false">INSUMOS_DIRECTOS_MANUALES!O36</f>
        <v>2379.48174703518</v>
      </c>
      <c r="R30" s="42" t="n">
        <f aca="false">INSUMOS_DIRECTOS_MANUALES!P36</f>
        <v>2705.84647182316</v>
      </c>
      <c r="S30" s="42" t="n">
        <f aca="false">INSUMOS_DIRECTOS_MANUALES!Q36</f>
        <v>3117.01214691358</v>
      </c>
      <c r="T30" s="42" t="n">
        <f aca="false">INDEX(J30:S30,INDEX(P_VAL,MATCH("AÑO_DIS",P_ID,0))-2025)</f>
        <v>3117.01214691358</v>
      </c>
      <c r="U30" s="24"/>
      <c r="V30" s="24"/>
      <c r="W30" s="24"/>
      <c r="X30" s="24"/>
      <c r="Y30" s="24"/>
    </row>
    <row r="31" customFormat="false" ht="15" hidden="false" customHeight="false" outlineLevel="1" collapsed="false">
      <c r="A31" s="24" t="n">
        <v>1</v>
      </c>
      <c r="B31" s="24" t="s">
        <v>805</v>
      </c>
      <c r="C31" s="40" t="s">
        <v>3854</v>
      </c>
      <c r="D31" s="24"/>
      <c r="E31" s="24"/>
      <c r="F31" s="24"/>
      <c r="G31" s="24"/>
      <c r="H31" s="24" t="s">
        <v>132</v>
      </c>
      <c r="I31" s="24" t="s">
        <v>3855</v>
      </c>
      <c r="J31" s="42" t="n">
        <f aca="false">INSUMOS_DIRECTOS_RECARGAS!H14</f>
        <v>1.6184502</v>
      </c>
      <c r="K31" s="42" t="n">
        <f aca="false">INSUMOS_DIRECTOS_RECARGAS!I14</f>
        <v>2.50859781</v>
      </c>
      <c r="L31" s="42" t="n">
        <f aca="false">INSUMOS_DIRECTOS_RECARGAS!J14</f>
        <v>5.866881975</v>
      </c>
      <c r="M31" s="42" t="n">
        <f aca="false">INSUMOS_DIRECTOS_RECARGAS!K14</f>
        <v>8.57778606</v>
      </c>
      <c r="N31" s="42" t="n">
        <f aca="false">INSUMOS_DIRECTOS_RECARGAS!L14</f>
        <v>8.17317351</v>
      </c>
      <c r="O31" s="42" t="n">
        <f aca="false">INSUMOS_DIRECTOS_RECARGAS!M14</f>
        <v>10.155775005</v>
      </c>
      <c r="P31" s="42" t="n">
        <f aca="false">INSUMOS_DIRECTOS_RECARGAS!N14</f>
        <v>8.98239861</v>
      </c>
      <c r="Q31" s="42" t="n">
        <f aca="false">INSUMOS_DIRECTOS_RECARGAS!O14</f>
        <v>6.109649505</v>
      </c>
      <c r="R31" s="42" t="n">
        <f aca="false">INSUMOS_DIRECTOS_RECARGAS!P14</f>
        <v>6.31195578</v>
      </c>
      <c r="S31" s="42" t="n">
        <f aca="false">INSUMOS_DIRECTOS_RECARGAS!Q14</f>
        <v>5.705036955</v>
      </c>
      <c r="T31" s="42" t="n">
        <f aca="false">INDEX(J31:S31,INDEX(P_VAL,MATCH("AÑO_DIS",P_ID,0))-2025)</f>
        <v>5.705036955</v>
      </c>
      <c r="U31" s="24"/>
      <c r="V31" s="24"/>
      <c r="W31" s="24"/>
      <c r="X31" s="24"/>
      <c r="Y31" s="24"/>
    </row>
    <row r="32" customFormat="false" ht="15" hidden="false" customHeight="false" outlineLevel="0" collapsed="false">
      <c r="A32" s="38" t="n">
        <v>0</v>
      </c>
      <c r="B32" s="38" t="s">
        <v>883</v>
      </c>
      <c r="C32" s="38" t="str">
        <f aca="false">INDEX(C_TAB,MATCH($B32,C_COD,0),2)</f>
        <v>Hoja LAC 3,2 × 1500 × 3000 mm (cuerpo 25 kg: 9 por hoja; 50 kg: 6)</v>
      </c>
      <c r="D32" s="38" t="str">
        <f aca="false">INDEX(C_TAB,MATCH($B32,C_COD,0),3)</f>
        <v>hoja</v>
      </c>
      <c r="E32" s="38" t="str">
        <f aca="false">INDEX(C_TAB,MATCH($B32,C_COD,0),4)</f>
        <v>Directo</v>
      </c>
      <c r="F32" s="38" t="str">
        <f aca="false">INDEX(C_TAB,MATCH($B32,C_COD,0),5)</f>
        <v>Materia prima</v>
      </c>
      <c r="G32" s="38" t="str">
        <f aca="false">INDEX(C_TAB,MATCH($B32,C_COD,0),6)</f>
        <v>Calle de chapa (carros)</v>
      </c>
      <c r="H32" s="38"/>
      <c r="I32" s="38"/>
      <c r="J32" s="39" t="n">
        <f aca="false">SUM(J33:J34)</f>
        <v>16.4358558733333</v>
      </c>
      <c r="K32" s="39" t="n">
        <f aca="false">SUM(K33:K34)</f>
        <v>28.2735815611111</v>
      </c>
      <c r="L32" s="39" t="n">
        <f aca="false">SUM(L33:L34)</f>
        <v>43.5246357755556</v>
      </c>
      <c r="M32" s="39" t="n">
        <f aca="false">SUM(M33:M34)</f>
        <v>72.96704085</v>
      </c>
      <c r="N32" s="39" t="n">
        <f aca="false">SUM(N33:N34)</f>
        <v>119.940757227778</v>
      </c>
      <c r="O32" s="39" t="n">
        <f aca="false">SUM(O33:O34)</f>
        <v>166.999252855556</v>
      </c>
      <c r="P32" s="39" t="n">
        <f aca="false">SUM(P33:P34)</f>
        <v>222.655378061111</v>
      </c>
      <c r="Q32" s="39" t="n">
        <f aca="false">SUM(Q33:Q34)</f>
        <v>280.261031566667</v>
      </c>
      <c r="R32" s="39" t="n">
        <f aca="false">SUM(R33:R34)</f>
        <v>321.202543005556</v>
      </c>
      <c r="S32" s="39" t="n">
        <f aca="false">SUM(S33:S34)</f>
        <v>370.957032538889</v>
      </c>
      <c r="T32" s="39" t="n">
        <f aca="false">INDEX(J32:S32,INDEX(P_VAL,MATCH("AÑO_DIS",P_ID,0))-2025)</f>
        <v>370.957032538889</v>
      </c>
      <c r="U32" s="38" t="str">
        <f aca="false">INDEX(C_TAB,MATCH($B32,C_COD,0),10)</f>
        <v>Paquete de 20 hojas</v>
      </c>
      <c r="V32" s="38" t="n">
        <f aca="false">INDEX(C_TAB,MATCH($B32,C_COD,0),11)</f>
        <v>20</v>
      </c>
      <c r="W32" s="44" t="n">
        <f aca="false">ROUNDUP(T32/V32,0)</f>
        <v>19</v>
      </c>
      <c r="X32" s="38" t="str">
        <f aca="false">INDEX(C_TAB,MATCH($B32,C_COD,0),7)</f>
        <v>Pradecon</v>
      </c>
      <c r="Y32" s="38" t="n">
        <f aca="false">INDEX(C_TAB,MATCH($B32,C_COD,0),12)</f>
        <v>10</v>
      </c>
    </row>
    <row r="33" customFormat="false" ht="15" hidden="false" customHeight="false" outlineLevel="1" collapsed="false">
      <c r="A33" s="24" t="n">
        <v>1</v>
      </c>
      <c r="B33" s="24" t="s">
        <v>883</v>
      </c>
      <c r="C33" s="40" t="s">
        <v>3856</v>
      </c>
      <c r="D33" s="24"/>
      <c r="E33" s="24"/>
      <c r="F33" s="24"/>
      <c r="G33" s="24"/>
      <c r="H33" s="24" t="s">
        <v>244</v>
      </c>
      <c r="I33" s="24" t="s">
        <v>3857</v>
      </c>
      <c r="J33" s="42" t="n">
        <f aca="false">INSUMOS_DIRECTOS_RODANTES!H4</f>
        <v>16.2691892066667</v>
      </c>
      <c r="K33" s="42" t="n">
        <f aca="false">INSUMOS_DIRECTOS_RODANTES!I4</f>
        <v>27.9319148944444</v>
      </c>
      <c r="L33" s="42" t="n">
        <f aca="false">INSUMOS_DIRECTOS_RODANTES!J4</f>
        <v>42.8329691088889</v>
      </c>
      <c r="M33" s="42" t="n">
        <f aca="false">INSUMOS_DIRECTOS_RODANTES!K4</f>
        <v>72.0753741833333</v>
      </c>
      <c r="N33" s="42" t="n">
        <f aca="false">INSUMOS_DIRECTOS_RODANTES!L4</f>
        <v>119.007423894444</v>
      </c>
      <c r="O33" s="42" t="n">
        <f aca="false">INSUMOS_DIRECTOS_RODANTES!M4</f>
        <v>165.857586188889</v>
      </c>
      <c r="P33" s="42" t="n">
        <f aca="false">INSUMOS_DIRECTOS_RODANTES!N4</f>
        <v>221.630378061111</v>
      </c>
      <c r="Q33" s="42" t="n">
        <f aca="false">INSUMOS_DIRECTOS_RODANTES!O4</f>
        <v>279.527698233333</v>
      </c>
      <c r="R33" s="42" t="n">
        <f aca="false">INSUMOS_DIRECTOS_RODANTES!P4</f>
        <v>320.444209672222</v>
      </c>
      <c r="S33" s="42" t="n">
        <f aca="false">INSUMOS_DIRECTOS_RODANTES!Q4</f>
        <v>370.340365872222</v>
      </c>
      <c r="T33" s="42" t="n">
        <f aca="false">INDEX(J33:S33,INDEX(P_VAL,MATCH("AÑO_DIS",P_ID,0))-2025)</f>
        <v>370.340365872222</v>
      </c>
      <c r="U33" s="24"/>
      <c r="V33" s="24"/>
      <c r="W33" s="24"/>
      <c r="X33" s="24"/>
      <c r="Y33" s="24"/>
    </row>
    <row r="34" customFormat="false" ht="15" hidden="false" customHeight="false" outlineLevel="1" collapsed="false">
      <c r="A34" s="24" t="n">
        <v>1</v>
      </c>
      <c r="B34" s="24" t="s">
        <v>883</v>
      </c>
      <c r="C34" s="40" t="s">
        <v>3854</v>
      </c>
      <c r="D34" s="24"/>
      <c r="E34" s="24"/>
      <c r="F34" s="24"/>
      <c r="G34" s="24"/>
      <c r="H34" s="24" t="s">
        <v>132</v>
      </c>
      <c r="I34" s="24" t="s">
        <v>3855</v>
      </c>
      <c r="J34" s="42" t="n">
        <f aca="false">INSUMOS_DIRECTOS_RECARGAS!H16</f>
        <v>0.166666666666667</v>
      </c>
      <c r="K34" s="42" t="n">
        <f aca="false">INSUMOS_DIRECTOS_RECARGAS!I16</f>
        <v>0.341666666666667</v>
      </c>
      <c r="L34" s="42" t="n">
        <f aca="false">INSUMOS_DIRECTOS_RECARGAS!J16</f>
        <v>0.691666666666667</v>
      </c>
      <c r="M34" s="42" t="n">
        <f aca="false">INSUMOS_DIRECTOS_RECARGAS!K16</f>
        <v>0.891666666666667</v>
      </c>
      <c r="N34" s="42" t="n">
        <f aca="false">INSUMOS_DIRECTOS_RECARGAS!L16</f>
        <v>0.933333333333333</v>
      </c>
      <c r="O34" s="42" t="n">
        <f aca="false">INSUMOS_DIRECTOS_RECARGAS!M16</f>
        <v>1.14166666666667</v>
      </c>
      <c r="P34" s="42" t="n">
        <f aca="false">INSUMOS_DIRECTOS_RECARGAS!N16</f>
        <v>1.025</v>
      </c>
      <c r="Q34" s="42" t="n">
        <f aca="false">INSUMOS_DIRECTOS_RECARGAS!O16</f>
        <v>0.733333333333333</v>
      </c>
      <c r="R34" s="42" t="n">
        <f aca="false">INSUMOS_DIRECTOS_RECARGAS!P16</f>
        <v>0.758333333333333</v>
      </c>
      <c r="S34" s="42" t="n">
        <f aca="false">INSUMOS_DIRECTOS_RECARGAS!Q16</f>
        <v>0.616666666666667</v>
      </c>
      <c r="T34" s="42" t="n">
        <f aca="false">INDEX(J34:S34,INDEX(P_VAL,MATCH("AÑO_DIS",P_ID,0))-2025)</f>
        <v>0.616666666666667</v>
      </c>
      <c r="U34" s="24"/>
      <c r="V34" s="24"/>
      <c r="W34" s="24"/>
      <c r="X34" s="24"/>
      <c r="Y34" s="24"/>
    </row>
    <row r="35" customFormat="false" ht="15" hidden="false" customHeight="false" outlineLevel="0" collapsed="false">
      <c r="A35" s="38" t="n">
        <v>0</v>
      </c>
      <c r="B35" s="38" t="s">
        <v>1121</v>
      </c>
      <c r="C35" s="38" t="str">
        <f aca="false">INDEX(C_TAB,MATCH($B35,C_COD,0),2)</f>
        <v>Hoja LAC 4,75 × 1500 × 3000 mm (cuerpos 70 y 100 kg)</v>
      </c>
      <c r="D35" s="38" t="str">
        <f aca="false">INDEX(C_TAB,MATCH($B35,C_COD,0),3)</f>
        <v>hoja</v>
      </c>
      <c r="E35" s="38" t="str">
        <f aca="false">INDEX(C_TAB,MATCH($B35,C_COD,0),4)</f>
        <v>Directo</v>
      </c>
      <c r="F35" s="38" t="str">
        <f aca="false">INDEX(C_TAB,MATCH($B35,C_COD,0),5)</f>
        <v>Materia prima</v>
      </c>
      <c r="G35" s="38" t="str">
        <f aca="false">INDEX(C_TAB,MATCH($B35,C_COD,0),6)</f>
        <v>Calle de chapa (carros)</v>
      </c>
      <c r="H35" s="38"/>
      <c r="I35" s="38"/>
      <c r="J35" s="39" t="n">
        <f aca="false">SUM(J36:J37)</f>
        <v>7.59771549111111</v>
      </c>
      <c r="K35" s="39" t="n">
        <f aca="false">SUM(K36:K37)</f>
        <v>12.4885914588889</v>
      </c>
      <c r="L35" s="39" t="n">
        <f aca="false">SUM(L36:L37)</f>
        <v>19.4833774166667</v>
      </c>
      <c r="M35" s="39" t="n">
        <f aca="false">SUM(M36:M37)</f>
        <v>32.5685908488889</v>
      </c>
      <c r="N35" s="39" t="n">
        <f aca="false">SUM(N36:N37)</f>
        <v>53.8813251888889</v>
      </c>
      <c r="O35" s="39" t="n">
        <f aca="false">SUM(O36:O37)</f>
        <v>74.4293563122222</v>
      </c>
      <c r="P35" s="39" t="n">
        <f aca="false">SUM(P36:P37)</f>
        <v>99.2247786255556</v>
      </c>
      <c r="Q35" s="39" t="n">
        <f aca="false">SUM(Q36:Q37)</f>
        <v>124.968827511111</v>
      </c>
      <c r="R35" s="39" t="n">
        <f aca="false">SUM(R36:R37)</f>
        <v>143.284959777778</v>
      </c>
      <c r="S35" s="39" t="n">
        <f aca="false">SUM(S36:S37)</f>
        <v>165.2921582</v>
      </c>
      <c r="T35" s="39" t="n">
        <f aca="false">INDEX(J35:S35,INDEX(P_VAL,MATCH("AÑO_DIS",P_ID,0))-2025)</f>
        <v>165.2921582</v>
      </c>
      <c r="U35" s="38" t="str">
        <f aca="false">INDEX(C_TAB,MATCH($B35,C_COD,0),10)</f>
        <v>Paquete de 15 hojas</v>
      </c>
      <c r="V35" s="38" t="n">
        <f aca="false">INDEX(C_TAB,MATCH($B35,C_COD,0),11)</f>
        <v>15</v>
      </c>
      <c r="W35" s="44" t="n">
        <f aca="false">ROUNDUP(T35/V35,0)</f>
        <v>12</v>
      </c>
      <c r="X35" s="38" t="str">
        <f aca="false">INDEX(C_TAB,MATCH($B35,C_COD,0),7)</f>
        <v>Pradecon</v>
      </c>
      <c r="Y35" s="38" t="n">
        <f aca="false">INDEX(C_TAB,MATCH($B35,C_COD,0),12)</f>
        <v>10</v>
      </c>
    </row>
    <row r="36" customFormat="false" ht="15" hidden="false" customHeight="false" outlineLevel="1" collapsed="false">
      <c r="A36" s="24" t="n">
        <v>1</v>
      </c>
      <c r="B36" s="24" t="s">
        <v>1121</v>
      </c>
      <c r="C36" s="40" t="s">
        <v>3856</v>
      </c>
      <c r="D36" s="24"/>
      <c r="E36" s="24"/>
      <c r="F36" s="24"/>
      <c r="G36" s="24"/>
      <c r="H36" s="24" t="s">
        <v>244</v>
      </c>
      <c r="I36" s="24" t="s">
        <v>3857</v>
      </c>
      <c r="J36" s="42" t="n">
        <f aca="false">INSUMOS_DIRECTOS_RODANTES!H9</f>
        <v>7.26438215777778</v>
      </c>
      <c r="K36" s="42" t="n">
        <f aca="false">INSUMOS_DIRECTOS_RODANTES!I9</f>
        <v>12.4719247922222</v>
      </c>
      <c r="L36" s="42" t="n">
        <f aca="false">INSUMOS_DIRECTOS_RODANTES!J9</f>
        <v>19.1333774166667</v>
      </c>
      <c r="M36" s="42" t="n">
        <f aca="false">INSUMOS_DIRECTOS_RODANTES!K9</f>
        <v>32.2019241822222</v>
      </c>
      <c r="N36" s="42" t="n">
        <f aca="false">INSUMOS_DIRECTOS_RODANTES!L9</f>
        <v>53.1646585222222</v>
      </c>
      <c r="O36" s="42" t="n">
        <f aca="false">INSUMOS_DIRECTOS_RODANTES!M9</f>
        <v>74.0126896455556</v>
      </c>
      <c r="P36" s="42" t="n">
        <f aca="false">INSUMOS_DIRECTOS_RODANTES!N9</f>
        <v>98.7914452922222</v>
      </c>
      <c r="Q36" s="42" t="n">
        <f aca="false">INSUMOS_DIRECTOS_RODANTES!O9</f>
        <v>124.518827511111</v>
      </c>
      <c r="R36" s="42" t="n">
        <f aca="false">INSUMOS_DIRECTOS_RODANTES!P9</f>
        <v>142.818293111111</v>
      </c>
      <c r="S36" s="42" t="n">
        <f aca="false">INSUMOS_DIRECTOS_RODANTES!Q9</f>
        <v>165.1421582</v>
      </c>
      <c r="T36" s="42" t="n">
        <f aca="false">INDEX(J36:S36,INDEX(P_VAL,MATCH("AÑO_DIS",P_ID,0))-2025)</f>
        <v>165.1421582</v>
      </c>
      <c r="U36" s="24"/>
      <c r="V36" s="24"/>
      <c r="W36" s="24"/>
      <c r="X36" s="24"/>
      <c r="Y36" s="24"/>
    </row>
    <row r="37" customFormat="false" ht="15" hidden="false" customHeight="false" outlineLevel="1" collapsed="false">
      <c r="A37" s="24" t="n">
        <v>1</v>
      </c>
      <c r="B37" s="24" t="s">
        <v>1121</v>
      </c>
      <c r="C37" s="40" t="s">
        <v>3854</v>
      </c>
      <c r="D37" s="24"/>
      <c r="E37" s="24"/>
      <c r="F37" s="24"/>
      <c r="G37" s="24"/>
      <c r="H37" s="24" t="s">
        <v>132</v>
      </c>
      <c r="I37" s="24" t="s">
        <v>3855</v>
      </c>
      <c r="J37" s="42" t="n">
        <f aca="false">INSUMOS_DIRECTOS_RECARGAS!H18</f>
        <v>0.333333333333333</v>
      </c>
      <c r="K37" s="42" t="n">
        <f aca="false">INSUMOS_DIRECTOS_RECARGAS!I18</f>
        <v>0.0166666666666667</v>
      </c>
      <c r="L37" s="42" t="n">
        <f aca="false">INSUMOS_DIRECTOS_RECARGAS!J18</f>
        <v>0.35</v>
      </c>
      <c r="M37" s="42" t="n">
        <f aca="false">INSUMOS_DIRECTOS_RECARGAS!K18</f>
        <v>0.366666666666667</v>
      </c>
      <c r="N37" s="42" t="n">
        <f aca="false">INSUMOS_DIRECTOS_RECARGAS!L18</f>
        <v>0.716666666666667</v>
      </c>
      <c r="O37" s="42" t="n">
        <f aca="false">INSUMOS_DIRECTOS_RECARGAS!M18</f>
        <v>0.416666666666667</v>
      </c>
      <c r="P37" s="42" t="n">
        <f aca="false">INSUMOS_DIRECTOS_RECARGAS!N18</f>
        <v>0.433333333333333</v>
      </c>
      <c r="Q37" s="42" t="n">
        <f aca="false">INSUMOS_DIRECTOS_RECARGAS!O18</f>
        <v>0.45</v>
      </c>
      <c r="R37" s="42" t="n">
        <f aca="false">INSUMOS_DIRECTOS_RECARGAS!P18</f>
        <v>0.466666666666667</v>
      </c>
      <c r="S37" s="42" t="n">
        <f aca="false">INSUMOS_DIRECTOS_RECARGAS!Q18</f>
        <v>0.15</v>
      </c>
      <c r="T37" s="42" t="n">
        <f aca="false">INDEX(J37:S37,INDEX(P_VAL,MATCH("AÑO_DIS",P_ID,0))-2025)</f>
        <v>0.15</v>
      </c>
      <c r="U37" s="24"/>
      <c r="V37" s="24"/>
      <c r="W37" s="24"/>
      <c r="X37" s="24"/>
      <c r="Y37" s="24"/>
    </row>
    <row r="38" customFormat="false" ht="15" hidden="false" customHeight="false" outlineLevel="0" collapsed="false">
      <c r="A38" s="38" t="n">
        <v>0</v>
      </c>
      <c r="B38" s="38" t="s">
        <v>886</v>
      </c>
      <c r="C38" s="38" t="str">
        <f aca="false">INDEX(C_TAB,MATCH($B38,C_COD,0),2)</f>
        <v>Casquete embutido 10" × 3,2 mm (cúpula y fondo, carro 25 kg)</v>
      </c>
      <c r="D38" s="38" t="str">
        <f aca="false">INDEX(C_TAB,MATCH($B38,C_COD,0),3)</f>
        <v>u</v>
      </c>
      <c r="E38" s="38" t="str">
        <f aca="false">INDEX(C_TAB,MATCH($B38,C_COD,0),4)</f>
        <v>Directo</v>
      </c>
      <c r="F38" s="38" t="str">
        <f aca="false">INDEX(C_TAB,MATCH($B38,C_COD,0),5)</f>
        <v>Componente comprado</v>
      </c>
      <c r="G38" s="38" t="str">
        <f aca="false">INDEX(C_TAB,MATCH($B38,C_COD,0),6)</f>
        <v>Rack de casquetes y cuplas (carros)</v>
      </c>
      <c r="H38" s="38"/>
      <c r="I38" s="38"/>
      <c r="J38" s="39" t="n">
        <f aca="false">SUM(J39:J39)</f>
        <v>68.10358272</v>
      </c>
      <c r="K38" s="39" t="n">
        <f aca="false">SUM(K39:K39)</f>
        <v>116.9242949</v>
      </c>
      <c r="L38" s="39" t="n">
        <f aca="false">SUM(L39:L39)</f>
        <v>179.21707996</v>
      </c>
      <c r="M38" s="39" t="n">
        <f aca="false">SUM(M39:M39)</f>
        <v>301.4597058</v>
      </c>
      <c r="N38" s="39" t="n">
        <f aca="false">SUM(N39:N39)</f>
        <v>497.752007</v>
      </c>
      <c r="O38" s="39" t="n">
        <f aca="false">SUM(O39:O39)</f>
        <v>693.8689654</v>
      </c>
      <c r="P38" s="39" t="n">
        <f aca="false">SUM(P39:P39)</f>
        <v>927.3364664</v>
      </c>
      <c r="Q38" s="39" t="n">
        <f aca="false">SUM(Q39:Q39)</f>
        <v>1169.6973414</v>
      </c>
      <c r="R38" s="39" t="n">
        <f aca="false">SUM(R39:R39)</f>
        <v>1341.2548312</v>
      </c>
      <c r="S38" s="39" t="n">
        <f aca="false">SUM(S39:S39)</f>
        <v>1550.5410664</v>
      </c>
      <c r="T38" s="39" t="n">
        <f aca="false">INDEX(J38:S38,INDEX(P_VAL,MATCH("AÑO_DIS",P_ID,0))-2025)</f>
        <v>1550.5410664</v>
      </c>
      <c r="U38" s="38" t="str">
        <f aca="false">INDEX(C_TAB,MATCH($B38,C_COD,0),10)</f>
        <v>Pallet de 400 u</v>
      </c>
      <c r="V38" s="38" t="n">
        <f aca="false">INDEX(C_TAB,MATCH($B38,C_COD,0),11)</f>
        <v>400</v>
      </c>
      <c r="W38" s="44" t="n">
        <f aca="false">ROUNDUP(T38/V38,0)</f>
        <v>4</v>
      </c>
      <c r="X38" s="38" t="str">
        <f aca="false">INDEX(C_TAB,MATCH($B38,C_COD,0),7)</f>
        <v>Importado (EKC / chinafiresafety)</v>
      </c>
      <c r="Y38" s="38" t="n">
        <f aca="false">INDEX(C_TAB,MATCH($B38,C_COD,0),12)</f>
        <v>60</v>
      </c>
    </row>
    <row r="39" customFormat="false" ht="15" hidden="false" customHeight="false" outlineLevel="1" collapsed="false">
      <c r="A39" s="24" t="n">
        <v>1</v>
      </c>
      <c r="B39" s="24" t="s">
        <v>886</v>
      </c>
      <c r="C39" s="40" t="s">
        <v>3856</v>
      </c>
      <c r="D39" s="24"/>
      <c r="E39" s="24"/>
      <c r="F39" s="24"/>
      <c r="G39" s="24"/>
      <c r="H39" s="24" t="s">
        <v>244</v>
      </c>
      <c r="I39" s="24" t="s">
        <v>3857</v>
      </c>
      <c r="J39" s="42" t="n">
        <f aca="false">INSUMOS_DIRECTOS_RODANTES!H13</f>
        <v>68.10358272</v>
      </c>
      <c r="K39" s="42" t="n">
        <f aca="false">INSUMOS_DIRECTOS_RODANTES!I13</f>
        <v>116.9242949</v>
      </c>
      <c r="L39" s="42" t="n">
        <f aca="false">INSUMOS_DIRECTOS_RODANTES!J13</f>
        <v>179.21707996</v>
      </c>
      <c r="M39" s="42" t="n">
        <f aca="false">INSUMOS_DIRECTOS_RODANTES!K13</f>
        <v>301.4597058</v>
      </c>
      <c r="N39" s="42" t="n">
        <f aca="false">INSUMOS_DIRECTOS_RODANTES!L13</f>
        <v>497.752007</v>
      </c>
      <c r="O39" s="42" t="n">
        <f aca="false">INSUMOS_DIRECTOS_RODANTES!M13</f>
        <v>693.8689654</v>
      </c>
      <c r="P39" s="42" t="n">
        <f aca="false">INSUMOS_DIRECTOS_RODANTES!N13</f>
        <v>927.3364664</v>
      </c>
      <c r="Q39" s="42" t="n">
        <f aca="false">INSUMOS_DIRECTOS_RODANTES!O13</f>
        <v>1169.6973414</v>
      </c>
      <c r="R39" s="42" t="n">
        <f aca="false">INSUMOS_DIRECTOS_RODANTES!P13</f>
        <v>1341.2548312</v>
      </c>
      <c r="S39" s="42" t="n">
        <f aca="false">INSUMOS_DIRECTOS_RODANTES!Q13</f>
        <v>1550.5410664</v>
      </c>
      <c r="T39" s="42" t="n">
        <f aca="false">INDEX(J39:S39,INDEX(P_VAL,MATCH("AÑO_DIS",P_ID,0))-2025)</f>
        <v>1550.5410664</v>
      </c>
      <c r="U39" s="24"/>
      <c r="V39" s="24"/>
      <c r="W39" s="24"/>
      <c r="X39" s="24"/>
      <c r="Y39" s="24"/>
    </row>
    <row r="40" customFormat="false" ht="15" hidden="false" customHeight="false" outlineLevel="0" collapsed="false">
      <c r="A40" s="38" t="n">
        <v>0</v>
      </c>
      <c r="B40" s="38" t="s">
        <v>1018</v>
      </c>
      <c r="C40" s="38" t="str">
        <f aca="false">INDEX(C_TAB,MATCH($B40,C_COD,0),2)</f>
        <v>Casquete embutido 12" × 3,2 mm (cúpula y fondo, carro 50 kg)</v>
      </c>
      <c r="D40" s="38" t="str">
        <f aca="false">INDEX(C_TAB,MATCH($B40,C_COD,0),3)</f>
        <v>u</v>
      </c>
      <c r="E40" s="38" t="str">
        <f aca="false">INDEX(C_TAB,MATCH($B40,C_COD,0),4)</f>
        <v>Directo</v>
      </c>
      <c r="F40" s="38" t="str">
        <f aca="false">INDEX(C_TAB,MATCH($B40,C_COD,0),5)</f>
        <v>Componente comprado</v>
      </c>
      <c r="G40" s="38" t="str">
        <f aca="false">INDEX(C_TAB,MATCH($B40,C_COD,0),6)</f>
        <v>Rack de casquetes y cuplas (carros)</v>
      </c>
      <c r="H40" s="38"/>
      <c r="I40" s="38"/>
      <c r="J40" s="39" t="n">
        <f aca="false">SUM(J41:J42)</f>
        <v>151.827882</v>
      </c>
      <c r="K40" s="39" t="n">
        <f aca="false">SUM(K41:K42)</f>
        <v>261.3334488</v>
      </c>
      <c r="L40" s="39" t="n">
        <f aca="false">SUM(L41:L42)</f>
        <v>402.817576</v>
      </c>
      <c r="M40" s="39" t="n">
        <f aca="false">SUM(M41:M42)</f>
        <v>674.631353</v>
      </c>
      <c r="N40" s="39" t="n">
        <f aca="false">SUM(N41:N42)</f>
        <v>1107.4544154</v>
      </c>
      <c r="O40" s="39" t="n">
        <f aca="false">SUM(O41:O42)</f>
        <v>1541.411724</v>
      </c>
      <c r="P40" s="39" t="n">
        <f aca="false">SUM(P41:P42)</f>
        <v>2053.6402258</v>
      </c>
      <c r="Q40" s="39" t="n">
        <f aca="false">SUM(Q41:Q42)</f>
        <v>2583.3341512</v>
      </c>
      <c r="R40" s="39" t="n">
        <f aca="false">SUM(R41:R42)</f>
        <v>2960.2606286</v>
      </c>
      <c r="S40" s="39" t="n">
        <f aca="false">SUM(S41:S42)</f>
        <v>3417.7903462</v>
      </c>
      <c r="T40" s="39" t="n">
        <f aca="false">INDEX(J40:S40,INDEX(P_VAL,MATCH("AÑO_DIS",P_ID,0))-2025)</f>
        <v>3417.7903462</v>
      </c>
      <c r="U40" s="38" t="str">
        <f aca="false">INDEX(C_TAB,MATCH($B40,C_COD,0),10)</f>
        <v>Pallet de 300 u</v>
      </c>
      <c r="V40" s="38" t="n">
        <f aca="false">INDEX(C_TAB,MATCH($B40,C_COD,0),11)</f>
        <v>300</v>
      </c>
      <c r="W40" s="44" t="n">
        <f aca="false">ROUNDUP(T40/V40,0)</f>
        <v>12</v>
      </c>
      <c r="X40" s="38" t="str">
        <f aca="false">INDEX(C_TAB,MATCH($B40,C_COD,0),7)</f>
        <v>Importado (EKC / chinafiresafety)</v>
      </c>
      <c r="Y40" s="38" t="n">
        <f aca="false">INDEX(C_TAB,MATCH($B40,C_COD,0),12)</f>
        <v>60</v>
      </c>
    </row>
    <row r="41" customFormat="false" ht="15" hidden="false" customHeight="false" outlineLevel="1" collapsed="false">
      <c r="A41" s="24" t="n">
        <v>1</v>
      </c>
      <c r="B41" s="24" t="s">
        <v>1018</v>
      </c>
      <c r="C41" s="40" t="s">
        <v>3856</v>
      </c>
      <c r="D41" s="24"/>
      <c r="E41" s="24"/>
      <c r="F41" s="24"/>
      <c r="G41" s="24"/>
      <c r="H41" s="24" t="s">
        <v>244</v>
      </c>
      <c r="I41" s="24" t="s">
        <v>3857</v>
      </c>
      <c r="J41" s="42" t="n">
        <f aca="false">INSUMOS_DIRECTOS_RODANTES!H18</f>
        <v>149.827882</v>
      </c>
      <c r="K41" s="42" t="n">
        <f aca="false">INSUMOS_DIRECTOS_RODANTES!I18</f>
        <v>257.2334488</v>
      </c>
      <c r="L41" s="42" t="n">
        <f aca="false">INSUMOS_DIRECTOS_RODANTES!J18</f>
        <v>394.517576</v>
      </c>
      <c r="M41" s="42" t="n">
        <f aca="false">INSUMOS_DIRECTOS_RODANTES!K18</f>
        <v>663.931353</v>
      </c>
      <c r="N41" s="42" t="n">
        <f aca="false">INSUMOS_DIRECTOS_RODANTES!L18</f>
        <v>1096.2544154</v>
      </c>
      <c r="O41" s="42" t="n">
        <f aca="false">INSUMOS_DIRECTOS_RODANTES!M18</f>
        <v>1527.711724</v>
      </c>
      <c r="P41" s="42" t="n">
        <f aca="false">INSUMOS_DIRECTOS_RODANTES!N18</f>
        <v>2041.3402258</v>
      </c>
      <c r="Q41" s="42" t="n">
        <f aca="false">INSUMOS_DIRECTOS_RODANTES!O18</f>
        <v>2574.5341512</v>
      </c>
      <c r="R41" s="42" t="n">
        <f aca="false">INSUMOS_DIRECTOS_RODANTES!P18</f>
        <v>2951.1606286</v>
      </c>
      <c r="S41" s="42" t="n">
        <f aca="false">INSUMOS_DIRECTOS_RODANTES!Q18</f>
        <v>3410.3903462</v>
      </c>
      <c r="T41" s="42" t="n">
        <f aca="false">INDEX(J41:S41,INDEX(P_VAL,MATCH("AÑO_DIS",P_ID,0))-2025)</f>
        <v>3410.3903462</v>
      </c>
      <c r="U41" s="24"/>
      <c r="V41" s="24"/>
      <c r="W41" s="24"/>
      <c r="X41" s="24"/>
      <c r="Y41" s="24"/>
    </row>
    <row r="42" customFormat="false" ht="15" hidden="false" customHeight="false" outlineLevel="1" collapsed="false">
      <c r="A42" s="24" t="n">
        <v>1</v>
      </c>
      <c r="B42" s="24" t="s">
        <v>1018</v>
      </c>
      <c r="C42" s="40" t="s">
        <v>3854</v>
      </c>
      <c r="D42" s="24"/>
      <c r="E42" s="24"/>
      <c r="F42" s="24"/>
      <c r="G42" s="24"/>
      <c r="H42" s="24" t="s">
        <v>132</v>
      </c>
      <c r="I42" s="24" t="s">
        <v>3855</v>
      </c>
      <c r="J42" s="42" t="n">
        <f aca="false">INSUMOS_DIRECTOS_RECARGAS!H20</f>
        <v>2</v>
      </c>
      <c r="K42" s="42" t="n">
        <f aca="false">INSUMOS_DIRECTOS_RECARGAS!I20</f>
        <v>4.1</v>
      </c>
      <c r="L42" s="42" t="n">
        <f aca="false">INSUMOS_DIRECTOS_RECARGAS!J20</f>
        <v>8.3</v>
      </c>
      <c r="M42" s="42" t="n">
        <f aca="false">INSUMOS_DIRECTOS_RECARGAS!K20</f>
        <v>10.7</v>
      </c>
      <c r="N42" s="42" t="n">
        <f aca="false">INSUMOS_DIRECTOS_RECARGAS!L20</f>
        <v>11.2</v>
      </c>
      <c r="O42" s="42" t="n">
        <f aca="false">INSUMOS_DIRECTOS_RECARGAS!M20</f>
        <v>13.7</v>
      </c>
      <c r="P42" s="42" t="n">
        <f aca="false">INSUMOS_DIRECTOS_RECARGAS!N20</f>
        <v>12.3</v>
      </c>
      <c r="Q42" s="42" t="n">
        <f aca="false">INSUMOS_DIRECTOS_RECARGAS!O20</f>
        <v>8.8</v>
      </c>
      <c r="R42" s="42" t="n">
        <f aca="false">INSUMOS_DIRECTOS_RECARGAS!P20</f>
        <v>9.1</v>
      </c>
      <c r="S42" s="42" t="n">
        <f aca="false">INSUMOS_DIRECTOS_RECARGAS!Q20</f>
        <v>7.4</v>
      </c>
      <c r="T42" s="42" t="n">
        <f aca="false">INDEX(J42:S42,INDEX(P_VAL,MATCH("AÑO_DIS",P_ID,0))-2025)</f>
        <v>7.4</v>
      </c>
      <c r="U42" s="24"/>
      <c r="V42" s="24"/>
      <c r="W42" s="24"/>
      <c r="X42" s="24"/>
      <c r="Y42" s="24"/>
    </row>
    <row r="43" customFormat="false" ht="15" hidden="false" customHeight="false" outlineLevel="0" collapsed="false">
      <c r="A43" s="38" t="n">
        <v>0</v>
      </c>
      <c r="B43" s="38" t="s">
        <v>1124</v>
      </c>
      <c r="C43" s="38" t="str">
        <f aca="false">INDEX(C_TAB,MATCH($B43,C_COD,0),2)</f>
        <v>Casquete embutido 15" × 4,75 mm (cúpula y fondo, carros 70 y 100 kg)</v>
      </c>
      <c r="D43" s="38" t="str">
        <f aca="false">INDEX(C_TAB,MATCH($B43,C_COD,0),3)</f>
        <v>u</v>
      </c>
      <c r="E43" s="38" t="str">
        <f aca="false">INDEX(C_TAB,MATCH($B43,C_COD,0),4)</f>
        <v>Directo</v>
      </c>
      <c r="F43" s="38" t="str">
        <f aca="false">INDEX(C_TAB,MATCH($B43,C_COD,0),5)</f>
        <v>Componente comprado</v>
      </c>
      <c r="G43" s="38" t="str">
        <f aca="false">INDEX(C_TAB,MATCH($B43,C_COD,0),6)</f>
        <v>Rack de casquetes y cuplas (carros)</v>
      </c>
      <c r="H43" s="38"/>
      <c r="I43" s="38"/>
      <c r="J43" s="39" t="n">
        <f aca="false">SUM(J44:J45)</f>
        <v>56.48286618</v>
      </c>
      <c r="K43" s="39" t="n">
        <f aca="false">SUM(K44:K45)</f>
        <v>93.63943594</v>
      </c>
      <c r="L43" s="39" t="n">
        <f aca="false">SUM(L44:L45)</f>
        <v>145.63366396</v>
      </c>
      <c r="M43" s="39" t="n">
        <f aca="false">SUM(M44:M45)</f>
        <v>243.8477647</v>
      </c>
      <c r="N43" s="39" t="n">
        <f aca="false">SUM(N44:N45)</f>
        <v>403.30160558</v>
      </c>
      <c r="O43" s="39" t="n">
        <f aca="false">SUM(O44:O45)</f>
        <v>557.99517234</v>
      </c>
      <c r="P43" s="39" t="n">
        <f aca="false">SUM(P44:P45)</f>
        <v>744.06917302</v>
      </c>
      <c r="Q43" s="39" t="n">
        <f aca="false">SUM(Q44:Q45)</f>
        <v>937.257873</v>
      </c>
      <c r="R43" s="39" t="n">
        <f aca="false">SUM(R44:R45)</f>
        <v>1074.603865</v>
      </c>
      <c r="S43" s="39" t="n">
        <f aca="false">SUM(S44:S45)</f>
        <v>1240.1328532</v>
      </c>
      <c r="T43" s="39" t="n">
        <f aca="false">INDEX(J43:S43,INDEX(P_VAL,MATCH("AÑO_DIS",P_ID,0))-2025)</f>
        <v>1240.1328532</v>
      </c>
      <c r="U43" s="38" t="str">
        <f aca="false">INDEX(C_TAB,MATCH($B43,C_COD,0),10)</f>
        <v>Pallet de 150 u</v>
      </c>
      <c r="V43" s="38" t="n">
        <f aca="false">INDEX(C_TAB,MATCH($B43,C_COD,0),11)</f>
        <v>150</v>
      </c>
      <c r="W43" s="44" t="n">
        <f aca="false">ROUNDUP(T43/V43,0)</f>
        <v>9</v>
      </c>
      <c r="X43" s="38" t="str">
        <f aca="false">INDEX(C_TAB,MATCH($B43,C_COD,0),7)</f>
        <v>Importado (EKC / chinafiresafety)</v>
      </c>
      <c r="Y43" s="38" t="n">
        <f aca="false">INDEX(C_TAB,MATCH($B43,C_COD,0),12)</f>
        <v>60</v>
      </c>
    </row>
    <row r="44" customFormat="false" ht="15" hidden="false" customHeight="false" outlineLevel="1" collapsed="false">
      <c r="A44" s="24" t="n">
        <v>1</v>
      </c>
      <c r="B44" s="24" t="s">
        <v>1124</v>
      </c>
      <c r="C44" s="40" t="s">
        <v>3856</v>
      </c>
      <c r="D44" s="24"/>
      <c r="E44" s="24"/>
      <c r="F44" s="24"/>
      <c r="G44" s="24"/>
      <c r="H44" s="24" t="s">
        <v>244</v>
      </c>
      <c r="I44" s="24" t="s">
        <v>3857</v>
      </c>
      <c r="J44" s="42" t="n">
        <f aca="false">INSUMOS_DIRECTOS_RODANTES!H23</f>
        <v>54.48286618</v>
      </c>
      <c r="K44" s="42" t="n">
        <f aca="false">INSUMOS_DIRECTOS_RODANTES!I23</f>
        <v>93.53943594</v>
      </c>
      <c r="L44" s="42" t="n">
        <f aca="false">INSUMOS_DIRECTOS_RODANTES!J23</f>
        <v>143.53366396</v>
      </c>
      <c r="M44" s="42" t="n">
        <f aca="false">INSUMOS_DIRECTOS_RODANTES!K23</f>
        <v>241.6477647</v>
      </c>
      <c r="N44" s="42" t="n">
        <f aca="false">INSUMOS_DIRECTOS_RODANTES!L23</f>
        <v>399.00160558</v>
      </c>
      <c r="O44" s="42" t="n">
        <f aca="false">INSUMOS_DIRECTOS_RODANTES!M23</f>
        <v>555.49517234</v>
      </c>
      <c r="P44" s="42" t="n">
        <f aca="false">INSUMOS_DIRECTOS_RODANTES!N23</f>
        <v>741.46917302</v>
      </c>
      <c r="Q44" s="42" t="n">
        <f aca="false">INSUMOS_DIRECTOS_RODANTES!O23</f>
        <v>934.557873</v>
      </c>
      <c r="R44" s="42" t="n">
        <f aca="false">INSUMOS_DIRECTOS_RODANTES!P23</f>
        <v>1071.803865</v>
      </c>
      <c r="S44" s="42" t="n">
        <f aca="false">INSUMOS_DIRECTOS_RODANTES!Q23</f>
        <v>1239.2328532</v>
      </c>
      <c r="T44" s="42" t="n">
        <f aca="false">INDEX(J44:S44,INDEX(P_VAL,MATCH("AÑO_DIS",P_ID,0))-2025)</f>
        <v>1239.2328532</v>
      </c>
      <c r="U44" s="24"/>
      <c r="V44" s="24"/>
      <c r="W44" s="24"/>
      <c r="X44" s="24"/>
      <c r="Y44" s="24"/>
    </row>
    <row r="45" customFormat="false" ht="15" hidden="false" customHeight="false" outlineLevel="1" collapsed="false">
      <c r="A45" s="24" t="n">
        <v>1</v>
      </c>
      <c r="B45" s="24" t="s">
        <v>1124</v>
      </c>
      <c r="C45" s="40" t="s">
        <v>3854</v>
      </c>
      <c r="D45" s="24"/>
      <c r="E45" s="24"/>
      <c r="F45" s="24"/>
      <c r="G45" s="24"/>
      <c r="H45" s="24" t="s">
        <v>132</v>
      </c>
      <c r="I45" s="24" t="s">
        <v>3855</v>
      </c>
      <c r="J45" s="42" t="n">
        <f aca="false">INSUMOS_DIRECTOS_RECARGAS!H23</f>
        <v>2</v>
      </c>
      <c r="K45" s="42" t="n">
        <f aca="false">INSUMOS_DIRECTOS_RECARGAS!I23</f>
        <v>0.1</v>
      </c>
      <c r="L45" s="42" t="n">
        <f aca="false">INSUMOS_DIRECTOS_RECARGAS!J23</f>
        <v>2.1</v>
      </c>
      <c r="M45" s="42" t="n">
        <f aca="false">INSUMOS_DIRECTOS_RECARGAS!K23</f>
        <v>2.2</v>
      </c>
      <c r="N45" s="42" t="n">
        <f aca="false">INSUMOS_DIRECTOS_RECARGAS!L23</f>
        <v>4.3</v>
      </c>
      <c r="O45" s="42" t="n">
        <f aca="false">INSUMOS_DIRECTOS_RECARGAS!M23</f>
        <v>2.5</v>
      </c>
      <c r="P45" s="42" t="n">
        <f aca="false">INSUMOS_DIRECTOS_RECARGAS!N23</f>
        <v>2.6</v>
      </c>
      <c r="Q45" s="42" t="n">
        <f aca="false">INSUMOS_DIRECTOS_RECARGAS!O23</f>
        <v>2.7</v>
      </c>
      <c r="R45" s="42" t="n">
        <f aca="false">INSUMOS_DIRECTOS_RECARGAS!P23</f>
        <v>2.8</v>
      </c>
      <c r="S45" s="42" t="n">
        <f aca="false">INSUMOS_DIRECTOS_RECARGAS!Q23</f>
        <v>0.9</v>
      </c>
      <c r="T45" s="42" t="n">
        <f aca="false">INDEX(J45:S45,INDEX(P_VAL,MATCH("AÑO_DIS",P_ID,0))-2025)</f>
        <v>0.9</v>
      </c>
      <c r="U45" s="24"/>
      <c r="V45" s="24"/>
      <c r="W45" s="24"/>
      <c r="X45" s="24"/>
      <c r="Y45" s="24"/>
    </row>
    <row r="46" customFormat="false" ht="15" hidden="false" customHeight="false" outlineLevel="0" collapsed="false">
      <c r="A46" s="38" t="n">
        <v>0</v>
      </c>
      <c r="B46" s="38" t="s">
        <v>505</v>
      </c>
      <c r="C46" s="38" t="str">
        <f aca="false">INDEX(C_TAB,MATCH($B46,C_COD,0),2)</f>
        <v>Asiento de válvula roscado M22 × 1,5 (cúpula 1 kg)</v>
      </c>
      <c r="D46" s="38" t="str">
        <f aca="false">INDEX(C_TAB,MATCH($B46,C_COD,0),3)</f>
        <v>u</v>
      </c>
      <c r="E46" s="38" t="str">
        <f aca="false">INDEX(C_TAB,MATCH($B46,C_COD,0),4)</f>
        <v>Directo</v>
      </c>
      <c r="F46" s="38" t="str">
        <f aca="false">INDEX(C_TAB,MATCH($B46,C_COD,0),5)</f>
        <v>Componente comprado</v>
      </c>
      <c r="G46" s="38" t="str">
        <f aca="false">INDEX(C_TAB,MATCH($B46,C_COD,0),6)</f>
        <v>Insumos de montaje (manuales)</v>
      </c>
      <c r="H46" s="38"/>
      <c r="I46" s="38"/>
      <c r="J46" s="39" t="n">
        <f aca="false">SUM(J47:J47)</f>
        <v>4178.736543</v>
      </c>
      <c r="K46" s="39" t="n">
        <f aca="false">SUM(K47:K47)</f>
        <v>5997.303977</v>
      </c>
      <c r="L46" s="39" t="n">
        <f aca="false">SUM(L47:L47)</f>
        <v>14514.147758</v>
      </c>
      <c r="M46" s="39" t="n">
        <f aca="false">SUM(M47:M47)</f>
        <v>35161.935549</v>
      </c>
      <c r="N46" s="39" t="n">
        <f aca="false">SUM(N47:N47)</f>
        <v>62115.43271</v>
      </c>
      <c r="O46" s="39" t="n">
        <f aca="false">SUM(O47:O47)</f>
        <v>87300.45307</v>
      </c>
      <c r="P46" s="39" t="n">
        <f aca="false">SUM(P47:P47)</f>
        <v>121673.15326</v>
      </c>
      <c r="Q46" s="39" t="n">
        <f aca="false">SUM(Q47:Q47)</f>
        <v>156133.07848</v>
      </c>
      <c r="R46" s="39" t="n">
        <f aca="false">SUM(R47:R47)</f>
        <v>175393.13614</v>
      </c>
      <c r="S46" s="39" t="n">
        <f aca="false">SUM(S47:S47)</f>
        <v>202620.63913</v>
      </c>
      <c r="T46" s="39" t="n">
        <f aca="false">INDEX(J46:S46,INDEX(P_VAL,MATCH("AÑO_DIS",P_ID,0))-2025)</f>
        <v>202620.63913</v>
      </c>
      <c r="U46" s="38" t="str">
        <f aca="false">INDEX(C_TAB,MATCH($B46,C_COD,0),10)</f>
        <v>Caja de 1.000 u</v>
      </c>
      <c r="V46" s="38" t="n">
        <f aca="false">INDEX(C_TAB,MATCH($B46,C_COD,0),11)</f>
        <v>1000</v>
      </c>
      <c r="W46" s="44" t="n">
        <f aca="false">ROUNDUP(T46/V46,0)</f>
        <v>203</v>
      </c>
      <c r="X46" s="38" t="str">
        <f aca="false">INDEX(C_TAB,MATCH($B46,C_COD,0),7)</f>
        <v>Eli-Met</v>
      </c>
      <c r="Y46" s="38" t="n">
        <f aca="false">INDEX(C_TAB,MATCH($B46,C_COD,0),12)</f>
        <v>28</v>
      </c>
    </row>
    <row r="47" customFormat="false" ht="15" hidden="false" customHeight="false" outlineLevel="1" collapsed="false">
      <c r="A47" s="24" t="n">
        <v>1</v>
      </c>
      <c r="B47" s="24" t="s">
        <v>505</v>
      </c>
      <c r="C47" s="40" t="s">
        <v>3852</v>
      </c>
      <c r="D47" s="24"/>
      <c r="E47" s="24"/>
      <c r="F47" s="24"/>
      <c r="G47" s="24"/>
      <c r="H47" s="24" t="s">
        <v>229</v>
      </c>
      <c r="I47" s="24" t="s">
        <v>3853</v>
      </c>
      <c r="J47" s="42" t="n">
        <f aca="false">INSUMOS_DIRECTOS_MANUALES!H39</f>
        <v>4178.736543</v>
      </c>
      <c r="K47" s="42" t="n">
        <f aca="false">INSUMOS_DIRECTOS_MANUALES!I39</f>
        <v>5997.303977</v>
      </c>
      <c r="L47" s="42" t="n">
        <f aca="false">INSUMOS_DIRECTOS_MANUALES!J39</f>
        <v>14514.147758</v>
      </c>
      <c r="M47" s="42" t="n">
        <f aca="false">INSUMOS_DIRECTOS_MANUALES!K39</f>
        <v>35161.935549</v>
      </c>
      <c r="N47" s="42" t="n">
        <f aca="false">INSUMOS_DIRECTOS_MANUALES!L39</f>
        <v>62115.43271</v>
      </c>
      <c r="O47" s="42" t="n">
        <f aca="false">INSUMOS_DIRECTOS_MANUALES!M39</f>
        <v>87300.45307</v>
      </c>
      <c r="P47" s="42" t="n">
        <f aca="false">INSUMOS_DIRECTOS_MANUALES!N39</f>
        <v>121673.15326</v>
      </c>
      <c r="Q47" s="42" t="n">
        <f aca="false">INSUMOS_DIRECTOS_MANUALES!O39</f>
        <v>156133.07848</v>
      </c>
      <c r="R47" s="42" t="n">
        <f aca="false">INSUMOS_DIRECTOS_MANUALES!P39</f>
        <v>175393.13614</v>
      </c>
      <c r="S47" s="42" t="n">
        <f aca="false">INSUMOS_DIRECTOS_MANUALES!Q39</f>
        <v>202620.63913</v>
      </c>
      <c r="T47" s="42" t="n">
        <f aca="false">INDEX(J47:S47,INDEX(P_VAL,MATCH("AÑO_DIS",P_ID,0))-2025)</f>
        <v>202620.63913</v>
      </c>
      <c r="U47" s="24"/>
      <c r="V47" s="24"/>
      <c r="W47" s="24"/>
      <c r="X47" s="24"/>
      <c r="Y47" s="24"/>
    </row>
    <row r="48" customFormat="false" ht="15" hidden="false" customHeight="false" outlineLevel="0" collapsed="false">
      <c r="A48" s="38" t="n">
        <v>0</v>
      </c>
      <c r="B48" s="38" t="s">
        <v>625</v>
      </c>
      <c r="C48" s="38" t="str">
        <f aca="false">INDEX(C_TAB,MATCH($B48,C_COD,0),2)</f>
        <v>Asiento de válvula roscado M30 × 1,5 (cúpula 2,5 a 10 kg)</v>
      </c>
      <c r="D48" s="38" t="str">
        <f aca="false">INDEX(C_TAB,MATCH($B48,C_COD,0),3)</f>
        <v>u</v>
      </c>
      <c r="E48" s="38" t="str">
        <f aca="false">INDEX(C_TAB,MATCH($B48,C_COD,0),4)</f>
        <v>Directo</v>
      </c>
      <c r="F48" s="38" t="str">
        <f aca="false">INDEX(C_TAB,MATCH($B48,C_COD,0),5)</f>
        <v>Componente comprado</v>
      </c>
      <c r="G48" s="38" t="str">
        <f aca="false">INDEX(C_TAB,MATCH($B48,C_COD,0),6)</f>
        <v>Insumos de montaje (manuales)</v>
      </c>
      <c r="H48" s="38"/>
      <c r="I48" s="38"/>
      <c r="J48" s="39" t="n">
        <f aca="false">SUM(J49:J50)</f>
        <v>3161.63656373</v>
      </c>
      <c r="K48" s="39" t="n">
        <f aca="false">SUM(K49:K50)</f>
        <v>6537.203628</v>
      </c>
      <c r="L48" s="39" t="n">
        <f aca="false">SUM(L49:L50)</f>
        <v>10525.5344284</v>
      </c>
      <c r="M48" s="39" t="n">
        <f aca="false">SUM(M49:M50)</f>
        <v>19156.8239811</v>
      </c>
      <c r="N48" s="39" t="n">
        <f aca="false">SUM(N49:N50)</f>
        <v>29863.2028179</v>
      </c>
      <c r="O48" s="39" t="n">
        <f aca="false">SUM(O49:O50)</f>
        <v>40808.739029</v>
      </c>
      <c r="P48" s="39" t="n">
        <f aca="false">SUM(P49:P50)</f>
        <v>53026.935909</v>
      </c>
      <c r="Q48" s="39" t="n">
        <f aca="false">SUM(Q49:Q50)</f>
        <v>64812.437769</v>
      </c>
      <c r="R48" s="39" t="n">
        <f aca="false">SUM(R49:R50)</f>
        <v>72498.860847</v>
      </c>
      <c r="S48" s="39" t="n">
        <f aca="false">SUM(S49:S50)</f>
        <v>83568.735243</v>
      </c>
      <c r="T48" s="39" t="n">
        <f aca="false">INDEX(J48:S48,INDEX(P_VAL,MATCH("AÑO_DIS",P_ID,0))-2025)</f>
        <v>83568.735243</v>
      </c>
      <c r="U48" s="38" t="str">
        <f aca="false">INDEX(C_TAB,MATCH($B48,C_COD,0),10)</f>
        <v>Caja de 1.000 u</v>
      </c>
      <c r="V48" s="38" t="n">
        <f aca="false">INDEX(C_TAB,MATCH($B48,C_COD,0),11)</f>
        <v>1000</v>
      </c>
      <c r="W48" s="44" t="n">
        <f aca="false">ROUNDUP(T48/V48,0)</f>
        <v>84</v>
      </c>
      <c r="X48" s="38" t="str">
        <f aca="false">INDEX(C_TAB,MATCH($B48,C_COD,0),7)</f>
        <v>Eli-Met</v>
      </c>
      <c r="Y48" s="38" t="n">
        <f aca="false">INDEX(C_TAB,MATCH($B48,C_COD,0),12)</f>
        <v>28</v>
      </c>
    </row>
    <row r="49" customFormat="false" ht="15" hidden="false" customHeight="false" outlineLevel="1" collapsed="false">
      <c r="A49" s="24" t="n">
        <v>1</v>
      </c>
      <c r="B49" s="24" t="s">
        <v>625</v>
      </c>
      <c r="C49" s="40" t="s">
        <v>3852</v>
      </c>
      <c r="D49" s="24"/>
      <c r="E49" s="24"/>
      <c r="F49" s="24"/>
      <c r="G49" s="24"/>
      <c r="H49" s="24" t="s">
        <v>229</v>
      </c>
      <c r="I49" s="24" t="s">
        <v>3853</v>
      </c>
      <c r="J49" s="42" t="n">
        <f aca="false">INSUMOS_DIRECTOS_MANUALES!H42</f>
        <v>3096.63656373</v>
      </c>
      <c r="K49" s="42" t="n">
        <f aca="false">INSUMOS_DIRECTOS_MANUALES!I42</f>
        <v>6311.953628</v>
      </c>
      <c r="L49" s="42" t="n">
        <f aca="false">INSUMOS_DIRECTOS_MANUALES!J42</f>
        <v>10233.1844284</v>
      </c>
      <c r="M49" s="42" t="n">
        <f aca="false">INSUMOS_DIRECTOS_MANUALES!K42</f>
        <v>18646.5739811</v>
      </c>
      <c r="N49" s="42" t="n">
        <f aca="false">INSUMOS_DIRECTOS_MANUALES!L42</f>
        <v>29311.8528179</v>
      </c>
      <c r="O49" s="42" t="n">
        <f aca="false">INSUMOS_DIRECTOS_MANUALES!M42</f>
        <v>40163.439029</v>
      </c>
      <c r="P49" s="42" t="n">
        <f aca="false">INSUMOS_DIRECTOS_MANUALES!N42</f>
        <v>52405.235909</v>
      </c>
      <c r="Q49" s="42" t="n">
        <f aca="false">INSUMOS_DIRECTOS_MANUALES!O42</f>
        <v>64310.937769</v>
      </c>
      <c r="R49" s="42" t="n">
        <f aca="false">INSUMOS_DIRECTOS_MANUALES!P42</f>
        <v>72123.860847</v>
      </c>
      <c r="S49" s="42" t="n">
        <f aca="false">INSUMOS_DIRECTOS_MANUALES!Q42</f>
        <v>83179.485243</v>
      </c>
      <c r="T49" s="42" t="n">
        <f aca="false">INDEX(J49:S49,INDEX(P_VAL,MATCH("AÑO_DIS",P_ID,0))-2025)</f>
        <v>83179.485243</v>
      </c>
      <c r="U49" s="24"/>
      <c r="V49" s="24"/>
      <c r="W49" s="24"/>
      <c r="X49" s="24"/>
      <c r="Y49" s="24"/>
    </row>
    <row r="50" customFormat="false" ht="15" hidden="false" customHeight="false" outlineLevel="1" collapsed="false">
      <c r="A50" s="24" t="n">
        <v>1</v>
      </c>
      <c r="B50" s="24" t="s">
        <v>625</v>
      </c>
      <c r="C50" s="40" t="s">
        <v>3854</v>
      </c>
      <c r="D50" s="24"/>
      <c r="E50" s="24"/>
      <c r="F50" s="24"/>
      <c r="G50" s="24"/>
      <c r="H50" s="24" t="s">
        <v>132</v>
      </c>
      <c r="I50" s="24" t="s">
        <v>3855</v>
      </c>
      <c r="J50" s="42" t="n">
        <f aca="false">INSUMOS_DIRECTOS_RECARGAS!H26</f>
        <v>65</v>
      </c>
      <c r="K50" s="42" t="n">
        <f aca="false">INSUMOS_DIRECTOS_RECARGAS!I26</f>
        <v>225.25</v>
      </c>
      <c r="L50" s="42" t="n">
        <f aca="false">INSUMOS_DIRECTOS_RECARGAS!J26</f>
        <v>292.35</v>
      </c>
      <c r="M50" s="42" t="n">
        <f aca="false">INSUMOS_DIRECTOS_RECARGAS!K26</f>
        <v>510.25</v>
      </c>
      <c r="N50" s="42" t="n">
        <f aca="false">INSUMOS_DIRECTOS_RECARGAS!L26</f>
        <v>551.35</v>
      </c>
      <c r="O50" s="42" t="n">
        <f aca="false">INSUMOS_DIRECTOS_RECARGAS!M26</f>
        <v>645.3</v>
      </c>
      <c r="P50" s="42" t="n">
        <f aca="false">INSUMOS_DIRECTOS_RECARGAS!N26</f>
        <v>621.7</v>
      </c>
      <c r="Q50" s="42" t="n">
        <f aca="false">INSUMOS_DIRECTOS_RECARGAS!O26</f>
        <v>501.5</v>
      </c>
      <c r="R50" s="42" t="n">
        <f aca="false">INSUMOS_DIRECTOS_RECARGAS!P26</f>
        <v>375</v>
      </c>
      <c r="S50" s="42" t="n">
        <f aca="false">INSUMOS_DIRECTOS_RECARGAS!Q26</f>
        <v>389.25</v>
      </c>
      <c r="T50" s="42" t="n">
        <f aca="false">INDEX(J50:S50,INDEX(P_VAL,MATCH("AÑO_DIS",P_ID,0))-2025)</f>
        <v>389.25</v>
      </c>
      <c r="U50" s="24"/>
      <c r="V50" s="24"/>
      <c r="W50" s="24"/>
      <c r="X50" s="24"/>
      <c r="Y50" s="24"/>
    </row>
    <row r="51" customFormat="false" ht="15" hidden="false" customHeight="false" outlineLevel="0" collapsed="false">
      <c r="A51" s="38" t="n">
        <v>0</v>
      </c>
      <c r="B51" s="38" t="s">
        <v>891</v>
      </c>
      <c r="C51" s="38" t="str">
        <f aca="false">INDEX(C_TAB,MATCH($B51,C_COD,0),2)</f>
        <v>Cupla soldable M30 × 1,5 (carros 25 y 50 kg)</v>
      </c>
      <c r="D51" s="38" t="str">
        <f aca="false">INDEX(C_TAB,MATCH($B51,C_COD,0),3)</f>
        <v>u</v>
      </c>
      <c r="E51" s="38" t="str">
        <f aca="false">INDEX(C_TAB,MATCH($B51,C_COD,0),4)</f>
        <v>Directo</v>
      </c>
      <c r="F51" s="38" t="str">
        <f aca="false">INDEX(C_TAB,MATCH($B51,C_COD,0),5)</f>
        <v>Componente comprado</v>
      </c>
      <c r="G51" s="38" t="str">
        <f aca="false">INDEX(C_TAB,MATCH($B51,C_COD,0),6)</f>
        <v>Rack de casquetes y cuplas (carros)</v>
      </c>
      <c r="H51" s="38"/>
      <c r="I51" s="38"/>
      <c r="J51" s="39" t="n">
        <f aca="false">SUM(J52:J53)</f>
        <v>109.96573236</v>
      </c>
      <c r="K51" s="39" t="n">
        <f aca="false">SUM(K52:K53)</f>
        <v>189.12887185</v>
      </c>
      <c r="L51" s="39" t="n">
        <f aca="false">SUM(L52:L53)</f>
        <v>291.01732798</v>
      </c>
      <c r="M51" s="39" t="n">
        <f aca="false">SUM(M52:M53)</f>
        <v>488.0455294</v>
      </c>
      <c r="N51" s="39" t="n">
        <f aca="false">SUM(N52:N53)</f>
        <v>802.6032112</v>
      </c>
      <c r="O51" s="39" t="n">
        <f aca="false">SUM(O52:O53)</f>
        <v>1117.6403447</v>
      </c>
      <c r="P51" s="39" t="n">
        <f aca="false">SUM(P52:P53)</f>
        <v>1490.4883461</v>
      </c>
      <c r="Q51" s="39" t="n">
        <f aca="false">SUM(Q52:Q53)</f>
        <v>1876.5157463</v>
      </c>
      <c r="R51" s="39" t="n">
        <f aca="false">SUM(R52:R53)</f>
        <v>2150.7577299</v>
      </c>
      <c r="S51" s="39" t="n">
        <f aca="false">SUM(S52:S53)</f>
        <v>2484.1657063</v>
      </c>
      <c r="T51" s="39" t="n">
        <f aca="false">INDEX(J51:S51,INDEX(P_VAL,MATCH("AÑO_DIS",P_ID,0))-2025)</f>
        <v>2484.1657063</v>
      </c>
      <c r="U51" s="38" t="str">
        <f aca="false">INDEX(C_TAB,MATCH($B51,C_COD,0),10)</f>
        <v>Caja de 100 u</v>
      </c>
      <c r="V51" s="38" t="n">
        <f aca="false">INDEX(C_TAB,MATCH($B51,C_COD,0),11)</f>
        <v>100</v>
      </c>
      <c r="W51" s="44" t="n">
        <f aca="false">ROUNDUP(T51/V51,0)</f>
        <v>25</v>
      </c>
      <c r="X51" s="38" t="str">
        <f aca="false">INDEX(C_TAB,MATCH($B51,C_COD,0),7)</f>
        <v>Eli-Met</v>
      </c>
      <c r="Y51" s="38" t="n">
        <f aca="false">INDEX(C_TAB,MATCH($B51,C_COD,0),12)</f>
        <v>28</v>
      </c>
    </row>
    <row r="52" customFormat="false" ht="15" hidden="false" customHeight="false" outlineLevel="1" collapsed="false">
      <c r="A52" s="24" t="n">
        <v>1</v>
      </c>
      <c r="B52" s="24" t="s">
        <v>891</v>
      </c>
      <c r="C52" s="40" t="s">
        <v>3856</v>
      </c>
      <c r="D52" s="24"/>
      <c r="E52" s="24"/>
      <c r="F52" s="24"/>
      <c r="G52" s="24"/>
      <c r="H52" s="24" t="s">
        <v>244</v>
      </c>
      <c r="I52" s="24" t="s">
        <v>3857</v>
      </c>
      <c r="J52" s="42" t="n">
        <f aca="false">INSUMOS_DIRECTOS_RODANTES!H32</f>
        <v>108.96573236</v>
      </c>
      <c r="K52" s="42" t="n">
        <f aca="false">INSUMOS_DIRECTOS_RODANTES!I32</f>
        <v>187.07887185</v>
      </c>
      <c r="L52" s="42" t="n">
        <f aca="false">INSUMOS_DIRECTOS_RODANTES!J32</f>
        <v>286.86732798</v>
      </c>
      <c r="M52" s="42" t="n">
        <f aca="false">INSUMOS_DIRECTOS_RODANTES!K32</f>
        <v>482.6955294</v>
      </c>
      <c r="N52" s="42" t="n">
        <f aca="false">INSUMOS_DIRECTOS_RODANTES!L32</f>
        <v>797.0032112</v>
      </c>
      <c r="O52" s="42" t="n">
        <f aca="false">INSUMOS_DIRECTOS_RODANTES!M32</f>
        <v>1110.7903447</v>
      </c>
      <c r="P52" s="42" t="n">
        <f aca="false">INSUMOS_DIRECTOS_RODANTES!N32</f>
        <v>1484.3383461</v>
      </c>
      <c r="Q52" s="42" t="n">
        <f aca="false">INSUMOS_DIRECTOS_RODANTES!O32</f>
        <v>1872.1157463</v>
      </c>
      <c r="R52" s="42" t="n">
        <f aca="false">INSUMOS_DIRECTOS_RODANTES!P32</f>
        <v>2146.2077299</v>
      </c>
      <c r="S52" s="42" t="n">
        <f aca="false">INSUMOS_DIRECTOS_RODANTES!Q32</f>
        <v>2480.4657063</v>
      </c>
      <c r="T52" s="42" t="n">
        <f aca="false">INDEX(J52:S52,INDEX(P_VAL,MATCH("AÑO_DIS",P_ID,0))-2025)</f>
        <v>2480.4657063</v>
      </c>
      <c r="U52" s="24"/>
      <c r="V52" s="24"/>
      <c r="W52" s="24"/>
      <c r="X52" s="24"/>
      <c r="Y52" s="24"/>
    </row>
    <row r="53" customFormat="false" ht="15" hidden="false" customHeight="false" outlineLevel="1" collapsed="false">
      <c r="A53" s="24" t="n">
        <v>1</v>
      </c>
      <c r="B53" s="24" t="s">
        <v>891</v>
      </c>
      <c r="C53" s="40" t="s">
        <v>3854</v>
      </c>
      <c r="D53" s="24"/>
      <c r="E53" s="24"/>
      <c r="F53" s="24"/>
      <c r="G53" s="24"/>
      <c r="H53" s="24" t="s">
        <v>132</v>
      </c>
      <c r="I53" s="24" t="s">
        <v>3855</v>
      </c>
      <c r="J53" s="42" t="n">
        <f aca="false">INSUMOS_DIRECTOS_RECARGAS!H29</f>
        <v>1</v>
      </c>
      <c r="K53" s="42" t="n">
        <f aca="false">INSUMOS_DIRECTOS_RECARGAS!I29</f>
        <v>2.05</v>
      </c>
      <c r="L53" s="42" t="n">
        <f aca="false">INSUMOS_DIRECTOS_RECARGAS!J29</f>
        <v>4.15</v>
      </c>
      <c r="M53" s="42" t="n">
        <f aca="false">INSUMOS_DIRECTOS_RECARGAS!K29</f>
        <v>5.35</v>
      </c>
      <c r="N53" s="42" t="n">
        <f aca="false">INSUMOS_DIRECTOS_RECARGAS!L29</f>
        <v>5.6</v>
      </c>
      <c r="O53" s="42" t="n">
        <f aca="false">INSUMOS_DIRECTOS_RECARGAS!M29</f>
        <v>6.85</v>
      </c>
      <c r="P53" s="42" t="n">
        <f aca="false">INSUMOS_DIRECTOS_RECARGAS!N29</f>
        <v>6.15</v>
      </c>
      <c r="Q53" s="42" t="n">
        <f aca="false">INSUMOS_DIRECTOS_RECARGAS!O29</f>
        <v>4.4</v>
      </c>
      <c r="R53" s="42" t="n">
        <f aca="false">INSUMOS_DIRECTOS_RECARGAS!P29</f>
        <v>4.55</v>
      </c>
      <c r="S53" s="42" t="n">
        <f aca="false">INSUMOS_DIRECTOS_RECARGAS!Q29</f>
        <v>3.7</v>
      </c>
      <c r="T53" s="42" t="n">
        <f aca="false">INDEX(J53:S53,INDEX(P_VAL,MATCH("AÑO_DIS",P_ID,0))-2025)</f>
        <v>3.7</v>
      </c>
      <c r="U53" s="24"/>
      <c r="V53" s="24"/>
      <c r="W53" s="24"/>
      <c r="X53" s="24"/>
      <c r="Y53" s="24"/>
    </row>
    <row r="54" customFormat="false" ht="15" hidden="false" customHeight="false" outlineLevel="0" collapsed="false">
      <c r="A54" s="38" t="n">
        <v>0</v>
      </c>
      <c r="B54" s="38" t="s">
        <v>1129</v>
      </c>
      <c r="C54" s="38" t="str">
        <f aca="false">INDEX(C_TAB,MATCH($B54,C_COD,0),2)</f>
        <v>Cupla soldable 2½" BSP (carros 70 y 100 kg)</v>
      </c>
      <c r="D54" s="38" t="str">
        <f aca="false">INDEX(C_TAB,MATCH($B54,C_COD,0),3)</f>
        <v>u</v>
      </c>
      <c r="E54" s="38" t="str">
        <f aca="false">INDEX(C_TAB,MATCH($B54,C_COD,0),4)</f>
        <v>Directo</v>
      </c>
      <c r="F54" s="38" t="str">
        <f aca="false">INDEX(C_TAB,MATCH($B54,C_COD,0),5)</f>
        <v>Componente comprado</v>
      </c>
      <c r="G54" s="38" t="str">
        <f aca="false">INDEX(C_TAB,MATCH($B54,C_COD,0),6)</f>
        <v>Rack de casquetes y cuplas (carros)</v>
      </c>
      <c r="H54" s="38"/>
      <c r="I54" s="38"/>
      <c r="J54" s="39" t="n">
        <f aca="false">SUM(J55:J56)</f>
        <v>28.24143309</v>
      </c>
      <c r="K54" s="39" t="n">
        <f aca="false">SUM(K55:K56)</f>
        <v>46.81971797</v>
      </c>
      <c r="L54" s="39" t="n">
        <f aca="false">SUM(L55:L56)</f>
        <v>72.81683198</v>
      </c>
      <c r="M54" s="39" t="n">
        <f aca="false">SUM(M55:M56)</f>
        <v>121.92388235</v>
      </c>
      <c r="N54" s="39" t="n">
        <f aca="false">SUM(N55:N56)</f>
        <v>201.65080279</v>
      </c>
      <c r="O54" s="39" t="n">
        <f aca="false">SUM(O55:O56)</f>
        <v>278.99758617</v>
      </c>
      <c r="P54" s="39" t="n">
        <f aca="false">SUM(P55:P56)</f>
        <v>372.03458651</v>
      </c>
      <c r="Q54" s="39" t="n">
        <f aca="false">SUM(Q55:Q56)</f>
        <v>468.6289365</v>
      </c>
      <c r="R54" s="39" t="n">
        <f aca="false">SUM(R55:R56)</f>
        <v>537.3019325</v>
      </c>
      <c r="S54" s="39" t="n">
        <f aca="false">SUM(S55:S56)</f>
        <v>620.0664266</v>
      </c>
      <c r="T54" s="39" t="n">
        <f aca="false">INDEX(J54:S54,INDEX(P_VAL,MATCH("AÑO_DIS",P_ID,0))-2025)</f>
        <v>620.0664266</v>
      </c>
      <c r="U54" s="38" t="str">
        <f aca="false">INDEX(C_TAB,MATCH($B54,C_COD,0),10)</f>
        <v>Caja de 40 u</v>
      </c>
      <c r="V54" s="38" t="n">
        <f aca="false">INDEX(C_TAB,MATCH($B54,C_COD,0),11)</f>
        <v>40</v>
      </c>
      <c r="W54" s="44" t="n">
        <f aca="false">ROUNDUP(T54/V54,0)</f>
        <v>16</v>
      </c>
      <c r="X54" s="38" t="str">
        <f aca="false">INDEX(C_TAB,MATCH($B54,C_COD,0),7)</f>
        <v>Eli-Met</v>
      </c>
      <c r="Y54" s="38" t="n">
        <f aca="false">INDEX(C_TAB,MATCH($B54,C_COD,0),12)</f>
        <v>28</v>
      </c>
    </row>
    <row r="55" customFormat="false" ht="15" hidden="false" customHeight="false" outlineLevel="1" collapsed="false">
      <c r="A55" s="24" t="n">
        <v>1</v>
      </c>
      <c r="B55" s="24" t="s">
        <v>1129</v>
      </c>
      <c r="C55" s="40" t="s">
        <v>3856</v>
      </c>
      <c r="D55" s="24"/>
      <c r="E55" s="24"/>
      <c r="F55" s="24"/>
      <c r="G55" s="24"/>
      <c r="H55" s="24" t="s">
        <v>244</v>
      </c>
      <c r="I55" s="24" t="s">
        <v>3857</v>
      </c>
      <c r="J55" s="42" t="n">
        <f aca="false">INSUMOS_DIRECTOS_RODANTES!H37</f>
        <v>27.24143309</v>
      </c>
      <c r="K55" s="42" t="n">
        <f aca="false">INSUMOS_DIRECTOS_RODANTES!I37</f>
        <v>46.76971797</v>
      </c>
      <c r="L55" s="42" t="n">
        <f aca="false">INSUMOS_DIRECTOS_RODANTES!J37</f>
        <v>71.76683198</v>
      </c>
      <c r="M55" s="42" t="n">
        <f aca="false">INSUMOS_DIRECTOS_RODANTES!K37</f>
        <v>120.82388235</v>
      </c>
      <c r="N55" s="42" t="n">
        <f aca="false">INSUMOS_DIRECTOS_RODANTES!L37</f>
        <v>199.50080279</v>
      </c>
      <c r="O55" s="42" t="n">
        <f aca="false">INSUMOS_DIRECTOS_RODANTES!M37</f>
        <v>277.74758617</v>
      </c>
      <c r="P55" s="42" t="n">
        <f aca="false">INSUMOS_DIRECTOS_RODANTES!N37</f>
        <v>370.73458651</v>
      </c>
      <c r="Q55" s="42" t="n">
        <f aca="false">INSUMOS_DIRECTOS_RODANTES!O37</f>
        <v>467.2789365</v>
      </c>
      <c r="R55" s="42" t="n">
        <f aca="false">INSUMOS_DIRECTOS_RODANTES!P37</f>
        <v>535.9019325</v>
      </c>
      <c r="S55" s="42" t="n">
        <f aca="false">INSUMOS_DIRECTOS_RODANTES!Q37</f>
        <v>619.6164266</v>
      </c>
      <c r="T55" s="42" t="n">
        <f aca="false">INDEX(J55:S55,INDEX(P_VAL,MATCH("AÑO_DIS",P_ID,0))-2025)</f>
        <v>619.6164266</v>
      </c>
      <c r="U55" s="24"/>
      <c r="V55" s="24"/>
      <c r="W55" s="24"/>
      <c r="X55" s="24"/>
      <c r="Y55" s="24"/>
    </row>
    <row r="56" customFormat="false" ht="15" hidden="false" customHeight="false" outlineLevel="1" collapsed="false">
      <c r="A56" s="24" t="n">
        <v>1</v>
      </c>
      <c r="B56" s="24" t="s">
        <v>1129</v>
      </c>
      <c r="C56" s="40" t="s">
        <v>3854</v>
      </c>
      <c r="D56" s="24"/>
      <c r="E56" s="24"/>
      <c r="F56" s="24"/>
      <c r="G56" s="24"/>
      <c r="H56" s="24" t="s">
        <v>132</v>
      </c>
      <c r="I56" s="24" t="s">
        <v>3855</v>
      </c>
      <c r="J56" s="42" t="n">
        <f aca="false">INSUMOS_DIRECTOS_RECARGAS!H31</f>
        <v>1</v>
      </c>
      <c r="K56" s="42" t="n">
        <f aca="false">INSUMOS_DIRECTOS_RECARGAS!I31</f>
        <v>0.05</v>
      </c>
      <c r="L56" s="42" t="n">
        <f aca="false">INSUMOS_DIRECTOS_RECARGAS!J31</f>
        <v>1.05</v>
      </c>
      <c r="M56" s="42" t="n">
        <f aca="false">INSUMOS_DIRECTOS_RECARGAS!K31</f>
        <v>1.1</v>
      </c>
      <c r="N56" s="42" t="n">
        <f aca="false">INSUMOS_DIRECTOS_RECARGAS!L31</f>
        <v>2.15</v>
      </c>
      <c r="O56" s="42" t="n">
        <f aca="false">INSUMOS_DIRECTOS_RECARGAS!M31</f>
        <v>1.25</v>
      </c>
      <c r="P56" s="42" t="n">
        <f aca="false">INSUMOS_DIRECTOS_RECARGAS!N31</f>
        <v>1.3</v>
      </c>
      <c r="Q56" s="42" t="n">
        <f aca="false">INSUMOS_DIRECTOS_RECARGAS!O31</f>
        <v>1.35</v>
      </c>
      <c r="R56" s="42" t="n">
        <f aca="false">INSUMOS_DIRECTOS_RECARGAS!P31</f>
        <v>1.4</v>
      </c>
      <c r="S56" s="42" t="n">
        <f aca="false">INSUMOS_DIRECTOS_RECARGAS!Q31</f>
        <v>0.45</v>
      </c>
      <c r="T56" s="42" t="n">
        <f aca="false">INDEX(J56:S56,INDEX(P_VAL,MATCH("AÑO_DIS",P_ID,0))-2025)</f>
        <v>0.45</v>
      </c>
      <c r="U56" s="24"/>
      <c r="V56" s="24"/>
      <c r="W56" s="24"/>
      <c r="X56" s="24"/>
      <c r="Y56" s="24"/>
    </row>
    <row r="57" customFormat="false" ht="15" hidden="false" customHeight="false" outlineLevel="0" collapsed="false">
      <c r="A57" s="38" t="n">
        <v>0</v>
      </c>
      <c r="B57" s="38" t="s">
        <v>951</v>
      </c>
      <c r="C57" s="38" t="str">
        <f aca="false">INDEX(C_TAB,MATCH($B57,C_COD,0),2)</f>
        <v>Caño estructural SAE 1010 1" × 2,0 × 6 m (manija; caño del eje 25 kg)</v>
      </c>
      <c r="D57" s="38" t="str">
        <f aca="false">INDEX(C_TAB,MATCH($B57,C_COD,0),3)</f>
        <v>barra</v>
      </c>
      <c r="E57" s="38" t="str">
        <f aca="false">INDEX(C_TAB,MATCH($B57,C_COD,0),4)</f>
        <v>Directo</v>
      </c>
      <c r="F57" s="38" t="str">
        <f aca="false">INDEX(C_TAB,MATCH($B57,C_COD,0),5)</f>
        <v>Materia prima</v>
      </c>
      <c r="G57" s="38" t="str">
        <f aca="false">INDEX(C_TAB,MATCH($B57,C_COD,0),6)</f>
        <v>Cantilever de caños y barras</v>
      </c>
      <c r="H57" s="38"/>
      <c r="I57" s="38"/>
      <c r="J57" s="39" t="n">
        <f aca="false">SUM(J58:J59)</f>
        <v>38.8389443215684</v>
      </c>
      <c r="K57" s="39" t="n">
        <f aca="false">SUM(K58:K59)</f>
        <v>66.3048886290526</v>
      </c>
      <c r="L57" s="39" t="n">
        <f aca="false">SUM(L58:L59)</f>
        <v>85.9761826898807</v>
      </c>
      <c r="M57" s="39" t="n">
        <f aca="false">SUM(M58:M59)</f>
        <v>114.785501284053</v>
      </c>
      <c r="N57" s="39" t="n">
        <f aca="false">SUM(N58:N59)</f>
        <v>177.385207441947</v>
      </c>
      <c r="O57" s="39" t="n">
        <f aca="false">SUM(O58:O59)</f>
        <v>240.508690213</v>
      </c>
      <c r="P57" s="39" t="n">
        <f aca="false">SUM(P58:P59)</f>
        <v>308.634802547316</v>
      </c>
      <c r="Q57" s="39" t="n">
        <f aca="false">SUM(Q58:Q59)</f>
        <v>381.48148757593</v>
      </c>
      <c r="R57" s="39" t="n">
        <f aca="false">SUM(R58:R59)</f>
        <v>444.262058596035</v>
      </c>
      <c r="S57" s="39" t="n">
        <f aca="false">SUM(S58:S59)</f>
        <v>510.842739994176</v>
      </c>
      <c r="T57" s="39" t="n">
        <f aca="false">INDEX(J57:S57,INDEX(P_VAL,MATCH("AÑO_DIS",P_ID,0))-2025)</f>
        <v>510.842739994176</v>
      </c>
      <c r="U57" s="38" t="str">
        <f aca="false">INDEX(C_TAB,MATCH($B57,C_COD,0),10)</f>
        <v>Barra de 6 m</v>
      </c>
      <c r="V57" s="38" t="n">
        <f aca="false">INDEX(C_TAB,MATCH($B57,C_COD,0),11)</f>
        <v>1</v>
      </c>
      <c r="W57" s="44" t="n">
        <f aca="false">ROUNDUP(T57/V57,0)</f>
        <v>511</v>
      </c>
      <c r="X57" s="38" t="str">
        <f aca="false">INDEX(C_TAB,MATCH($B57,C_COD,0),7)</f>
        <v>Centrosider</v>
      </c>
      <c r="Y57" s="38" t="n">
        <f aca="false">INDEX(C_TAB,MATCH($B57,C_COD,0),12)</f>
        <v>5</v>
      </c>
    </row>
    <row r="58" customFormat="false" ht="15" hidden="false" customHeight="false" outlineLevel="1" collapsed="false">
      <c r="A58" s="24" t="n">
        <v>1</v>
      </c>
      <c r="B58" s="24" t="s">
        <v>951</v>
      </c>
      <c r="C58" s="40" t="s">
        <v>3856</v>
      </c>
      <c r="D58" s="24"/>
      <c r="E58" s="24"/>
      <c r="F58" s="24"/>
      <c r="G58" s="24"/>
      <c r="H58" s="24" t="s">
        <v>244</v>
      </c>
      <c r="I58" s="24" t="s">
        <v>3857</v>
      </c>
      <c r="J58" s="42" t="n">
        <f aca="false">INSUMOS_DIRECTOS_RODANTES!H42</f>
        <v>38.2933302864807</v>
      </c>
      <c r="K58" s="42" t="n">
        <f aca="false">INSUMOS_DIRECTOS_RODANTES!I42</f>
        <v>65.7442745939649</v>
      </c>
      <c r="L58" s="42" t="n">
        <f aca="false">INSUMOS_DIRECTOS_RODANTES!J42</f>
        <v>84.576621286372</v>
      </c>
      <c r="M58" s="42" t="n">
        <f aca="false">INSUMOS_DIRECTOS_RODANTES!K42</f>
        <v>113.051992512123</v>
      </c>
      <c r="N58" s="42" t="n">
        <f aca="false">INSUMOS_DIRECTOS_RODANTES!L42</f>
        <v>175.292137266509</v>
      </c>
      <c r="O58" s="42" t="n">
        <f aca="false">INSUMOS_DIRECTOS_RODANTES!M42</f>
        <v>238.333339335807</v>
      </c>
      <c r="P58" s="42" t="n">
        <f aca="false">INSUMOS_DIRECTOS_RODANTES!N42</f>
        <v>306.632170968368</v>
      </c>
      <c r="Q58" s="42" t="n">
        <f aca="false">INSUMOS_DIRECTOS_RODANTES!O42</f>
        <v>379.931575295228</v>
      </c>
      <c r="R58" s="42" t="n">
        <f aca="false">INSUMOS_DIRECTOS_RODANTES!P42</f>
        <v>442.658198946912</v>
      </c>
      <c r="S58" s="42" t="n">
        <f aca="false">INSUMOS_DIRECTOS_RODANTES!Q42</f>
        <v>509.730547011719</v>
      </c>
      <c r="T58" s="42" t="n">
        <f aca="false">INDEX(J58:S58,INDEX(P_VAL,MATCH("AÑO_DIS",P_ID,0))-2025)</f>
        <v>509.730547011719</v>
      </c>
      <c r="U58" s="24"/>
      <c r="V58" s="24"/>
      <c r="W58" s="24"/>
      <c r="X58" s="24"/>
      <c r="Y58" s="24"/>
    </row>
    <row r="59" customFormat="false" ht="15" hidden="false" customHeight="false" outlineLevel="1" collapsed="false">
      <c r="A59" s="24" t="n">
        <v>1</v>
      </c>
      <c r="B59" s="24" t="s">
        <v>951</v>
      </c>
      <c r="C59" s="40" t="s">
        <v>3854</v>
      </c>
      <c r="D59" s="24"/>
      <c r="E59" s="24"/>
      <c r="F59" s="24"/>
      <c r="G59" s="24"/>
      <c r="H59" s="24" t="s">
        <v>132</v>
      </c>
      <c r="I59" s="24" t="s">
        <v>3855</v>
      </c>
      <c r="J59" s="42" t="n">
        <f aca="false">INSUMOS_DIRECTOS_RECARGAS!H33</f>
        <v>0.545614035087719</v>
      </c>
      <c r="K59" s="42" t="n">
        <f aca="false">INSUMOS_DIRECTOS_RECARGAS!I33</f>
        <v>0.560614035087719</v>
      </c>
      <c r="L59" s="42" t="n">
        <f aca="false">INSUMOS_DIRECTOS_RECARGAS!J33</f>
        <v>1.39956140350877</v>
      </c>
      <c r="M59" s="42" t="n">
        <f aca="false">INSUMOS_DIRECTOS_RECARGAS!K33</f>
        <v>1.73350877192982</v>
      </c>
      <c r="N59" s="42" t="n">
        <f aca="false">INSUMOS_DIRECTOS_RECARGAS!L33</f>
        <v>2.0930701754386</v>
      </c>
      <c r="O59" s="42" t="n">
        <f aca="false">INSUMOS_DIRECTOS_RECARGAS!M33</f>
        <v>2.17535087719298</v>
      </c>
      <c r="P59" s="42" t="n">
        <f aca="false">INSUMOS_DIRECTOS_RECARGAS!N33</f>
        <v>2.00263157894737</v>
      </c>
      <c r="Q59" s="42" t="n">
        <f aca="false">INSUMOS_DIRECTOS_RECARGAS!O33</f>
        <v>1.54991228070175</v>
      </c>
      <c r="R59" s="42" t="n">
        <f aca="false">INSUMOS_DIRECTOS_RECARGAS!P33</f>
        <v>1.60385964912281</v>
      </c>
      <c r="S59" s="42" t="n">
        <f aca="false">INSUMOS_DIRECTOS_RECARGAS!Q33</f>
        <v>1.11219298245614</v>
      </c>
      <c r="T59" s="42" t="n">
        <f aca="false">INDEX(J59:S59,INDEX(P_VAL,MATCH("AÑO_DIS",P_ID,0))-2025)</f>
        <v>1.11219298245614</v>
      </c>
      <c r="U59" s="24"/>
      <c r="V59" s="24"/>
      <c r="W59" s="24"/>
      <c r="X59" s="24"/>
      <c r="Y59" s="24"/>
    </row>
    <row r="60" customFormat="false" ht="15" hidden="false" customHeight="false" outlineLevel="0" collapsed="false">
      <c r="A60" s="38" t="n">
        <v>0</v>
      </c>
      <c r="B60" s="38" t="s">
        <v>1073</v>
      </c>
      <c r="C60" s="38" t="str">
        <f aca="false">INDEX(C_TAB,MATCH($B60,C_COD,0),2)</f>
        <v>Caño estructural SAE 1010 1¼" × 2,0 × 6 m (caño del eje 50 a 100 kg)</v>
      </c>
      <c r="D60" s="38" t="str">
        <f aca="false">INDEX(C_TAB,MATCH($B60,C_COD,0),3)</f>
        <v>barra</v>
      </c>
      <c r="E60" s="38" t="str">
        <f aca="false">INDEX(C_TAB,MATCH($B60,C_COD,0),4)</f>
        <v>Directo</v>
      </c>
      <c r="F60" s="38" t="str">
        <f aca="false">INDEX(C_TAB,MATCH($B60,C_COD,0),5)</f>
        <v>Materia prima</v>
      </c>
      <c r="G60" s="38" t="str">
        <f aca="false">INDEX(C_TAB,MATCH($B60,C_COD,0),6)</f>
        <v>Cantilever de caños y barras</v>
      </c>
      <c r="H60" s="38"/>
      <c r="I60" s="38"/>
      <c r="J60" s="39" t="n">
        <f aca="false">SUM(J61:J62)</f>
        <v>6.86496790790526</v>
      </c>
      <c r="K60" s="39" t="n">
        <f aca="false">SUM(K61:K62)</f>
        <v>11.6799610590491</v>
      </c>
      <c r="L60" s="39" t="n">
        <f aca="false">SUM(L61:L62)</f>
        <v>15.1946694791789</v>
      </c>
      <c r="M60" s="39" t="n">
        <f aca="false">SUM(M61:M62)</f>
        <v>20.2750727054211</v>
      </c>
      <c r="N60" s="39" t="n">
        <f aca="false">SUM(N61:N62)</f>
        <v>31.3038385853789</v>
      </c>
      <c r="O60" s="39" t="n">
        <f aca="false">SUM(O61:O62)</f>
        <v>42.386952201014</v>
      </c>
      <c r="P60" s="39" t="n">
        <f aca="false">SUM(P61:P62)</f>
        <v>54.3448650020947</v>
      </c>
      <c r="Q60" s="39" t="n">
        <f aca="false">SUM(Q61:Q62)</f>
        <v>67.1159830181403</v>
      </c>
      <c r="R60" s="39" t="n">
        <f aca="false">SUM(R61:R62)</f>
        <v>78.1478543802105</v>
      </c>
      <c r="S60" s="39" t="n">
        <f aca="false">SUM(S61:S62)</f>
        <v>89.8048632318947</v>
      </c>
      <c r="T60" s="39" t="n">
        <f aca="false">INDEX(J60:S60,INDEX(P_VAL,MATCH("AÑO_DIS",P_ID,0))-2025)</f>
        <v>89.8048632318947</v>
      </c>
      <c r="U60" s="38" t="str">
        <f aca="false">INDEX(C_TAB,MATCH($B60,C_COD,0),10)</f>
        <v>Barra de 6 m</v>
      </c>
      <c r="V60" s="38" t="n">
        <f aca="false">INDEX(C_TAB,MATCH($B60,C_COD,0),11)</f>
        <v>1</v>
      </c>
      <c r="W60" s="44" t="n">
        <f aca="false">ROUNDUP(T60/V60,0)</f>
        <v>90</v>
      </c>
      <c r="X60" s="38" t="str">
        <f aca="false">INDEX(C_TAB,MATCH($B60,C_COD,0),7)</f>
        <v>Centrosider</v>
      </c>
      <c r="Y60" s="38" t="n">
        <f aca="false">INDEX(C_TAB,MATCH($B60,C_COD,0),12)</f>
        <v>5</v>
      </c>
    </row>
    <row r="61" customFormat="false" ht="15" hidden="false" customHeight="false" outlineLevel="1" collapsed="false">
      <c r="A61" s="24" t="n">
        <v>1</v>
      </c>
      <c r="B61" s="24" t="s">
        <v>1073</v>
      </c>
      <c r="C61" s="40" t="s">
        <v>3856</v>
      </c>
      <c r="D61" s="24"/>
      <c r="E61" s="24"/>
      <c r="F61" s="24"/>
      <c r="G61" s="24"/>
      <c r="H61" s="24" t="s">
        <v>244</v>
      </c>
      <c r="I61" s="24" t="s">
        <v>3857</v>
      </c>
      <c r="J61" s="42" t="n">
        <f aca="false">INSUMOS_DIRECTOS_RODANTES!H48</f>
        <v>6.72672229387018</v>
      </c>
      <c r="K61" s="42" t="n">
        <f aca="false">INSUMOS_DIRECTOS_RODANTES!I48</f>
        <v>11.5488382520316</v>
      </c>
      <c r="L61" s="42" t="n">
        <f aca="false">INSUMOS_DIRECTOS_RODANTES!J48</f>
        <v>14.8569852686526</v>
      </c>
      <c r="M61" s="42" t="n">
        <f aca="false">INSUMOS_DIRECTOS_RODANTES!K48</f>
        <v>19.8590551615614</v>
      </c>
      <c r="N61" s="42" t="n">
        <f aca="false">INSUMOS_DIRECTOS_RODANTES!L48</f>
        <v>30.7923473573088</v>
      </c>
      <c r="O61" s="42" t="n">
        <f aca="false">INSUMOS_DIRECTOS_RODANTES!M48</f>
        <v>41.866355709786</v>
      </c>
      <c r="P61" s="42" t="n">
        <f aca="false">INSUMOS_DIRECTOS_RODANTES!N48</f>
        <v>53.8639351775333</v>
      </c>
      <c r="Q61" s="42" t="n">
        <f aca="false">INSUMOS_DIRECTOS_RODANTES!O48</f>
        <v>66.7399303865614</v>
      </c>
      <c r="R61" s="42" t="n">
        <f aca="false">INSUMOS_DIRECTOS_RODANTES!P48</f>
        <v>77.758678941614</v>
      </c>
      <c r="S61" s="42" t="n">
        <f aca="false">INSUMOS_DIRECTOS_RODANTES!Q48</f>
        <v>89.5408106003158</v>
      </c>
      <c r="T61" s="42" t="n">
        <f aca="false">INDEX(J61:S61,INDEX(P_VAL,MATCH("AÑO_DIS",P_ID,0))-2025)</f>
        <v>89.5408106003158</v>
      </c>
      <c r="U61" s="24"/>
      <c r="V61" s="24"/>
      <c r="W61" s="24"/>
      <c r="X61" s="24"/>
      <c r="Y61" s="24"/>
    </row>
    <row r="62" customFormat="false" ht="15" hidden="false" customHeight="false" outlineLevel="1" collapsed="false">
      <c r="A62" s="24" t="n">
        <v>1</v>
      </c>
      <c r="B62" s="24" t="s">
        <v>1073</v>
      </c>
      <c r="C62" s="40" t="s">
        <v>3854</v>
      </c>
      <c r="D62" s="24"/>
      <c r="E62" s="24"/>
      <c r="F62" s="24"/>
      <c r="G62" s="24"/>
      <c r="H62" s="24" t="s">
        <v>132</v>
      </c>
      <c r="I62" s="24" t="s">
        <v>3855</v>
      </c>
      <c r="J62" s="42" t="n">
        <f aca="false">INSUMOS_DIRECTOS_RECARGAS!H36</f>
        <v>0.138245614035088</v>
      </c>
      <c r="K62" s="42" t="n">
        <f aca="false">INSUMOS_DIRECTOS_RECARGAS!I36</f>
        <v>0.131122807017544</v>
      </c>
      <c r="L62" s="42" t="n">
        <f aca="false">INSUMOS_DIRECTOS_RECARGAS!J36</f>
        <v>0.337684210526316</v>
      </c>
      <c r="M62" s="42" t="n">
        <f aca="false">INSUMOS_DIRECTOS_RECARGAS!K36</f>
        <v>0.416017543859649</v>
      </c>
      <c r="N62" s="42" t="n">
        <f aca="false">INSUMOS_DIRECTOS_RECARGAS!L36</f>
        <v>0.511491228070175</v>
      </c>
      <c r="O62" s="42" t="n">
        <f aca="false">INSUMOS_DIRECTOS_RECARGAS!M36</f>
        <v>0.52059649122807</v>
      </c>
      <c r="P62" s="42" t="n">
        <f aca="false">INSUMOS_DIRECTOS_RECARGAS!N36</f>
        <v>0.480929824561404</v>
      </c>
      <c r="Q62" s="42" t="n">
        <f aca="false">INSUMOS_DIRECTOS_RECARGAS!O36</f>
        <v>0.376052631578947</v>
      </c>
      <c r="R62" s="42" t="n">
        <f aca="false">INSUMOS_DIRECTOS_RECARGAS!P36</f>
        <v>0.389175438596491</v>
      </c>
      <c r="S62" s="42" t="n">
        <f aca="false">INSUMOS_DIRECTOS_RECARGAS!Q36</f>
        <v>0.264052631578947</v>
      </c>
      <c r="T62" s="42" t="n">
        <f aca="false">INDEX(J62:S62,INDEX(P_VAL,MATCH("AÑO_DIS",P_ID,0))-2025)</f>
        <v>0.264052631578947</v>
      </c>
      <c r="U62" s="24"/>
      <c r="V62" s="24"/>
      <c r="W62" s="24"/>
      <c r="X62" s="24"/>
      <c r="Y62" s="24"/>
    </row>
    <row r="63" customFormat="false" ht="15" hidden="false" customHeight="false" outlineLevel="0" collapsed="false">
      <c r="A63" s="38" t="n">
        <v>0</v>
      </c>
      <c r="B63" s="38" t="s">
        <v>966</v>
      </c>
      <c r="C63" s="38" t="str">
        <f aca="false">INDEX(C_TAB,MATCH($B63,C_COD,0),2)</f>
        <v>Barra trefilada SAE 1045 3/4" × 4 m (eje 25 kg)</v>
      </c>
      <c r="D63" s="38" t="str">
        <f aca="false">INDEX(C_TAB,MATCH($B63,C_COD,0),3)</f>
        <v>barra</v>
      </c>
      <c r="E63" s="38" t="str">
        <f aca="false">INDEX(C_TAB,MATCH($B63,C_COD,0),4)</f>
        <v>Directo</v>
      </c>
      <c r="F63" s="38" t="str">
        <f aca="false">INDEX(C_TAB,MATCH($B63,C_COD,0),5)</f>
        <v>Materia prima</v>
      </c>
      <c r="G63" s="38" t="str">
        <f aca="false">INDEX(C_TAB,MATCH($B63,C_COD,0),6)</f>
        <v>Cantilever de caños y barras</v>
      </c>
      <c r="H63" s="38"/>
      <c r="I63" s="38"/>
      <c r="J63" s="39" t="n">
        <f aca="false">SUM(J64:J64)</f>
        <v>4.25647392</v>
      </c>
      <c r="K63" s="39" t="n">
        <f aca="false">SUM(K64:K64)</f>
        <v>7.30776843125</v>
      </c>
      <c r="L63" s="39" t="n">
        <f aca="false">SUM(L64:L64)</f>
        <v>9.4010674975</v>
      </c>
      <c r="M63" s="39" t="n">
        <f aca="false">SUM(M64:M64)</f>
        <v>12.5662316125</v>
      </c>
      <c r="N63" s="39" t="n">
        <f aca="false">SUM(N64:N64)</f>
        <v>19.4845004375</v>
      </c>
      <c r="O63" s="39" t="n">
        <f aca="false">SUM(O64:O64)</f>
        <v>26.4918103375</v>
      </c>
      <c r="P63" s="39" t="n">
        <f aca="false">SUM(P64:P64)</f>
        <v>34.08352915</v>
      </c>
      <c r="Q63" s="39" t="n">
        <f aca="false">SUM(Q64:Q64)</f>
        <v>42.2310838375</v>
      </c>
      <c r="R63" s="39" t="n">
        <f aca="false">SUM(R64:R64)</f>
        <v>49.20342695</v>
      </c>
      <c r="S63" s="39" t="n">
        <f aca="false">SUM(S64:S64)</f>
        <v>56.65881665</v>
      </c>
      <c r="T63" s="39" t="n">
        <f aca="false">INDEX(J63:S63,INDEX(P_VAL,MATCH("AÑO_DIS",P_ID,0))-2025)</f>
        <v>56.65881665</v>
      </c>
      <c r="U63" s="38" t="str">
        <f aca="false">INDEX(C_TAB,MATCH($B63,C_COD,0),10)</f>
        <v>Barra de 4 m</v>
      </c>
      <c r="V63" s="38" t="n">
        <f aca="false">INDEX(C_TAB,MATCH($B63,C_COD,0),11)</f>
        <v>1</v>
      </c>
      <c r="W63" s="44" t="n">
        <f aca="false">ROUNDUP(T63/V63,0)</f>
        <v>57</v>
      </c>
      <c r="X63" s="38" t="str">
        <f aca="false">INDEX(C_TAB,MATCH($B63,C_COD,0),7)</f>
        <v>Vladimirsky</v>
      </c>
      <c r="Y63" s="38" t="n">
        <f aca="false">INDEX(C_TAB,MATCH($B63,C_COD,0),12)</f>
        <v>5</v>
      </c>
    </row>
    <row r="64" customFormat="false" ht="15" hidden="false" customHeight="false" outlineLevel="1" collapsed="false">
      <c r="A64" s="24" t="n">
        <v>1</v>
      </c>
      <c r="B64" s="24" t="s">
        <v>966</v>
      </c>
      <c r="C64" s="40" t="s">
        <v>3856</v>
      </c>
      <c r="D64" s="24"/>
      <c r="E64" s="24"/>
      <c r="F64" s="24"/>
      <c r="G64" s="24"/>
      <c r="H64" s="24" t="s">
        <v>244</v>
      </c>
      <c r="I64" s="24" t="s">
        <v>3857</v>
      </c>
      <c r="J64" s="42" t="n">
        <f aca="false">INSUMOS_DIRECTOS_RODANTES!H52</f>
        <v>4.25647392</v>
      </c>
      <c r="K64" s="42" t="n">
        <f aca="false">INSUMOS_DIRECTOS_RODANTES!I52</f>
        <v>7.30776843125</v>
      </c>
      <c r="L64" s="42" t="n">
        <f aca="false">INSUMOS_DIRECTOS_RODANTES!J52</f>
        <v>9.4010674975</v>
      </c>
      <c r="M64" s="42" t="n">
        <f aca="false">INSUMOS_DIRECTOS_RODANTES!K52</f>
        <v>12.5662316125</v>
      </c>
      <c r="N64" s="42" t="n">
        <f aca="false">INSUMOS_DIRECTOS_RODANTES!L52</f>
        <v>19.4845004375</v>
      </c>
      <c r="O64" s="42" t="n">
        <f aca="false">INSUMOS_DIRECTOS_RODANTES!M52</f>
        <v>26.4918103375</v>
      </c>
      <c r="P64" s="42" t="n">
        <f aca="false">INSUMOS_DIRECTOS_RODANTES!N52</f>
        <v>34.08352915</v>
      </c>
      <c r="Q64" s="42" t="n">
        <f aca="false">INSUMOS_DIRECTOS_RODANTES!O52</f>
        <v>42.2310838375</v>
      </c>
      <c r="R64" s="42" t="n">
        <f aca="false">INSUMOS_DIRECTOS_RODANTES!P52</f>
        <v>49.20342695</v>
      </c>
      <c r="S64" s="42" t="n">
        <f aca="false">INSUMOS_DIRECTOS_RODANTES!Q52</f>
        <v>56.65881665</v>
      </c>
      <c r="T64" s="42" t="n">
        <f aca="false">INDEX(J64:S64,INDEX(P_VAL,MATCH("AÑO_DIS",P_ID,0))-2025)</f>
        <v>56.65881665</v>
      </c>
      <c r="U64" s="24"/>
      <c r="V64" s="24"/>
      <c r="W64" s="24"/>
      <c r="X64" s="24"/>
      <c r="Y64" s="24"/>
    </row>
    <row r="65" customFormat="false" ht="15" hidden="false" customHeight="false" outlineLevel="0" collapsed="false">
      <c r="A65" s="38" t="n">
        <v>0</v>
      </c>
      <c r="B65" s="38" t="s">
        <v>1081</v>
      </c>
      <c r="C65" s="38" t="str">
        <f aca="false">INDEX(C_TAB,MATCH($B65,C_COD,0),2)</f>
        <v>Barra trefilada SAE 1045 1" × 6 m (eje 50 a 100 kg)</v>
      </c>
      <c r="D65" s="38" t="str">
        <f aca="false">INDEX(C_TAB,MATCH($B65,C_COD,0),3)</f>
        <v>barra</v>
      </c>
      <c r="E65" s="38" t="str">
        <f aca="false">INDEX(C_TAB,MATCH($B65,C_COD,0),4)</f>
        <v>Directo</v>
      </c>
      <c r="F65" s="38" t="str">
        <f aca="false">INDEX(C_TAB,MATCH($B65,C_COD,0),5)</f>
        <v>Materia prima</v>
      </c>
      <c r="G65" s="38" t="str">
        <f aca="false">INDEX(C_TAB,MATCH($B65,C_COD,0),6)</f>
        <v>Cantilever de caños y barras</v>
      </c>
      <c r="H65" s="38"/>
      <c r="I65" s="38"/>
      <c r="J65" s="39" t="n">
        <f aca="false">SUM(J66:J67)</f>
        <v>9.72541067263636</v>
      </c>
      <c r="K65" s="39" t="n">
        <f aca="false">SUM(K66:K67)</f>
        <v>16.5607649242727</v>
      </c>
      <c r="L65" s="39" t="n">
        <f aca="false">SUM(L66:L67)</f>
        <v>21.5406639252727</v>
      </c>
      <c r="M65" s="39" t="n">
        <f aca="false">SUM(M66:M67)</f>
        <v>28.7447224622727</v>
      </c>
      <c r="N65" s="39" t="n">
        <f aca="false">SUM(N66:N67)</f>
        <v>44.3693718880909</v>
      </c>
      <c r="O65" s="39" t="n">
        <f aca="false">SUM(O66:O67)</f>
        <v>60.0893824351818</v>
      </c>
      <c r="P65" s="39" t="n">
        <f aca="false">SUM(P66:P67)</f>
        <v>77.0361961873636</v>
      </c>
      <c r="Q65" s="39" t="n">
        <f aca="false">SUM(Q66:Q67)</f>
        <v>95.1326277954546</v>
      </c>
      <c r="R65" s="39" t="n">
        <f aca="false">SUM(R66:R67)</f>
        <v>110.769312731818</v>
      </c>
      <c r="S65" s="39" t="n">
        <f aca="false">SUM(S66:S67)</f>
        <v>127.297112941818</v>
      </c>
      <c r="T65" s="39" t="n">
        <f aca="false">INDEX(J65:S65,INDEX(P_VAL,MATCH("AÑO_DIS",P_ID,0))-2025)</f>
        <v>127.297112941818</v>
      </c>
      <c r="U65" s="38" t="str">
        <f aca="false">INDEX(C_TAB,MATCH($B65,C_COD,0),10)</f>
        <v>Barra de 6 m</v>
      </c>
      <c r="V65" s="38" t="n">
        <f aca="false">INDEX(C_TAB,MATCH($B65,C_COD,0),11)</f>
        <v>1</v>
      </c>
      <c r="W65" s="44" t="n">
        <f aca="false">ROUNDUP(T65/V65,0)</f>
        <v>128</v>
      </c>
      <c r="X65" s="38" t="str">
        <f aca="false">INDEX(C_TAB,MATCH($B65,C_COD,0),7)</f>
        <v>Vladimirsky</v>
      </c>
      <c r="Y65" s="38" t="n">
        <f aca="false">INDEX(C_TAB,MATCH($B65,C_COD,0),12)</f>
        <v>5</v>
      </c>
    </row>
    <row r="66" customFormat="false" ht="15" hidden="false" customHeight="false" outlineLevel="1" collapsed="false">
      <c r="A66" s="24" t="n">
        <v>1</v>
      </c>
      <c r="B66" s="24" t="s">
        <v>1081</v>
      </c>
      <c r="C66" s="40" t="s">
        <v>3856</v>
      </c>
      <c r="D66" s="24"/>
      <c r="E66" s="24"/>
      <c r="F66" s="24"/>
      <c r="G66" s="24"/>
      <c r="H66" s="24" t="s">
        <v>244</v>
      </c>
      <c r="I66" s="24" t="s">
        <v>3857</v>
      </c>
      <c r="J66" s="42" t="n">
        <f aca="false">INSUMOS_DIRECTOS_RODANTES!H54</f>
        <v>9.53450158172727</v>
      </c>
      <c r="K66" s="42" t="n">
        <f aca="false">INSUMOS_DIRECTOS_RODANTES!I54</f>
        <v>16.3694012879091</v>
      </c>
      <c r="L66" s="42" t="n">
        <f aca="false">INSUMOS_DIRECTOS_RODANTES!J54</f>
        <v>21.058391198</v>
      </c>
      <c r="M66" s="42" t="n">
        <f aca="false">INSUMOS_DIRECTOS_RODANTES!K54</f>
        <v>28.1483588259091</v>
      </c>
      <c r="N66" s="42" t="n">
        <f aca="false">INSUMOS_DIRECTOS_RODANTES!L54</f>
        <v>43.645280979</v>
      </c>
      <c r="O66" s="42" t="n">
        <f aca="false">INSUMOS_DIRECTOS_RODANTES!M54</f>
        <v>59.3416551624545</v>
      </c>
      <c r="P66" s="42" t="n">
        <f aca="false">INSUMOS_DIRECTOS_RODANTES!N54</f>
        <v>76.3471052782727</v>
      </c>
      <c r="Q66" s="42" t="n">
        <f aca="false">INSUMOS_DIRECTOS_RODANTES!O54</f>
        <v>94.5976277954546</v>
      </c>
      <c r="R66" s="42" t="n">
        <f aca="false">INSUMOS_DIRECTOS_RODANTES!P54</f>
        <v>110.215676368182</v>
      </c>
      <c r="S66" s="42" t="n">
        <f aca="false">INSUMOS_DIRECTOS_RODANTES!Q54</f>
        <v>126.915749305455</v>
      </c>
      <c r="T66" s="42" t="n">
        <f aca="false">INDEX(J66:S66,INDEX(P_VAL,MATCH("AÑO_DIS",P_ID,0))-2025)</f>
        <v>126.915749305455</v>
      </c>
      <c r="U66" s="24"/>
      <c r="V66" s="24"/>
      <c r="W66" s="24"/>
      <c r="X66" s="24"/>
      <c r="Y66" s="24"/>
    </row>
    <row r="67" customFormat="false" ht="15" hidden="false" customHeight="false" outlineLevel="1" collapsed="false">
      <c r="A67" s="24" t="n">
        <v>1</v>
      </c>
      <c r="B67" s="24" t="s">
        <v>1081</v>
      </c>
      <c r="C67" s="40" t="s">
        <v>3854</v>
      </c>
      <c r="D67" s="24"/>
      <c r="E67" s="24"/>
      <c r="F67" s="24"/>
      <c r="G67" s="24"/>
      <c r="H67" s="24" t="s">
        <v>132</v>
      </c>
      <c r="I67" s="24" t="s">
        <v>3855</v>
      </c>
      <c r="J67" s="42" t="n">
        <f aca="false">INSUMOS_DIRECTOS_RECARGAS!H39</f>
        <v>0.190909090909091</v>
      </c>
      <c r="K67" s="42" t="n">
        <f aca="false">INSUMOS_DIRECTOS_RECARGAS!I39</f>
        <v>0.191363636363636</v>
      </c>
      <c r="L67" s="42" t="n">
        <f aca="false">INSUMOS_DIRECTOS_RECARGAS!J39</f>
        <v>0.482272727272727</v>
      </c>
      <c r="M67" s="42" t="n">
        <f aca="false">INSUMOS_DIRECTOS_RECARGAS!K39</f>
        <v>0.596363636363636</v>
      </c>
      <c r="N67" s="42" t="n">
        <f aca="false">INSUMOS_DIRECTOS_RECARGAS!L39</f>
        <v>0.724090909090909</v>
      </c>
      <c r="O67" s="42" t="n">
        <f aca="false">INSUMOS_DIRECTOS_RECARGAS!M39</f>
        <v>0.747727272727273</v>
      </c>
      <c r="P67" s="42" t="n">
        <f aca="false">INSUMOS_DIRECTOS_RECARGAS!N39</f>
        <v>0.689090909090909</v>
      </c>
      <c r="Q67" s="42" t="n">
        <f aca="false">INSUMOS_DIRECTOS_RECARGAS!O39</f>
        <v>0.535</v>
      </c>
      <c r="R67" s="42" t="n">
        <f aca="false">INSUMOS_DIRECTOS_RECARGAS!P39</f>
        <v>0.553636363636364</v>
      </c>
      <c r="S67" s="42" t="n">
        <f aca="false">INSUMOS_DIRECTOS_RECARGAS!Q39</f>
        <v>0.381363636363636</v>
      </c>
      <c r="T67" s="42" t="n">
        <f aca="false">INDEX(J67:S67,INDEX(P_VAL,MATCH("AÑO_DIS",P_ID,0))-2025)</f>
        <v>0.381363636363636</v>
      </c>
      <c r="U67" s="24"/>
      <c r="V67" s="24"/>
      <c r="W67" s="24"/>
      <c r="X67" s="24"/>
      <c r="Y67" s="24"/>
    </row>
    <row r="68" customFormat="false" ht="15" hidden="false" customHeight="false" outlineLevel="0" collapsed="false">
      <c r="A68" s="38" t="n">
        <v>0</v>
      </c>
      <c r="B68" s="38" t="s">
        <v>971</v>
      </c>
      <c r="C68" s="38" t="str">
        <f aca="false">INDEX(C_TAB,MATCH($B68,C_COD,0),2)</f>
        <v>Arandela de tope del eje del carro</v>
      </c>
      <c r="D68" s="38" t="str">
        <f aca="false">INDEX(C_TAB,MATCH($B68,C_COD,0),3)</f>
        <v>u</v>
      </c>
      <c r="E68" s="38" t="str">
        <f aca="false">INDEX(C_TAB,MATCH($B68,C_COD,0),4)</f>
        <v>Directo</v>
      </c>
      <c r="F68" s="38" t="str">
        <f aca="false">INDEX(C_TAB,MATCH($B68,C_COD,0),5)</f>
        <v>Componente comprado</v>
      </c>
      <c r="G68" s="38" t="str">
        <f aca="false">INDEX(C_TAB,MATCH($B68,C_COD,0),6)</f>
        <v>Rack de insumos de montaje (carros)</v>
      </c>
      <c r="H68" s="38"/>
      <c r="I68" s="38"/>
      <c r="J68" s="39" t="n">
        <f aca="false">SUM(J69:J70)</f>
        <v>552.8286618</v>
      </c>
      <c r="K68" s="39" t="n">
        <f aca="false">SUM(K69:K70)</f>
        <v>943.79435928</v>
      </c>
      <c r="L68" s="39" t="n">
        <f aca="false">SUM(L69:L70)</f>
        <v>1224.13663984</v>
      </c>
      <c r="M68" s="39" t="n">
        <f aca="false">SUM(M69:M70)</f>
        <v>1634.277647</v>
      </c>
      <c r="N68" s="39" t="n">
        <f aca="false">SUM(N69:N70)</f>
        <v>2525.01605596</v>
      </c>
      <c r="O68" s="39" t="n">
        <f aca="false">SUM(O69:O70)</f>
        <v>3423.35172348</v>
      </c>
      <c r="P68" s="39" t="n">
        <f aca="false">SUM(P69:P70)</f>
        <v>4392.49173044</v>
      </c>
      <c r="Q68" s="39" t="n">
        <f aca="false">SUM(Q69:Q70)</f>
        <v>5428.5787312</v>
      </c>
      <c r="R68" s="39" t="n">
        <f aca="false">SUM(R69:R70)</f>
        <v>6321.8386496</v>
      </c>
      <c r="S68" s="39" t="n">
        <f aca="false">SUM(S69:S70)</f>
        <v>7268.9285316</v>
      </c>
      <c r="T68" s="39" t="n">
        <f aca="false">INDEX(J68:S68,INDEX(P_VAL,MATCH("AÑO_DIS",P_ID,0))-2025)</f>
        <v>7268.9285316</v>
      </c>
      <c r="U68" s="38" t="str">
        <f aca="false">INDEX(C_TAB,MATCH($B68,C_COD,0),10)</f>
        <v>Bolsa de 100 u</v>
      </c>
      <c r="V68" s="38" t="n">
        <f aca="false">INDEX(C_TAB,MATCH($B68,C_COD,0),11)</f>
        <v>100</v>
      </c>
      <c r="W68" s="44" t="n">
        <f aca="false">ROUNDUP(T68/V68,0)</f>
        <v>73</v>
      </c>
      <c r="X68" s="38" t="str">
        <f aca="false">INDEX(C_TAB,MATCH($B68,C_COD,0),7)</f>
        <v>Hierros Parrotta</v>
      </c>
      <c r="Y68" s="38" t="n">
        <f aca="false">INDEX(C_TAB,MATCH($B68,C_COD,0),12)</f>
        <v>5</v>
      </c>
    </row>
    <row r="69" customFormat="false" ht="15" hidden="false" customHeight="false" outlineLevel="1" collapsed="false">
      <c r="A69" s="24" t="n">
        <v>1</v>
      </c>
      <c r="B69" s="24" t="s">
        <v>971</v>
      </c>
      <c r="C69" s="40" t="s">
        <v>3856</v>
      </c>
      <c r="D69" s="24"/>
      <c r="E69" s="24"/>
      <c r="F69" s="24"/>
      <c r="G69" s="24"/>
      <c r="H69" s="24" t="s">
        <v>244</v>
      </c>
      <c r="I69" s="24" t="s">
        <v>3857</v>
      </c>
      <c r="J69" s="42" t="n">
        <f aca="false">INSUMOS_DIRECTOS_RODANTES!H58</f>
        <v>544.8286618</v>
      </c>
      <c r="K69" s="42" t="n">
        <f aca="false">INSUMOS_DIRECTOS_RODANTES!I58</f>
        <v>935.39435928</v>
      </c>
      <c r="L69" s="42" t="n">
        <f aca="false">INSUMOS_DIRECTOS_RODANTES!J58</f>
        <v>1203.33663984</v>
      </c>
      <c r="M69" s="42" t="n">
        <f aca="false">INSUMOS_DIRECTOS_RODANTES!K58</f>
        <v>1608.477647</v>
      </c>
      <c r="N69" s="42" t="n">
        <f aca="false">INSUMOS_DIRECTOS_RODANTES!L58</f>
        <v>2494.01605596</v>
      </c>
      <c r="O69" s="42" t="n">
        <f aca="false">INSUMOS_DIRECTOS_RODANTES!M58</f>
        <v>3390.95172348</v>
      </c>
      <c r="P69" s="42" t="n">
        <f aca="false">INSUMOS_DIRECTOS_RODANTES!N58</f>
        <v>4362.69173044</v>
      </c>
      <c r="Q69" s="42" t="n">
        <f aca="false">INSUMOS_DIRECTOS_RODANTES!O58</f>
        <v>5405.5787312</v>
      </c>
      <c r="R69" s="42" t="n">
        <f aca="false">INSUMOS_DIRECTOS_RODANTES!P58</f>
        <v>6298.0386496</v>
      </c>
      <c r="S69" s="42" t="n">
        <f aca="false">INSUMOS_DIRECTOS_RODANTES!Q58</f>
        <v>7252.3285316</v>
      </c>
      <c r="T69" s="42" t="n">
        <f aca="false">INDEX(J69:S69,INDEX(P_VAL,MATCH("AÑO_DIS",P_ID,0))-2025)</f>
        <v>7252.3285316</v>
      </c>
      <c r="U69" s="24"/>
      <c r="V69" s="24"/>
      <c r="W69" s="24"/>
      <c r="X69" s="24"/>
      <c r="Y69" s="24"/>
    </row>
    <row r="70" customFormat="false" ht="15" hidden="false" customHeight="false" outlineLevel="1" collapsed="false">
      <c r="A70" s="24" t="n">
        <v>1</v>
      </c>
      <c r="B70" s="24" t="s">
        <v>971</v>
      </c>
      <c r="C70" s="40" t="s">
        <v>3854</v>
      </c>
      <c r="D70" s="24"/>
      <c r="E70" s="24"/>
      <c r="F70" s="24"/>
      <c r="G70" s="24"/>
      <c r="H70" s="24" t="s">
        <v>132</v>
      </c>
      <c r="I70" s="24" t="s">
        <v>3855</v>
      </c>
      <c r="J70" s="42" t="n">
        <f aca="false">INSUMOS_DIRECTOS_RECARGAS!H42</f>
        <v>8</v>
      </c>
      <c r="K70" s="42" t="n">
        <f aca="false">INSUMOS_DIRECTOS_RECARGAS!I42</f>
        <v>8.4</v>
      </c>
      <c r="L70" s="42" t="n">
        <f aca="false">INSUMOS_DIRECTOS_RECARGAS!J42</f>
        <v>20.8</v>
      </c>
      <c r="M70" s="42" t="n">
        <f aca="false">INSUMOS_DIRECTOS_RECARGAS!K42</f>
        <v>25.8</v>
      </c>
      <c r="N70" s="42" t="n">
        <f aca="false">INSUMOS_DIRECTOS_RECARGAS!L42</f>
        <v>31</v>
      </c>
      <c r="O70" s="42" t="n">
        <f aca="false">INSUMOS_DIRECTOS_RECARGAS!M42</f>
        <v>32.4</v>
      </c>
      <c r="P70" s="42" t="n">
        <f aca="false">INSUMOS_DIRECTOS_RECARGAS!N42</f>
        <v>29.8</v>
      </c>
      <c r="Q70" s="42" t="n">
        <f aca="false">INSUMOS_DIRECTOS_RECARGAS!O42</f>
        <v>23</v>
      </c>
      <c r="R70" s="42" t="n">
        <f aca="false">INSUMOS_DIRECTOS_RECARGAS!P42</f>
        <v>23.8</v>
      </c>
      <c r="S70" s="42" t="n">
        <f aca="false">INSUMOS_DIRECTOS_RECARGAS!Q42</f>
        <v>16.6</v>
      </c>
      <c r="T70" s="42" t="n">
        <f aca="false">INDEX(J70:S70,INDEX(P_VAL,MATCH("AÑO_DIS",P_ID,0))-2025)</f>
        <v>16.6</v>
      </c>
      <c r="U70" s="24"/>
      <c r="V70" s="24"/>
      <c r="W70" s="24"/>
      <c r="X70" s="24"/>
      <c r="Y70" s="24"/>
    </row>
    <row r="71" customFormat="false" ht="15" hidden="false" customHeight="false" outlineLevel="0" collapsed="false">
      <c r="A71" s="38" t="n">
        <v>0</v>
      </c>
      <c r="B71" s="38" t="s">
        <v>976</v>
      </c>
      <c r="C71" s="38" t="str">
        <f aca="false">INDEX(C_TAB,MATCH($B71,C_COD,0),2)</f>
        <v>Pasador partido del eje del carro</v>
      </c>
      <c r="D71" s="38" t="str">
        <f aca="false">INDEX(C_TAB,MATCH($B71,C_COD,0),3)</f>
        <v>u</v>
      </c>
      <c r="E71" s="38" t="str">
        <f aca="false">INDEX(C_TAB,MATCH($B71,C_COD,0),4)</f>
        <v>Directo</v>
      </c>
      <c r="F71" s="38" t="str">
        <f aca="false">INDEX(C_TAB,MATCH($B71,C_COD,0),5)</f>
        <v>Componente comprado</v>
      </c>
      <c r="G71" s="38" t="str">
        <f aca="false">INDEX(C_TAB,MATCH($B71,C_COD,0),6)</f>
        <v>Rack de insumos de montaje (carros)</v>
      </c>
      <c r="H71" s="38"/>
      <c r="I71" s="38"/>
      <c r="J71" s="39" t="n">
        <f aca="false">SUM(J72:J73)</f>
        <v>276.4143309</v>
      </c>
      <c r="K71" s="39" t="n">
        <f aca="false">SUM(K72:K73)</f>
        <v>471.89717964</v>
      </c>
      <c r="L71" s="39" t="n">
        <f aca="false">SUM(L72:L73)</f>
        <v>612.06831992</v>
      </c>
      <c r="M71" s="39" t="n">
        <f aca="false">SUM(M72:M73)</f>
        <v>817.1388235</v>
      </c>
      <c r="N71" s="39" t="n">
        <f aca="false">SUM(N72:N73)</f>
        <v>1262.50802798</v>
      </c>
      <c r="O71" s="39" t="n">
        <f aca="false">SUM(O72:O73)</f>
        <v>1711.67586174</v>
      </c>
      <c r="P71" s="39" t="n">
        <f aca="false">SUM(P72:P73)</f>
        <v>2196.24586522</v>
      </c>
      <c r="Q71" s="39" t="n">
        <f aca="false">SUM(Q72:Q73)</f>
        <v>2714.2893656</v>
      </c>
      <c r="R71" s="39" t="n">
        <f aca="false">SUM(R72:R73)</f>
        <v>3160.9193248</v>
      </c>
      <c r="S71" s="39" t="n">
        <f aca="false">SUM(S72:S73)</f>
        <v>3634.4642658</v>
      </c>
      <c r="T71" s="39" t="n">
        <f aca="false">INDEX(J71:S71,INDEX(P_VAL,MATCH("AÑO_DIS",P_ID,0))-2025)</f>
        <v>3634.4642658</v>
      </c>
      <c r="U71" s="38" t="str">
        <f aca="false">INDEX(C_TAB,MATCH($B71,C_COD,0),10)</f>
        <v>Bolsa de 100 u</v>
      </c>
      <c r="V71" s="38" t="n">
        <f aca="false">INDEX(C_TAB,MATCH($B71,C_COD,0),11)</f>
        <v>100</v>
      </c>
      <c r="W71" s="44" t="n">
        <f aca="false">ROUNDUP(T71/V71,0)</f>
        <v>37</v>
      </c>
      <c r="X71" s="38" t="str">
        <f aca="false">INDEX(C_TAB,MATCH($B71,C_COD,0),7)</f>
        <v>Hierros Parrotta</v>
      </c>
      <c r="Y71" s="38" t="n">
        <f aca="false">INDEX(C_TAB,MATCH($B71,C_COD,0),12)</f>
        <v>5</v>
      </c>
    </row>
    <row r="72" customFormat="false" ht="15" hidden="false" customHeight="false" outlineLevel="1" collapsed="false">
      <c r="A72" s="24" t="n">
        <v>1</v>
      </c>
      <c r="B72" s="24" t="s">
        <v>976</v>
      </c>
      <c r="C72" s="40" t="s">
        <v>3856</v>
      </c>
      <c r="D72" s="24"/>
      <c r="E72" s="24"/>
      <c r="F72" s="24"/>
      <c r="G72" s="24"/>
      <c r="H72" s="24" t="s">
        <v>244</v>
      </c>
      <c r="I72" s="24" t="s">
        <v>3857</v>
      </c>
      <c r="J72" s="42" t="n">
        <f aca="false">INSUMOS_DIRECTOS_RODANTES!H63</f>
        <v>272.4143309</v>
      </c>
      <c r="K72" s="42" t="n">
        <f aca="false">INSUMOS_DIRECTOS_RODANTES!I63</f>
        <v>467.69717964</v>
      </c>
      <c r="L72" s="42" t="n">
        <f aca="false">INSUMOS_DIRECTOS_RODANTES!J63</f>
        <v>601.66831992</v>
      </c>
      <c r="M72" s="42" t="n">
        <f aca="false">INSUMOS_DIRECTOS_RODANTES!K63</f>
        <v>804.2388235</v>
      </c>
      <c r="N72" s="42" t="n">
        <f aca="false">INSUMOS_DIRECTOS_RODANTES!L63</f>
        <v>1247.00802798</v>
      </c>
      <c r="O72" s="42" t="n">
        <f aca="false">INSUMOS_DIRECTOS_RODANTES!M63</f>
        <v>1695.47586174</v>
      </c>
      <c r="P72" s="42" t="n">
        <f aca="false">INSUMOS_DIRECTOS_RODANTES!N63</f>
        <v>2181.34586522</v>
      </c>
      <c r="Q72" s="42" t="n">
        <f aca="false">INSUMOS_DIRECTOS_RODANTES!O63</f>
        <v>2702.7893656</v>
      </c>
      <c r="R72" s="42" t="n">
        <f aca="false">INSUMOS_DIRECTOS_RODANTES!P63</f>
        <v>3149.0193248</v>
      </c>
      <c r="S72" s="42" t="n">
        <f aca="false">INSUMOS_DIRECTOS_RODANTES!Q63</f>
        <v>3626.1642658</v>
      </c>
      <c r="T72" s="42" t="n">
        <f aca="false">INDEX(J72:S72,INDEX(P_VAL,MATCH("AÑO_DIS",P_ID,0))-2025)</f>
        <v>3626.1642658</v>
      </c>
      <c r="U72" s="24"/>
      <c r="V72" s="24"/>
      <c r="W72" s="24"/>
      <c r="X72" s="24"/>
      <c r="Y72" s="24"/>
    </row>
    <row r="73" customFormat="false" ht="15" hidden="false" customHeight="false" outlineLevel="1" collapsed="false">
      <c r="A73" s="24" t="n">
        <v>1</v>
      </c>
      <c r="B73" s="24" t="s">
        <v>976</v>
      </c>
      <c r="C73" s="40" t="s">
        <v>3854</v>
      </c>
      <c r="D73" s="24"/>
      <c r="E73" s="24"/>
      <c r="F73" s="24"/>
      <c r="G73" s="24"/>
      <c r="H73" s="24" t="s">
        <v>132</v>
      </c>
      <c r="I73" s="24" t="s">
        <v>3855</v>
      </c>
      <c r="J73" s="42" t="n">
        <f aca="false">INSUMOS_DIRECTOS_RECARGAS!H45</f>
        <v>4</v>
      </c>
      <c r="K73" s="42" t="n">
        <f aca="false">INSUMOS_DIRECTOS_RECARGAS!I45</f>
        <v>4.2</v>
      </c>
      <c r="L73" s="42" t="n">
        <f aca="false">INSUMOS_DIRECTOS_RECARGAS!J45</f>
        <v>10.4</v>
      </c>
      <c r="M73" s="42" t="n">
        <f aca="false">INSUMOS_DIRECTOS_RECARGAS!K45</f>
        <v>12.9</v>
      </c>
      <c r="N73" s="42" t="n">
        <f aca="false">INSUMOS_DIRECTOS_RECARGAS!L45</f>
        <v>15.5</v>
      </c>
      <c r="O73" s="42" t="n">
        <f aca="false">INSUMOS_DIRECTOS_RECARGAS!M45</f>
        <v>16.2</v>
      </c>
      <c r="P73" s="42" t="n">
        <f aca="false">INSUMOS_DIRECTOS_RECARGAS!N45</f>
        <v>14.9</v>
      </c>
      <c r="Q73" s="42" t="n">
        <f aca="false">INSUMOS_DIRECTOS_RECARGAS!O45</f>
        <v>11.5</v>
      </c>
      <c r="R73" s="42" t="n">
        <f aca="false">INSUMOS_DIRECTOS_RECARGAS!P45</f>
        <v>11.9</v>
      </c>
      <c r="S73" s="42" t="n">
        <f aca="false">INSUMOS_DIRECTOS_RECARGAS!Q45</f>
        <v>8.3</v>
      </c>
      <c r="T73" s="42" t="n">
        <f aca="false">INDEX(J73:S73,INDEX(P_VAL,MATCH("AÑO_DIS",P_ID,0))-2025)</f>
        <v>8.3</v>
      </c>
      <c r="U73" s="24"/>
      <c r="V73" s="24"/>
      <c r="W73" s="24"/>
      <c r="X73" s="24"/>
      <c r="Y73" s="24"/>
    </row>
    <row r="74" customFormat="false" ht="15" hidden="false" customHeight="false" outlineLevel="0" collapsed="false">
      <c r="A74" s="38" t="n">
        <v>0</v>
      </c>
      <c r="B74" s="38" t="s">
        <v>568</v>
      </c>
      <c r="C74" s="38" t="str">
        <f aca="false">INDEX(C_TAB,MATCH($B74,C_COD,0),2)</f>
        <v>Polvo ABC 60 (IRAM 3569), manuales y sus recargas</v>
      </c>
      <c r="D74" s="38" t="str">
        <f aca="false">INDEX(C_TAB,MATCH($B74,C_COD,0),3)</f>
        <v>kg</v>
      </c>
      <c r="E74" s="38" t="str">
        <f aca="false">INDEX(C_TAB,MATCH($B74,C_COD,0),4)</f>
        <v>Directo</v>
      </c>
      <c r="F74" s="38" t="str">
        <f aca="false">INDEX(C_TAB,MATCH($B74,C_COD,0),5)</f>
        <v>Materia prima</v>
      </c>
      <c r="G74" s="38" t="str">
        <f aca="false">INDEX(C_TAB,MATCH($B74,C_COD,0),6)</f>
        <v>Depósito de polvo químico</v>
      </c>
      <c r="H74" s="38"/>
      <c r="I74" s="38"/>
      <c r="J74" s="39" t="n">
        <f aca="false">SUM(J75:J76)</f>
        <v>21828.2371697274</v>
      </c>
      <c r="K74" s="39" t="n">
        <f aca="false">SUM(K75:K76)</f>
        <v>44720.0402121899</v>
      </c>
      <c r="L74" s="39" t="n">
        <f aca="false">SUM(L75:L76)</f>
        <v>62262.212474615</v>
      </c>
      <c r="M74" s="39" t="n">
        <f aca="false">SUM(M75:M76)</f>
        <v>93753.7552270406</v>
      </c>
      <c r="N74" s="39" t="n">
        <f aca="false">SUM(N75:N76)</f>
        <v>133823.159106867</v>
      </c>
      <c r="O74" s="39" t="n">
        <f aca="false">SUM(O75:O76)</f>
        <v>175234.646431762</v>
      </c>
      <c r="P74" s="39" t="n">
        <f aca="false">SUM(P75:P76)</f>
        <v>214882.63555748</v>
      </c>
      <c r="Q74" s="39" t="n">
        <f aca="false">SUM(Q75:Q76)</f>
        <v>248687.41575922</v>
      </c>
      <c r="R74" s="39" t="n">
        <f aca="false">SUM(R75:R76)</f>
        <v>274889.333210389</v>
      </c>
      <c r="S74" s="39" t="n">
        <f aca="false">SUM(S75:S76)</f>
        <v>308494.17661916</v>
      </c>
      <c r="T74" s="39" t="n">
        <f aca="false">INDEX(J74:S74,INDEX(P_VAL,MATCH("AÑO_DIS",P_ID,0))-2025)</f>
        <v>308494.17661916</v>
      </c>
      <c r="U74" s="38" t="str">
        <f aca="false">INDEX(C_TAB,MATCH($B74,C_COD,0),10)</f>
        <v>Big bag de 1.000 kg</v>
      </c>
      <c r="V74" s="38" t="n">
        <f aca="false">INDEX(C_TAB,MATCH($B74,C_COD,0),11)</f>
        <v>1000</v>
      </c>
      <c r="W74" s="44" t="n">
        <f aca="false">ROUNDUP(T74/V74,0)</f>
        <v>309</v>
      </c>
      <c r="X74" s="38" t="str">
        <f aca="false">INDEX(C_TAB,MATCH($B74,C_COD,0),7)</f>
        <v>DEMSA</v>
      </c>
      <c r="Y74" s="38" t="n">
        <f aca="false">INDEX(C_TAB,MATCH($B74,C_COD,0),12)</f>
        <v>7</v>
      </c>
    </row>
    <row r="75" customFormat="false" ht="15" hidden="false" customHeight="false" outlineLevel="1" collapsed="false">
      <c r="A75" s="24" t="n">
        <v>1</v>
      </c>
      <c r="B75" s="24" t="s">
        <v>568</v>
      </c>
      <c r="C75" s="40" t="s">
        <v>3852</v>
      </c>
      <c r="D75" s="24"/>
      <c r="E75" s="24"/>
      <c r="F75" s="24"/>
      <c r="G75" s="24"/>
      <c r="H75" s="24" t="s">
        <v>229</v>
      </c>
      <c r="I75" s="24" t="s">
        <v>3853</v>
      </c>
      <c r="J75" s="42" t="n">
        <f aca="false">INSUMOS_DIRECTOS_MANUALES!H49</f>
        <v>20227.7130388124</v>
      </c>
      <c r="K75" s="42" t="n">
        <f aca="false">INSUMOS_DIRECTOS_MANUALES!I49</f>
        <v>38223.1222274977</v>
      </c>
      <c r="L75" s="42" t="n">
        <f aca="false">INSUMOS_DIRECTOS_MANUALES!J49</f>
        <v>49459.651420414</v>
      </c>
      <c r="M75" s="42" t="n">
        <f aca="false">INSUMOS_DIRECTOS_MANUALES!K49</f>
        <v>69970.9532626872</v>
      </c>
      <c r="N75" s="42" t="n">
        <f aca="false">INSUMOS_DIRECTOS_MANUALES!L49</f>
        <v>100168.653879881</v>
      </c>
      <c r="O75" s="42" t="n">
        <f aca="false">INSUMOS_DIRECTOS_MANUALES!M49</f>
        <v>130402.201078417</v>
      </c>
      <c r="P75" s="42" t="n">
        <f aca="false">INSUMOS_DIRECTOS_MANUALES!N49</f>
        <v>160502.511999119</v>
      </c>
      <c r="Q75" s="42" t="n">
        <f aca="false">INSUMOS_DIRECTOS_MANUALES!O49</f>
        <v>188615.872736632</v>
      </c>
      <c r="R75" s="42" t="n">
        <f aca="false">INSUMOS_DIRECTOS_MANUALES!P49</f>
        <v>211069.660970723</v>
      </c>
      <c r="S75" s="42" t="n">
        <f aca="false">INSUMOS_DIRECTOS_MANUALES!Q49</f>
        <v>240113.338313836</v>
      </c>
      <c r="T75" s="42" t="n">
        <f aca="false">INDEX(J75:S75,INDEX(P_VAL,MATCH("AÑO_DIS",P_ID,0))-2025)</f>
        <v>240113.338313836</v>
      </c>
      <c r="U75" s="24"/>
      <c r="V75" s="24"/>
      <c r="W75" s="24"/>
      <c r="X75" s="24"/>
      <c r="Y75" s="24"/>
    </row>
    <row r="76" customFormat="false" ht="15" hidden="false" customHeight="false" outlineLevel="1" collapsed="false">
      <c r="A76" s="24" t="n">
        <v>1</v>
      </c>
      <c r="B76" s="24" t="s">
        <v>568</v>
      </c>
      <c r="C76" s="40" t="s">
        <v>3854</v>
      </c>
      <c r="D76" s="24"/>
      <c r="E76" s="24"/>
      <c r="F76" s="24"/>
      <c r="G76" s="24"/>
      <c r="H76" s="24" t="s">
        <v>132</v>
      </c>
      <c r="I76" s="24" t="s">
        <v>3855</v>
      </c>
      <c r="J76" s="42" t="n">
        <f aca="false">INSUMOS_DIRECTOS_RECARGAS!H48</f>
        <v>1600.52413091501</v>
      </c>
      <c r="K76" s="42" t="n">
        <f aca="false">INSUMOS_DIRECTOS_RECARGAS!I48</f>
        <v>6496.91798469224</v>
      </c>
      <c r="L76" s="42" t="n">
        <f aca="false">INSUMOS_DIRECTOS_RECARGAS!J48</f>
        <v>12802.561054201</v>
      </c>
      <c r="M76" s="42" t="n">
        <f aca="false">INSUMOS_DIRECTOS_RECARGAS!K48</f>
        <v>23782.8019643535</v>
      </c>
      <c r="N76" s="42" t="n">
        <f aca="false">INSUMOS_DIRECTOS_RECARGAS!L48</f>
        <v>33654.505226986</v>
      </c>
      <c r="O76" s="42" t="n">
        <f aca="false">INSUMOS_DIRECTOS_RECARGAS!M48</f>
        <v>44832.4453533451</v>
      </c>
      <c r="P76" s="42" t="n">
        <f aca="false">INSUMOS_DIRECTOS_RECARGAS!N48</f>
        <v>54380.1235583609</v>
      </c>
      <c r="Q76" s="42" t="n">
        <f aca="false">INSUMOS_DIRECTOS_RECARGAS!O48</f>
        <v>60071.543022588</v>
      </c>
      <c r="R76" s="42" t="n">
        <f aca="false">INSUMOS_DIRECTOS_RECARGAS!P48</f>
        <v>63819.6722396666</v>
      </c>
      <c r="S76" s="42" t="n">
        <f aca="false">INSUMOS_DIRECTOS_RECARGAS!Q48</f>
        <v>68380.8383053248</v>
      </c>
      <c r="T76" s="42" t="n">
        <f aca="false">INDEX(J76:S76,INDEX(P_VAL,MATCH("AÑO_DIS",P_ID,0))-2025)</f>
        <v>68380.8383053248</v>
      </c>
      <c r="U76" s="24"/>
      <c r="V76" s="24"/>
      <c r="W76" s="24"/>
      <c r="X76" s="24"/>
      <c r="Y76" s="24"/>
    </row>
    <row r="77" customFormat="false" ht="15" hidden="false" customHeight="false" outlineLevel="0" collapsed="false">
      <c r="A77" s="38" t="n">
        <v>0</v>
      </c>
      <c r="B77" s="38" t="s">
        <v>988</v>
      </c>
      <c r="C77" s="38" t="str">
        <f aca="false">INDEX(C_TAB,MATCH($B77,C_COD,0),2)</f>
        <v>Polvo ABC 90 (IRAM 3569), rodantes y sus recargas</v>
      </c>
      <c r="D77" s="38" t="str">
        <f aca="false">INDEX(C_TAB,MATCH($B77,C_COD,0),3)</f>
        <v>kg</v>
      </c>
      <c r="E77" s="38" t="str">
        <f aca="false">INDEX(C_TAB,MATCH($B77,C_COD,0),4)</f>
        <v>Directo</v>
      </c>
      <c r="F77" s="38" t="str">
        <f aca="false">INDEX(C_TAB,MATCH($B77,C_COD,0),5)</f>
        <v>Materia prima</v>
      </c>
      <c r="G77" s="38" t="str">
        <f aca="false">INDEX(C_TAB,MATCH($B77,C_COD,0),6)</f>
        <v>Depósito de polvo químico</v>
      </c>
      <c r="H77" s="38"/>
      <c r="I77" s="38"/>
      <c r="J77" s="39" t="n">
        <f aca="false">SUM(J78:J79)</f>
        <v>7331.67282535676</v>
      </c>
      <c r="K77" s="39" t="n">
        <f aca="false">SUM(K78:K79)</f>
        <v>13286.9136726517</v>
      </c>
      <c r="L77" s="39" t="n">
        <f aca="false">SUM(L78:L79)</f>
        <v>18451.9724392557</v>
      </c>
      <c r="M77" s="39" t="n">
        <f aca="false">SUM(M78:M79)</f>
        <v>25963.4019243356</v>
      </c>
      <c r="N77" s="39" t="n">
        <f aca="false">SUM(N78:N79)</f>
        <v>39585.2302878869</v>
      </c>
      <c r="O77" s="39" t="n">
        <f aca="false">SUM(O78:O79)</f>
        <v>53377.8413699115</v>
      </c>
      <c r="P77" s="39" t="n">
        <f aca="false">SUM(P78:P79)</f>
        <v>67960.1193237836</v>
      </c>
      <c r="Q77" s="39" t="n">
        <f aca="false">SUM(Q78:Q79)</f>
        <v>82588.7541506234</v>
      </c>
      <c r="R77" s="39" t="n">
        <f aca="false">SUM(R78:R79)</f>
        <v>95077.4044892432</v>
      </c>
      <c r="S77" s="39" t="n">
        <f aca="false">SUM(S78:S79)</f>
        <v>108201.017158065</v>
      </c>
      <c r="T77" s="39" t="n">
        <f aca="false">INDEX(J77:S77,INDEX(P_VAL,MATCH("AÑO_DIS",P_ID,0))-2025)</f>
        <v>108201.017158065</v>
      </c>
      <c r="U77" s="38" t="str">
        <f aca="false">INDEX(C_TAB,MATCH($B77,C_COD,0),10)</f>
        <v>Big bag de 1.000 kg</v>
      </c>
      <c r="V77" s="38" t="n">
        <f aca="false">INDEX(C_TAB,MATCH($B77,C_COD,0),11)</f>
        <v>1000</v>
      </c>
      <c r="W77" s="44" t="n">
        <f aca="false">ROUNDUP(T77/V77,0)</f>
        <v>109</v>
      </c>
      <c r="X77" s="38" t="str">
        <f aca="false">INDEX(C_TAB,MATCH($B77,C_COD,0),7)</f>
        <v>DEMSA</v>
      </c>
      <c r="Y77" s="38" t="n">
        <f aca="false">INDEX(C_TAB,MATCH($B77,C_COD,0),12)</f>
        <v>7</v>
      </c>
    </row>
    <row r="78" customFormat="false" ht="15" hidden="false" customHeight="false" outlineLevel="1" collapsed="false">
      <c r="A78" s="24" t="n">
        <v>1</v>
      </c>
      <c r="B78" s="24" t="s">
        <v>988</v>
      </c>
      <c r="C78" s="40" t="s">
        <v>3856</v>
      </c>
      <c r="D78" s="24"/>
      <c r="E78" s="24"/>
      <c r="F78" s="24"/>
      <c r="G78" s="24"/>
      <c r="H78" s="24" t="s">
        <v>244</v>
      </c>
      <c r="I78" s="24" t="s">
        <v>3857</v>
      </c>
      <c r="J78" s="42" t="n">
        <f aca="false">INSUMOS_DIRECTOS_RODANTES!H68</f>
        <v>6899.097240975</v>
      </c>
      <c r="K78" s="42" t="n">
        <f aca="false">INSUMOS_DIRECTOS_RODANTES!I68</f>
        <v>11844.7818476485</v>
      </c>
      <c r="L78" s="42" t="n">
        <f aca="false">INSUMOS_DIRECTOS_RODANTES!J68</f>
        <v>15237.701453018</v>
      </c>
      <c r="M78" s="42" t="n">
        <f aca="false">INSUMOS_DIRECTOS_RODANTES!K68</f>
        <v>20367.951385202</v>
      </c>
      <c r="N78" s="42" t="n">
        <f aca="false">INSUMOS_DIRECTOS_RODANTES!L68</f>
        <v>31581.413564414</v>
      </c>
      <c r="O78" s="42" t="n">
        <f aca="false">INSUMOS_DIRECTOS_RODANTES!M68</f>
        <v>42939.197805835</v>
      </c>
      <c r="P78" s="42" t="n">
        <f aca="false">INSUMOS_DIRECTOS_RODANTES!N68</f>
        <v>55244.22004469</v>
      </c>
      <c r="Q78" s="42" t="n">
        <f aca="false">INSUMOS_DIRECTOS_RODANTES!O68</f>
        <v>68450.167773905</v>
      </c>
      <c r="R78" s="42" t="n">
        <f aca="false">INSUMOS_DIRECTOS_RODANTES!P68</f>
        <v>79751.2761657</v>
      </c>
      <c r="S78" s="42" t="n">
        <f aca="false">INSUMOS_DIRECTOS_RODANTES!Q68</f>
        <v>91835.32965465</v>
      </c>
      <c r="T78" s="42" t="n">
        <f aca="false">INDEX(J78:S78,INDEX(P_VAL,MATCH("AÑO_DIS",P_ID,0))-2025)</f>
        <v>91835.32965465</v>
      </c>
      <c r="U78" s="24"/>
      <c r="V78" s="24"/>
      <c r="W78" s="24"/>
      <c r="X78" s="24"/>
      <c r="Y78" s="24"/>
    </row>
    <row r="79" customFormat="false" ht="15" hidden="false" customHeight="false" outlineLevel="1" collapsed="false">
      <c r="A79" s="24" t="n">
        <v>1</v>
      </c>
      <c r="B79" s="24" t="s">
        <v>988</v>
      </c>
      <c r="C79" s="40" t="s">
        <v>3854</v>
      </c>
      <c r="D79" s="24"/>
      <c r="E79" s="24"/>
      <c r="F79" s="24"/>
      <c r="G79" s="24"/>
      <c r="H79" s="24" t="s">
        <v>132</v>
      </c>
      <c r="I79" s="24" t="s">
        <v>3855</v>
      </c>
      <c r="J79" s="42" t="n">
        <f aca="false">INSUMOS_DIRECTOS_RECARGAS!H57</f>
        <v>432.575584381757</v>
      </c>
      <c r="K79" s="42" t="n">
        <f aca="false">INSUMOS_DIRECTOS_RECARGAS!I57</f>
        <v>1442.13182500322</v>
      </c>
      <c r="L79" s="42" t="n">
        <f aca="false">INSUMOS_DIRECTOS_RECARGAS!J57</f>
        <v>3214.27098623765</v>
      </c>
      <c r="M79" s="42" t="n">
        <f aca="false">INSUMOS_DIRECTOS_RECARGAS!K57</f>
        <v>5595.45053913361</v>
      </c>
      <c r="N79" s="42" t="n">
        <f aca="false">INSUMOS_DIRECTOS_RECARGAS!L57</f>
        <v>8003.81672347291</v>
      </c>
      <c r="O79" s="42" t="n">
        <f aca="false">INSUMOS_DIRECTOS_RECARGAS!M57</f>
        <v>10438.6435640765</v>
      </c>
      <c r="P79" s="42" t="n">
        <f aca="false">INSUMOS_DIRECTOS_RECARGAS!N57</f>
        <v>12715.8992790936</v>
      </c>
      <c r="Q79" s="42" t="n">
        <f aca="false">INSUMOS_DIRECTOS_RECARGAS!O57</f>
        <v>14138.5863767184</v>
      </c>
      <c r="R79" s="42" t="n">
        <f aca="false">INSUMOS_DIRECTOS_RECARGAS!P57</f>
        <v>15326.1283235432</v>
      </c>
      <c r="S79" s="42" t="n">
        <f aca="false">INSUMOS_DIRECTOS_RECARGAS!Q57</f>
        <v>16365.6875034153</v>
      </c>
      <c r="T79" s="42" t="n">
        <f aca="false">INDEX(J79:S79,INDEX(P_VAL,MATCH("AÑO_DIS",P_ID,0))-2025)</f>
        <v>16365.6875034153</v>
      </c>
      <c r="U79" s="24"/>
      <c r="V79" s="24"/>
      <c r="W79" s="24"/>
      <c r="X79" s="24"/>
      <c r="Y79" s="24"/>
    </row>
    <row r="80" customFormat="false" ht="15" hidden="false" customHeight="false" outlineLevel="0" collapsed="false">
      <c r="A80" s="38" t="n">
        <v>0</v>
      </c>
      <c r="B80" s="38" t="s">
        <v>573</v>
      </c>
      <c r="C80" s="38" t="str">
        <f aca="false">INDEX(C_TAB,MATCH($B80,C_COD,0),2)</f>
        <v>Nitrógeno seco ≥ 99,8 % (gas impulsor)</v>
      </c>
      <c r="D80" s="38" t="str">
        <f aca="false">INDEX(C_TAB,MATCH($B80,C_COD,0),3)</f>
        <v>m³</v>
      </c>
      <c r="E80" s="38" t="str">
        <f aca="false">INDEX(C_TAB,MATCH($B80,C_COD,0),4)</f>
        <v>Directo</v>
      </c>
      <c r="F80" s="38" t="str">
        <f aca="false">INDEX(C_TAB,MATCH($B80,C_COD,0),5)</f>
        <v>Materia prima</v>
      </c>
      <c r="G80" s="38" t="str">
        <f aca="false">INDEX(C_TAB,MATCH($B80,C_COD,0),6)</f>
        <v>Jaula de gases</v>
      </c>
      <c r="H80" s="38"/>
      <c r="I80" s="38"/>
      <c r="J80" s="39" t="n">
        <f aca="false">SUM(J81:J83)</f>
        <v>242.345083524908</v>
      </c>
      <c r="K80" s="39" t="n">
        <f aca="false">SUM(K81:K83)</f>
        <v>702.408188745529</v>
      </c>
      <c r="L80" s="39" t="n">
        <f aca="false">SUM(L81:L83)</f>
        <v>1296.55073706712</v>
      </c>
      <c r="M80" s="39" t="n">
        <f aca="false">SUM(M81:M83)</f>
        <v>2251.24801532576</v>
      </c>
      <c r="N80" s="39" t="n">
        <f aca="false">SUM(N81:N83)</f>
        <v>3267.84005738769</v>
      </c>
      <c r="O80" s="39" t="n">
        <f aca="false">SUM(O81:O83)</f>
        <v>4359.99880709342</v>
      </c>
      <c r="P80" s="39" t="n">
        <f aca="false">SUM(P81:P83)</f>
        <v>5379.60594506089</v>
      </c>
      <c r="Q80" s="39" t="n">
        <f aca="false">SUM(Q81:Q83)</f>
        <v>6108.10649064328</v>
      </c>
      <c r="R80" s="39" t="n">
        <f aca="false">SUM(R81:R83)</f>
        <v>6668.64212727762</v>
      </c>
      <c r="S80" s="39" t="n">
        <f aca="false">SUM(S81:S83)</f>
        <v>7273.69715359639</v>
      </c>
      <c r="T80" s="39" t="n">
        <f aca="false">INDEX(J80:S80,INDEX(P_VAL,MATCH("AÑO_DIS",P_ID,0))-2025)</f>
        <v>7273.69715359639</v>
      </c>
      <c r="U80" s="38" t="str">
        <f aca="false">INDEX(C_TAB,MATCH($B80,C_COD,0),10)</f>
        <v>Pack de 12 cilindros (≈110 m³)</v>
      </c>
      <c r="V80" s="38" t="n">
        <f aca="false">INDEX(C_TAB,MATCH($B80,C_COD,0),11)</f>
        <v>110</v>
      </c>
      <c r="W80" s="44" t="n">
        <f aca="false">ROUNDUP(T80/V80,0)</f>
        <v>67</v>
      </c>
      <c r="X80" s="38" t="str">
        <f aca="false">INDEX(C_TAB,MATCH($B80,C_COD,0),7)</f>
        <v>Air Liquide</v>
      </c>
      <c r="Y80" s="38" t="n">
        <f aca="false">INDEX(C_TAB,MATCH($B80,C_COD,0),12)</f>
        <v>1</v>
      </c>
    </row>
    <row r="81" customFormat="false" ht="15" hidden="false" customHeight="false" outlineLevel="1" collapsed="false">
      <c r="A81" s="24" t="n">
        <v>1</v>
      </c>
      <c r="B81" s="24" t="s">
        <v>573</v>
      </c>
      <c r="C81" s="40" t="s">
        <v>3852</v>
      </c>
      <c r="D81" s="24"/>
      <c r="E81" s="24"/>
      <c r="F81" s="24"/>
      <c r="G81" s="24"/>
      <c r="H81" s="24" t="s">
        <v>229</v>
      </c>
      <c r="I81" s="24" t="s">
        <v>3853</v>
      </c>
      <c r="J81" s="42" t="n">
        <f aca="false">INSUMOS_DIRECTOS_MANUALES!H54</f>
        <v>92.6770197815315</v>
      </c>
      <c r="K81" s="42" t="n">
        <f aca="false">INSUMOS_DIRECTOS_MANUALES!I54</f>
        <v>178.093012098985</v>
      </c>
      <c r="L81" s="42" t="n">
        <f aca="false">INSUMOS_DIRECTOS_MANUALES!J54</f>
        <v>232.090268090845</v>
      </c>
      <c r="M81" s="42" t="n">
        <f aca="false">INSUMOS_DIRECTOS_MANUALES!K54</f>
        <v>330.286961096116</v>
      </c>
      <c r="N81" s="42" t="n">
        <f aca="false">INSUMOS_DIRECTOS_MANUALES!L54</f>
        <v>475.048971502772</v>
      </c>
      <c r="O81" s="42" t="n">
        <f aca="false">INSUMOS_DIRECTOS_MANUALES!M54</f>
        <v>622.487254073106</v>
      </c>
      <c r="P81" s="42" t="n">
        <f aca="false">INSUMOS_DIRECTOS_MANUALES!N54</f>
        <v>766.893712602706</v>
      </c>
      <c r="Q81" s="42" t="n">
        <f aca="false">INSUMOS_DIRECTOS_MANUALES!O54</f>
        <v>903.809316903528</v>
      </c>
      <c r="R81" s="42" t="n">
        <f aca="false">INSUMOS_DIRECTOS_MANUALES!P54</f>
        <v>1016.25861624499</v>
      </c>
      <c r="S81" s="42" t="n">
        <f aca="false">INSUMOS_DIRECTOS_MANUALES!Q54</f>
        <v>1160.09704917314</v>
      </c>
      <c r="T81" s="42" t="n">
        <f aca="false">INDEX(J81:S81,INDEX(P_VAL,MATCH("AÑO_DIS",P_ID,0))-2025)</f>
        <v>1160.09704917314</v>
      </c>
      <c r="U81" s="24"/>
      <c r="V81" s="24"/>
      <c r="W81" s="24"/>
      <c r="X81" s="24"/>
      <c r="Y81" s="24"/>
    </row>
    <row r="82" customFormat="false" ht="15" hidden="false" customHeight="false" outlineLevel="1" collapsed="false">
      <c r="A82" s="24" t="n">
        <v>1</v>
      </c>
      <c r="B82" s="24" t="s">
        <v>573</v>
      </c>
      <c r="C82" s="40" t="s">
        <v>3856</v>
      </c>
      <c r="D82" s="24"/>
      <c r="E82" s="24"/>
      <c r="F82" s="24"/>
      <c r="G82" s="24"/>
      <c r="H82" s="24" t="s">
        <v>244</v>
      </c>
      <c r="I82" s="24" t="s">
        <v>3857</v>
      </c>
      <c r="J82" s="42" t="n">
        <f aca="false">INSUMOS_DIRECTOS_RODANTES!H73</f>
        <v>44.4932218854725</v>
      </c>
      <c r="K82" s="42" t="n">
        <f aca="false">INSUMOS_DIRECTOS_RODANTES!I73</f>
        <v>76.3886184720752</v>
      </c>
      <c r="L82" s="42" t="n">
        <f aca="false">INSUMOS_DIRECTOS_RODANTES!J73</f>
        <v>98.2700211495966</v>
      </c>
      <c r="M82" s="42" t="n">
        <f aca="false">INSUMOS_DIRECTOS_RODANTES!K73</f>
        <v>131.355704765957</v>
      </c>
      <c r="N82" s="42" t="n">
        <f aca="false">INSUMOS_DIRECTOS_RODANTES!L73</f>
        <v>203.672856335507</v>
      </c>
      <c r="O82" s="42" t="n">
        <f aca="false">INSUMOS_DIRECTOS_RODANTES!M73</f>
        <v>276.920760624579</v>
      </c>
      <c r="P82" s="42" t="n">
        <f aca="false">INSUMOS_DIRECTOS_RODANTES!N73</f>
        <v>356.277532343477</v>
      </c>
      <c r="Q82" s="42" t="n">
        <f aca="false">INSUMOS_DIRECTOS_RODANTES!O73</f>
        <v>441.444495785071</v>
      </c>
      <c r="R82" s="42" t="n">
        <f aca="false">INSUMOS_DIRECTOS_RODANTES!P73</f>
        <v>514.326889772664</v>
      </c>
      <c r="S82" s="42" t="n">
        <f aca="false">INSUMOS_DIRECTOS_RODANTES!Q73</f>
        <v>592.25860379923</v>
      </c>
      <c r="T82" s="42" t="n">
        <f aca="false">INDEX(J82:S82,INDEX(P_VAL,MATCH("AÑO_DIS",P_ID,0))-2025)</f>
        <v>592.25860379923</v>
      </c>
      <c r="U82" s="24"/>
      <c r="V82" s="24"/>
      <c r="W82" s="24"/>
      <c r="X82" s="24"/>
      <c r="Y82" s="24"/>
    </row>
    <row r="83" customFormat="false" ht="15" hidden="false" customHeight="false" outlineLevel="1" collapsed="false">
      <c r="A83" s="24" t="n">
        <v>1</v>
      </c>
      <c r="B83" s="24" t="s">
        <v>573</v>
      </c>
      <c r="C83" s="40" t="s">
        <v>3854</v>
      </c>
      <c r="D83" s="24"/>
      <c r="E83" s="24"/>
      <c r="F83" s="24"/>
      <c r="G83" s="24"/>
      <c r="H83" s="24" t="s">
        <v>132</v>
      </c>
      <c r="I83" s="24" t="s">
        <v>3855</v>
      </c>
      <c r="J83" s="42" t="n">
        <f aca="false">INSUMOS_DIRECTOS_RECARGAS!H66</f>
        <v>105.174841857904</v>
      </c>
      <c r="K83" s="42" t="n">
        <f aca="false">INSUMOS_DIRECTOS_RECARGAS!I66</f>
        <v>447.926558174469</v>
      </c>
      <c r="L83" s="42" t="n">
        <f aca="false">INSUMOS_DIRECTOS_RECARGAS!J66</f>
        <v>966.19044782668</v>
      </c>
      <c r="M83" s="42" t="n">
        <f aca="false">INSUMOS_DIRECTOS_RECARGAS!K66</f>
        <v>1789.60534946369</v>
      </c>
      <c r="N83" s="42" t="n">
        <f aca="false">INSUMOS_DIRECTOS_RECARGAS!L66</f>
        <v>2589.11822954941</v>
      </c>
      <c r="O83" s="42" t="n">
        <f aca="false">INSUMOS_DIRECTOS_RECARGAS!M66</f>
        <v>3460.59079239573</v>
      </c>
      <c r="P83" s="42" t="n">
        <f aca="false">INSUMOS_DIRECTOS_RECARGAS!N66</f>
        <v>4256.4347001147</v>
      </c>
      <c r="Q83" s="42" t="n">
        <f aca="false">INSUMOS_DIRECTOS_RECARGAS!O66</f>
        <v>4762.85267795468</v>
      </c>
      <c r="R83" s="42" t="n">
        <f aca="false">INSUMOS_DIRECTOS_RECARGAS!P66</f>
        <v>5138.05662125997</v>
      </c>
      <c r="S83" s="42" t="n">
        <f aca="false">INSUMOS_DIRECTOS_RECARGAS!Q66</f>
        <v>5521.34150062402</v>
      </c>
      <c r="T83" s="42" t="n">
        <f aca="false">INDEX(J83:S83,INDEX(P_VAL,MATCH("AÑO_DIS",P_ID,0))-2025)</f>
        <v>5521.34150062402</v>
      </c>
      <c r="U83" s="24"/>
      <c r="V83" s="24"/>
      <c r="W83" s="24"/>
      <c r="X83" s="24"/>
      <c r="Y83" s="24"/>
    </row>
    <row r="84" customFormat="false" ht="15" hidden="false" customHeight="false" outlineLevel="0" collapsed="false">
      <c r="A84" s="38" t="n">
        <v>0</v>
      </c>
      <c r="B84" s="38" t="s">
        <v>1589</v>
      </c>
      <c r="C84" s="38" t="str">
        <f aca="false">INDEX(C_TAB,MATCH($B84,C_COD,0),2)</f>
        <v>Argón (gas impulsor del agente limpio)</v>
      </c>
      <c r="D84" s="38" t="str">
        <f aca="false">INDEX(C_TAB,MATCH($B84,C_COD,0),3)</f>
        <v>m³</v>
      </c>
      <c r="E84" s="38" t="str">
        <f aca="false">INDEX(C_TAB,MATCH($B84,C_COD,0),4)</f>
        <v>Directo</v>
      </c>
      <c r="F84" s="38" t="str">
        <f aca="false">INDEX(C_TAB,MATCH($B84,C_COD,0),5)</f>
        <v>Materia prima</v>
      </c>
      <c r="G84" s="38" t="str">
        <f aca="false">INDEX(C_TAB,MATCH($B84,C_COD,0),6)</f>
        <v>Jaula de gases</v>
      </c>
      <c r="H84" s="38"/>
      <c r="I84" s="38"/>
      <c r="J84" s="39" t="n">
        <f aca="false">SUM(J85:J85)</f>
        <v>0.542584025864901</v>
      </c>
      <c r="K84" s="39" t="n">
        <f aca="false">SUM(K85:K85)</f>
        <v>3.22258888809001</v>
      </c>
      <c r="L84" s="39" t="n">
        <f aca="false">SUM(L85:L85)</f>
        <v>6.6063083874387</v>
      </c>
      <c r="M84" s="39" t="n">
        <f aca="false">SUM(M85:M85)</f>
        <v>11.4613397462205</v>
      </c>
      <c r="N84" s="39" t="n">
        <f aca="false">SUM(N85:N85)</f>
        <v>16.427425275278</v>
      </c>
      <c r="O84" s="39" t="n">
        <f aca="false">SUM(O85:O85)</f>
        <v>21.5642909762906</v>
      </c>
      <c r="P84" s="39" t="n">
        <f aca="false">SUM(P85:P85)</f>
        <v>27.0024506698928</v>
      </c>
      <c r="Q84" s="39" t="n">
        <f aca="false">SUM(Q85:Q85)</f>
        <v>30.6293129005766</v>
      </c>
      <c r="R84" s="39" t="n">
        <f aca="false">SUM(R85:R85)</f>
        <v>33.4673091362721</v>
      </c>
      <c r="S84" s="39" t="n">
        <f aca="false">SUM(S85:S85)</f>
        <v>36.3274606009924</v>
      </c>
      <c r="T84" s="39" t="n">
        <f aca="false">INDEX(J84:S84,INDEX(P_VAL,MATCH("AÑO_DIS",P_ID,0))-2025)</f>
        <v>36.3274606009924</v>
      </c>
      <c r="U84" s="38" t="str">
        <f aca="false">INDEX(C_TAB,MATCH($B84,C_COD,0),10)</f>
        <v>Cilindro de 9,5 m³</v>
      </c>
      <c r="V84" s="38" t="n">
        <f aca="false">INDEX(C_TAB,MATCH($B84,C_COD,0),11)</f>
        <v>9.5</v>
      </c>
      <c r="W84" s="44" t="n">
        <f aca="false">ROUNDUP(T84/V84,0)</f>
        <v>4</v>
      </c>
      <c r="X84" s="38" t="str">
        <f aca="false">INDEX(C_TAB,MATCH($B84,C_COD,0),7)</f>
        <v>Air Liquide</v>
      </c>
      <c r="Y84" s="38" t="n">
        <f aca="false">INDEX(C_TAB,MATCH($B84,C_COD,0),12)</f>
        <v>1</v>
      </c>
    </row>
    <row r="85" customFormat="false" ht="15" hidden="false" customHeight="false" outlineLevel="1" collapsed="false">
      <c r="A85" s="24" t="n">
        <v>1</v>
      </c>
      <c r="B85" s="24" t="s">
        <v>1589</v>
      </c>
      <c r="C85" s="40" t="s">
        <v>3854</v>
      </c>
      <c r="D85" s="24"/>
      <c r="E85" s="24"/>
      <c r="F85" s="24"/>
      <c r="G85" s="24"/>
      <c r="H85" s="24" t="s">
        <v>132</v>
      </c>
      <c r="I85" s="24" t="s">
        <v>3855</v>
      </c>
      <c r="J85" s="42" t="n">
        <f aca="false">INSUMOS_DIRECTOS_RECARGAS!H89</f>
        <v>0.542584025864901</v>
      </c>
      <c r="K85" s="42" t="n">
        <f aca="false">INSUMOS_DIRECTOS_RECARGAS!I89</f>
        <v>3.22258888809001</v>
      </c>
      <c r="L85" s="42" t="n">
        <f aca="false">INSUMOS_DIRECTOS_RECARGAS!J89</f>
        <v>6.6063083874387</v>
      </c>
      <c r="M85" s="42" t="n">
        <f aca="false">INSUMOS_DIRECTOS_RECARGAS!K89</f>
        <v>11.4613397462205</v>
      </c>
      <c r="N85" s="42" t="n">
        <f aca="false">INSUMOS_DIRECTOS_RECARGAS!L89</f>
        <v>16.427425275278</v>
      </c>
      <c r="O85" s="42" t="n">
        <f aca="false">INSUMOS_DIRECTOS_RECARGAS!M89</f>
        <v>21.5642909762906</v>
      </c>
      <c r="P85" s="42" t="n">
        <f aca="false">INSUMOS_DIRECTOS_RECARGAS!N89</f>
        <v>27.0024506698928</v>
      </c>
      <c r="Q85" s="42" t="n">
        <f aca="false">INSUMOS_DIRECTOS_RECARGAS!O89</f>
        <v>30.6293129005766</v>
      </c>
      <c r="R85" s="42" t="n">
        <f aca="false">INSUMOS_DIRECTOS_RECARGAS!P89</f>
        <v>33.4673091362721</v>
      </c>
      <c r="S85" s="42" t="n">
        <f aca="false">INSUMOS_DIRECTOS_RECARGAS!Q89</f>
        <v>36.3274606009924</v>
      </c>
      <c r="T85" s="42" t="n">
        <f aca="false">INDEX(J85:S85,INDEX(P_VAL,MATCH("AÑO_DIS",P_ID,0))-2025)</f>
        <v>36.3274606009924</v>
      </c>
      <c r="U85" s="24"/>
      <c r="V85" s="24"/>
      <c r="W85" s="24"/>
      <c r="X85" s="24"/>
      <c r="Y85" s="24"/>
    </row>
    <row r="86" customFormat="false" ht="15" hidden="false" customHeight="false" outlineLevel="0" collapsed="false">
      <c r="A86" s="38" t="n">
        <v>0</v>
      </c>
      <c r="B86" s="38" t="s">
        <v>1784</v>
      </c>
      <c r="C86" s="38" t="str">
        <f aca="false">INDEX(C_TAB,MATCH($B86,C_COD,0),2)</f>
        <v>Alambre MAG ER70S-6 Ø0,9 mm (manuales)</v>
      </c>
      <c r="D86" s="38" t="str">
        <f aca="false">INDEX(C_TAB,MATCH($B86,C_COD,0),3)</f>
        <v>kg</v>
      </c>
      <c r="E86" s="38" t="str">
        <f aca="false">INDEX(C_TAB,MATCH($B86,C_COD,0),4)</f>
        <v>Directo</v>
      </c>
      <c r="F86" s="38" t="str">
        <f aca="false">INDEX(C_TAB,MATCH($B86,C_COD,0),5)</f>
        <v>Materia prima</v>
      </c>
      <c r="G86" s="38" t="str">
        <f aca="false">INDEX(C_TAB,MATCH($B86,C_COD,0),6)</f>
        <v>Insumos de soldadura y superficie</v>
      </c>
      <c r="H86" s="38"/>
      <c r="I86" s="38"/>
      <c r="J86" s="39" t="n">
        <f aca="false">SUM(J87:J88)</f>
        <v>177.800460362197</v>
      </c>
      <c r="K86" s="39" t="n">
        <f aca="false">SUM(K87:K88)</f>
        <v>327.258176305125</v>
      </c>
      <c r="L86" s="39" t="n">
        <f aca="false">SUM(L87:L88)</f>
        <v>599.36705198856</v>
      </c>
      <c r="M86" s="39" t="n">
        <f aca="false">SUM(M87:M88)</f>
        <v>1221.08609722694</v>
      </c>
      <c r="N86" s="39" t="n">
        <f aca="false">SUM(N87:N88)</f>
        <v>2012.38926718773</v>
      </c>
      <c r="O86" s="39" t="n">
        <f aca="false">SUM(O87:O88)</f>
        <v>2785.4787723406</v>
      </c>
      <c r="P86" s="39" t="n">
        <f aca="false">SUM(P87:P88)</f>
        <v>3742.40865335075</v>
      </c>
      <c r="Q86" s="39" t="n">
        <f aca="false">SUM(Q87:Q88)</f>
        <v>4683.8804909065</v>
      </c>
      <c r="R86" s="39" t="n">
        <f aca="false">SUM(R87:R88)</f>
        <v>5247.8428747088</v>
      </c>
      <c r="S86" s="39" t="n">
        <f aca="false">SUM(S87:S88)</f>
        <v>6053.66848233055</v>
      </c>
      <c r="T86" s="39" t="n">
        <f aca="false">INDEX(J86:S86,INDEX(P_VAL,MATCH("AÑO_DIS",P_ID,0))-2025)</f>
        <v>6053.66848233055</v>
      </c>
      <c r="U86" s="38" t="str">
        <f aca="false">INDEX(C_TAB,MATCH($B86,C_COD,0),10)</f>
        <v>Carrete de 15 kg</v>
      </c>
      <c r="V86" s="38" t="n">
        <f aca="false">INDEX(C_TAB,MATCH($B86,C_COD,0),11)</f>
        <v>15</v>
      </c>
      <c r="W86" s="44" t="n">
        <f aca="false">ROUNDUP(T86/V86,0)</f>
        <v>404</v>
      </c>
      <c r="X86" s="38" t="str">
        <f aca="false">INDEX(C_TAB,MATCH($B86,C_COD,0),7)</f>
        <v>Conarco (ESAB)</v>
      </c>
      <c r="Y86" s="38" t="n">
        <f aca="false">INDEX(C_TAB,MATCH($B86,C_COD,0),12)</f>
        <v>5</v>
      </c>
    </row>
    <row r="87" customFormat="false" ht="15" hidden="false" customHeight="false" outlineLevel="1" collapsed="false">
      <c r="A87" s="24" t="n">
        <v>1</v>
      </c>
      <c r="B87" s="24" t="s">
        <v>1784</v>
      </c>
      <c r="C87" s="40" t="s">
        <v>3852</v>
      </c>
      <c r="D87" s="24"/>
      <c r="E87" s="24"/>
      <c r="F87" s="24"/>
      <c r="G87" s="24"/>
      <c r="H87" s="24" t="s">
        <v>229</v>
      </c>
      <c r="I87" s="24" t="s">
        <v>3853</v>
      </c>
      <c r="J87" s="42" t="n">
        <f aca="false">INSUMOS_DIRECTOS_MANUALES!H59</f>
        <v>175.393710362197</v>
      </c>
      <c r="K87" s="42" t="n">
        <f aca="false">INSUMOS_DIRECTOS_MANUALES!I59</f>
        <v>318.952338805125</v>
      </c>
      <c r="L87" s="42" t="n">
        <f aca="false">INSUMOS_DIRECTOS_MANUALES!J59</f>
        <v>588.55793948856</v>
      </c>
      <c r="M87" s="42" t="n">
        <f aca="false">INSUMOS_DIRECTOS_MANUALES!K59</f>
        <v>1202.23900972694</v>
      </c>
      <c r="N87" s="42" t="n">
        <f aca="false">INSUMOS_DIRECTOS_MANUALES!L59</f>
        <v>1992.03625468773</v>
      </c>
      <c r="O87" s="42" t="n">
        <f aca="false">INSUMOS_DIRECTOS_MANUALES!M59</f>
        <v>2761.6510473406</v>
      </c>
      <c r="P87" s="42" t="n">
        <f aca="false">INSUMOS_DIRECTOS_MANUALES!N59</f>
        <v>3719.46127835075</v>
      </c>
      <c r="Q87" s="42" t="n">
        <f aca="false">INSUMOS_DIRECTOS_MANUALES!O59</f>
        <v>4665.3824159065</v>
      </c>
      <c r="R87" s="42" t="n">
        <f aca="false">INSUMOS_DIRECTOS_MANUALES!P59</f>
        <v>5233.9914247088</v>
      </c>
      <c r="S87" s="42" t="n">
        <f aca="false">INSUMOS_DIRECTOS_MANUALES!Q59</f>
        <v>6039.30009483055</v>
      </c>
      <c r="T87" s="42" t="n">
        <f aca="false">INDEX(J87:S87,INDEX(P_VAL,MATCH("AÑO_DIS",P_ID,0))-2025)</f>
        <v>6039.30009483055</v>
      </c>
      <c r="U87" s="24"/>
      <c r="V87" s="24"/>
      <c r="W87" s="24"/>
      <c r="X87" s="24"/>
      <c r="Y87" s="24"/>
    </row>
    <row r="88" customFormat="false" ht="15" hidden="false" customHeight="false" outlineLevel="1" collapsed="false">
      <c r="A88" s="24" t="n">
        <v>1</v>
      </c>
      <c r="B88" s="24" t="s">
        <v>1784</v>
      </c>
      <c r="C88" s="40" t="s">
        <v>3854</v>
      </c>
      <c r="D88" s="24"/>
      <c r="E88" s="24"/>
      <c r="F88" s="24"/>
      <c r="G88" s="24"/>
      <c r="H88" s="24" t="s">
        <v>132</v>
      </c>
      <c r="I88" s="24" t="s">
        <v>3855</v>
      </c>
      <c r="J88" s="42" t="n">
        <f aca="false">INSUMOS_DIRECTOS_RECARGAS!H92</f>
        <v>2.40675</v>
      </c>
      <c r="K88" s="42" t="n">
        <f aca="false">INSUMOS_DIRECTOS_RECARGAS!I92</f>
        <v>8.3058375</v>
      </c>
      <c r="L88" s="42" t="n">
        <f aca="false">INSUMOS_DIRECTOS_RECARGAS!J92</f>
        <v>10.8091125</v>
      </c>
      <c r="M88" s="42" t="n">
        <f aca="false">INSUMOS_DIRECTOS_RECARGAS!K92</f>
        <v>18.8470875</v>
      </c>
      <c r="N88" s="42" t="n">
        <f aca="false">INSUMOS_DIRECTOS_RECARGAS!L92</f>
        <v>20.3530125</v>
      </c>
      <c r="O88" s="42" t="n">
        <f aca="false">INSUMOS_DIRECTOS_RECARGAS!M92</f>
        <v>23.827725</v>
      </c>
      <c r="P88" s="42" t="n">
        <f aca="false">INSUMOS_DIRECTOS_RECARGAS!N92</f>
        <v>22.947375</v>
      </c>
      <c r="Q88" s="42" t="n">
        <f aca="false">INSUMOS_DIRECTOS_RECARGAS!O92</f>
        <v>18.498075</v>
      </c>
      <c r="R88" s="42" t="n">
        <f aca="false">INSUMOS_DIRECTOS_RECARGAS!P92</f>
        <v>13.85145</v>
      </c>
      <c r="S88" s="42" t="n">
        <f aca="false">INSUMOS_DIRECTOS_RECARGAS!Q92</f>
        <v>14.3683875</v>
      </c>
      <c r="T88" s="42" t="n">
        <f aca="false">INDEX(J88:S88,INDEX(P_VAL,MATCH("AÑO_DIS",P_ID,0))-2025)</f>
        <v>14.3683875</v>
      </c>
      <c r="U88" s="24"/>
      <c r="V88" s="24"/>
      <c r="W88" s="24"/>
      <c r="X88" s="24"/>
      <c r="Y88" s="24"/>
    </row>
    <row r="89" customFormat="false" ht="15" hidden="false" customHeight="false" outlineLevel="0" collapsed="false">
      <c r="A89" s="38" t="n">
        <v>0</v>
      </c>
      <c r="B89" s="38" t="s">
        <v>1839</v>
      </c>
      <c r="C89" s="38" t="str">
        <f aca="false">INDEX(C_TAB,MATCH($B89,C_COD,0),2)</f>
        <v>Alambre MAG ER70S-6 Ø1,0 mm (carros)</v>
      </c>
      <c r="D89" s="38" t="str">
        <f aca="false">INDEX(C_TAB,MATCH($B89,C_COD,0),3)</f>
        <v>kg</v>
      </c>
      <c r="E89" s="38" t="str">
        <f aca="false">INDEX(C_TAB,MATCH($B89,C_COD,0),4)</f>
        <v>Directo</v>
      </c>
      <c r="F89" s="38" t="str">
        <f aca="false">INDEX(C_TAB,MATCH($B89,C_COD,0),5)</f>
        <v>Materia prima</v>
      </c>
      <c r="G89" s="38" t="str">
        <f aca="false">INDEX(C_TAB,MATCH($B89,C_COD,0),6)</f>
        <v>Rack de insumos de montaje (carros)</v>
      </c>
      <c r="H89" s="38"/>
      <c r="I89" s="38"/>
      <c r="J89" s="39" t="n">
        <f aca="false">SUM(J90:J91)</f>
        <v>71.07101702849</v>
      </c>
      <c r="K89" s="39" t="n">
        <f aca="false">SUM(K90:K91)</f>
        <v>120.721943370569</v>
      </c>
      <c r="L89" s="39" t="n">
        <f aca="false">SUM(L90:L91)</f>
        <v>177.467735024102</v>
      </c>
      <c r="M89" s="39" t="n">
        <f aca="false">SUM(M90:M91)</f>
        <v>281.183294446078</v>
      </c>
      <c r="N89" s="39" t="n">
        <f aca="false">SUM(N90:N91)</f>
        <v>456.841991785906</v>
      </c>
      <c r="O89" s="39" t="n">
        <f aca="false">SUM(O90:O91)</f>
        <v>631.268552722</v>
      </c>
      <c r="P89" s="39" t="n">
        <f aca="false">SUM(P90:P91)</f>
        <v>835.08171146692</v>
      </c>
      <c r="Q89" s="39" t="n">
        <f aca="false">SUM(Q90:Q91)</f>
        <v>1047.53752514019</v>
      </c>
      <c r="R89" s="39" t="n">
        <f aca="false">SUM(R90:R91)</f>
        <v>1204.61449566411</v>
      </c>
      <c r="S89" s="39" t="n">
        <f aca="false">SUM(S90:S91)</f>
        <v>1389.64503286517</v>
      </c>
      <c r="T89" s="39" t="n">
        <f aca="false">INDEX(J89:S89,INDEX(P_VAL,MATCH("AÑO_DIS",P_ID,0))-2025)</f>
        <v>1389.64503286517</v>
      </c>
      <c r="U89" s="38" t="str">
        <f aca="false">INDEX(C_TAB,MATCH($B89,C_COD,0),10)</f>
        <v>Carrete de 15 kg</v>
      </c>
      <c r="V89" s="38" t="n">
        <f aca="false">INDEX(C_TAB,MATCH($B89,C_COD,0),11)</f>
        <v>15</v>
      </c>
      <c r="W89" s="44" t="n">
        <f aca="false">ROUNDUP(T89/V89,0)</f>
        <v>93</v>
      </c>
      <c r="X89" s="38" t="str">
        <f aca="false">INDEX(C_TAB,MATCH($B89,C_COD,0),7)</f>
        <v>Conarco (ESAB)</v>
      </c>
      <c r="Y89" s="38" t="n">
        <f aca="false">INDEX(C_TAB,MATCH($B89,C_COD,0),12)</f>
        <v>5</v>
      </c>
    </row>
    <row r="90" customFormat="false" ht="15" hidden="false" customHeight="false" outlineLevel="1" collapsed="false">
      <c r="A90" s="24" t="n">
        <v>1</v>
      </c>
      <c r="B90" s="24" t="s">
        <v>1839</v>
      </c>
      <c r="C90" s="40" t="s">
        <v>3856</v>
      </c>
      <c r="D90" s="24"/>
      <c r="E90" s="24"/>
      <c r="F90" s="24"/>
      <c r="G90" s="24"/>
      <c r="H90" s="24" t="s">
        <v>244</v>
      </c>
      <c r="I90" s="24" t="s">
        <v>3857</v>
      </c>
      <c r="J90" s="42" t="n">
        <f aca="false">INSUMOS_DIRECTOS_RODANTES!H78</f>
        <v>69.75931702849</v>
      </c>
      <c r="K90" s="42" t="n">
        <f aca="false">INSUMOS_DIRECTOS_RODANTES!I78</f>
        <v>119.766958370569</v>
      </c>
      <c r="L90" s="42" t="n">
        <f aca="false">INSUMOS_DIRECTOS_RODANTES!J78</f>
        <v>174.711880024102</v>
      </c>
      <c r="M90" s="42" t="n">
        <f aca="false">INSUMOS_DIRECTOS_RODANTES!K78</f>
        <v>277.850449446078</v>
      </c>
      <c r="N90" s="42" t="n">
        <f aca="false">INSUMOS_DIRECTOS_RODANTES!L78</f>
        <v>452.487621785906</v>
      </c>
      <c r="O90" s="42" t="n">
        <f aca="false">INSUMOS_DIRECTOS_RODANTES!M78</f>
        <v>627.138607722</v>
      </c>
      <c r="P90" s="42" t="n">
        <f aca="false">INSUMOS_DIRECTOS_RODANTES!N78</f>
        <v>831.21970646692</v>
      </c>
      <c r="Q90" s="42" t="n">
        <f aca="false">INSUMOS_DIRECTOS_RODANTES!O78</f>
        <v>1044.41039514019</v>
      </c>
      <c r="R90" s="42" t="n">
        <f aca="false">INSUMOS_DIRECTOS_RODANTES!P78</f>
        <v>1201.37731066411</v>
      </c>
      <c r="S90" s="42" t="n">
        <f aca="false">INSUMOS_DIRECTOS_RODANTES!Q78</f>
        <v>1387.60949286517</v>
      </c>
      <c r="T90" s="42" t="n">
        <f aca="false">INDEX(J90:S90,INDEX(P_VAL,MATCH("AÑO_DIS",P_ID,0))-2025)</f>
        <v>1387.60949286517</v>
      </c>
      <c r="U90" s="24"/>
      <c r="V90" s="24"/>
      <c r="W90" s="24"/>
      <c r="X90" s="24"/>
      <c r="Y90" s="24"/>
    </row>
    <row r="91" customFormat="false" ht="15" hidden="false" customHeight="false" outlineLevel="1" collapsed="false">
      <c r="A91" s="24" t="n">
        <v>1</v>
      </c>
      <c r="B91" s="24" t="s">
        <v>1839</v>
      </c>
      <c r="C91" s="40" t="s">
        <v>3854</v>
      </c>
      <c r="D91" s="24"/>
      <c r="E91" s="24"/>
      <c r="F91" s="24"/>
      <c r="G91" s="24"/>
      <c r="H91" s="24" t="s">
        <v>132</v>
      </c>
      <c r="I91" s="24" t="s">
        <v>3855</v>
      </c>
      <c r="J91" s="42" t="n">
        <f aca="false">INSUMOS_DIRECTOS_RECARGAS!H95</f>
        <v>1.3117</v>
      </c>
      <c r="K91" s="42" t="n">
        <f aca="false">INSUMOS_DIRECTOS_RECARGAS!I95</f>
        <v>0.954985</v>
      </c>
      <c r="L91" s="42" t="n">
        <f aca="false">INSUMOS_DIRECTOS_RECARGAS!J95</f>
        <v>2.755855</v>
      </c>
      <c r="M91" s="42" t="n">
        <f aca="false">INSUMOS_DIRECTOS_RECARGAS!K95</f>
        <v>3.332845</v>
      </c>
      <c r="N91" s="42" t="n">
        <f aca="false">INSUMOS_DIRECTOS_RECARGAS!L95</f>
        <v>4.35437</v>
      </c>
      <c r="O91" s="42" t="n">
        <f aca="false">INSUMOS_DIRECTOS_RECARGAS!M95</f>
        <v>4.129945</v>
      </c>
      <c r="P91" s="42" t="n">
        <f aca="false">INSUMOS_DIRECTOS_RECARGAS!N95</f>
        <v>3.862005</v>
      </c>
      <c r="Q91" s="42" t="n">
        <f aca="false">INSUMOS_DIRECTOS_RECARGAS!O95</f>
        <v>3.12713</v>
      </c>
      <c r="R91" s="42" t="n">
        <f aca="false">INSUMOS_DIRECTOS_RECARGAS!P95</f>
        <v>3.237185</v>
      </c>
      <c r="S91" s="42" t="n">
        <f aca="false">INSUMOS_DIRECTOS_RECARGAS!Q95</f>
        <v>2.03554</v>
      </c>
      <c r="T91" s="42" t="n">
        <f aca="false">INDEX(J91:S91,INDEX(P_VAL,MATCH("AÑO_DIS",P_ID,0))-2025)</f>
        <v>2.03554</v>
      </c>
      <c r="U91" s="24"/>
      <c r="V91" s="24"/>
      <c r="W91" s="24"/>
      <c r="X91" s="24"/>
      <c r="Y91" s="24"/>
    </row>
    <row r="92" customFormat="false" ht="15" hidden="false" customHeight="false" outlineLevel="0" collapsed="false">
      <c r="A92" s="38" t="n">
        <v>0</v>
      </c>
      <c r="B92" s="38" t="s">
        <v>1777</v>
      </c>
      <c r="C92" s="38" t="str">
        <f aca="false">INDEX(C_TAB,MATCH($B92,C_COD,0),2)</f>
        <v>Gas de protección MAG Ar + 8 % CO₂ (Arcal 21)</v>
      </c>
      <c r="D92" s="38" t="str">
        <f aca="false">INDEX(C_TAB,MATCH($B92,C_COD,0),3)</f>
        <v>m³</v>
      </c>
      <c r="E92" s="38" t="str">
        <f aca="false">INDEX(C_TAB,MATCH($B92,C_COD,0),4)</f>
        <v>Indirecto</v>
      </c>
      <c r="F92" s="38" t="str">
        <f aca="false">INDEX(C_TAB,MATCH($B92,C_COD,0),5)</f>
        <v>Consumible de proceso</v>
      </c>
      <c r="G92" s="38" t="str">
        <f aca="false">INDEX(C_TAB,MATCH($B92,C_COD,0),6)</f>
        <v>Jaula de gases</v>
      </c>
      <c r="H92" s="38"/>
      <c r="I92" s="38"/>
      <c r="J92" s="39" t="n">
        <f aca="false">SUM(J93:J95)</f>
        <v>250.359986931829</v>
      </c>
      <c r="K92" s="39" t="n">
        <f aca="false">SUM(K93:K95)</f>
        <v>456.568029577191</v>
      </c>
      <c r="L92" s="39" t="n">
        <f aca="false">SUM(L93:L95)</f>
        <v>815.346474025479</v>
      </c>
      <c r="M92" s="39" t="n">
        <f aca="false">SUM(M93:M95)</f>
        <v>1623.58316631228</v>
      </c>
      <c r="N92" s="39" t="n">
        <f aca="false">SUM(N93:N95)</f>
        <v>2671.48121598386</v>
      </c>
      <c r="O92" s="39" t="n">
        <f aca="false">SUM(O93:O95)</f>
        <v>3696.65142348272</v>
      </c>
      <c r="P92" s="39" t="n">
        <f aca="false">SUM(P93:P95)</f>
        <v>4959.74319517387</v>
      </c>
      <c r="Q92" s="39" t="n">
        <f aca="false">SUM(Q93:Q95)</f>
        <v>6207.47522152226</v>
      </c>
      <c r="R92" s="39" t="n">
        <f aca="false">SUM(R93:R95)</f>
        <v>6968.27809537844</v>
      </c>
      <c r="S92" s="39" t="n">
        <f aca="false">SUM(S93:S95)</f>
        <v>8038.05418433059</v>
      </c>
      <c r="T92" s="39" t="n">
        <f aca="false">INDEX(J92:S92,INDEX(P_VAL,MATCH("AÑO_DIS",P_ID,0))-2025)</f>
        <v>8038.05418433059</v>
      </c>
      <c r="U92" s="38" t="str">
        <f aca="false">INDEX(C_TAB,MATCH($B92,C_COD,0),10)</f>
        <v>Batería de 11 cilindros (115,5 m³)</v>
      </c>
      <c r="V92" s="38" t="n">
        <f aca="false">INDEX(C_TAB,MATCH($B92,C_COD,0),11)</f>
        <v>115.5</v>
      </c>
      <c r="W92" s="44" t="n">
        <f aca="false">ROUNDUP(T92/V92,0)</f>
        <v>70</v>
      </c>
      <c r="X92" s="38" t="str">
        <f aca="false">INDEX(C_TAB,MATCH($B92,C_COD,0),7)</f>
        <v>Air Liquide</v>
      </c>
      <c r="Y92" s="38" t="n">
        <f aca="false">INDEX(C_TAB,MATCH($B92,C_COD,0),12)</f>
        <v>1</v>
      </c>
    </row>
    <row r="93" customFormat="false" ht="15" hidden="false" customHeight="false" outlineLevel="1" collapsed="false">
      <c r="A93" s="24" t="n">
        <v>1</v>
      </c>
      <c r="B93" s="24" t="s">
        <v>1777</v>
      </c>
      <c r="C93" s="40" t="s">
        <v>3858</v>
      </c>
      <c r="D93" s="24"/>
      <c r="E93" s="24"/>
      <c r="F93" s="24"/>
      <c r="G93" s="24"/>
      <c r="H93" s="24" t="s">
        <v>229</v>
      </c>
      <c r="I93" s="24" t="s">
        <v>3859</v>
      </c>
      <c r="J93" s="42" t="n">
        <f aca="false">INSUMOS_INDIRECTOS_MANUALES!H4</f>
        <v>216.62520688276</v>
      </c>
      <c r="K93" s="42" t="n">
        <f aca="false">INSUMOS_INDIRECTOS_MANUALES!I4</f>
        <v>393.926231371209</v>
      </c>
      <c r="L93" s="42" t="n">
        <f aca="false">INSUMOS_INDIRECTOS_MANUALES!J4</f>
        <v>726.91697319195</v>
      </c>
      <c r="M93" s="42" t="n">
        <f aca="false">INSUMOS_INDIRECTOS_MANUALES!K4</f>
        <v>1484.87998712258</v>
      </c>
      <c r="N93" s="42" t="n">
        <f aca="false">INSUMOS_INDIRECTOS_MANUALES!L4</f>
        <v>2460.36749513866</v>
      </c>
      <c r="O93" s="42" t="n">
        <f aca="false">INSUMOS_INDIRECTOS_MANUALES!M4</f>
        <v>3410.92399334663</v>
      </c>
      <c r="P93" s="42" t="n">
        <f aca="false">INSUMOS_INDIRECTOS_MANUALES!N4</f>
        <v>4593.93140072998</v>
      </c>
      <c r="Q93" s="42" t="n">
        <f aca="false">INSUMOS_INDIRECTOS_MANUALES!O4</f>
        <v>5762.25568045042</v>
      </c>
      <c r="R93" s="42" t="n">
        <f aca="false">INSUMOS_INDIRECTOS_MANUALES!P4</f>
        <v>6464.54961481809</v>
      </c>
      <c r="S93" s="42" t="n">
        <f aca="false">INSUMOS_INDIRECTOS_MANUALES!Q4</f>
        <v>7459.19332538073</v>
      </c>
      <c r="T93" s="42" t="n">
        <f aca="false">INDEX(J93:S93,INDEX(P_VAL,MATCH("AÑO_DIS",P_ID,0))-2025)</f>
        <v>7459.19332538073</v>
      </c>
      <c r="U93" s="24"/>
      <c r="V93" s="24"/>
      <c r="W93" s="24"/>
      <c r="X93" s="24"/>
      <c r="Y93" s="24"/>
    </row>
    <row r="94" customFormat="false" ht="15" hidden="false" customHeight="false" outlineLevel="1" collapsed="false">
      <c r="A94" s="24" t="n">
        <v>1</v>
      </c>
      <c r="B94" s="24" t="s">
        <v>1777</v>
      </c>
      <c r="C94" s="40" t="s">
        <v>3860</v>
      </c>
      <c r="D94" s="24"/>
      <c r="E94" s="24"/>
      <c r="F94" s="24"/>
      <c r="G94" s="24"/>
      <c r="H94" s="24" t="s">
        <v>244</v>
      </c>
      <c r="I94" s="24" t="s">
        <v>3861</v>
      </c>
      <c r="J94" s="42" t="n">
        <f aca="false">INSUMOS_INDIRECTOS_RODANTES!H4</f>
        <v>30.253109725347</v>
      </c>
      <c r="K94" s="42" t="n">
        <f aca="false">INSUMOS_INDIRECTOS_RODANTES!I4</f>
        <v>51.940344134118</v>
      </c>
      <c r="L94" s="42" t="n">
        <f aca="false">INSUMOS_INDIRECTOS_RODANTES!J4</f>
        <v>73.897136101995</v>
      </c>
      <c r="M94" s="42" t="n">
        <f aca="false">INSUMOS_INDIRECTOS_RODANTES!K4</f>
        <v>113.977904663793</v>
      </c>
      <c r="N94" s="42" t="n">
        <f aca="false">INSUMOS_INDIRECTOS_RODANTES!L4</f>
        <v>184.161140050659</v>
      </c>
      <c r="O94" s="42" t="n">
        <f aca="false">INSUMOS_INDIRECTOS_RODANTES!M4</f>
        <v>254.492339563424</v>
      </c>
      <c r="P94" s="42" t="n">
        <f aca="false">INSUMOS_INDIRECTOS_RODANTES!N4</f>
        <v>335.795315733242</v>
      </c>
      <c r="Q94" s="42" t="n">
        <f aca="false">INSUMOS_INDIRECTOS_RODANTES!O4</f>
        <v>421.04892438631</v>
      </c>
      <c r="R94" s="42" t="n">
        <f aca="false">INSUMOS_INDIRECTOS_RODANTES!P4</f>
        <v>485.25009562702</v>
      </c>
      <c r="S94" s="42" t="n">
        <f aca="false">INSUMOS_INDIRECTOS_RODANTES!Q4</f>
        <v>560.20698562221</v>
      </c>
      <c r="T94" s="42" t="n">
        <f aca="false">INDEX(J94:S94,INDEX(P_VAL,MATCH("AÑO_DIS",P_ID,0))-2025)</f>
        <v>560.20698562221</v>
      </c>
      <c r="U94" s="24"/>
      <c r="V94" s="24"/>
      <c r="W94" s="24"/>
      <c r="X94" s="24"/>
      <c r="Y94" s="24"/>
    </row>
    <row r="95" customFormat="false" ht="15" hidden="false" customHeight="false" outlineLevel="1" collapsed="false">
      <c r="A95" s="24" t="n">
        <v>1</v>
      </c>
      <c r="B95" s="24" t="s">
        <v>1777</v>
      </c>
      <c r="C95" s="40" t="s">
        <v>3862</v>
      </c>
      <c r="D95" s="24"/>
      <c r="E95" s="24"/>
      <c r="F95" s="24"/>
      <c r="G95" s="24"/>
      <c r="H95" s="24" t="s">
        <v>132</v>
      </c>
      <c r="I95" s="24" t="s">
        <v>3863</v>
      </c>
      <c r="J95" s="42" t="n">
        <f aca="false">INSUMOS_INDIRECTOS_RECARGAS!H4</f>
        <v>3.48167032372207</v>
      </c>
      <c r="K95" s="42" t="n">
        <f aca="false">INSUMOS_INDIRECTOS_RECARGAS!I4</f>
        <v>10.7014540718638</v>
      </c>
      <c r="L95" s="42" t="n">
        <f aca="false">INSUMOS_INDIRECTOS_RECARGAS!J4</f>
        <v>14.5323647315336</v>
      </c>
      <c r="M95" s="42" t="n">
        <f aca="false">INSUMOS_INDIRECTOS_RECARGAS!K4</f>
        <v>24.7252745259131</v>
      </c>
      <c r="N95" s="42" t="n">
        <f aca="false">INSUMOS_INDIRECTOS_RECARGAS!L4</f>
        <v>26.9525807945402</v>
      </c>
      <c r="O95" s="42" t="n">
        <f aca="false">INSUMOS_INDIRECTOS_RECARGAS!M4</f>
        <v>31.2350905726588</v>
      </c>
      <c r="P95" s="42" t="n">
        <f aca="false">INSUMOS_INDIRECTOS_RECARGAS!N4</f>
        <v>30.0164787106428</v>
      </c>
      <c r="Q95" s="42" t="n">
        <f aca="false">INSUMOS_INDIRECTOS_RECARGAS!O4</f>
        <v>24.1706166855284</v>
      </c>
      <c r="R95" s="42" t="n">
        <f aca="false">INSUMOS_INDIRECTOS_RECARGAS!P4</f>
        <v>18.4783849333312</v>
      </c>
      <c r="S95" s="42" t="n">
        <f aca="false">INSUMOS_INDIRECTOS_RECARGAS!Q4</f>
        <v>18.6538733276576</v>
      </c>
      <c r="T95" s="42" t="n">
        <f aca="false">INDEX(J95:S95,INDEX(P_VAL,MATCH("AÑO_DIS",P_ID,0))-2025)</f>
        <v>18.6538733276576</v>
      </c>
      <c r="U95" s="24"/>
      <c r="V95" s="24"/>
      <c r="W95" s="24"/>
      <c r="X95" s="24"/>
      <c r="Y95" s="24"/>
    </row>
    <row r="96" customFormat="false" ht="15" hidden="false" customHeight="false" outlineLevel="0" collapsed="false">
      <c r="A96" s="38" t="n">
        <v>0</v>
      </c>
      <c r="B96" s="38" t="s">
        <v>1788</v>
      </c>
      <c r="C96" s="38" t="str">
        <f aca="false">INDEX(C_TAB,MATCH($B96,C_COD,0),2)</f>
        <v>Puntas de contacto y toberas MAG</v>
      </c>
      <c r="D96" s="38" t="str">
        <f aca="false">INDEX(C_TAB,MATCH($B96,C_COD,0),3)</f>
        <v>u</v>
      </c>
      <c r="E96" s="38" t="str">
        <f aca="false">INDEX(C_TAB,MATCH($B96,C_COD,0),4)</f>
        <v>Indirecto</v>
      </c>
      <c r="F96" s="38" t="str">
        <f aca="false">INDEX(C_TAB,MATCH($B96,C_COD,0),5)</f>
        <v>Consumible de proceso</v>
      </c>
      <c r="G96" s="38" t="str">
        <f aca="false">INDEX(C_TAB,MATCH($B96,C_COD,0),6)</f>
        <v>Insumos de soldadura y superficie</v>
      </c>
      <c r="H96" s="38"/>
      <c r="I96" s="38"/>
      <c r="J96" s="39" t="n">
        <f aca="false">SUM(J97:J99)</f>
        <v>62.2178693476719</v>
      </c>
      <c r="K96" s="39" t="n">
        <f aca="false">SUM(K97:K99)</f>
        <v>111.995029918923</v>
      </c>
      <c r="L96" s="39" t="n">
        <f aca="false">SUM(L97:L99)</f>
        <v>196.454096753166</v>
      </c>
      <c r="M96" s="39" t="n">
        <f aca="false">SUM(M97:M99)</f>
        <v>383.390997918253</v>
      </c>
      <c r="N96" s="39" t="n">
        <f aca="false">SUM(N97:N99)</f>
        <v>631.797164743408</v>
      </c>
      <c r="O96" s="39" t="n">
        <f aca="false">SUM(O97:O99)</f>
        <v>875.19093126565</v>
      </c>
      <c r="P96" s="39" t="n">
        <f aca="false">SUM(P97:P99)</f>
        <v>1174.05639120442</v>
      </c>
      <c r="Q96" s="39" t="n">
        <f aca="false">SUM(Q97:Q99)</f>
        <v>1471.21800401167</v>
      </c>
      <c r="R96" s="39" t="n">
        <f aca="false">SUM(R97:R99)</f>
        <v>1656.12374259323</v>
      </c>
      <c r="S96" s="39" t="n">
        <f aca="false">SUM(S97:S99)</f>
        <v>1910.80662879893</v>
      </c>
      <c r="T96" s="39" t="n">
        <f aca="false">INDEX(J96:S96,INDEX(P_VAL,MATCH("AÑO_DIS",P_ID,0))-2025)</f>
        <v>1910.80662879893</v>
      </c>
      <c r="U96" s="38" t="str">
        <f aca="false">INDEX(C_TAB,MATCH($B96,C_COD,0),10)</f>
        <v>Caja de 25 u</v>
      </c>
      <c r="V96" s="38" t="n">
        <f aca="false">INDEX(C_TAB,MATCH($B96,C_COD,0),11)</f>
        <v>25</v>
      </c>
      <c r="W96" s="44" t="n">
        <f aca="false">ROUNDUP(T96/V96,0)</f>
        <v>77</v>
      </c>
      <c r="X96" s="38" t="str">
        <f aca="false">INDEX(C_TAB,MATCH($B96,C_COD,0),7)</f>
        <v>ESAB / Binzel (distribuidor)</v>
      </c>
      <c r="Y96" s="38" t="n">
        <f aca="false">INDEX(C_TAB,MATCH($B96,C_COD,0),12)</f>
        <v>5</v>
      </c>
    </row>
    <row r="97" customFormat="false" ht="15" hidden="false" customHeight="false" outlineLevel="1" collapsed="false">
      <c r="A97" s="24" t="n">
        <v>1</v>
      </c>
      <c r="B97" s="24" t="s">
        <v>1788</v>
      </c>
      <c r="C97" s="40" t="s">
        <v>3858</v>
      </c>
      <c r="D97" s="24"/>
      <c r="E97" s="24"/>
      <c r="F97" s="24"/>
      <c r="G97" s="24"/>
      <c r="H97" s="24" t="s">
        <v>229</v>
      </c>
      <c r="I97" s="24" t="s">
        <v>3859</v>
      </c>
      <c r="J97" s="42" t="n">
        <f aca="false">INSUMOS_INDIRECTOS_MANUALES!H13</f>
        <v>43.8484275905494</v>
      </c>
      <c r="K97" s="42" t="n">
        <f aca="false">INSUMOS_INDIRECTOS_MANUALES!I13</f>
        <v>79.7380847012812</v>
      </c>
      <c r="L97" s="42" t="n">
        <f aca="false">INSUMOS_INDIRECTOS_MANUALES!J13</f>
        <v>147.13948487214</v>
      </c>
      <c r="M97" s="42" t="n">
        <f aca="false">INSUMOS_INDIRECTOS_MANUALES!K13</f>
        <v>300.559752431734</v>
      </c>
      <c r="N97" s="42" t="n">
        <f aca="false">INSUMOS_INDIRECTOS_MANUALES!L13</f>
        <v>498.009063671931</v>
      </c>
      <c r="O97" s="42" t="n">
        <f aca="false">INSUMOS_INDIRECTOS_MANUALES!M13</f>
        <v>690.41276183515</v>
      </c>
      <c r="P97" s="42" t="n">
        <f aca="false">INSUMOS_INDIRECTOS_MANUALES!N13</f>
        <v>929.865319587688</v>
      </c>
      <c r="Q97" s="42" t="n">
        <f aca="false">INSUMOS_INDIRECTOS_MANUALES!O13</f>
        <v>1166.34560397663</v>
      </c>
      <c r="R97" s="42" t="n">
        <f aca="false">INSUMOS_INDIRECTOS_MANUALES!P13</f>
        <v>1308.4978561772</v>
      </c>
      <c r="S97" s="42" t="n">
        <f aca="false">INSUMOS_INDIRECTOS_MANUALES!Q13</f>
        <v>1509.82502370764</v>
      </c>
      <c r="T97" s="42" t="n">
        <f aca="false">INDEX(J97:S97,INDEX(P_VAL,MATCH("AÑO_DIS",P_ID,0))-2025)</f>
        <v>1509.82502370764</v>
      </c>
      <c r="U97" s="24"/>
      <c r="V97" s="24"/>
      <c r="W97" s="24"/>
      <c r="X97" s="24"/>
      <c r="Y97" s="24"/>
    </row>
    <row r="98" customFormat="false" ht="15" hidden="false" customHeight="false" outlineLevel="1" collapsed="false">
      <c r="A98" s="24" t="n">
        <v>1</v>
      </c>
      <c r="B98" s="24" t="s">
        <v>1788</v>
      </c>
      <c r="C98" s="40" t="s">
        <v>3860</v>
      </c>
      <c r="D98" s="24"/>
      <c r="E98" s="24"/>
      <c r="F98" s="24"/>
      <c r="G98" s="24"/>
      <c r="H98" s="24" t="s">
        <v>244</v>
      </c>
      <c r="I98" s="24" t="s">
        <v>3861</v>
      </c>
      <c r="J98" s="42" t="n">
        <f aca="false">INSUMOS_INDIRECTOS_RODANTES!H41</f>
        <v>17.4398292571225</v>
      </c>
      <c r="K98" s="42" t="n">
        <f aca="false">INSUMOS_INDIRECTOS_RODANTES!I41</f>
        <v>29.9417395926423</v>
      </c>
      <c r="L98" s="42" t="n">
        <f aca="false">INSUMOS_INDIRECTOS_RODANTES!J41</f>
        <v>45.9233700060255</v>
      </c>
      <c r="M98" s="42" t="n">
        <f aca="false">INSUMOS_INDIRECTOS_RODANTES!K41</f>
        <v>77.2862623615195</v>
      </c>
      <c r="N98" s="42" t="n">
        <f aca="false">INSUMOS_INDIRECTOS_RODANTES!L41</f>
        <v>127.611255446477</v>
      </c>
      <c r="O98" s="42" t="n">
        <f aca="false">INSUMOS_INDIRECTOS_RODANTES!M41</f>
        <v>177.7887519305</v>
      </c>
      <c r="P98" s="42" t="n">
        <f aca="false">INSUMOS_INDIRECTOS_RODANTES!N41</f>
        <v>237.48872661673</v>
      </c>
      <c r="Q98" s="42" t="n">
        <f aca="false">INSUMOS_INDIRECTOS_RODANTES!O41</f>
        <v>299.466098785048</v>
      </c>
      <c r="R98" s="42" t="n">
        <f aca="false">INSUMOS_INDIRECTOS_RODANTES!P41</f>
        <v>343.353727666028</v>
      </c>
      <c r="S98" s="42" t="n">
        <f aca="false">INSUMOS_INDIRECTOS_RODANTES!Q41</f>
        <v>396.880623216292</v>
      </c>
      <c r="T98" s="42" t="n">
        <f aca="false">INDEX(J98:S98,INDEX(P_VAL,MATCH("AÑO_DIS",P_ID,0))-2025)</f>
        <v>396.880623216292</v>
      </c>
      <c r="U98" s="24"/>
      <c r="V98" s="24"/>
      <c r="W98" s="24"/>
      <c r="X98" s="24"/>
      <c r="Y98" s="24"/>
    </row>
    <row r="99" customFormat="false" ht="15" hidden="false" customHeight="false" outlineLevel="1" collapsed="false">
      <c r="A99" s="24" t="n">
        <v>1</v>
      </c>
      <c r="B99" s="24" t="s">
        <v>1788</v>
      </c>
      <c r="C99" s="40" t="s">
        <v>3862</v>
      </c>
      <c r="D99" s="24"/>
      <c r="E99" s="24"/>
      <c r="F99" s="24"/>
      <c r="G99" s="24"/>
      <c r="H99" s="24" t="s">
        <v>132</v>
      </c>
      <c r="I99" s="24" t="s">
        <v>3863</v>
      </c>
      <c r="J99" s="42" t="n">
        <f aca="false">INSUMOS_INDIRECTOS_RECARGAS!H17</f>
        <v>0.9296125</v>
      </c>
      <c r="K99" s="42" t="n">
        <f aca="false">INSUMOS_INDIRECTOS_RECARGAS!I17</f>
        <v>2.315205625</v>
      </c>
      <c r="L99" s="42" t="n">
        <f aca="false">INSUMOS_INDIRECTOS_RECARGAS!J17</f>
        <v>3.391241875</v>
      </c>
      <c r="M99" s="42" t="n">
        <f aca="false">INSUMOS_INDIRECTOS_RECARGAS!K17</f>
        <v>5.544983125</v>
      </c>
      <c r="N99" s="42" t="n">
        <f aca="false">INSUMOS_INDIRECTOS_RECARGAS!L17</f>
        <v>6.176845625</v>
      </c>
      <c r="O99" s="42" t="n">
        <f aca="false">INSUMOS_INDIRECTOS_RECARGAS!M17</f>
        <v>6.9894175</v>
      </c>
      <c r="P99" s="42" t="n">
        <f aca="false">INSUMOS_INDIRECTOS_RECARGAS!N17</f>
        <v>6.702345</v>
      </c>
      <c r="Q99" s="42" t="n">
        <f aca="false">INSUMOS_INDIRECTOS_RECARGAS!O17</f>
        <v>5.40630125</v>
      </c>
      <c r="R99" s="42" t="n">
        <f aca="false">INSUMOS_INDIRECTOS_RECARGAS!P17</f>
        <v>4.27215875</v>
      </c>
      <c r="S99" s="42" t="n">
        <f aca="false">INSUMOS_INDIRECTOS_RECARGAS!Q17</f>
        <v>4.100981875</v>
      </c>
      <c r="T99" s="42" t="n">
        <f aca="false">INDEX(J99:S99,INDEX(P_VAL,MATCH("AÑO_DIS",P_ID,0))-2025)</f>
        <v>4.100981875</v>
      </c>
      <c r="U99" s="24"/>
      <c r="V99" s="24"/>
      <c r="W99" s="24"/>
      <c r="X99" s="24"/>
      <c r="Y99" s="24"/>
    </row>
    <row r="100" customFormat="false" ht="15" hidden="false" customHeight="false" outlineLevel="0" collapsed="false">
      <c r="A100" s="38" t="n">
        <v>0</v>
      </c>
      <c r="B100" s="38" t="s">
        <v>1872</v>
      </c>
      <c r="C100" s="38" t="str">
        <f aca="false">INDEX(C_TAB,MATCH($B100,C_COD,0),2)</f>
        <v>Disco de corte 115 × 1,0 mm</v>
      </c>
      <c r="D100" s="38" t="str">
        <f aca="false">INDEX(C_TAB,MATCH($B100,C_COD,0),3)</f>
        <v>u</v>
      </c>
      <c r="E100" s="38" t="str">
        <f aca="false">INDEX(C_TAB,MATCH($B100,C_COD,0),4)</f>
        <v>Indirecto</v>
      </c>
      <c r="F100" s="38" t="str">
        <f aca="false">INDEX(C_TAB,MATCH($B100,C_COD,0),5)</f>
        <v>Consumible de proceso</v>
      </c>
      <c r="G100" s="38" t="str">
        <f aca="false">INDEX(C_TAB,MATCH($B100,C_COD,0),6)</f>
        <v>Insumos de soldadura y superficie</v>
      </c>
      <c r="H100" s="38"/>
      <c r="I100" s="38"/>
      <c r="J100" s="39" t="n">
        <f aca="false">SUM(J101:J102)</f>
        <v>5.926304531625</v>
      </c>
      <c r="K100" s="39" t="n">
        <f aca="false">SUM(K101:K102)</f>
        <v>9.995440067875</v>
      </c>
      <c r="L100" s="39" t="n">
        <f aca="false">SUM(L101:L102)</f>
        <v>14.02232679725</v>
      </c>
      <c r="M100" s="39" t="n">
        <f aca="false">SUM(M101:M102)</f>
        <v>20.882574999375</v>
      </c>
      <c r="N100" s="39" t="n">
        <f aca="false">SUM(N101:N102)</f>
        <v>33.425795593875</v>
      </c>
      <c r="O100" s="39" t="n">
        <f aca="false">SUM(O101:O102)</f>
        <v>45.808237061625</v>
      </c>
      <c r="P100" s="39" t="n">
        <f aca="false">SUM(P101:P102)</f>
        <v>60.006099634875</v>
      </c>
      <c r="Q100" s="39" t="n">
        <f aca="false">SUM(Q101:Q102)</f>
        <v>74.93364901375</v>
      </c>
      <c r="R100" s="39" t="n">
        <f aca="false">SUM(R101:R102)</f>
        <v>86.52541065375</v>
      </c>
      <c r="S100" s="39" t="n">
        <f aca="false">SUM(S101:S102)</f>
        <v>99.68661565</v>
      </c>
      <c r="T100" s="39" t="n">
        <f aca="false">INDEX(J100:S100,INDEX(P_VAL,MATCH("AÑO_DIS",P_ID,0))-2025)</f>
        <v>99.68661565</v>
      </c>
      <c r="U100" s="38" t="str">
        <f aca="false">INDEX(C_TAB,MATCH($B100,C_COD,0),10)</f>
        <v>Caja de 25 u</v>
      </c>
      <c r="V100" s="38" t="n">
        <f aca="false">INDEX(C_TAB,MATCH($B100,C_COD,0),11)</f>
        <v>25</v>
      </c>
      <c r="W100" s="44" t="n">
        <f aca="false">ROUNDUP(T100/V100,0)</f>
        <v>4</v>
      </c>
      <c r="X100" s="38" t="str">
        <f aca="false">INDEX(C_TAB,MATCH($B100,C_COD,0),7)</f>
        <v>Norton / Pferd (distribuidor)</v>
      </c>
      <c r="Y100" s="38" t="n">
        <f aca="false">INDEX(C_TAB,MATCH($B100,C_COD,0),12)</f>
        <v>5</v>
      </c>
    </row>
    <row r="101" customFormat="false" ht="15" hidden="false" customHeight="false" outlineLevel="1" collapsed="false">
      <c r="A101" s="24" t="n">
        <v>1</v>
      </c>
      <c r="B101" s="24" t="s">
        <v>1872</v>
      </c>
      <c r="C101" s="40" t="s">
        <v>3860</v>
      </c>
      <c r="D101" s="24"/>
      <c r="E101" s="24"/>
      <c r="F101" s="24"/>
      <c r="G101" s="24"/>
      <c r="H101" s="24" t="s">
        <v>244</v>
      </c>
      <c r="I101" s="24" t="s">
        <v>3861</v>
      </c>
      <c r="J101" s="42" t="n">
        <f aca="false">INSUMOS_INDIRECTOS_RODANTES!H50</f>
        <v>5.788804531625</v>
      </c>
      <c r="K101" s="42" t="n">
        <f aca="false">INSUMOS_INDIRECTOS_RODANTES!I50</f>
        <v>9.938565067875</v>
      </c>
      <c r="L101" s="42" t="n">
        <f aca="false">INSUMOS_INDIRECTOS_RODANTES!J50</f>
        <v>13.80045179725</v>
      </c>
      <c r="M101" s="42" t="n">
        <f aca="false">INSUMOS_INDIRECTOS_RODANTES!K50</f>
        <v>20.625074999375</v>
      </c>
      <c r="N101" s="42" t="n">
        <f aca="false">INSUMOS_INDIRECTOS_RODANTES!L50</f>
        <v>33.043920593875</v>
      </c>
      <c r="O101" s="42" t="n">
        <f aca="false">INSUMOS_INDIRECTOS_RODANTES!M50</f>
        <v>45.496362061625</v>
      </c>
      <c r="P101" s="42" t="n">
        <f aca="false">INSUMOS_INDIRECTOS_RODANTES!N50</f>
        <v>59.706099634875</v>
      </c>
      <c r="Q101" s="42" t="n">
        <f aca="false">INSUMOS_INDIRECTOS_RODANTES!O50</f>
        <v>74.67177401375</v>
      </c>
      <c r="R101" s="42" t="n">
        <f aca="false">INSUMOS_INDIRECTOS_RODANTES!P50</f>
        <v>86.25416065375</v>
      </c>
      <c r="S101" s="42" t="n">
        <f aca="false">INSUMOS_INDIRECTOS_RODANTES!Q50</f>
        <v>99.54349065</v>
      </c>
      <c r="T101" s="42" t="n">
        <f aca="false">INDEX(J101:S101,INDEX(P_VAL,MATCH("AÑO_DIS",P_ID,0))-2025)</f>
        <v>99.54349065</v>
      </c>
      <c r="U101" s="24"/>
      <c r="V101" s="24"/>
      <c r="W101" s="24"/>
      <c r="X101" s="24"/>
      <c r="Y101" s="24"/>
    </row>
    <row r="102" customFormat="false" ht="15" hidden="false" customHeight="false" outlineLevel="1" collapsed="false">
      <c r="A102" s="24" t="n">
        <v>1</v>
      </c>
      <c r="B102" s="24" t="s">
        <v>1872</v>
      </c>
      <c r="C102" s="40" t="s">
        <v>3862</v>
      </c>
      <c r="D102" s="24"/>
      <c r="E102" s="24"/>
      <c r="F102" s="24"/>
      <c r="G102" s="24"/>
      <c r="H102" s="24" t="s">
        <v>132</v>
      </c>
      <c r="I102" s="24" t="s">
        <v>3863</v>
      </c>
      <c r="J102" s="42" t="n">
        <f aca="false">INSUMOS_INDIRECTOS_RECARGAS!H22</f>
        <v>0.1375</v>
      </c>
      <c r="K102" s="42" t="n">
        <f aca="false">INSUMOS_INDIRECTOS_RECARGAS!I22</f>
        <v>0.056875</v>
      </c>
      <c r="L102" s="42" t="n">
        <f aca="false">INSUMOS_INDIRECTOS_RECARGAS!J22</f>
        <v>0.221875</v>
      </c>
      <c r="M102" s="42" t="n">
        <f aca="false">INSUMOS_INDIRECTOS_RECARGAS!K22</f>
        <v>0.2575</v>
      </c>
      <c r="N102" s="42" t="n">
        <f aca="false">INSUMOS_INDIRECTOS_RECARGAS!L22</f>
        <v>0.381875</v>
      </c>
      <c r="O102" s="42" t="n">
        <f aca="false">INSUMOS_INDIRECTOS_RECARGAS!M22</f>
        <v>0.311875</v>
      </c>
      <c r="P102" s="42" t="n">
        <f aca="false">INSUMOS_INDIRECTOS_RECARGAS!N22</f>
        <v>0.3</v>
      </c>
      <c r="Q102" s="42" t="n">
        <f aca="false">INSUMOS_INDIRECTOS_RECARGAS!O22</f>
        <v>0.261875</v>
      </c>
      <c r="R102" s="42" t="n">
        <f aca="false">INSUMOS_INDIRECTOS_RECARGAS!P22</f>
        <v>0.27125</v>
      </c>
      <c r="S102" s="42" t="n">
        <f aca="false">INSUMOS_INDIRECTOS_RECARGAS!Q22</f>
        <v>0.143125</v>
      </c>
      <c r="T102" s="42" t="n">
        <f aca="false">INDEX(J102:S102,INDEX(P_VAL,MATCH("AÑO_DIS",P_ID,0))-2025)</f>
        <v>0.143125</v>
      </c>
      <c r="U102" s="24"/>
      <c r="V102" s="24"/>
      <c r="W102" s="24"/>
      <c r="X102" s="24"/>
      <c r="Y102" s="24"/>
    </row>
    <row r="103" customFormat="false" ht="15" hidden="false" customHeight="false" outlineLevel="0" collapsed="false">
      <c r="A103" s="38" t="n">
        <v>0</v>
      </c>
      <c r="B103" s="38" t="s">
        <v>1791</v>
      </c>
      <c r="C103" s="38" t="str">
        <f aca="false">INDEX(C_TAB,MATCH($B103,C_COD,0),2)</f>
        <v>Disco flap 115 mm grano 60</v>
      </c>
      <c r="D103" s="38" t="str">
        <f aca="false">INDEX(C_TAB,MATCH($B103,C_COD,0),3)</f>
        <v>u</v>
      </c>
      <c r="E103" s="38" t="str">
        <f aca="false">INDEX(C_TAB,MATCH($B103,C_COD,0),4)</f>
        <v>Indirecto</v>
      </c>
      <c r="F103" s="38" t="str">
        <f aca="false">INDEX(C_TAB,MATCH($B103,C_COD,0),5)</f>
        <v>Consumible de proceso</v>
      </c>
      <c r="G103" s="38" t="str">
        <f aca="false">INDEX(C_TAB,MATCH($B103,C_COD,0),6)</f>
        <v>Insumos de soldadura y superficie</v>
      </c>
      <c r="H103" s="38"/>
      <c r="I103" s="38"/>
      <c r="J103" s="39" t="n">
        <f aca="false">SUM(J104:J106)</f>
        <v>50.2446378876271</v>
      </c>
      <c r="K103" s="39" t="n">
        <f aca="false">SUM(K104:K106)</f>
        <v>85.7673083130271</v>
      </c>
      <c r="L103" s="39" t="n">
        <f aca="false">SUM(L104:L106)</f>
        <v>170.054253575363</v>
      </c>
      <c r="M103" s="39" t="n">
        <f aca="false">SUM(M104:M106)</f>
        <v>366.834995519156</v>
      </c>
      <c r="N103" s="39" t="n">
        <f aca="false">SUM(N104:N106)</f>
        <v>620.758284900315</v>
      </c>
      <c r="O103" s="39" t="n">
        <f aca="false">SUM(O104:O106)</f>
        <v>864.443542511819</v>
      </c>
      <c r="P103" s="39" t="n">
        <f aca="false">SUM(P104:P106)</f>
        <v>1178.29613236962</v>
      </c>
      <c r="Q103" s="39" t="n">
        <f aca="false">SUM(Q104:Q106)</f>
        <v>1490.0070897266</v>
      </c>
      <c r="R103" s="39" t="n">
        <f aca="false">SUM(R104:R106)</f>
        <v>1672.2690913321</v>
      </c>
      <c r="S103" s="39" t="n">
        <f aca="false">SUM(S104:S106)</f>
        <v>1930.57927623304</v>
      </c>
      <c r="T103" s="39" t="n">
        <f aca="false">INDEX(J103:S103,INDEX(P_VAL,MATCH("AÑO_DIS",P_ID,0))-2025)</f>
        <v>1930.57927623304</v>
      </c>
      <c r="U103" s="38" t="str">
        <f aca="false">INDEX(C_TAB,MATCH($B103,C_COD,0),10)</f>
        <v>Caja de 10 u</v>
      </c>
      <c r="V103" s="38" t="n">
        <f aca="false">INDEX(C_TAB,MATCH($B103,C_COD,0),11)</f>
        <v>10</v>
      </c>
      <c r="W103" s="44" t="n">
        <f aca="false">ROUNDUP(T103/V103,0)</f>
        <v>194</v>
      </c>
      <c r="X103" s="38" t="str">
        <f aca="false">INDEX(C_TAB,MATCH($B103,C_COD,0),7)</f>
        <v>Norton / Pferd (distribuidor)</v>
      </c>
      <c r="Y103" s="38" t="n">
        <f aca="false">INDEX(C_TAB,MATCH($B103,C_COD,0),12)</f>
        <v>5</v>
      </c>
    </row>
    <row r="104" customFormat="false" ht="15" hidden="false" customHeight="false" outlineLevel="1" collapsed="false">
      <c r="A104" s="24" t="n">
        <v>1</v>
      </c>
      <c r="B104" s="24" t="s">
        <v>1791</v>
      </c>
      <c r="C104" s="40" t="s">
        <v>3858</v>
      </c>
      <c r="D104" s="24"/>
      <c r="E104" s="24"/>
      <c r="F104" s="24"/>
      <c r="G104" s="24"/>
      <c r="H104" s="24" t="s">
        <v>229</v>
      </c>
      <c r="I104" s="24" t="s">
        <v>3859</v>
      </c>
      <c r="J104" s="42" t="n">
        <f aca="false">INSUMOS_INDIRECTOS_MANUALES!H22</f>
        <v>48.5024873782</v>
      </c>
      <c r="K104" s="42" t="n">
        <f aca="false">INSUMOS_INDIRECTOS_MANUALES!I22</f>
        <v>82.0617173666667</v>
      </c>
      <c r="L104" s="42" t="n">
        <f aca="false">INSUMOS_INDIRECTOS_MANUALES!J22</f>
        <v>164.982214576</v>
      </c>
      <c r="M104" s="42" t="n">
        <f aca="false">INSUMOS_INDIRECTOS_MANUALES!K22</f>
        <v>358.723396867333</v>
      </c>
      <c r="N104" s="42" t="n">
        <f aca="false">INSUMOS_INDIRECTOS_MANUALES!L22</f>
        <v>609.515236852667</v>
      </c>
      <c r="O104" s="42" t="n">
        <f aca="false">INSUMOS_INDIRECTOS_MANUALES!M22</f>
        <v>849.75928066</v>
      </c>
      <c r="P104" s="42" t="n">
        <f aca="false">INSUMOS_INDIRECTOS_MANUALES!N22</f>
        <v>1160.52259446</v>
      </c>
      <c r="Q104" s="42" t="n">
        <f aca="false">INSUMOS_INDIRECTOS_MANUALES!O22</f>
        <v>1469.62677499333</v>
      </c>
      <c r="R104" s="42" t="n">
        <f aca="false">INSUMOS_INDIRECTOS_MANUALES!P22</f>
        <v>1650.11331324667</v>
      </c>
      <c r="S104" s="42" t="n">
        <f aca="false">INSUMOS_INDIRECTOS_MANUALES!Q22</f>
        <v>1905.33416248667</v>
      </c>
      <c r="T104" s="42" t="n">
        <f aca="false">INDEX(J104:S104,INDEX(P_VAL,MATCH("AÑO_DIS",P_ID,0))-2025)</f>
        <v>1905.33416248667</v>
      </c>
      <c r="U104" s="24"/>
      <c r="V104" s="24"/>
      <c r="W104" s="24"/>
      <c r="X104" s="24"/>
      <c r="Y104" s="24"/>
    </row>
    <row r="105" customFormat="false" ht="15" hidden="false" customHeight="false" outlineLevel="1" collapsed="false">
      <c r="A105" s="24" t="n">
        <v>1</v>
      </c>
      <c r="B105" s="24" t="s">
        <v>1791</v>
      </c>
      <c r="C105" s="40" t="s">
        <v>3860</v>
      </c>
      <c r="D105" s="24"/>
      <c r="E105" s="24"/>
      <c r="F105" s="24"/>
      <c r="G105" s="24"/>
      <c r="H105" s="24" t="s">
        <v>244</v>
      </c>
      <c r="I105" s="24" t="s">
        <v>3861</v>
      </c>
      <c r="J105" s="42" t="n">
        <f aca="false">INSUMOS_INDIRECTOS_RODANTES!H59</f>
        <v>1.27694217609375</v>
      </c>
      <c r="K105" s="42" t="n">
        <f aca="false">INSUMOS_INDIRECTOS_RODANTES!I59</f>
        <v>2.19233052969375</v>
      </c>
      <c r="L105" s="42" t="n">
        <f aca="false">INSUMOS_INDIRECTOS_RODANTES!J59</f>
        <v>3.0740702493625</v>
      </c>
      <c r="M105" s="42" t="n">
        <f aca="false">INSUMOS_INDIRECTOS_RODANTES!K59</f>
        <v>4.65361948515625</v>
      </c>
      <c r="N105" s="42" t="n">
        <f aca="false">INSUMOS_INDIRECTOS_RODANTES!L59</f>
        <v>7.48160013098125</v>
      </c>
      <c r="O105" s="42" t="n">
        <f aca="false">INSUMOS_INDIRECTOS_RODANTES!M59</f>
        <v>10.3144181018187</v>
      </c>
      <c r="P105" s="42" t="n">
        <f aca="false">INSUMOS_INDIRECTOS_RODANTES!N59</f>
        <v>13.5631837429562</v>
      </c>
      <c r="Q105" s="42" t="n">
        <f aca="false">INSUMOS_INDIRECTOS_RODANTES!O59</f>
        <v>16.9787001499375</v>
      </c>
      <c r="R105" s="42" t="n">
        <f aca="false">INSUMOS_INDIRECTOS_RODANTES!P59</f>
        <v>19.5954030854375</v>
      </c>
      <c r="S105" s="42" t="n">
        <f aca="false">INSUMOS_INDIRECTOS_RODANTES!Q59</f>
        <v>22.619519996375</v>
      </c>
      <c r="T105" s="42" t="n">
        <f aca="false">INDEX(J105:S105,INDEX(P_VAL,MATCH("AÑO_DIS",P_ID,0))-2025)</f>
        <v>22.619519996375</v>
      </c>
      <c r="U105" s="24"/>
      <c r="V105" s="24"/>
      <c r="W105" s="24"/>
      <c r="X105" s="24"/>
      <c r="Y105" s="24"/>
    </row>
    <row r="106" customFormat="false" ht="15" hidden="false" customHeight="false" outlineLevel="1" collapsed="false">
      <c r="A106" s="24" t="n">
        <v>1</v>
      </c>
      <c r="B106" s="24" t="s">
        <v>1791</v>
      </c>
      <c r="C106" s="40" t="s">
        <v>3862</v>
      </c>
      <c r="D106" s="24"/>
      <c r="E106" s="24"/>
      <c r="F106" s="24"/>
      <c r="G106" s="24"/>
      <c r="H106" s="24" t="s">
        <v>132</v>
      </c>
      <c r="I106" s="24" t="s">
        <v>3863</v>
      </c>
      <c r="J106" s="42" t="n">
        <f aca="false">INSUMOS_INDIRECTOS_RECARGAS!H26</f>
        <v>0.465208333333333</v>
      </c>
      <c r="K106" s="42" t="n">
        <f aca="false">INSUMOS_INDIRECTOS_RECARGAS!I26</f>
        <v>1.51326041666667</v>
      </c>
      <c r="L106" s="42" t="n">
        <f aca="false">INSUMOS_INDIRECTOS_RECARGAS!J26</f>
        <v>1.99796875</v>
      </c>
      <c r="M106" s="42" t="n">
        <f aca="false">INSUMOS_INDIRECTOS_RECARGAS!K26</f>
        <v>3.45797916666667</v>
      </c>
      <c r="N106" s="42" t="n">
        <f aca="false">INSUMOS_INDIRECTOS_RECARGAS!L26</f>
        <v>3.76144791666667</v>
      </c>
      <c r="O106" s="42" t="n">
        <f aca="false">INSUMOS_INDIRECTOS_RECARGAS!M26</f>
        <v>4.36984375</v>
      </c>
      <c r="P106" s="42" t="n">
        <f aca="false">INSUMOS_INDIRECTOS_RECARGAS!N26</f>
        <v>4.21035416666667</v>
      </c>
      <c r="Q106" s="42" t="n">
        <f aca="false">INSUMOS_INDIRECTOS_RECARGAS!O26</f>
        <v>3.40161458333333</v>
      </c>
      <c r="R106" s="42" t="n">
        <f aca="false">INSUMOS_INDIRECTOS_RECARGAS!P26</f>
        <v>2.560375</v>
      </c>
      <c r="S106" s="42" t="n">
        <f aca="false">INSUMOS_INDIRECTOS_RECARGAS!Q26</f>
        <v>2.62559375</v>
      </c>
      <c r="T106" s="42" t="n">
        <f aca="false">INDEX(J106:S106,INDEX(P_VAL,MATCH("AÑO_DIS",P_ID,0))-2025)</f>
        <v>2.62559375</v>
      </c>
      <c r="U106" s="24"/>
      <c r="V106" s="24"/>
      <c r="W106" s="24"/>
      <c r="X106" s="24"/>
      <c r="Y106" s="24"/>
    </row>
    <row r="107" customFormat="false" ht="15" hidden="false" customHeight="false" outlineLevel="0" collapsed="false">
      <c r="A107" s="38" t="n">
        <v>0</v>
      </c>
      <c r="B107" s="38" t="s">
        <v>1869</v>
      </c>
      <c r="C107" s="38" t="str">
        <f aca="false">INDEX(C_TAB,MATCH($B107,C_COD,0),2)</f>
        <v>Disco de sensitiva 355 mm</v>
      </c>
      <c r="D107" s="38" t="str">
        <f aca="false">INDEX(C_TAB,MATCH($B107,C_COD,0),3)</f>
        <v>u</v>
      </c>
      <c r="E107" s="38" t="str">
        <f aca="false">INDEX(C_TAB,MATCH($B107,C_COD,0),4)</f>
        <v>Indirecto</v>
      </c>
      <c r="F107" s="38" t="str">
        <f aca="false">INDEX(C_TAB,MATCH($B107,C_COD,0),5)</f>
        <v>Consumible de proceso</v>
      </c>
      <c r="G107" s="38" t="str">
        <f aca="false">INDEX(C_TAB,MATCH($B107,C_COD,0),6)</f>
        <v>Insumos de soldadura y superficie</v>
      </c>
      <c r="H107" s="38"/>
      <c r="I107" s="38"/>
      <c r="J107" s="39" t="n">
        <f aca="false">SUM(J108:J109)</f>
        <v>2.07310748175</v>
      </c>
      <c r="K107" s="39" t="n">
        <f aca="false">SUM(K108:K109)</f>
        <v>3.5392288473</v>
      </c>
      <c r="L107" s="39" t="n">
        <f aca="false">SUM(L108:L109)</f>
        <v>4.5905123994</v>
      </c>
      <c r="M107" s="39" t="n">
        <f aca="false">SUM(M108:M109)</f>
        <v>6.12854117625</v>
      </c>
      <c r="N107" s="39" t="n">
        <f aca="false">SUM(N108:N109)</f>
        <v>9.46881020985</v>
      </c>
      <c r="O107" s="39" t="n">
        <f aca="false">SUM(O108:O109)</f>
        <v>12.83756896305</v>
      </c>
      <c r="P107" s="39" t="n">
        <f aca="false">SUM(P108:P109)</f>
        <v>16.47184398915</v>
      </c>
      <c r="Q107" s="39" t="n">
        <f aca="false">SUM(Q108:Q109)</f>
        <v>20.357170242</v>
      </c>
      <c r="R107" s="39" t="n">
        <f aca="false">SUM(R108:R109)</f>
        <v>23.706894936</v>
      </c>
      <c r="S107" s="39" t="n">
        <f aca="false">SUM(S108:S109)</f>
        <v>27.2584819935</v>
      </c>
      <c r="T107" s="39" t="n">
        <f aca="false">INDEX(J107:S107,INDEX(P_VAL,MATCH("AÑO_DIS",P_ID,0))-2025)</f>
        <v>27.2584819935</v>
      </c>
      <c r="U107" s="38" t="str">
        <f aca="false">INDEX(C_TAB,MATCH($B107,C_COD,0),10)</f>
        <v>Caja de 10 u</v>
      </c>
      <c r="V107" s="38" t="n">
        <f aca="false">INDEX(C_TAB,MATCH($B107,C_COD,0),11)</f>
        <v>10</v>
      </c>
      <c r="W107" s="44" t="n">
        <f aca="false">ROUNDUP(T107/V107,0)</f>
        <v>3</v>
      </c>
      <c r="X107" s="38" t="str">
        <f aca="false">INDEX(C_TAB,MATCH($B107,C_COD,0),7)</f>
        <v>Norton / Pferd (distribuidor)</v>
      </c>
      <c r="Y107" s="38" t="n">
        <f aca="false">INDEX(C_TAB,MATCH($B107,C_COD,0),12)</f>
        <v>5</v>
      </c>
    </row>
    <row r="108" customFormat="false" ht="15" hidden="false" customHeight="false" outlineLevel="1" collapsed="false">
      <c r="A108" s="24" t="n">
        <v>1</v>
      </c>
      <c r="B108" s="24" t="s">
        <v>1869</v>
      </c>
      <c r="C108" s="40" t="s">
        <v>3860</v>
      </c>
      <c r="D108" s="24"/>
      <c r="E108" s="24"/>
      <c r="F108" s="24"/>
      <c r="G108" s="24"/>
      <c r="H108" s="24" t="s">
        <v>244</v>
      </c>
      <c r="I108" s="24" t="s">
        <v>3861</v>
      </c>
      <c r="J108" s="42" t="n">
        <f aca="false">INSUMOS_INDIRECTOS_RODANTES!H68</f>
        <v>2.04310748175</v>
      </c>
      <c r="K108" s="42" t="n">
        <f aca="false">INSUMOS_INDIRECTOS_RODANTES!I68</f>
        <v>3.5077288473</v>
      </c>
      <c r="L108" s="42" t="n">
        <f aca="false">INSUMOS_INDIRECTOS_RODANTES!J68</f>
        <v>4.5125123994</v>
      </c>
      <c r="M108" s="42" t="n">
        <f aca="false">INSUMOS_INDIRECTOS_RODANTES!K68</f>
        <v>6.03179117625</v>
      </c>
      <c r="N108" s="42" t="n">
        <f aca="false">INSUMOS_INDIRECTOS_RODANTES!L68</f>
        <v>9.35256020985</v>
      </c>
      <c r="O108" s="42" t="n">
        <f aca="false">INSUMOS_INDIRECTOS_RODANTES!M68</f>
        <v>12.71606896305</v>
      </c>
      <c r="P108" s="42" t="n">
        <f aca="false">INSUMOS_INDIRECTOS_RODANTES!N68</f>
        <v>16.36009398915</v>
      </c>
      <c r="Q108" s="42" t="n">
        <f aca="false">INSUMOS_INDIRECTOS_RODANTES!O68</f>
        <v>20.270920242</v>
      </c>
      <c r="R108" s="42" t="n">
        <f aca="false">INSUMOS_INDIRECTOS_RODANTES!P68</f>
        <v>23.617644936</v>
      </c>
      <c r="S108" s="42" t="n">
        <f aca="false">INSUMOS_INDIRECTOS_RODANTES!Q68</f>
        <v>27.1962319935</v>
      </c>
      <c r="T108" s="42" t="n">
        <f aca="false">INDEX(J108:S108,INDEX(P_VAL,MATCH("AÑO_DIS",P_ID,0))-2025)</f>
        <v>27.1962319935</v>
      </c>
      <c r="U108" s="24"/>
      <c r="V108" s="24"/>
      <c r="W108" s="24"/>
      <c r="X108" s="24"/>
      <c r="Y108" s="24"/>
    </row>
    <row r="109" customFormat="false" ht="15" hidden="false" customHeight="false" outlineLevel="1" collapsed="false">
      <c r="A109" s="24" t="n">
        <v>1</v>
      </c>
      <c r="B109" s="24" t="s">
        <v>1869</v>
      </c>
      <c r="C109" s="40" t="s">
        <v>3862</v>
      </c>
      <c r="D109" s="24"/>
      <c r="E109" s="24"/>
      <c r="F109" s="24"/>
      <c r="G109" s="24"/>
      <c r="H109" s="24" t="s">
        <v>132</v>
      </c>
      <c r="I109" s="24" t="s">
        <v>3863</v>
      </c>
      <c r="J109" s="42" t="n">
        <f aca="false">INSUMOS_INDIRECTOS_RECARGAS!H32</f>
        <v>0.03</v>
      </c>
      <c r="K109" s="42" t="n">
        <f aca="false">INSUMOS_INDIRECTOS_RECARGAS!I32</f>
        <v>0.0315</v>
      </c>
      <c r="L109" s="42" t="n">
        <f aca="false">INSUMOS_INDIRECTOS_RECARGAS!J32</f>
        <v>0.078</v>
      </c>
      <c r="M109" s="42" t="n">
        <f aca="false">INSUMOS_INDIRECTOS_RECARGAS!K32</f>
        <v>0.09675</v>
      </c>
      <c r="N109" s="42" t="n">
        <f aca="false">INSUMOS_INDIRECTOS_RECARGAS!L32</f>
        <v>0.11625</v>
      </c>
      <c r="O109" s="42" t="n">
        <f aca="false">INSUMOS_INDIRECTOS_RECARGAS!M32</f>
        <v>0.1215</v>
      </c>
      <c r="P109" s="42" t="n">
        <f aca="false">INSUMOS_INDIRECTOS_RECARGAS!N32</f>
        <v>0.11175</v>
      </c>
      <c r="Q109" s="42" t="n">
        <f aca="false">INSUMOS_INDIRECTOS_RECARGAS!O32</f>
        <v>0.08625</v>
      </c>
      <c r="R109" s="42" t="n">
        <f aca="false">INSUMOS_INDIRECTOS_RECARGAS!P32</f>
        <v>0.08925</v>
      </c>
      <c r="S109" s="42" t="n">
        <f aca="false">INSUMOS_INDIRECTOS_RECARGAS!Q32</f>
        <v>0.06225</v>
      </c>
      <c r="T109" s="42" t="n">
        <f aca="false">INDEX(J109:S109,INDEX(P_VAL,MATCH("AÑO_DIS",P_ID,0))-2025)</f>
        <v>0.06225</v>
      </c>
      <c r="U109" s="24"/>
      <c r="V109" s="24"/>
      <c r="W109" s="24"/>
      <c r="X109" s="24"/>
      <c r="Y109" s="24"/>
    </row>
    <row r="110" customFormat="false" ht="15" hidden="false" customHeight="false" outlineLevel="0" collapsed="false">
      <c r="A110" s="38" t="n">
        <v>0</v>
      </c>
      <c r="B110" s="38" t="s">
        <v>1877</v>
      </c>
      <c r="C110" s="38" t="str">
        <f aca="false">INDEX(C_TAB,MATCH($B110,C_COD,0),2)</f>
        <v>Mecha de acero rápido 4,5 mm</v>
      </c>
      <c r="D110" s="38" t="str">
        <f aca="false">INDEX(C_TAB,MATCH($B110,C_COD,0),3)</f>
        <v>u</v>
      </c>
      <c r="E110" s="38" t="str">
        <f aca="false">INDEX(C_TAB,MATCH($B110,C_COD,0),4)</f>
        <v>Indirecto</v>
      </c>
      <c r="F110" s="38" t="str">
        <f aca="false">INDEX(C_TAB,MATCH($B110,C_COD,0),5)</f>
        <v>Consumible de proceso</v>
      </c>
      <c r="G110" s="38" t="str">
        <f aca="false">INDEX(C_TAB,MATCH($B110,C_COD,0),6)</f>
        <v>Insumos de soldadura y superficie</v>
      </c>
      <c r="H110" s="38"/>
      <c r="I110" s="38"/>
      <c r="J110" s="39" t="n">
        <f aca="false">SUM(J111:J112)</f>
        <v>1.3820716545</v>
      </c>
      <c r="K110" s="39" t="n">
        <f aca="false">SUM(K111:K112)</f>
        <v>2.3594858982</v>
      </c>
      <c r="L110" s="39" t="n">
        <f aca="false">SUM(L111:L112)</f>
        <v>3.0603415996</v>
      </c>
      <c r="M110" s="39" t="n">
        <f aca="false">SUM(M111:M112)</f>
        <v>4.0856941175</v>
      </c>
      <c r="N110" s="39" t="n">
        <f aca="false">SUM(N111:N112)</f>
        <v>6.3125401399</v>
      </c>
      <c r="O110" s="39" t="n">
        <f aca="false">SUM(O111:O112)</f>
        <v>8.5583793087</v>
      </c>
      <c r="P110" s="39" t="n">
        <f aca="false">SUM(P111:P112)</f>
        <v>10.9812293261</v>
      </c>
      <c r="Q110" s="39" t="n">
        <f aca="false">SUM(Q111:Q112)</f>
        <v>13.571446828</v>
      </c>
      <c r="R110" s="39" t="n">
        <f aca="false">SUM(R111:R112)</f>
        <v>15.804596624</v>
      </c>
      <c r="S110" s="39" t="n">
        <f aca="false">SUM(S111:S112)</f>
        <v>18.172321329</v>
      </c>
      <c r="T110" s="39" t="n">
        <f aca="false">INDEX(J110:S110,INDEX(P_VAL,MATCH("AÑO_DIS",P_ID,0))-2025)</f>
        <v>18.172321329</v>
      </c>
      <c r="U110" s="38" t="str">
        <f aca="false">INDEX(C_TAB,MATCH($B110,C_COD,0),10)</f>
        <v>Caja de 10 u</v>
      </c>
      <c r="V110" s="38" t="n">
        <f aca="false">INDEX(C_TAB,MATCH($B110,C_COD,0),11)</f>
        <v>10</v>
      </c>
      <c r="W110" s="44" t="n">
        <f aca="false">ROUNDUP(T110/V110,0)</f>
        <v>2</v>
      </c>
      <c r="X110" s="38" t="str">
        <f aca="false">INDEX(C_TAB,MATCH($B110,C_COD,0),7)</f>
        <v>Ferretería industrial</v>
      </c>
      <c r="Y110" s="38" t="n">
        <f aca="false">INDEX(C_TAB,MATCH($B110,C_COD,0),12)</f>
        <v>5</v>
      </c>
    </row>
    <row r="111" customFormat="false" ht="15" hidden="false" customHeight="false" outlineLevel="1" collapsed="false">
      <c r="A111" s="24" t="n">
        <v>1</v>
      </c>
      <c r="B111" s="24" t="s">
        <v>1877</v>
      </c>
      <c r="C111" s="40" t="s">
        <v>3860</v>
      </c>
      <c r="D111" s="24"/>
      <c r="E111" s="24"/>
      <c r="F111" s="24"/>
      <c r="G111" s="24"/>
      <c r="H111" s="24" t="s">
        <v>244</v>
      </c>
      <c r="I111" s="24" t="s">
        <v>3861</v>
      </c>
      <c r="J111" s="42" t="n">
        <f aca="false">INSUMOS_INDIRECTOS_RODANTES!H73</f>
        <v>1.3620716545</v>
      </c>
      <c r="K111" s="42" t="n">
        <f aca="false">INSUMOS_INDIRECTOS_RODANTES!I73</f>
        <v>2.3384858982</v>
      </c>
      <c r="L111" s="42" t="n">
        <f aca="false">INSUMOS_INDIRECTOS_RODANTES!J73</f>
        <v>3.0083415996</v>
      </c>
      <c r="M111" s="42" t="n">
        <f aca="false">INSUMOS_INDIRECTOS_RODANTES!K73</f>
        <v>4.0211941175</v>
      </c>
      <c r="N111" s="42" t="n">
        <f aca="false">INSUMOS_INDIRECTOS_RODANTES!L73</f>
        <v>6.2350401399</v>
      </c>
      <c r="O111" s="42" t="n">
        <f aca="false">INSUMOS_INDIRECTOS_RODANTES!M73</f>
        <v>8.4773793087</v>
      </c>
      <c r="P111" s="42" t="n">
        <f aca="false">INSUMOS_INDIRECTOS_RODANTES!N73</f>
        <v>10.9067293261</v>
      </c>
      <c r="Q111" s="42" t="n">
        <f aca="false">INSUMOS_INDIRECTOS_RODANTES!O73</f>
        <v>13.513946828</v>
      </c>
      <c r="R111" s="42" t="n">
        <f aca="false">INSUMOS_INDIRECTOS_RODANTES!P73</f>
        <v>15.745096624</v>
      </c>
      <c r="S111" s="42" t="n">
        <f aca="false">INSUMOS_INDIRECTOS_RODANTES!Q73</f>
        <v>18.130821329</v>
      </c>
      <c r="T111" s="42" t="n">
        <f aca="false">INDEX(J111:S111,INDEX(P_VAL,MATCH("AÑO_DIS",P_ID,0))-2025)</f>
        <v>18.130821329</v>
      </c>
      <c r="U111" s="24"/>
      <c r="V111" s="24"/>
      <c r="W111" s="24"/>
      <c r="X111" s="24"/>
      <c r="Y111" s="24"/>
    </row>
    <row r="112" customFormat="false" ht="15" hidden="false" customHeight="false" outlineLevel="1" collapsed="false">
      <c r="A112" s="24" t="n">
        <v>1</v>
      </c>
      <c r="B112" s="24" t="s">
        <v>1877</v>
      </c>
      <c r="C112" s="40" t="s">
        <v>3862</v>
      </c>
      <c r="D112" s="24"/>
      <c r="E112" s="24"/>
      <c r="F112" s="24"/>
      <c r="G112" s="24"/>
      <c r="H112" s="24" t="s">
        <v>132</v>
      </c>
      <c r="I112" s="24" t="s">
        <v>3863</v>
      </c>
      <c r="J112" s="42" t="n">
        <f aca="false">INSUMOS_INDIRECTOS_RECARGAS!H35</f>
        <v>0.02</v>
      </c>
      <c r="K112" s="42" t="n">
        <f aca="false">INSUMOS_INDIRECTOS_RECARGAS!I35</f>
        <v>0.021</v>
      </c>
      <c r="L112" s="42" t="n">
        <f aca="false">INSUMOS_INDIRECTOS_RECARGAS!J35</f>
        <v>0.052</v>
      </c>
      <c r="M112" s="42" t="n">
        <f aca="false">INSUMOS_INDIRECTOS_RECARGAS!K35</f>
        <v>0.0645</v>
      </c>
      <c r="N112" s="42" t="n">
        <f aca="false">INSUMOS_INDIRECTOS_RECARGAS!L35</f>
        <v>0.0775</v>
      </c>
      <c r="O112" s="42" t="n">
        <f aca="false">INSUMOS_INDIRECTOS_RECARGAS!M35</f>
        <v>0.081</v>
      </c>
      <c r="P112" s="42" t="n">
        <f aca="false">INSUMOS_INDIRECTOS_RECARGAS!N35</f>
        <v>0.0745</v>
      </c>
      <c r="Q112" s="42" t="n">
        <f aca="false">INSUMOS_INDIRECTOS_RECARGAS!O35</f>
        <v>0.0575</v>
      </c>
      <c r="R112" s="42" t="n">
        <f aca="false">INSUMOS_INDIRECTOS_RECARGAS!P35</f>
        <v>0.0595</v>
      </c>
      <c r="S112" s="42" t="n">
        <f aca="false">INSUMOS_INDIRECTOS_RECARGAS!Q35</f>
        <v>0.0415</v>
      </c>
      <c r="T112" s="42" t="n">
        <f aca="false">INDEX(J112:S112,INDEX(P_VAL,MATCH("AÑO_DIS",P_ID,0))-2025)</f>
        <v>0.0415</v>
      </c>
      <c r="U112" s="24"/>
      <c r="V112" s="24"/>
      <c r="W112" s="24"/>
      <c r="X112" s="24"/>
      <c r="Y112" s="24"/>
    </row>
    <row r="113" customFormat="false" ht="15" hidden="false" customHeight="false" outlineLevel="0" collapsed="false">
      <c r="A113" s="38" t="n">
        <v>0</v>
      </c>
      <c r="B113" s="38" t="s">
        <v>1865</v>
      </c>
      <c r="C113" s="38" t="str">
        <f aca="false">INDEX(C_TAB,MATCH($B113,C_COD,0),2)</f>
        <v>Spray antiproyecciones MIG 400 ml (Würth)</v>
      </c>
      <c r="D113" s="38" t="str">
        <f aca="false">INDEX(C_TAB,MATCH($B113,C_COD,0),3)</f>
        <v>u</v>
      </c>
      <c r="E113" s="38" t="str">
        <f aca="false">INDEX(C_TAB,MATCH($B113,C_COD,0),4)</f>
        <v>Indirecto</v>
      </c>
      <c r="F113" s="38" t="str">
        <f aca="false">INDEX(C_TAB,MATCH($B113,C_COD,0),5)</f>
        <v>Consumible de proceso</v>
      </c>
      <c r="G113" s="38" t="str">
        <f aca="false">INDEX(C_TAB,MATCH($B113,C_COD,0),6)</f>
        <v>Insumos de soldadura y superficie</v>
      </c>
      <c r="H113" s="38"/>
      <c r="I113" s="38"/>
      <c r="J113" s="39" t="n">
        <f aca="false">SUM(J114:J115)</f>
        <v>0.345517913625</v>
      </c>
      <c r="K113" s="39" t="n">
        <f aca="false">SUM(K114:K115)</f>
        <v>0.58987147455</v>
      </c>
      <c r="L113" s="39" t="n">
        <f aca="false">SUM(L114:L115)</f>
        <v>0.9095853999</v>
      </c>
      <c r="M113" s="39" t="n">
        <f aca="false">SUM(M114:M115)</f>
        <v>1.524923529375</v>
      </c>
      <c r="N113" s="39" t="n">
        <f aca="false">SUM(N114:N115)</f>
        <v>2.510635034975</v>
      </c>
      <c r="O113" s="39" t="n">
        <f aca="false">SUM(O114:O115)</f>
        <v>3.491594827175</v>
      </c>
      <c r="P113" s="39" t="n">
        <f aca="false">SUM(P114:P115)</f>
        <v>4.656307331525</v>
      </c>
      <c r="Q113" s="39" t="n">
        <f aca="false">SUM(Q114:Q115)</f>
        <v>5.862861707</v>
      </c>
      <c r="R113" s="39" t="n">
        <f aca="false">SUM(R114:R115)</f>
        <v>6.720149156</v>
      </c>
      <c r="S113" s="39" t="n">
        <f aca="false">SUM(S114:S115)</f>
        <v>7.76058033225</v>
      </c>
      <c r="T113" s="39" t="n">
        <f aca="false">INDEX(J113:S113,INDEX(P_VAL,MATCH("AÑO_DIS",P_ID,0))-2025)</f>
        <v>7.76058033225</v>
      </c>
      <c r="U113" s="38" t="str">
        <f aca="false">INDEX(C_TAB,MATCH($B113,C_COD,0),10)</f>
        <v>Aerosol de 400 ml</v>
      </c>
      <c r="V113" s="38" t="n">
        <f aca="false">INDEX(C_TAB,MATCH($B113,C_COD,0),11)</f>
        <v>1</v>
      </c>
      <c r="W113" s="44" t="n">
        <f aca="false">ROUNDUP(T113/V113,0)</f>
        <v>8</v>
      </c>
      <c r="X113" s="38" t="str">
        <f aca="false">INDEX(C_TAB,MATCH($B113,C_COD,0),7)</f>
        <v>Würth Argentina</v>
      </c>
      <c r="Y113" s="38" t="n">
        <f aca="false">INDEX(C_TAB,MATCH($B113,C_COD,0),12)</f>
        <v>5</v>
      </c>
    </row>
    <row r="114" customFormat="false" ht="15" hidden="false" customHeight="false" outlineLevel="1" collapsed="false">
      <c r="A114" s="24" t="n">
        <v>1</v>
      </c>
      <c r="B114" s="24" t="s">
        <v>1865</v>
      </c>
      <c r="C114" s="40" t="s">
        <v>3860</v>
      </c>
      <c r="D114" s="24"/>
      <c r="E114" s="24"/>
      <c r="F114" s="24"/>
      <c r="G114" s="24"/>
      <c r="H114" s="24" t="s">
        <v>244</v>
      </c>
      <c r="I114" s="24" t="s">
        <v>3861</v>
      </c>
      <c r="J114" s="42" t="n">
        <f aca="false">INSUMOS_INDIRECTOS_RODANTES!H78</f>
        <v>0.340517913625</v>
      </c>
      <c r="K114" s="42" t="n">
        <f aca="false">INSUMOS_INDIRECTOS_RODANTES!I78</f>
        <v>0.58462147455</v>
      </c>
      <c r="L114" s="42" t="n">
        <f aca="false">INSUMOS_INDIRECTOS_RODANTES!J78</f>
        <v>0.8965853999</v>
      </c>
      <c r="M114" s="42" t="n">
        <f aca="false">INSUMOS_INDIRECTOS_RODANTES!K78</f>
        <v>1.508798529375</v>
      </c>
      <c r="N114" s="42" t="n">
        <f aca="false">INSUMOS_INDIRECTOS_RODANTES!L78</f>
        <v>2.491260034975</v>
      </c>
      <c r="O114" s="42" t="n">
        <f aca="false">INSUMOS_INDIRECTOS_RODANTES!M78</f>
        <v>3.471344827175</v>
      </c>
      <c r="P114" s="42" t="n">
        <f aca="false">INSUMOS_INDIRECTOS_RODANTES!N78</f>
        <v>4.637682331525</v>
      </c>
      <c r="Q114" s="42" t="n">
        <f aca="false">INSUMOS_INDIRECTOS_RODANTES!O78</f>
        <v>5.848486707</v>
      </c>
      <c r="R114" s="42" t="n">
        <f aca="false">INSUMOS_INDIRECTOS_RODANTES!P78</f>
        <v>6.705274156</v>
      </c>
      <c r="S114" s="42" t="n">
        <f aca="false">INSUMOS_INDIRECTOS_RODANTES!Q78</f>
        <v>7.75020533225</v>
      </c>
      <c r="T114" s="42" t="n">
        <f aca="false">INDEX(J114:S114,INDEX(P_VAL,MATCH("AÑO_DIS",P_ID,0))-2025)</f>
        <v>7.75020533225</v>
      </c>
      <c r="U114" s="24"/>
      <c r="V114" s="24"/>
      <c r="W114" s="24"/>
      <c r="X114" s="24"/>
      <c r="Y114" s="24"/>
    </row>
    <row r="115" customFormat="false" ht="15" hidden="false" customHeight="false" outlineLevel="1" collapsed="false">
      <c r="A115" s="24" t="n">
        <v>1</v>
      </c>
      <c r="B115" s="24" t="s">
        <v>1865</v>
      </c>
      <c r="C115" s="40" t="s">
        <v>3862</v>
      </c>
      <c r="D115" s="24"/>
      <c r="E115" s="24"/>
      <c r="F115" s="24"/>
      <c r="G115" s="24"/>
      <c r="H115" s="24" t="s">
        <v>132</v>
      </c>
      <c r="I115" s="24" t="s">
        <v>3863</v>
      </c>
      <c r="J115" s="42" t="n">
        <f aca="false">INSUMOS_INDIRECTOS_RECARGAS!H38</f>
        <v>0.005</v>
      </c>
      <c r="K115" s="42" t="n">
        <f aca="false">INSUMOS_INDIRECTOS_RECARGAS!I38</f>
        <v>0.00525</v>
      </c>
      <c r="L115" s="42" t="n">
        <f aca="false">INSUMOS_INDIRECTOS_RECARGAS!J38</f>
        <v>0.013</v>
      </c>
      <c r="M115" s="42" t="n">
        <f aca="false">INSUMOS_INDIRECTOS_RECARGAS!K38</f>
        <v>0.016125</v>
      </c>
      <c r="N115" s="42" t="n">
        <f aca="false">INSUMOS_INDIRECTOS_RECARGAS!L38</f>
        <v>0.019375</v>
      </c>
      <c r="O115" s="42" t="n">
        <f aca="false">INSUMOS_INDIRECTOS_RECARGAS!M38</f>
        <v>0.02025</v>
      </c>
      <c r="P115" s="42" t="n">
        <f aca="false">INSUMOS_INDIRECTOS_RECARGAS!N38</f>
        <v>0.018625</v>
      </c>
      <c r="Q115" s="42" t="n">
        <f aca="false">INSUMOS_INDIRECTOS_RECARGAS!O38</f>
        <v>0.014375</v>
      </c>
      <c r="R115" s="42" t="n">
        <f aca="false">INSUMOS_INDIRECTOS_RECARGAS!P38</f>
        <v>0.014875</v>
      </c>
      <c r="S115" s="42" t="n">
        <f aca="false">INSUMOS_INDIRECTOS_RECARGAS!Q38</f>
        <v>0.010375</v>
      </c>
      <c r="T115" s="42" t="n">
        <f aca="false">INDEX(J115:S115,INDEX(P_VAL,MATCH("AÑO_DIS",P_ID,0))-2025)</f>
        <v>0.010375</v>
      </c>
      <c r="U115" s="24"/>
      <c r="V115" s="24"/>
      <c r="W115" s="24"/>
      <c r="X115" s="24"/>
      <c r="Y115" s="24"/>
    </row>
    <row r="116" customFormat="false" ht="15" hidden="false" customHeight="false" outlineLevel="0" collapsed="false">
      <c r="A116" s="38" t="n">
        <v>0</v>
      </c>
      <c r="B116" s="38" t="s">
        <v>1795</v>
      </c>
      <c r="C116" s="38" t="str">
        <f aca="false">INDEX(C_TAB,MATCH($B116,C_COD,0),2)</f>
        <v>Granalla de acero S330 / S390 (reposición)</v>
      </c>
      <c r="D116" s="38" t="str">
        <f aca="false">INDEX(C_TAB,MATCH($B116,C_COD,0),3)</f>
        <v>kg</v>
      </c>
      <c r="E116" s="38" t="str">
        <f aca="false">INDEX(C_TAB,MATCH($B116,C_COD,0),4)</f>
        <v>Indirecto</v>
      </c>
      <c r="F116" s="38" t="str">
        <f aca="false">INDEX(C_TAB,MATCH($B116,C_COD,0),5)</f>
        <v>Consumible de proceso</v>
      </c>
      <c r="G116" s="38" t="str">
        <f aca="false">INDEX(C_TAB,MATCH($B116,C_COD,0),6)</f>
        <v>Insumos de soldadura y superficie</v>
      </c>
      <c r="H116" s="38"/>
      <c r="I116" s="38"/>
      <c r="J116" s="39" t="n">
        <f aca="false">SUM(J117:J118)</f>
        <v>587.2298485384</v>
      </c>
      <c r="K116" s="39" t="n">
        <f aca="false">SUM(K117:K118)</f>
        <v>1002.7606084</v>
      </c>
      <c r="L116" s="39" t="n">
        <f aca="false">SUM(L117:L118)</f>
        <v>2003.174574912</v>
      </c>
      <c r="M116" s="39" t="n">
        <f aca="false">SUM(M117:M118)</f>
        <v>4345.500762408</v>
      </c>
      <c r="N116" s="39" t="n">
        <f aca="false">SUM(N117:N118)</f>
        <v>7358.290842232</v>
      </c>
      <c r="O116" s="39" t="n">
        <f aca="false">SUM(O117:O118)</f>
        <v>10248.73536792</v>
      </c>
      <c r="P116" s="39" t="n">
        <f aca="false">SUM(P117:P118)</f>
        <v>13976.00713352</v>
      </c>
      <c r="Q116" s="39" t="n">
        <f aca="false">SUM(Q117:Q118)</f>
        <v>17675.64129992</v>
      </c>
      <c r="R116" s="39" t="n">
        <f aca="false">SUM(R117:R118)</f>
        <v>19831.35975896</v>
      </c>
      <c r="S116" s="39" t="n">
        <f aca="false">SUM(S117:S118)</f>
        <v>22895.14994984</v>
      </c>
      <c r="T116" s="39" t="n">
        <f aca="false">INDEX(J116:S116,INDEX(P_VAL,MATCH("AÑO_DIS",P_ID,0))-2025)</f>
        <v>22895.14994984</v>
      </c>
      <c r="U116" s="38" t="str">
        <f aca="false">INDEX(C_TAB,MATCH($B116,C_COD,0),10)</f>
        <v>Pallet de 40 bolsas de 25 kg</v>
      </c>
      <c r="V116" s="38" t="n">
        <f aca="false">INDEX(C_TAB,MATCH($B116,C_COD,0),11)</f>
        <v>1000</v>
      </c>
      <c r="W116" s="44" t="n">
        <f aca="false">ROUNDUP(T116/V116,0)</f>
        <v>23</v>
      </c>
      <c r="X116" s="38" t="str">
        <f aca="false">INDEX(C_TAB,MATCH($B116,C_COD,0),7)</f>
        <v>CyM Materiales</v>
      </c>
      <c r="Y116" s="38" t="n">
        <f aca="false">INDEX(C_TAB,MATCH($B116,C_COD,0),12)</f>
        <v>7</v>
      </c>
    </row>
    <row r="117" customFormat="false" ht="15" hidden="false" customHeight="false" outlineLevel="1" collapsed="false">
      <c r="A117" s="24" t="n">
        <v>1</v>
      </c>
      <c r="B117" s="24" t="s">
        <v>1795</v>
      </c>
      <c r="C117" s="40" t="s">
        <v>3858</v>
      </c>
      <c r="D117" s="24"/>
      <c r="E117" s="24"/>
      <c r="F117" s="24"/>
      <c r="G117" s="24"/>
      <c r="H117" s="24" t="s">
        <v>229</v>
      </c>
      <c r="I117" s="24" t="s">
        <v>3859</v>
      </c>
      <c r="J117" s="42" t="n">
        <f aca="false">INSUMOS_INDIRECTOS_MANUALES!H31</f>
        <v>582.0298485384</v>
      </c>
      <c r="K117" s="42" t="n">
        <f aca="false">INSUMOS_INDIRECTOS_MANUALES!I31</f>
        <v>984.7406084</v>
      </c>
      <c r="L117" s="42" t="n">
        <f aca="false">INSUMOS_INDIRECTOS_MANUALES!J31</f>
        <v>1979.786574912</v>
      </c>
      <c r="M117" s="42" t="n">
        <f aca="false">INSUMOS_INDIRECTOS_MANUALES!K31</f>
        <v>4304.680762408</v>
      </c>
      <c r="N117" s="42" t="n">
        <f aca="false">INSUMOS_INDIRECTOS_MANUALES!L31</f>
        <v>7314.182842232</v>
      </c>
      <c r="O117" s="42" t="n">
        <f aca="false">INSUMOS_INDIRECTOS_MANUALES!M31</f>
        <v>10197.11136792</v>
      </c>
      <c r="P117" s="42" t="n">
        <f aca="false">INSUMOS_INDIRECTOS_MANUALES!N31</f>
        <v>13926.27113352</v>
      </c>
      <c r="Q117" s="42" t="n">
        <f aca="false">INSUMOS_INDIRECTOS_MANUALES!O31</f>
        <v>17635.52129992</v>
      </c>
      <c r="R117" s="42" t="n">
        <f aca="false">INSUMOS_INDIRECTOS_MANUALES!P31</f>
        <v>19801.35975896</v>
      </c>
      <c r="S117" s="42" t="n">
        <f aca="false">INSUMOS_INDIRECTOS_MANUALES!Q31</f>
        <v>22864.00994984</v>
      </c>
      <c r="T117" s="42" t="n">
        <f aca="false">INDEX(J117:S117,INDEX(P_VAL,MATCH("AÑO_DIS",P_ID,0))-2025)</f>
        <v>22864.00994984</v>
      </c>
      <c r="U117" s="24"/>
      <c r="V117" s="24"/>
      <c r="W117" s="24"/>
      <c r="X117" s="24"/>
      <c r="Y117" s="24"/>
    </row>
    <row r="118" customFormat="false" ht="15" hidden="false" customHeight="false" outlineLevel="1" collapsed="false">
      <c r="A118" s="24" t="n">
        <v>1</v>
      </c>
      <c r="B118" s="24" t="s">
        <v>1795</v>
      </c>
      <c r="C118" s="40" t="s">
        <v>3862</v>
      </c>
      <c r="D118" s="24"/>
      <c r="E118" s="24"/>
      <c r="F118" s="24"/>
      <c r="G118" s="24"/>
      <c r="H118" s="24" t="s">
        <v>132</v>
      </c>
      <c r="I118" s="24" t="s">
        <v>3863</v>
      </c>
      <c r="J118" s="42" t="n">
        <f aca="false">INSUMOS_INDIRECTOS_RECARGAS!H41</f>
        <v>5.2</v>
      </c>
      <c r="K118" s="42" t="n">
        <f aca="false">INSUMOS_INDIRECTOS_RECARGAS!I41</f>
        <v>18.02</v>
      </c>
      <c r="L118" s="42" t="n">
        <f aca="false">INSUMOS_INDIRECTOS_RECARGAS!J41</f>
        <v>23.388</v>
      </c>
      <c r="M118" s="42" t="n">
        <f aca="false">INSUMOS_INDIRECTOS_RECARGAS!K41</f>
        <v>40.82</v>
      </c>
      <c r="N118" s="42" t="n">
        <f aca="false">INSUMOS_INDIRECTOS_RECARGAS!L41</f>
        <v>44.108</v>
      </c>
      <c r="O118" s="42" t="n">
        <f aca="false">INSUMOS_INDIRECTOS_RECARGAS!M41</f>
        <v>51.624</v>
      </c>
      <c r="P118" s="42" t="n">
        <f aca="false">INSUMOS_INDIRECTOS_RECARGAS!N41</f>
        <v>49.736</v>
      </c>
      <c r="Q118" s="42" t="n">
        <f aca="false">INSUMOS_INDIRECTOS_RECARGAS!O41</f>
        <v>40.12</v>
      </c>
      <c r="R118" s="42" t="n">
        <f aca="false">INSUMOS_INDIRECTOS_RECARGAS!P41</f>
        <v>30</v>
      </c>
      <c r="S118" s="42" t="n">
        <f aca="false">INSUMOS_INDIRECTOS_RECARGAS!Q41</f>
        <v>31.14</v>
      </c>
      <c r="T118" s="42" t="n">
        <f aca="false">INDEX(J118:S118,INDEX(P_VAL,MATCH("AÑO_DIS",P_ID,0))-2025)</f>
        <v>31.14</v>
      </c>
      <c r="U118" s="24"/>
      <c r="V118" s="24"/>
      <c r="W118" s="24"/>
      <c r="X118" s="24"/>
      <c r="Y118" s="24"/>
    </row>
    <row r="119" customFormat="false" ht="15" hidden="false" customHeight="false" outlineLevel="0" collapsed="false">
      <c r="A119" s="38" t="n">
        <v>0</v>
      </c>
      <c r="B119" s="38" t="s">
        <v>1803</v>
      </c>
      <c r="C119" s="38" t="str">
        <f aca="false">INDEX(C_TAB,MATCH($B119,C_COD,0),2)</f>
        <v>Pintura en polvo poliéster rojo 03-1-050 (IRAM-DEF D 10-54)</v>
      </c>
      <c r="D119" s="38" t="str">
        <f aca="false">INDEX(C_TAB,MATCH($B119,C_COD,0),3)</f>
        <v>kg</v>
      </c>
      <c r="E119" s="38" t="str">
        <f aca="false">INDEX(C_TAB,MATCH($B119,C_COD,0),4)</f>
        <v>Directo</v>
      </c>
      <c r="F119" s="38" t="str">
        <f aca="false">INDEX(C_TAB,MATCH($B119,C_COD,0),5)</f>
        <v>Materia prima</v>
      </c>
      <c r="G119" s="38" t="str">
        <f aca="false">INDEX(C_TAB,MATCH($B119,C_COD,0),6)</f>
        <v>Depósito de polvo químico</v>
      </c>
      <c r="H119" s="38"/>
      <c r="I119" s="38"/>
      <c r="J119" s="39" t="n">
        <f aca="false">SUM(J120:J121)</f>
        <v>116.815071758834</v>
      </c>
      <c r="K119" s="39" t="n">
        <f aca="false">SUM(K120:K121)</f>
        <v>216.180607916437</v>
      </c>
      <c r="L119" s="39" t="n">
        <f aca="false">SUM(L120:L121)</f>
        <v>392.463506020054</v>
      </c>
      <c r="M119" s="39" t="n">
        <f aca="false">SUM(M120:M121)</f>
        <v>793.620275252063</v>
      </c>
      <c r="N119" s="39" t="n">
        <f aca="false">SUM(N120:N121)</f>
        <v>1304.02589527527</v>
      </c>
      <c r="O119" s="39" t="n">
        <f aca="false">SUM(O120:O121)</f>
        <v>1803.64088571273</v>
      </c>
      <c r="P119" s="39" t="n">
        <f aca="false">SUM(P120:P121)</f>
        <v>2419.00905423733</v>
      </c>
      <c r="Q119" s="39" t="n">
        <f aca="false">SUM(Q120:Q121)</f>
        <v>3023.20104444285</v>
      </c>
      <c r="R119" s="39" t="n">
        <f aca="false">SUM(R120:R121)</f>
        <v>3385.21778041878</v>
      </c>
      <c r="S119" s="39" t="n">
        <f aca="false">SUM(S120:S121)</f>
        <v>3903.25835658998</v>
      </c>
      <c r="T119" s="39" t="n">
        <f aca="false">INDEX(J119:S119,INDEX(P_VAL,MATCH("AÑO_DIS",P_ID,0))-2025)</f>
        <v>3903.25835658998</v>
      </c>
      <c r="U119" s="38" t="str">
        <f aca="false">INDEX(C_TAB,MATCH($B119,C_COD,0),10)</f>
        <v>Caja de 20 kg</v>
      </c>
      <c r="V119" s="38" t="n">
        <f aca="false">INDEX(C_TAB,MATCH($B119,C_COD,0),11)</f>
        <v>20</v>
      </c>
      <c r="W119" s="44" t="n">
        <f aca="false">ROUNDUP(T119/V119,0)</f>
        <v>196</v>
      </c>
      <c r="X119" s="38" t="str">
        <f aca="false">INDEX(C_TAB,MATCH($B119,C_COD,0),7)</f>
        <v>Sinteplast Industria</v>
      </c>
      <c r="Y119" s="38" t="n">
        <f aca="false">INDEX(C_TAB,MATCH($B119,C_COD,0),12)</f>
        <v>10</v>
      </c>
    </row>
    <row r="120" customFormat="false" ht="15" hidden="false" customHeight="false" outlineLevel="1" collapsed="false">
      <c r="A120" s="24" t="n">
        <v>1</v>
      </c>
      <c r="B120" s="24" t="s">
        <v>1803</v>
      </c>
      <c r="C120" s="40" t="s">
        <v>3852</v>
      </c>
      <c r="D120" s="24"/>
      <c r="E120" s="24"/>
      <c r="F120" s="24"/>
      <c r="G120" s="24"/>
      <c r="H120" s="24" t="s">
        <v>229</v>
      </c>
      <c r="I120" s="24" t="s">
        <v>3853</v>
      </c>
      <c r="J120" s="42" t="n">
        <f aca="false">INSUMOS_DIRECTOS_MANUALES!H68</f>
        <v>115.148887474623</v>
      </c>
      <c r="K120" s="42" t="n">
        <f aca="false">INSUMOS_DIRECTOS_MANUALES!I68</f>
        <v>210.471926089595</v>
      </c>
      <c r="L120" s="42" t="n">
        <f aca="false">INSUMOS_DIRECTOS_MANUALES!J68</f>
        <v>384.999268261528</v>
      </c>
      <c r="M120" s="42" t="n">
        <f aca="false">INSUMOS_DIRECTOS_MANUALES!K68</f>
        <v>780.627647598906</v>
      </c>
      <c r="N120" s="42" t="n">
        <f aca="false">INSUMOS_DIRECTOS_MANUALES!L68</f>
        <v>1290.00980071096</v>
      </c>
      <c r="O120" s="42" t="n">
        <f aca="false">INSUMOS_DIRECTOS_MANUALES!M68</f>
        <v>1787.22402601978</v>
      </c>
      <c r="P120" s="42" t="n">
        <f aca="false">INSUMOS_DIRECTOS_MANUALES!N68</f>
        <v>2403.20948407186</v>
      </c>
      <c r="Q120" s="42" t="n">
        <f aca="false">INSUMOS_DIRECTOS_MANUALES!O68</f>
        <v>3010.48010330233</v>
      </c>
      <c r="R120" s="42" t="n">
        <f aca="false">INSUMOS_DIRECTOS_MANUALES!P68</f>
        <v>3375.66889314299</v>
      </c>
      <c r="S120" s="42" t="n">
        <f aca="false">INSUMOS_DIRECTOS_MANUALES!Q68</f>
        <v>3893.36444532682</v>
      </c>
      <c r="T120" s="42" t="n">
        <f aca="false">INDEX(J120:S120,INDEX(P_VAL,MATCH("AÑO_DIS",P_ID,0))-2025)</f>
        <v>3893.36444532682</v>
      </c>
      <c r="U120" s="24"/>
      <c r="V120" s="24"/>
      <c r="W120" s="24"/>
      <c r="X120" s="24"/>
      <c r="Y120" s="24"/>
    </row>
    <row r="121" customFormat="false" ht="15" hidden="false" customHeight="false" outlineLevel="1" collapsed="false">
      <c r="A121" s="24" t="n">
        <v>1</v>
      </c>
      <c r="B121" s="24" t="s">
        <v>1803</v>
      </c>
      <c r="C121" s="40" t="s">
        <v>3854</v>
      </c>
      <c r="D121" s="24"/>
      <c r="E121" s="24"/>
      <c r="F121" s="24"/>
      <c r="G121" s="24"/>
      <c r="H121" s="24" t="s">
        <v>132</v>
      </c>
      <c r="I121" s="24" t="s">
        <v>3855</v>
      </c>
      <c r="J121" s="42" t="n">
        <f aca="false">INSUMOS_DIRECTOS_RECARGAS!H106</f>
        <v>1.66618428421053</v>
      </c>
      <c r="K121" s="42" t="n">
        <f aca="false">INSUMOS_DIRECTOS_RECARGAS!I106</f>
        <v>5.70868182684211</v>
      </c>
      <c r="L121" s="42" t="n">
        <f aca="false">INSUMOS_DIRECTOS_RECARGAS!J106</f>
        <v>7.46423775852632</v>
      </c>
      <c r="M121" s="42" t="n">
        <f aca="false">INSUMOS_DIRECTOS_RECARGAS!K106</f>
        <v>12.9926276531579</v>
      </c>
      <c r="N121" s="42" t="n">
        <f aca="false">INSUMOS_DIRECTOS_RECARGAS!L106</f>
        <v>14.0160945643158</v>
      </c>
      <c r="O121" s="42" t="n">
        <f aca="false">INSUMOS_DIRECTOS_RECARGAS!M106</f>
        <v>16.4168596929474</v>
      </c>
      <c r="P121" s="42" t="n">
        <f aca="false">INSUMOS_DIRECTOS_RECARGAS!N106</f>
        <v>15.7995701654737</v>
      </c>
      <c r="Q121" s="42" t="n">
        <f aca="false">INSUMOS_DIRECTOS_RECARGAS!O106</f>
        <v>12.7209411405263</v>
      </c>
      <c r="R121" s="42" t="n">
        <f aca="false">INSUMOS_DIRECTOS_RECARGAS!P106</f>
        <v>9.54888727578947</v>
      </c>
      <c r="S121" s="42" t="n">
        <f aca="false">INSUMOS_DIRECTOS_RECARGAS!Q106</f>
        <v>9.89391126315789</v>
      </c>
      <c r="T121" s="42" t="n">
        <f aca="false">INDEX(J121:S121,INDEX(P_VAL,MATCH("AÑO_DIS",P_ID,0))-2025)</f>
        <v>9.89391126315789</v>
      </c>
      <c r="U121" s="24"/>
      <c r="V121" s="24"/>
      <c r="W121" s="24"/>
      <c r="X121" s="24"/>
      <c r="Y121" s="24"/>
    </row>
    <row r="122" customFormat="false" ht="15" hidden="false" customHeight="false" outlineLevel="0" collapsed="false">
      <c r="A122" s="38" t="n">
        <v>0</v>
      </c>
      <c r="B122" s="38" t="s">
        <v>1799</v>
      </c>
      <c r="C122" s="38" t="str">
        <f aca="false">INDEX(C_TAB,MATCH($B122,C_COD,0),2)</f>
        <v>Tapón-gancho de silicona M22 / M30 (enmascarado)</v>
      </c>
      <c r="D122" s="38" t="str">
        <f aca="false">INDEX(C_TAB,MATCH($B122,C_COD,0),3)</f>
        <v>u</v>
      </c>
      <c r="E122" s="38" t="str">
        <f aca="false">INDEX(C_TAB,MATCH($B122,C_COD,0),4)</f>
        <v>Indirecto</v>
      </c>
      <c r="F122" s="38" t="str">
        <f aca="false">INDEX(C_TAB,MATCH($B122,C_COD,0),5)</f>
        <v>Consumible de proceso</v>
      </c>
      <c r="G122" s="38" t="str">
        <f aca="false">INDEX(C_TAB,MATCH($B122,C_COD,0),6)</f>
        <v>Insumos de soldadura y superficie</v>
      </c>
      <c r="H122" s="38"/>
      <c r="I122" s="38"/>
      <c r="J122" s="39" t="n">
        <f aca="false">SUM(J123:J124)</f>
        <v>146.8074621346</v>
      </c>
      <c r="K122" s="39" t="n">
        <f aca="false">SUM(K123:K124)</f>
        <v>250.6901521</v>
      </c>
      <c r="L122" s="39" t="n">
        <f aca="false">SUM(L123:L124)</f>
        <v>500.793643728</v>
      </c>
      <c r="M122" s="39" t="n">
        <f aca="false">SUM(M123:M124)</f>
        <v>1086.375190602</v>
      </c>
      <c r="N122" s="39" t="n">
        <f aca="false">SUM(N123:N124)</f>
        <v>1839.572710558</v>
      </c>
      <c r="O122" s="39" t="n">
        <f aca="false">SUM(O123:O124)</f>
        <v>2562.18384198</v>
      </c>
      <c r="P122" s="39" t="n">
        <f aca="false">SUM(P123:P124)</f>
        <v>3494.00178338</v>
      </c>
      <c r="Q122" s="39" t="n">
        <f aca="false">SUM(Q123:Q124)</f>
        <v>4418.91032498</v>
      </c>
      <c r="R122" s="39" t="n">
        <f aca="false">SUM(R123:R124)</f>
        <v>4957.83993974</v>
      </c>
      <c r="S122" s="39" t="n">
        <f aca="false">SUM(S123:S124)</f>
        <v>5723.78748746</v>
      </c>
      <c r="T122" s="39" t="n">
        <f aca="false">INDEX(J122:S122,INDEX(P_VAL,MATCH("AÑO_DIS",P_ID,0))-2025)</f>
        <v>5723.78748746</v>
      </c>
      <c r="U122" s="38" t="str">
        <f aca="false">INDEX(C_TAB,MATCH($B122,C_COD,0),10)</f>
        <v>Caja de 500 u</v>
      </c>
      <c r="V122" s="38" t="n">
        <f aca="false">INDEX(C_TAB,MATCH($B122,C_COD,0),11)</f>
        <v>500</v>
      </c>
      <c r="W122" s="44" t="n">
        <f aca="false">ROUNDUP(T122/V122,0)</f>
        <v>12</v>
      </c>
      <c r="X122" s="38" t="str">
        <f aca="false">INDEX(C_TAB,MATCH($B122,C_COD,0),7)</f>
        <v>Distribuidor de enmascarado</v>
      </c>
      <c r="Y122" s="38" t="n">
        <f aca="false">INDEX(C_TAB,MATCH($B122,C_COD,0),12)</f>
        <v>10</v>
      </c>
    </row>
    <row r="123" customFormat="false" ht="15" hidden="false" customHeight="false" outlineLevel="1" collapsed="false">
      <c r="A123" s="24" t="n">
        <v>1</v>
      </c>
      <c r="B123" s="24" t="s">
        <v>1799</v>
      </c>
      <c r="C123" s="40" t="s">
        <v>3858</v>
      </c>
      <c r="D123" s="24"/>
      <c r="E123" s="24"/>
      <c r="F123" s="24"/>
      <c r="G123" s="24"/>
      <c r="H123" s="24" t="s">
        <v>229</v>
      </c>
      <c r="I123" s="24" t="s">
        <v>3859</v>
      </c>
      <c r="J123" s="42" t="n">
        <f aca="false">INSUMOS_INDIRECTOS_MANUALES!H40</f>
        <v>145.5074621346</v>
      </c>
      <c r="K123" s="42" t="n">
        <f aca="false">INSUMOS_INDIRECTOS_MANUALES!I40</f>
        <v>246.1851521</v>
      </c>
      <c r="L123" s="42" t="n">
        <f aca="false">INSUMOS_INDIRECTOS_MANUALES!J40</f>
        <v>494.946643728</v>
      </c>
      <c r="M123" s="42" t="n">
        <f aca="false">INSUMOS_INDIRECTOS_MANUALES!K40</f>
        <v>1076.170190602</v>
      </c>
      <c r="N123" s="42" t="n">
        <f aca="false">INSUMOS_INDIRECTOS_MANUALES!L40</f>
        <v>1828.545710558</v>
      </c>
      <c r="O123" s="42" t="n">
        <f aca="false">INSUMOS_INDIRECTOS_MANUALES!M40</f>
        <v>2549.27784198</v>
      </c>
      <c r="P123" s="42" t="n">
        <f aca="false">INSUMOS_INDIRECTOS_MANUALES!N40</f>
        <v>3481.56778338</v>
      </c>
      <c r="Q123" s="42" t="n">
        <f aca="false">INSUMOS_INDIRECTOS_MANUALES!O40</f>
        <v>4408.88032498</v>
      </c>
      <c r="R123" s="42" t="n">
        <f aca="false">INSUMOS_INDIRECTOS_MANUALES!P40</f>
        <v>4950.33993974</v>
      </c>
      <c r="S123" s="42" t="n">
        <f aca="false">INSUMOS_INDIRECTOS_MANUALES!Q40</f>
        <v>5716.00248746</v>
      </c>
      <c r="T123" s="42" t="n">
        <f aca="false">INDEX(J123:S123,INDEX(P_VAL,MATCH("AÑO_DIS",P_ID,0))-2025)</f>
        <v>5716.00248746</v>
      </c>
      <c r="U123" s="24"/>
      <c r="V123" s="24"/>
      <c r="W123" s="24"/>
      <c r="X123" s="24"/>
      <c r="Y123" s="24"/>
    </row>
    <row r="124" customFormat="false" ht="15" hidden="false" customHeight="false" outlineLevel="1" collapsed="false">
      <c r="A124" s="24" t="n">
        <v>1</v>
      </c>
      <c r="B124" s="24" t="s">
        <v>1799</v>
      </c>
      <c r="C124" s="40" t="s">
        <v>3862</v>
      </c>
      <c r="D124" s="24"/>
      <c r="E124" s="24"/>
      <c r="F124" s="24"/>
      <c r="G124" s="24"/>
      <c r="H124" s="24" t="s">
        <v>132</v>
      </c>
      <c r="I124" s="24" t="s">
        <v>3863</v>
      </c>
      <c r="J124" s="42" t="n">
        <f aca="false">INSUMOS_INDIRECTOS_RECARGAS!H44</f>
        <v>1.3</v>
      </c>
      <c r="K124" s="42" t="n">
        <f aca="false">INSUMOS_INDIRECTOS_RECARGAS!I44</f>
        <v>4.505</v>
      </c>
      <c r="L124" s="42" t="n">
        <f aca="false">INSUMOS_INDIRECTOS_RECARGAS!J44</f>
        <v>5.847</v>
      </c>
      <c r="M124" s="42" t="n">
        <f aca="false">INSUMOS_INDIRECTOS_RECARGAS!K44</f>
        <v>10.205</v>
      </c>
      <c r="N124" s="42" t="n">
        <f aca="false">INSUMOS_INDIRECTOS_RECARGAS!L44</f>
        <v>11.027</v>
      </c>
      <c r="O124" s="42" t="n">
        <f aca="false">INSUMOS_INDIRECTOS_RECARGAS!M44</f>
        <v>12.906</v>
      </c>
      <c r="P124" s="42" t="n">
        <f aca="false">INSUMOS_INDIRECTOS_RECARGAS!N44</f>
        <v>12.434</v>
      </c>
      <c r="Q124" s="42" t="n">
        <f aca="false">INSUMOS_INDIRECTOS_RECARGAS!O44</f>
        <v>10.03</v>
      </c>
      <c r="R124" s="42" t="n">
        <f aca="false">INSUMOS_INDIRECTOS_RECARGAS!P44</f>
        <v>7.5</v>
      </c>
      <c r="S124" s="42" t="n">
        <f aca="false">INSUMOS_INDIRECTOS_RECARGAS!Q44</f>
        <v>7.785</v>
      </c>
      <c r="T124" s="42" t="n">
        <f aca="false">INDEX(J124:S124,INDEX(P_VAL,MATCH("AÑO_DIS",P_ID,0))-2025)</f>
        <v>7.785</v>
      </c>
      <c r="U124" s="24"/>
      <c r="V124" s="24"/>
      <c r="W124" s="24"/>
      <c r="X124" s="24"/>
      <c r="Y124" s="24"/>
    </row>
    <row r="125" customFormat="false" ht="15" hidden="false" customHeight="false" outlineLevel="0" collapsed="false">
      <c r="A125" s="38" t="n">
        <v>0</v>
      </c>
      <c r="B125" s="38" t="s">
        <v>519</v>
      </c>
      <c r="C125" s="38" t="str">
        <f aca="false">INDEX(C_TAB,MATCH($B125,C_COD,0),2)</f>
        <v>Válvula HZ M-22 con tubo de pesca (1 kg)</v>
      </c>
      <c r="D125" s="38" t="str">
        <f aca="false">INDEX(C_TAB,MATCH($B125,C_COD,0),3)</f>
        <v>u</v>
      </c>
      <c r="E125" s="38" t="str">
        <f aca="false">INDEX(C_TAB,MATCH($B125,C_COD,0),4)</f>
        <v>Directo</v>
      </c>
      <c r="F125" s="38" t="str">
        <f aca="false">INDEX(C_TAB,MATCH($B125,C_COD,0),5)</f>
        <v>Componente comprado</v>
      </c>
      <c r="G125" s="38" t="str">
        <f aca="false">INDEX(C_TAB,MATCH($B125,C_COD,0),6)</f>
        <v>Insumos de montaje (manuales)</v>
      </c>
      <c r="H125" s="38"/>
      <c r="I125" s="38"/>
      <c r="J125" s="39" t="n">
        <f aca="false">SUM(J126:J127)</f>
        <v>4283.06100672</v>
      </c>
      <c r="K125" s="39" t="n">
        <f aca="false">SUM(K126:K127)</f>
        <v>6506.4215462</v>
      </c>
      <c r="L125" s="39" t="n">
        <f aca="false">SUM(L126:L127)</f>
        <v>7768.1304433</v>
      </c>
      <c r="M125" s="39" t="n">
        <f aca="false">SUM(M126:M127)</f>
        <v>10148.5848808</v>
      </c>
      <c r="N125" s="39" t="n">
        <f aca="false">SUM(N126:N127)</f>
        <v>15208.7394939</v>
      </c>
      <c r="O125" s="39" t="n">
        <f aca="false">SUM(O126:O127)</f>
        <v>19142.487763</v>
      </c>
      <c r="P125" s="39" t="n">
        <f aca="false">SUM(P126:P127)</f>
        <v>24760.872328</v>
      </c>
      <c r="Q125" s="39" t="n">
        <f aca="false">SUM(Q126:Q127)</f>
        <v>30274.209301</v>
      </c>
      <c r="R125" s="39" t="n">
        <f aca="false">SUM(R126:R127)</f>
        <v>34084.05312</v>
      </c>
      <c r="S125" s="39" t="n">
        <f aca="false">SUM(S126:S127)</f>
        <v>37961.119851</v>
      </c>
      <c r="T125" s="39" t="n">
        <f aca="false">INDEX(J125:S125,INDEX(P_VAL,MATCH("AÑO_DIS",P_ID,0))-2025)</f>
        <v>37961.119851</v>
      </c>
      <c r="U125" s="38" t="str">
        <f aca="false">INDEX(C_TAB,MATCH($B125,C_COD,0),10)</f>
        <v>Caja de 100 u</v>
      </c>
      <c r="V125" s="38" t="n">
        <f aca="false">INDEX(C_TAB,MATCH($B125,C_COD,0),11)</f>
        <v>100</v>
      </c>
      <c r="W125" s="44" t="n">
        <f aca="false">ROUNDUP(T125/V125,0)</f>
        <v>380</v>
      </c>
      <c r="X125" s="38" t="str">
        <f aca="false">INDEX(C_TAB,MATCH($B125,C_COD,0),7)</f>
        <v>Polvex (HZ)</v>
      </c>
      <c r="Y125" s="38" t="n">
        <f aca="false">INDEX(C_TAB,MATCH($B125,C_COD,0),12)</f>
        <v>20</v>
      </c>
    </row>
    <row r="126" customFormat="false" ht="15" hidden="false" customHeight="false" outlineLevel="1" collapsed="false">
      <c r="A126" s="24" t="n">
        <v>1</v>
      </c>
      <c r="B126" s="24" t="s">
        <v>519</v>
      </c>
      <c r="C126" s="40" t="s">
        <v>3852</v>
      </c>
      <c r="D126" s="24"/>
      <c r="E126" s="24"/>
      <c r="F126" s="24"/>
      <c r="G126" s="24"/>
      <c r="H126" s="24" t="s">
        <v>229</v>
      </c>
      <c r="I126" s="24" t="s">
        <v>3853</v>
      </c>
      <c r="J126" s="42" t="n">
        <f aca="false">INSUMOS_DIRECTOS_MANUALES!H77</f>
        <v>4178.736543</v>
      </c>
      <c r="K126" s="42" t="n">
        <f aca="false">INSUMOS_DIRECTOS_MANUALES!I77</f>
        <v>5997.303977</v>
      </c>
      <c r="L126" s="42" t="n">
        <f aca="false">INSUMOS_DIRECTOS_MANUALES!J77</f>
        <v>6851.747758</v>
      </c>
      <c r="M126" s="42" t="n">
        <f aca="false">INSUMOS_DIRECTOS_MANUALES!K77</f>
        <v>8467.135549</v>
      </c>
      <c r="N126" s="42" t="n">
        <f aca="false">INSUMOS_DIRECTOS_MANUALES!L77</f>
        <v>12680.63271</v>
      </c>
      <c r="O126" s="42" t="n">
        <f aca="false">INSUMOS_DIRECTOS_MANUALES!M77</f>
        <v>15620.25307</v>
      </c>
      <c r="P126" s="42" t="n">
        <f aca="false">INSUMOS_DIRECTOS_MANUALES!N77</f>
        <v>20332.55326</v>
      </c>
      <c r="Q126" s="42" t="n">
        <f aca="false">INSUMOS_DIRECTOS_MANUALES!O77</f>
        <v>25132.07848</v>
      </c>
      <c r="R126" s="42" t="n">
        <f aca="false">INSUMOS_DIRECTOS_MANUALES!P77</f>
        <v>28573.33614</v>
      </c>
      <c r="S126" s="42" t="n">
        <f aca="false">INSUMOS_DIRECTOS_MANUALES!Q77</f>
        <v>32072.63913</v>
      </c>
      <c r="T126" s="42" t="n">
        <f aca="false">INDEX(J126:S126,INDEX(P_VAL,MATCH("AÑO_DIS",P_ID,0))-2025)</f>
        <v>32072.63913</v>
      </c>
      <c r="U126" s="24"/>
      <c r="V126" s="24"/>
      <c r="W126" s="24"/>
      <c r="X126" s="24"/>
      <c r="Y126" s="24"/>
    </row>
    <row r="127" customFormat="false" ht="15" hidden="false" customHeight="false" outlineLevel="1" collapsed="false">
      <c r="A127" s="24" t="n">
        <v>1</v>
      </c>
      <c r="B127" s="24" t="s">
        <v>519</v>
      </c>
      <c r="C127" s="40" t="s">
        <v>3854</v>
      </c>
      <c r="D127" s="24"/>
      <c r="E127" s="24"/>
      <c r="F127" s="24"/>
      <c r="G127" s="24"/>
      <c r="H127" s="24" t="s">
        <v>132</v>
      </c>
      <c r="I127" s="24" t="s">
        <v>3855</v>
      </c>
      <c r="J127" s="42" t="n">
        <f aca="false">INSUMOS_DIRECTOS_RECARGAS!H109</f>
        <v>104.32446372</v>
      </c>
      <c r="K127" s="42" t="n">
        <f aca="false">INSUMOS_DIRECTOS_RECARGAS!I109</f>
        <v>509.1175692</v>
      </c>
      <c r="L127" s="42" t="n">
        <f aca="false">INSUMOS_DIRECTOS_RECARGAS!J109</f>
        <v>916.3826853</v>
      </c>
      <c r="M127" s="42" t="n">
        <f aca="false">INSUMOS_DIRECTOS_RECARGAS!K109</f>
        <v>1681.4493318</v>
      </c>
      <c r="N127" s="42" t="n">
        <f aca="false">INSUMOS_DIRECTOS_RECARGAS!L109</f>
        <v>2528.1067839</v>
      </c>
      <c r="O127" s="42" t="n">
        <f aca="false">INSUMOS_DIRECTOS_RECARGAS!M109</f>
        <v>3522.234693</v>
      </c>
      <c r="P127" s="42" t="n">
        <f aca="false">INSUMOS_DIRECTOS_RECARGAS!N109</f>
        <v>4428.319068</v>
      </c>
      <c r="Q127" s="42" t="n">
        <f aca="false">INSUMOS_DIRECTOS_RECARGAS!O109</f>
        <v>5142.130821</v>
      </c>
      <c r="R127" s="42" t="n">
        <f aca="false">INSUMOS_DIRECTOS_RECARGAS!P109</f>
        <v>5510.71698</v>
      </c>
      <c r="S127" s="42" t="n">
        <f aca="false">INSUMOS_DIRECTOS_RECARGAS!Q109</f>
        <v>5888.480721</v>
      </c>
      <c r="T127" s="42" t="n">
        <f aca="false">INDEX(J127:S127,INDEX(P_VAL,MATCH("AÑO_DIS",P_ID,0))-2025)</f>
        <v>5888.480721</v>
      </c>
      <c r="U127" s="24"/>
      <c r="V127" s="24"/>
      <c r="W127" s="24"/>
      <c r="X127" s="24"/>
      <c r="Y127" s="24"/>
    </row>
    <row r="128" customFormat="false" ht="15" hidden="false" customHeight="false" outlineLevel="0" collapsed="false">
      <c r="A128" s="38" t="n">
        <v>0</v>
      </c>
      <c r="B128" s="38" t="s">
        <v>634</v>
      </c>
      <c r="C128" s="38" t="str">
        <f aca="false">INDEX(C_TAB,MATCH($B128,C_COD,0),2)</f>
        <v>Válvula HZ M-30 con resorte y tubo 7/8 (2,5 a 10 kg)</v>
      </c>
      <c r="D128" s="38" t="str">
        <f aca="false">INDEX(C_TAB,MATCH($B128,C_COD,0),3)</f>
        <v>u</v>
      </c>
      <c r="E128" s="38" t="str">
        <f aca="false">INDEX(C_TAB,MATCH($B128,C_COD,0),4)</f>
        <v>Directo</v>
      </c>
      <c r="F128" s="38" t="str">
        <f aca="false">INDEX(C_TAB,MATCH($B128,C_COD,0),5)</f>
        <v>Componente comprado</v>
      </c>
      <c r="G128" s="38" t="str">
        <f aca="false">INDEX(C_TAB,MATCH($B128,C_COD,0),6)</f>
        <v>Insumos de montaje (manuales)</v>
      </c>
      <c r="H128" s="38"/>
      <c r="I128" s="38"/>
      <c r="J128" s="39" t="n">
        <f aca="false">SUM(J129:J130)</f>
        <v>3235.54859564</v>
      </c>
      <c r="K128" s="39" t="n">
        <f aca="false">SUM(K129:K130)</f>
        <v>6833.146101657</v>
      </c>
      <c r="L128" s="39" t="n">
        <f aca="false">SUM(L129:L130)</f>
        <v>9326.12445981</v>
      </c>
      <c r="M128" s="39" t="n">
        <f aca="false">SUM(M129:M130)</f>
        <v>13907.19462553</v>
      </c>
      <c r="N128" s="39" t="n">
        <f aca="false">SUM(N129:N130)</f>
        <v>19625.48555416</v>
      </c>
      <c r="O128" s="39" t="n">
        <f aca="false">SUM(O129:O130)</f>
        <v>25745.88033996</v>
      </c>
      <c r="P128" s="39" t="n">
        <f aca="false">SUM(P129:P130)</f>
        <v>31274.6761341</v>
      </c>
      <c r="Q128" s="39" t="n">
        <f aca="false">SUM(Q129:Q130)</f>
        <v>36151.38162782</v>
      </c>
      <c r="R128" s="39" t="n">
        <f aca="false">SUM(R129:R130)</f>
        <v>40240.25330004</v>
      </c>
      <c r="S128" s="39" t="n">
        <f aca="false">SUM(S129:S130)</f>
        <v>45788.38188975</v>
      </c>
      <c r="T128" s="39" t="n">
        <f aca="false">INDEX(J128:S128,INDEX(P_VAL,MATCH("AÑO_DIS",P_ID,0))-2025)</f>
        <v>45788.38188975</v>
      </c>
      <c r="U128" s="38" t="str">
        <f aca="false">INDEX(C_TAB,MATCH($B128,C_COD,0),10)</f>
        <v>Caja de 50 u</v>
      </c>
      <c r="V128" s="38" t="n">
        <f aca="false">INDEX(C_TAB,MATCH($B128,C_COD,0),11)</f>
        <v>50</v>
      </c>
      <c r="W128" s="44" t="n">
        <f aca="false">ROUNDUP(T128/V128,0)</f>
        <v>916</v>
      </c>
      <c r="X128" s="38" t="str">
        <f aca="false">INDEX(C_TAB,MATCH($B128,C_COD,0),7)</f>
        <v>Polvex (HZ)</v>
      </c>
      <c r="Y128" s="38" t="n">
        <f aca="false">INDEX(C_TAB,MATCH($B128,C_COD,0),12)</f>
        <v>20</v>
      </c>
    </row>
    <row r="129" customFormat="false" ht="15" hidden="false" customHeight="false" outlineLevel="1" collapsed="false">
      <c r="A129" s="24" t="n">
        <v>1</v>
      </c>
      <c r="B129" s="24" t="s">
        <v>634</v>
      </c>
      <c r="C129" s="40" t="s">
        <v>3852</v>
      </c>
      <c r="D129" s="24"/>
      <c r="E129" s="24"/>
      <c r="F129" s="24"/>
      <c r="G129" s="24"/>
      <c r="H129" s="24" t="s">
        <v>229</v>
      </c>
      <c r="I129" s="24" t="s">
        <v>3853</v>
      </c>
      <c r="J129" s="42" t="n">
        <f aca="false">INSUMOS_DIRECTOS_MANUALES!H79</f>
        <v>3096.63656373</v>
      </c>
      <c r="K129" s="42" t="n">
        <f aca="false">INSUMOS_DIRECTOS_MANUALES!I79</f>
        <v>6311.953628</v>
      </c>
      <c r="L129" s="42" t="n">
        <f aca="false">INSUMOS_DIRECTOS_MANUALES!J79</f>
        <v>8364.3844284</v>
      </c>
      <c r="M129" s="42" t="n">
        <f aca="false">INSUMOS_DIRECTOS_MANUALES!K79</f>
        <v>12135.7739811</v>
      </c>
      <c r="N129" s="42" t="n">
        <f aca="false">INSUMOS_DIRECTOS_MANUALES!L79</f>
        <v>17254.6528179</v>
      </c>
      <c r="O129" s="42" t="n">
        <f aca="false">INSUMOS_DIRECTOS_MANUALES!M79</f>
        <v>22680.439029</v>
      </c>
      <c r="P129" s="42" t="n">
        <f aca="false">INSUMOS_DIRECTOS_MANUALES!N79</f>
        <v>27688.235909</v>
      </c>
      <c r="Q129" s="42" t="n">
        <f aca="false">INSUMOS_DIRECTOS_MANUALES!O79</f>
        <v>32359.937769</v>
      </c>
      <c r="R129" s="42" t="n">
        <f aca="false">INSUMOS_DIRECTOS_MANUALES!P79</f>
        <v>36315.260847</v>
      </c>
      <c r="S129" s="42" t="n">
        <f aca="false">INSUMOS_DIRECTOS_MANUALES!Q79</f>
        <v>41584.485243</v>
      </c>
      <c r="T129" s="42" t="n">
        <f aca="false">INDEX(J129:S129,INDEX(P_VAL,MATCH("AÑO_DIS",P_ID,0))-2025)</f>
        <v>41584.485243</v>
      </c>
      <c r="U129" s="24"/>
      <c r="V129" s="24"/>
      <c r="W129" s="24"/>
      <c r="X129" s="24"/>
      <c r="Y129" s="24"/>
    </row>
    <row r="130" customFormat="false" ht="15" hidden="false" customHeight="false" outlineLevel="1" collapsed="false">
      <c r="A130" s="24" t="n">
        <v>1</v>
      </c>
      <c r="B130" s="24" t="s">
        <v>634</v>
      </c>
      <c r="C130" s="40" t="s">
        <v>3854</v>
      </c>
      <c r="D130" s="24"/>
      <c r="E130" s="24"/>
      <c r="F130" s="24"/>
      <c r="G130" s="24"/>
      <c r="H130" s="24" t="s">
        <v>132</v>
      </c>
      <c r="I130" s="24" t="s">
        <v>3855</v>
      </c>
      <c r="J130" s="42" t="n">
        <f aca="false">INSUMOS_DIRECTOS_RECARGAS!H111</f>
        <v>138.91203191</v>
      </c>
      <c r="K130" s="42" t="n">
        <f aca="false">INSUMOS_DIRECTOS_RECARGAS!I111</f>
        <v>521.192473657</v>
      </c>
      <c r="L130" s="42" t="n">
        <f aca="false">INSUMOS_DIRECTOS_RECARGAS!J111</f>
        <v>961.74003141</v>
      </c>
      <c r="M130" s="42" t="n">
        <f aca="false">INSUMOS_DIRECTOS_RECARGAS!K111</f>
        <v>1771.42064443</v>
      </c>
      <c r="N130" s="42" t="n">
        <f aca="false">INSUMOS_DIRECTOS_RECARGAS!L111</f>
        <v>2370.83273626</v>
      </c>
      <c r="O130" s="42" t="n">
        <f aca="false">INSUMOS_DIRECTOS_RECARGAS!M111</f>
        <v>3065.44131096</v>
      </c>
      <c r="P130" s="42" t="n">
        <f aca="false">INSUMOS_DIRECTOS_RECARGAS!N111</f>
        <v>3586.4402251</v>
      </c>
      <c r="Q130" s="42" t="n">
        <f aca="false">INSUMOS_DIRECTOS_RECARGAS!O111</f>
        <v>3791.44385882</v>
      </c>
      <c r="R130" s="42" t="n">
        <f aca="false">INSUMOS_DIRECTOS_RECARGAS!P111</f>
        <v>3924.99245304</v>
      </c>
      <c r="S130" s="42" t="n">
        <f aca="false">INSUMOS_DIRECTOS_RECARGAS!Q111</f>
        <v>4203.89664675</v>
      </c>
      <c r="T130" s="42" t="n">
        <f aca="false">INDEX(J130:S130,INDEX(P_VAL,MATCH("AÑO_DIS",P_ID,0))-2025)</f>
        <v>4203.89664675</v>
      </c>
      <c r="U130" s="24"/>
      <c r="V130" s="24"/>
      <c r="W130" s="24"/>
      <c r="X130" s="24"/>
      <c r="Y130" s="24"/>
    </row>
    <row r="131" customFormat="false" ht="15" hidden="false" customHeight="false" outlineLevel="0" collapsed="false">
      <c r="A131" s="38" t="n">
        <v>0</v>
      </c>
      <c r="B131" s="38" t="s">
        <v>899</v>
      </c>
      <c r="C131" s="38" t="str">
        <f aca="false">INDEX(C_TAB,MATCH($B131,C_COD,0),2)</f>
        <v>Válvula HZ de carro 25 kg (traba, manija y resorte)</v>
      </c>
      <c r="D131" s="38" t="str">
        <f aca="false">INDEX(C_TAB,MATCH($B131,C_COD,0),3)</f>
        <v>u</v>
      </c>
      <c r="E131" s="38" t="str">
        <f aca="false">INDEX(C_TAB,MATCH($B131,C_COD,0),4)</f>
        <v>Directo</v>
      </c>
      <c r="F131" s="38" t="str">
        <f aca="false">INDEX(C_TAB,MATCH($B131,C_COD,0),5)</f>
        <v>Componente comprado</v>
      </c>
      <c r="G131" s="38" t="str">
        <f aca="false">INDEX(C_TAB,MATCH($B131,C_COD,0),6)</f>
        <v>Rack de insumos de montaje (carros)</v>
      </c>
      <c r="H131" s="38"/>
      <c r="I131" s="38"/>
      <c r="J131" s="39" t="n">
        <f aca="false">SUM(J132:J133)</f>
        <v>34.5809239476</v>
      </c>
      <c r="K131" s="39" t="n">
        <f aca="false">SUM(K132:K133)</f>
        <v>61.041782032</v>
      </c>
      <c r="L131" s="39" t="n">
        <f aca="false">SUM(L132:L133)</f>
        <v>80.814626999</v>
      </c>
      <c r="M131" s="39" t="n">
        <f aca="false">SUM(M132:M133)</f>
        <v>110.627361524</v>
      </c>
      <c r="N131" s="39" t="n">
        <f aca="false">SUM(N132:N133)</f>
        <v>170.399981431</v>
      </c>
      <c r="O131" s="39" t="n">
        <f aca="false">SUM(O132:O133)</f>
        <v>231.231094262</v>
      </c>
      <c r="P131" s="39" t="n">
        <f aca="false">SUM(P132:P133)</f>
        <v>296.441185469</v>
      </c>
      <c r="Q131" s="39" t="n">
        <f aca="false">SUM(Q132:Q133)</f>
        <v>364.53900191</v>
      </c>
      <c r="R131" s="39" t="n">
        <f aca="false">SUM(R132:R133)</f>
        <v>422.586748885</v>
      </c>
      <c r="S131" s="39" t="n">
        <f aca="false">SUM(S132:S133)</f>
        <v>484.52872426</v>
      </c>
      <c r="T131" s="39" t="n">
        <f aca="false">INDEX(J131:S131,INDEX(P_VAL,MATCH("AÑO_DIS",P_ID,0))-2025)</f>
        <v>484.52872426</v>
      </c>
      <c r="U131" s="38" t="str">
        <f aca="false">INDEX(C_TAB,MATCH($B131,C_COD,0),10)</f>
        <v>Caja de 10 u</v>
      </c>
      <c r="V131" s="38" t="n">
        <f aca="false">INDEX(C_TAB,MATCH($B131,C_COD,0),11)</f>
        <v>10</v>
      </c>
      <c r="W131" s="44" t="n">
        <f aca="false">ROUNDUP(T131/V131,0)</f>
        <v>49</v>
      </c>
      <c r="X131" s="38" t="str">
        <f aca="false">INDEX(C_TAB,MATCH($B131,C_COD,0),7)</f>
        <v>Polvex (HZ)</v>
      </c>
      <c r="Y131" s="38" t="n">
        <f aca="false">INDEX(C_TAB,MATCH($B131,C_COD,0),12)</f>
        <v>20</v>
      </c>
    </row>
    <row r="132" customFormat="false" ht="15" hidden="false" customHeight="false" outlineLevel="1" collapsed="false">
      <c r="A132" s="24" t="n">
        <v>1</v>
      </c>
      <c r="B132" s="24" t="s">
        <v>899</v>
      </c>
      <c r="C132" s="40" t="s">
        <v>3856</v>
      </c>
      <c r="D132" s="24"/>
      <c r="E132" s="24"/>
      <c r="F132" s="24"/>
      <c r="G132" s="24"/>
      <c r="H132" s="24" t="s">
        <v>244</v>
      </c>
      <c r="I132" s="24" t="s">
        <v>3857</v>
      </c>
      <c r="J132" s="42" t="n">
        <f aca="false">INSUMOS_DIRECTOS_RODANTES!H115</f>
        <v>34.05179136</v>
      </c>
      <c r="K132" s="42" t="n">
        <f aca="false">INSUMOS_DIRECTOS_RODANTES!I115</f>
        <v>58.46214745</v>
      </c>
      <c r="L132" s="42" t="n">
        <f aca="false">INSUMOS_DIRECTOS_RODANTES!J115</f>
        <v>75.20853998</v>
      </c>
      <c r="M132" s="42" t="n">
        <f aca="false">INSUMOS_DIRECTOS_RODANTES!K115</f>
        <v>100.5298529</v>
      </c>
      <c r="N132" s="42" t="n">
        <f aca="false">INSUMOS_DIRECTOS_RODANTES!L115</f>
        <v>155.8760035</v>
      </c>
      <c r="O132" s="42" t="n">
        <f aca="false">INSUMOS_DIRECTOS_RODANTES!M115</f>
        <v>211.9344827</v>
      </c>
      <c r="P132" s="42" t="n">
        <f aca="false">INSUMOS_DIRECTOS_RODANTES!N115</f>
        <v>272.6682332</v>
      </c>
      <c r="Q132" s="42" t="n">
        <f aca="false">INSUMOS_DIRECTOS_RODANTES!O115</f>
        <v>337.8486707</v>
      </c>
      <c r="R132" s="42" t="n">
        <f aca="false">INSUMOS_DIRECTOS_RODANTES!P115</f>
        <v>393.6274156</v>
      </c>
      <c r="S132" s="42" t="n">
        <f aca="false">INSUMOS_DIRECTOS_RODANTES!Q115</f>
        <v>453.2705332</v>
      </c>
      <c r="T132" s="42" t="n">
        <f aca="false">INDEX(J132:S132,INDEX(P_VAL,MATCH("AÑO_DIS",P_ID,0))-2025)</f>
        <v>453.2705332</v>
      </c>
      <c r="U132" s="24"/>
      <c r="V132" s="24"/>
      <c r="W132" s="24"/>
      <c r="X132" s="24"/>
      <c r="Y132" s="24"/>
    </row>
    <row r="133" customFormat="false" ht="15" hidden="false" customHeight="false" outlineLevel="1" collapsed="false">
      <c r="A133" s="24" t="n">
        <v>1</v>
      </c>
      <c r="B133" s="24" t="s">
        <v>899</v>
      </c>
      <c r="C133" s="40" t="s">
        <v>3854</v>
      </c>
      <c r="D133" s="24"/>
      <c r="E133" s="24"/>
      <c r="F133" s="24"/>
      <c r="G133" s="24"/>
      <c r="H133" s="24" t="s">
        <v>132</v>
      </c>
      <c r="I133" s="24" t="s">
        <v>3855</v>
      </c>
      <c r="J133" s="42" t="n">
        <f aca="false">INSUMOS_DIRECTOS_RECARGAS!H119</f>
        <v>0.5291325876</v>
      </c>
      <c r="K133" s="42" t="n">
        <f aca="false">INSUMOS_DIRECTOS_RECARGAS!I119</f>
        <v>2.579634582</v>
      </c>
      <c r="L133" s="42" t="n">
        <f aca="false">INSUMOS_DIRECTOS_RECARGAS!J119</f>
        <v>5.606087019</v>
      </c>
      <c r="M133" s="42" t="n">
        <f aca="false">INSUMOS_DIRECTOS_RECARGAS!K119</f>
        <v>10.097508624</v>
      </c>
      <c r="N133" s="42" t="n">
        <f aca="false">INSUMOS_DIRECTOS_RECARGAS!L119</f>
        <v>14.523977931</v>
      </c>
      <c r="O133" s="42" t="n">
        <f aca="false">INSUMOS_DIRECTOS_RECARGAS!M119</f>
        <v>19.296611562</v>
      </c>
      <c r="P133" s="42" t="n">
        <f aca="false">INSUMOS_DIRECTOS_RECARGAS!N119</f>
        <v>23.772952269</v>
      </c>
      <c r="Q133" s="42" t="n">
        <f aca="false">INSUMOS_DIRECTOS_RECARGAS!O119</f>
        <v>26.69033121</v>
      </c>
      <c r="R133" s="42" t="n">
        <f aca="false">INSUMOS_DIRECTOS_RECARGAS!P119</f>
        <v>28.959333285</v>
      </c>
      <c r="S133" s="42" t="n">
        <f aca="false">INSUMOS_DIRECTOS_RECARGAS!Q119</f>
        <v>31.25819106</v>
      </c>
      <c r="T133" s="42" t="n">
        <f aca="false">INDEX(J133:S133,INDEX(P_VAL,MATCH("AÑO_DIS",P_ID,0))-2025)</f>
        <v>31.25819106</v>
      </c>
      <c r="U133" s="24"/>
      <c r="V133" s="24"/>
      <c r="W133" s="24"/>
      <c r="X133" s="24"/>
      <c r="Y133" s="24"/>
    </row>
    <row r="134" customFormat="false" ht="15" hidden="false" customHeight="false" outlineLevel="0" collapsed="false">
      <c r="A134" s="38" t="n">
        <v>0</v>
      </c>
      <c r="B134" s="38" t="s">
        <v>1030</v>
      </c>
      <c r="C134" s="38" t="str">
        <f aca="false">INDEX(C_TAB,MATCH($B134,C_COD,0),2)</f>
        <v>Válvula HZ de carro 50-70-100 kg</v>
      </c>
      <c r="D134" s="38" t="str">
        <f aca="false">INDEX(C_TAB,MATCH($B134,C_COD,0),3)</f>
        <v>u</v>
      </c>
      <c r="E134" s="38" t="str">
        <f aca="false">INDEX(C_TAB,MATCH($B134,C_COD,0),4)</f>
        <v>Directo</v>
      </c>
      <c r="F134" s="38" t="str">
        <f aca="false">INDEX(C_TAB,MATCH($B134,C_COD,0),5)</f>
        <v>Componente comprado</v>
      </c>
      <c r="G134" s="38" t="str">
        <f aca="false">INDEX(C_TAB,MATCH($B134,C_COD,0),6)</f>
        <v>Rack de insumos de montaje (carros)</v>
      </c>
      <c r="H134" s="38"/>
      <c r="I134" s="38"/>
      <c r="J134" s="39" t="n">
        <f aca="false">SUM(J135:J136)</f>
        <v>105.80277185265</v>
      </c>
      <c r="K134" s="39" t="n">
        <f aca="false">SUM(K135:K136)</f>
        <v>185.3453461166</v>
      </c>
      <c r="L134" s="39" t="n">
        <f aca="false">SUM(L135:L136)</f>
        <v>247.9138810346</v>
      </c>
      <c r="M134" s="39" t="n">
        <f aca="false">SUM(M135:M136)</f>
        <v>338.782084719</v>
      </c>
      <c r="N134" s="39" t="n">
        <f aca="false">SUM(N135:N136)</f>
        <v>519.609944286</v>
      </c>
      <c r="O134" s="39" t="n">
        <f aca="false">SUM(O135:O136)</f>
        <v>702.663282859</v>
      </c>
      <c r="P134" s="39" t="n">
        <f aca="false">SUM(P135:P136)</f>
        <v>897.823556214</v>
      </c>
      <c r="Q134" s="39" t="n">
        <f aca="false">SUM(Q135:Q136)</f>
        <v>1100.537005715</v>
      </c>
      <c r="R134" s="39" t="n">
        <f aca="false">SUM(R135:R136)</f>
        <v>1275.000246658</v>
      </c>
      <c r="S134" s="39" t="n">
        <f aca="false">SUM(S135:S136)</f>
        <v>1459.086172826</v>
      </c>
      <c r="T134" s="39" t="n">
        <f aca="false">INDEX(J134:S134,INDEX(P_VAL,MATCH("AÑO_DIS",P_ID,0))-2025)</f>
        <v>1459.086172826</v>
      </c>
      <c r="U134" s="38" t="str">
        <f aca="false">INDEX(C_TAB,MATCH($B134,C_COD,0),10)</f>
        <v>Caja de 10 u</v>
      </c>
      <c r="V134" s="38" t="n">
        <f aca="false">INDEX(C_TAB,MATCH($B134,C_COD,0),11)</f>
        <v>10</v>
      </c>
      <c r="W134" s="44" t="n">
        <f aca="false">ROUNDUP(T134/V134,0)</f>
        <v>146</v>
      </c>
      <c r="X134" s="38" t="str">
        <f aca="false">INDEX(C_TAB,MATCH($B134,C_COD,0),7)</f>
        <v>Polvex (HZ)</v>
      </c>
      <c r="Y134" s="38" t="n">
        <f aca="false">INDEX(C_TAB,MATCH($B134,C_COD,0),12)</f>
        <v>20</v>
      </c>
    </row>
    <row r="135" customFormat="false" ht="15" hidden="false" customHeight="false" outlineLevel="1" collapsed="false">
      <c r="A135" s="24" t="n">
        <v>1</v>
      </c>
      <c r="B135" s="24" t="s">
        <v>1030</v>
      </c>
      <c r="C135" s="40" t="s">
        <v>3856</v>
      </c>
      <c r="D135" s="24"/>
      <c r="E135" s="24"/>
      <c r="F135" s="24"/>
      <c r="G135" s="24"/>
      <c r="H135" s="24" t="s">
        <v>244</v>
      </c>
      <c r="I135" s="24" t="s">
        <v>3857</v>
      </c>
      <c r="J135" s="42" t="n">
        <f aca="false">INSUMOS_DIRECTOS_RODANTES!H117</f>
        <v>102.15537409</v>
      </c>
      <c r="K135" s="42" t="n">
        <f aca="false">INSUMOS_DIRECTOS_RODANTES!I117</f>
        <v>175.38644237</v>
      </c>
      <c r="L135" s="42" t="n">
        <f aca="false">INSUMOS_DIRECTOS_RODANTES!J117</f>
        <v>225.62561998</v>
      </c>
      <c r="M135" s="42" t="n">
        <f aca="false">INSUMOS_DIRECTOS_RODANTES!K117</f>
        <v>301.58955885</v>
      </c>
      <c r="N135" s="42" t="n">
        <f aca="false">INSUMOS_DIRECTOS_RODANTES!L117</f>
        <v>467.62801049</v>
      </c>
      <c r="O135" s="42" t="n">
        <f aca="false">INSUMOS_DIRECTOS_RODANTES!M117</f>
        <v>635.80344817</v>
      </c>
      <c r="P135" s="42" t="n">
        <f aca="false">INSUMOS_DIRECTOS_RODANTES!N117</f>
        <v>818.00469941</v>
      </c>
      <c r="Q135" s="42" t="n">
        <f aca="false">INSUMOS_DIRECTOS_RODANTES!O117</f>
        <v>1013.5460121</v>
      </c>
      <c r="R135" s="42" t="n">
        <f aca="false">INSUMOS_DIRECTOS_RODANTES!P117</f>
        <v>1180.8822468</v>
      </c>
      <c r="S135" s="42" t="n">
        <f aca="false">INSUMOS_DIRECTOS_RODANTES!Q117</f>
        <v>1359.8115997</v>
      </c>
      <c r="T135" s="42" t="n">
        <f aca="false">INDEX(J135:S135,INDEX(P_VAL,MATCH("AÑO_DIS",P_ID,0))-2025)</f>
        <v>1359.8115997</v>
      </c>
      <c r="U135" s="24"/>
      <c r="V135" s="24"/>
      <c r="W135" s="24"/>
      <c r="X135" s="24"/>
      <c r="Y135" s="24"/>
    </row>
    <row r="136" customFormat="false" ht="15" hidden="false" customHeight="false" outlineLevel="1" collapsed="false">
      <c r="A136" s="24" t="n">
        <v>1</v>
      </c>
      <c r="B136" s="24" t="s">
        <v>1030</v>
      </c>
      <c r="C136" s="40" t="s">
        <v>3854</v>
      </c>
      <c r="D136" s="24"/>
      <c r="E136" s="24"/>
      <c r="F136" s="24"/>
      <c r="G136" s="24"/>
      <c r="H136" s="24" t="s">
        <v>132</v>
      </c>
      <c r="I136" s="24" t="s">
        <v>3855</v>
      </c>
      <c r="J136" s="42" t="n">
        <f aca="false">INSUMOS_DIRECTOS_RECARGAS!H121</f>
        <v>3.64739776265</v>
      </c>
      <c r="K136" s="42" t="n">
        <f aca="false">INSUMOS_DIRECTOS_RECARGAS!I121</f>
        <v>9.9589037466</v>
      </c>
      <c r="L136" s="42" t="n">
        <f aca="false">INSUMOS_DIRECTOS_RECARGAS!J121</f>
        <v>22.2882610546</v>
      </c>
      <c r="M136" s="42" t="n">
        <f aca="false">INSUMOS_DIRECTOS_RECARGAS!K121</f>
        <v>37.192525869</v>
      </c>
      <c r="N136" s="42" t="n">
        <f aca="false">INSUMOS_DIRECTOS_RECARGAS!L121</f>
        <v>51.981933796</v>
      </c>
      <c r="O136" s="42" t="n">
        <f aca="false">INSUMOS_DIRECTOS_RECARGAS!M121</f>
        <v>66.859834689</v>
      </c>
      <c r="P136" s="42" t="n">
        <f aca="false">INSUMOS_DIRECTOS_RECARGAS!N121</f>
        <v>79.818856804</v>
      </c>
      <c r="Q136" s="42" t="n">
        <f aca="false">INSUMOS_DIRECTOS_RECARGAS!O121</f>
        <v>86.990993615</v>
      </c>
      <c r="R136" s="42" t="n">
        <f aca="false">INSUMOS_DIRECTOS_RECARGAS!P121</f>
        <v>94.117999858</v>
      </c>
      <c r="S136" s="42" t="n">
        <f aca="false">INSUMOS_DIRECTOS_RECARGAS!Q121</f>
        <v>99.274573126</v>
      </c>
      <c r="T136" s="42" t="n">
        <f aca="false">INDEX(J136:S136,INDEX(P_VAL,MATCH("AÑO_DIS",P_ID,0))-2025)</f>
        <v>99.274573126</v>
      </c>
      <c r="U136" s="24"/>
      <c r="V136" s="24"/>
      <c r="W136" s="24"/>
      <c r="X136" s="24"/>
      <c r="Y136" s="24"/>
    </row>
    <row r="137" customFormat="false" ht="15" hidden="false" customHeight="false" outlineLevel="0" collapsed="false">
      <c r="A137" s="38" t="n">
        <v>0</v>
      </c>
      <c r="B137" s="38" t="s">
        <v>510</v>
      </c>
      <c r="C137" s="38" t="str">
        <f aca="false">INDEX(C_TAB,MATCH($B137,C_COD,0),2)</f>
        <v>Manómetro IRAM 3533, 1,4 MPa</v>
      </c>
      <c r="D137" s="38" t="str">
        <f aca="false">INDEX(C_TAB,MATCH($B137,C_COD,0),3)</f>
        <v>u</v>
      </c>
      <c r="E137" s="38" t="str">
        <f aca="false">INDEX(C_TAB,MATCH($B137,C_COD,0),4)</f>
        <v>Directo</v>
      </c>
      <c r="F137" s="38" t="str">
        <f aca="false">INDEX(C_TAB,MATCH($B137,C_COD,0),5)</f>
        <v>Componente comprado</v>
      </c>
      <c r="G137" s="38" t="str">
        <f aca="false">INDEX(C_TAB,MATCH($B137,C_COD,0),6)</f>
        <v>Insumos de montaje (manuales)</v>
      </c>
      <c r="H137" s="38"/>
      <c r="I137" s="38"/>
      <c r="J137" s="39" t="n">
        <f aca="false">SUM(J138:J140)</f>
        <v>7959.681674794</v>
      </c>
      <c r="K137" s="39" t="n">
        <f aca="false">SUM(K138:K140)</f>
        <v>14945.1190779816</v>
      </c>
      <c r="L137" s="39" t="n">
        <f aca="false">SUM(L138:L140)</f>
        <v>20103.7618524496</v>
      </c>
      <c r="M137" s="39" t="n">
        <f aca="false">SUM(M138:M140)</f>
        <v>29477.622303778</v>
      </c>
      <c r="N137" s="39" t="n">
        <f aca="false">SUM(N138:N140)</f>
        <v>42868.144026922</v>
      </c>
      <c r="O137" s="39" t="n">
        <f aca="false">SUM(O138:O140)</f>
        <v>55856.316563766</v>
      </c>
      <c r="P137" s="39" t="n">
        <f aca="false">SUM(P138:P140)</f>
        <v>69711.815040738</v>
      </c>
      <c r="Q137" s="39" t="n">
        <f aca="false">SUM(Q138:Q140)</f>
        <v>82124.01027752</v>
      </c>
      <c r="R137" s="39" t="n">
        <f aca="false">SUM(R138:R140)</f>
        <v>91318.288025888</v>
      </c>
      <c r="S137" s="39" t="n">
        <f aca="false">SUM(S138:S140)</f>
        <v>102075.633524396</v>
      </c>
      <c r="T137" s="39" t="n">
        <f aca="false">INDEX(J137:S137,INDEX(P_VAL,MATCH("AÑO_DIS",P_ID,0))-2025)</f>
        <v>102075.633524396</v>
      </c>
      <c r="U137" s="38" t="str">
        <f aca="false">INDEX(C_TAB,MATCH($B137,C_COD,0),10)</f>
        <v>Caja de 100 u</v>
      </c>
      <c r="V137" s="38" t="n">
        <f aca="false">INDEX(C_TAB,MATCH($B137,C_COD,0),11)</f>
        <v>100</v>
      </c>
      <c r="W137" s="44" t="n">
        <f aca="false">ROUNDUP(T137/V137,0)</f>
        <v>1021</v>
      </c>
      <c r="X137" s="38" t="str">
        <f aca="false">INDEX(C_TAB,MATCH($B137,C_COD,0),7)</f>
        <v>Yukon</v>
      </c>
      <c r="Y137" s="38" t="n">
        <f aca="false">INDEX(C_TAB,MATCH($B137,C_COD,0),12)</f>
        <v>20</v>
      </c>
    </row>
    <row r="138" customFormat="false" ht="15" hidden="false" customHeight="false" outlineLevel="1" collapsed="false">
      <c r="A138" s="24" t="n">
        <v>1</v>
      </c>
      <c r="B138" s="24" t="s">
        <v>510</v>
      </c>
      <c r="C138" s="40" t="s">
        <v>3852</v>
      </c>
      <c r="D138" s="24"/>
      <c r="E138" s="24"/>
      <c r="F138" s="24"/>
      <c r="G138" s="24"/>
      <c r="H138" s="24" t="s">
        <v>229</v>
      </c>
      <c r="I138" s="24" t="s">
        <v>3853</v>
      </c>
      <c r="J138" s="42" t="n">
        <f aca="false">INSUMOS_DIRECTOS_MANUALES!H83</f>
        <v>7275.37310673</v>
      </c>
      <c r="K138" s="42" t="n">
        <f aca="false">INSUMOS_DIRECTOS_MANUALES!I83</f>
        <v>12309.257605</v>
      </c>
      <c r="L138" s="42" t="n">
        <f aca="false">INSUMOS_DIRECTOS_MANUALES!J83</f>
        <v>15216.1321864</v>
      </c>
      <c r="M138" s="42" t="n">
        <f aca="false">INSUMOS_DIRECTOS_MANUALES!K83</f>
        <v>20602.9095301</v>
      </c>
      <c r="N138" s="42" t="n">
        <f aca="false">INSUMOS_DIRECTOS_MANUALES!L83</f>
        <v>29935.2855279</v>
      </c>
      <c r="O138" s="42" t="n">
        <f aca="false">INSUMOS_DIRECTOS_MANUALES!M83</f>
        <v>38300.692099</v>
      </c>
      <c r="P138" s="42" t="n">
        <f aca="false">INSUMOS_DIRECTOS_MANUALES!N83</f>
        <v>48020.789169</v>
      </c>
      <c r="Q138" s="42" t="n">
        <f aca="false">INSUMOS_DIRECTOS_MANUALES!O83</f>
        <v>57492.016249</v>
      </c>
      <c r="R138" s="42" t="n">
        <f aca="false">INSUMOS_DIRECTOS_MANUALES!P83</f>
        <v>64888.596987</v>
      </c>
      <c r="S138" s="42" t="n">
        <f aca="false">INSUMOS_DIRECTOS_MANUALES!Q83</f>
        <v>73657.124373</v>
      </c>
      <c r="T138" s="42" t="n">
        <f aca="false">INDEX(J138:S138,INDEX(P_VAL,MATCH("AÑO_DIS",P_ID,0))-2025)</f>
        <v>73657.124373</v>
      </c>
      <c r="U138" s="24"/>
      <c r="V138" s="24"/>
      <c r="W138" s="24"/>
      <c r="X138" s="24"/>
      <c r="Y138" s="24"/>
    </row>
    <row r="139" customFormat="false" ht="15" hidden="false" customHeight="false" outlineLevel="1" collapsed="false">
      <c r="A139" s="24" t="n">
        <v>1</v>
      </c>
      <c r="B139" s="24" t="s">
        <v>510</v>
      </c>
      <c r="C139" s="40" t="s">
        <v>3856</v>
      </c>
      <c r="D139" s="24"/>
      <c r="E139" s="24"/>
      <c r="F139" s="24"/>
      <c r="G139" s="24"/>
      <c r="H139" s="24" t="s">
        <v>244</v>
      </c>
      <c r="I139" s="24" t="s">
        <v>3857</v>
      </c>
      <c r="J139" s="42" t="n">
        <f aca="false">INSUMOS_DIRECTOS_RODANTES!H121</f>
        <v>136.20716545</v>
      </c>
      <c r="K139" s="42" t="n">
        <f aca="false">INSUMOS_DIRECTOS_RODANTES!I121</f>
        <v>233.84858982</v>
      </c>
      <c r="L139" s="42" t="n">
        <f aca="false">INSUMOS_DIRECTOS_RODANTES!J121</f>
        <v>300.83415996</v>
      </c>
      <c r="M139" s="42" t="n">
        <f aca="false">INSUMOS_DIRECTOS_RODANTES!K121</f>
        <v>402.11941175</v>
      </c>
      <c r="N139" s="42" t="n">
        <f aca="false">INSUMOS_DIRECTOS_RODANTES!L121</f>
        <v>623.50401399</v>
      </c>
      <c r="O139" s="42" t="n">
        <f aca="false">INSUMOS_DIRECTOS_RODANTES!M121</f>
        <v>847.73793087</v>
      </c>
      <c r="P139" s="42" t="n">
        <f aca="false">INSUMOS_DIRECTOS_RODANTES!N121</f>
        <v>1090.67293261</v>
      </c>
      <c r="Q139" s="42" t="n">
        <f aca="false">INSUMOS_DIRECTOS_RODANTES!O121</f>
        <v>1351.3946828</v>
      </c>
      <c r="R139" s="42" t="n">
        <f aca="false">INSUMOS_DIRECTOS_RODANTES!P121</f>
        <v>1574.5096624</v>
      </c>
      <c r="S139" s="42" t="n">
        <f aca="false">INSUMOS_DIRECTOS_RODANTES!Q121</f>
        <v>1813.0821329</v>
      </c>
      <c r="T139" s="42" t="n">
        <f aca="false">INDEX(J139:S139,INDEX(P_VAL,MATCH("AÑO_DIS",P_ID,0))-2025)</f>
        <v>1813.0821329</v>
      </c>
      <c r="U139" s="24"/>
      <c r="V139" s="24"/>
      <c r="W139" s="24"/>
      <c r="X139" s="24"/>
      <c r="Y139" s="24"/>
    </row>
    <row r="140" customFormat="false" ht="15" hidden="false" customHeight="false" outlineLevel="1" collapsed="false">
      <c r="A140" s="24" t="n">
        <v>1</v>
      </c>
      <c r="B140" s="24" t="s">
        <v>510</v>
      </c>
      <c r="C140" s="40" t="s">
        <v>3854</v>
      </c>
      <c r="D140" s="24"/>
      <c r="E140" s="24"/>
      <c r="F140" s="24"/>
      <c r="G140" s="24"/>
      <c r="H140" s="24" t="s">
        <v>132</v>
      </c>
      <c r="I140" s="24" t="s">
        <v>3855</v>
      </c>
      <c r="J140" s="42" t="n">
        <f aca="false">INSUMOS_DIRECTOS_RECARGAS!H129</f>
        <v>548.101402614</v>
      </c>
      <c r="K140" s="42" t="n">
        <f aca="false">INSUMOS_DIRECTOS_RECARGAS!I129</f>
        <v>2402.0128831616</v>
      </c>
      <c r="L140" s="42" t="n">
        <f aca="false">INSUMOS_DIRECTOS_RECARGAS!J129</f>
        <v>4586.7955060896</v>
      </c>
      <c r="M140" s="42" t="n">
        <f aca="false">INSUMOS_DIRECTOS_RECARGAS!K129</f>
        <v>8472.593361928</v>
      </c>
      <c r="N140" s="42" t="n">
        <f aca="false">INSUMOS_DIRECTOS_RECARGAS!L129</f>
        <v>12309.354485032</v>
      </c>
      <c r="O140" s="42" t="n">
        <f aca="false">INSUMOS_DIRECTOS_RECARGAS!M129</f>
        <v>16707.886533896</v>
      </c>
      <c r="P140" s="42" t="n">
        <f aca="false">INSUMOS_DIRECTOS_RECARGAS!N129</f>
        <v>20600.352939128</v>
      </c>
      <c r="Q140" s="42" t="n">
        <f aca="false">INSUMOS_DIRECTOS_RECARGAS!O129</f>
        <v>23280.59934572</v>
      </c>
      <c r="R140" s="42" t="n">
        <f aca="false">INSUMOS_DIRECTOS_RECARGAS!P129</f>
        <v>24855.181376488</v>
      </c>
      <c r="S140" s="42" t="n">
        <f aca="false">INSUMOS_DIRECTOS_RECARGAS!Q129</f>
        <v>26605.427018496</v>
      </c>
      <c r="T140" s="42" t="n">
        <f aca="false">INDEX(J140:S140,INDEX(P_VAL,MATCH("AÑO_DIS",P_ID,0))-2025)</f>
        <v>26605.427018496</v>
      </c>
      <c r="U140" s="24"/>
      <c r="V140" s="24"/>
      <c r="W140" s="24"/>
      <c r="X140" s="24"/>
      <c r="Y140" s="24"/>
    </row>
    <row r="141" customFormat="false" ht="15" hidden="false" customHeight="false" outlineLevel="0" collapsed="false">
      <c r="A141" s="38" t="n">
        <v>0</v>
      </c>
      <c r="B141" s="38" t="s">
        <v>560</v>
      </c>
      <c r="C141" s="38" t="str">
        <f aca="false">INDEX(C_TAB,MATCH($B141,C_COD,0),2)</f>
        <v>Tobera ABC 1 kg (armada)</v>
      </c>
      <c r="D141" s="38" t="str">
        <f aca="false">INDEX(C_TAB,MATCH($B141,C_COD,0),3)</f>
        <v>u</v>
      </c>
      <c r="E141" s="38" t="str">
        <f aca="false">INDEX(C_TAB,MATCH($B141,C_COD,0),4)</f>
        <v>Directo</v>
      </c>
      <c r="F141" s="38" t="str">
        <f aca="false">INDEX(C_TAB,MATCH($B141,C_COD,0),5)</f>
        <v>Componente comprado</v>
      </c>
      <c r="G141" s="38" t="str">
        <f aca="false">INDEX(C_TAB,MATCH($B141,C_COD,0),6)</f>
        <v>Insumos de montaje (manuales)</v>
      </c>
      <c r="H141" s="38"/>
      <c r="I141" s="38"/>
      <c r="J141" s="39" t="n">
        <f aca="false">SUM(J142:J142)</f>
        <v>4178.736543</v>
      </c>
      <c r="K141" s="39" t="n">
        <f aca="false">SUM(K142:K142)</f>
        <v>5997.303977</v>
      </c>
      <c r="L141" s="39" t="n">
        <f aca="false">SUM(L142:L142)</f>
        <v>6851.747758</v>
      </c>
      <c r="M141" s="39" t="n">
        <f aca="false">SUM(M142:M142)</f>
        <v>8467.135549</v>
      </c>
      <c r="N141" s="39" t="n">
        <f aca="false">SUM(N142:N142)</f>
        <v>12680.63271</v>
      </c>
      <c r="O141" s="39" t="n">
        <f aca="false">SUM(O142:O142)</f>
        <v>15620.25307</v>
      </c>
      <c r="P141" s="39" t="n">
        <f aca="false">SUM(P142:P142)</f>
        <v>20332.55326</v>
      </c>
      <c r="Q141" s="39" t="n">
        <f aca="false">SUM(Q142:Q142)</f>
        <v>25132.07848</v>
      </c>
      <c r="R141" s="39" t="n">
        <f aca="false">SUM(R142:R142)</f>
        <v>28573.33614</v>
      </c>
      <c r="S141" s="39" t="n">
        <f aca="false">SUM(S142:S142)</f>
        <v>32072.63913</v>
      </c>
      <c r="T141" s="39" t="n">
        <f aca="false">INDEX(J141:S141,INDEX(P_VAL,MATCH("AÑO_DIS",P_ID,0))-2025)</f>
        <v>32072.63913</v>
      </c>
      <c r="U141" s="38" t="str">
        <f aca="false">INDEX(C_TAB,MATCH($B141,C_COD,0),10)</f>
        <v>Caja de 50 u</v>
      </c>
      <c r="V141" s="38" t="n">
        <f aca="false">INDEX(C_TAB,MATCH($B141,C_COD,0),11)</f>
        <v>50</v>
      </c>
      <c r="W141" s="44" t="n">
        <f aca="false">ROUNDUP(T141/V141,0)</f>
        <v>642</v>
      </c>
      <c r="X141" s="38" t="str">
        <f aca="false">INDEX(C_TAB,MATCH($B141,C_COD,0),7)</f>
        <v>Yukon</v>
      </c>
      <c r="Y141" s="38" t="n">
        <f aca="false">INDEX(C_TAB,MATCH($B141,C_COD,0),12)</f>
        <v>15</v>
      </c>
    </row>
    <row r="142" customFormat="false" ht="15" hidden="false" customHeight="false" outlineLevel="1" collapsed="false">
      <c r="A142" s="24" t="n">
        <v>1</v>
      </c>
      <c r="B142" s="24" t="s">
        <v>560</v>
      </c>
      <c r="C142" s="40" t="s">
        <v>3852</v>
      </c>
      <c r="D142" s="24"/>
      <c r="E142" s="24"/>
      <c r="F142" s="24"/>
      <c r="G142" s="24"/>
      <c r="H142" s="24" t="s">
        <v>229</v>
      </c>
      <c r="I142" s="24" t="s">
        <v>3853</v>
      </c>
      <c r="J142" s="42" t="n">
        <f aca="false">INSUMOS_DIRECTOS_MANUALES!H88</f>
        <v>4178.736543</v>
      </c>
      <c r="K142" s="42" t="n">
        <f aca="false">INSUMOS_DIRECTOS_MANUALES!I88</f>
        <v>5997.303977</v>
      </c>
      <c r="L142" s="42" t="n">
        <f aca="false">INSUMOS_DIRECTOS_MANUALES!J88</f>
        <v>6851.747758</v>
      </c>
      <c r="M142" s="42" t="n">
        <f aca="false">INSUMOS_DIRECTOS_MANUALES!K88</f>
        <v>8467.135549</v>
      </c>
      <c r="N142" s="42" t="n">
        <f aca="false">INSUMOS_DIRECTOS_MANUALES!L88</f>
        <v>12680.63271</v>
      </c>
      <c r="O142" s="42" t="n">
        <f aca="false">INSUMOS_DIRECTOS_MANUALES!M88</f>
        <v>15620.25307</v>
      </c>
      <c r="P142" s="42" t="n">
        <f aca="false">INSUMOS_DIRECTOS_MANUALES!N88</f>
        <v>20332.55326</v>
      </c>
      <c r="Q142" s="42" t="n">
        <f aca="false">INSUMOS_DIRECTOS_MANUALES!O88</f>
        <v>25132.07848</v>
      </c>
      <c r="R142" s="42" t="n">
        <f aca="false">INSUMOS_DIRECTOS_MANUALES!P88</f>
        <v>28573.33614</v>
      </c>
      <c r="S142" s="42" t="n">
        <f aca="false">INSUMOS_DIRECTOS_MANUALES!Q88</f>
        <v>32072.63913</v>
      </c>
      <c r="T142" s="42" t="n">
        <f aca="false">INDEX(J142:S142,INDEX(P_VAL,MATCH("AÑO_DIS",P_ID,0))-2025)</f>
        <v>32072.63913</v>
      </c>
      <c r="U142" s="24"/>
      <c r="V142" s="24"/>
      <c r="W142" s="24"/>
      <c r="X142" s="24"/>
      <c r="Y142" s="24"/>
    </row>
    <row r="143" customFormat="false" ht="15" hidden="false" customHeight="false" outlineLevel="0" collapsed="false">
      <c r="A143" s="38" t="n">
        <v>0</v>
      </c>
      <c r="B143" s="38" t="s">
        <v>661</v>
      </c>
      <c r="C143" s="38" t="str">
        <f aca="false">INDEX(C_TAB,MATCH($B143,C_COD,0),2)</f>
        <v>Manguera con racor y tobera ABC 2,5 kg (armada)</v>
      </c>
      <c r="D143" s="38" t="str">
        <f aca="false">INDEX(C_TAB,MATCH($B143,C_COD,0),3)</f>
        <v>u</v>
      </c>
      <c r="E143" s="38" t="str">
        <f aca="false">INDEX(C_TAB,MATCH($B143,C_COD,0),4)</f>
        <v>Directo</v>
      </c>
      <c r="F143" s="38" t="str">
        <f aca="false">INDEX(C_TAB,MATCH($B143,C_COD,0),5)</f>
        <v>Componente comprado</v>
      </c>
      <c r="G143" s="38" t="str">
        <f aca="false">INDEX(C_TAB,MATCH($B143,C_COD,0),6)</f>
        <v>Insumos de montaje (manuales)</v>
      </c>
      <c r="H143" s="38"/>
      <c r="I143" s="38"/>
      <c r="J143" s="39" t="n">
        <f aca="false">SUM(J144:J145)</f>
        <v>311.530190575</v>
      </c>
      <c r="K143" s="39" t="n">
        <f aca="false">SUM(K144:K145)</f>
        <v>774.0981515</v>
      </c>
      <c r="L143" s="39" t="n">
        <f aca="false">SUM(L144:L145)</f>
        <v>1134.2265184</v>
      </c>
      <c r="M143" s="39" t="n">
        <f aca="false">SUM(M144:M145)</f>
        <v>1771.94033745</v>
      </c>
      <c r="N143" s="39" t="n">
        <f aca="false">SUM(N144:N145)</f>
        <v>2705.1715163</v>
      </c>
      <c r="O143" s="39" t="n">
        <f aca="false">SUM(O144:O145)</f>
        <v>3774.0670695</v>
      </c>
      <c r="P143" s="39" t="n">
        <f aca="false">SUM(P144:P145)</f>
        <v>4742.8103095</v>
      </c>
      <c r="Q143" s="39" t="n">
        <f aca="false">SUM(Q144:Q145)</f>
        <v>5817.4600025</v>
      </c>
      <c r="R143" s="39" t="n">
        <f aca="false">SUM(R144:R145)</f>
        <v>6966.8297345</v>
      </c>
      <c r="S143" s="39" t="n">
        <f aca="false">SUM(S144:S145)</f>
        <v>8255.8965025</v>
      </c>
      <c r="T143" s="39" t="n">
        <f aca="false">INDEX(J143:S143,INDEX(P_VAL,MATCH("AÑO_DIS",P_ID,0))-2025)</f>
        <v>8255.8965025</v>
      </c>
      <c r="U143" s="38" t="str">
        <f aca="false">INDEX(C_TAB,MATCH($B143,C_COD,0),10)</f>
        <v>Caja de 50 u</v>
      </c>
      <c r="V143" s="38" t="n">
        <f aca="false">INDEX(C_TAB,MATCH($B143,C_COD,0),11)</f>
        <v>50</v>
      </c>
      <c r="W143" s="44" t="n">
        <f aca="false">ROUNDUP(T143/V143,0)</f>
        <v>166</v>
      </c>
      <c r="X143" s="38" t="str">
        <f aca="false">INDEX(C_TAB,MATCH($B143,C_COD,0),7)</f>
        <v>Yukon</v>
      </c>
      <c r="Y143" s="38" t="n">
        <f aca="false">INDEX(C_TAB,MATCH($B143,C_COD,0),12)</f>
        <v>15</v>
      </c>
    </row>
    <row r="144" customFormat="false" ht="15" hidden="false" customHeight="false" outlineLevel="1" collapsed="false">
      <c r="A144" s="24" t="n">
        <v>1</v>
      </c>
      <c r="B144" s="24" t="s">
        <v>661</v>
      </c>
      <c r="C144" s="40" t="s">
        <v>3852</v>
      </c>
      <c r="D144" s="24"/>
      <c r="E144" s="24"/>
      <c r="F144" s="24"/>
      <c r="G144" s="24"/>
      <c r="H144" s="24" t="s">
        <v>229</v>
      </c>
      <c r="I144" s="24" t="s">
        <v>3853</v>
      </c>
      <c r="J144" s="42" t="n">
        <f aca="false">INSUMOS_DIRECTOS_MANUALES!H90</f>
        <v>295.0303572</v>
      </c>
      <c r="K144" s="42" t="n">
        <f aca="false">INSUMOS_DIRECTOS_MANUALES!I90</f>
        <v>709.7274503</v>
      </c>
      <c r="L144" s="42" t="n">
        <f aca="false">INSUMOS_DIRECTOS_MANUALES!J90</f>
        <v>986.8680576</v>
      </c>
      <c r="M144" s="42" t="n">
        <f aca="false">INSUMOS_DIRECTOS_MANUALES!K90</f>
        <v>1500.638174</v>
      </c>
      <c r="N144" s="42" t="n">
        <f aca="false">INSUMOS_DIRECTOS_MANUALES!L90</f>
        <v>2312.627726</v>
      </c>
      <c r="O144" s="42" t="n">
        <f aca="false">INSUMOS_DIRECTOS_MANUALES!M90</f>
        <v>3252.869887</v>
      </c>
      <c r="P144" s="42" t="n">
        <f aca="false">INSUMOS_DIRECTOS_MANUALES!N90</f>
        <v>4102.315524</v>
      </c>
      <c r="Q144" s="42" t="n">
        <f aca="false">INSUMOS_DIRECTOS_MANUALES!O90</f>
        <v>5104.306587</v>
      </c>
      <c r="R144" s="42" t="n">
        <f aca="false">INSUMOS_DIRECTOS_MANUALES!P90</f>
        <v>6195.186243</v>
      </c>
      <c r="S144" s="42" t="n">
        <f aca="false">INSUMOS_DIRECTOS_MANUALES!Q90</f>
        <v>7424.858444</v>
      </c>
      <c r="T144" s="42" t="n">
        <f aca="false">INDEX(J144:S144,INDEX(P_VAL,MATCH("AÑO_DIS",P_ID,0))-2025)</f>
        <v>7424.858444</v>
      </c>
      <c r="U144" s="24"/>
      <c r="V144" s="24"/>
      <c r="W144" s="24"/>
      <c r="X144" s="24"/>
      <c r="Y144" s="24"/>
    </row>
    <row r="145" customFormat="false" ht="15" hidden="false" customHeight="false" outlineLevel="1" collapsed="false">
      <c r="A145" s="24" t="n">
        <v>1</v>
      </c>
      <c r="B145" s="24" t="s">
        <v>661</v>
      </c>
      <c r="C145" s="40" t="s">
        <v>3854</v>
      </c>
      <c r="D145" s="24"/>
      <c r="E145" s="24"/>
      <c r="F145" s="24"/>
      <c r="G145" s="24"/>
      <c r="H145" s="24" t="s">
        <v>132</v>
      </c>
      <c r="I145" s="24" t="s">
        <v>3855</v>
      </c>
      <c r="J145" s="42" t="n">
        <f aca="false">INSUMOS_DIRECTOS_RECARGAS!H146</f>
        <v>16.499833375</v>
      </c>
      <c r="K145" s="42" t="n">
        <f aca="false">INSUMOS_DIRECTOS_RECARGAS!I146</f>
        <v>64.3707012</v>
      </c>
      <c r="L145" s="42" t="n">
        <f aca="false">INSUMOS_DIRECTOS_RECARGAS!J146</f>
        <v>147.3584608</v>
      </c>
      <c r="M145" s="42" t="n">
        <f aca="false">INSUMOS_DIRECTOS_RECARGAS!K146</f>
        <v>271.30216345</v>
      </c>
      <c r="N145" s="42" t="n">
        <f aca="false">INSUMOS_DIRECTOS_RECARGAS!L146</f>
        <v>392.5437903</v>
      </c>
      <c r="O145" s="42" t="n">
        <f aca="false">INSUMOS_DIRECTOS_RECARGAS!M146</f>
        <v>521.1971825</v>
      </c>
      <c r="P145" s="42" t="n">
        <f aca="false">INSUMOS_DIRECTOS_RECARGAS!N146</f>
        <v>640.4947855</v>
      </c>
      <c r="Q145" s="42" t="n">
        <f aca="false">INSUMOS_DIRECTOS_RECARGAS!O146</f>
        <v>713.1534155</v>
      </c>
      <c r="R145" s="42" t="n">
        <f aca="false">INSUMOS_DIRECTOS_RECARGAS!P146</f>
        <v>771.6434915</v>
      </c>
      <c r="S145" s="42" t="n">
        <f aca="false">INSUMOS_DIRECTOS_RECARGAS!Q146</f>
        <v>831.0380585</v>
      </c>
      <c r="T145" s="42" t="n">
        <f aca="false">INDEX(J145:S145,INDEX(P_VAL,MATCH("AÑO_DIS",P_ID,0))-2025)</f>
        <v>831.0380585</v>
      </c>
      <c r="U145" s="24"/>
      <c r="V145" s="24"/>
      <c r="W145" s="24"/>
      <c r="X145" s="24"/>
      <c r="Y145" s="24"/>
    </row>
    <row r="146" customFormat="false" ht="15" hidden="false" customHeight="false" outlineLevel="0" collapsed="false">
      <c r="A146" s="38" t="n">
        <v>0</v>
      </c>
      <c r="B146" s="38" t="s">
        <v>756</v>
      </c>
      <c r="C146" s="38" t="str">
        <f aca="false">INDEX(C_TAB,MATCH($B146,C_COD,0),2)</f>
        <v>Manguera con racor y tobera ABC 5 kg (armada)</v>
      </c>
      <c r="D146" s="38" t="str">
        <f aca="false">INDEX(C_TAB,MATCH($B146,C_COD,0),3)</f>
        <v>u</v>
      </c>
      <c r="E146" s="38" t="str">
        <f aca="false">INDEX(C_TAB,MATCH($B146,C_COD,0),4)</f>
        <v>Directo</v>
      </c>
      <c r="F146" s="38" t="str">
        <f aca="false">INDEX(C_TAB,MATCH($B146,C_COD,0),5)</f>
        <v>Componente comprado</v>
      </c>
      <c r="G146" s="38" t="str">
        <f aca="false">INDEX(C_TAB,MATCH($B146,C_COD,0),6)</f>
        <v>Insumos de montaje (manuales)</v>
      </c>
      <c r="H146" s="38"/>
      <c r="I146" s="38"/>
      <c r="J146" s="39" t="n">
        <f aca="false">SUM(J147:J148)</f>
        <v>2873.44272985</v>
      </c>
      <c r="K146" s="39" t="n">
        <f aca="false">SUM(K147:K148)</f>
        <v>6053.859807</v>
      </c>
      <c r="L146" s="39" t="n">
        <f aca="false">SUM(L147:L148)</f>
        <v>8326.0804415</v>
      </c>
      <c r="M146" s="39" t="n">
        <f aca="false">SUM(M147:M148)</f>
        <v>12508.2937305</v>
      </c>
      <c r="N146" s="39" t="n">
        <f aca="false">SUM(N147:N148)</f>
        <v>17376.6855345</v>
      </c>
      <c r="O146" s="39" t="n">
        <f aca="false">SUM(O147:O148)</f>
        <v>22507.466248</v>
      </c>
      <c r="P146" s="39" t="n">
        <f aca="false">SUM(P147:P148)</f>
        <v>27134.3648595</v>
      </c>
      <c r="Q146" s="39" t="n">
        <f aca="false">SUM(Q147:Q148)</f>
        <v>30863.19699</v>
      </c>
      <c r="R146" s="39" t="n">
        <f aca="false">SUM(R147:R148)</f>
        <v>33738.3079305</v>
      </c>
      <c r="S146" s="39" t="n">
        <f aca="false">SUM(S147:S148)</f>
        <v>37925.13753</v>
      </c>
      <c r="T146" s="39" t="n">
        <f aca="false">INDEX(J146:S146,INDEX(P_VAL,MATCH("AÑO_DIS",P_ID,0))-2025)</f>
        <v>37925.13753</v>
      </c>
      <c r="U146" s="38" t="str">
        <f aca="false">INDEX(C_TAB,MATCH($B146,C_COD,0),10)</f>
        <v>Caja de 50 u</v>
      </c>
      <c r="V146" s="38" t="n">
        <f aca="false">INDEX(C_TAB,MATCH($B146,C_COD,0),11)</f>
        <v>50</v>
      </c>
      <c r="W146" s="44" t="n">
        <f aca="false">ROUNDUP(T146/V146,0)</f>
        <v>759</v>
      </c>
      <c r="X146" s="38" t="str">
        <f aca="false">INDEX(C_TAB,MATCH($B146,C_COD,0),7)</f>
        <v>Yukon</v>
      </c>
      <c r="Y146" s="38" t="n">
        <f aca="false">INDEX(C_TAB,MATCH($B146,C_COD,0),12)</f>
        <v>15</v>
      </c>
    </row>
    <row r="147" customFormat="false" ht="15" hidden="false" customHeight="false" outlineLevel="1" collapsed="false">
      <c r="A147" s="24" t="n">
        <v>1</v>
      </c>
      <c r="B147" s="24" t="s">
        <v>756</v>
      </c>
      <c r="C147" s="40" t="s">
        <v>3852</v>
      </c>
      <c r="D147" s="24"/>
      <c r="E147" s="24"/>
      <c r="F147" s="24"/>
      <c r="G147" s="24"/>
      <c r="H147" s="24" t="s">
        <v>229</v>
      </c>
      <c r="I147" s="24" t="s">
        <v>3853</v>
      </c>
      <c r="J147" s="42" t="n">
        <f aca="false">INSUMOS_DIRECTOS_MANUALES!H92</f>
        <v>2709.773025</v>
      </c>
      <c r="K147" s="42" t="n">
        <f aca="false">INSUMOS_DIRECTOS_MANUALES!I92</f>
        <v>5424.978881</v>
      </c>
      <c r="L147" s="42" t="n">
        <f aca="false">INSUMOS_DIRECTOS_MANUALES!J92</f>
        <v>7124.537591</v>
      </c>
      <c r="M147" s="42" t="n">
        <f aca="false">INSUMOS_DIRECTOS_MANUALES!K92</f>
        <v>10277.115313</v>
      </c>
      <c r="N147" s="42" t="n">
        <f aca="false">INSUMOS_DIRECTOS_MANUALES!L92</f>
        <v>14339.30694</v>
      </c>
      <c r="O147" s="42" t="n">
        <f aca="false">INSUMOS_DIRECTOS_MANUALES!M92</f>
        <v>18554.96411</v>
      </c>
      <c r="P147" s="42" t="n">
        <f aca="false">INSUMOS_DIRECTOS_MANUALES!N92</f>
        <v>22458.75984</v>
      </c>
      <c r="Q147" s="42" t="n">
        <f aca="false">INSUMOS_DIRECTOS_MANUALES!O92</f>
        <v>25860.18637</v>
      </c>
      <c r="R147" s="42" t="n">
        <f aca="false">INSUMOS_DIRECTOS_MANUALES!P92</f>
        <v>28507.72455</v>
      </c>
      <c r="S147" s="42" t="n">
        <f aca="false">INSUMOS_DIRECTOS_MANUALES!Q92</f>
        <v>32318.77872</v>
      </c>
      <c r="T147" s="42" t="n">
        <f aca="false">INDEX(J147:S147,INDEX(P_VAL,MATCH("AÑO_DIS",P_ID,0))-2025)</f>
        <v>32318.77872</v>
      </c>
      <c r="U147" s="24"/>
      <c r="V147" s="24"/>
      <c r="W147" s="24"/>
      <c r="X147" s="24"/>
      <c r="Y147" s="24"/>
    </row>
    <row r="148" customFormat="false" ht="15" hidden="false" customHeight="false" outlineLevel="1" collapsed="false">
      <c r="A148" s="24" t="n">
        <v>1</v>
      </c>
      <c r="B148" s="24" t="s">
        <v>756</v>
      </c>
      <c r="C148" s="40" t="s">
        <v>3854</v>
      </c>
      <c r="D148" s="24"/>
      <c r="E148" s="24"/>
      <c r="F148" s="24"/>
      <c r="G148" s="24"/>
      <c r="H148" s="24" t="s">
        <v>132</v>
      </c>
      <c r="I148" s="24" t="s">
        <v>3855</v>
      </c>
      <c r="J148" s="42" t="n">
        <f aca="false">INSUMOS_DIRECTOS_RECARGAS!H148</f>
        <v>163.66970485</v>
      </c>
      <c r="K148" s="42" t="n">
        <f aca="false">INSUMOS_DIRECTOS_RECARGAS!I148</f>
        <v>628.880926</v>
      </c>
      <c r="L148" s="42" t="n">
        <f aca="false">INSUMOS_DIRECTOS_RECARGAS!J148</f>
        <v>1201.5428505</v>
      </c>
      <c r="M148" s="42" t="n">
        <f aca="false">INSUMOS_DIRECTOS_RECARGAS!K148</f>
        <v>2231.1784175</v>
      </c>
      <c r="N148" s="42" t="n">
        <f aca="false">INSUMOS_DIRECTOS_RECARGAS!L148</f>
        <v>3037.3785945</v>
      </c>
      <c r="O148" s="42" t="n">
        <f aca="false">INSUMOS_DIRECTOS_RECARGAS!M148</f>
        <v>3952.502138</v>
      </c>
      <c r="P148" s="42" t="n">
        <f aca="false">INSUMOS_DIRECTOS_RECARGAS!N148</f>
        <v>4675.6050195</v>
      </c>
      <c r="Q148" s="42" t="n">
        <f aca="false">INSUMOS_DIRECTOS_RECARGAS!O148</f>
        <v>5003.01062</v>
      </c>
      <c r="R148" s="42" t="n">
        <f aca="false">INSUMOS_DIRECTOS_RECARGAS!P148</f>
        <v>5230.5833805</v>
      </c>
      <c r="S148" s="42" t="n">
        <f aca="false">INSUMOS_DIRECTOS_RECARGAS!Q148</f>
        <v>5606.35881</v>
      </c>
      <c r="T148" s="42" t="n">
        <f aca="false">INDEX(J148:S148,INDEX(P_VAL,MATCH("AÑO_DIS",P_ID,0))-2025)</f>
        <v>5606.35881</v>
      </c>
      <c r="U148" s="24"/>
      <c r="V148" s="24"/>
      <c r="W148" s="24"/>
      <c r="X148" s="24"/>
      <c r="Y148" s="24"/>
    </row>
    <row r="149" customFormat="false" ht="15" hidden="false" customHeight="false" outlineLevel="0" collapsed="false">
      <c r="A149" s="38" t="n">
        <v>0</v>
      </c>
      <c r="B149" s="38" t="s">
        <v>840</v>
      </c>
      <c r="C149" s="38" t="str">
        <f aca="false">INDEX(C_TAB,MATCH($B149,C_COD,0),2)</f>
        <v>Manguera con racor y tobera ABC 10 kg (armada)</v>
      </c>
      <c r="D149" s="38" t="str">
        <f aca="false">INDEX(C_TAB,MATCH($B149,C_COD,0),3)</f>
        <v>u</v>
      </c>
      <c r="E149" s="38" t="str">
        <f aca="false">INDEX(C_TAB,MATCH($B149,C_COD,0),4)</f>
        <v>Directo</v>
      </c>
      <c r="F149" s="38" t="str">
        <f aca="false">INDEX(C_TAB,MATCH($B149,C_COD,0),5)</f>
        <v>Componente comprado</v>
      </c>
      <c r="G149" s="38" t="str">
        <f aca="false">INDEX(C_TAB,MATCH($B149,C_COD,0),6)</f>
        <v>Insumos de montaje (manuales)</v>
      </c>
      <c r="H149" s="38"/>
      <c r="I149" s="38"/>
      <c r="J149" s="39" t="n">
        <f aca="false">SUM(J150:J151)</f>
        <v>99.850363155</v>
      </c>
      <c r="K149" s="39" t="n">
        <f aca="false">SUM(K150:K151)</f>
        <v>202.483125595</v>
      </c>
      <c r="L149" s="39" t="n">
        <f aca="false">SUM(L150:L151)</f>
        <v>312.07752085</v>
      </c>
      <c r="M149" s="39" t="n">
        <f aca="false">SUM(M150:M151)</f>
        <v>467.7409872</v>
      </c>
      <c r="N149" s="39" t="n">
        <f aca="false">SUM(N150:N151)</f>
        <v>756.6169942</v>
      </c>
      <c r="O149" s="39" t="n">
        <f aca="false">SUM(O150:O151)</f>
        <v>1077.7745631</v>
      </c>
      <c r="P149" s="39" t="n">
        <f aca="false">SUM(P150:P151)</f>
        <v>1373.9944485</v>
      </c>
      <c r="Q149" s="39" t="n">
        <f aca="false">SUM(Q150:Q151)</f>
        <v>1664.0205412</v>
      </c>
      <c r="R149" s="39" t="n">
        <f aca="false">SUM(R150:R151)</f>
        <v>1901.7772704</v>
      </c>
      <c r="S149" s="39" t="n">
        <f aca="false">SUM(S150:S151)</f>
        <v>2150.44562175</v>
      </c>
      <c r="T149" s="39" t="n">
        <f aca="false">INDEX(J149:S149,INDEX(P_VAL,MATCH("AÑO_DIS",P_ID,0))-2025)</f>
        <v>2150.44562175</v>
      </c>
      <c r="U149" s="38" t="str">
        <f aca="false">INDEX(C_TAB,MATCH($B149,C_COD,0),10)</f>
        <v>Caja de 50 u</v>
      </c>
      <c r="V149" s="38" t="n">
        <f aca="false">INDEX(C_TAB,MATCH($B149,C_COD,0),11)</f>
        <v>50</v>
      </c>
      <c r="W149" s="44" t="n">
        <f aca="false">ROUNDUP(T149/V149,0)</f>
        <v>44</v>
      </c>
      <c r="X149" s="38" t="str">
        <f aca="false">INDEX(C_TAB,MATCH($B149,C_COD,0),7)</f>
        <v>Yukon</v>
      </c>
      <c r="Y149" s="38" t="n">
        <f aca="false">INDEX(C_TAB,MATCH($B149,C_COD,0),12)</f>
        <v>15</v>
      </c>
    </row>
    <row r="150" customFormat="false" ht="15" hidden="false" customHeight="false" outlineLevel="1" collapsed="false">
      <c r="A150" s="24" t="n">
        <v>1</v>
      </c>
      <c r="B150" s="24" t="s">
        <v>840</v>
      </c>
      <c r="C150" s="40" t="s">
        <v>3852</v>
      </c>
      <c r="D150" s="24"/>
      <c r="E150" s="24"/>
      <c r="F150" s="24"/>
      <c r="G150" s="24"/>
      <c r="H150" s="24" t="s">
        <v>229</v>
      </c>
      <c r="I150" s="24" t="s">
        <v>3853</v>
      </c>
      <c r="J150" s="42" t="n">
        <f aca="false">INSUMOS_DIRECTOS_MANUALES!H94</f>
        <v>91.83318153</v>
      </c>
      <c r="K150" s="42" t="n">
        <f aca="false">INSUMOS_DIRECTOS_MANUALES!I94</f>
        <v>177.2472967</v>
      </c>
      <c r="L150" s="42" t="n">
        <f aca="false">INSUMOS_DIRECTOS_MANUALES!J94</f>
        <v>252.9787798</v>
      </c>
      <c r="M150" s="42" t="n">
        <f aca="false">INSUMOS_DIRECTOS_MANUALES!K94</f>
        <v>358.0204941</v>
      </c>
      <c r="N150" s="42" t="n">
        <f aca="false">INSUMOS_DIRECTOS_MANUALES!L94</f>
        <v>602.7181519</v>
      </c>
      <c r="O150" s="42" t="n">
        <f aca="false">INSUMOS_DIRECTOS_MANUALES!M94</f>
        <v>872.605032</v>
      </c>
      <c r="P150" s="42" t="n">
        <f aca="false">INSUMOS_DIRECTOS_MANUALES!N94</f>
        <v>1127.160545</v>
      </c>
      <c r="Q150" s="42" t="n">
        <f aca="false">INSUMOS_DIRECTOS_MANUALES!O94</f>
        <v>1395.444812</v>
      </c>
      <c r="R150" s="42" t="n">
        <f aca="false">INSUMOS_DIRECTOS_MANUALES!P94</f>
        <v>1612.350054</v>
      </c>
      <c r="S150" s="42" t="n">
        <f aca="false">INSUMOS_DIRECTOS_MANUALES!Q94</f>
        <v>1840.848079</v>
      </c>
      <c r="T150" s="42" t="n">
        <f aca="false">INDEX(J150:S150,INDEX(P_VAL,MATCH("AÑO_DIS",P_ID,0))-2025)</f>
        <v>1840.848079</v>
      </c>
      <c r="U150" s="24"/>
      <c r="V150" s="24"/>
      <c r="W150" s="24"/>
      <c r="X150" s="24"/>
      <c r="Y150" s="24"/>
    </row>
    <row r="151" customFormat="false" ht="15" hidden="false" customHeight="false" outlineLevel="1" collapsed="false">
      <c r="A151" s="24" t="n">
        <v>1</v>
      </c>
      <c r="B151" s="24" t="s">
        <v>840</v>
      </c>
      <c r="C151" s="40" t="s">
        <v>3854</v>
      </c>
      <c r="D151" s="24"/>
      <c r="E151" s="24"/>
      <c r="F151" s="24"/>
      <c r="G151" s="24"/>
      <c r="H151" s="24" t="s">
        <v>132</v>
      </c>
      <c r="I151" s="24" t="s">
        <v>3855</v>
      </c>
      <c r="J151" s="42" t="n">
        <f aca="false">INSUMOS_DIRECTOS_RECARGAS!H152</f>
        <v>8.017181625</v>
      </c>
      <c r="K151" s="42" t="n">
        <f aca="false">INSUMOS_DIRECTOS_RECARGAS!I152</f>
        <v>25.235828895</v>
      </c>
      <c r="L151" s="42" t="n">
        <f aca="false">INSUMOS_DIRECTOS_RECARGAS!J152</f>
        <v>59.09874105</v>
      </c>
      <c r="M151" s="42" t="n">
        <f aca="false">INSUMOS_DIRECTOS_RECARGAS!K152</f>
        <v>109.7204931</v>
      </c>
      <c r="N151" s="42" t="n">
        <f aca="false">INSUMOS_DIRECTOS_RECARGAS!L152</f>
        <v>153.8988423</v>
      </c>
      <c r="O151" s="42" t="n">
        <f aca="false">INSUMOS_DIRECTOS_RECARGAS!M152</f>
        <v>205.1695311</v>
      </c>
      <c r="P151" s="42" t="n">
        <f aca="false">INSUMOS_DIRECTOS_RECARGAS!N152</f>
        <v>246.8339035</v>
      </c>
      <c r="Q151" s="42" t="n">
        <f aca="false">INSUMOS_DIRECTOS_RECARGAS!O152</f>
        <v>268.5757292</v>
      </c>
      <c r="R151" s="42" t="n">
        <f aca="false">INSUMOS_DIRECTOS_RECARGAS!P152</f>
        <v>289.4272164</v>
      </c>
      <c r="S151" s="42" t="n">
        <f aca="false">INSUMOS_DIRECTOS_RECARGAS!Q152</f>
        <v>309.59754275</v>
      </c>
      <c r="T151" s="42" t="n">
        <f aca="false">INDEX(J151:S151,INDEX(P_VAL,MATCH("AÑO_DIS",P_ID,0))-2025)</f>
        <v>309.59754275</v>
      </c>
      <c r="U151" s="24"/>
      <c r="V151" s="24"/>
      <c r="W151" s="24"/>
      <c r="X151" s="24"/>
      <c r="Y151" s="24"/>
    </row>
    <row r="152" customFormat="false" ht="15" hidden="false" customHeight="false" outlineLevel="0" collapsed="false">
      <c r="A152" s="38" t="n">
        <v>0</v>
      </c>
      <c r="B152" s="38" t="s">
        <v>926</v>
      </c>
      <c r="C152" s="38" t="str">
        <f aca="false">INDEX(C_TAB,MATCH($B152,C_COD,0),2)</f>
        <v>Manguera armada con válvula esférica y tobera campana, carro 25 kg</v>
      </c>
      <c r="D152" s="38" t="str">
        <f aca="false">INDEX(C_TAB,MATCH($B152,C_COD,0),3)</f>
        <v>u</v>
      </c>
      <c r="E152" s="38" t="str">
        <f aca="false">INDEX(C_TAB,MATCH($B152,C_COD,0),4)</f>
        <v>Directo</v>
      </c>
      <c r="F152" s="38" t="str">
        <f aca="false">INDEX(C_TAB,MATCH($B152,C_COD,0),5)</f>
        <v>Componente comprado</v>
      </c>
      <c r="G152" s="38" t="str">
        <f aca="false">INDEX(C_TAB,MATCH($B152,C_COD,0),6)</f>
        <v>Rack de insumos de montaje (carros)</v>
      </c>
      <c r="H152" s="38"/>
      <c r="I152" s="38"/>
      <c r="J152" s="39" t="n">
        <f aca="false">SUM(J153:J154)</f>
        <v>34.933679006</v>
      </c>
      <c r="K152" s="39" t="n">
        <f aca="false">SUM(K153:K154)</f>
        <v>62.76153842</v>
      </c>
      <c r="L152" s="39" t="n">
        <f aca="false">SUM(L153:L154)</f>
        <v>84.552018345</v>
      </c>
      <c r="M152" s="39" t="n">
        <f aca="false">SUM(M153:M154)</f>
        <v>117.35903394</v>
      </c>
      <c r="N152" s="39" t="n">
        <f aca="false">SUM(N153:N154)</f>
        <v>180.082633385</v>
      </c>
      <c r="O152" s="39" t="n">
        <f aca="false">SUM(O153:O154)</f>
        <v>244.09550197</v>
      </c>
      <c r="P152" s="39" t="n">
        <f aca="false">SUM(P153:P154)</f>
        <v>312.289820315</v>
      </c>
      <c r="Q152" s="39" t="n">
        <f aca="false">SUM(Q153:Q154)</f>
        <v>382.33255605</v>
      </c>
      <c r="R152" s="39" t="n">
        <f aca="false">SUM(R153:R154)</f>
        <v>441.892971075</v>
      </c>
      <c r="S152" s="39" t="n">
        <f aca="false">SUM(S153:S154)</f>
        <v>505.3675183</v>
      </c>
      <c r="T152" s="39" t="n">
        <f aca="false">INDEX(J152:S152,INDEX(P_VAL,MATCH("AÑO_DIS",P_ID,0))-2025)</f>
        <v>505.3675183</v>
      </c>
      <c r="U152" s="38" t="str">
        <f aca="false">INDEX(C_TAB,MATCH($B152,C_COD,0),10)</f>
        <v>Caja de 10 u</v>
      </c>
      <c r="V152" s="38" t="n">
        <f aca="false">INDEX(C_TAB,MATCH($B152,C_COD,0),11)</f>
        <v>10</v>
      </c>
      <c r="W152" s="44" t="n">
        <f aca="false">ROUNDUP(T152/V152,0)</f>
        <v>51</v>
      </c>
      <c r="X152" s="38" t="str">
        <f aca="false">INDEX(C_TAB,MATCH($B152,C_COD,0),7)</f>
        <v>Yukon</v>
      </c>
      <c r="Y152" s="38" t="n">
        <f aca="false">INDEX(C_TAB,MATCH($B152,C_COD,0),12)</f>
        <v>15</v>
      </c>
    </row>
    <row r="153" customFormat="false" ht="15" hidden="false" customHeight="false" outlineLevel="1" collapsed="false">
      <c r="A153" s="24" t="n">
        <v>1</v>
      </c>
      <c r="B153" s="24" t="s">
        <v>926</v>
      </c>
      <c r="C153" s="40" t="s">
        <v>3856</v>
      </c>
      <c r="D153" s="24"/>
      <c r="E153" s="24"/>
      <c r="F153" s="24"/>
      <c r="G153" s="24"/>
      <c r="H153" s="24" t="s">
        <v>244</v>
      </c>
      <c r="I153" s="24" t="s">
        <v>3857</v>
      </c>
      <c r="J153" s="42" t="n">
        <f aca="false">INSUMOS_DIRECTOS_RODANTES!H126</f>
        <v>34.05179136</v>
      </c>
      <c r="K153" s="42" t="n">
        <f aca="false">INSUMOS_DIRECTOS_RODANTES!I126</f>
        <v>58.46214745</v>
      </c>
      <c r="L153" s="42" t="n">
        <f aca="false">INSUMOS_DIRECTOS_RODANTES!J126</f>
        <v>75.20853998</v>
      </c>
      <c r="M153" s="42" t="n">
        <f aca="false">INSUMOS_DIRECTOS_RODANTES!K126</f>
        <v>100.5298529</v>
      </c>
      <c r="N153" s="42" t="n">
        <f aca="false">INSUMOS_DIRECTOS_RODANTES!L126</f>
        <v>155.8760035</v>
      </c>
      <c r="O153" s="42" t="n">
        <f aca="false">INSUMOS_DIRECTOS_RODANTES!M126</f>
        <v>211.9344827</v>
      </c>
      <c r="P153" s="42" t="n">
        <f aca="false">INSUMOS_DIRECTOS_RODANTES!N126</f>
        <v>272.6682332</v>
      </c>
      <c r="Q153" s="42" t="n">
        <f aca="false">INSUMOS_DIRECTOS_RODANTES!O126</f>
        <v>337.8486707</v>
      </c>
      <c r="R153" s="42" t="n">
        <f aca="false">INSUMOS_DIRECTOS_RODANTES!P126</f>
        <v>393.6274156</v>
      </c>
      <c r="S153" s="42" t="n">
        <f aca="false">INSUMOS_DIRECTOS_RODANTES!Q126</f>
        <v>453.2705332</v>
      </c>
      <c r="T153" s="42" t="n">
        <f aca="false">INDEX(J153:S153,INDEX(P_VAL,MATCH("AÑO_DIS",P_ID,0))-2025)</f>
        <v>453.2705332</v>
      </c>
      <c r="U153" s="24"/>
      <c r="V153" s="24"/>
      <c r="W153" s="24"/>
      <c r="X153" s="24"/>
      <c r="Y153" s="24"/>
    </row>
    <row r="154" customFormat="false" ht="15" hidden="false" customHeight="false" outlineLevel="1" collapsed="false">
      <c r="A154" s="24" t="n">
        <v>1</v>
      </c>
      <c r="B154" s="24" t="s">
        <v>926</v>
      </c>
      <c r="C154" s="40" t="s">
        <v>3854</v>
      </c>
      <c r="D154" s="24"/>
      <c r="E154" s="24"/>
      <c r="F154" s="24"/>
      <c r="G154" s="24"/>
      <c r="H154" s="24" t="s">
        <v>132</v>
      </c>
      <c r="I154" s="24" t="s">
        <v>3855</v>
      </c>
      <c r="J154" s="42" t="n">
        <f aca="false">INSUMOS_DIRECTOS_RECARGAS!H156</f>
        <v>0.881887646</v>
      </c>
      <c r="K154" s="42" t="n">
        <f aca="false">INSUMOS_DIRECTOS_RECARGAS!I156</f>
        <v>4.29939097</v>
      </c>
      <c r="L154" s="42" t="n">
        <f aca="false">INSUMOS_DIRECTOS_RECARGAS!J156</f>
        <v>9.343478365</v>
      </c>
      <c r="M154" s="42" t="n">
        <f aca="false">INSUMOS_DIRECTOS_RECARGAS!K156</f>
        <v>16.82918104</v>
      </c>
      <c r="N154" s="42" t="n">
        <f aca="false">INSUMOS_DIRECTOS_RECARGAS!L156</f>
        <v>24.206629885</v>
      </c>
      <c r="O154" s="42" t="n">
        <f aca="false">INSUMOS_DIRECTOS_RECARGAS!M156</f>
        <v>32.16101927</v>
      </c>
      <c r="P154" s="42" t="n">
        <f aca="false">INSUMOS_DIRECTOS_RECARGAS!N156</f>
        <v>39.621587115</v>
      </c>
      <c r="Q154" s="42" t="n">
        <f aca="false">INSUMOS_DIRECTOS_RECARGAS!O156</f>
        <v>44.48388535</v>
      </c>
      <c r="R154" s="42" t="n">
        <f aca="false">INSUMOS_DIRECTOS_RECARGAS!P156</f>
        <v>48.265555475</v>
      </c>
      <c r="S154" s="42" t="n">
        <f aca="false">INSUMOS_DIRECTOS_RECARGAS!Q156</f>
        <v>52.0969851</v>
      </c>
      <c r="T154" s="42" t="n">
        <f aca="false">INDEX(J154:S154,INDEX(P_VAL,MATCH("AÑO_DIS",P_ID,0))-2025)</f>
        <v>52.0969851</v>
      </c>
      <c r="U154" s="24"/>
      <c r="V154" s="24"/>
      <c r="W154" s="24"/>
      <c r="X154" s="24"/>
      <c r="Y154" s="24"/>
    </row>
    <row r="155" customFormat="false" ht="15" hidden="false" customHeight="false" outlineLevel="0" collapsed="false">
      <c r="A155" s="38" t="n">
        <v>0</v>
      </c>
      <c r="B155" s="38" t="s">
        <v>1056</v>
      </c>
      <c r="C155" s="38" t="str">
        <f aca="false">INDEX(C_TAB,MATCH($B155,C_COD,0),2)</f>
        <v>Manguera armada con válvula esférica y tobera campana, carro 50 kg</v>
      </c>
      <c r="D155" s="38" t="str">
        <f aca="false">INDEX(C_TAB,MATCH($B155,C_COD,0),3)</f>
        <v>u</v>
      </c>
      <c r="E155" s="38" t="str">
        <f aca="false">INDEX(C_TAB,MATCH($B155,C_COD,0),4)</f>
        <v>Directo</v>
      </c>
      <c r="F155" s="38" t="str">
        <f aca="false">INDEX(C_TAB,MATCH($B155,C_COD,0),5)</f>
        <v>Componente comprado</v>
      </c>
      <c r="G155" s="38" t="str">
        <f aca="false">INDEX(C_TAB,MATCH($B155,C_COD,0),6)</f>
        <v>Rack de insumos de montaje (carros)</v>
      </c>
      <c r="H155" s="38"/>
      <c r="I155" s="38"/>
      <c r="J155" s="39" t="n">
        <f aca="false">SUM(J156:J157)</f>
        <v>77.904093821</v>
      </c>
      <c r="K155" s="39" t="n">
        <f aca="false">SUM(K156:K157)</f>
        <v>140.275384535</v>
      </c>
      <c r="L155" s="39" t="n">
        <f aca="false">SUM(L156:L157)</f>
        <v>190.5144404</v>
      </c>
      <c r="M155" s="39" t="n">
        <f aca="false">SUM(M156:M157)</f>
        <v>264.139874785</v>
      </c>
      <c r="N155" s="39" t="n">
        <f aca="false">SUM(N156:N157)</f>
        <v>402.63179345</v>
      </c>
      <c r="O155" s="39" t="n">
        <f aca="false">SUM(O156:O157)</f>
        <v>545.0101044</v>
      </c>
      <c r="P155" s="39" t="n">
        <f aca="false">SUM(P156:P157)</f>
        <v>694.58760455</v>
      </c>
      <c r="Q155" s="39" t="n">
        <f aca="false">SUM(Q156:Q157)</f>
        <v>847.08162335</v>
      </c>
      <c r="R155" s="39" t="n">
        <f aca="false">SUM(R156:R157)</f>
        <v>978.41453635</v>
      </c>
      <c r="S155" s="39" t="n">
        <f aca="false">SUM(S156:S157)</f>
        <v>1117.30854025</v>
      </c>
      <c r="T155" s="39" t="n">
        <f aca="false">INDEX(J155:S155,INDEX(P_VAL,MATCH("AÑO_DIS",P_ID,0))-2025)</f>
        <v>1117.30854025</v>
      </c>
      <c r="U155" s="38" t="str">
        <f aca="false">INDEX(C_TAB,MATCH($B155,C_COD,0),10)</f>
        <v>Caja de 10 u</v>
      </c>
      <c r="V155" s="38" t="n">
        <f aca="false">INDEX(C_TAB,MATCH($B155,C_COD,0),11)</f>
        <v>10</v>
      </c>
      <c r="W155" s="44" t="n">
        <f aca="false">ROUNDUP(T155/V155,0)</f>
        <v>112</v>
      </c>
      <c r="X155" s="38" t="str">
        <f aca="false">INDEX(C_TAB,MATCH($B155,C_COD,0),7)</f>
        <v>Yukon</v>
      </c>
      <c r="Y155" s="38" t="n">
        <f aca="false">INDEX(C_TAB,MATCH($B155,C_COD,0),12)</f>
        <v>15</v>
      </c>
    </row>
    <row r="156" customFormat="false" ht="15" hidden="false" customHeight="false" outlineLevel="1" collapsed="false">
      <c r="A156" s="24" t="n">
        <v>1</v>
      </c>
      <c r="B156" s="24" t="s">
        <v>1056</v>
      </c>
      <c r="C156" s="40" t="s">
        <v>3856</v>
      </c>
      <c r="D156" s="24"/>
      <c r="E156" s="24"/>
      <c r="F156" s="24"/>
      <c r="G156" s="24"/>
      <c r="H156" s="24" t="s">
        <v>244</v>
      </c>
      <c r="I156" s="24" t="s">
        <v>3857</v>
      </c>
      <c r="J156" s="42" t="n">
        <f aca="false">INSUMOS_DIRECTOS_RODANTES!H128</f>
        <v>74.913941</v>
      </c>
      <c r="K156" s="42" t="n">
        <f aca="false">INSUMOS_DIRECTOS_RODANTES!I128</f>
        <v>128.6167244</v>
      </c>
      <c r="L156" s="42" t="n">
        <f aca="false">INSUMOS_DIRECTOS_RODANTES!J128</f>
        <v>165.458788</v>
      </c>
      <c r="M156" s="42" t="n">
        <f aca="false">INSUMOS_DIRECTOS_RODANTES!K128</f>
        <v>221.1656765</v>
      </c>
      <c r="N156" s="42" t="n">
        <f aca="false">INSUMOS_DIRECTOS_RODANTES!L128</f>
        <v>342.9272077</v>
      </c>
      <c r="O156" s="42" t="n">
        <f aca="false">INSUMOS_DIRECTOS_RODANTES!M128</f>
        <v>466.255862</v>
      </c>
      <c r="P156" s="42" t="n">
        <f aca="false">INSUMOS_DIRECTOS_RODANTES!N128</f>
        <v>599.8701129</v>
      </c>
      <c r="Q156" s="42" t="n">
        <f aca="false">INSUMOS_DIRECTOS_RODANTES!O128</f>
        <v>743.2670756</v>
      </c>
      <c r="R156" s="42" t="n">
        <f aca="false">INSUMOS_DIRECTOS_RODANTES!P128</f>
        <v>865.9803143</v>
      </c>
      <c r="S156" s="42" t="n">
        <f aca="false">INSUMOS_DIRECTOS_RODANTES!Q128</f>
        <v>997.1951731</v>
      </c>
      <c r="T156" s="42" t="n">
        <f aca="false">INDEX(J156:S156,INDEX(P_VAL,MATCH("AÑO_DIS",P_ID,0))-2025)</f>
        <v>997.1951731</v>
      </c>
      <c r="U156" s="24"/>
      <c r="V156" s="24"/>
      <c r="W156" s="24"/>
      <c r="X156" s="24"/>
      <c r="Y156" s="24"/>
    </row>
    <row r="157" customFormat="false" ht="15" hidden="false" customHeight="false" outlineLevel="1" collapsed="false">
      <c r="A157" s="24" t="n">
        <v>1</v>
      </c>
      <c r="B157" s="24" t="s">
        <v>1056</v>
      </c>
      <c r="C157" s="40" t="s">
        <v>3854</v>
      </c>
      <c r="D157" s="24"/>
      <c r="E157" s="24"/>
      <c r="F157" s="24"/>
      <c r="G157" s="24"/>
      <c r="H157" s="24" t="s">
        <v>132</v>
      </c>
      <c r="I157" s="24" t="s">
        <v>3855</v>
      </c>
      <c r="J157" s="42" t="n">
        <f aca="false">INSUMOS_DIRECTOS_RECARGAS!H158</f>
        <v>2.990152821</v>
      </c>
      <c r="K157" s="42" t="n">
        <f aca="false">INSUMOS_DIRECTOS_RECARGAS!I158</f>
        <v>11.658660135</v>
      </c>
      <c r="L157" s="42" t="n">
        <f aca="false">INSUMOS_DIRECTOS_RECARGAS!J158</f>
        <v>25.0556524</v>
      </c>
      <c r="M157" s="42" t="n">
        <f aca="false">INSUMOS_DIRECTOS_RECARGAS!K158</f>
        <v>42.974198285</v>
      </c>
      <c r="N157" s="42" t="n">
        <f aca="false">INSUMOS_DIRECTOS_RECARGAS!L158</f>
        <v>59.70458575</v>
      </c>
      <c r="O157" s="42" t="n">
        <f aca="false">INSUMOS_DIRECTOS_RECARGAS!M158</f>
        <v>78.7542424</v>
      </c>
      <c r="P157" s="42" t="n">
        <f aca="false">INSUMOS_DIRECTOS_RECARGAS!N158</f>
        <v>94.71749165</v>
      </c>
      <c r="Q157" s="42" t="n">
        <f aca="false">INSUMOS_DIRECTOS_RECARGAS!O158</f>
        <v>103.81454775</v>
      </c>
      <c r="R157" s="42" t="n">
        <f aca="false">INSUMOS_DIRECTOS_RECARGAS!P158</f>
        <v>112.43422205</v>
      </c>
      <c r="S157" s="42" t="n">
        <f aca="false">INSUMOS_DIRECTOS_RECARGAS!Q158</f>
        <v>120.11336715</v>
      </c>
      <c r="T157" s="42" t="n">
        <f aca="false">INDEX(J157:S157,INDEX(P_VAL,MATCH("AÑO_DIS",P_ID,0))-2025)</f>
        <v>120.11336715</v>
      </c>
      <c r="U157" s="24"/>
      <c r="V157" s="24"/>
      <c r="W157" s="24"/>
      <c r="X157" s="24"/>
      <c r="Y157" s="24"/>
    </row>
    <row r="158" customFormat="false" ht="15" hidden="false" customHeight="false" outlineLevel="0" collapsed="false">
      <c r="A158" s="38" t="n">
        <v>0</v>
      </c>
      <c r="B158" s="38" t="s">
        <v>1164</v>
      </c>
      <c r="C158" s="38" t="str">
        <f aca="false">INDEX(C_TAB,MATCH($B158,C_COD,0),2)</f>
        <v>Manguera armada con válvula esférica y tobera campana, carro 70 kg</v>
      </c>
      <c r="D158" s="38" t="str">
        <f aca="false">INDEX(C_TAB,MATCH($B158,C_COD,0),3)</f>
        <v>u</v>
      </c>
      <c r="E158" s="38" t="str">
        <f aca="false">INDEX(C_TAB,MATCH($B158,C_COD,0),4)</f>
        <v>Directo</v>
      </c>
      <c r="F158" s="38" t="str">
        <f aca="false">INDEX(C_TAB,MATCH($B158,C_COD,0),5)</f>
        <v>Componente comprado</v>
      </c>
      <c r="G158" s="38" t="str">
        <f aca="false">INDEX(C_TAB,MATCH($B158,C_COD,0),6)</f>
        <v>Rack de insumos de montaje (carros)</v>
      </c>
      <c r="H158" s="38"/>
      <c r="I158" s="38"/>
      <c r="J158" s="39" t="n">
        <f aca="false">SUM(J159:J160)</f>
        <v>16.76816592005</v>
      </c>
      <c r="K158" s="39" t="n">
        <f aca="false">SUM(K159:K160)</f>
        <v>30.1255384455</v>
      </c>
      <c r="L158" s="39" t="n">
        <f aca="false">SUM(L159:L160)</f>
        <v>40.5849688045</v>
      </c>
      <c r="M158" s="39" t="n">
        <f aca="false">SUM(M159:M160)</f>
        <v>56.33233631</v>
      </c>
      <c r="N158" s="39" t="n">
        <f aca="false">SUM(N159:N160)</f>
        <v>86.439664015</v>
      </c>
      <c r="O158" s="39" t="n">
        <f aca="false">SUM(O159:O160)</f>
        <v>117.16584095</v>
      </c>
      <c r="P158" s="39" t="n">
        <f aca="false">SUM(P159:P160)</f>
        <v>149.899113715</v>
      </c>
      <c r="Q158" s="39" t="n">
        <f aca="false">SUM(Q159:Q160)</f>
        <v>183.519626865</v>
      </c>
      <c r="R158" s="39" t="n">
        <f aca="false">SUM(R159:R160)</f>
        <v>212.10862613</v>
      </c>
      <c r="S158" s="39" t="n">
        <f aca="false">SUM(S159:S160)</f>
        <v>242.576408835</v>
      </c>
      <c r="T158" s="39" t="n">
        <f aca="false">INDEX(J158:S158,INDEX(P_VAL,MATCH("AÑO_DIS",P_ID,0))-2025)</f>
        <v>242.576408835</v>
      </c>
      <c r="U158" s="38" t="str">
        <f aca="false">INDEX(C_TAB,MATCH($B158,C_COD,0),10)</f>
        <v>Caja de 10 u</v>
      </c>
      <c r="V158" s="38" t="n">
        <f aca="false">INDEX(C_TAB,MATCH($B158,C_COD,0),11)</f>
        <v>10</v>
      </c>
      <c r="W158" s="44" t="n">
        <f aca="false">ROUNDUP(T158/V158,0)</f>
        <v>25</v>
      </c>
      <c r="X158" s="38" t="str">
        <f aca="false">INDEX(C_TAB,MATCH($B158,C_COD,0),7)</f>
        <v>Yukon</v>
      </c>
      <c r="Y158" s="38" t="n">
        <f aca="false">INDEX(C_TAB,MATCH($B158,C_COD,0),12)</f>
        <v>15</v>
      </c>
    </row>
    <row r="159" customFormat="false" ht="15" hidden="false" customHeight="false" outlineLevel="1" collapsed="false">
      <c r="A159" s="24" t="n">
        <v>1</v>
      </c>
      <c r="B159" s="24" t="s">
        <v>1164</v>
      </c>
      <c r="C159" s="40" t="s">
        <v>3856</v>
      </c>
      <c r="D159" s="24"/>
      <c r="E159" s="24"/>
      <c r="F159" s="24"/>
      <c r="G159" s="24"/>
      <c r="H159" s="24" t="s">
        <v>244</v>
      </c>
      <c r="I159" s="24" t="s">
        <v>3857</v>
      </c>
      <c r="J159" s="42" t="n">
        <f aca="false">INSUMOS_DIRECTOS_RODANTES!H130</f>
        <v>16.34485985</v>
      </c>
      <c r="K159" s="42" t="n">
        <f aca="false">INSUMOS_DIRECTOS_RODANTES!I130</f>
        <v>28.06183078</v>
      </c>
      <c r="L159" s="42" t="n">
        <f aca="false">INSUMOS_DIRECTOS_RODANTES!J130</f>
        <v>36.10009919</v>
      </c>
      <c r="M159" s="42" t="n">
        <f aca="false">INSUMOS_DIRECTOS_RODANTES!K130</f>
        <v>48.25432941</v>
      </c>
      <c r="N159" s="42" t="n">
        <f aca="false">INSUMOS_DIRECTOS_RODANTES!L130</f>
        <v>74.82048167</v>
      </c>
      <c r="O159" s="42" t="n">
        <f aca="false">INSUMOS_DIRECTOS_RODANTES!M130</f>
        <v>101.7285517</v>
      </c>
      <c r="P159" s="42" t="n">
        <f aca="false">INSUMOS_DIRECTOS_RODANTES!N130</f>
        <v>130.8807519</v>
      </c>
      <c r="Q159" s="42" t="n">
        <f aca="false">INSUMOS_DIRECTOS_RODANTES!O130</f>
        <v>162.1673619</v>
      </c>
      <c r="R159" s="42" t="n">
        <f aca="false">INSUMOS_DIRECTOS_RODANTES!P130</f>
        <v>188.9411595</v>
      </c>
      <c r="S159" s="42" t="n">
        <f aca="false">INSUMOS_DIRECTOS_RODANTES!Q130</f>
        <v>217.569856</v>
      </c>
      <c r="T159" s="42" t="n">
        <f aca="false">INDEX(J159:S159,INDEX(P_VAL,MATCH("AÑO_DIS",P_ID,0))-2025)</f>
        <v>217.569856</v>
      </c>
      <c r="U159" s="24"/>
      <c r="V159" s="24"/>
      <c r="W159" s="24"/>
      <c r="X159" s="24"/>
      <c r="Y159" s="24"/>
    </row>
    <row r="160" customFormat="false" ht="15" hidden="false" customHeight="false" outlineLevel="1" collapsed="false">
      <c r="A160" s="24" t="n">
        <v>1</v>
      </c>
      <c r="B160" s="24" t="s">
        <v>1164</v>
      </c>
      <c r="C160" s="40" t="s">
        <v>3854</v>
      </c>
      <c r="D160" s="24"/>
      <c r="E160" s="24"/>
      <c r="F160" s="24"/>
      <c r="G160" s="24"/>
      <c r="H160" s="24" t="s">
        <v>132</v>
      </c>
      <c r="I160" s="24" t="s">
        <v>3855</v>
      </c>
      <c r="J160" s="42" t="n">
        <f aca="false">INSUMOS_DIRECTOS_RECARGAS!H162</f>
        <v>0.42330607005</v>
      </c>
      <c r="K160" s="42" t="n">
        <f aca="false">INSUMOS_DIRECTOS_RECARGAS!I162</f>
        <v>2.0637076655</v>
      </c>
      <c r="L160" s="42" t="n">
        <f aca="false">INSUMOS_DIRECTOS_RECARGAS!J162</f>
        <v>4.4848696145</v>
      </c>
      <c r="M160" s="42" t="n">
        <f aca="false">INSUMOS_DIRECTOS_RECARGAS!K162</f>
        <v>8.0780069</v>
      </c>
      <c r="N160" s="42" t="n">
        <f aca="false">INSUMOS_DIRECTOS_RECARGAS!L162</f>
        <v>11.619182345</v>
      </c>
      <c r="O160" s="42" t="n">
        <f aca="false">INSUMOS_DIRECTOS_RECARGAS!M162</f>
        <v>15.43728925</v>
      </c>
      <c r="P160" s="42" t="n">
        <f aca="false">INSUMOS_DIRECTOS_RECARGAS!N162</f>
        <v>19.018361815</v>
      </c>
      <c r="Q160" s="42" t="n">
        <f aca="false">INSUMOS_DIRECTOS_RECARGAS!O162</f>
        <v>21.352264965</v>
      </c>
      <c r="R160" s="42" t="n">
        <f aca="false">INSUMOS_DIRECTOS_RECARGAS!P162</f>
        <v>23.16746663</v>
      </c>
      <c r="S160" s="42" t="n">
        <f aca="false">INSUMOS_DIRECTOS_RECARGAS!Q162</f>
        <v>25.006552835</v>
      </c>
      <c r="T160" s="42" t="n">
        <f aca="false">INDEX(J160:S160,INDEX(P_VAL,MATCH("AÑO_DIS",P_ID,0))-2025)</f>
        <v>25.006552835</v>
      </c>
      <c r="U160" s="24"/>
      <c r="V160" s="24"/>
      <c r="W160" s="24"/>
      <c r="X160" s="24"/>
      <c r="Y160" s="24"/>
    </row>
    <row r="161" customFormat="false" ht="15" hidden="false" customHeight="false" outlineLevel="0" collapsed="false">
      <c r="A161" s="38" t="n">
        <v>0</v>
      </c>
      <c r="B161" s="38" t="s">
        <v>1268</v>
      </c>
      <c r="C161" s="38" t="str">
        <f aca="false">INDEX(C_TAB,MATCH($B161,C_COD,0),2)</f>
        <v>Manguera armada con válvula esférica y tobera campana, carro 100 kg</v>
      </c>
      <c r="D161" s="38" t="str">
        <f aca="false">INDEX(C_TAB,MATCH($B161,C_COD,0),3)</f>
        <v>u</v>
      </c>
      <c r="E161" s="38" t="str">
        <f aca="false">INDEX(C_TAB,MATCH($B161,C_COD,0),4)</f>
        <v>Directo</v>
      </c>
      <c r="F161" s="38" t="str">
        <f aca="false">INDEX(C_TAB,MATCH($B161,C_COD,0),5)</f>
        <v>Componente comprado</v>
      </c>
      <c r="G161" s="38" t="str">
        <f aca="false">INDEX(C_TAB,MATCH($B161,C_COD,0),6)</f>
        <v>Rack de insumos de montaje (carros)</v>
      </c>
      <c r="H161" s="38"/>
      <c r="I161" s="38"/>
      <c r="J161" s="39" t="n">
        <f aca="false">SUM(J162:J163)</f>
        <v>12.2287772867</v>
      </c>
      <c r="K161" s="39" t="n">
        <f aca="false">SUM(K162:K163)</f>
        <v>20.1836923005</v>
      </c>
      <c r="L161" s="39" t="n">
        <f aca="false">SUM(L162:L163)</f>
        <v>28.2066458665</v>
      </c>
      <c r="M161" s="39" t="n">
        <f aca="false">SUM(M162:M163)</f>
        <v>38.80489087</v>
      </c>
      <c r="N161" s="39" t="n">
        <f aca="false">SUM(N162:N163)</f>
        <v>60.026442685</v>
      </c>
      <c r="O161" s="39" t="n">
        <f aca="false">SUM(O162:O163)</f>
        <v>79.660560635</v>
      </c>
      <c r="P161" s="39" t="n">
        <f aca="false">SUM(P162:P163)</f>
        <v>101.582742485</v>
      </c>
      <c r="Q161" s="39" t="n">
        <f aca="false">SUM(Q162:Q163)</f>
        <v>124.09641791</v>
      </c>
      <c r="R161" s="39" t="n">
        <f aca="false">SUM(R162:R163)</f>
        <v>143.25575075</v>
      </c>
      <c r="S161" s="39" t="n">
        <f aca="false">SUM(S162:S163)</f>
        <v>162.617605825</v>
      </c>
      <c r="T161" s="39" t="n">
        <f aca="false">INDEX(J161:S161,INDEX(P_VAL,MATCH("AÑO_DIS",P_ID,0))-2025)</f>
        <v>162.617605825</v>
      </c>
      <c r="U161" s="38" t="str">
        <f aca="false">INDEX(C_TAB,MATCH($B161,C_COD,0),10)</f>
        <v>Caja de 10 u</v>
      </c>
      <c r="V161" s="38" t="n">
        <f aca="false">INDEX(C_TAB,MATCH($B161,C_COD,0),11)</f>
        <v>10</v>
      </c>
      <c r="W161" s="44" t="n">
        <f aca="false">ROUNDUP(T161/V161,0)</f>
        <v>17</v>
      </c>
      <c r="X161" s="38" t="str">
        <f aca="false">INDEX(C_TAB,MATCH($B161,C_COD,0),7)</f>
        <v>Yukon</v>
      </c>
      <c r="Y161" s="38" t="n">
        <f aca="false">INDEX(C_TAB,MATCH($B161,C_COD,0),12)</f>
        <v>15</v>
      </c>
    </row>
    <row r="162" customFormat="false" ht="15" hidden="false" customHeight="false" outlineLevel="1" collapsed="false">
      <c r="A162" s="24" t="n">
        <v>1</v>
      </c>
      <c r="B162" s="24" t="s">
        <v>1268</v>
      </c>
      <c r="C162" s="40" t="s">
        <v>3856</v>
      </c>
      <c r="D162" s="24"/>
      <c r="E162" s="24"/>
      <c r="F162" s="24"/>
      <c r="G162" s="24"/>
      <c r="H162" s="24" t="s">
        <v>244</v>
      </c>
      <c r="I162" s="24" t="s">
        <v>3857</v>
      </c>
      <c r="J162" s="42" t="n">
        <f aca="false">INSUMOS_DIRECTOS_RODANTES!H132</f>
        <v>10.89657324</v>
      </c>
      <c r="K162" s="42" t="n">
        <f aca="false">INSUMOS_DIRECTOS_RODANTES!I132</f>
        <v>18.70788719</v>
      </c>
      <c r="L162" s="42" t="n">
        <f aca="false">INSUMOS_DIRECTOS_RODANTES!J132</f>
        <v>24.06673279</v>
      </c>
      <c r="M162" s="42" t="n">
        <f aca="false">INSUMOS_DIRECTOS_RODANTES!K132</f>
        <v>32.16955294</v>
      </c>
      <c r="N162" s="42" t="n">
        <f aca="false">INSUMOS_DIRECTOS_RODANTES!L132</f>
        <v>49.88032112</v>
      </c>
      <c r="O162" s="42" t="n">
        <f aca="false">INSUMOS_DIRECTOS_RODANTES!M132</f>
        <v>67.81903447</v>
      </c>
      <c r="P162" s="42" t="n">
        <f aca="false">INSUMOS_DIRECTOS_RODANTES!N132</f>
        <v>87.25383461</v>
      </c>
      <c r="Q162" s="42" t="n">
        <f aca="false">INSUMOS_DIRECTOS_RODANTES!O132</f>
        <v>108.1115746</v>
      </c>
      <c r="R162" s="42" t="n">
        <f aca="false">INSUMOS_DIRECTOS_RODANTES!P132</f>
        <v>125.960773</v>
      </c>
      <c r="S162" s="42" t="n">
        <f aca="false">INSUMOS_DIRECTOS_RODANTES!Q132</f>
        <v>145.0465706</v>
      </c>
      <c r="T162" s="42" t="n">
        <f aca="false">INDEX(J162:S162,INDEX(P_VAL,MATCH("AÑO_DIS",P_ID,0))-2025)</f>
        <v>145.0465706</v>
      </c>
      <c r="U162" s="24"/>
      <c r="V162" s="24"/>
      <c r="W162" s="24"/>
      <c r="X162" s="24"/>
      <c r="Y162" s="24"/>
    </row>
    <row r="163" customFormat="false" ht="15" hidden="false" customHeight="false" outlineLevel="1" collapsed="false">
      <c r="A163" s="24" t="n">
        <v>1</v>
      </c>
      <c r="B163" s="24" t="s">
        <v>1268</v>
      </c>
      <c r="C163" s="40" t="s">
        <v>3854</v>
      </c>
      <c r="D163" s="24"/>
      <c r="E163" s="24"/>
      <c r="F163" s="24"/>
      <c r="G163" s="24"/>
      <c r="H163" s="24" t="s">
        <v>132</v>
      </c>
      <c r="I163" s="24" t="s">
        <v>3855</v>
      </c>
      <c r="J163" s="42" t="n">
        <f aca="false">INSUMOS_DIRECTOS_RECARGAS!H164</f>
        <v>1.3322040467</v>
      </c>
      <c r="K163" s="42" t="n">
        <f aca="false">INSUMOS_DIRECTOS_RECARGAS!I164</f>
        <v>1.4758051105</v>
      </c>
      <c r="L163" s="42" t="n">
        <f aca="false">INSUMOS_DIRECTOS_RECARGAS!J164</f>
        <v>4.1399130765</v>
      </c>
      <c r="M163" s="42" t="n">
        <f aca="false">INSUMOS_DIRECTOS_RECARGAS!K164</f>
        <v>6.63533793</v>
      </c>
      <c r="N163" s="42" t="n">
        <f aca="false">INSUMOS_DIRECTOS_RECARGAS!L164</f>
        <v>10.146121565</v>
      </c>
      <c r="O163" s="42" t="n">
        <f aca="false">INSUMOS_DIRECTOS_RECARGAS!M164</f>
        <v>11.841526165</v>
      </c>
      <c r="P163" s="42" t="n">
        <f aca="false">INSUMOS_DIRECTOS_RECARGAS!N164</f>
        <v>14.328907875</v>
      </c>
      <c r="Q163" s="42" t="n">
        <f aca="false">INSUMOS_DIRECTOS_RECARGAS!O164</f>
        <v>15.98484331</v>
      </c>
      <c r="R163" s="42" t="n">
        <f aca="false">INSUMOS_DIRECTOS_RECARGAS!P164</f>
        <v>17.29497775</v>
      </c>
      <c r="S163" s="42" t="n">
        <f aca="false">INSUMOS_DIRECTOS_RECARGAS!Q164</f>
        <v>17.571035225</v>
      </c>
      <c r="T163" s="42" t="n">
        <f aca="false">INDEX(J163:S163,INDEX(P_VAL,MATCH("AÑO_DIS",P_ID,0))-2025)</f>
        <v>17.571035225</v>
      </c>
      <c r="U163" s="24"/>
      <c r="V163" s="24"/>
      <c r="W163" s="24"/>
      <c r="X163" s="24"/>
      <c r="Y163" s="24"/>
    </row>
    <row r="164" customFormat="false" ht="15" hidden="false" customHeight="false" outlineLevel="0" collapsed="false">
      <c r="A164" s="38" t="n">
        <v>0</v>
      </c>
      <c r="B164" s="38" t="s">
        <v>514</v>
      </c>
      <c r="C164" s="38" t="str">
        <f aca="false">INDEX(C_TAB,MATCH($B164,C_COD,0),2)</f>
        <v>Junta tórica NBR 70 del cuello M22</v>
      </c>
      <c r="D164" s="38" t="str">
        <f aca="false">INDEX(C_TAB,MATCH($B164,C_COD,0),3)</f>
        <v>u</v>
      </c>
      <c r="E164" s="38" t="str">
        <f aca="false">INDEX(C_TAB,MATCH($B164,C_COD,0),4)</f>
        <v>Directo</v>
      </c>
      <c r="F164" s="38" t="str">
        <f aca="false">INDEX(C_TAB,MATCH($B164,C_COD,0),5)</f>
        <v>Componente comprado</v>
      </c>
      <c r="G164" s="38" t="str">
        <f aca="false">INDEX(C_TAB,MATCH($B164,C_COD,0),6)</f>
        <v>Insumos de montaje (manuales)</v>
      </c>
      <c r="H164" s="38"/>
      <c r="I164" s="38"/>
      <c r="J164" s="39" t="n">
        <f aca="false">SUM(J165:J166)</f>
        <v>7656.218667</v>
      </c>
      <c r="K164" s="39" t="n">
        <f aca="false">SUM(K165:K166)</f>
        <v>22967.889617</v>
      </c>
      <c r="L164" s="39" t="n">
        <f aca="false">SUM(L165:L166)</f>
        <v>37397.837268</v>
      </c>
      <c r="M164" s="39" t="n">
        <f aca="false">SUM(M165:M166)</f>
        <v>64515.446609</v>
      </c>
      <c r="N164" s="39" t="n">
        <f aca="false">SUM(N165:N166)</f>
        <v>96950.85884</v>
      </c>
      <c r="O164" s="39" t="n">
        <f aca="false">SUM(O165:O166)</f>
        <v>133028.07617</v>
      </c>
      <c r="P164" s="39" t="n">
        <f aca="false">SUM(P165:P166)</f>
        <v>167943.18886</v>
      </c>
      <c r="Q164" s="39" t="n">
        <f aca="false">SUM(Q165:Q166)</f>
        <v>196536.43918</v>
      </c>
      <c r="R164" s="39" t="n">
        <f aca="false">SUM(R165:R166)</f>
        <v>212263.90214</v>
      </c>
      <c r="S164" s="39" t="n">
        <f aca="false">SUM(S165:S166)</f>
        <v>228355.32983</v>
      </c>
      <c r="T164" s="39" t="n">
        <f aca="false">INDEX(J164:S164,INDEX(P_VAL,MATCH("AÑO_DIS",P_ID,0))-2025)</f>
        <v>228355.32983</v>
      </c>
      <c r="U164" s="38" t="str">
        <f aca="false">INDEX(C_TAB,MATCH($B164,C_COD,0),10)</f>
        <v>Bolsa de 1.000 u</v>
      </c>
      <c r="V164" s="38" t="n">
        <f aca="false">INDEX(C_TAB,MATCH($B164,C_COD,0),11)</f>
        <v>1000</v>
      </c>
      <c r="W164" s="44" t="n">
        <f aca="false">ROUNDUP(T164/V164,0)</f>
        <v>229</v>
      </c>
      <c r="X164" s="38" t="str">
        <f aca="false">INDEX(C_TAB,MATCH($B164,C_COD,0),7)</f>
        <v>Argensold</v>
      </c>
      <c r="Y164" s="38" t="n">
        <f aca="false">INDEX(C_TAB,MATCH($B164,C_COD,0),12)</f>
        <v>10</v>
      </c>
    </row>
    <row r="165" customFormat="false" ht="15" hidden="false" customHeight="false" outlineLevel="1" collapsed="false">
      <c r="A165" s="24" t="n">
        <v>1</v>
      </c>
      <c r="B165" s="24" t="s">
        <v>514</v>
      </c>
      <c r="C165" s="40" t="s">
        <v>3852</v>
      </c>
      <c r="D165" s="24"/>
      <c r="E165" s="24"/>
      <c r="F165" s="24"/>
      <c r="G165" s="24"/>
      <c r="H165" s="24" t="s">
        <v>229</v>
      </c>
      <c r="I165" s="24" t="s">
        <v>3853</v>
      </c>
      <c r="J165" s="42" t="n">
        <f aca="false">INSUMOS_DIRECTOS_MANUALES!H96</f>
        <v>4178.736543</v>
      </c>
      <c r="K165" s="42" t="n">
        <f aca="false">INSUMOS_DIRECTOS_MANUALES!I96</f>
        <v>5997.303977</v>
      </c>
      <c r="L165" s="42" t="n">
        <f aca="false">INSUMOS_DIRECTOS_MANUALES!J96</f>
        <v>6851.747758</v>
      </c>
      <c r="M165" s="42" t="n">
        <f aca="false">INSUMOS_DIRECTOS_MANUALES!K96</f>
        <v>8467.135549</v>
      </c>
      <c r="N165" s="42" t="n">
        <f aca="false">INSUMOS_DIRECTOS_MANUALES!L96</f>
        <v>12680.63271</v>
      </c>
      <c r="O165" s="42" t="n">
        <f aca="false">INSUMOS_DIRECTOS_MANUALES!M96</f>
        <v>15620.25307</v>
      </c>
      <c r="P165" s="42" t="n">
        <f aca="false">INSUMOS_DIRECTOS_MANUALES!N96</f>
        <v>20332.55326</v>
      </c>
      <c r="Q165" s="42" t="n">
        <f aca="false">INSUMOS_DIRECTOS_MANUALES!O96</f>
        <v>25132.07848</v>
      </c>
      <c r="R165" s="42" t="n">
        <f aca="false">INSUMOS_DIRECTOS_MANUALES!P96</f>
        <v>28573.33614</v>
      </c>
      <c r="S165" s="42" t="n">
        <f aca="false">INSUMOS_DIRECTOS_MANUALES!Q96</f>
        <v>32072.63913</v>
      </c>
      <c r="T165" s="42" t="n">
        <f aca="false">INDEX(J165:S165,INDEX(P_VAL,MATCH("AÑO_DIS",P_ID,0))-2025)</f>
        <v>32072.63913</v>
      </c>
      <c r="U165" s="24"/>
      <c r="V165" s="24"/>
      <c r="W165" s="24"/>
      <c r="X165" s="24"/>
      <c r="Y165" s="24"/>
    </row>
    <row r="166" customFormat="false" ht="15" hidden="false" customHeight="false" outlineLevel="1" collapsed="false">
      <c r="A166" s="24" t="n">
        <v>1</v>
      </c>
      <c r="B166" s="24" t="s">
        <v>514</v>
      </c>
      <c r="C166" s="40" t="s">
        <v>3854</v>
      </c>
      <c r="D166" s="24"/>
      <c r="E166" s="24"/>
      <c r="F166" s="24"/>
      <c r="G166" s="24"/>
      <c r="H166" s="24" t="s">
        <v>132</v>
      </c>
      <c r="I166" s="24" t="s">
        <v>3855</v>
      </c>
      <c r="J166" s="42" t="n">
        <f aca="false">INSUMOS_DIRECTOS_RECARGAS!H168</f>
        <v>3477.482124</v>
      </c>
      <c r="K166" s="42" t="n">
        <f aca="false">INSUMOS_DIRECTOS_RECARGAS!I168</f>
        <v>16970.58564</v>
      </c>
      <c r="L166" s="42" t="n">
        <f aca="false">INSUMOS_DIRECTOS_RECARGAS!J168</f>
        <v>30546.08951</v>
      </c>
      <c r="M166" s="42" t="n">
        <f aca="false">INSUMOS_DIRECTOS_RECARGAS!K168</f>
        <v>56048.31106</v>
      </c>
      <c r="N166" s="42" t="n">
        <f aca="false">INSUMOS_DIRECTOS_RECARGAS!L168</f>
        <v>84270.22613</v>
      </c>
      <c r="O166" s="42" t="n">
        <f aca="false">INSUMOS_DIRECTOS_RECARGAS!M168</f>
        <v>117407.8231</v>
      </c>
      <c r="P166" s="42" t="n">
        <f aca="false">INSUMOS_DIRECTOS_RECARGAS!N168</f>
        <v>147610.6356</v>
      </c>
      <c r="Q166" s="42" t="n">
        <f aca="false">INSUMOS_DIRECTOS_RECARGAS!O168</f>
        <v>171404.3607</v>
      </c>
      <c r="R166" s="42" t="n">
        <f aca="false">INSUMOS_DIRECTOS_RECARGAS!P168</f>
        <v>183690.566</v>
      </c>
      <c r="S166" s="42" t="n">
        <f aca="false">INSUMOS_DIRECTOS_RECARGAS!Q168</f>
        <v>196282.6907</v>
      </c>
      <c r="T166" s="42" t="n">
        <f aca="false">INDEX(J166:S166,INDEX(P_VAL,MATCH("AÑO_DIS",P_ID,0))-2025)</f>
        <v>196282.6907</v>
      </c>
      <c r="U166" s="24"/>
      <c r="V166" s="24"/>
      <c r="W166" s="24"/>
      <c r="X166" s="24"/>
      <c r="Y166" s="24"/>
    </row>
    <row r="167" customFormat="false" ht="15" hidden="false" customHeight="false" outlineLevel="0" collapsed="false">
      <c r="A167" s="38" t="n">
        <v>0</v>
      </c>
      <c r="B167" s="38" t="s">
        <v>630</v>
      </c>
      <c r="C167" s="38" t="str">
        <f aca="false">INDEX(C_TAB,MATCH($B167,C_COD,0),2)</f>
        <v>Junta tórica NBR 70 del cuello M30</v>
      </c>
      <c r="D167" s="38" t="str">
        <f aca="false">INDEX(C_TAB,MATCH($B167,C_COD,0),3)</f>
        <v>u</v>
      </c>
      <c r="E167" s="38" t="str">
        <f aca="false">INDEX(C_TAB,MATCH($B167,C_COD,0),4)</f>
        <v>Directo</v>
      </c>
      <c r="F167" s="38" t="str">
        <f aca="false">INDEX(C_TAB,MATCH($B167,C_COD,0),5)</f>
        <v>Componente comprado</v>
      </c>
      <c r="G167" s="38" t="str">
        <f aca="false">INDEX(C_TAB,MATCH($B167,C_COD,0),6)</f>
        <v>Insumos de montaje (manuales)</v>
      </c>
      <c r="H167" s="38"/>
      <c r="I167" s="38"/>
      <c r="J167" s="39" t="n">
        <f aca="false">SUM(J168:J170)</f>
        <v>5792.77750243</v>
      </c>
      <c r="K167" s="39" t="n">
        <f aca="false">SUM(K168:K170)</f>
        <v>16869.24264385</v>
      </c>
      <c r="L167" s="39" t="n">
        <f aca="false">SUM(L168:L170)</f>
        <v>31819.53541868</v>
      </c>
      <c r="M167" s="39" t="n">
        <f aca="false">SUM(M168:M170)</f>
        <v>56101.158578</v>
      </c>
      <c r="N167" s="39" t="n">
        <f aca="false">SUM(N168:N170)</f>
        <v>80526.0548838</v>
      </c>
      <c r="O167" s="39" t="n">
        <f aca="false">SUM(O168:O170)</f>
        <v>106763.4616391</v>
      </c>
      <c r="P167" s="39" t="n">
        <f aca="false">SUM(P168:P170)</f>
        <v>130577.0800004</v>
      </c>
      <c r="Q167" s="39" t="n">
        <f aca="false">SUM(Q168:Q170)</f>
        <v>146489.7174713</v>
      </c>
      <c r="R167" s="39" t="n">
        <f aca="false">SUM(R168:R170)</f>
        <v>159410.4958954</v>
      </c>
      <c r="S167" s="39" t="n">
        <f aca="false">SUM(S168:S170)</f>
        <v>173952.9962193</v>
      </c>
      <c r="T167" s="39" t="n">
        <f aca="false">INDEX(J167:S167,INDEX(P_VAL,MATCH("AÑO_DIS",P_ID,0))-2025)</f>
        <v>173952.9962193</v>
      </c>
      <c r="U167" s="38" t="str">
        <f aca="false">INDEX(C_TAB,MATCH($B167,C_COD,0),10)</f>
        <v>Bolsa de 1.000 u</v>
      </c>
      <c r="V167" s="38" t="n">
        <f aca="false">INDEX(C_TAB,MATCH($B167,C_COD,0),11)</f>
        <v>1000</v>
      </c>
      <c r="W167" s="44" t="n">
        <f aca="false">ROUNDUP(T167/V167,0)</f>
        <v>174</v>
      </c>
      <c r="X167" s="38" t="str">
        <f aca="false">INDEX(C_TAB,MATCH($B167,C_COD,0),7)</f>
        <v>Argensold</v>
      </c>
      <c r="Y167" s="38" t="n">
        <f aca="false">INDEX(C_TAB,MATCH($B167,C_COD,0),12)</f>
        <v>10</v>
      </c>
    </row>
    <row r="168" customFormat="false" ht="15" hidden="false" customHeight="false" outlineLevel="1" collapsed="false">
      <c r="A168" s="24" t="n">
        <v>1</v>
      </c>
      <c r="B168" s="24" t="s">
        <v>630</v>
      </c>
      <c r="C168" s="40" t="s">
        <v>3852</v>
      </c>
      <c r="D168" s="24"/>
      <c r="E168" s="24"/>
      <c r="F168" s="24"/>
      <c r="G168" s="24"/>
      <c r="H168" s="24" t="s">
        <v>229</v>
      </c>
      <c r="I168" s="24" t="s">
        <v>3853</v>
      </c>
      <c r="J168" s="42" t="n">
        <f aca="false">INSUMOS_DIRECTOS_MANUALES!H98</f>
        <v>3096.63656373</v>
      </c>
      <c r="K168" s="42" t="n">
        <f aca="false">INSUMOS_DIRECTOS_MANUALES!I98</f>
        <v>6311.953628</v>
      </c>
      <c r="L168" s="42" t="n">
        <f aca="false">INSUMOS_DIRECTOS_MANUALES!J98</f>
        <v>8364.3844284</v>
      </c>
      <c r="M168" s="42" t="n">
        <f aca="false">INSUMOS_DIRECTOS_MANUALES!K98</f>
        <v>12135.7739811</v>
      </c>
      <c r="N168" s="42" t="n">
        <f aca="false">INSUMOS_DIRECTOS_MANUALES!L98</f>
        <v>17254.6528179</v>
      </c>
      <c r="O168" s="42" t="n">
        <f aca="false">INSUMOS_DIRECTOS_MANUALES!M98</f>
        <v>22680.439029</v>
      </c>
      <c r="P168" s="42" t="n">
        <f aca="false">INSUMOS_DIRECTOS_MANUALES!N98</f>
        <v>27688.235909</v>
      </c>
      <c r="Q168" s="42" t="n">
        <f aca="false">INSUMOS_DIRECTOS_MANUALES!O98</f>
        <v>32359.937769</v>
      </c>
      <c r="R168" s="42" t="n">
        <f aca="false">INSUMOS_DIRECTOS_MANUALES!P98</f>
        <v>36315.260847</v>
      </c>
      <c r="S168" s="42" t="n">
        <f aca="false">INSUMOS_DIRECTOS_MANUALES!Q98</f>
        <v>41584.485243</v>
      </c>
      <c r="T168" s="42" t="n">
        <f aca="false">INDEX(J168:S168,INDEX(P_VAL,MATCH("AÑO_DIS",P_ID,0))-2025)</f>
        <v>41584.485243</v>
      </c>
      <c r="U168" s="24"/>
      <c r="V168" s="24"/>
      <c r="W168" s="24"/>
      <c r="X168" s="24"/>
      <c r="Y168" s="24"/>
    </row>
    <row r="169" customFormat="false" ht="15" hidden="false" customHeight="false" outlineLevel="1" collapsed="false">
      <c r="A169" s="24" t="n">
        <v>1</v>
      </c>
      <c r="B169" s="24" t="s">
        <v>630</v>
      </c>
      <c r="C169" s="40" t="s">
        <v>3856</v>
      </c>
      <c r="D169" s="24"/>
      <c r="E169" s="24"/>
      <c r="F169" s="24"/>
      <c r="G169" s="24"/>
      <c r="H169" s="24" t="s">
        <v>244</v>
      </c>
      <c r="I169" s="24" t="s">
        <v>3857</v>
      </c>
      <c r="J169" s="42" t="n">
        <f aca="false">INSUMOS_DIRECTOS_RODANTES!H134</f>
        <v>108.96573236</v>
      </c>
      <c r="K169" s="42" t="n">
        <f aca="false">INSUMOS_DIRECTOS_RODANTES!I134</f>
        <v>187.07887185</v>
      </c>
      <c r="L169" s="42" t="n">
        <f aca="false">INSUMOS_DIRECTOS_RODANTES!J134</f>
        <v>240.66732798</v>
      </c>
      <c r="M169" s="42" t="n">
        <f aca="false">INSUMOS_DIRECTOS_RODANTES!K134</f>
        <v>321.6955294</v>
      </c>
      <c r="N169" s="42" t="n">
        <f aca="false">INSUMOS_DIRECTOS_RODANTES!L134</f>
        <v>498.8032112</v>
      </c>
      <c r="O169" s="42" t="n">
        <f aca="false">INSUMOS_DIRECTOS_RODANTES!M134</f>
        <v>678.1903447</v>
      </c>
      <c r="P169" s="42" t="n">
        <f aca="false">INSUMOS_DIRECTOS_RODANTES!N134</f>
        <v>872.5383461</v>
      </c>
      <c r="Q169" s="42" t="n">
        <f aca="false">INSUMOS_DIRECTOS_RODANTES!O134</f>
        <v>1081.1157463</v>
      </c>
      <c r="R169" s="42" t="n">
        <f aca="false">INSUMOS_DIRECTOS_RODANTES!P134</f>
        <v>1259.6077299</v>
      </c>
      <c r="S169" s="42" t="n">
        <f aca="false">INSUMOS_DIRECTOS_RODANTES!Q134</f>
        <v>1450.4657063</v>
      </c>
      <c r="T169" s="42" t="n">
        <f aca="false">INDEX(J169:S169,INDEX(P_VAL,MATCH("AÑO_DIS",P_ID,0))-2025)</f>
        <v>1450.4657063</v>
      </c>
      <c r="U169" s="24"/>
      <c r="V169" s="24"/>
      <c r="W169" s="24"/>
      <c r="X169" s="24"/>
      <c r="Y169" s="24"/>
    </row>
    <row r="170" customFormat="false" ht="15" hidden="false" customHeight="false" outlineLevel="1" collapsed="false">
      <c r="A170" s="24" t="n">
        <v>1</v>
      </c>
      <c r="B170" s="24" t="s">
        <v>630</v>
      </c>
      <c r="C170" s="40" t="s">
        <v>3854</v>
      </c>
      <c r="D170" s="24"/>
      <c r="E170" s="24"/>
      <c r="F170" s="24"/>
      <c r="G170" s="24"/>
      <c r="H170" s="24" t="s">
        <v>132</v>
      </c>
      <c r="I170" s="24" t="s">
        <v>3855</v>
      </c>
      <c r="J170" s="42" t="n">
        <f aca="false">INSUMOS_DIRECTOS_RECARGAS!H170</f>
        <v>2587.17520634</v>
      </c>
      <c r="K170" s="42" t="n">
        <f aca="false">INSUMOS_DIRECTOS_RECARGAS!I170</f>
        <v>10370.210144</v>
      </c>
      <c r="L170" s="42" t="n">
        <f aca="false">INSUMOS_DIRECTOS_RECARGAS!J170</f>
        <v>23214.4836623</v>
      </c>
      <c r="M170" s="42" t="n">
        <f aca="false">INSUMOS_DIRECTOS_RECARGAS!K170</f>
        <v>43643.6890675</v>
      </c>
      <c r="N170" s="42" t="n">
        <f aca="false">INSUMOS_DIRECTOS_RECARGAS!L170</f>
        <v>62772.5988547</v>
      </c>
      <c r="O170" s="42" t="n">
        <f aca="false">INSUMOS_DIRECTOS_RECARGAS!M170</f>
        <v>83404.8322654</v>
      </c>
      <c r="P170" s="42" t="n">
        <f aca="false">INSUMOS_DIRECTOS_RECARGAS!N170</f>
        <v>102016.3057453</v>
      </c>
      <c r="Q170" s="42" t="n">
        <f aca="false">INSUMOS_DIRECTOS_RECARGAS!O170</f>
        <v>113048.663956</v>
      </c>
      <c r="R170" s="42" t="n">
        <f aca="false">INSUMOS_DIRECTOS_RECARGAS!P170</f>
        <v>121835.6273185</v>
      </c>
      <c r="S170" s="42" t="n">
        <f aca="false">INSUMOS_DIRECTOS_RECARGAS!Q170</f>
        <v>130918.04527</v>
      </c>
      <c r="T170" s="42" t="n">
        <f aca="false">INDEX(J170:S170,INDEX(P_VAL,MATCH("AÑO_DIS",P_ID,0))-2025)</f>
        <v>130918.04527</v>
      </c>
      <c r="U170" s="24"/>
      <c r="V170" s="24"/>
      <c r="W170" s="24"/>
      <c r="X170" s="24"/>
      <c r="Y170" s="24"/>
    </row>
    <row r="171" customFormat="false" ht="15" hidden="false" customHeight="false" outlineLevel="0" collapsed="false">
      <c r="A171" s="38" t="n">
        <v>0</v>
      </c>
      <c r="B171" s="38" t="s">
        <v>1137</v>
      </c>
      <c r="C171" s="38" t="str">
        <f aca="false">INDEX(C_TAB,MATCH($B171,C_COD,0),2)</f>
        <v>Junta tórica NBR 70 del cuello 2½" (carros 70 y 100 kg)</v>
      </c>
      <c r="D171" s="38" t="str">
        <f aca="false">INDEX(C_TAB,MATCH($B171,C_COD,0),3)</f>
        <v>u</v>
      </c>
      <c r="E171" s="38" t="str">
        <f aca="false">INDEX(C_TAB,MATCH($B171,C_COD,0),4)</f>
        <v>Directo</v>
      </c>
      <c r="F171" s="38" t="str">
        <f aca="false">INDEX(C_TAB,MATCH($B171,C_COD,0),5)</f>
        <v>Componente comprado</v>
      </c>
      <c r="G171" s="38" t="str">
        <f aca="false">INDEX(C_TAB,MATCH($B171,C_COD,0),6)</f>
        <v>Rack de insumos de montaje (carros)</v>
      </c>
      <c r="H171" s="38"/>
      <c r="I171" s="38"/>
      <c r="J171" s="39" t="n">
        <f aca="false">SUM(J172:J173)</f>
        <v>43.351635425</v>
      </c>
      <c r="K171" s="39" t="n">
        <f aca="false">SUM(K172:K173)</f>
        <v>116.60997349</v>
      </c>
      <c r="L171" s="39" t="n">
        <f aca="false">SUM(L172:L173)</f>
        <v>212.7124858</v>
      </c>
      <c r="M171" s="39" t="n">
        <f aca="false">SUM(M172:M173)</f>
        <v>353.79077895</v>
      </c>
      <c r="N171" s="39" t="n">
        <f aca="false">SUM(N172:N173)</f>
        <v>519.15688099</v>
      </c>
      <c r="O171" s="39" t="n">
        <f aca="false">SUM(O172:O173)</f>
        <v>691.37389447</v>
      </c>
      <c r="P171" s="39" t="n">
        <f aca="false">SUM(P172:P173)</f>
        <v>860.37998031</v>
      </c>
      <c r="Q171" s="39" t="n">
        <f aca="false">SUM(Q172:Q173)</f>
        <v>991.371102</v>
      </c>
      <c r="R171" s="39" t="n">
        <f aca="false">SUM(R172:R173)</f>
        <v>1097.5508201</v>
      </c>
      <c r="S171" s="39" t="n">
        <f aca="false">SUM(S172:S173)</f>
        <v>1205.6181878</v>
      </c>
      <c r="T171" s="39" t="n">
        <f aca="false">INDEX(J171:S171,INDEX(P_VAL,MATCH("AÑO_DIS",P_ID,0))-2025)</f>
        <v>1205.6181878</v>
      </c>
      <c r="U171" s="38" t="str">
        <f aca="false">INDEX(C_TAB,MATCH($B171,C_COD,0),10)</f>
        <v>Bolsa de 100 u</v>
      </c>
      <c r="V171" s="38" t="n">
        <f aca="false">INDEX(C_TAB,MATCH($B171,C_COD,0),11)</f>
        <v>100</v>
      </c>
      <c r="W171" s="44" t="n">
        <f aca="false">ROUNDUP(T171/V171,0)</f>
        <v>13</v>
      </c>
      <c r="X171" s="38" t="str">
        <f aca="false">INDEX(C_TAB,MATCH($B171,C_COD,0),7)</f>
        <v>Argensold</v>
      </c>
      <c r="Y171" s="38" t="n">
        <f aca="false">INDEX(C_TAB,MATCH($B171,C_COD,0),12)</f>
        <v>10</v>
      </c>
    </row>
    <row r="172" customFormat="false" ht="15" hidden="false" customHeight="false" outlineLevel="1" collapsed="false">
      <c r="A172" s="24" t="n">
        <v>1</v>
      </c>
      <c r="B172" s="24" t="s">
        <v>1137</v>
      </c>
      <c r="C172" s="40" t="s">
        <v>3856</v>
      </c>
      <c r="D172" s="24"/>
      <c r="E172" s="24"/>
      <c r="F172" s="24"/>
      <c r="G172" s="24"/>
      <c r="H172" s="24" t="s">
        <v>244</v>
      </c>
      <c r="I172" s="24" t="s">
        <v>3857</v>
      </c>
      <c r="J172" s="42" t="n">
        <f aca="false">INSUMOS_DIRECTOS_RODANTES!H137</f>
        <v>27.24143309</v>
      </c>
      <c r="K172" s="42" t="n">
        <f aca="false">INSUMOS_DIRECTOS_RODANTES!I137</f>
        <v>46.76971797</v>
      </c>
      <c r="L172" s="42" t="n">
        <f aca="false">INSUMOS_DIRECTOS_RODANTES!J137</f>
        <v>60.16683198</v>
      </c>
      <c r="M172" s="42" t="n">
        <f aca="false">INSUMOS_DIRECTOS_RODANTES!K137</f>
        <v>80.42388235</v>
      </c>
      <c r="N172" s="42" t="n">
        <f aca="false">INSUMOS_DIRECTOS_RODANTES!L137</f>
        <v>124.70080279</v>
      </c>
      <c r="O172" s="42" t="n">
        <f aca="false">INSUMOS_DIRECTOS_RODANTES!M137</f>
        <v>169.54758617</v>
      </c>
      <c r="P172" s="42" t="n">
        <f aca="false">INSUMOS_DIRECTOS_RODANTES!N137</f>
        <v>218.13458651</v>
      </c>
      <c r="Q172" s="42" t="n">
        <f aca="false">INSUMOS_DIRECTOS_RODANTES!O137</f>
        <v>270.2789365</v>
      </c>
      <c r="R172" s="42" t="n">
        <f aca="false">INSUMOS_DIRECTOS_RODANTES!P137</f>
        <v>314.9019325</v>
      </c>
      <c r="S172" s="42" t="n">
        <f aca="false">INSUMOS_DIRECTOS_RODANTES!Q137</f>
        <v>362.6164266</v>
      </c>
      <c r="T172" s="42" t="n">
        <f aca="false">INDEX(J172:S172,INDEX(P_VAL,MATCH("AÑO_DIS",P_ID,0))-2025)</f>
        <v>362.6164266</v>
      </c>
      <c r="U172" s="24"/>
      <c r="V172" s="24"/>
      <c r="W172" s="24"/>
      <c r="X172" s="24"/>
      <c r="Y172" s="24"/>
    </row>
    <row r="173" customFormat="false" ht="15" hidden="false" customHeight="false" outlineLevel="1" collapsed="false">
      <c r="A173" s="24" t="n">
        <v>1</v>
      </c>
      <c r="B173" s="24" t="s">
        <v>1137</v>
      </c>
      <c r="C173" s="40" t="s">
        <v>3854</v>
      </c>
      <c r="D173" s="24"/>
      <c r="E173" s="24"/>
      <c r="F173" s="24"/>
      <c r="G173" s="24"/>
      <c r="H173" s="24" t="s">
        <v>132</v>
      </c>
      <c r="I173" s="24" t="s">
        <v>3855</v>
      </c>
      <c r="J173" s="42" t="n">
        <f aca="false">INSUMOS_DIRECTOS_RECARGAS!H182</f>
        <v>16.110202335</v>
      </c>
      <c r="K173" s="42" t="n">
        <f aca="false">INSUMOS_DIRECTOS_RECARGAS!I182</f>
        <v>69.84025552</v>
      </c>
      <c r="L173" s="42" t="n">
        <f aca="false">INSUMOS_DIRECTOS_RECARGAS!J182</f>
        <v>152.54565382</v>
      </c>
      <c r="M173" s="42" t="n">
        <f aca="false">INSUMOS_DIRECTOS_RECARGAS!K182</f>
        <v>273.3668966</v>
      </c>
      <c r="N173" s="42" t="n">
        <f aca="false">INSUMOS_DIRECTOS_RECARGAS!L182</f>
        <v>394.4560782</v>
      </c>
      <c r="O173" s="42" t="n">
        <f aca="false">INSUMOS_DIRECTOS_RECARGAS!M182</f>
        <v>521.8263083</v>
      </c>
      <c r="P173" s="42" t="n">
        <f aca="false">INSUMOS_DIRECTOS_RECARGAS!N182</f>
        <v>642.2453938</v>
      </c>
      <c r="Q173" s="42" t="n">
        <f aca="false">INSUMOS_DIRECTOS_RECARGAS!O182</f>
        <v>721.0921655</v>
      </c>
      <c r="R173" s="42" t="n">
        <f aca="false">INSUMOS_DIRECTOS_RECARGAS!P182</f>
        <v>782.6488876</v>
      </c>
      <c r="S173" s="42" t="n">
        <f aca="false">INSUMOS_DIRECTOS_RECARGAS!Q182</f>
        <v>843.0017612</v>
      </c>
      <c r="T173" s="42" t="n">
        <f aca="false">INDEX(J173:S173,INDEX(P_VAL,MATCH("AÑO_DIS",P_ID,0))-2025)</f>
        <v>843.0017612</v>
      </c>
      <c r="U173" s="24"/>
      <c r="V173" s="24"/>
      <c r="W173" s="24"/>
      <c r="X173" s="24"/>
      <c r="Y173" s="24"/>
    </row>
    <row r="174" customFormat="false" ht="15" hidden="false" customHeight="false" outlineLevel="0" collapsed="false">
      <c r="A174" s="38" t="n">
        <v>0</v>
      </c>
      <c r="B174" s="38" t="s">
        <v>1485</v>
      </c>
      <c r="C174" s="38" t="str">
        <f aca="false">INDEX(C_TAB,MATCH($B174,C_COD,0),2)</f>
        <v>Junta tórica del cuello de los equipos de otros fabricantes (recargas)</v>
      </c>
      <c r="D174" s="38" t="str">
        <f aca="false">INDEX(C_TAB,MATCH($B174,C_COD,0),3)</f>
        <v>u</v>
      </c>
      <c r="E174" s="38" t="str">
        <f aca="false">INDEX(C_TAB,MATCH($B174,C_COD,0),4)</f>
        <v>Directo</v>
      </c>
      <c r="F174" s="38" t="str">
        <f aca="false">INDEX(C_TAB,MATCH($B174,C_COD,0),5)</f>
        <v>Componente comprado</v>
      </c>
      <c r="G174" s="38" t="str">
        <f aca="false">INDEX(C_TAB,MATCH($B174,C_COD,0),6)</f>
        <v>Insumos de recargas</v>
      </c>
      <c r="H174" s="38"/>
      <c r="I174" s="38"/>
      <c r="J174" s="39" t="n">
        <f aca="false">SUM(J175:J175)</f>
        <v>431.795734368</v>
      </c>
      <c r="K174" s="39" t="n">
        <f aca="false">SUM(K175:K175)</f>
        <v>1920.94538598</v>
      </c>
      <c r="L174" s="39" t="n">
        <f aca="false">SUM(L175:L175)</f>
        <v>4224.43031196</v>
      </c>
      <c r="M174" s="39" t="n">
        <f aca="false">SUM(M175:M175)</f>
        <v>7732.6927344</v>
      </c>
      <c r="N174" s="39" t="n">
        <f aca="false">SUM(N175:N175)</f>
        <v>11112.0927416</v>
      </c>
      <c r="O174" s="39" t="n">
        <f aca="false">SUM(O175:O175)</f>
        <v>14722.9488333</v>
      </c>
      <c r="P174" s="39" t="n">
        <f aca="false">SUM(P175:P175)</f>
        <v>18118.4218771</v>
      </c>
      <c r="Q174" s="39" t="n">
        <f aca="false">SUM(Q175:Q175)</f>
        <v>20222.4391089</v>
      </c>
      <c r="R174" s="39" t="n">
        <f aca="false">SUM(R175:R175)</f>
        <v>21902.0115606</v>
      </c>
      <c r="S174" s="39" t="n">
        <f aca="false">SUM(S175:S175)</f>
        <v>23608.0887822</v>
      </c>
      <c r="T174" s="39" t="n">
        <f aca="false">INDEX(J174:S174,INDEX(P_VAL,MATCH("AÑO_DIS",P_ID,0))-2025)</f>
        <v>23608.0887822</v>
      </c>
      <c r="U174" s="38" t="str">
        <f aca="false">INDEX(C_TAB,MATCH($B174,C_COD,0),10)</f>
        <v>Bolsa de 100 u</v>
      </c>
      <c r="V174" s="38" t="n">
        <f aca="false">INDEX(C_TAB,MATCH($B174,C_COD,0),11)</f>
        <v>100</v>
      </c>
      <c r="W174" s="44" t="n">
        <f aca="false">ROUNDUP(T174/V174,0)</f>
        <v>237</v>
      </c>
      <c r="X174" s="38" t="str">
        <f aca="false">INDEX(C_TAB,MATCH($B174,C_COD,0),7)</f>
        <v>Matafuegos Iglesias</v>
      </c>
      <c r="Y174" s="38" t="n">
        <f aca="false">INDEX(C_TAB,MATCH($B174,C_COD,0),12)</f>
        <v>10</v>
      </c>
    </row>
    <row r="175" customFormat="false" ht="15" hidden="false" customHeight="false" outlineLevel="1" collapsed="false">
      <c r="A175" s="24" t="n">
        <v>1</v>
      </c>
      <c r="B175" s="24" t="s">
        <v>1485</v>
      </c>
      <c r="C175" s="40" t="s">
        <v>3854</v>
      </c>
      <c r="D175" s="24"/>
      <c r="E175" s="24"/>
      <c r="F175" s="24"/>
      <c r="G175" s="24"/>
      <c r="H175" s="24" t="s">
        <v>132</v>
      </c>
      <c r="I175" s="24" t="s">
        <v>3855</v>
      </c>
      <c r="J175" s="42" t="n">
        <f aca="false">INSUMOS_DIRECTOS_RECARGAS!H187</f>
        <v>431.795734368</v>
      </c>
      <c r="K175" s="42" t="n">
        <f aca="false">INSUMOS_DIRECTOS_RECARGAS!I187</f>
        <v>1920.94538598</v>
      </c>
      <c r="L175" s="42" t="n">
        <f aca="false">INSUMOS_DIRECTOS_RECARGAS!J187</f>
        <v>4224.43031196</v>
      </c>
      <c r="M175" s="42" t="n">
        <f aca="false">INSUMOS_DIRECTOS_RECARGAS!K187</f>
        <v>7732.6927344</v>
      </c>
      <c r="N175" s="42" t="n">
        <f aca="false">INSUMOS_DIRECTOS_RECARGAS!L187</f>
        <v>11112.0927416</v>
      </c>
      <c r="O175" s="42" t="n">
        <f aca="false">INSUMOS_DIRECTOS_RECARGAS!M187</f>
        <v>14722.9488333</v>
      </c>
      <c r="P175" s="42" t="n">
        <f aca="false">INSUMOS_DIRECTOS_RECARGAS!N187</f>
        <v>18118.4218771</v>
      </c>
      <c r="Q175" s="42" t="n">
        <f aca="false">INSUMOS_DIRECTOS_RECARGAS!O187</f>
        <v>20222.4391089</v>
      </c>
      <c r="R175" s="42" t="n">
        <f aca="false">INSUMOS_DIRECTOS_RECARGAS!P187</f>
        <v>21902.0115606</v>
      </c>
      <c r="S175" s="42" t="n">
        <f aca="false">INSUMOS_DIRECTOS_RECARGAS!Q187</f>
        <v>23608.0887822</v>
      </c>
      <c r="T175" s="42" t="n">
        <f aca="false">INDEX(J175:S175,INDEX(P_VAL,MATCH("AÑO_DIS",P_ID,0))-2025)</f>
        <v>23608.0887822</v>
      </c>
      <c r="U175" s="24"/>
      <c r="V175" s="24"/>
      <c r="W175" s="24"/>
      <c r="X175" s="24"/>
      <c r="Y175" s="24"/>
    </row>
    <row r="176" customFormat="false" ht="15" hidden="false" customHeight="false" outlineLevel="0" collapsed="false">
      <c r="A176" s="38" t="n">
        <v>0</v>
      </c>
      <c r="B176" s="38" t="s">
        <v>699</v>
      </c>
      <c r="C176" s="38" t="str">
        <f aca="false">INDEX(C_TAB,MATCH($B176,C_COD,0),2)</f>
        <v>Soporte de pared ABC 2,5 kg</v>
      </c>
      <c r="D176" s="38" t="str">
        <f aca="false">INDEX(C_TAB,MATCH($B176,C_COD,0),3)</f>
        <v>u</v>
      </c>
      <c r="E176" s="38" t="str">
        <f aca="false">INDEX(C_TAB,MATCH($B176,C_COD,0),4)</f>
        <v>Directo</v>
      </c>
      <c r="F176" s="38" t="str">
        <f aca="false">INDEX(C_TAB,MATCH($B176,C_COD,0),5)</f>
        <v>Componente comprado</v>
      </c>
      <c r="G176" s="38" t="str">
        <f aca="false">INDEX(C_TAB,MATCH($B176,C_COD,0),6)</f>
        <v>Insumos de montaje (manuales)</v>
      </c>
      <c r="H176" s="38"/>
      <c r="I176" s="38"/>
      <c r="J176" s="39" t="n">
        <f aca="false">SUM(J177:J177)</f>
        <v>295.0303572</v>
      </c>
      <c r="K176" s="39" t="n">
        <f aca="false">SUM(K177:K177)</f>
        <v>709.7274503</v>
      </c>
      <c r="L176" s="39" t="n">
        <f aca="false">SUM(L177:L177)</f>
        <v>986.8680576</v>
      </c>
      <c r="M176" s="39" t="n">
        <f aca="false">SUM(M177:M177)</f>
        <v>1500.638174</v>
      </c>
      <c r="N176" s="39" t="n">
        <f aca="false">SUM(N177:N177)</f>
        <v>2312.627726</v>
      </c>
      <c r="O176" s="39" t="n">
        <f aca="false">SUM(O177:O177)</f>
        <v>3252.869887</v>
      </c>
      <c r="P176" s="39" t="n">
        <f aca="false">SUM(P177:P177)</f>
        <v>4102.315524</v>
      </c>
      <c r="Q176" s="39" t="n">
        <f aca="false">SUM(Q177:Q177)</f>
        <v>5104.306587</v>
      </c>
      <c r="R176" s="39" t="n">
        <f aca="false">SUM(R177:R177)</f>
        <v>6195.186243</v>
      </c>
      <c r="S176" s="39" t="n">
        <f aca="false">SUM(S177:S177)</f>
        <v>7424.858444</v>
      </c>
      <c r="T176" s="39" t="n">
        <f aca="false">INDEX(J176:S176,INDEX(P_VAL,MATCH("AÑO_DIS",P_ID,0))-2025)</f>
        <v>7424.858444</v>
      </c>
      <c r="U176" s="38" t="str">
        <f aca="false">INDEX(C_TAB,MATCH($B176,C_COD,0),10)</f>
        <v>Caja de 50 u</v>
      </c>
      <c r="V176" s="38" t="n">
        <f aca="false">INDEX(C_TAB,MATCH($B176,C_COD,0),11)</f>
        <v>50</v>
      </c>
      <c r="W176" s="44" t="n">
        <f aca="false">ROUNDUP(T176/V176,0)</f>
        <v>149</v>
      </c>
      <c r="X176" s="38" t="str">
        <f aca="false">INDEX(C_TAB,MATCH($B176,C_COD,0),7)</f>
        <v>Maxiseguridad</v>
      </c>
      <c r="Y176" s="38" t="n">
        <f aca="false">INDEX(C_TAB,MATCH($B176,C_COD,0),12)</f>
        <v>15</v>
      </c>
    </row>
    <row r="177" customFormat="false" ht="15" hidden="false" customHeight="false" outlineLevel="1" collapsed="false">
      <c r="A177" s="24" t="n">
        <v>1</v>
      </c>
      <c r="B177" s="24" t="s">
        <v>699</v>
      </c>
      <c r="C177" s="40" t="s">
        <v>3852</v>
      </c>
      <c r="D177" s="24"/>
      <c r="E177" s="24"/>
      <c r="F177" s="24"/>
      <c r="G177" s="24"/>
      <c r="H177" s="24" t="s">
        <v>229</v>
      </c>
      <c r="I177" s="24" t="s">
        <v>3853</v>
      </c>
      <c r="J177" s="42" t="n">
        <f aca="false">INSUMOS_DIRECTOS_MANUALES!H102</f>
        <v>295.0303572</v>
      </c>
      <c r="K177" s="42" t="n">
        <f aca="false">INSUMOS_DIRECTOS_MANUALES!I102</f>
        <v>709.7274503</v>
      </c>
      <c r="L177" s="42" t="n">
        <f aca="false">INSUMOS_DIRECTOS_MANUALES!J102</f>
        <v>986.8680576</v>
      </c>
      <c r="M177" s="42" t="n">
        <f aca="false">INSUMOS_DIRECTOS_MANUALES!K102</f>
        <v>1500.638174</v>
      </c>
      <c r="N177" s="42" t="n">
        <f aca="false">INSUMOS_DIRECTOS_MANUALES!L102</f>
        <v>2312.627726</v>
      </c>
      <c r="O177" s="42" t="n">
        <f aca="false">INSUMOS_DIRECTOS_MANUALES!M102</f>
        <v>3252.869887</v>
      </c>
      <c r="P177" s="42" t="n">
        <f aca="false">INSUMOS_DIRECTOS_MANUALES!N102</f>
        <v>4102.315524</v>
      </c>
      <c r="Q177" s="42" t="n">
        <f aca="false">INSUMOS_DIRECTOS_MANUALES!O102</f>
        <v>5104.306587</v>
      </c>
      <c r="R177" s="42" t="n">
        <f aca="false">INSUMOS_DIRECTOS_MANUALES!P102</f>
        <v>6195.186243</v>
      </c>
      <c r="S177" s="42" t="n">
        <f aca="false">INSUMOS_DIRECTOS_MANUALES!Q102</f>
        <v>7424.858444</v>
      </c>
      <c r="T177" s="42" t="n">
        <f aca="false">INDEX(J177:S177,INDEX(P_VAL,MATCH("AÑO_DIS",P_ID,0))-2025)</f>
        <v>7424.858444</v>
      </c>
      <c r="U177" s="24"/>
      <c r="V177" s="24"/>
      <c r="W177" s="24"/>
      <c r="X177" s="24"/>
      <c r="Y177" s="24"/>
    </row>
    <row r="178" customFormat="false" ht="15" hidden="false" customHeight="false" outlineLevel="0" collapsed="false">
      <c r="A178" s="38" t="n">
        <v>0</v>
      </c>
      <c r="B178" s="38" t="s">
        <v>786</v>
      </c>
      <c r="C178" s="38" t="str">
        <f aca="false">INDEX(C_TAB,MATCH($B178,C_COD,0),2)</f>
        <v>Soporte de pared ABC 5 kg</v>
      </c>
      <c r="D178" s="38" t="str">
        <f aca="false">INDEX(C_TAB,MATCH($B178,C_COD,0),3)</f>
        <v>u</v>
      </c>
      <c r="E178" s="38" t="str">
        <f aca="false">INDEX(C_TAB,MATCH($B178,C_COD,0),4)</f>
        <v>Directo</v>
      </c>
      <c r="F178" s="38" t="str">
        <f aca="false">INDEX(C_TAB,MATCH($B178,C_COD,0),5)</f>
        <v>Componente comprado</v>
      </c>
      <c r="G178" s="38" t="str">
        <f aca="false">INDEX(C_TAB,MATCH($B178,C_COD,0),6)</f>
        <v>Insumos de montaje (manuales)</v>
      </c>
      <c r="H178" s="38"/>
      <c r="I178" s="38"/>
      <c r="J178" s="39" t="n">
        <f aca="false">SUM(J179:J180)</f>
        <v>2772.773025</v>
      </c>
      <c r="K178" s="39" t="n">
        <f aca="false">SUM(K179:K180)</f>
        <v>5647.128881</v>
      </c>
      <c r="L178" s="39" t="n">
        <f aca="false">SUM(L179:L180)</f>
        <v>7409.637591</v>
      </c>
      <c r="M178" s="39" t="n">
        <f aca="false">SUM(M179:M180)</f>
        <v>10776.765313</v>
      </c>
      <c r="N178" s="39" t="n">
        <f aca="false">SUM(N179:N180)</f>
        <v>14880.55694</v>
      </c>
      <c r="O178" s="39" t="n">
        <f aca="false">SUM(O179:O180)</f>
        <v>19187.71411</v>
      </c>
      <c r="P178" s="39" t="n">
        <f aca="false">SUM(P179:P180)</f>
        <v>23069.35984</v>
      </c>
      <c r="Q178" s="39" t="n">
        <f aca="false">SUM(Q179:Q180)</f>
        <v>26354.13637</v>
      </c>
      <c r="R178" s="39" t="n">
        <f aca="false">SUM(R179:R180)</f>
        <v>28874.92455</v>
      </c>
      <c r="S178" s="39" t="n">
        <f aca="false">SUM(S179:S180)</f>
        <v>32700.97872</v>
      </c>
      <c r="T178" s="39" t="n">
        <f aca="false">INDEX(J178:S178,INDEX(P_VAL,MATCH("AÑO_DIS",P_ID,0))-2025)</f>
        <v>32700.97872</v>
      </c>
      <c r="U178" s="38" t="str">
        <f aca="false">INDEX(C_TAB,MATCH($B178,C_COD,0),10)</f>
        <v>Caja de 50 u</v>
      </c>
      <c r="V178" s="38" t="n">
        <f aca="false">INDEX(C_TAB,MATCH($B178,C_COD,0),11)</f>
        <v>50</v>
      </c>
      <c r="W178" s="44" t="n">
        <f aca="false">ROUNDUP(T178/V178,0)</f>
        <v>655</v>
      </c>
      <c r="X178" s="38" t="str">
        <f aca="false">INDEX(C_TAB,MATCH($B178,C_COD,0),7)</f>
        <v>Maxiseguridad</v>
      </c>
      <c r="Y178" s="38" t="n">
        <f aca="false">INDEX(C_TAB,MATCH($B178,C_COD,0),12)</f>
        <v>15</v>
      </c>
    </row>
    <row r="179" customFormat="false" ht="15" hidden="false" customHeight="false" outlineLevel="1" collapsed="false">
      <c r="A179" s="24" t="n">
        <v>1</v>
      </c>
      <c r="B179" s="24" t="s">
        <v>786</v>
      </c>
      <c r="C179" s="40" t="s">
        <v>3852</v>
      </c>
      <c r="D179" s="24"/>
      <c r="E179" s="24"/>
      <c r="F179" s="24"/>
      <c r="G179" s="24"/>
      <c r="H179" s="24" t="s">
        <v>229</v>
      </c>
      <c r="I179" s="24" t="s">
        <v>3853</v>
      </c>
      <c r="J179" s="42" t="n">
        <f aca="false">INSUMOS_DIRECTOS_MANUALES!H104</f>
        <v>2709.773025</v>
      </c>
      <c r="K179" s="42" t="n">
        <f aca="false">INSUMOS_DIRECTOS_MANUALES!I104</f>
        <v>5424.978881</v>
      </c>
      <c r="L179" s="42" t="n">
        <f aca="false">INSUMOS_DIRECTOS_MANUALES!J104</f>
        <v>7124.537591</v>
      </c>
      <c r="M179" s="42" t="n">
        <f aca="false">INSUMOS_DIRECTOS_MANUALES!K104</f>
        <v>10277.115313</v>
      </c>
      <c r="N179" s="42" t="n">
        <f aca="false">INSUMOS_DIRECTOS_MANUALES!L104</f>
        <v>14339.30694</v>
      </c>
      <c r="O179" s="42" t="n">
        <f aca="false">INSUMOS_DIRECTOS_MANUALES!M104</f>
        <v>18554.96411</v>
      </c>
      <c r="P179" s="42" t="n">
        <f aca="false">INSUMOS_DIRECTOS_MANUALES!N104</f>
        <v>22458.75984</v>
      </c>
      <c r="Q179" s="42" t="n">
        <f aca="false">INSUMOS_DIRECTOS_MANUALES!O104</f>
        <v>25860.18637</v>
      </c>
      <c r="R179" s="42" t="n">
        <f aca="false">INSUMOS_DIRECTOS_MANUALES!P104</f>
        <v>28507.72455</v>
      </c>
      <c r="S179" s="42" t="n">
        <f aca="false">INSUMOS_DIRECTOS_MANUALES!Q104</f>
        <v>32318.77872</v>
      </c>
      <c r="T179" s="42" t="n">
        <f aca="false">INDEX(J179:S179,INDEX(P_VAL,MATCH("AÑO_DIS",P_ID,0))-2025)</f>
        <v>32318.77872</v>
      </c>
      <c r="U179" s="24"/>
      <c r="V179" s="24"/>
      <c r="W179" s="24"/>
      <c r="X179" s="24"/>
      <c r="Y179" s="24"/>
    </row>
    <row r="180" customFormat="false" ht="15" hidden="false" customHeight="false" outlineLevel="1" collapsed="false">
      <c r="A180" s="24" t="n">
        <v>1</v>
      </c>
      <c r="B180" s="24" t="s">
        <v>786</v>
      </c>
      <c r="C180" s="40" t="s">
        <v>3854</v>
      </c>
      <c r="D180" s="24"/>
      <c r="E180" s="24"/>
      <c r="F180" s="24"/>
      <c r="G180" s="24"/>
      <c r="H180" s="24" t="s">
        <v>132</v>
      </c>
      <c r="I180" s="24" t="s">
        <v>3855</v>
      </c>
      <c r="J180" s="42" t="n">
        <f aca="false">INSUMOS_DIRECTOS_RECARGAS!H205</f>
        <v>63</v>
      </c>
      <c r="K180" s="42" t="n">
        <f aca="false">INSUMOS_DIRECTOS_RECARGAS!I205</f>
        <v>222.15</v>
      </c>
      <c r="L180" s="42" t="n">
        <f aca="false">INSUMOS_DIRECTOS_RECARGAS!J205</f>
        <v>285.1</v>
      </c>
      <c r="M180" s="42" t="n">
        <f aca="false">INSUMOS_DIRECTOS_RECARGAS!K205</f>
        <v>499.65</v>
      </c>
      <c r="N180" s="42" t="n">
        <f aca="false">INSUMOS_DIRECTOS_RECARGAS!L205</f>
        <v>541.25</v>
      </c>
      <c r="O180" s="42" t="n">
        <f aca="false">INSUMOS_DIRECTOS_RECARGAS!M205</f>
        <v>632.75</v>
      </c>
      <c r="P180" s="42" t="n">
        <f aca="false">INSUMOS_DIRECTOS_RECARGAS!N205</f>
        <v>610.6</v>
      </c>
      <c r="Q180" s="42" t="n">
        <f aca="false">INSUMOS_DIRECTOS_RECARGAS!O205</f>
        <v>493.95</v>
      </c>
      <c r="R180" s="42" t="n">
        <f aca="false">INSUMOS_DIRECTOS_RECARGAS!P205</f>
        <v>367.2</v>
      </c>
      <c r="S180" s="42" t="n">
        <f aca="false">INSUMOS_DIRECTOS_RECARGAS!Q205</f>
        <v>382.2</v>
      </c>
      <c r="T180" s="42" t="n">
        <f aca="false">INDEX(J180:S180,INDEX(P_VAL,MATCH("AÑO_DIS",P_ID,0))-2025)</f>
        <v>382.2</v>
      </c>
      <c r="U180" s="24"/>
      <c r="V180" s="24"/>
      <c r="W180" s="24"/>
      <c r="X180" s="24"/>
      <c r="Y180" s="24"/>
    </row>
    <row r="181" customFormat="false" ht="15" hidden="false" customHeight="false" outlineLevel="0" collapsed="false">
      <c r="A181" s="38" t="n">
        <v>0</v>
      </c>
      <c r="B181" s="38" t="s">
        <v>870</v>
      </c>
      <c r="C181" s="38" t="str">
        <f aca="false">INDEX(C_TAB,MATCH($B181,C_COD,0),2)</f>
        <v>Soporte de pared ABC 10 kg</v>
      </c>
      <c r="D181" s="38" t="str">
        <f aca="false">INDEX(C_TAB,MATCH($B181,C_COD,0),3)</f>
        <v>u</v>
      </c>
      <c r="E181" s="38" t="str">
        <f aca="false">INDEX(C_TAB,MATCH($B181,C_COD,0),4)</f>
        <v>Directo</v>
      </c>
      <c r="F181" s="38" t="str">
        <f aca="false">INDEX(C_TAB,MATCH($B181,C_COD,0),5)</f>
        <v>Componente comprado</v>
      </c>
      <c r="G181" s="38" t="str">
        <f aca="false">INDEX(C_TAB,MATCH($B181,C_COD,0),6)</f>
        <v>Insumos de montaje (manuales)</v>
      </c>
      <c r="H181" s="38"/>
      <c r="I181" s="38"/>
      <c r="J181" s="39" t="n">
        <f aca="false">SUM(J182:J183)</f>
        <v>93.83318153</v>
      </c>
      <c r="K181" s="39" t="n">
        <f aca="false">SUM(K182:K183)</f>
        <v>180.3472967</v>
      </c>
      <c r="L181" s="39" t="n">
        <f aca="false">SUM(L182:L183)</f>
        <v>260.2287798</v>
      </c>
      <c r="M181" s="39" t="n">
        <f aca="false">SUM(M182:M183)</f>
        <v>368.6204941</v>
      </c>
      <c r="N181" s="39" t="n">
        <f aca="false">SUM(N182:N183)</f>
        <v>612.8181519</v>
      </c>
      <c r="O181" s="39" t="n">
        <f aca="false">SUM(O182:O183)</f>
        <v>885.155032</v>
      </c>
      <c r="P181" s="39" t="n">
        <f aca="false">SUM(P182:P183)</f>
        <v>1138.260545</v>
      </c>
      <c r="Q181" s="39" t="n">
        <f aca="false">SUM(Q182:Q183)</f>
        <v>1402.994812</v>
      </c>
      <c r="R181" s="39" t="n">
        <f aca="false">SUM(R182:R183)</f>
        <v>1620.150054</v>
      </c>
      <c r="S181" s="39" t="n">
        <f aca="false">SUM(S182:S183)</f>
        <v>1847.898079</v>
      </c>
      <c r="T181" s="39" t="n">
        <f aca="false">INDEX(J181:S181,INDEX(P_VAL,MATCH("AÑO_DIS",P_ID,0))-2025)</f>
        <v>1847.898079</v>
      </c>
      <c r="U181" s="38" t="str">
        <f aca="false">INDEX(C_TAB,MATCH($B181,C_COD,0),10)</f>
        <v>Caja de 50 u</v>
      </c>
      <c r="V181" s="38" t="n">
        <f aca="false">INDEX(C_TAB,MATCH($B181,C_COD,0),11)</f>
        <v>50</v>
      </c>
      <c r="W181" s="44" t="n">
        <f aca="false">ROUNDUP(T181/V181,0)</f>
        <v>37</v>
      </c>
      <c r="X181" s="38" t="str">
        <f aca="false">INDEX(C_TAB,MATCH($B181,C_COD,0),7)</f>
        <v>Maxiseguridad</v>
      </c>
      <c r="Y181" s="38" t="n">
        <f aca="false">INDEX(C_TAB,MATCH($B181,C_COD,0),12)</f>
        <v>15</v>
      </c>
    </row>
    <row r="182" customFormat="false" ht="15" hidden="false" customHeight="false" outlineLevel="1" collapsed="false">
      <c r="A182" s="24" t="n">
        <v>1</v>
      </c>
      <c r="B182" s="24" t="s">
        <v>870</v>
      </c>
      <c r="C182" s="40" t="s">
        <v>3852</v>
      </c>
      <c r="D182" s="24"/>
      <c r="E182" s="24"/>
      <c r="F182" s="24"/>
      <c r="G182" s="24"/>
      <c r="H182" s="24" t="s">
        <v>229</v>
      </c>
      <c r="I182" s="24" t="s">
        <v>3853</v>
      </c>
      <c r="J182" s="42" t="n">
        <f aca="false">INSUMOS_DIRECTOS_MANUALES!H106</f>
        <v>91.83318153</v>
      </c>
      <c r="K182" s="42" t="n">
        <f aca="false">INSUMOS_DIRECTOS_MANUALES!I106</f>
        <v>177.2472967</v>
      </c>
      <c r="L182" s="42" t="n">
        <f aca="false">INSUMOS_DIRECTOS_MANUALES!J106</f>
        <v>252.9787798</v>
      </c>
      <c r="M182" s="42" t="n">
        <f aca="false">INSUMOS_DIRECTOS_MANUALES!K106</f>
        <v>358.0204941</v>
      </c>
      <c r="N182" s="42" t="n">
        <f aca="false">INSUMOS_DIRECTOS_MANUALES!L106</f>
        <v>602.7181519</v>
      </c>
      <c r="O182" s="42" t="n">
        <f aca="false">INSUMOS_DIRECTOS_MANUALES!M106</f>
        <v>872.605032</v>
      </c>
      <c r="P182" s="42" t="n">
        <f aca="false">INSUMOS_DIRECTOS_MANUALES!N106</f>
        <v>1127.160545</v>
      </c>
      <c r="Q182" s="42" t="n">
        <f aca="false">INSUMOS_DIRECTOS_MANUALES!O106</f>
        <v>1395.444812</v>
      </c>
      <c r="R182" s="42" t="n">
        <f aca="false">INSUMOS_DIRECTOS_MANUALES!P106</f>
        <v>1612.350054</v>
      </c>
      <c r="S182" s="42" t="n">
        <f aca="false">INSUMOS_DIRECTOS_MANUALES!Q106</f>
        <v>1840.848079</v>
      </c>
      <c r="T182" s="42" t="n">
        <f aca="false">INDEX(J182:S182,INDEX(P_VAL,MATCH("AÑO_DIS",P_ID,0))-2025)</f>
        <v>1840.848079</v>
      </c>
      <c r="U182" s="24"/>
      <c r="V182" s="24"/>
      <c r="W182" s="24"/>
      <c r="X182" s="24"/>
      <c r="Y182" s="24"/>
    </row>
    <row r="183" customFormat="false" ht="15" hidden="false" customHeight="false" outlineLevel="1" collapsed="false">
      <c r="A183" s="24" t="n">
        <v>1</v>
      </c>
      <c r="B183" s="24" t="s">
        <v>870</v>
      </c>
      <c r="C183" s="40" t="s">
        <v>3854</v>
      </c>
      <c r="D183" s="24"/>
      <c r="E183" s="24"/>
      <c r="F183" s="24"/>
      <c r="G183" s="24"/>
      <c r="H183" s="24" t="s">
        <v>132</v>
      </c>
      <c r="I183" s="24" t="s">
        <v>3855</v>
      </c>
      <c r="J183" s="42" t="n">
        <f aca="false">INSUMOS_DIRECTOS_RECARGAS!H207</f>
        <v>2</v>
      </c>
      <c r="K183" s="42" t="n">
        <f aca="false">INSUMOS_DIRECTOS_RECARGAS!I207</f>
        <v>3.1</v>
      </c>
      <c r="L183" s="42" t="n">
        <f aca="false">INSUMOS_DIRECTOS_RECARGAS!J207</f>
        <v>7.25</v>
      </c>
      <c r="M183" s="42" t="n">
        <f aca="false">INSUMOS_DIRECTOS_RECARGAS!K207</f>
        <v>10.6</v>
      </c>
      <c r="N183" s="42" t="n">
        <f aca="false">INSUMOS_DIRECTOS_RECARGAS!L207</f>
        <v>10.1</v>
      </c>
      <c r="O183" s="42" t="n">
        <f aca="false">INSUMOS_DIRECTOS_RECARGAS!M207</f>
        <v>12.55</v>
      </c>
      <c r="P183" s="42" t="n">
        <f aca="false">INSUMOS_DIRECTOS_RECARGAS!N207</f>
        <v>11.1</v>
      </c>
      <c r="Q183" s="42" t="n">
        <f aca="false">INSUMOS_DIRECTOS_RECARGAS!O207</f>
        <v>7.55</v>
      </c>
      <c r="R183" s="42" t="n">
        <f aca="false">INSUMOS_DIRECTOS_RECARGAS!P207</f>
        <v>7.8</v>
      </c>
      <c r="S183" s="42" t="n">
        <f aca="false">INSUMOS_DIRECTOS_RECARGAS!Q207</f>
        <v>7.05</v>
      </c>
      <c r="T183" s="42" t="n">
        <f aca="false">INDEX(J183:S183,INDEX(P_VAL,MATCH("AÑO_DIS",P_ID,0))-2025)</f>
        <v>7.05</v>
      </c>
      <c r="U183" s="24"/>
      <c r="V183" s="24"/>
      <c r="W183" s="24"/>
      <c r="X183" s="24"/>
      <c r="Y183" s="24"/>
    </row>
    <row r="184" customFormat="false" ht="15" hidden="false" customHeight="false" outlineLevel="0" collapsed="false">
      <c r="A184" s="38" t="n">
        <v>0</v>
      </c>
      <c r="B184" s="38" t="s">
        <v>602</v>
      </c>
      <c r="C184" s="38" t="str">
        <f aca="false">INDEX(C_TAB,MATCH($B184,C_COD,0),2)</f>
        <v>Soporte vehicular con cierre rápido (1 kg)</v>
      </c>
      <c r="D184" s="38" t="str">
        <f aca="false">INDEX(C_TAB,MATCH($B184,C_COD,0),3)</f>
        <v>u</v>
      </c>
      <c r="E184" s="38" t="str">
        <f aca="false">INDEX(C_TAB,MATCH($B184,C_COD,0),4)</f>
        <v>Directo</v>
      </c>
      <c r="F184" s="38" t="str">
        <f aca="false">INDEX(C_TAB,MATCH($B184,C_COD,0),5)</f>
        <v>Componente comprado</v>
      </c>
      <c r="G184" s="38" t="str">
        <f aca="false">INDEX(C_TAB,MATCH($B184,C_COD,0),6)</f>
        <v>Insumos de montaje (manuales)</v>
      </c>
      <c r="H184" s="38"/>
      <c r="I184" s="38"/>
      <c r="J184" s="39" t="n">
        <f aca="false">SUM(J185:J185)</f>
        <v>4178.736543</v>
      </c>
      <c r="K184" s="39" t="n">
        <f aca="false">SUM(K185:K185)</f>
        <v>5997.303977</v>
      </c>
      <c r="L184" s="39" t="n">
        <f aca="false">SUM(L185:L185)</f>
        <v>6851.747758</v>
      </c>
      <c r="M184" s="39" t="n">
        <f aca="false">SUM(M185:M185)</f>
        <v>8467.135549</v>
      </c>
      <c r="N184" s="39" t="n">
        <f aca="false">SUM(N185:N185)</f>
        <v>12680.63271</v>
      </c>
      <c r="O184" s="39" t="n">
        <f aca="false">SUM(O185:O185)</f>
        <v>15620.25307</v>
      </c>
      <c r="P184" s="39" t="n">
        <f aca="false">SUM(P185:P185)</f>
        <v>20332.55326</v>
      </c>
      <c r="Q184" s="39" t="n">
        <f aca="false">SUM(Q185:Q185)</f>
        <v>25132.07848</v>
      </c>
      <c r="R184" s="39" t="n">
        <f aca="false">SUM(R185:R185)</f>
        <v>28573.33614</v>
      </c>
      <c r="S184" s="39" t="n">
        <f aca="false">SUM(S185:S185)</f>
        <v>32072.63913</v>
      </c>
      <c r="T184" s="39" t="n">
        <f aca="false">INDEX(J184:S184,INDEX(P_VAL,MATCH("AÑO_DIS",P_ID,0))-2025)</f>
        <v>32072.63913</v>
      </c>
      <c r="U184" s="38" t="str">
        <f aca="false">INDEX(C_TAB,MATCH($B184,C_COD,0),10)</f>
        <v>Caja de 50 u</v>
      </c>
      <c r="V184" s="38" t="n">
        <f aca="false">INDEX(C_TAB,MATCH($B184,C_COD,0),11)</f>
        <v>50</v>
      </c>
      <c r="W184" s="44" t="n">
        <f aca="false">ROUNDUP(T184/V184,0)</f>
        <v>642</v>
      </c>
      <c r="X184" s="38" t="str">
        <f aca="false">INDEX(C_TAB,MATCH($B184,C_COD,0),7)</f>
        <v>Maxiseguridad</v>
      </c>
      <c r="Y184" s="38" t="n">
        <f aca="false">INDEX(C_TAB,MATCH($B184,C_COD,0),12)</f>
        <v>15</v>
      </c>
    </row>
    <row r="185" customFormat="false" ht="15" hidden="false" customHeight="false" outlineLevel="1" collapsed="false">
      <c r="A185" s="24" t="n">
        <v>1</v>
      </c>
      <c r="B185" s="24" t="s">
        <v>602</v>
      </c>
      <c r="C185" s="40" t="s">
        <v>3852</v>
      </c>
      <c r="D185" s="24"/>
      <c r="E185" s="24"/>
      <c r="F185" s="24"/>
      <c r="G185" s="24"/>
      <c r="H185" s="24" t="s">
        <v>229</v>
      </c>
      <c r="I185" s="24" t="s">
        <v>3853</v>
      </c>
      <c r="J185" s="42" t="n">
        <f aca="false">INSUMOS_DIRECTOS_MANUALES!H108</f>
        <v>4178.736543</v>
      </c>
      <c r="K185" s="42" t="n">
        <f aca="false">INSUMOS_DIRECTOS_MANUALES!I108</f>
        <v>5997.303977</v>
      </c>
      <c r="L185" s="42" t="n">
        <f aca="false">INSUMOS_DIRECTOS_MANUALES!J108</f>
        <v>6851.747758</v>
      </c>
      <c r="M185" s="42" t="n">
        <f aca="false">INSUMOS_DIRECTOS_MANUALES!K108</f>
        <v>8467.135549</v>
      </c>
      <c r="N185" s="42" t="n">
        <f aca="false">INSUMOS_DIRECTOS_MANUALES!L108</f>
        <v>12680.63271</v>
      </c>
      <c r="O185" s="42" t="n">
        <f aca="false">INSUMOS_DIRECTOS_MANUALES!M108</f>
        <v>15620.25307</v>
      </c>
      <c r="P185" s="42" t="n">
        <f aca="false">INSUMOS_DIRECTOS_MANUALES!N108</f>
        <v>20332.55326</v>
      </c>
      <c r="Q185" s="42" t="n">
        <f aca="false">INSUMOS_DIRECTOS_MANUALES!O108</f>
        <v>25132.07848</v>
      </c>
      <c r="R185" s="42" t="n">
        <f aca="false">INSUMOS_DIRECTOS_MANUALES!P108</f>
        <v>28573.33614</v>
      </c>
      <c r="S185" s="42" t="n">
        <f aca="false">INSUMOS_DIRECTOS_MANUALES!Q108</f>
        <v>32072.63913</v>
      </c>
      <c r="T185" s="42" t="n">
        <f aca="false">INDEX(J185:S185,INDEX(P_VAL,MATCH("AÑO_DIS",P_ID,0))-2025)</f>
        <v>32072.63913</v>
      </c>
      <c r="U185" s="24"/>
      <c r="V185" s="24"/>
      <c r="W185" s="24"/>
      <c r="X185" s="24"/>
      <c r="Y185" s="24"/>
    </row>
    <row r="186" customFormat="false" ht="15" hidden="false" customHeight="false" outlineLevel="0" collapsed="false">
      <c r="A186" s="38" t="n">
        <v>0</v>
      </c>
      <c r="B186" s="38" t="s">
        <v>703</v>
      </c>
      <c r="C186" s="38" t="str">
        <f aca="false">INDEX(C_TAB,MATCH($B186,C_COD,0),2)</f>
        <v>Tornillo M8 y tarugo Ø10 de fijación</v>
      </c>
      <c r="D186" s="38" t="str">
        <f aca="false">INDEX(C_TAB,MATCH($B186,C_COD,0),3)</f>
        <v>u</v>
      </c>
      <c r="E186" s="38" t="str">
        <f aca="false">INDEX(C_TAB,MATCH($B186,C_COD,0),4)</f>
        <v>Directo</v>
      </c>
      <c r="F186" s="38" t="str">
        <f aca="false">INDEX(C_TAB,MATCH($B186,C_COD,0),5)</f>
        <v>Componente comprado</v>
      </c>
      <c r="G186" s="38" t="str">
        <f aca="false">INDEX(C_TAB,MATCH($B186,C_COD,0),6)</f>
        <v>Insumos de montaje (manuales)</v>
      </c>
      <c r="H186" s="38"/>
      <c r="I186" s="38"/>
      <c r="J186" s="39" t="n">
        <f aca="false">SUM(J187:J188)</f>
        <v>6323.27312746</v>
      </c>
      <c r="K186" s="39" t="n">
        <f aca="false">SUM(K187:K188)</f>
        <v>13074.407256</v>
      </c>
      <c r="L186" s="39" t="n">
        <f aca="false">SUM(L187:L188)</f>
        <v>17313.4688568</v>
      </c>
      <c r="M186" s="39" t="n">
        <f aca="false">SUM(M187:M188)</f>
        <v>25292.0479622</v>
      </c>
      <c r="N186" s="39" t="n">
        <f aca="false">SUM(N187:N188)</f>
        <v>35612.0056358</v>
      </c>
      <c r="O186" s="39" t="n">
        <f aca="false">SUM(O187:O188)</f>
        <v>46651.478058</v>
      </c>
      <c r="P186" s="39" t="n">
        <f aca="false">SUM(P187:P188)</f>
        <v>56619.871818</v>
      </c>
      <c r="Q186" s="39" t="n">
        <f aca="false">SUM(Q187:Q188)</f>
        <v>65722.875538</v>
      </c>
      <c r="R186" s="39" t="n">
        <f aca="false">SUM(R187:R188)</f>
        <v>73380.521694</v>
      </c>
      <c r="S186" s="39" t="n">
        <f aca="false">SUM(S187:S188)</f>
        <v>83947.470486</v>
      </c>
      <c r="T186" s="39" t="n">
        <f aca="false">INDEX(J186:S186,INDEX(P_VAL,MATCH("AÑO_DIS",P_ID,0))-2025)</f>
        <v>83947.470486</v>
      </c>
      <c r="U186" s="38" t="str">
        <f aca="false">INDEX(C_TAB,MATCH($B186,C_COD,0),10)</f>
        <v>Caja de 500 u</v>
      </c>
      <c r="V186" s="38" t="n">
        <f aca="false">INDEX(C_TAB,MATCH($B186,C_COD,0),11)</f>
        <v>500</v>
      </c>
      <c r="W186" s="44" t="n">
        <f aca="false">ROUNDUP(T186/V186,0)</f>
        <v>168</v>
      </c>
      <c r="X186" s="38" t="str">
        <f aca="false">INDEX(C_TAB,MATCH($B186,C_COD,0),7)</f>
        <v>Würth Argentina</v>
      </c>
      <c r="Y186" s="38" t="n">
        <f aca="false">INDEX(C_TAB,MATCH($B186,C_COD,0),12)</f>
        <v>5</v>
      </c>
    </row>
    <row r="187" customFormat="false" ht="15" hidden="false" customHeight="false" outlineLevel="1" collapsed="false">
      <c r="A187" s="24" t="n">
        <v>1</v>
      </c>
      <c r="B187" s="24" t="s">
        <v>703</v>
      </c>
      <c r="C187" s="40" t="s">
        <v>3852</v>
      </c>
      <c r="D187" s="24"/>
      <c r="E187" s="24"/>
      <c r="F187" s="24"/>
      <c r="G187" s="24"/>
      <c r="H187" s="24" t="s">
        <v>229</v>
      </c>
      <c r="I187" s="24" t="s">
        <v>3853</v>
      </c>
      <c r="J187" s="42" t="n">
        <f aca="false">INSUMOS_DIRECTOS_MANUALES!H110</f>
        <v>6193.27312746</v>
      </c>
      <c r="K187" s="42" t="n">
        <f aca="false">INSUMOS_DIRECTOS_MANUALES!I110</f>
        <v>12623.907256</v>
      </c>
      <c r="L187" s="42" t="n">
        <f aca="false">INSUMOS_DIRECTOS_MANUALES!J110</f>
        <v>16728.7688568</v>
      </c>
      <c r="M187" s="42" t="n">
        <f aca="false">INSUMOS_DIRECTOS_MANUALES!K110</f>
        <v>24271.5479622</v>
      </c>
      <c r="N187" s="42" t="n">
        <f aca="false">INSUMOS_DIRECTOS_MANUALES!L110</f>
        <v>34509.3056358</v>
      </c>
      <c r="O187" s="42" t="n">
        <f aca="false">INSUMOS_DIRECTOS_MANUALES!M110</f>
        <v>45360.878058</v>
      </c>
      <c r="P187" s="42" t="n">
        <f aca="false">INSUMOS_DIRECTOS_MANUALES!N110</f>
        <v>55376.471818</v>
      </c>
      <c r="Q187" s="42" t="n">
        <f aca="false">INSUMOS_DIRECTOS_MANUALES!O110</f>
        <v>64719.875538</v>
      </c>
      <c r="R187" s="42" t="n">
        <f aca="false">INSUMOS_DIRECTOS_MANUALES!P110</f>
        <v>72630.521694</v>
      </c>
      <c r="S187" s="42" t="n">
        <f aca="false">INSUMOS_DIRECTOS_MANUALES!Q110</f>
        <v>83168.970486</v>
      </c>
      <c r="T187" s="42" t="n">
        <f aca="false">INDEX(J187:S187,INDEX(P_VAL,MATCH("AÑO_DIS",P_ID,0))-2025)</f>
        <v>83168.970486</v>
      </c>
      <c r="U187" s="24"/>
      <c r="V187" s="24"/>
      <c r="W187" s="24"/>
      <c r="X187" s="24"/>
      <c r="Y187" s="24"/>
    </row>
    <row r="188" customFormat="false" ht="15" hidden="false" customHeight="false" outlineLevel="1" collapsed="false">
      <c r="A188" s="24" t="n">
        <v>1</v>
      </c>
      <c r="B188" s="24" t="s">
        <v>703</v>
      </c>
      <c r="C188" s="40" t="s">
        <v>3854</v>
      </c>
      <c r="D188" s="24"/>
      <c r="E188" s="24"/>
      <c r="F188" s="24"/>
      <c r="G188" s="24"/>
      <c r="H188" s="24" t="s">
        <v>132</v>
      </c>
      <c r="I188" s="24" t="s">
        <v>3855</v>
      </c>
      <c r="J188" s="42" t="n">
        <f aca="false">INSUMOS_DIRECTOS_RECARGAS!H209</f>
        <v>130</v>
      </c>
      <c r="K188" s="42" t="n">
        <f aca="false">INSUMOS_DIRECTOS_RECARGAS!I209</f>
        <v>450.5</v>
      </c>
      <c r="L188" s="42" t="n">
        <f aca="false">INSUMOS_DIRECTOS_RECARGAS!J209</f>
        <v>584.7</v>
      </c>
      <c r="M188" s="42" t="n">
        <f aca="false">INSUMOS_DIRECTOS_RECARGAS!K209</f>
        <v>1020.5</v>
      </c>
      <c r="N188" s="42" t="n">
        <f aca="false">INSUMOS_DIRECTOS_RECARGAS!L209</f>
        <v>1102.7</v>
      </c>
      <c r="O188" s="42" t="n">
        <f aca="false">INSUMOS_DIRECTOS_RECARGAS!M209</f>
        <v>1290.6</v>
      </c>
      <c r="P188" s="42" t="n">
        <f aca="false">INSUMOS_DIRECTOS_RECARGAS!N209</f>
        <v>1243.4</v>
      </c>
      <c r="Q188" s="42" t="n">
        <f aca="false">INSUMOS_DIRECTOS_RECARGAS!O209</f>
        <v>1003</v>
      </c>
      <c r="R188" s="42" t="n">
        <f aca="false">INSUMOS_DIRECTOS_RECARGAS!P209</f>
        <v>750</v>
      </c>
      <c r="S188" s="42" t="n">
        <f aca="false">INSUMOS_DIRECTOS_RECARGAS!Q209</f>
        <v>778.5</v>
      </c>
      <c r="T188" s="42" t="n">
        <f aca="false">INDEX(J188:S188,INDEX(P_VAL,MATCH("AÑO_DIS",P_ID,0))-2025)</f>
        <v>778.5</v>
      </c>
      <c r="U188" s="24"/>
      <c r="V188" s="24"/>
      <c r="W188" s="24"/>
      <c r="X188" s="24"/>
      <c r="Y188" s="24"/>
    </row>
    <row r="189" customFormat="false" ht="15" hidden="false" customHeight="false" outlineLevel="0" collapsed="false">
      <c r="A189" s="38" t="n">
        <v>0</v>
      </c>
      <c r="B189" s="38" t="s">
        <v>957</v>
      </c>
      <c r="C189" s="38" t="str">
        <f aca="false">INDEX(C_TAB,MATCH($B189,C_COD,0),2)</f>
        <v>Rueda de chapa y goma Ø300 × 50, buje 3/4" (carro 25 kg)</v>
      </c>
      <c r="D189" s="38" t="str">
        <f aca="false">INDEX(C_TAB,MATCH($B189,C_COD,0),3)</f>
        <v>u</v>
      </c>
      <c r="E189" s="38" t="str">
        <f aca="false">INDEX(C_TAB,MATCH($B189,C_COD,0),4)</f>
        <v>Directo</v>
      </c>
      <c r="F189" s="38" t="str">
        <f aca="false">INDEX(C_TAB,MATCH($B189,C_COD,0),5)</f>
        <v>Componente comprado</v>
      </c>
      <c r="G189" s="38" t="str">
        <f aca="false">INDEX(C_TAB,MATCH($B189,C_COD,0),6)</f>
        <v>Rack de insumos de montaje (carros)</v>
      </c>
      <c r="H189" s="38"/>
      <c r="I189" s="38"/>
      <c r="J189" s="39" t="n">
        <f aca="false">SUM(J190:J190)</f>
        <v>68.10358272</v>
      </c>
      <c r="K189" s="39" t="n">
        <f aca="false">SUM(K190:K190)</f>
        <v>116.9242949</v>
      </c>
      <c r="L189" s="39" t="n">
        <f aca="false">SUM(L190:L190)</f>
        <v>150.41707996</v>
      </c>
      <c r="M189" s="39" t="n">
        <f aca="false">SUM(M190:M190)</f>
        <v>201.0597058</v>
      </c>
      <c r="N189" s="39" t="n">
        <f aca="false">SUM(N190:N190)</f>
        <v>311.752007</v>
      </c>
      <c r="O189" s="39" t="n">
        <f aca="false">SUM(O190:O190)</f>
        <v>423.8689654</v>
      </c>
      <c r="P189" s="39" t="n">
        <f aca="false">SUM(P190:P190)</f>
        <v>545.3364664</v>
      </c>
      <c r="Q189" s="39" t="n">
        <f aca="false">SUM(Q190:Q190)</f>
        <v>675.6973414</v>
      </c>
      <c r="R189" s="39" t="n">
        <f aca="false">SUM(R190:R190)</f>
        <v>787.2548312</v>
      </c>
      <c r="S189" s="39" t="n">
        <f aca="false">SUM(S190:S190)</f>
        <v>906.5410664</v>
      </c>
      <c r="T189" s="39" t="n">
        <f aca="false">INDEX(J189:S189,INDEX(P_VAL,MATCH("AÑO_DIS",P_ID,0))-2025)</f>
        <v>906.5410664</v>
      </c>
      <c r="U189" s="38" t="str">
        <f aca="false">INDEX(C_TAB,MATCH($B189,C_COD,0),10)</f>
        <v>Atado de 10 u</v>
      </c>
      <c r="V189" s="38" t="n">
        <f aca="false">INDEX(C_TAB,MATCH($B189,C_COD,0),11)</f>
        <v>10</v>
      </c>
      <c r="W189" s="44" t="n">
        <f aca="false">ROUNDUP(T189/V189,0)</f>
        <v>91</v>
      </c>
      <c r="X189" s="38" t="str">
        <f aca="false">INDEX(C_TAB,MATCH($B189,C_COD,0),7)</f>
        <v>Ruedar</v>
      </c>
      <c r="Y189" s="38" t="n">
        <f aca="false">INDEX(C_TAB,MATCH($B189,C_COD,0),12)</f>
        <v>15</v>
      </c>
    </row>
    <row r="190" customFormat="false" ht="15" hidden="false" customHeight="false" outlineLevel="1" collapsed="false">
      <c r="A190" s="24" t="n">
        <v>1</v>
      </c>
      <c r="B190" s="24" t="s">
        <v>957</v>
      </c>
      <c r="C190" s="40" t="s">
        <v>3856</v>
      </c>
      <c r="D190" s="24"/>
      <c r="E190" s="24"/>
      <c r="F190" s="24"/>
      <c r="G190" s="24"/>
      <c r="H190" s="24" t="s">
        <v>244</v>
      </c>
      <c r="I190" s="24" t="s">
        <v>3857</v>
      </c>
      <c r="J190" s="42" t="n">
        <f aca="false">INSUMOS_DIRECTOS_RODANTES!H140</f>
        <v>68.10358272</v>
      </c>
      <c r="K190" s="42" t="n">
        <f aca="false">INSUMOS_DIRECTOS_RODANTES!I140</f>
        <v>116.9242949</v>
      </c>
      <c r="L190" s="42" t="n">
        <f aca="false">INSUMOS_DIRECTOS_RODANTES!J140</f>
        <v>150.41707996</v>
      </c>
      <c r="M190" s="42" t="n">
        <f aca="false">INSUMOS_DIRECTOS_RODANTES!K140</f>
        <v>201.0597058</v>
      </c>
      <c r="N190" s="42" t="n">
        <f aca="false">INSUMOS_DIRECTOS_RODANTES!L140</f>
        <v>311.752007</v>
      </c>
      <c r="O190" s="42" t="n">
        <f aca="false">INSUMOS_DIRECTOS_RODANTES!M140</f>
        <v>423.8689654</v>
      </c>
      <c r="P190" s="42" t="n">
        <f aca="false">INSUMOS_DIRECTOS_RODANTES!N140</f>
        <v>545.3364664</v>
      </c>
      <c r="Q190" s="42" t="n">
        <f aca="false">INSUMOS_DIRECTOS_RODANTES!O140</f>
        <v>675.6973414</v>
      </c>
      <c r="R190" s="42" t="n">
        <f aca="false">INSUMOS_DIRECTOS_RODANTES!P140</f>
        <v>787.2548312</v>
      </c>
      <c r="S190" s="42" t="n">
        <f aca="false">INSUMOS_DIRECTOS_RODANTES!Q140</f>
        <v>906.5410664</v>
      </c>
      <c r="T190" s="42" t="n">
        <f aca="false">INDEX(J190:S190,INDEX(P_VAL,MATCH("AÑO_DIS",P_ID,0))-2025)</f>
        <v>906.5410664</v>
      </c>
      <c r="U190" s="24"/>
      <c r="V190" s="24"/>
      <c r="W190" s="24"/>
      <c r="X190" s="24"/>
      <c r="Y190" s="24"/>
    </row>
    <row r="191" customFormat="false" ht="15" hidden="false" customHeight="false" outlineLevel="0" collapsed="false">
      <c r="A191" s="38" t="n">
        <v>0</v>
      </c>
      <c r="B191" s="38" t="s">
        <v>1076</v>
      </c>
      <c r="C191" s="38" t="str">
        <f aca="false">INDEX(C_TAB,MATCH($B191,C_COD,0),2)</f>
        <v>Rueda de chapa y goma Ø350 × 60, buje 1" (carro 50 kg)</v>
      </c>
      <c r="D191" s="38" t="str">
        <f aca="false">INDEX(C_TAB,MATCH($B191,C_COD,0),3)</f>
        <v>u</v>
      </c>
      <c r="E191" s="38" t="str">
        <f aca="false">INDEX(C_TAB,MATCH($B191,C_COD,0),4)</f>
        <v>Directo</v>
      </c>
      <c r="F191" s="38" t="str">
        <f aca="false">INDEX(C_TAB,MATCH($B191,C_COD,0),5)</f>
        <v>Componente comprado</v>
      </c>
      <c r="G191" s="38" t="str">
        <f aca="false">INDEX(C_TAB,MATCH($B191,C_COD,0),6)</f>
        <v>Rack de insumos de montaje (carros)</v>
      </c>
      <c r="H191" s="38"/>
      <c r="I191" s="38"/>
      <c r="J191" s="39" t="n">
        <f aca="false">SUM(J192:J193)</f>
        <v>151.827882</v>
      </c>
      <c r="K191" s="39" t="n">
        <f aca="false">SUM(K192:K193)</f>
        <v>261.3334488</v>
      </c>
      <c r="L191" s="39" t="n">
        <f aca="false">SUM(L192:L193)</f>
        <v>339.217576</v>
      </c>
      <c r="M191" s="39" t="n">
        <f aca="false">SUM(M192:M193)</f>
        <v>453.031353</v>
      </c>
      <c r="N191" s="39" t="n">
        <f aca="false">SUM(N192:N193)</f>
        <v>697.0544154</v>
      </c>
      <c r="O191" s="39" t="n">
        <f aca="false">SUM(O192:O193)</f>
        <v>946.211724</v>
      </c>
      <c r="P191" s="39" t="n">
        <f aca="false">SUM(P192:P193)</f>
        <v>1212.0402258</v>
      </c>
      <c r="Q191" s="39" t="n">
        <f aca="false">SUM(Q192:Q193)</f>
        <v>1495.3341512</v>
      </c>
      <c r="R191" s="39" t="n">
        <f aca="false">SUM(R192:R193)</f>
        <v>1741.0606286</v>
      </c>
      <c r="S191" s="39" t="n">
        <f aca="false">SUM(S192:S193)</f>
        <v>2001.7903462</v>
      </c>
      <c r="T191" s="39" t="n">
        <f aca="false">INDEX(J191:S191,INDEX(P_VAL,MATCH("AÑO_DIS",P_ID,0))-2025)</f>
        <v>2001.7903462</v>
      </c>
      <c r="U191" s="38" t="str">
        <f aca="false">INDEX(C_TAB,MATCH($B191,C_COD,0),10)</f>
        <v>Atado de 10 u</v>
      </c>
      <c r="V191" s="38" t="n">
        <f aca="false">INDEX(C_TAB,MATCH($B191,C_COD,0),11)</f>
        <v>10</v>
      </c>
      <c r="W191" s="44" t="n">
        <f aca="false">ROUNDUP(T191/V191,0)</f>
        <v>201</v>
      </c>
      <c r="X191" s="38" t="str">
        <f aca="false">INDEX(C_TAB,MATCH($B191,C_COD,0),7)</f>
        <v>Ruedar</v>
      </c>
      <c r="Y191" s="38" t="n">
        <f aca="false">INDEX(C_TAB,MATCH($B191,C_COD,0),12)</f>
        <v>15</v>
      </c>
    </row>
    <row r="192" customFormat="false" ht="15" hidden="false" customHeight="false" outlineLevel="1" collapsed="false">
      <c r="A192" s="24" t="n">
        <v>1</v>
      </c>
      <c r="B192" s="24" t="s">
        <v>1076</v>
      </c>
      <c r="C192" s="40" t="s">
        <v>3856</v>
      </c>
      <c r="D192" s="24"/>
      <c r="E192" s="24"/>
      <c r="F192" s="24"/>
      <c r="G192" s="24"/>
      <c r="H192" s="24" t="s">
        <v>244</v>
      </c>
      <c r="I192" s="24" t="s">
        <v>3857</v>
      </c>
      <c r="J192" s="42" t="n">
        <f aca="false">INSUMOS_DIRECTOS_RODANTES!H142</f>
        <v>149.827882</v>
      </c>
      <c r="K192" s="42" t="n">
        <f aca="false">INSUMOS_DIRECTOS_RODANTES!I142</f>
        <v>257.2334488</v>
      </c>
      <c r="L192" s="42" t="n">
        <f aca="false">INSUMOS_DIRECTOS_RODANTES!J142</f>
        <v>330.917576</v>
      </c>
      <c r="M192" s="42" t="n">
        <f aca="false">INSUMOS_DIRECTOS_RODANTES!K142</f>
        <v>442.331353</v>
      </c>
      <c r="N192" s="42" t="n">
        <f aca="false">INSUMOS_DIRECTOS_RODANTES!L142</f>
        <v>685.8544154</v>
      </c>
      <c r="O192" s="42" t="n">
        <f aca="false">INSUMOS_DIRECTOS_RODANTES!M142</f>
        <v>932.511724</v>
      </c>
      <c r="P192" s="42" t="n">
        <f aca="false">INSUMOS_DIRECTOS_RODANTES!N142</f>
        <v>1199.7402258</v>
      </c>
      <c r="Q192" s="42" t="n">
        <f aca="false">INSUMOS_DIRECTOS_RODANTES!O142</f>
        <v>1486.5341512</v>
      </c>
      <c r="R192" s="42" t="n">
        <f aca="false">INSUMOS_DIRECTOS_RODANTES!P142</f>
        <v>1731.9606286</v>
      </c>
      <c r="S192" s="42" t="n">
        <f aca="false">INSUMOS_DIRECTOS_RODANTES!Q142</f>
        <v>1994.3903462</v>
      </c>
      <c r="T192" s="42" t="n">
        <f aca="false">INDEX(J192:S192,INDEX(P_VAL,MATCH("AÑO_DIS",P_ID,0))-2025)</f>
        <v>1994.3903462</v>
      </c>
      <c r="U192" s="24"/>
      <c r="V192" s="24"/>
      <c r="W192" s="24"/>
      <c r="X192" s="24"/>
      <c r="Y192" s="24"/>
    </row>
    <row r="193" customFormat="false" ht="15" hidden="false" customHeight="false" outlineLevel="1" collapsed="false">
      <c r="A193" s="24" t="n">
        <v>1</v>
      </c>
      <c r="B193" s="24" t="s">
        <v>1076</v>
      </c>
      <c r="C193" s="40" t="s">
        <v>3854</v>
      </c>
      <c r="D193" s="24"/>
      <c r="E193" s="24"/>
      <c r="F193" s="24"/>
      <c r="G193" s="24"/>
      <c r="H193" s="24" t="s">
        <v>132</v>
      </c>
      <c r="I193" s="24" t="s">
        <v>3855</v>
      </c>
      <c r="J193" s="42" t="n">
        <f aca="false">INSUMOS_DIRECTOS_RECARGAS!H212</f>
        <v>2</v>
      </c>
      <c r="K193" s="42" t="n">
        <f aca="false">INSUMOS_DIRECTOS_RECARGAS!I212</f>
        <v>4.1</v>
      </c>
      <c r="L193" s="42" t="n">
        <f aca="false">INSUMOS_DIRECTOS_RECARGAS!J212</f>
        <v>8.3</v>
      </c>
      <c r="M193" s="42" t="n">
        <f aca="false">INSUMOS_DIRECTOS_RECARGAS!K212</f>
        <v>10.7</v>
      </c>
      <c r="N193" s="42" t="n">
        <f aca="false">INSUMOS_DIRECTOS_RECARGAS!L212</f>
        <v>11.2</v>
      </c>
      <c r="O193" s="42" t="n">
        <f aca="false">INSUMOS_DIRECTOS_RECARGAS!M212</f>
        <v>13.7</v>
      </c>
      <c r="P193" s="42" t="n">
        <f aca="false">INSUMOS_DIRECTOS_RECARGAS!N212</f>
        <v>12.3</v>
      </c>
      <c r="Q193" s="42" t="n">
        <f aca="false">INSUMOS_DIRECTOS_RECARGAS!O212</f>
        <v>8.8</v>
      </c>
      <c r="R193" s="42" t="n">
        <f aca="false">INSUMOS_DIRECTOS_RECARGAS!P212</f>
        <v>9.1</v>
      </c>
      <c r="S193" s="42" t="n">
        <f aca="false">INSUMOS_DIRECTOS_RECARGAS!Q212</f>
        <v>7.4</v>
      </c>
      <c r="T193" s="42" t="n">
        <f aca="false">INDEX(J193:S193,INDEX(P_VAL,MATCH("AÑO_DIS",P_ID,0))-2025)</f>
        <v>7.4</v>
      </c>
      <c r="U193" s="24"/>
      <c r="V193" s="24"/>
      <c r="W193" s="24"/>
      <c r="X193" s="24"/>
      <c r="Y193" s="24"/>
    </row>
    <row r="194" customFormat="false" ht="15" hidden="false" customHeight="false" outlineLevel="0" collapsed="false">
      <c r="A194" s="38" t="n">
        <v>0</v>
      </c>
      <c r="B194" s="38" t="s">
        <v>1184</v>
      </c>
      <c r="C194" s="38" t="str">
        <f aca="false">INDEX(C_TAB,MATCH($B194,C_COD,0),2)</f>
        <v>Rueda de chapa y goma Ø400 × 60, buje 1" (carros 70 y 100 kg)</v>
      </c>
      <c r="D194" s="38" t="str">
        <f aca="false">INDEX(C_TAB,MATCH($B194,C_COD,0),3)</f>
        <v>u</v>
      </c>
      <c r="E194" s="38" t="str">
        <f aca="false">INDEX(C_TAB,MATCH($B194,C_COD,0),4)</f>
        <v>Directo</v>
      </c>
      <c r="F194" s="38" t="str">
        <f aca="false">INDEX(C_TAB,MATCH($B194,C_COD,0),5)</f>
        <v>Componente comprado</v>
      </c>
      <c r="G194" s="38" t="str">
        <f aca="false">INDEX(C_TAB,MATCH($B194,C_COD,0),6)</f>
        <v>Rack de insumos de montaje (carros)</v>
      </c>
      <c r="H194" s="38"/>
      <c r="I194" s="38"/>
      <c r="J194" s="39" t="n">
        <f aca="false">SUM(J195:J196)</f>
        <v>56.48286618</v>
      </c>
      <c r="K194" s="39" t="n">
        <f aca="false">SUM(K195:K196)</f>
        <v>93.63943594</v>
      </c>
      <c r="L194" s="39" t="n">
        <f aca="false">SUM(L195:L196)</f>
        <v>122.43366396</v>
      </c>
      <c r="M194" s="39" t="n">
        <f aca="false">SUM(M195:M196)</f>
        <v>163.0477647</v>
      </c>
      <c r="N194" s="39" t="n">
        <f aca="false">SUM(N195:N196)</f>
        <v>253.70160558</v>
      </c>
      <c r="O194" s="39" t="n">
        <f aca="false">SUM(O195:O196)</f>
        <v>341.59517234</v>
      </c>
      <c r="P194" s="39" t="n">
        <f aca="false">SUM(P195:P196)</f>
        <v>438.86917302</v>
      </c>
      <c r="Q194" s="39" t="n">
        <f aca="false">SUM(Q195:Q196)</f>
        <v>543.257873</v>
      </c>
      <c r="R194" s="39" t="n">
        <f aca="false">SUM(R195:R196)</f>
        <v>632.603865</v>
      </c>
      <c r="S194" s="39" t="n">
        <f aca="false">SUM(S195:S196)</f>
        <v>726.1328532</v>
      </c>
      <c r="T194" s="39" t="n">
        <f aca="false">INDEX(J194:S194,INDEX(P_VAL,MATCH("AÑO_DIS",P_ID,0))-2025)</f>
        <v>726.1328532</v>
      </c>
      <c r="U194" s="38" t="str">
        <f aca="false">INDEX(C_TAB,MATCH($B194,C_COD,0),10)</f>
        <v>Atado de 10 u</v>
      </c>
      <c r="V194" s="38" t="n">
        <f aca="false">INDEX(C_TAB,MATCH($B194,C_COD,0),11)</f>
        <v>10</v>
      </c>
      <c r="W194" s="44" t="n">
        <f aca="false">ROUNDUP(T194/V194,0)</f>
        <v>73</v>
      </c>
      <c r="X194" s="38" t="str">
        <f aca="false">INDEX(C_TAB,MATCH($B194,C_COD,0),7)</f>
        <v>Escanort</v>
      </c>
      <c r="Y194" s="38" t="n">
        <f aca="false">INDEX(C_TAB,MATCH($B194,C_COD,0),12)</f>
        <v>15</v>
      </c>
    </row>
    <row r="195" customFormat="false" ht="15" hidden="false" customHeight="false" outlineLevel="1" collapsed="false">
      <c r="A195" s="24" t="n">
        <v>1</v>
      </c>
      <c r="B195" s="24" t="s">
        <v>1184</v>
      </c>
      <c r="C195" s="40" t="s">
        <v>3856</v>
      </c>
      <c r="D195" s="24"/>
      <c r="E195" s="24"/>
      <c r="F195" s="24"/>
      <c r="G195" s="24"/>
      <c r="H195" s="24" t="s">
        <v>244</v>
      </c>
      <c r="I195" s="24" t="s">
        <v>3857</v>
      </c>
      <c r="J195" s="42" t="n">
        <f aca="false">INSUMOS_DIRECTOS_RODANTES!H144</f>
        <v>54.48286618</v>
      </c>
      <c r="K195" s="42" t="n">
        <f aca="false">INSUMOS_DIRECTOS_RODANTES!I144</f>
        <v>93.53943594</v>
      </c>
      <c r="L195" s="42" t="n">
        <f aca="false">INSUMOS_DIRECTOS_RODANTES!J144</f>
        <v>120.33366396</v>
      </c>
      <c r="M195" s="42" t="n">
        <f aca="false">INSUMOS_DIRECTOS_RODANTES!K144</f>
        <v>160.8477647</v>
      </c>
      <c r="N195" s="42" t="n">
        <f aca="false">INSUMOS_DIRECTOS_RODANTES!L144</f>
        <v>249.40160558</v>
      </c>
      <c r="O195" s="42" t="n">
        <f aca="false">INSUMOS_DIRECTOS_RODANTES!M144</f>
        <v>339.09517234</v>
      </c>
      <c r="P195" s="42" t="n">
        <f aca="false">INSUMOS_DIRECTOS_RODANTES!N144</f>
        <v>436.26917302</v>
      </c>
      <c r="Q195" s="42" t="n">
        <f aca="false">INSUMOS_DIRECTOS_RODANTES!O144</f>
        <v>540.557873</v>
      </c>
      <c r="R195" s="42" t="n">
        <f aca="false">INSUMOS_DIRECTOS_RODANTES!P144</f>
        <v>629.803865</v>
      </c>
      <c r="S195" s="42" t="n">
        <f aca="false">INSUMOS_DIRECTOS_RODANTES!Q144</f>
        <v>725.2328532</v>
      </c>
      <c r="T195" s="42" t="n">
        <f aca="false">INDEX(J195:S195,INDEX(P_VAL,MATCH("AÑO_DIS",P_ID,0))-2025)</f>
        <v>725.2328532</v>
      </c>
      <c r="U195" s="24"/>
      <c r="V195" s="24"/>
      <c r="W195" s="24"/>
      <c r="X195" s="24"/>
      <c r="Y195" s="24"/>
    </row>
    <row r="196" customFormat="false" ht="15" hidden="false" customHeight="false" outlineLevel="1" collapsed="false">
      <c r="A196" s="24" t="n">
        <v>1</v>
      </c>
      <c r="B196" s="24" t="s">
        <v>1184</v>
      </c>
      <c r="C196" s="40" t="s">
        <v>3854</v>
      </c>
      <c r="D196" s="24"/>
      <c r="E196" s="24"/>
      <c r="F196" s="24"/>
      <c r="G196" s="24"/>
      <c r="H196" s="24" t="s">
        <v>132</v>
      </c>
      <c r="I196" s="24" t="s">
        <v>3855</v>
      </c>
      <c r="J196" s="42" t="n">
        <f aca="false">INSUMOS_DIRECTOS_RECARGAS!H214</f>
        <v>2</v>
      </c>
      <c r="K196" s="42" t="n">
        <f aca="false">INSUMOS_DIRECTOS_RECARGAS!I214</f>
        <v>0.1</v>
      </c>
      <c r="L196" s="42" t="n">
        <f aca="false">INSUMOS_DIRECTOS_RECARGAS!J214</f>
        <v>2.1</v>
      </c>
      <c r="M196" s="42" t="n">
        <f aca="false">INSUMOS_DIRECTOS_RECARGAS!K214</f>
        <v>2.2</v>
      </c>
      <c r="N196" s="42" t="n">
        <f aca="false">INSUMOS_DIRECTOS_RECARGAS!L214</f>
        <v>4.3</v>
      </c>
      <c r="O196" s="42" t="n">
        <f aca="false">INSUMOS_DIRECTOS_RECARGAS!M214</f>
        <v>2.5</v>
      </c>
      <c r="P196" s="42" t="n">
        <f aca="false">INSUMOS_DIRECTOS_RECARGAS!N214</f>
        <v>2.6</v>
      </c>
      <c r="Q196" s="42" t="n">
        <f aca="false">INSUMOS_DIRECTOS_RECARGAS!O214</f>
        <v>2.7</v>
      </c>
      <c r="R196" s="42" t="n">
        <f aca="false">INSUMOS_DIRECTOS_RECARGAS!P214</f>
        <v>2.8</v>
      </c>
      <c r="S196" s="42" t="n">
        <f aca="false">INSUMOS_DIRECTOS_RECARGAS!Q214</f>
        <v>0.9</v>
      </c>
      <c r="T196" s="42" t="n">
        <f aca="false">INDEX(J196:S196,INDEX(P_VAL,MATCH("AÑO_DIS",P_ID,0))-2025)</f>
        <v>0.9</v>
      </c>
      <c r="U196" s="24"/>
      <c r="V196" s="24"/>
      <c r="W196" s="24"/>
      <c r="X196" s="24"/>
      <c r="Y196" s="24"/>
    </row>
    <row r="197" customFormat="false" ht="15" hidden="false" customHeight="false" outlineLevel="0" collapsed="false">
      <c r="A197" s="38" t="n">
        <v>0</v>
      </c>
      <c r="B197" s="38" t="s">
        <v>577</v>
      </c>
      <c r="C197" s="38" t="str">
        <f aca="false">INDEX(C_TAB,MATCH($B197,C_COD,0),2)</f>
        <v>Etiqueta / placa de características ABC 1 kg</v>
      </c>
      <c r="D197" s="38" t="str">
        <f aca="false">INDEX(C_TAB,MATCH($B197,C_COD,0),3)</f>
        <v>u</v>
      </c>
      <c r="E197" s="38" t="str">
        <f aca="false">INDEX(C_TAB,MATCH($B197,C_COD,0),4)</f>
        <v>Directo</v>
      </c>
      <c r="F197" s="38" t="str">
        <f aca="false">INDEX(C_TAB,MATCH($B197,C_COD,0),5)</f>
        <v>Identificación</v>
      </c>
      <c r="G197" s="38" t="str">
        <f aca="false">INDEX(C_TAB,MATCH($B197,C_COD,0),6)</f>
        <v>Identificación</v>
      </c>
      <c r="H197" s="38"/>
      <c r="I197" s="38"/>
      <c r="J197" s="39" t="n">
        <f aca="false">SUM(J198:J198)</f>
        <v>4178.736543</v>
      </c>
      <c r="K197" s="39" t="n">
        <f aca="false">SUM(K198:K198)</f>
        <v>5997.303977</v>
      </c>
      <c r="L197" s="39" t="n">
        <f aca="false">SUM(L198:L198)</f>
        <v>6851.747758</v>
      </c>
      <c r="M197" s="39" t="n">
        <f aca="false">SUM(M198:M198)</f>
        <v>8467.135549</v>
      </c>
      <c r="N197" s="39" t="n">
        <f aca="false">SUM(N198:N198)</f>
        <v>12680.63271</v>
      </c>
      <c r="O197" s="39" t="n">
        <f aca="false">SUM(O198:O198)</f>
        <v>15620.25307</v>
      </c>
      <c r="P197" s="39" t="n">
        <f aca="false">SUM(P198:P198)</f>
        <v>20332.55326</v>
      </c>
      <c r="Q197" s="39" t="n">
        <f aca="false">SUM(Q198:Q198)</f>
        <v>25132.07848</v>
      </c>
      <c r="R197" s="39" t="n">
        <f aca="false">SUM(R198:R198)</f>
        <v>28573.33614</v>
      </c>
      <c r="S197" s="39" t="n">
        <f aca="false">SUM(S198:S198)</f>
        <v>32072.63913</v>
      </c>
      <c r="T197" s="39" t="n">
        <f aca="false">INDEX(J197:S197,INDEX(P_VAL,MATCH("AÑO_DIS",P_ID,0))-2025)</f>
        <v>32072.63913</v>
      </c>
      <c r="U197" s="38" t="str">
        <f aca="false">INDEX(C_TAB,MATCH($B197,C_COD,0),10)</f>
        <v>Rollo de 1.000 u</v>
      </c>
      <c r="V197" s="38" t="n">
        <f aca="false">INDEX(C_TAB,MATCH($B197,C_COD,0),11)</f>
        <v>1000</v>
      </c>
      <c r="W197" s="44" t="n">
        <f aca="false">ROUNDUP(T197/V197,0)</f>
        <v>33</v>
      </c>
      <c r="X197" s="38" t="str">
        <f aca="false">INDEX(C_TAB,MATCH($B197,C_COD,0),7)</f>
        <v>Astuprint</v>
      </c>
      <c r="Y197" s="38" t="n">
        <f aca="false">INDEX(C_TAB,MATCH($B197,C_COD,0),12)</f>
        <v>10</v>
      </c>
    </row>
    <row r="198" customFormat="false" ht="15" hidden="false" customHeight="false" outlineLevel="1" collapsed="false">
      <c r="A198" s="24" t="n">
        <v>1</v>
      </c>
      <c r="B198" s="24" t="s">
        <v>577</v>
      </c>
      <c r="C198" s="40" t="s">
        <v>3852</v>
      </c>
      <c r="D198" s="24"/>
      <c r="E198" s="24"/>
      <c r="F198" s="24"/>
      <c r="G198" s="24"/>
      <c r="H198" s="24" t="s">
        <v>229</v>
      </c>
      <c r="I198" s="24" t="s">
        <v>3853</v>
      </c>
      <c r="J198" s="42" t="n">
        <f aca="false">INSUMOS_DIRECTOS_MANUALES!H114</f>
        <v>4178.736543</v>
      </c>
      <c r="K198" s="42" t="n">
        <f aca="false">INSUMOS_DIRECTOS_MANUALES!I114</f>
        <v>5997.303977</v>
      </c>
      <c r="L198" s="42" t="n">
        <f aca="false">INSUMOS_DIRECTOS_MANUALES!J114</f>
        <v>6851.747758</v>
      </c>
      <c r="M198" s="42" t="n">
        <f aca="false">INSUMOS_DIRECTOS_MANUALES!K114</f>
        <v>8467.135549</v>
      </c>
      <c r="N198" s="42" t="n">
        <f aca="false">INSUMOS_DIRECTOS_MANUALES!L114</f>
        <v>12680.63271</v>
      </c>
      <c r="O198" s="42" t="n">
        <f aca="false">INSUMOS_DIRECTOS_MANUALES!M114</f>
        <v>15620.25307</v>
      </c>
      <c r="P198" s="42" t="n">
        <f aca="false">INSUMOS_DIRECTOS_MANUALES!N114</f>
        <v>20332.55326</v>
      </c>
      <c r="Q198" s="42" t="n">
        <f aca="false">INSUMOS_DIRECTOS_MANUALES!O114</f>
        <v>25132.07848</v>
      </c>
      <c r="R198" s="42" t="n">
        <f aca="false">INSUMOS_DIRECTOS_MANUALES!P114</f>
        <v>28573.33614</v>
      </c>
      <c r="S198" s="42" t="n">
        <f aca="false">INSUMOS_DIRECTOS_MANUALES!Q114</f>
        <v>32072.63913</v>
      </c>
      <c r="T198" s="42" t="n">
        <f aca="false">INDEX(J198:S198,INDEX(P_VAL,MATCH("AÑO_DIS",P_ID,0))-2025)</f>
        <v>32072.63913</v>
      </c>
      <c r="U198" s="24"/>
      <c r="V198" s="24"/>
      <c r="W198" s="24"/>
      <c r="X198" s="24"/>
      <c r="Y198" s="24"/>
    </row>
    <row r="199" customFormat="false" ht="15" hidden="false" customHeight="false" outlineLevel="0" collapsed="false">
      <c r="A199" s="38" t="n">
        <v>0</v>
      </c>
      <c r="B199" s="38" t="s">
        <v>680</v>
      </c>
      <c r="C199" s="38" t="str">
        <f aca="false">INDEX(C_TAB,MATCH($B199,C_COD,0),2)</f>
        <v>Etiqueta / placa de características ABC 2,5 kg</v>
      </c>
      <c r="D199" s="38" t="str">
        <f aca="false">INDEX(C_TAB,MATCH($B199,C_COD,0),3)</f>
        <v>u</v>
      </c>
      <c r="E199" s="38" t="str">
        <f aca="false">INDEX(C_TAB,MATCH($B199,C_COD,0),4)</f>
        <v>Directo</v>
      </c>
      <c r="F199" s="38" t="str">
        <f aca="false">INDEX(C_TAB,MATCH($B199,C_COD,0),5)</f>
        <v>Identificación</v>
      </c>
      <c r="G199" s="38" t="str">
        <f aca="false">INDEX(C_TAB,MATCH($B199,C_COD,0),6)</f>
        <v>Identificación</v>
      </c>
      <c r="H199" s="38"/>
      <c r="I199" s="38"/>
      <c r="J199" s="39" t="n">
        <f aca="false">SUM(J200:J200)</f>
        <v>295.0303572</v>
      </c>
      <c r="K199" s="39" t="n">
        <f aca="false">SUM(K200:K200)</f>
        <v>709.7274503</v>
      </c>
      <c r="L199" s="39" t="n">
        <f aca="false">SUM(L200:L200)</f>
        <v>986.8680576</v>
      </c>
      <c r="M199" s="39" t="n">
        <f aca="false">SUM(M200:M200)</f>
        <v>1500.638174</v>
      </c>
      <c r="N199" s="39" t="n">
        <f aca="false">SUM(N200:N200)</f>
        <v>2312.627726</v>
      </c>
      <c r="O199" s="39" t="n">
        <f aca="false">SUM(O200:O200)</f>
        <v>3252.869887</v>
      </c>
      <c r="P199" s="39" t="n">
        <f aca="false">SUM(P200:P200)</f>
        <v>4102.315524</v>
      </c>
      <c r="Q199" s="39" t="n">
        <f aca="false">SUM(Q200:Q200)</f>
        <v>5104.306587</v>
      </c>
      <c r="R199" s="39" t="n">
        <f aca="false">SUM(R200:R200)</f>
        <v>6195.186243</v>
      </c>
      <c r="S199" s="39" t="n">
        <f aca="false">SUM(S200:S200)</f>
        <v>7424.858444</v>
      </c>
      <c r="T199" s="39" t="n">
        <f aca="false">INDEX(J199:S199,INDEX(P_VAL,MATCH("AÑO_DIS",P_ID,0))-2025)</f>
        <v>7424.858444</v>
      </c>
      <c r="U199" s="38" t="str">
        <f aca="false">INDEX(C_TAB,MATCH($B199,C_COD,0),10)</f>
        <v>Rollo de 1.000 u</v>
      </c>
      <c r="V199" s="38" t="n">
        <f aca="false">INDEX(C_TAB,MATCH($B199,C_COD,0),11)</f>
        <v>1000</v>
      </c>
      <c r="W199" s="44" t="n">
        <f aca="false">ROUNDUP(T199/V199,0)</f>
        <v>8</v>
      </c>
      <c r="X199" s="38" t="str">
        <f aca="false">INDEX(C_TAB,MATCH($B199,C_COD,0),7)</f>
        <v>Astuprint</v>
      </c>
      <c r="Y199" s="38" t="n">
        <f aca="false">INDEX(C_TAB,MATCH($B199,C_COD,0),12)</f>
        <v>10</v>
      </c>
    </row>
    <row r="200" customFormat="false" ht="15" hidden="false" customHeight="false" outlineLevel="1" collapsed="false">
      <c r="A200" s="24" t="n">
        <v>1</v>
      </c>
      <c r="B200" s="24" t="s">
        <v>680</v>
      </c>
      <c r="C200" s="40" t="s">
        <v>3852</v>
      </c>
      <c r="D200" s="24"/>
      <c r="E200" s="24"/>
      <c r="F200" s="24"/>
      <c r="G200" s="24"/>
      <c r="H200" s="24" t="s">
        <v>229</v>
      </c>
      <c r="I200" s="24" t="s">
        <v>3853</v>
      </c>
      <c r="J200" s="42" t="n">
        <f aca="false">INSUMOS_DIRECTOS_MANUALES!H116</f>
        <v>295.0303572</v>
      </c>
      <c r="K200" s="42" t="n">
        <f aca="false">INSUMOS_DIRECTOS_MANUALES!I116</f>
        <v>709.7274503</v>
      </c>
      <c r="L200" s="42" t="n">
        <f aca="false">INSUMOS_DIRECTOS_MANUALES!J116</f>
        <v>986.8680576</v>
      </c>
      <c r="M200" s="42" t="n">
        <f aca="false">INSUMOS_DIRECTOS_MANUALES!K116</f>
        <v>1500.638174</v>
      </c>
      <c r="N200" s="42" t="n">
        <f aca="false">INSUMOS_DIRECTOS_MANUALES!L116</f>
        <v>2312.627726</v>
      </c>
      <c r="O200" s="42" t="n">
        <f aca="false">INSUMOS_DIRECTOS_MANUALES!M116</f>
        <v>3252.869887</v>
      </c>
      <c r="P200" s="42" t="n">
        <f aca="false">INSUMOS_DIRECTOS_MANUALES!N116</f>
        <v>4102.315524</v>
      </c>
      <c r="Q200" s="42" t="n">
        <f aca="false">INSUMOS_DIRECTOS_MANUALES!O116</f>
        <v>5104.306587</v>
      </c>
      <c r="R200" s="42" t="n">
        <f aca="false">INSUMOS_DIRECTOS_MANUALES!P116</f>
        <v>6195.186243</v>
      </c>
      <c r="S200" s="42" t="n">
        <f aca="false">INSUMOS_DIRECTOS_MANUALES!Q116</f>
        <v>7424.858444</v>
      </c>
      <c r="T200" s="42" t="n">
        <f aca="false">INDEX(J200:S200,INDEX(P_VAL,MATCH("AÑO_DIS",P_ID,0))-2025)</f>
        <v>7424.858444</v>
      </c>
      <c r="U200" s="24"/>
      <c r="V200" s="24"/>
      <c r="W200" s="24"/>
      <c r="X200" s="24"/>
      <c r="Y200" s="24"/>
    </row>
    <row r="201" customFormat="false" ht="15" hidden="false" customHeight="false" outlineLevel="0" collapsed="false">
      <c r="A201" s="38" t="n">
        <v>0</v>
      </c>
      <c r="B201" s="38" t="s">
        <v>771</v>
      </c>
      <c r="C201" s="38" t="str">
        <f aca="false">INDEX(C_TAB,MATCH($B201,C_COD,0),2)</f>
        <v>Etiqueta / placa de características ABC 5 kg</v>
      </c>
      <c r="D201" s="38" t="str">
        <f aca="false">INDEX(C_TAB,MATCH($B201,C_COD,0),3)</f>
        <v>u</v>
      </c>
      <c r="E201" s="38" t="str">
        <f aca="false">INDEX(C_TAB,MATCH($B201,C_COD,0),4)</f>
        <v>Directo</v>
      </c>
      <c r="F201" s="38" t="str">
        <f aca="false">INDEX(C_TAB,MATCH($B201,C_COD,0),5)</f>
        <v>Identificación</v>
      </c>
      <c r="G201" s="38" t="str">
        <f aca="false">INDEX(C_TAB,MATCH($B201,C_COD,0),6)</f>
        <v>Identificación</v>
      </c>
      <c r="H201" s="38"/>
      <c r="I201" s="38"/>
      <c r="J201" s="39" t="n">
        <f aca="false">SUM(J202:J203)</f>
        <v>2772.773025</v>
      </c>
      <c r="K201" s="39" t="n">
        <f aca="false">SUM(K202:K203)</f>
        <v>5647.128881</v>
      </c>
      <c r="L201" s="39" t="n">
        <f aca="false">SUM(L202:L203)</f>
        <v>7409.637591</v>
      </c>
      <c r="M201" s="39" t="n">
        <f aca="false">SUM(M202:M203)</f>
        <v>10776.765313</v>
      </c>
      <c r="N201" s="39" t="n">
        <f aca="false">SUM(N202:N203)</f>
        <v>14880.55694</v>
      </c>
      <c r="O201" s="39" t="n">
        <f aca="false">SUM(O202:O203)</f>
        <v>19187.71411</v>
      </c>
      <c r="P201" s="39" t="n">
        <f aca="false">SUM(P202:P203)</f>
        <v>23069.35984</v>
      </c>
      <c r="Q201" s="39" t="n">
        <f aca="false">SUM(Q202:Q203)</f>
        <v>26354.13637</v>
      </c>
      <c r="R201" s="39" t="n">
        <f aca="false">SUM(R202:R203)</f>
        <v>28874.92455</v>
      </c>
      <c r="S201" s="39" t="n">
        <f aca="false">SUM(S202:S203)</f>
        <v>32700.97872</v>
      </c>
      <c r="T201" s="39" t="n">
        <f aca="false">INDEX(J201:S201,INDEX(P_VAL,MATCH("AÑO_DIS",P_ID,0))-2025)</f>
        <v>32700.97872</v>
      </c>
      <c r="U201" s="38" t="str">
        <f aca="false">INDEX(C_TAB,MATCH($B201,C_COD,0),10)</f>
        <v>Rollo de 1.000 u</v>
      </c>
      <c r="V201" s="38" t="n">
        <f aca="false">INDEX(C_TAB,MATCH($B201,C_COD,0),11)</f>
        <v>1000</v>
      </c>
      <c r="W201" s="44" t="n">
        <f aca="false">ROUNDUP(T201/V201,0)</f>
        <v>33</v>
      </c>
      <c r="X201" s="38" t="str">
        <f aca="false">INDEX(C_TAB,MATCH($B201,C_COD,0),7)</f>
        <v>Astuprint</v>
      </c>
      <c r="Y201" s="38" t="n">
        <f aca="false">INDEX(C_TAB,MATCH($B201,C_COD,0),12)</f>
        <v>10</v>
      </c>
    </row>
    <row r="202" customFormat="false" ht="15" hidden="false" customHeight="false" outlineLevel="1" collapsed="false">
      <c r="A202" s="24" t="n">
        <v>1</v>
      </c>
      <c r="B202" s="24" t="s">
        <v>771</v>
      </c>
      <c r="C202" s="40" t="s">
        <v>3852</v>
      </c>
      <c r="D202" s="24"/>
      <c r="E202" s="24"/>
      <c r="F202" s="24"/>
      <c r="G202" s="24"/>
      <c r="H202" s="24" t="s">
        <v>229</v>
      </c>
      <c r="I202" s="24" t="s">
        <v>3853</v>
      </c>
      <c r="J202" s="42" t="n">
        <f aca="false">INSUMOS_DIRECTOS_MANUALES!H118</f>
        <v>2709.773025</v>
      </c>
      <c r="K202" s="42" t="n">
        <f aca="false">INSUMOS_DIRECTOS_MANUALES!I118</f>
        <v>5424.978881</v>
      </c>
      <c r="L202" s="42" t="n">
        <f aca="false">INSUMOS_DIRECTOS_MANUALES!J118</f>
        <v>7124.537591</v>
      </c>
      <c r="M202" s="42" t="n">
        <f aca="false">INSUMOS_DIRECTOS_MANUALES!K118</f>
        <v>10277.115313</v>
      </c>
      <c r="N202" s="42" t="n">
        <f aca="false">INSUMOS_DIRECTOS_MANUALES!L118</f>
        <v>14339.30694</v>
      </c>
      <c r="O202" s="42" t="n">
        <f aca="false">INSUMOS_DIRECTOS_MANUALES!M118</f>
        <v>18554.96411</v>
      </c>
      <c r="P202" s="42" t="n">
        <f aca="false">INSUMOS_DIRECTOS_MANUALES!N118</f>
        <v>22458.75984</v>
      </c>
      <c r="Q202" s="42" t="n">
        <f aca="false">INSUMOS_DIRECTOS_MANUALES!O118</f>
        <v>25860.18637</v>
      </c>
      <c r="R202" s="42" t="n">
        <f aca="false">INSUMOS_DIRECTOS_MANUALES!P118</f>
        <v>28507.72455</v>
      </c>
      <c r="S202" s="42" t="n">
        <f aca="false">INSUMOS_DIRECTOS_MANUALES!Q118</f>
        <v>32318.77872</v>
      </c>
      <c r="T202" s="42" t="n">
        <f aca="false">INDEX(J202:S202,INDEX(P_VAL,MATCH("AÑO_DIS",P_ID,0))-2025)</f>
        <v>32318.77872</v>
      </c>
      <c r="U202" s="24"/>
      <c r="V202" s="24"/>
      <c r="W202" s="24"/>
      <c r="X202" s="24"/>
      <c r="Y202" s="24"/>
    </row>
    <row r="203" customFormat="false" ht="15" hidden="false" customHeight="false" outlineLevel="1" collapsed="false">
      <c r="A203" s="24" t="n">
        <v>1</v>
      </c>
      <c r="B203" s="24" t="s">
        <v>771</v>
      </c>
      <c r="C203" s="40" t="s">
        <v>3854</v>
      </c>
      <c r="D203" s="24"/>
      <c r="E203" s="24"/>
      <c r="F203" s="24"/>
      <c r="G203" s="24"/>
      <c r="H203" s="24" t="s">
        <v>132</v>
      </c>
      <c r="I203" s="24" t="s">
        <v>3855</v>
      </c>
      <c r="J203" s="42" t="n">
        <f aca="false">INSUMOS_DIRECTOS_RECARGAS!H216</f>
        <v>63</v>
      </c>
      <c r="K203" s="42" t="n">
        <f aca="false">INSUMOS_DIRECTOS_RECARGAS!I216</f>
        <v>222.15</v>
      </c>
      <c r="L203" s="42" t="n">
        <f aca="false">INSUMOS_DIRECTOS_RECARGAS!J216</f>
        <v>285.1</v>
      </c>
      <c r="M203" s="42" t="n">
        <f aca="false">INSUMOS_DIRECTOS_RECARGAS!K216</f>
        <v>499.65</v>
      </c>
      <c r="N203" s="42" t="n">
        <f aca="false">INSUMOS_DIRECTOS_RECARGAS!L216</f>
        <v>541.25</v>
      </c>
      <c r="O203" s="42" t="n">
        <f aca="false">INSUMOS_DIRECTOS_RECARGAS!M216</f>
        <v>632.75</v>
      </c>
      <c r="P203" s="42" t="n">
        <f aca="false">INSUMOS_DIRECTOS_RECARGAS!N216</f>
        <v>610.6</v>
      </c>
      <c r="Q203" s="42" t="n">
        <f aca="false">INSUMOS_DIRECTOS_RECARGAS!O216</f>
        <v>493.95</v>
      </c>
      <c r="R203" s="42" t="n">
        <f aca="false">INSUMOS_DIRECTOS_RECARGAS!P216</f>
        <v>367.2</v>
      </c>
      <c r="S203" s="42" t="n">
        <f aca="false">INSUMOS_DIRECTOS_RECARGAS!Q216</f>
        <v>382.2</v>
      </c>
      <c r="T203" s="42" t="n">
        <f aca="false">INDEX(J203:S203,INDEX(P_VAL,MATCH("AÑO_DIS",P_ID,0))-2025)</f>
        <v>382.2</v>
      </c>
      <c r="U203" s="24"/>
      <c r="V203" s="24"/>
      <c r="W203" s="24"/>
      <c r="X203" s="24"/>
      <c r="Y203" s="24"/>
    </row>
    <row r="204" customFormat="false" ht="15" hidden="false" customHeight="false" outlineLevel="0" collapsed="false">
      <c r="A204" s="38" t="n">
        <v>0</v>
      </c>
      <c r="B204" s="38" t="s">
        <v>855</v>
      </c>
      <c r="C204" s="38" t="str">
        <f aca="false">INDEX(C_TAB,MATCH($B204,C_COD,0),2)</f>
        <v>Etiqueta / placa de características ABC 10 kg</v>
      </c>
      <c r="D204" s="38" t="str">
        <f aca="false">INDEX(C_TAB,MATCH($B204,C_COD,0),3)</f>
        <v>u</v>
      </c>
      <c r="E204" s="38" t="str">
        <f aca="false">INDEX(C_TAB,MATCH($B204,C_COD,0),4)</f>
        <v>Directo</v>
      </c>
      <c r="F204" s="38" t="str">
        <f aca="false">INDEX(C_TAB,MATCH($B204,C_COD,0),5)</f>
        <v>Identificación</v>
      </c>
      <c r="G204" s="38" t="str">
        <f aca="false">INDEX(C_TAB,MATCH($B204,C_COD,0),6)</f>
        <v>Identificación</v>
      </c>
      <c r="H204" s="38"/>
      <c r="I204" s="38"/>
      <c r="J204" s="39" t="n">
        <f aca="false">SUM(J205:J206)</f>
        <v>93.83318153</v>
      </c>
      <c r="K204" s="39" t="n">
        <f aca="false">SUM(K205:K206)</f>
        <v>180.3472967</v>
      </c>
      <c r="L204" s="39" t="n">
        <f aca="false">SUM(L205:L206)</f>
        <v>260.2287798</v>
      </c>
      <c r="M204" s="39" t="n">
        <f aca="false">SUM(M205:M206)</f>
        <v>368.6204941</v>
      </c>
      <c r="N204" s="39" t="n">
        <f aca="false">SUM(N205:N206)</f>
        <v>612.8181519</v>
      </c>
      <c r="O204" s="39" t="n">
        <f aca="false">SUM(O205:O206)</f>
        <v>885.155032</v>
      </c>
      <c r="P204" s="39" t="n">
        <f aca="false">SUM(P205:P206)</f>
        <v>1138.260545</v>
      </c>
      <c r="Q204" s="39" t="n">
        <f aca="false">SUM(Q205:Q206)</f>
        <v>1402.994812</v>
      </c>
      <c r="R204" s="39" t="n">
        <f aca="false">SUM(R205:R206)</f>
        <v>1620.150054</v>
      </c>
      <c r="S204" s="39" t="n">
        <f aca="false">SUM(S205:S206)</f>
        <v>1847.898079</v>
      </c>
      <c r="T204" s="39" t="n">
        <f aca="false">INDEX(J204:S204,INDEX(P_VAL,MATCH("AÑO_DIS",P_ID,0))-2025)</f>
        <v>1847.898079</v>
      </c>
      <c r="U204" s="38" t="str">
        <f aca="false">INDEX(C_TAB,MATCH($B204,C_COD,0),10)</f>
        <v>Rollo de 1.000 u</v>
      </c>
      <c r="V204" s="38" t="n">
        <f aca="false">INDEX(C_TAB,MATCH($B204,C_COD,0),11)</f>
        <v>1000</v>
      </c>
      <c r="W204" s="44" t="n">
        <f aca="false">ROUNDUP(T204/V204,0)</f>
        <v>2</v>
      </c>
      <c r="X204" s="38" t="str">
        <f aca="false">INDEX(C_TAB,MATCH($B204,C_COD,0),7)</f>
        <v>Astuprint</v>
      </c>
      <c r="Y204" s="38" t="n">
        <f aca="false">INDEX(C_TAB,MATCH($B204,C_COD,0),12)</f>
        <v>10</v>
      </c>
    </row>
    <row r="205" customFormat="false" ht="15" hidden="false" customHeight="false" outlineLevel="1" collapsed="false">
      <c r="A205" s="24" t="n">
        <v>1</v>
      </c>
      <c r="B205" s="24" t="s">
        <v>855</v>
      </c>
      <c r="C205" s="40" t="s">
        <v>3852</v>
      </c>
      <c r="D205" s="24"/>
      <c r="E205" s="24"/>
      <c r="F205" s="24"/>
      <c r="G205" s="24"/>
      <c r="H205" s="24" t="s">
        <v>229</v>
      </c>
      <c r="I205" s="24" t="s">
        <v>3853</v>
      </c>
      <c r="J205" s="42" t="n">
        <f aca="false">INSUMOS_DIRECTOS_MANUALES!H120</f>
        <v>91.83318153</v>
      </c>
      <c r="K205" s="42" t="n">
        <f aca="false">INSUMOS_DIRECTOS_MANUALES!I120</f>
        <v>177.2472967</v>
      </c>
      <c r="L205" s="42" t="n">
        <f aca="false">INSUMOS_DIRECTOS_MANUALES!J120</f>
        <v>252.9787798</v>
      </c>
      <c r="M205" s="42" t="n">
        <f aca="false">INSUMOS_DIRECTOS_MANUALES!K120</f>
        <v>358.0204941</v>
      </c>
      <c r="N205" s="42" t="n">
        <f aca="false">INSUMOS_DIRECTOS_MANUALES!L120</f>
        <v>602.7181519</v>
      </c>
      <c r="O205" s="42" t="n">
        <f aca="false">INSUMOS_DIRECTOS_MANUALES!M120</f>
        <v>872.605032</v>
      </c>
      <c r="P205" s="42" t="n">
        <f aca="false">INSUMOS_DIRECTOS_MANUALES!N120</f>
        <v>1127.160545</v>
      </c>
      <c r="Q205" s="42" t="n">
        <f aca="false">INSUMOS_DIRECTOS_MANUALES!O120</f>
        <v>1395.444812</v>
      </c>
      <c r="R205" s="42" t="n">
        <f aca="false">INSUMOS_DIRECTOS_MANUALES!P120</f>
        <v>1612.350054</v>
      </c>
      <c r="S205" s="42" t="n">
        <f aca="false">INSUMOS_DIRECTOS_MANUALES!Q120</f>
        <v>1840.848079</v>
      </c>
      <c r="T205" s="42" t="n">
        <f aca="false">INDEX(J205:S205,INDEX(P_VAL,MATCH("AÑO_DIS",P_ID,0))-2025)</f>
        <v>1840.848079</v>
      </c>
      <c r="U205" s="24"/>
      <c r="V205" s="24"/>
      <c r="W205" s="24"/>
      <c r="X205" s="24"/>
      <c r="Y205" s="24"/>
    </row>
    <row r="206" customFormat="false" ht="15" hidden="false" customHeight="false" outlineLevel="1" collapsed="false">
      <c r="A206" s="24" t="n">
        <v>1</v>
      </c>
      <c r="B206" s="24" t="s">
        <v>855</v>
      </c>
      <c r="C206" s="40" t="s">
        <v>3854</v>
      </c>
      <c r="D206" s="24"/>
      <c r="E206" s="24"/>
      <c r="F206" s="24"/>
      <c r="G206" s="24"/>
      <c r="H206" s="24" t="s">
        <v>132</v>
      </c>
      <c r="I206" s="24" t="s">
        <v>3855</v>
      </c>
      <c r="J206" s="42" t="n">
        <f aca="false">INSUMOS_DIRECTOS_RECARGAS!H218</f>
        <v>2</v>
      </c>
      <c r="K206" s="42" t="n">
        <f aca="false">INSUMOS_DIRECTOS_RECARGAS!I218</f>
        <v>3.1</v>
      </c>
      <c r="L206" s="42" t="n">
        <f aca="false">INSUMOS_DIRECTOS_RECARGAS!J218</f>
        <v>7.25</v>
      </c>
      <c r="M206" s="42" t="n">
        <f aca="false">INSUMOS_DIRECTOS_RECARGAS!K218</f>
        <v>10.6</v>
      </c>
      <c r="N206" s="42" t="n">
        <f aca="false">INSUMOS_DIRECTOS_RECARGAS!L218</f>
        <v>10.1</v>
      </c>
      <c r="O206" s="42" t="n">
        <f aca="false">INSUMOS_DIRECTOS_RECARGAS!M218</f>
        <v>12.55</v>
      </c>
      <c r="P206" s="42" t="n">
        <f aca="false">INSUMOS_DIRECTOS_RECARGAS!N218</f>
        <v>11.1</v>
      </c>
      <c r="Q206" s="42" t="n">
        <f aca="false">INSUMOS_DIRECTOS_RECARGAS!O218</f>
        <v>7.55</v>
      </c>
      <c r="R206" s="42" t="n">
        <f aca="false">INSUMOS_DIRECTOS_RECARGAS!P218</f>
        <v>7.8</v>
      </c>
      <c r="S206" s="42" t="n">
        <f aca="false">INSUMOS_DIRECTOS_RECARGAS!Q218</f>
        <v>7.05</v>
      </c>
      <c r="T206" s="42" t="n">
        <f aca="false">INDEX(J206:S206,INDEX(P_VAL,MATCH("AÑO_DIS",P_ID,0))-2025)</f>
        <v>7.05</v>
      </c>
      <c r="U206" s="24"/>
      <c r="V206" s="24"/>
      <c r="W206" s="24"/>
      <c r="X206" s="24"/>
      <c r="Y206" s="24"/>
    </row>
    <row r="207" customFormat="false" ht="15" hidden="false" customHeight="false" outlineLevel="0" collapsed="false">
      <c r="A207" s="38" t="n">
        <v>0</v>
      </c>
      <c r="B207" s="38" t="s">
        <v>993</v>
      </c>
      <c r="C207" s="38" t="str">
        <f aca="false">INDEX(C_TAB,MATCH($B207,C_COD,0),2)</f>
        <v>Etiqueta / placa de características ABC 25 kg</v>
      </c>
      <c r="D207" s="38" t="str">
        <f aca="false">INDEX(C_TAB,MATCH($B207,C_COD,0),3)</f>
        <v>u</v>
      </c>
      <c r="E207" s="38" t="str">
        <f aca="false">INDEX(C_TAB,MATCH($B207,C_COD,0),4)</f>
        <v>Directo</v>
      </c>
      <c r="F207" s="38" t="str">
        <f aca="false">INDEX(C_TAB,MATCH($B207,C_COD,0),5)</f>
        <v>Identificación</v>
      </c>
      <c r="G207" s="38" t="str">
        <f aca="false">INDEX(C_TAB,MATCH($B207,C_COD,0),6)</f>
        <v>Identificación</v>
      </c>
      <c r="H207" s="38"/>
      <c r="I207" s="38"/>
      <c r="J207" s="39" t="n">
        <f aca="false">SUM(J208:J208)</f>
        <v>34.05179136</v>
      </c>
      <c r="K207" s="39" t="n">
        <f aca="false">SUM(K208:K208)</f>
        <v>58.46214745</v>
      </c>
      <c r="L207" s="39" t="n">
        <f aca="false">SUM(L208:L208)</f>
        <v>75.20853998</v>
      </c>
      <c r="M207" s="39" t="n">
        <f aca="false">SUM(M208:M208)</f>
        <v>100.5298529</v>
      </c>
      <c r="N207" s="39" t="n">
        <f aca="false">SUM(N208:N208)</f>
        <v>155.8760035</v>
      </c>
      <c r="O207" s="39" t="n">
        <f aca="false">SUM(O208:O208)</f>
        <v>211.9344827</v>
      </c>
      <c r="P207" s="39" t="n">
        <f aca="false">SUM(P208:P208)</f>
        <v>272.6682332</v>
      </c>
      <c r="Q207" s="39" t="n">
        <f aca="false">SUM(Q208:Q208)</f>
        <v>337.8486707</v>
      </c>
      <c r="R207" s="39" t="n">
        <f aca="false">SUM(R208:R208)</f>
        <v>393.6274156</v>
      </c>
      <c r="S207" s="39" t="n">
        <f aca="false">SUM(S208:S208)</f>
        <v>453.2705332</v>
      </c>
      <c r="T207" s="39" t="n">
        <f aca="false">INDEX(J207:S207,INDEX(P_VAL,MATCH("AÑO_DIS",P_ID,0))-2025)</f>
        <v>453.2705332</v>
      </c>
      <c r="U207" s="38" t="str">
        <f aca="false">INDEX(C_TAB,MATCH($B207,C_COD,0),10)</f>
        <v>Rollo de 1.000 u</v>
      </c>
      <c r="V207" s="38" t="n">
        <f aca="false">INDEX(C_TAB,MATCH($B207,C_COD,0),11)</f>
        <v>1000</v>
      </c>
      <c r="W207" s="44" t="n">
        <f aca="false">ROUNDUP(T207/V207,0)</f>
        <v>1</v>
      </c>
      <c r="X207" s="38" t="str">
        <f aca="false">INDEX(C_TAB,MATCH($B207,C_COD,0),7)</f>
        <v>Astuprint</v>
      </c>
      <c r="Y207" s="38" t="n">
        <f aca="false">INDEX(C_TAB,MATCH($B207,C_COD,0),12)</f>
        <v>10</v>
      </c>
    </row>
    <row r="208" customFormat="false" ht="15" hidden="false" customHeight="false" outlineLevel="1" collapsed="false">
      <c r="A208" s="24" t="n">
        <v>1</v>
      </c>
      <c r="B208" s="24" t="s">
        <v>993</v>
      </c>
      <c r="C208" s="40" t="s">
        <v>3856</v>
      </c>
      <c r="D208" s="24"/>
      <c r="E208" s="24"/>
      <c r="F208" s="24"/>
      <c r="G208" s="24"/>
      <c r="H208" s="24" t="s">
        <v>244</v>
      </c>
      <c r="I208" s="24" t="s">
        <v>3857</v>
      </c>
      <c r="J208" s="42" t="n">
        <f aca="false">INSUMOS_DIRECTOS_RODANTES!H147</f>
        <v>34.05179136</v>
      </c>
      <c r="K208" s="42" t="n">
        <f aca="false">INSUMOS_DIRECTOS_RODANTES!I147</f>
        <v>58.46214745</v>
      </c>
      <c r="L208" s="42" t="n">
        <f aca="false">INSUMOS_DIRECTOS_RODANTES!J147</f>
        <v>75.20853998</v>
      </c>
      <c r="M208" s="42" t="n">
        <f aca="false">INSUMOS_DIRECTOS_RODANTES!K147</f>
        <v>100.5298529</v>
      </c>
      <c r="N208" s="42" t="n">
        <f aca="false">INSUMOS_DIRECTOS_RODANTES!L147</f>
        <v>155.8760035</v>
      </c>
      <c r="O208" s="42" t="n">
        <f aca="false">INSUMOS_DIRECTOS_RODANTES!M147</f>
        <v>211.9344827</v>
      </c>
      <c r="P208" s="42" t="n">
        <f aca="false">INSUMOS_DIRECTOS_RODANTES!N147</f>
        <v>272.6682332</v>
      </c>
      <c r="Q208" s="42" t="n">
        <f aca="false">INSUMOS_DIRECTOS_RODANTES!O147</f>
        <v>337.8486707</v>
      </c>
      <c r="R208" s="42" t="n">
        <f aca="false">INSUMOS_DIRECTOS_RODANTES!P147</f>
        <v>393.6274156</v>
      </c>
      <c r="S208" s="42" t="n">
        <f aca="false">INSUMOS_DIRECTOS_RODANTES!Q147</f>
        <v>453.2705332</v>
      </c>
      <c r="T208" s="42" t="n">
        <f aca="false">INDEX(J208:S208,INDEX(P_VAL,MATCH("AÑO_DIS",P_ID,0))-2025)</f>
        <v>453.2705332</v>
      </c>
      <c r="U208" s="24"/>
      <c r="V208" s="24"/>
      <c r="W208" s="24"/>
      <c r="X208" s="24"/>
      <c r="Y208" s="24"/>
    </row>
    <row r="209" customFormat="false" ht="15" hidden="false" customHeight="false" outlineLevel="0" collapsed="false">
      <c r="A209" s="38" t="n">
        <v>0</v>
      </c>
      <c r="B209" s="38" t="s">
        <v>1098</v>
      </c>
      <c r="C209" s="38" t="str">
        <f aca="false">INDEX(C_TAB,MATCH($B209,C_COD,0),2)</f>
        <v>Etiqueta / placa de características ABC 50 kg</v>
      </c>
      <c r="D209" s="38" t="str">
        <f aca="false">INDEX(C_TAB,MATCH($B209,C_COD,0),3)</f>
        <v>u</v>
      </c>
      <c r="E209" s="38" t="str">
        <f aca="false">INDEX(C_TAB,MATCH($B209,C_COD,0),4)</f>
        <v>Directo</v>
      </c>
      <c r="F209" s="38" t="str">
        <f aca="false">INDEX(C_TAB,MATCH($B209,C_COD,0),5)</f>
        <v>Identificación</v>
      </c>
      <c r="G209" s="38" t="str">
        <f aca="false">INDEX(C_TAB,MATCH($B209,C_COD,0),6)</f>
        <v>Identificación</v>
      </c>
      <c r="H209" s="38"/>
      <c r="I209" s="38"/>
      <c r="J209" s="39" t="n">
        <f aca="false">SUM(J210:J211)</f>
        <v>75.913941</v>
      </c>
      <c r="K209" s="39" t="n">
        <f aca="false">SUM(K210:K211)</f>
        <v>130.6667244</v>
      </c>
      <c r="L209" s="39" t="n">
        <f aca="false">SUM(L210:L211)</f>
        <v>169.608788</v>
      </c>
      <c r="M209" s="39" t="n">
        <f aca="false">SUM(M210:M211)</f>
        <v>226.5156765</v>
      </c>
      <c r="N209" s="39" t="n">
        <f aca="false">SUM(N210:N211)</f>
        <v>348.5272077</v>
      </c>
      <c r="O209" s="39" t="n">
        <f aca="false">SUM(O210:O211)</f>
        <v>473.105862</v>
      </c>
      <c r="P209" s="39" t="n">
        <f aca="false">SUM(P210:P211)</f>
        <v>606.0201129</v>
      </c>
      <c r="Q209" s="39" t="n">
        <f aca="false">SUM(Q210:Q211)</f>
        <v>747.6670756</v>
      </c>
      <c r="R209" s="39" t="n">
        <f aca="false">SUM(R210:R211)</f>
        <v>870.5303143</v>
      </c>
      <c r="S209" s="39" t="n">
        <f aca="false">SUM(S210:S211)</f>
        <v>1000.8951731</v>
      </c>
      <c r="T209" s="39" t="n">
        <f aca="false">INDEX(J209:S209,INDEX(P_VAL,MATCH("AÑO_DIS",P_ID,0))-2025)</f>
        <v>1000.8951731</v>
      </c>
      <c r="U209" s="38" t="str">
        <f aca="false">INDEX(C_TAB,MATCH($B209,C_COD,0),10)</f>
        <v>Rollo de 1.000 u</v>
      </c>
      <c r="V209" s="38" t="n">
        <f aca="false">INDEX(C_TAB,MATCH($B209,C_COD,0),11)</f>
        <v>1000</v>
      </c>
      <c r="W209" s="44" t="n">
        <f aca="false">ROUNDUP(T209/V209,0)</f>
        <v>2</v>
      </c>
      <c r="X209" s="38" t="str">
        <f aca="false">INDEX(C_TAB,MATCH($B209,C_COD,0),7)</f>
        <v>Astuprint</v>
      </c>
      <c r="Y209" s="38" t="n">
        <f aca="false">INDEX(C_TAB,MATCH($B209,C_COD,0),12)</f>
        <v>10</v>
      </c>
    </row>
    <row r="210" customFormat="false" ht="15" hidden="false" customHeight="false" outlineLevel="1" collapsed="false">
      <c r="A210" s="24" t="n">
        <v>1</v>
      </c>
      <c r="B210" s="24" t="s">
        <v>1098</v>
      </c>
      <c r="C210" s="40" t="s">
        <v>3856</v>
      </c>
      <c r="D210" s="24"/>
      <c r="E210" s="24"/>
      <c r="F210" s="24"/>
      <c r="G210" s="24"/>
      <c r="H210" s="24" t="s">
        <v>244</v>
      </c>
      <c r="I210" s="24" t="s">
        <v>3857</v>
      </c>
      <c r="J210" s="42" t="n">
        <f aca="false">INSUMOS_DIRECTOS_RODANTES!H149</f>
        <v>74.913941</v>
      </c>
      <c r="K210" s="42" t="n">
        <f aca="false">INSUMOS_DIRECTOS_RODANTES!I149</f>
        <v>128.6167244</v>
      </c>
      <c r="L210" s="42" t="n">
        <f aca="false">INSUMOS_DIRECTOS_RODANTES!J149</f>
        <v>165.458788</v>
      </c>
      <c r="M210" s="42" t="n">
        <f aca="false">INSUMOS_DIRECTOS_RODANTES!K149</f>
        <v>221.1656765</v>
      </c>
      <c r="N210" s="42" t="n">
        <f aca="false">INSUMOS_DIRECTOS_RODANTES!L149</f>
        <v>342.9272077</v>
      </c>
      <c r="O210" s="42" t="n">
        <f aca="false">INSUMOS_DIRECTOS_RODANTES!M149</f>
        <v>466.255862</v>
      </c>
      <c r="P210" s="42" t="n">
        <f aca="false">INSUMOS_DIRECTOS_RODANTES!N149</f>
        <v>599.8701129</v>
      </c>
      <c r="Q210" s="42" t="n">
        <f aca="false">INSUMOS_DIRECTOS_RODANTES!O149</f>
        <v>743.2670756</v>
      </c>
      <c r="R210" s="42" t="n">
        <f aca="false">INSUMOS_DIRECTOS_RODANTES!P149</f>
        <v>865.9803143</v>
      </c>
      <c r="S210" s="42" t="n">
        <f aca="false">INSUMOS_DIRECTOS_RODANTES!Q149</f>
        <v>997.1951731</v>
      </c>
      <c r="T210" s="42" t="n">
        <f aca="false">INDEX(J210:S210,INDEX(P_VAL,MATCH("AÑO_DIS",P_ID,0))-2025)</f>
        <v>997.1951731</v>
      </c>
      <c r="U210" s="24"/>
      <c r="V210" s="24"/>
      <c r="W210" s="24"/>
      <c r="X210" s="24"/>
      <c r="Y210" s="24"/>
    </row>
    <row r="211" customFormat="false" ht="15" hidden="false" customHeight="false" outlineLevel="1" collapsed="false">
      <c r="A211" s="24" t="n">
        <v>1</v>
      </c>
      <c r="B211" s="24" t="s">
        <v>1098</v>
      </c>
      <c r="C211" s="40" t="s">
        <v>3854</v>
      </c>
      <c r="D211" s="24"/>
      <c r="E211" s="24"/>
      <c r="F211" s="24"/>
      <c r="G211" s="24"/>
      <c r="H211" s="24" t="s">
        <v>132</v>
      </c>
      <c r="I211" s="24" t="s">
        <v>3855</v>
      </c>
      <c r="J211" s="42" t="n">
        <f aca="false">INSUMOS_DIRECTOS_RECARGAS!H220</f>
        <v>1</v>
      </c>
      <c r="K211" s="42" t="n">
        <f aca="false">INSUMOS_DIRECTOS_RECARGAS!I220</f>
        <v>2.05</v>
      </c>
      <c r="L211" s="42" t="n">
        <f aca="false">INSUMOS_DIRECTOS_RECARGAS!J220</f>
        <v>4.15</v>
      </c>
      <c r="M211" s="42" t="n">
        <f aca="false">INSUMOS_DIRECTOS_RECARGAS!K220</f>
        <v>5.35</v>
      </c>
      <c r="N211" s="42" t="n">
        <f aca="false">INSUMOS_DIRECTOS_RECARGAS!L220</f>
        <v>5.6</v>
      </c>
      <c r="O211" s="42" t="n">
        <f aca="false">INSUMOS_DIRECTOS_RECARGAS!M220</f>
        <v>6.85</v>
      </c>
      <c r="P211" s="42" t="n">
        <f aca="false">INSUMOS_DIRECTOS_RECARGAS!N220</f>
        <v>6.15</v>
      </c>
      <c r="Q211" s="42" t="n">
        <f aca="false">INSUMOS_DIRECTOS_RECARGAS!O220</f>
        <v>4.4</v>
      </c>
      <c r="R211" s="42" t="n">
        <f aca="false">INSUMOS_DIRECTOS_RECARGAS!P220</f>
        <v>4.55</v>
      </c>
      <c r="S211" s="42" t="n">
        <f aca="false">INSUMOS_DIRECTOS_RECARGAS!Q220</f>
        <v>3.7</v>
      </c>
      <c r="T211" s="42" t="n">
        <f aca="false">INDEX(J211:S211,INDEX(P_VAL,MATCH("AÑO_DIS",P_ID,0))-2025)</f>
        <v>3.7</v>
      </c>
      <c r="U211" s="24"/>
      <c r="V211" s="24"/>
      <c r="W211" s="24"/>
      <c r="X211" s="24"/>
      <c r="Y211" s="24"/>
    </row>
    <row r="212" customFormat="false" ht="15" hidden="false" customHeight="false" outlineLevel="0" collapsed="false">
      <c r="A212" s="38" t="n">
        <v>0</v>
      </c>
      <c r="B212" s="38" t="s">
        <v>1205</v>
      </c>
      <c r="C212" s="38" t="str">
        <f aca="false">INDEX(C_TAB,MATCH($B212,C_COD,0),2)</f>
        <v>Etiqueta / placa de características ABC 70 kg</v>
      </c>
      <c r="D212" s="38" t="str">
        <f aca="false">INDEX(C_TAB,MATCH($B212,C_COD,0),3)</f>
        <v>u</v>
      </c>
      <c r="E212" s="38" t="str">
        <f aca="false">INDEX(C_TAB,MATCH($B212,C_COD,0),4)</f>
        <v>Directo</v>
      </c>
      <c r="F212" s="38" t="str">
        <f aca="false">INDEX(C_TAB,MATCH($B212,C_COD,0),5)</f>
        <v>Identificación</v>
      </c>
      <c r="G212" s="38" t="str">
        <f aca="false">INDEX(C_TAB,MATCH($B212,C_COD,0),6)</f>
        <v>Identificación</v>
      </c>
      <c r="H212" s="38"/>
      <c r="I212" s="38"/>
      <c r="J212" s="39" t="n">
        <f aca="false">SUM(J213:J213)</f>
        <v>16.34485985</v>
      </c>
      <c r="K212" s="39" t="n">
        <f aca="false">SUM(K213:K213)</f>
        <v>28.06183078</v>
      </c>
      <c r="L212" s="39" t="n">
        <f aca="false">SUM(L213:L213)</f>
        <v>36.10009919</v>
      </c>
      <c r="M212" s="39" t="n">
        <f aca="false">SUM(M213:M213)</f>
        <v>48.25432941</v>
      </c>
      <c r="N212" s="39" t="n">
        <f aca="false">SUM(N213:N213)</f>
        <v>74.82048167</v>
      </c>
      <c r="O212" s="39" t="n">
        <f aca="false">SUM(O213:O213)</f>
        <v>101.7285517</v>
      </c>
      <c r="P212" s="39" t="n">
        <f aca="false">SUM(P213:P213)</f>
        <v>130.8807519</v>
      </c>
      <c r="Q212" s="39" t="n">
        <f aca="false">SUM(Q213:Q213)</f>
        <v>162.1673619</v>
      </c>
      <c r="R212" s="39" t="n">
        <f aca="false">SUM(R213:R213)</f>
        <v>188.9411595</v>
      </c>
      <c r="S212" s="39" t="n">
        <f aca="false">SUM(S213:S213)</f>
        <v>217.569856</v>
      </c>
      <c r="T212" s="39" t="n">
        <f aca="false">INDEX(J212:S212,INDEX(P_VAL,MATCH("AÑO_DIS",P_ID,0))-2025)</f>
        <v>217.569856</v>
      </c>
      <c r="U212" s="38" t="str">
        <f aca="false">INDEX(C_TAB,MATCH($B212,C_COD,0),10)</f>
        <v>Rollo de 1.000 u</v>
      </c>
      <c r="V212" s="38" t="n">
        <f aca="false">INDEX(C_TAB,MATCH($B212,C_COD,0),11)</f>
        <v>1000</v>
      </c>
      <c r="W212" s="44" t="n">
        <f aca="false">ROUNDUP(T212/V212,0)</f>
        <v>1</v>
      </c>
      <c r="X212" s="38" t="str">
        <f aca="false">INDEX(C_TAB,MATCH($B212,C_COD,0),7)</f>
        <v>Astuprint</v>
      </c>
      <c r="Y212" s="38" t="n">
        <f aca="false">INDEX(C_TAB,MATCH($B212,C_COD,0),12)</f>
        <v>10</v>
      </c>
    </row>
    <row r="213" customFormat="false" ht="15" hidden="false" customHeight="false" outlineLevel="1" collapsed="false">
      <c r="A213" s="24" t="n">
        <v>1</v>
      </c>
      <c r="B213" s="24" t="s">
        <v>1205</v>
      </c>
      <c r="C213" s="40" t="s">
        <v>3856</v>
      </c>
      <c r="D213" s="24"/>
      <c r="E213" s="24"/>
      <c r="F213" s="24"/>
      <c r="G213" s="24"/>
      <c r="H213" s="24" t="s">
        <v>244</v>
      </c>
      <c r="I213" s="24" t="s">
        <v>3857</v>
      </c>
      <c r="J213" s="42" t="n">
        <f aca="false">INSUMOS_DIRECTOS_RODANTES!H151</f>
        <v>16.34485985</v>
      </c>
      <c r="K213" s="42" t="n">
        <f aca="false">INSUMOS_DIRECTOS_RODANTES!I151</f>
        <v>28.06183078</v>
      </c>
      <c r="L213" s="42" t="n">
        <f aca="false">INSUMOS_DIRECTOS_RODANTES!J151</f>
        <v>36.10009919</v>
      </c>
      <c r="M213" s="42" t="n">
        <f aca="false">INSUMOS_DIRECTOS_RODANTES!K151</f>
        <v>48.25432941</v>
      </c>
      <c r="N213" s="42" t="n">
        <f aca="false">INSUMOS_DIRECTOS_RODANTES!L151</f>
        <v>74.82048167</v>
      </c>
      <c r="O213" s="42" t="n">
        <f aca="false">INSUMOS_DIRECTOS_RODANTES!M151</f>
        <v>101.7285517</v>
      </c>
      <c r="P213" s="42" t="n">
        <f aca="false">INSUMOS_DIRECTOS_RODANTES!N151</f>
        <v>130.8807519</v>
      </c>
      <c r="Q213" s="42" t="n">
        <f aca="false">INSUMOS_DIRECTOS_RODANTES!O151</f>
        <v>162.1673619</v>
      </c>
      <c r="R213" s="42" t="n">
        <f aca="false">INSUMOS_DIRECTOS_RODANTES!P151</f>
        <v>188.9411595</v>
      </c>
      <c r="S213" s="42" t="n">
        <f aca="false">INSUMOS_DIRECTOS_RODANTES!Q151</f>
        <v>217.569856</v>
      </c>
      <c r="T213" s="42" t="n">
        <f aca="false">INDEX(J213:S213,INDEX(P_VAL,MATCH("AÑO_DIS",P_ID,0))-2025)</f>
        <v>217.569856</v>
      </c>
      <c r="U213" s="24"/>
      <c r="V213" s="24"/>
      <c r="W213" s="24"/>
      <c r="X213" s="24"/>
      <c r="Y213" s="24"/>
    </row>
    <row r="214" customFormat="false" ht="15" hidden="false" customHeight="false" outlineLevel="0" collapsed="false">
      <c r="A214" s="38" t="n">
        <v>0</v>
      </c>
      <c r="B214" s="38" t="s">
        <v>1306</v>
      </c>
      <c r="C214" s="38" t="str">
        <f aca="false">INDEX(C_TAB,MATCH($B214,C_COD,0),2)</f>
        <v>Etiqueta / placa de características ABC 100 kg</v>
      </c>
      <c r="D214" s="38" t="str">
        <f aca="false">INDEX(C_TAB,MATCH($B214,C_COD,0),3)</f>
        <v>u</v>
      </c>
      <c r="E214" s="38" t="str">
        <f aca="false">INDEX(C_TAB,MATCH($B214,C_COD,0),4)</f>
        <v>Directo</v>
      </c>
      <c r="F214" s="38" t="str">
        <f aca="false">INDEX(C_TAB,MATCH($B214,C_COD,0),5)</f>
        <v>Identificación</v>
      </c>
      <c r="G214" s="38" t="str">
        <f aca="false">INDEX(C_TAB,MATCH($B214,C_COD,0),6)</f>
        <v>Identificación</v>
      </c>
      <c r="H214" s="38"/>
      <c r="I214" s="38"/>
      <c r="J214" s="39" t="n">
        <f aca="false">SUM(J215:J216)</f>
        <v>11.89657324</v>
      </c>
      <c r="K214" s="39" t="n">
        <f aca="false">SUM(K215:K216)</f>
        <v>18.75788719</v>
      </c>
      <c r="L214" s="39" t="n">
        <f aca="false">SUM(L215:L216)</f>
        <v>25.11673279</v>
      </c>
      <c r="M214" s="39" t="n">
        <f aca="false">SUM(M215:M216)</f>
        <v>33.26955294</v>
      </c>
      <c r="N214" s="39" t="n">
        <f aca="false">SUM(N215:N216)</f>
        <v>52.03032112</v>
      </c>
      <c r="O214" s="39" t="n">
        <f aca="false">SUM(O215:O216)</f>
        <v>69.06903447</v>
      </c>
      <c r="P214" s="39" t="n">
        <f aca="false">SUM(P215:P216)</f>
        <v>88.55383461</v>
      </c>
      <c r="Q214" s="39" t="n">
        <f aca="false">SUM(Q215:Q216)</f>
        <v>109.4615746</v>
      </c>
      <c r="R214" s="39" t="n">
        <f aca="false">SUM(R215:R216)</f>
        <v>127.360773</v>
      </c>
      <c r="S214" s="39" t="n">
        <f aca="false">SUM(S215:S216)</f>
        <v>145.4965706</v>
      </c>
      <c r="T214" s="39" t="n">
        <f aca="false">INDEX(J214:S214,INDEX(P_VAL,MATCH("AÑO_DIS",P_ID,0))-2025)</f>
        <v>145.4965706</v>
      </c>
      <c r="U214" s="38" t="str">
        <f aca="false">INDEX(C_TAB,MATCH($B214,C_COD,0),10)</f>
        <v>Rollo de 1.000 u</v>
      </c>
      <c r="V214" s="38" t="n">
        <f aca="false">INDEX(C_TAB,MATCH($B214,C_COD,0),11)</f>
        <v>1000</v>
      </c>
      <c r="W214" s="44" t="n">
        <f aca="false">ROUNDUP(T214/V214,0)</f>
        <v>1</v>
      </c>
      <c r="X214" s="38" t="str">
        <f aca="false">INDEX(C_TAB,MATCH($B214,C_COD,0),7)</f>
        <v>Astuprint</v>
      </c>
      <c r="Y214" s="38" t="n">
        <f aca="false">INDEX(C_TAB,MATCH($B214,C_COD,0),12)</f>
        <v>10</v>
      </c>
    </row>
    <row r="215" customFormat="false" ht="15" hidden="false" customHeight="false" outlineLevel="1" collapsed="false">
      <c r="A215" s="24" t="n">
        <v>1</v>
      </c>
      <c r="B215" s="24" t="s">
        <v>1306</v>
      </c>
      <c r="C215" s="40" t="s">
        <v>3856</v>
      </c>
      <c r="D215" s="24"/>
      <c r="E215" s="24"/>
      <c r="F215" s="24"/>
      <c r="G215" s="24"/>
      <c r="H215" s="24" t="s">
        <v>244</v>
      </c>
      <c r="I215" s="24" t="s">
        <v>3857</v>
      </c>
      <c r="J215" s="42" t="n">
        <f aca="false">INSUMOS_DIRECTOS_RODANTES!H153</f>
        <v>10.89657324</v>
      </c>
      <c r="K215" s="42" t="n">
        <f aca="false">INSUMOS_DIRECTOS_RODANTES!I153</f>
        <v>18.70788719</v>
      </c>
      <c r="L215" s="42" t="n">
        <f aca="false">INSUMOS_DIRECTOS_RODANTES!J153</f>
        <v>24.06673279</v>
      </c>
      <c r="M215" s="42" t="n">
        <f aca="false">INSUMOS_DIRECTOS_RODANTES!K153</f>
        <v>32.16955294</v>
      </c>
      <c r="N215" s="42" t="n">
        <f aca="false">INSUMOS_DIRECTOS_RODANTES!L153</f>
        <v>49.88032112</v>
      </c>
      <c r="O215" s="42" t="n">
        <f aca="false">INSUMOS_DIRECTOS_RODANTES!M153</f>
        <v>67.81903447</v>
      </c>
      <c r="P215" s="42" t="n">
        <f aca="false">INSUMOS_DIRECTOS_RODANTES!N153</f>
        <v>87.25383461</v>
      </c>
      <c r="Q215" s="42" t="n">
        <f aca="false">INSUMOS_DIRECTOS_RODANTES!O153</f>
        <v>108.1115746</v>
      </c>
      <c r="R215" s="42" t="n">
        <f aca="false">INSUMOS_DIRECTOS_RODANTES!P153</f>
        <v>125.960773</v>
      </c>
      <c r="S215" s="42" t="n">
        <f aca="false">INSUMOS_DIRECTOS_RODANTES!Q153</f>
        <v>145.0465706</v>
      </c>
      <c r="T215" s="42" t="n">
        <f aca="false">INDEX(J215:S215,INDEX(P_VAL,MATCH("AÑO_DIS",P_ID,0))-2025)</f>
        <v>145.0465706</v>
      </c>
      <c r="U215" s="24"/>
      <c r="V215" s="24"/>
      <c r="W215" s="24"/>
      <c r="X215" s="24"/>
      <c r="Y215" s="24"/>
    </row>
    <row r="216" customFormat="false" ht="15" hidden="false" customHeight="false" outlineLevel="1" collapsed="false">
      <c r="A216" s="24" t="n">
        <v>1</v>
      </c>
      <c r="B216" s="24" t="s">
        <v>1306</v>
      </c>
      <c r="C216" s="40" t="s">
        <v>3854</v>
      </c>
      <c r="D216" s="24"/>
      <c r="E216" s="24"/>
      <c r="F216" s="24"/>
      <c r="G216" s="24"/>
      <c r="H216" s="24" t="s">
        <v>132</v>
      </c>
      <c r="I216" s="24" t="s">
        <v>3855</v>
      </c>
      <c r="J216" s="42" t="n">
        <f aca="false">INSUMOS_DIRECTOS_RECARGAS!H222</f>
        <v>1</v>
      </c>
      <c r="K216" s="42" t="n">
        <f aca="false">INSUMOS_DIRECTOS_RECARGAS!I222</f>
        <v>0.05</v>
      </c>
      <c r="L216" s="42" t="n">
        <f aca="false">INSUMOS_DIRECTOS_RECARGAS!J222</f>
        <v>1.05</v>
      </c>
      <c r="M216" s="42" t="n">
        <f aca="false">INSUMOS_DIRECTOS_RECARGAS!K222</f>
        <v>1.1</v>
      </c>
      <c r="N216" s="42" t="n">
        <f aca="false">INSUMOS_DIRECTOS_RECARGAS!L222</f>
        <v>2.15</v>
      </c>
      <c r="O216" s="42" t="n">
        <f aca="false">INSUMOS_DIRECTOS_RECARGAS!M222</f>
        <v>1.25</v>
      </c>
      <c r="P216" s="42" t="n">
        <f aca="false">INSUMOS_DIRECTOS_RECARGAS!N222</f>
        <v>1.3</v>
      </c>
      <c r="Q216" s="42" t="n">
        <f aca="false">INSUMOS_DIRECTOS_RECARGAS!O222</f>
        <v>1.35</v>
      </c>
      <c r="R216" s="42" t="n">
        <f aca="false">INSUMOS_DIRECTOS_RECARGAS!P222</f>
        <v>1.4</v>
      </c>
      <c r="S216" s="42" t="n">
        <f aca="false">INSUMOS_DIRECTOS_RECARGAS!Q222</f>
        <v>0.45</v>
      </c>
      <c r="T216" s="42" t="n">
        <f aca="false">INDEX(J216:S216,INDEX(P_VAL,MATCH("AÑO_DIS",P_ID,0))-2025)</f>
        <v>0.45</v>
      </c>
      <c r="U216" s="24"/>
      <c r="V216" s="24"/>
      <c r="W216" s="24"/>
      <c r="X216" s="24"/>
      <c r="Y216" s="24"/>
    </row>
    <row r="217" customFormat="false" ht="15" hidden="false" customHeight="false" outlineLevel="0" collapsed="false">
      <c r="A217" s="38" t="n">
        <v>0</v>
      </c>
      <c r="B217" s="38" t="s">
        <v>581</v>
      </c>
      <c r="C217" s="38" t="str">
        <f aca="false">INDEX(C_TAB,MATCH($B217,C_COD,0),2)</f>
        <v>Oblea de fabricación PBA (Res. 522/07)</v>
      </c>
      <c r="D217" s="38" t="str">
        <f aca="false">INDEX(C_TAB,MATCH($B217,C_COD,0),3)</f>
        <v>u</v>
      </c>
      <c r="E217" s="38" t="str">
        <f aca="false">INDEX(C_TAB,MATCH($B217,C_COD,0),4)</f>
        <v>Directo</v>
      </c>
      <c r="F217" s="38" t="str">
        <f aca="false">INDEX(C_TAB,MATCH($B217,C_COD,0),5)</f>
        <v>Identificación</v>
      </c>
      <c r="G217" s="38" t="str">
        <f aca="false">INDEX(C_TAB,MATCH($B217,C_COD,0),6)</f>
        <v>Identificación</v>
      </c>
      <c r="H217" s="38"/>
      <c r="I217" s="38"/>
      <c r="J217" s="39" t="n">
        <f aca="false">SUM(J218:J220)</f>
        <v>5734.92692235904</v>
      </c>
      <c r="K217" s="39" t="n">
        <f aca="false">SUM(K218:K220)</f>
        <v>9794.11292467108</v>
      </c>
      <c r="L217" s="39" t="n">
        <f aca="false">SUM(L218:L220)</f>
        <v>12128.7896498736</v>
      </c>
      <c r="M217" s="39" t="n">
        <f aca="false">SUM(M218:M220)</f>
        <v>16504.4716973869</v>
      </c>
      <c r="N217" s="39" t="n">
        <f aca="false">SUM(N218:N220)</f>
        <v>23858.4131519192</v>
      </c>
      <c r="O217" s="39" t="n">
        <f aca="false">SUM(O218:O220)</f>
        <v>30505.3750319251</v>
      </c>
      <c r="P217" s="39" t="n">
        <f aca="false">SUM(P218:P220)</f>
        <v>38102.2750491246</v>
      </c>
      <c r="Q217" s="39" t="n">
        <f aca="false">SUM(Q218:Q220)</f>
        <v>45430.4465406181</v>
      </c>
      <c r="R217" s="39" t="n">
        <f aca="false">SUM(R218:R220)</f>
        <v>51117.3337029256</v>
      </c>
      <c r="S217" s="39" t="n">
        <f aca="false">SUM(S218:S220)</f>
        <v>57943.4720154401</v>
      </c>
      <c r="T217" s="39" t="n">
        <f aca="false">INDEX(J217:S217,INDEX(P_VAL,MATCH("AÑO_DIS",P_ID,0))-2025)</f>
        <v>57943.4720154401</v>
      </c>
      <c r="U217" s="38" t="str">
        <f aca="false">INDEX(C_TAB,MATCH($B217,C_COD,0),10)</f>
        <v>Paquete de 1.000 u</v>
      </c>
      <c r="V217" s="38" t="n">
        <f aca="false">INDEX(C_TAB,MATCH($B217,C_COD,0),11)</f>
        <v>1000</v>
      </c>
      <c r="W217" s="44" t="n">
        <f aca="false">ROUNDUP(T217/V217,0)</f>
        <v>58</v>
      </c>
      <c r="X217" s="38" t="str">
        <f aca="false">INDEX(C_TAB,MATCH($B217,C_COD,0),7)</f>
        <v>Ministerio de Ambiente PBA (DPS)</v>
      </c>
      <c r="Y217" s="38" t="n">
        <f aca="false">INDEX(C_TAB,MATCH($B217,C_COD,0),12)</f>
        <v>10</v>
      </c>
    </row>
    <row r="218" customFormat="false" ht="15" hidden="false" customHeight="false" outlineLevel="1" collapsed="false">
      <c r="A218" s="24" t="n">
        <v>1</v>
      </c>
      <c r="B218" s="24" t="s">
        <v>581</v>
      </c>
      <c r="C218" s="40" t="s">
        <v>3852</v>
      </c>
      <c r="D218" s="24"/>
      <c r="E218" s="24"/>
      <c r="F218" s="24"/>
      <c r="G218" s="24"/>
      <c r="H218" s="24" t="s">
        <v>229</v>
      </c>
      <c r="I218" s="24" t="s">
        <v>3853</v>
      </c>
      <c r="J218" s="42" t="n">
        <f aca="false">INSUMOS_DIRECTOS_MANUALES!H122</f>
        <v>5579.09811507986</v>
      </c>
      <c r="K218" s="42" t="n">
        <f aca="false">INSUMOS_DIRECTOS_MANUALES!I122</f>
        <v>9440.40347212792</v>
      </c>
      <c r="L218" s="42" t="n">
        <f aca="false">INSUMOS_DIRECTOS_MANUALES!J122</f>
        <v>11669.8647326003</v>
      </c>
      <c r="M218" s="42" t="n">
        <f aca="false">INSUMOS_DIRECTOS_MANUALES!K122</f>
        <v>15799.8522396653</v>
      </c>
      <c r="N218" s="42" t="n">
        <f aca="false">INSUMOS_DIRECTOS_MANUALES!L122</f>
        <v>22951.6982179611</v>
      </c>
      <c r="O218" s="42" t="n">
        <f aca="false">INSUMOS_DIRECTOS_MANUALES!M122</f>
        <v>29354.8556834059</v>
      </c>
      <c r="P218" s="42" t="n">
        <f aca="false">INSUMOS_DIRECTOS_MANUALES!N122</f>
        <v>36784.8572762947</v>
      </c>
      <c r="Q218" s="42" t="n">
        <f aca="false">INSUMOS_DIRECTOS_MANUALES!O122</f>
        <v>44007.7318383003</v>
      </c>
      <c r="R218" s="42" t="n">
        <f aca="false">INSUMOS_DIRECTOS_MANUALES!P122</f>
        <v>49621.9444474561</v>
      </c>
      <c r="S218" s="42" t="n">
        <f aca="false">INSUMOS_DIRECTOS_MANUALES!Q122</f>
        <v>56258.1944283494</v>
      </c>
      <c r="T218" s="42" t="n">
        <f aca="false">INDEX(J218:S218,INDEX(P_VAL,MATCH("AÑO_DIS",P_ID,0))-2025)</f>
        <v>56258.1944283494</v>
      </c>
      <c r="U218" s="24"/>
      <c r="V218" s="24"/>
      <c r="W218" s="24"/>
      <c r="X218" s="24"/>
      <c r="Y218" s="24"/>
    </row>
    <row r="219" customFormat="false" ht="15" hidden="false" customHeight="false" outlineLevel="1" collapsed="false">
      <c r="A219" s="24" t="n">
        <v>1</v>
      </c>
      <c r="B219" s="24" t="s">
        <v>581</v>
      </c>
      <c r="C219" s="40" t="s">
        <v>3856</v>
      </c>
      <c r="D219" s="24"/>
      <c r="E219" s="24"/>
      <c r="F219" s="24"/>
      <c r="G219" s="24"/>
      <c r="H219" s="24" t="s">
        <v>244</v>
      </c>
      <c r="I219" s="24" t="s">
        <v>3857</v>
      </c>
      <c r="J219" s="42" t="n">
        <f aca="false">INSUMOS_DIRECTOS_RODANTES!H155</f>
        <v>104.450057594918</v>
      </c>
      <c r="K219" s="42" t="n">
        <f aca="false">INSUMOS_DIRECTOS_RODANTES!I155</f>
        <v>179.346725052875</v>
      </c>
      <c r="L219" s="42" t="n">
        <f aca="false">INSUMOS_DIRECTOS_RODANTES!J155</f>
        <v>230.721835922038</v>
      </c>
      <c r="M219" s="42" t="n">
        <f aca="false">INSUMOS_DIRECTOS_RODANTES!K155</f>
        <v>308.375245693772</v>
      </c>
      <c r="N219" s="42" t="n">
        <f aca="false">INSUMOS_DIRECTOS_RODANTES!L155</f>
        <v>478.047084383022</v>
      </c>
      <c r="O219" s="42" t="n">
        <f aca="false">INSUMOS_DIRECTOS_RODANTES!M155</f>
        <v>649.73302711383</v>
      </c>
      <c r="P219" s="42" t="n">
        <f aca="false">INSUMOS_DIRECTOS_RODANTES!N155</f>
        <v>835.47665199714</v>
      </c>
      <c r="Q219" s="42" t="n">
        <f aca="false">INSUMOS_DIRECTOS_RODANTES!O155</f>
        <v>1034.43606066611</v>
      </c>
      <c r="R219" s="42" t="n">
        <f aca="false">INSUMOS_DIRECTOS_RODANTES!P155</f>
        <v>1204.0671955852</v>
      </c>
      <c r="S219" s="42" t="n">
        <f aca="false">INSUMOS_DIRECTOS_RODANTES!Q155</f>
        <v>1384.80463384265</v>
      </c>
      <c r="T219" s="42" t="n">
        <f aca="false">INDEX(J219:S219,INDEX(P_VAL,MATCH("AÑO_DIS",P_ID,0))-2025)</f>
        <v>1384.80463384265</v>
      </c>
      <c r="U219" s="24"/>
      <c r="V219" s="24"/>
      <c r="W219" s="24"/>
      <c r="X219" s="24"/>
      <c r="Y219" s="24"/>
    </row>
    <row r="220" customFormat="false" ht="15" hidden="false" customHeight="false" outlineLevel="1" collapsed="false">
      <c r="A220" s="24" t="n">
        <v>1</v>
      </c>
      <c r="B220" s="24" t="s">
        <v>581</v>
      </c>
      <c r="C220" s="40" t="s">
        <v>3854</v>
      </c>
      <c r="D220" s="24"/>
      <c r="E220" s="24"/>
      <c r="F220" s="24"/>
      <c r="G220" s="24"/>
      <c r="H220" s="24" t="s">
        <v>132</v>
      </c>
      <c r="I220" s="24" t="s">
        <v>3855</v>
      </c>
      <c r="J220" s="42" t="n">
        <f aca="false">INSUMOS_DIRECTOS_RECARGAS!H224</f>
        <v>51.37874968427</v>
      </c>
      <c r="K220" s="42" t="n">
        <f aca="false">INSUMOS_DIRECTOS_RECARGAS!I224</f>
        <v>174.362727490281</v>
      </c>
      <c r="L220" s="42" t="n">
        <f aca="false">INSUMOS_DIRECTOS_RECARGAS!J224</f>
        <v>228.203081351302</v>
      </c>
      <c r="M220" s="42" t="n">
        <f aca="false">INSUMOS_DIRECTOS_RECARGAS!K224</f>
        <v>396.244212027826</v>
      </c>
      <c r="N220" s="42" t="n">
        <f aca="false">INSUMOS_DIRECTOS_RECARGAS!L224</f>
        <v>428.667849575118</v>
      </c>
      <c r="O220" s="42" t="n">
        <f aca="false">INSUMOS_DIRECTOS_RECARGAS!M224</f>
        <v>500.786321405357</v>
      </c>
      <c r="P220" s="42" t="n">
        <f aca="false">INSUMOS_DIRECTOS_RECARGAS!N224</f>
        <v>481.941120832745</v>
      </c>
      <c r="Q220" s="42" t="n">
        <f aca="false">INSUMOS_DIRECTOS_RECARGAS!O224</f>
        <v>388.278641651677</v>
      </c>
      <c r="R220" s="42" t="n">
        <f aca="false">INSUMOS_DIRECTOS_RECARGAS!P224</f>
        <v>291.322059884352</v>
      </c>
      <c r="S220" s="42" t="n">
        <f aca="false">INSUMOS_DIRECTOS_RECARGAS!Q224</f>
        <v>300.472953248029</v>
      </c>
      <c r="T220" s="42" t="n">
        <f aca="false">INDEX(J220:S220,INDEX(P_VAL,MATCH("AÑO_DIS",P_ID,0))-2025)</f>
        <v>300.472953248029</v>
      </c>
      <c r="U220" s="24"/>
      <c r="V220" s="24"/>
      <c r="W220" s="24"/>
      <c r="X220" s="24"/>
      <c r="Y220" s="24"/>
    </row>
    <row r="221" customFormat="false" ht="15" hidden="false" customHeight="false" outlineLevel="0" collapsed="false">
      <c r="A221" s="38" t="n">
        <v>0</v>
      </c>
      <c r="B221" s="38" t="s">
        <v>586</v>
      </c>
      <c r="C221" s="38" t="str">
        <f aca="false">INDEX(C_TAB,MATCH($B221,C_COD,0),2)</f>
        <v>Estampilla IRAM de conformidad</v>
      </c>
      <c r="D221" s="38" t="str">
        <f aca="false">INDEX(C_TAB,MATCH($B221,C_COD,0),3)</f>
        <v>u</v>
      </c>
      <c r="E221" s="38" t="str">
        <f aca="false">INDEX(C_TAB,MATCH($B221,C_COD,0),4)</f>
        <v>Directo</v>
      </c>
      <c r="F221" s="38" t="str">
        <f aca="false">INDEX(C_TAB,MATCH($B221,C_COD,0),5)</f>
        <v>Identificación</v>
      </c>
      <c r="G221" s="38" t="str">
        <f aca="false">INDEX(C_TAB,MATCH($B221,C_COD,0),6)</f>
        <v>Identificación</v>
      </c>
      <c r="H221" s="38"/>
      <c r="I221" s="38"/>
      <c r="J221" s="39" t="n">
        <f aca="false">SUM(J222:J224)</f>
        <v>7478.58027218</v>
      </c>
      <c r="K221" s="39" t="n">
        <f aca="false">SUM(K222:K224)</f>
        <v>12770.45619482</v>
      </c>
      <c r="L221" s="39" t="n">
        <f aca="false">SUM(L222:L224)</f>
        <v>15814.51634636</v>
      </c>
      <c r="M221" s="39" t="n">
        <f aca="false">SUM(M222:M224)</f>
        <v>21521.72894185</v>
      </c>
      <c r="N221" s="39" t="n">
        <f aca="false">SUM(N222:N224)</f>
        <v>31117.88954189</v>
      </c>
      <c r="O221" s="39" t="n">
        <f aca="false">SUM(O222:O224)</f>
        <v>39801.83002987</v>
      </c>
      <c r="P221" s="39" t="n">
        <f aca="false">SUM(P222:P224)</f>
        <v>49740.61210161</v>
      </c>
      <c r="Q221" s="39" t="n">
        <f aca="false">SUM(Q222:Q224)</f>
        <v>59350.6609318</v>
      </c>
      <c r="R221" s="39" t="n">
        <f aca="false">SUM(R222:R224)</f>
        <v>66844.0566494</v>
      </c>
      <c r="S221" s="39" t="n">
        <f aca="false">SUM(S222:S224)</f>
        <v>75863.6065059</v>
      </c>
      <c r="T221" s="39" t="n">
        <f aca="false">INDEX(J221:S221,INDEX(P_VAL,MATCH("AÑO_DIS",P_ID,0))-2025)</f>
        <v>75863.6065059</v>
      </c>
      <c r="U221" s="38" t="str">
        <f aca="false">INDEX(C_TAB,MATCH($B221,C_COD,0),10)</f>
        <v>Paquete de 1.000 u</v>
      </c>
      <c r="V221" s="38" t="n">
        <f aca="false">INDEX(C_TAB,MATCH($B221,C_COD,0),11)</f>
        <v>1000</v>
      </c>
      <c r="W221" s="44" t="n">
        <f aca="false">ROUNDUP(T221/V221,0)</f>
        <v>76</v>
      </c>
      <c r="X221" s="38" t="str">
        <f aca="false">INDEX(C_TAB,MATCH($B221,C_COD,0),7)</f>
        <v>IRAM</v>
      </c>
      <c r="Y221" s="38" t="n">
        <f aca="false">INDEX(C_TAB,MATCH($B221,C_COD,0),12)</f>
        <v>10</v>
      </c>
    </row>
    <row r="222" customFormat="false" ht="15" hidden="false" customHeight="false" outlineLevel="1" collapsed="false">
      <c r="A222" s="24" t="n">
        <v>1</v>
      </c>
      <c r="B222" s="24" t="s">
        <v>586</v>
      </c>
      <c r="C222" s="40" t="s">
        <v>3852</v>
      </c>
      <c r="D222" s="24"/>
      <c r="E222" s="24"/>
      <c r="F222" s="24"/>
      <c r="G222" s="24"/>
      <c r="H222" s="24" t="s">
        <v>229</v>
      </c>
      <c r="I222" s="24" t="s">
        <v>3853</v>
      </c>
      <c r="J222" s="42" t="n">
        <f aca="false">INSUMOS_DIRECTOS_MANUALES!H127</f>
        <v>7275.37310673</v>
      </c>
      <c r="K222" s="42" t="n">
        <f aca="false">INSUMOS_DIRECTOS_MANUALES!I127</f>
        <v>12309.257605</v>
      </c>
      <c r="L222" s="42" t="n">
        <f aca="false">INSUMOS_DIRECTOS_MANUALES!J127</f>
        <v>15216.1321864</v>
      </c>
      <c r="M222" s="42" t="n">
        <f aca="false">INSUMOS_DIRECTOS_MANUALES!K127</f>
        <v>20602.9095301</v>
      </c>
      <c r="N222" s="42" t="n">
        <f aca="false">INSUMOS_DIRECTOS_MANUALES!L127</f>
        <v>29935.2855279</v>
      </c>
      <c r="O222" s="42" t="n">
        <f aca="false">INSUMOS_DIRECTOS_MANUALES!M127</f>
        <v>38300.692099</v>
      </c>
      <c r="P222" s="42" t="n">
        <f aca="false">INSUMOS_DIRECTOS_MANUALES!N127</f>
        <v>48020.789169</v>
      </c>
      <c r="Q222" s="42" t="n">
        <f aca="false">INSUMOS_DIRECTOS_MANUALES!O127</f>
        <v>57492.016249</v>
      </c>
      <c r="R222" s="42" t="n">
        <f aca="false">INSUMOS_DIRECTOS_MANUALES!P127</f>
        <v>64888.596987</v>
      </c>
      <c r="S222" s="42" t="n">
        <f aca="false">INSUMOS_DIRECTOS_MANUALES!Q127</f>
        <v>73657.124373</v>
      </c>
      <c r="T222" s="42" t="n">
        <f aca="false">INDEX(J222:S222,INDEX(P_VAL,MATCH("AÑO_DIS",P_ID,0))-2025)</f>
        <v>73657.124373</v>
      </c>
      <c r="U222" s="24"/>
      <c r="V222" s="24"/>
      <c r="W222" s="24"/>
      <c r="X222" s="24"/>
      <c r="Y222" s="24"/>
    </row>
    <row r="223" customFormat="false" ht="15" hidden="false" customHeight="false" outlineLevel="1" collapsed="false">
      <c r="A223" s="24" t="n">
        <v>1</v>
      </c>
      <c r="B223" s="24" t="s">
        <v>586</v>
      </c>
      <c r="C223" s="40" t="s">
        <v>3856</v>
      </c>
      <c r="D223" s="24"/>
      <c r="E223" s="24"/>
      <c r="F223" s="24"/>
      <c r="G223" s="24"/>
      <c r="H223" s="24" t="s">
        <v>244</v>
      </c>
      <c r="I223" s="24" t="s">
        <v>3857</v>
      </c>
      <c r="J223" s="42" t="n">
        <f aca="false">INSUMOS_DIRECTOS_RODANTES!H160</f>
        <v>136.20716545</v>
      </c>
      <c r="K223" s="42" t="n">
        <f aca="false">INSUMOS_DIRECTOS_RODANTES!I160</f>
        <v>233.84858982</v>
      </c>
      <c r="L223" s="42" t="n">
        <f aca="false">INSUMOS_DIRECTOS_RODANTES!J160</f>
        <v>300.83415996</v>
      </c>
      <c r="M223" s="42" t="n">
        <f aca="false">INSUMOS_DIRECTOS_RODANTES!K160</f>
        <v>402.11941175</v>
      </c>
      <c r="N223" s="42" t="n">
        <f aca="false">INSUMOS_DIRECTOS_RODANTES!L160</f>
        <v>623.50401399</v>
      </c>
      <c r="O223" s="42" t="n">
        <f aca="false">INSUMOS_DIRECTOS_RODANTES!M160</f>
        <v>847.73793087</v>
      </c>
      <c r="P223" s="42" t="n">
        <f aca="false">INSUMOS_DIRECTOS_RODANTES!N160</f>
        <v>1090.67293261</v>
      </c>
      <c r="Q223" s="42" t="n">
        <f aca="false">INSUMOS_DIRECTOS_RODANTES!O160</f>
        <v>1351.3946828</v>
      </c>
      <c r="R223" s="42" t="n">
        <f aca="false">INSUMOS_DIRECTOS_RODANTES!P160</f>
        <v>1574.5096624</v>
      </c>
      <c r="S223" s="42" t="n">
        <f aca="false">INSUMOS_DIRECTOS_RODANTES!Q160</f>
        <v>1813.0821329</v>
      </c>
      <c r="T223" s="42" t="n">
        <f aca="false">INDEX(J223:S223,INDEX(P_VAL,MATCH("AÑO_DIS",P_ID,0))-2025)</f>
        <v>1813.0821329</v>
      </c>
      <c r="U223" s="24"/>
      <c r="V223" s="24"/>
      <c r="W223" s="24"/>
      <c r="X223" s="24"/>
      <c r="Y223" s="24"/>
    </row>
    <row r="224" customFormat="false" ht="15" hidden="false" customHeight="false" outlineLevel="1" collapsed="false">
      <c r="A224" s="24" t="n">
        <v>1</v>
      </c>
      <c r="B224" s="24" t="s">
        <v>586</v>
      </c>
      <c r="C224" s="40" t="s">
        <v>3854</v>
      </c>
      <c r="D224" s="24"/>
      <c r="E224" s="24"/>
      <c r="F224" s="24"/>
      <c r="G224" s="24"/>
      <c r="H224" s="24" t="s">
        <v>132</v>
      </c>
      <c r="I224" s="24" t="s">
        <v>3855</v>
      </c>
      <c r="J224" s="42" t="n">
        <f aca="false">INSUMOS_DIRECTOS_RECARGAS!H229</f>
        <v>67</v>
      </c>
      <c r="K224" s="42" t="n">
        <f aca="false">INSUMOS_DIRECTOS_RECARGAS!I229</f>
        <v>227.35</v>
      </c>
      <c r="L224" s="42" t="n">
        <f aca="false">INSUMOS_DIRECTOS_RECARGAS!J229</f>
        <v>297.55</v>
      </c>
      <c r="M224" s="42" t="n">
        <f aca="false">INSUMOS_DIRECTOS_RECARGAS!K229</f>
        <v>516.7</v>
      </c>
      <c r="N224" s="42" t="n">
        <f aca="false">INSUMOS_DIRECTOS_RECARGAS!L229</f>
        <v>559.1</v>
      </c>
      <c r="O224" s="42" t="n">
        <f aca="false">INSUMOS_DIRECTOS_RECARGAS!M229</f>
        <v>653.4</v>
      </c>
      <c r="P224" s="42" t="n">
        <f aca="false">INSUMOS_DIRECTOS_RECARGAS!N229</f>
        <v>629.15</v>
      </c>
      <c r="Q224" s="42" t="n">
        <f aca="false">INSUMOS_DIRECTOS_RECARGAS!O229</f>
        <v>507.25</v>
      </c>
      <c r="R224" s="42" t="n">
        <f aca="false">INSUMOS_DIRECTOS_RECARGAS!P229</f>
        <v>380.95</v>
      </c>
      <c r="S224" s="42" t="n">
        <f aca="false">INSUMOS_DIRECTOS_RECARGAS!Q229</f>
        <v>393.4</v>
      </c>
      <c r="T224" s="42" t="n">
        <f aca="false">INDEX(J224:S224,INDEX(P_VAL,MATCH("AÑO_DIS",P_ID,0))-2025)</f>
        <v>393.4</v>
      </c>
      <c r="U224" s="24"/>
      <c r="V224" s="24"/>
      <c r="W224" s="24"/>
      <c r="X224" s="24"/>
      <c r="Y224" s="24"/>
    </row>
    <row r="225" customFormat="false" ht="15" hidden="false" customHeight="false" outlineLevel="0" collapsed="false">
      <c r="A225" s="38" t="n">
        <v>0</v>
      </c>
      <c r="B225" s="38" t="s">
        <v>688</v>
      </c>
      <c r="C225" s="38" t="str">
        <f aca="false">INDEX(C_TAB,MATCH($B225,C_COD,0),2)</f>
        <v>Tarjeta de identificación AGC (CABA)</v>
      </c>
      <c r="D225" s="38" t="str">
        <f aca="false">INDEX(C_TAB,MATCH($B225,C_COD,0),3)</f>
        <v>u</v>
      </c>
      <c r="E225" s="38" t="str">
        <f aca="false">INDEX(C_TAB,MATCH($B225,C_COD,0),4)</f>
        <v>Directo</v>
      </c>
      <c r="F225" s="38" t="str">
        <f aca="false">INDEX(C_TAB,MATCH($B225,C_COD,0),5)</f>
        <v>Identificación</v>
      </c>
      <c r="G225" s="38" t="str">
        <f aca="false">INDEX(C_TAB,MATCH($B225,C_COD,0),6)</f>
        <v>Identificación</v>
      </c>
      <c r="H225" s="38"/>
      <c r="I225" s="38"/>
      <c r="J225" s="39" t="n">
        <f aca="false">SUM(J226:J229)</f>
        <v>2837.43585703752</v>
      </c>
      <c r="K225" s="39" t="n">
        <f aca="false">SUM(K226:K229)</f>
        <v>10053.4039625248</v>
      </c>
      <c r="L225" s="39" t="n">
        <f aca="false">SUM(L226:L229)</f>
        <v>18705.7054446223</v>
      </c>
      <c r="M225" s="39" t="n">
        <f aca="false">SUM(M226:M229)</f>
        <v>33491.0397034967</v>
      </c>
      <c r="N225" s="39" t="n">
        <f aca="false">SUM(N226:N229)</f>
        <v>49161.396120197</v>
      </c>
      <c r="O225" s="39" t="n">
        <f aca="false">SUM(O226:O229)</f>
        <v>66659.4619186821</v>
      </c>
      <c r="P225" s="39" t="n">
        <f aca="false">SUM(P226:P229)</f>
        <v>82703.8745174812</v>
      </c>
      <c r="Q225" s="39" t="n">
        <f aca="false">SUM(Q226:Q229)</f>
        <v>94471.9512584661</v>
      </c>
      <c r="R225" s="39" t="n">
        <f aca="false">SUM(R226:R229)</f>
        <v>102294.827572151</v>
      </c>
      <c r="S225" s="39" t="n">
        <f aca="false">SUM(S226:S229)</f>
        <v>110702.244388891</v>
      </c>
      <c r="T225" s="39" t="n">
        <f aca="false">INDEX(J225:S225,INDEX(P_VAL,MATCH("AÑO_DIS",P_ID,0))-2025)</f>
        <v>110702.244388891</v>
      </c>
      <c r="U225" s="38" t="str">
        <f aca="false">INDEX(C_TAB,MATCH($B225,C_COD,0),10)</f>
        <v>Paquete de 500 u</v>
      </c>
      <c r="V225" s="38" t="n">
        <f aca="false">INDEX(C_TAB,MATCH($B225,C_COD,0),11)</f>
        <v>500</v>
      </c>
      <c r="W225" s="44" t="n">
        <f aca="false">ROUNDUP(T225/V225,0)</f>
        <v>222</v>
      </c>
      <c r="X225" s="38" t="str">
        <f aca="false">INDEX(C_TAB,MATCH($B225,C_COD,0),7)</f>
        <v>AGC (CABA)</v>
      </c>
      <c r="Y225" s="38" t="n">
        <f aca="false">INDEX(C_TAB,MATCH($B225,C_COD,0),12)</f>
        <v>10</v>
      </c>
    </row>
    <row r="226" customFormat="false" ht="15" hidden="false" customHeight="false" outlineLevel="1" collapsed="false">
      <c r="A226" s="24" t="n">
        <v>1</v>
      </c>
      <c r="B226" s="24" t="s">
        <v>688</v>
      </c>
      <c r="C226" s="40" t="s">
        <v>3852</v>
      </c>
      <c r="D226" s="24"/>
      <c r="E226" s="24"/>
      <c r="F226" s="24"/>
      <c r="G226" s="24"/>
      <c r="H226" s="24" t="s">
        <v>229</v>
      </c>
      <c r="I226" s="24" t="s">
        <v>3853</v>
      </c>
      <c r="J226" s="42" t="n">
        <f aca="false">INSUMOS_DIRECTOS_MANUALES!H132</f>
        <v>721.990073117439</v>
      </c>
      <c r="K226" s="42" t="n">
        <f aca="false">INSUMOS_DIRECTOS_MANUALES!I132</f>
        <v>1471.09393866526</v>
      </c>
      <c r="L226" s="42" t="n">
        <f aca="false">INSUMOS_DIRECTOS_MANUALES!J132</f>
        <v>1949.40106369582</v>
      </c>
      <c r="M226" s="42" t="n">
        <f aca="false">INSUMOS_DIRECTOS_MANUALES!K132</f>
        <v>2829.15466914187</v>
      </c>
      <c r="N226" s="42" t="n">
        <f aca="false">INSUMOS_DIRECTOS_MANUALES!L132</f>
        <v>4025.329050033</v>
      </c>
      <c r="O226" s="42" t="n">
        <f aca="false">INSUMOS_DIRECTOS_MANUALES!M132</f>
        <v>5297.43684168534</v>
      </c>
      <c r="P226" s="42" t="n">
        <f aca="false">INSUMOS_DIRECTOS_MANUALES!N132</f>
        <v>6478.50937659132</v>
      </c>
      <c r="Q226" s="42" t="n">
        <f aca="false">INSUMOS_DIRECTOS_MANUALES!O132</f>
        <v>7589.75998510624</v>
      </c>
      <c r="R226" s="42" t="n">
        <f aca="false">INSUMOS_DIRECTOS_MANUALES!P132</f>
        <v>8544.06621467136</v>
      </c>
      <c r="S226" s="42" t="n">
        <f aca="false">INSUMOS_DIRECTOS_MANUALES!Q132</f>
        <v>9822.8861320105</v>
      </c>
      <c r="T226" s="42" t="n">
        <f aca="false">INDEX(J226:S226,INDEX(P_VAL,MATCH("AÑO_DIS",P_ID,0))-2025)</f>
        <v>9822.8861320105</v>
      </c>
      <c r="U226" s="24"/>
      <c r="V226" s="24"/>
      <c r="W226" s="24"/>
      <c r="X226" s="24"/>
      <c r="Y226" s="24"/>
    </row>
    <row r="227" customFormat="false" ht="15" hidden="false" customHeight="false" outlineLevel="1" collapsed="false">
      <c r="A227" s="24" t="n">
        <v>1</v>
      </c>
      <c r="B227" s="24" t="s">
        <v>688</v>
      </c>
      <c r="C227" s="40" t="s">
        <v>3856</v>
      </c>
      <c r="D227" s="24"/>
      <c r="E227" s="24"/>
      <c r="F227" s="24"/>
      <c r="G227" s="24"/>
      <c r="H227" s="24" t="s">
        <v>244</v>
      </c>
      <c r="I227" s="24" t="s">
        <v>3857</v>
      </c>
      <c r="J227" s="42" t="n">
        <f aca="false">INSUMOS_DIRECTOS_RODANTES!H165</f>
        <v>31.7571078550822</v>
      </c>
      <c r="K227" s="42" t="n">
        <f aca="false">INSUMOS_DIRECTOS_RODANTES!I165</f>
        <v>54.501864767125</v>
      </c>
      <c r="L227" s="42" t="n">
        <f aca="false">INSUMOS_DIRECTOS_RODANTES!J165</f>
        <v>70.1123240379618</v>
      </c>
      <c r="M227" s="42" t="n">
        <f aca="false">INSUMOS_DIRECTOS_RODANTES!K165</f>
        <v>93.7441660562283</v>
      </c>
      <c r="N227" s="42" t="n">
        <f aca="false">INSUMOS_DIRECTOS_RODANTES!L165</f>
        <v>145.456929606978</v>
      </c>
      <c r="O227" s="42" t="n">
        <f aca="false">INSUMOS_DIRECTOS_RODANTES!M165</f>
        <v>198.00490375617</v>
      </c>
      <c r="P227" s="42" t="n">
        <f aca="false">INSUMOS_DIRECTOS_RODANTES!N165</f>
        <v>255.19628061286</v>
      </c>
      <c r="Q227" s="42" t="n">
        <f aca="false">INSUMOS_DIRECTOS_RODANTES!O165</f>
        <v>316.958622133893</v>
      </c>
      <c r="R227" s="42" t="n">
        <f aca="false">INSUMOS_DIRECTOS_RODANTES!P165</f>
        <v>370.442466814796</v>
      </c>
      <c r="S227" s="42" t="n">
        <f aca="false">INSUMOS_DIRECTOS_RODANTES!Q165</f>
        <v>428.277499057353</v>
      </c>
      <c r="T227" s="42" t="n">
        <f aca="false">INDEX(J227:S227,INDEX(P_VAL,MATCH("AÑO_DIS",P_ID,0))-2025)</f>
        <v>428.277499057353</v>
      </c>
      <c r="U227" s="24"/>
      <c r="V227" s="24"/>
      <c r="W227" s="24"/>
      <c r="X227" s="24"/>
      <c r="Y227" s="24"/>
    </row>
    <row r="228" customFormat="false" ht="15" hidden="false" customHeight="false" outlineLevel="1" collapsed="false">
      <c r="A228" s="24" t="n">
        <v>1</v>
      </c>
      <c r="B228" s="24" t="s">
        <v>688</v>
      </c>
      <c r="C228" s="40" t="s">
        <v>3854</v>
      </c>
      <c r="D228" s="24"/>
      <c r="E228" s="24"/>
      <c r="F228" s="24"/>
      <c r="G228" s="24"/>
      <c r="H228" s="24" t="s">
        <v>132</v>
      </c>
      <c r="I228" s="24" t="s">
        <v>3855</v>
      </c>
      <c r="J228" s="42" t="n">
        <f aca="false">INSUMOS_DIRECTOS_RECARGAS!H234</f>
        <v>1794.55422060475</v>
      </c>
      <c r="K228" s="42" t="n">
        <f aca="false">INSUMOS_DIRECTOS_RECARGAS!I234</f>
        <v>8017.14066573537</v>
      </c>
      <c r="L228" s="42" t="n">
        <f aca="false">INSUMOS_DIRECTOS_RECARGAS!J234</f>
        <v>16012.4788161514</v>
      </c>
      <c r="M228" s="42" t="n">
        <f aca="false">INSUMOS_DIRECTOS_RECARGAS!K234</f>
        <v>29652.8451981194</v>
      </c>
      <c r="N228" s="42" t="n">
        <f aca="false">INSUMOS_DIRECTOS_RECARGAS!L234</f>
        <v>43548.449618467</v>
      </c>
      <c r="O228" s="42" t="n">
        <f aca="false">INSUMOS_DIRECTOS_RECARGAS!M234</f>
        <v>59195.7203168274</v>
      </c>
      <c r="P228" s="42" t="n">
        <f aca="false">INSUMOS_DIRECTOS_RECARGAS!N234</f>
        <v>73432.8235349347</v>
      </c>
      <c r="Q228" s="42" t="n">
        <f aca="false">INSUMOS_DIRECTOS_RECARGAS!O234</f>
        <v>83413.9374944816</v>
      </c>
      <c r="R228" s="42" t="n">
        <f aca="false">INSUMOS_DIRECTOS_RECARGAS!P234</f>
        <v>89698.8563018592</v>
      </c>
      <c r="S228" s="42" t="n">
        <f aca="false">INSUMOS_DIRECTOS_RECARGAS!Q234</f>
        <v>96196.7181084503</v>
      </c>
      <c r="T228" s="42" t="n">
        <f aca="false">INDEX(J228:S228,INDEX(P_VAL,MATCH("AÑO_DIS",P_ID,0))-2025)</f>
        <v>96196.7181084503</v>
      </c>
      <c r="U228" s="24"/>
      <c r="V228" s="24"/>
      <c r="W228" s="24"/>
      <c r="X228" s="24"/>
      <c r="Y228" s="24"/>
    </row>
    <row r="229" customFormat="false" ht="15" hidden="false" customHeight="false" outlineLevel="1" collapsed="false">
      <c r="A229" s="24" t="n">
        <v>1</v>
      </c>
      <c r="B229" s="24" t="s">
        <v>688</v>
      </c>
      <c r="C229" s="40" t="s">
        <v>3864</v>
      </c>
      <c r="D229" s="24"/>
      <c r="E229" s="24"/>
      <c r="F229" s="24"/>
      <c r="G229" s="24"/>
      <c r="H229" s="24" t="s">
        <v>408</v>
      </c>
      <c r="I229" s="24" t="s">
        <v>3865</v>
      </c>
      <c r="J229" s="42" t="n">
        <f aca="false">INSUMOS_DIRECTOS_REVENDIDOS!H4</f>
        <v>289.134455460256</v>
      </c>
      <c r="K229" s="42" t="n">
        <f aca="false">INSUMOS_DIRECTOS_REVENDIDOS!I4</f>
        <v>510.667493357073</v>
      </c>
      <c r="L229" s="42" t="n">
        <f aca="false">INSUMOS_DIRECTOS_REVENDIDOS!J4</f>
        <v>673.713240737074</v>
      </c>
      <c r="M229" s="42" t="n">
        <f aca="false">INSUMOS_DIRECTOS_REVENDIDOS!K4</f>
        <v>915.295670179263</v>
      </c>
      <c r="N229" s="42" t="n">
        <f aca="false">INSUMOS_DIRECTOS_REVENDIDOS!L4</f>
        <v>1442.16052209004</v>
      </c>
      <c r="O229" s="42" t="n">
        <f aca="false">INSUMOS_DIRECTOS_REVENDIDOS!M4</f>
        <v>1968.29985641314</v>
      </c>
      <c r="P229" s="42" t="n">
        <f aca="false">INSUMOS_DIRECTOS_REVENDIDOS!N4</f>
        <v>2537.34532534233</v>
      </c>
      <c r="Q229" s="42" t="n">
        <f aca="false">INSUMOS_DIRECTOS_REVENDIDOS!O4</f>
        <v>3151.29515674435</v>
      </c>
      <c r="R229" s="42" t="n">
        <f aca="false">INSUMOS_DIRECTOS_REVENDIDOS!P4</f>
        <v>3681.46258880589</v>
      </c>
      <c r="S229" s="42" t="n">
        <f aca="false">INSUMOS_DIRECTOS_REVENDIDOS!Q4</f>
        <v>4254.36264937325</v>
      </c>
      <c r="T229" s="42" t="n">
        <f aca="false">INDEX(J229:S229,INDEX(P_VAL,MATCH("AÑO_DIS",P_ID,0))-2025)</f>
        <v>4254.36264937325</v>
      </c>
      <c r="U229" s="24"/>
      <c r="V229" s="24"/>
      <c r="W229" s="24"/>
      <c r="X229" s="24"/>
      <c r="Y229" s="24"/>
    </row>
    <row r="230" customFormat="false" ht="15" hidden="false" customHeight="false" outlineLevel="0" collapsed="false">
      <c r="A230" s="38" t="n">
        <v>0</v>
      </c>
      <c r="B230" s="38" t="s">
        <v>1371</v>
      </c>
      <c r="C230" s="38" t="str">
        <f aca="false">INDEX(C_TAB,MATCH($B230,C_COD,0),2)</f>
        <v>Tarjeta de identificación DPS (PBA), recargas</v>
      </c>
      <c r="D230" s="38" t="str">
        <f aca="false">INDEX(C_TAB,MATCH($B230,C_COD,0),3)</f>
        <v>u</v>
      </c>
      <c r="E230" s="38" t="str">
        <f aca="false">INDEX(C_TAB,MATCH($B230,C_COD,0),4)</f>
        <v>Directo</v>
      </c>
      <c r="F230" s="38" t="str">
        <f aca="false">INDEX(C_TAB,MATCH($B230,C_COD,0),5)</f>
        <v>Identificación</v>
      </c>
      <c r="G230" s="38" t="str">
        <f aca="false">INDEX(C_TAB,MATCH($B230,C_COD,0),6)</f>
        <v>Identificación</v>
      </c>
      <c r="H230" s="38"/>
      <c r="I230" s="38"/>
      <c r="J230" s="39" t="n">
        <f aca="false">SUM(J231:J231)</f>
        <v>5132.86012779398</v>
      </c>
      <c r="K230" s="39" t="n">
        <f aca="false">SUM(K231:K231)</f>
        <v>23033.5275209144</v>
      </c>
      <c r="L230" s="39" t="n">
        <f aca="false">SUM(L231:L231)</f>
        <v>46207.9261021773</v>
      </c>
      <c r="M230" s="39" t="n">
        <f aca="false">SUM(M231:M231)</f>
        <v>85753.4060243528</v>
      </c>
      <c r="N230" s="39" t="n">
        <f aca="false">SUM(N231:N231)</f>
        <v>126269.378330858</v>
      </c>
      <c r="O230" s="39" t="n">
        <f aca="false">SUM(O231:O231)</f>
        <v>171918.001471967</v>
      </c>
      <c r="P230" s="39" t="n">
        <f aca="false">SUM(P231:P231)</f>
        <v>213557.167518833</v>
      </c>
      <c r="Q230" s="39" t="n">
        <f aca="false">SUM(Q231:Q231)</f>
        <v>242801.272089467</v>
      </c>
      <c r="R230" s="39" t="n">
        <f aca="false">SUM(R231:R231)</f>
        <v>261143.487122556</v>
      </c>
      <c r="S230" s="39" t="n">
        <f aca="false">SUM(S231:S231)</f>
        <v>279821.898521302</v>
      </c>
      <c r="T230" s="39" t="n">
        <f aca="false">INDEX(J230:S230,INDEX(P_VAL,MATCH("AÑO_DIS",P_ID,0))-2025)</f>
        <v>279821.898521302</v>
      </c>
      <c r="U230" s="38" t="str">
        <f aca="false">INDEX(C_TAB,MATCH($B230,C_COD,0),10)</f>
        <v>Paquete de 500 u</v>
      </c>
      <c r="V230" s="38" t="n">
        <f aca="false">INDEX(C_TAB,MATCH($B230,C_COD,0),11)</f>
        <v>500</v>
      </c>
      <c r="W230" s="44" t="n">
        <f aca="false">ROUNDUP(T230/V230,0)</f>
        <v>560</v>
      </c>
      <c r="X230" s="38" t="str">
        <f aca="false">INDEX(C_TAB,MATCH($B230,C_COD,0),7)</f>
        <v>Ministerio de Ambiente PBA (DPS)</v>
      </c>
      <c r="Y230" s="38" t="n">
        <f aca="false">INDEX(C_TAB,MATCH($B230,C_COD,0),12)</f>
        <v>10</v>
      </c>
    </row>
    <row r="231" customFormat="false" ht="15" hidden="false" customHeight="false" outlineLevel="1" collapsed="false">
      <c r="A231" s="24" t="n">
        <v>1</v>
      </c>
      <c r="B231" s="24" t="s">
        <v>1371</v>
      </c>
      <c r="C231" s="40" t="s">
        <v>3854</v>
      </c>
      <c r="D231" s="24"/>
      <c r="E231" s="24"/>
      <c r="F231" s="24"/>
      <c r="G231" s="24"/>
      <c r="H231" s="24" t="s">
        <v>132</v>
      </c>
      <c r="I231" s="24" t="s">
        <v>3855</v>
      </c>
      <c r="J231" s="42" t="n">
        <f aca="false">INSUMOS_DIRECTOS_RECARGAS!H268</f>
        <v>5132.86012779398</v>
      </c>
      <c r="K231" s="42" t="n">
        <f aca="false">INSUMOS_DIRECTOS_RECARGAS!I268</f>
        <v>23033.5275209144</v>
      </c>
      <c r="L231" s="42" t="n">
        <f aca="false">INSUMOS_DIRECTOS_RECARGAS!J268</f>
        <v>46207.9261021773</v>
      </c>
      <c r="M231" s="42" t="n">
        <f aca="false">INSUMOS_DIRECTOS_RECARGAS!K268</f>
        <v>85753.4060243528</v>
      </c>
      <c r="N231" s="42" t="n">
        <f aca="false">INSUMOS_DIRECTOS_RECARGAS!L268</f>
        <v>126269.378330858</v>
      </c>
      <c r="O231" s="42" t="n">
        <f aca="false">INSUMOS_DIRECTOS_RECARGAS!M268</f>
        <v>171918.001471967</v>
      </c>
      <c r="P231" s="42" t="n">
        <f aca="false">INSUMOS_DIRECTOS_RECARGAS!N268</f>
        <v>213557.167518833</v>
      </c>
      <c r="Q231" s="42" t="n">
        <f aca="false">INSUMOS_DIRECTOS_RECARGAS!O268</f>
        <v>242801.272089467</v>
      </c>
      <c r="R231" s="42" t="n">
        <f aca="false">INSUMOS_DIRECTOS_RECARGAS!P268</f>
        <v>261143.487122556</v>
      </c>
      <c r="S231" s="42" t="n">
        <f aca="false">INSUMOS_DIRECTOS_RECARGAS!Q268</f>
        <v>279821.898521302</v>
      </c>
      <c r="T231" s="42" t="n">
        <f aca="false">INDEX(J231:S231,INDEX(P_VAL,MATCH("AÑO_DIS",P_ID,0))-2025)</f>
        <v>279821.898521302</v>
      </c>
      <c r="U231" s="24"/>
      <c r="V231" s="24"/>
      <c r="W231" s="24"/>
      <c r="X231" s="24"/>
      <c r="Y231" s="24"/>
    </row>
    <row r="232" customFormat="false" ht="15" hidden="false" customHeight="false" outlineLevel="0" collapsed="false">
      <c r="A232" s="38" t="n">
        <v>0</v>
      </c>
      <c r="B232" s="38" t="s">
        <v>1367</v>
      </c>
      <c r="C232" s="38" t="str">
        <f aca="false">INDEX(C_TAB,MATCH($B232,C_COD,0),2)</f>
        <v>Estampilla y oblea de recarga (PBA)</v>
      </c>
      <c r="D232" s="38" t="str">
        <f aca="false">INDEX(C_TAB,MATCH($B232,C_COD,0),3)</f>
        <v>u</v>
      </c>
      <c r="E232" s="38" t="str">
        <f aca="false">INDEX(C_TAB,MATCH($B232,C_COD,0),4)</f>
        <v>Directo</v>
      </c>
      <c r="F232" s="38" t="str">
        <f aca="false">INDEX(C_TAB,MATCH($B232,C_COD,0),5)</f>
        <v>Identificación</v>
      </c>
      <c r="G232" s="38" t="str">
        <f aca="false">INDEX(C_TAB,MATCH($B232,C_COD,0),6)</f>
        <v>Identificación</v>
      </c>
      <c r="H232" s="38"/>
      <c r="I232" s="38"/>
      <c r="J232" s="39" t="n">
        <f aca="false">SUM(J233:J233)</f>
        <v>5132.86012779398</v>
      </c>
      <c r="K232" s="39" t="n">
        <f aca="false">SUM(K233:K233)</f>
        <v>23033.5275209144</v>
      </c>
      <c r="L232" s="39" t="n">
        <f aca="false">SUM(L233:L233)</f>
        <v>46207.9261021773</v>
      </c>
      <c r="M232" s="39" t="n">
        <f aca="false">SUM(M233:M233)</f>
        <v>85753.4060243528</v>
      </c>
      <c r="N232" s="39" t="n">
        <f aca="false">SUM(N233:N233)</f>
        <v>126269.378330858</v>
      </c>
      <c r="O232" s="39" t="n">
        <f aca="false">SUM(O233:O233)</f>
        <v>171918.001471967</v>
      </c>
      <c r="P232" s="39" t="n">
        <f aca="false">SUM(P233:P233)</f>
        <v>213557.167518833</v>
      </c>
      <c r="Q232" s="39" t="n">
        <f aca="false">SUM(Q233:Q233)</f>
        <v>242801.272089467</v>
      </c>
      <c r="R232" s="39" t="n">
        <f aca="false">SUM(R233:R233)</f>
        <v>261143.487122556</v>
      </c>
      <c r="S232" s="39" t="n">
        <f aca="false">SUM(S233:S233)</f>
        <v>279821.898521302</v>
      </c>
      <c r="T232" s="39" t="n">
        <f aca="false">INDEX(J232:S232,INDEX(P_VAL,MATCH("AÑO_DIS",P_ID,0))-2025)</f>
        <v>279821.898521302</v>
      </c>
      <c r="U232" s="38" t="str">
        <f aca="false">INDEX(C_TAB,MATCH($B232,C_COD,0),10)</f>
        <v>Paquete de 1.000 u</v>
      </c>
      <c r="V232" s="38" t="n">
        <f aca="false">INDEX(C_TAB,MATCH($B232,C_COD,0),11)</f>
        <v>1000</v>
      </c>
      <c r="W232" s="44" t="n">
        <f aca="false">ROUNDUP(T232/V232,0)</f>
        <v>280</v>
      </c>
      <c r="X232" s="38" t="str">
        <f aca="false">INDEX(C_TAB,MATCH($B232,C_COD,0),7)</f>
        <v>Ministerio de Ambiente PBA (DPS)</v>
      </c>
      <c r="Y232" s="38" t="n">
        <f aca="false">INDEX(C_TAB,MATCH($B232,C_COD,0),12)</f>
        <v>10</v>
      </c>
    </row>
    <row r="233" customFormat="false" ht="15" hidden="false" customHeight="false" outlineLevel="1" collapsed="false">
      <c r="A233" s="24" t="n">
        <v>1</v>
      </c>
      <c r="B233" s="24" t="s">
        <v>1367</v>
      </c>
      <c r="C233" s="40" t="s">
        <v>3854</v>
      </c>
      <c r="D233" s="24"/>
      <c r="E233" s="24"/>
      <c r="F233" s="24"/>
      <c r="G233" s="24"/>
      <c r="H233" s="24" t="s">
        <v>132</v>
      </c>
      <c r="I233" s="24" t="s">
        <v>3855</v>
      </c>
      <c r="J233" s="42" t="n">
        <f aca="false">INSUMOS_DIRECTOS_RECARGAS!H298</f>
        <v>5132.86012779398</v>
      </c>
      <c r="K233" s="42" t="n">
        <f aca="false">INSUMOS_DIRECTOS_RECARGAS!I298</f>
        <v>23033.5275209144</v>
      </c>
      <c r="L233" s="42" t="n">
        <f aca="false">INSUMOS_DIRECTOS_RECARGAS!J298</f>
        <v>46207.9261021773</v>
      </c>
      <c r="M233" s="42" t="n">
        <f aca="false">INSUMOS_DIRECTOS_RECARGAS!K298</f>
        <v>85753.4060243528</v>
      </c>
      <c r="N233" s="42" t="n">
        <f aca="false">INSUMOS_DIRECTOS_RECARGAS!L298</f>
        <v>126269.378330858</v>
      </c>
      <c r="O233" s="42" t="n">
        <f aca="false">INSUMOS_DIRECTOS_RECARGAS!M298</f>
        <v>171918.001471967</v>
      </c>
      <c r="P233" s="42" t="n">
        <f aca="false">INSUMOS_DIRECTOS_RECARGAS!N298</f>
        <v>213557.167518833</v>
      </c>
      <c r="Q233" s="42" t="n">
        <f aca="false">INSUMOS_DIRECTOS_RECARGAS!O298</f>
        <v>242801.272089467</v>
      </c>
      <c r="R233" s="42" t="n">
        <f aca="false">INSUMOS_DIRECTOS_RECARGAS!P298</f>
        <v>261143.487122556</v>
      </c>
      <c r="S233" s="42" t="n">
        <f aca="false">INSUMOS_DIRECTOS_RECARGAS!Q298</f>
        <v>279821.898521302</v>
      </c>
      <c r="T233" s="42" t="n">
        <f aca="false">INDEX(J233:S233,INDEX(P_VAL,MATCH("AÑO_DIS",P_ID,0))-2025)</f>
        <v>279821.898521302</v>
      </c>
      <c r="U233" s="24"/>
      <c r="V233" s="24"/>
      <c r="W233" s="24"/>
      <c r="X233" s="24"/>
      <c r="Y233" s="24"/>
    </row>
    <row r="234" customFormat="false" ht="15" hidden="false" customHeight="false" outlineLevel="0" collapsed="false">
      <c r="A234" s="38" t="n">
        <v>0</v>
      </c>
      <c r="B234" s="38" t="s">
        <v>590</v>
      </c>
      <c r="C234" s="38" t="str">
        <f aca="false">INDEX(C_TAB,MATCH($B234,C_COD,0),2)</f>
        <v>Etiqueta de n° de serie GS1 con QR</v>
      </c>
      <c r="D234" s="38" t="str">
        <f aca="false">INDEX(C_TAB,MATCH($B234,C_COD,0),3)</f>
        <v>u</v>
      </c>
      <c r="E234" s="38" t="str">
        <f aca="false">INDEX(C_TAB,MATCH($B234,C_COD,0),4)</f>
        <v>Directo</v>
      </c>
      <c r="F234" s="38" t="str">
        <f aca="false">INDEX(C_TAB,MATCH($B234,C_COD,0),5)</f>
        <v>Identificación</v>
      </c>
      <c r="G234" s="38" t="str">
        <f aca="false">INDEX(C_TAB,MATCH($B234,C_COD,0),6)</f>
        <v>Identificación</v>
      </c>
      <c r="H234" s="38"/>
      <c r="I234" s="38"/>
      <c r="J234" s="39" t="n">
        <f aca="false">SUM(J235:J237)</f>
        <v>7478.58027218</v>
      </c>
      <c r="K234" s="39" t="n">
        <f aca="false">SUM(K235:K237)</f>
        <v>12770.45619482</v>
      </c>
      <c r="L234" s="39" t="n">
        <f aca="false">SUM(L235:L237)</f>
        <v>15814.51634636</v>
      </c>
      <c r="M234" s="39" t="n">
        <f aca="false">SUM(M235:M237)</f>
        <v>21521.72894185</v>
      </c>
      <c r="N234" s="39" t="n">
        <f aca="false">SUM(N235:N237)</f>
        <v>31117.88954189</v>
      </c>
      <c r="O234" s="39" t="n">
        <f aca="false">SUM(O235:O237)</f>
        <v>39801.83002987</v>
      </c>
      <c r="P234" s="39" t="n">
        <f aca="false">SUM(P235:P237)</f>
        <v>49740.61210161</v>
      </c>
      <c r="Q234" s="39" t="n">
        <f aca="false">SUM(Q235:Q237)</f>
        <v>59350.6609318</v>
      </c>
      <c r="R234" s="39" t="n">
        <f aca="false">SUM(R235:R237)</f>
        <v>66844.0566494</v>
      </c>
      <c r="S234" s="39" t="n">
        <f aca="false">SUM(S235:S237)</f>
        <v>75863.6065059</v>
      </c>
      <c r="T234" s="39" t="n">
        <f aca="false">INDEX(J234:S234,INDEX(P_VAL,MATCH("AÑO_DIS",P_ID,0))-2025)</f>
        <v>75863.6065059</v>
      </c>
      <c r="U234" s="38" t="str">
        <f aca="false">INDEX(C_TAB,MATCH($B234,C_COD,0),10)</f>
        <v>Rollo de 1.000 u</v>
      </c>
      <c r="V234" s="38" t="n">
        <f aca="false">INDEX(C_TAB,MATCH($B234,C_COD,0),11)</f>
        <v>1000</v>
      </c>
      <c r="W234" s="44" t="n">
        <f aca="false">ROUNDUP(T234/V234,0)</f>
        <v>76</v>
      </c>
      <c r="X234" s="38" t="str">
        <f aca="false">INDEX(C_TAB,MATCH($B234,C_COD,0),7)</f>
        <v>Astuprint</v>
      </c>
      <c r="Y234" s="38" t="n">
        <f aca="false">INDEX(C_TAB,MATCH($B234,C_COD,0),12)</f>
        <v>10</v>
      </c>
    </row>
    <row r="235" customFormat="false" ht="15" hidden="false" customHeight="false" outlineLevel="1" collapsed="false">
      <c r="A235" s="24" t="n">
        <v>1</v>
      </c>
      <c r="B235" s="24" t="s">
        <v>590</v>
      </c>
      <c r="C235" s="40" t="s">
        <v>3852</v>
      </c>
      <c r="D235" s="24"/>
      <c r="E235" s="24"/>
      <c r="F235" s="24"/>
      <c r="G235" s="24"/>
      <c r="H235" s="24" t="s">
        <v>229</v>
      </c>
      <c r="I235" s="24" t="s">
        <v>3853</v>
      </c>
      <c r="J235" s="42" t="n">
        <f aca="false">INSUMOS_DIRECTOS_MANUALES!H136</f>
        <v>7275.37310673</v>
      </c>
      <c r="K235" s="42" t="n">
        <f aca="false">INSUMOS_DIRECTOS_MANUALES!I136</f>
        <v>12309.257605</v>
      </c>
      <c r="L235" s="42" t="n">
        <f aca="false">INSUMOS_DIRECTOS_MANUALES!J136</f>
        <v>15216.1321864</v>
      </c>
      <c r="M235" s="42" t="n">
        <f aca="false">INSUMOS_DIRECTOS_MANUALES!K136</f>
        <v>20602.9095301</v>
      </c>
      <c r="N235" s="42" t="n">
        <f aca="false">INSUMOS_DIRECTOS_MANUALES!L136</f>
        <v>29935.2855279</v>
      </c>
      <c r="O235" s="42" t="n">
        <f aca="false">INSUMOS_DIRECTOS_MANUALES!M136</f>
        <v>38300.692099</v>
      </c>
      <c r="P235" s="42" t="n">
        <f aca="false">INSUMOS_DIRECTOS_MANUALES!N136</f>
        <v>48020.789169</v>
      </c>
      <c r="Q235" s="42" t="n">
        <f aca="false">INSUMOS_DIRECTOS_MANUALES!O136</f>
        <v>57492.016249</v>
      </c>
      <c r="R235" s="42" t="n">
        <f aca="false">INSUMOS_DIRECTOS_MANUALES!P136</f>
        <v>64888.596987</v>
      </c>
      <c r="S235" s="42" t="n">
        <f aca="false">INSUMOS_DIRECTOS_MANUALES!Q136</f>
        <v>73657.124373</v>
      </c>
      <c r="T235" s="42" t="n">
        <f aca="false">INDEX(J235:S235,INDEX(P_VAL,MATCH("AÑO_DIS",P_ID,0))-2025)</f>
        <v>73657.124373</v>
      </c>
      <c r="U235" s="24"/>
      <c r="V235" s="24"/>
      <c r="W235" s="24"/>
      <c r="X235" s="24"/>
      <c r="Y235" s="24"/>
    </row>
    <row r="236" customFormat="false" ht="15" hidden="false" customHeight="false" outlineLevel="1" collapsed="false">
      <c r="A236" s="24" t="n">
        <v>1</v>
      </c>
      <c r="B236" s="24" t="s">
        <v>590</v>
      </c>
      <c r="C236" s="40" t="s">
        <v>3856</v>
      </c>
      <c r="D236" s="24"/>
      <c r="E236" s="24"/>
      <c r="F236" s="24"/>
      <c r="G236" s="24"/>
      <c r="H236" s="24" t="s">
        <v>244</v>
      </c>
      <c r="I236" s="24" t="s">
        <v>3857</v>
      </c>
      <c r="J236" s="42" t="n">
        <f aca="false">INSUMOS_DIRECTOS_RODANTES!H170</f>
        <v>136.20716545</v>
      </c>
      <c r="K236" s="42" t="n">
        <f aca="false">INSUMOS_DIRECTOS_RODANTES!I170</f>
        <v>233.84858982</v>
      </c>
      <c r="L236" s="42" t="n">
        <f aca="false">INSUMOS_DIRECTOS_RODANTES!J170</f>
        <v>300.83415996</v>
      </c>
      <c r="M236" s="42" t="n">
        <f aca="false">INSUMOS_DIRECTOS_RODANTES!K170</f>
        <v>402.11941175</v>
      </c>
      <c r="N236" s="42" t="n">
        <f aca="false">INSUMOS_DIRECTOS_RODANTES!L170</f>
        <v>623.50401399</v>
      </c>
      <c r="O236" s="42" t="n">
        <f aca="false">INSUMOS_DIRECTOS_RODANTES!M170</f>
        <v>847.73793087</v>
      </c>
      <c r="P236" s="42" t="n">
        <f aca="false">INSUMOS_DIRECTOS_RODANTES!N170</f>
        <v>1090.67293261</v>
      </c>
      <c r="Q236" s="42" t="n">
        <f aca="false">INSUMOS_DIRECTOS_RODANTES!O170</f>
        <v>1351.3946828</v>
      </c>
      <c r="R236" s="42" t="n">
        <f aca="false">INSUMOS_DIRECTOS_RODANTES!P170</f>
        <v>1574.5096624</v>
      </c>
      <c r="S236" s="42" t="n">
        <f aca="false">INSUMOS_DIRECTOS_RODANTES!Q170</f>
        <v>1813.0821329</v>
      </c>
      <c r="T236" s="42" t="n">
        <f aca="false">INDEX(J236:S236,INDEX(P_VAL,MATCH("AÑO_DIS",P_ID,0))-2025)</f>
        <v>1813.0821329</v>
      </c>
      <c r="U236" s="24"/>
      <c r="V236" s="24"/>
      <c r="W236" s="24"/>
      <c r="X236" s="24"/>
      <c r="Y236" s="24"/>
    </row>
    <row r="237" customFormat="false" ht="15" hidden="false" customHeight="false" outlineLevel="1" collapsed="false">
      <c r="A237" s="24" t="n">
        <v>1</v>
      </c>
      <c r="B237" s="24" t="s">
        <v>590</v>
      </c>
      <c r="C237" s="40" t="s">
        <v>3854</v>
      </c>
      <c r="D237" s="24"/>
      <c r="E237" s="24"/>
      <c r="F237" s="24"/>
      <c r="G237" s="24"/>
      <c r="H237" s="24" t="s">
        <v>132</v>
      </c>
      <c r="I237" s="24" t="s">
        <v>3855</v>
      </c>
      <c r="J237" s="42" t="n">
        <f aca="false">INSUMOS_DIRECTOS_RECARGAS!H328</f>
        <v>67</v>
      </c>
      <c r="K237" s="42" t="n">
        <f aca="false">INSUMOS_DIRECTOS_RECARGAS!I328</f>
        <v>227.35</v>
      </c>
      <c r="L237" s="42" t="n">
        <f aca="false">INSUMOS_DIRECTOS_RECARGAS!J328</f>
        <v>297.55</v>
      </c>
      <c r="M237" s="42" t="n">
        <f aca="false">INSUMOS_DIRECTOS_RECARGAS!K328</f>
        <v>516.7</v>
      </c>
      <c r="N237" s="42" t="n">
        <f aca="false">INSUMOS_DIRECTOS_RECARGAS!L328</f>
        <v>559.1</v>
      </c>
      <c r="O237" s="42" t="n">
        <f aca="false">INSUMOS_DIRECTOS_RECARGAS!M328</f>
        <v>653.4</v>
      </c>
      <c r="P237" s="42" t="n">
        <f aca="false">INSUMOS_DIRECTOS_RECARGAS!N328</f>
        <v>629.15</v>
      </c>
      <c r="Q237" s="42" t="n">
        <f aca="false">INSUMOS_DIRECTOS_RECARGAS!O328</f>
        <v>507.25</v>
      </c>
      <c r="R237" s="42" t="n">
        <f aca="false">INSUMOS_DIRECTOS_RECARGAS!P328</f>
        <v>380.95</v>
      </c>
      <c r="S237" s="42" t="n">
        <f aca="false">INSUMOS_DIRECTOS_RECARGAS!Q328</f>
        <v>393.4</v>
      </c>
      <c r="T237" s="42" t="n">
        <f aca="false">INDEX(J237:S237,INDEX(P_VAL,MATCH("AÑO_DIS",P_ID,0))-2025)</f>
        <v>393.4</v>
      </c>
      <c r="U237" s="24"/>
      <c r="V237" s="24"/>
      <c r="W237" s="24"/>
      <c r="X237" s="24"/>
      <c r="Y237" s="24"/>
    </row>
    <row r="238" customFormat="false" ht="15" hidden="false" customHeight="false" outlineLevel="0" collapsed="false">
      <c r="A238" s="38" t="n">
        <v>0</v>
      </c>
      <c r="B238" s="38" t="s">
        <v>594</v>
      </c>
      <c r="C238" s="38" t="str">
        <f aca="false">INDEX(C_TAB,MATCH($B238,C_COD,0),2)</f>
        <v>Faja de garantía válvula-cuello</v>
      </c>
      <c r="D238" s="38" t="str">
        <f aca="false">INDEX(C_TAB,MATCH($B238,C_COD,0),3)</f>
        <v>u</v>
      </c>
      <c r="E238" s="38" t="str">
        <f aca="false">INDEX(C_TAB,MATCH($B238,C_COD,0),4)</f>
        <v>Directo</v>
      </c>
      <c r="F238" s="38" t="str">
        <f aca="false">INDEX(C_TAB,MATCH($B238,C_COD,0),5)</f>
        <v>Identificación</v>
      </c>
      <c r="G238" s="38" t="str">
        <f aca="false">INDEX(C_TAB,MATCH($B238,C_COD,0),6)</f>
        <v>Identificación</v>
      </c>
      <c r="H238" s="38"/>
      <c r="I238" s="38"/>
      <c r="J238" s="39" t="n">
        <f aca="false">SUM(J239:J241)</f>
        <v>7478.58027218</v>
      </c>
      <c r="K238" s="39" t="n">
        <f aca="false">SUM(K239:K241)</f>
        <v>12770.45619482</v>
      </c>
      <c r="L238" s="39" t="n">
        <f aca="false">SUM(L239:L241)</f>
        <v>15814.51634636</v>
      </c>
      <c r="M238" s="39" t="n">
        <f aca="false">SUM(M239:M241)</f>
        <v>21521.72894185</v>
      </c>
      <c r="N238" s="39" t="n">
        <f aca="false">SUM(N239:N241)</f>
        <v>31117.88954189</v>
      </c>
      <c r="O238" s="39" t="n">
        <f aca="false">SUM(O239:O241)</f>
        <v>39801.83002987</v>
      </c>
      <c r="P238" s="39" t="n">
        <f aca="false">SUM(P239:P241)</f>
        <v>49740.61210161</v>
      </c>
      <c r="Q238" s="39" t="n">
        <f aca="false">SUM(Q239:Q241)</f>
        <v>59350.6609318</v>
      </c>
      <c r="R238" s="39" t="n">
        <f aca="false">SUM(R239:R241)</f>
        <v>66844.0566494</v>
      </c>
      <c r="S238" s="39" t="n">
        <f aca="false">SUM(S239:S241)</f>
        <v>75863.6065059</v>
      </c>
      <c r="T238" s="39" t="n">
        <f aca="false">INDEX(J238:S238,INDEX(P_VAL,MATCH("AÑO_DIS",P_ID,0))-2025)</f>
        <v>75863.6065059</v>
      </c>
      <c r="U238" s="38" t="str">
        <f aca="false">INDEX(C_TAB,MATCH($B238,C_COD,0),10)</f>
        <v>Rollo de 1.000 u</v>
      </c>
      <c r="V238" s="38" t="n">
        <f aca="false">INDEX(C_TAB,MATCH($B238,C_COD,0),11)</f>
        <v>1000</v>
      </c>
      <c r="W238" s="44" t="n">
        <f aca="false">ROUNDUP(T238/V238,0)</f>
        <v>76</v>
      </c>
      <c r="X238" s="38" t="str">
        <f aca="false">INDEX(C_TAB,MATCH($B238,C_COD,0),7)</f>
        <v>Astuprint</v>
      </c>
      <c r="Y238" s="38" t="n">
        <f aca="false">INDEX(C_TAB,MATCH($B238,C_COD,0),12)</f>
        <v>10</v>
      </c>
    </row>
    <row r="239" customFormat="false" ht="15" hidden="false" customHeight="false" outlineLevel="1" collapsed="false">
      <c r="A239" s="24" t="n">
        <v>1</v>
      </c>
      <c r="B239" s="24" t="s">
        <v>594</v>
      </c>
      <c r="C239" s="40" t="s">
        <v>3852</v>
      </c>
      <c r="D239" s="24"/>
      <c r="E239" s="24"/>
      <c r="F239" s="24"/>
      <c r="G239" s="24"/>
      <c r="H239" s="24" t="s">
        <v>229</v>
      </c>
      <c r="I239" s="24" t="s">
        <v>3853</v>
      </c>
      <c r="J239" s="42" t="n">
        <f aca="false">INSUMOS_DIRECTOS_MANUALES!H141</f>
        <v>7275.37310673</v>
      </c>
      <c r="K239" s="42" t="n">
        <f aca="false">INSUMOS_DIRECTOS_MANUALES!I141</f>
        <v>12309.257605</v>
      </c>
      <c r="L239" s="42" t="n">
        <f aca="false">INSUMOS_DIRECTOS_MANUALES!J141</f>
        <v>15216.1321864</v>
      </c>
      <c r="M239" s="42" t="n">
        <f aca="false">INSUMOS_DIRECTOS_MANUALES!K141</f>
        <v>20602.9095301</v>
      </c>
      <c r="N239" s="42" t="n">
        <f aca="false">INSUMOS_DIRECTOS_MANUALES!L141</f>
        <v>29935.2855279</v>
      </c>
      <c r="O239" s="42" t="n">
        <f aca="false">INSUMOS_DIRECTOS_MANUALES!M141</f>
        <v>38300.692099</v>
      </c>
      <c r="P239" s="42" t="n">
        <f aca="false">INSUMOS_DIRECTOS_MANUALES!N141</f>
        <v>48020.789169</v>
      </c>
      <c r="Q239" s="42" t="n">
        <f aca="false">INSUMOS_DIRECTOS_MANUALES!O141</f>
        <v>57492.016249</v>
      </c>
      <c r="R239" s="42" t="n">
        <f aca="false">INSUMOS_DIRECTOS_MANUALES!P141</f>
        <v>64888.596987</v>
      </c>
      <c r="S239" s="42" t="n">
        <f aca="false">INSUMOS_DIRECTOS_MANUALES!Q141</f>
        <v>73657.124373</v>
      </c>
      <c r="T239" s="42" t="n">
        <f aca="false">INDEX(J239:S239,INDEX(P_VAL,MATCH("AÑO_DIS",P_ID,0))-2025)</f>
        <v>73657.124373</v>
      </c>
      <c r="U239" s="24"/>
      <c r="V239" s="24"/>
      <c r="W239" s="24"/>
      <c r="X239" s="24"/>
      <c r="Y239" s="24"/>
    </row>
    <row r="240" customFormat="false" ht="15" hidden="false" customHeight="false" outlineLevel="1" collapsed="false">
      <c r="A240" s="24" t="n">
        <v>1</v>
      </c>
      <c r="B240" s="24" t="s">
        <v>594</v>
      </c>
      <c r="C240" s="40" t="s">
        <v>3856</v>
      </c>
      <c r="D240" s="24"/>
      <c r="E240" s="24"/>
      <c r="F240" s="24"/>
      <c r="G240" s="24"/>
      <c r="H240" s="24" t="s">
        <v>244</v>
      </c>
      <c r="I240" s="24" t="s">
        <v>3857</v>
      </c>
      <c r="J240" s="42" t="n">
        <f aca="false">INSUMOS_DIRECTOS_RODANTES!H175</f>
        <v>136.20716545</v>
      </c>
      <c r="K240" s="42" t="n">
        <f aca="false">INSUMOS_DIRECTOS_RODANTES!I175</f>
        <v>233.84858982</v>
      </c>
      <c r="L240" s="42" t="n">
        <f aca="false">INSUMOS_DIRECTOS_RODANTES!J175</f>
        <v>300.83415996</v>
      </c>
      <c r="M240" s="42" t="n">
        <f aca="false">INSUMOS_DIRECTOS_RODANTES!K175</f>
        <v>402.11941175</v>
      </c>
      <c r="N240" s="42" t="n">
        <f aca="false">INSUMOS_DIRECTOS_RODANTES!L175</f>
        <v>623.50401399</v>
      </c>
      <c r="O240" s="42" t="n">
        <f aca="false">INSUMOS_DIRECTOS_RODANTES!M175</f>
        <v>847.73793087</v>
      </c>
      <c r="P240" s="42" t="n">
        <f aca="false">INSUMOS_DIRECTOS_RODANTES!N175</f>
        <v>1090.67293261</v>
      </c>
      <c r="Q240" s="42" t="n">
        <f aca="false">INSUMOS_DIRECTOS_RODANTES!O175</f>
        <v>1351.3946828</v>
      </c>
      <c r="R240" s="42" t="n">
        <f aca="false">INSUMOS_DIRECTOS_RODANTES!P175</f>
        <v>1574.5096624</v>
      </c>
      <c r="S240" s="42" t="n">
        <f aca="false">INSUMOS_DIRECTOS_RODANTES!Q175</f>
        <v>1813.0821329</v>
      </c>
      <c r="T240" s="42" t="n">
        <f aca="false">INDEX(J240:S240,INDEX(P_VAL,MATCH("AÑO_DIS",P_ID,0))-2025)</f>
        <v>1813.0821329</v>
      </c>
      <c r="U240" s="24"/>
      <c r="V240" s="24"/>
      <c r="W240" s="24"/>
      <c r="X240" s="24"/>
      <c r="Y240" s="24"/>
    </row>
    <row r="241" customFormat="false" ht="15" hidden="false" customHeight="false" outlineLevel="1" collapsed="false">
      <c r="A241" s="24" t="n">
        <v>1</v>
      </c>
      <c r="B241" s="24" t="s">
        <v>594</v>
      </c>
      <c r="C241" s="40" t="s">
        <v>3854</v>
      </c>
      <c r="D241" s="24"/>
      <c r="E241" s="24"/>
      <c r="F241" s="24"/>
      <c r="G241" s="24"/>
      <c r="H241" s="24" t="s">
        <v>132</v>
      </c>
      <c r="I241" s="24" t="s">
        <v>3855</v>
      </c>
      <c r="J241" s="42" t="n">
        <f aca="false">INSUMOS_DIRECTOS_RECARGAS!H333</f>
        <v>67</v>
      </c>
      <c r="K241" s="42" t="n">
        <f aca="false">INSUMOS_DIRECTOS_RECARGAS!I333</f>
        <v>227.35</v>
      </c>
      <c r="L241" s="42" t="n">
        <f aca="false">INSUMOS_DIRECTOS_RECARGAS!J333</f>
        <v>297.55</v>
      </c>
      <c r="M241" s="42" t="n">
        <f aca="false">INSUMOS_DIRECTOS_RECARGAS!K333</f>
        <v>516.7</v>
      </c>
      <c r="N241" s="42" t="n">
        <f aca="false">INSUMOS_DIRECTOS_RECARGAS!L333</f>
        <v>559.1</v>
      </c>
      <c r="O241" s="42" t="n">
        <f aca="false">INSUMOS_DIRECTOS_RECARGAS!M333</f>
        <v>653.4</v>
      </c>
      <c r="P241" s="42" t="n">
        <f aca="false">INSUMOS_DIRECTOS_RECARGAS!N333</f>
        <v>629.15</v>
      </c>
      <c r="Q241" s="42" t="n">
        <f aca="false">INSUMOS_DIRECTOS_RECARGAS!O333</f>
        <v>507.25</v>
      </c>
      <c r="R241" s="42" t="n">
        <f aca="false">INSUMOS_DIRECTOS_RECARGAS!P333</f>
        <v>380.95</v>
      </c>
      <c r="S241" s="42" t="n">
        <f aca="false">INSUMOS_DIRECTOS_RECARGAS!Q333</f>
        <v>393.4</v>
      </c>
      <c r="T241" s="42" t="n">
        <f aca="false">INDEX(J241:S241,INDEX(P_VAL,MATCH("AÑO_DIS",P_ID,0))-2025)</f>
        <v>393.4</v>
      </c>
      <c r="U241" s="24"/>
      <c r="V241" s="24"/>
      <c r="W241" s="24"/>
      <c r="X241" s="24"/>
      <c r="Y241" s="24"/>
    </row>
    <row r="242" customFormat="false" ht="15" hidden="false" customHeight="false" outlineLevel="0" collapsed="false">
      <c r="A242" s="38" t="n">
        <v>0</v>
      </c>
      <c r="B242" s="38" t="s">
        <v>598</v>
      </c>
      <c r="C242" s="38" t="str">
        <f aca="false">INDEX(C_TAB,MATCH($B242,C_COD,0),2)</f>
        <v>Precinto de fábrica numerado «FLAMA»</v>
      </c>
      <c r="D242" s="38" t="str">
        <f aca="false">INDEX(C_TAB,MATCH($B242,C_COD,0),3)</f>
        <v>u</v>
      </c>
      <c r="E242" s="38" t="str">
        <f aca="false">INDEX(C_TAB,MATCH($B242,C_COD,0),4)</f>
        <v>Directo</v>
      </c>
      <c r="F242" s="38" t="str">
        <f aca="false">INDEX(C_TAB,MATCH($B242,C_COD,0),5)</f>
        <v>Identificación</v>
      </c>
      <c r="G242" s="38" t="str">
        <f aca="false">INDEX(C_TAB,MATCH($B242,C_COD,0),6)</f>
        <v>Identificación</v>
      </c>
      <c r="H242" s="38"/>
      <c r="I242" s="38"/>
      <c r="J242" s="39" t="n">
        <f aca="false">SUM(J243:J245)</f>
        <v>7478.58027218</v>
      </c>
      <c r="K242" s="39" t="n">
        <f aca="false">SUM(K243:K245)</f>
        <v>12770.45619482</v>
      </c>
      <c r="L242" s="39" t="n">
        <f aca="false">SUM(L243:L245)</f>
        <v>15814.51634636</v>
      </c>
      <c r="M242" s="39" t="n">
        <f aca="false">SUM(M243:M245)</f>
        <v>21521.72894185</v>
      </c>
      <c r="N242" s="39" t="n">
        <f aca="false">SUM(N243:N245)</f>
        <v>31117.88954189</v>
      </c>
      <c r="O242" s="39" t="n">
        <f aca="false">SUM(O243:O245)</f>
        <v>39801.83002987</v>
      </c>
      <c r="P242" s="39" t="n">
        <f aca="false">SUM(P243:P245)</f>
        <v>49740.61210161</v>
      </c>
      <c r="Q242" s="39" t="n">
        <f aca="false">SUM(Q243:Q245)</f>
        <v>59350.6609318</v>
      </c>
      <c r="R242" s="39" t="n">
        <f aca="false">SUM(R243:R245)</f>
        <v>66844.0566494</v>
      </c>
      <c r="S242" s="39" t="n">
        <f aca="false">SUM(S243:S245)</f>
        <v>75863.6065059</v>
      </c>
      <c r="T242" s="39" t="n">
        <f aca="false">INDEX(J242:S242,INDEX(P_VAL,MATCH("AÑO_DIS",P_ID,0))-2025)</f>
        <v>75863.6065059</v>
      </c>
      <c r="U242" s="38" t="str">
        <f aca="false">INDEX(C_TAB,MATCH($B242,C_COD,0),10)</f>
        <v>Bolsa de 1.000 u</v>
      </c>
      <c r="V242" s="38" t="n">
        <f aca="false">INDEX(C_TAB,MATCH($B242,C_COD,0),11)</f>
        <v>1000</v>
      </c>
      <c r="W242" s="44" t="n">
        <f aca="false">ROUNDUP(T242/V242,0)</f>
        <v>76</v>
      </c>
      <c r="X242" s="38" t="str">
        <f aca="false">INDEX(C_TAB,MATCH($B242,C_COD,0),7)</f>
        <v>SonFuertes</v>
      </c>
      <c r="Y242" s="38" t="n">
        <f aca="false">INDEX(C_TAB,MATCH($B242,C_COD,0),12)</f>
        <v>10</v>
      </c>
    </row>
    <row r="243" customFormat="false" ht="15" hidden="false" customHeight="false" outlineLevel="1" collapsed="false">
      <c r="A243" s="24" t="n">
        <v>1</v>
      </c>
      <c r="B243" s="24" t="s">
        <v>598</v>
      </c>
      <c r="C243" s="40" t="s">
        <v>3852</v>
      </c>
      <c r="D243" s="24"/>
      <c r="E243" s="24"/>
      <c r="F243" s="24"/>
      <c r="G243" s="24"/>
      <c r="H243" s="24" t="s">
        <v>229</v>
      </c>
      <c r="I243" s="24" t="s">
        <v>3853</v>
      </c>
      <c r="J243" s="42" t="n">
        <f aca="false">INSUMOS_DIRECTOS_MANUALES!H146</f>
        <v>7275.37310673</v>
      </c>
      <c r="K243" s="42" t="n">
        <f aca="false">INSUMOS_DIRECTOS_MANUALES!I146</f>
        <v>12309.257605</v>
      </c>
      <c r="L243" s="42" t="n">
        <f aca="false">INSUMOS_DIRECTOS_MANUALES!J146</f>
        <v>15216.1321864</v>
      </c>
      <c r="M243" s="42" t="n">
        <f aca="false">INSUMOS_DIRECTOS_MANUALES!K146</f>
        <v>20602.9095301</v>
      </c>
      <c r="N243" s="42" t="n">
        <f aca="false">INSUMOS_DIRECTOS_MANUALES!L146</f>
        <v>29935.2855279</v>
      </c>
      <c r="O243" s="42" t="n">
        <f aca="false">INSUMOS_DIRECTOS_MANUALES!M146</f>
        <v>38300.692099</v>
      </c>
      <c r="P243" s="42" t="n">
        <f aca="false">INSUMOS_DIRECTOS_MANUALES!N146</f>
        <v>48020.789169</v>
      </c>
      <c r="Q243" s="42" t="n">
        <f aca="false">INSUMOS_DIRECTOS_MANUALES!O146</f>
        <v>57492.016249</v>
      </c>
      <c r="R243" s="42" t="n">
        <f aca="false">INSUMOS_DIRECTOS_MANUALES!P146</f>
        <v>64888.596987</v>
      </c>
      <c r="S243" s="42" t="n">
        <f aca="false">INSUMOS_DIRECTOS_MANUALES!Q146</f>
        <v>73657.124373</v>
      </c>
      <c r="T243" s="42" t="n">
        <f aca="false">INDEX(J243:S243,INDEX(P_VAL,MATCH("AÑO_DIS",P_ID,0))-2025)</f>
        <v>73657.124373</v>
      </c>
      <c r="U243" s="24"/>
      <c r="V243" s="24"/>
      <c r="W243" s="24"/>
      <c r="X243" s="24"/>
      <c r="Y243" s="24"/>
    </row>
    <row r="244" customFormat="false" ht="15" hidden="false" customHeight="false" outlineLevel="1" collapsed="false">
      <c r="A244" s="24" t="n">
        <v>1</v>
      </c>
      <c r="B244" s="24" t="s">
        <v>598</v>
      </c>
      <c r="C244" s="40" t="s">
        <v>3856</v>
      </c>
      <c r="D244" s="24"/>
      <c r="E244" s="24"/>
      <c r="F244" s="24"/>
      <c r="G244" s="24"/>
      <c r="H244" s="24" t="s">
        <v>244</v>
      </c>
      <c r="I244" s="24" t="s">
        <v>3857</v>
      </c>
      <c r="J244" s="42" t="n">
        <f aca="false">INSUMOS_DIRECTOS_RODANTES!H180</f>
        <v>136.20716545</v>
      </c>
      <c r="K244" s="42" t="n">
        <f aca="false">INSUMOS_DIRECTOS_RODANTES!I180</f>
        <v>233.84858982</v>
      </c>
      <c r="L244" s="42" t="n">
        <f aca="false">INSUMOS_DIRECTOS_RODANTES!J180</f>
        <v>300.83415996</v>
      </c>
      <c r="M244" s="42" t="n">
        <f aca="false">INSUMOS_DIRECTOS_RODANTES!K180</f>
        <v>402.11941175</v>
      </c>
      <c r="N244" s="42" t="n">
        <f aca="false">INSUMOS_DIRECTOS_RODANTES!L180</f>
        <v>623.50401399</v>
      </c>
      <c r="O244" s="42" t="n">
        <f aca="false">INSUMOS_DIRECTOS_RODANTES!M180</f>
        <v>847.73793087</v>
      </c>
      <c r="P244" s="42" t="n">
        <f aca="false">INSUMOS_DIRECTOS_RODANTES!N180</f>
        <v>1090.67293261</v>
      </c>
      <c r="Q244" s="42" t="n">
        <f aca="false">INSUMOS_DIRECTOS_RODANTES!O180</f>
        <v>1351.3946828</v>
      </c>
      <c r="R244" s="42" t="n">
        <f aca="false">INSUMOS_DIRECTOS_RODANTES!P180</f>
        <v>1574.5096624</v>
      </c>
      <c r="S244" s="42" t="n">
        <f aca="false">INSUMOS_DIRECTOS_RODANTES!Q180</f>
        <v>1813.0821329</v>
      </c>
      <c r="T244" s="42" t="n">
        <f aca="false">INDEX(J244:S244,INDEX(P_VAL,MATCH("AÑO_DIS",P_ID,0))-2025)</f>
        <v>1813.0821329</v>
      </c>
      <c r="U244" s="24"/>
      <c r="V244" s="24"/>
      <c r="W244" s="24"/>
      <c r="X244" s="24"/>
      <c r="Y244" s="24"/>
    </row>
    <row r="245" customFormat="false" ht="15" hidden="false" customHeight="false" outlineLevel="1" collapsed="false">
      <c r="A245" s="24" t="n">
        <v>1</v>
      </c>
      <c r="B245" s="24" t="s">
        <v>598</v>
      </c>
      <c r="C245" s="40" t="s">
        <v>3854</v>
      </c>
      <c r="D245" s="24"/>
      <c r="E245" s="24"/>
      <c r="F245" s="24"/>
      <c r="G245" s="24"/>
      <c r="H245" s="24" t="s">
        <v>132</v>
      </c>
      <c r="I245" s="24" t="s">
        <v>3855</v>
      </c>
      <c r="J245" s="42" t="n">
        <f aca="false">INSUMOS_DIRECTOS_RECARGAS!H338</f>
        <v>67</v>
      </c>
      <c r="K245" s="42" t="n">
        <f aca="false">INSUMOS_DIRECTOS_RECARGAS!I338</f>
        <v>227.35</v>
      </c>
      <c r="L245" s="42" t="n">
        <f aca="false">INSUMOS_DIRECTOS_RECARGAS!J338</f>
        <v>297.55</v>
      </c>
      <c r="M245" s="42" t="n">
        <f aca="false">INSUMOS_DIRECTOS_RECARGAS!K338</f>
        <v>516.7</v>
      </c>
      <c r="N245" s="42" t="n">
        <f aca="false">INSUMOS_DIRECTOS_RECARGAS!L338</f>
        <v>559.1</v>
      </c>
      <c r="O245" s="42" t="n">
        <f aca="false">INSUMOS_DIRECTOS_RECARGAS!M338</f>
        <v>653.4</v>
      </c>
      <c r="P245" s="42" t="n">
        <f aca="false">INSUMOS_DIRECTOS_RECARGAS!N338</f>
        <v>629.15</v>
      </c>
      <c r="Q245" s="42" t="n">
        <f aca="false">INSUMOS_DIRECTOS_RECARGAS!O338</f>
        <v>507.25</v>
      </c>
      <c r="R245" s="42" t="n">
        <f aca="false">INSUMOS_DIRECTOS_RECARGAS!P338</f>
        <v>380.95</v>
      </c>
      <c r="S245" s="42" t="n">
        <f aca="false">INSUMOS_DIRECTOS_RECARGAS!Q338</f>
        <v>393.4</v>
      </c>
      <c r="T245" s="42" t="n">
        <f aca="false">INDEX(J245:S245,INDEX(P_VAL,MATCH("AÑO_DIS",P_ID,0))-2025)</f>
        <v>393.4</v>
      </c>
      <c r="U245" s="24"/>
      <c r="V245" s="24"/>
      <c r="W245" s="24"/>
      <c r="X245" s="24"/>
      <c r="Y245" s="24"/>
    </row>
    <row r="246" customFormat="false" ht="15" hidden="false" customHeight="false" outlineLevel="0" collapsed="false">
      <c r="A246" s="38" t="n">
        <v>0</v>
      </c>
      <c r="B246" s="38" t="s">
        <v>614</v>
      </c>
      <c r="C246" s="38" t="str">
        <f aca="false">INDEX(C_TAB,MATCH($B246,C_COD,0),2)</f>
        <v>Etiqueta de identificación del cilindro suelto</v>
      </c>
      <c r="D246" s="38" t="str">
        <f aca="false">INDEX(C_TAB,MATCH($B246,C_COD,0),3)</f>
        <v>u</v>
      </c>
      <c r="E246" s="38" t="str">
        <f aca="false">INDEX(C_TAB,MATCH($B246,C_COD,0),4)</f>
        <v>Directo</v>
      </c>
      <c r="F246" s="38" t="str">
        <f aca="false">INDEX(C_TAB,MATCH($B246,C_COD,0),5)</f>
        <v>Identificación</v>
      </c>
      <c r="G246" s="38" t="str">
        <f aca="false">INDEX(C_TAB,MATCH($B246,C_COD,0),6)</f>
        <v>Identificación</v>
      </c>
      <c r="H246" s="38"/>
      <c r="I246" s="38"/>
      <c r="J246" s="39" t="n">
        <f aca="false">SUM(J247:J248)</f>
        <v>0</v>
      </c>
      <c r="K246" s="39" t="n">
        <f aca="false">SUM(K247:K248)</f>
        <v>0</v>
      </c>
      <c r="L246" s="39" t="n">
        <f aca="false">SUM(L247:L248)</f>
        <v>9589</v>
      </c>
      <c r="M246" s="39" t="n">
        <f aca="false">SUM(M247:M248)</f>
        <v>33407</v>
      </c>
      <c r="N246" s="39" t="n">
        <f aca="false">SUM(N247:N248)</f>
        <v>61865</v>
      </c>
      <c r="O246" s="39" t="n">
        <f aca="false">SUM(O247:O248)</f>
        <v>89704</v>
      </c>
      <c r="P246" s="39" t="n">
        <f aca="false">SUM(P247:P248)</f>
        <v>126822</v>
      </c>
      <c r="Q246" s="39" t="n">
        <f aca="false">SUM(Q247:Q248)</f>
        <v>163940</v>
      </c>
      <c r="R246" s="39" t="n">
        <f aca="false">SUM(R247:R248)</f>
        <v>183736</v>
      </c>
      <c r="S246" s="39" t="n">
        <f aca="false">SUM(S247:S248)</f>
        <v>213430</v>
      </c>
      <c r="T246" s="39" t="n">
        <f aca="false">INDEX(J246:S246,INDEX(P_VAL,MATCH("AÑO_DIS",P_ID,0))-2025)</f>
        <v>213430</v>
      </c>
      <c r="U246" s="38" t="str">
        <f aca="false">INDEX(C_TAB,MATCH($B246,C_COD,0),10)</f>
        <v>Rollo de 1.000 u</v>
      </c>
      <c r="V246" s="38" t="n">
        <f aca="false">INDEX(C_TAB,MATCH($B246,C_COD,0),11)</f>
        <v>1000</v>
      </c>
      <c r="W246" s="44" t="n">
        <f aca="false">ROUNDUP(T246/V246,0)</f>
        <v>214</v>
      </c>
      <c r="X246" s="38" t="str">
        <f aca="false">INDEX(C_TAB,MATCH($B246,C_COD,0),7)</f>
        <v>Astuprint</v>
      </c>
      <c r="Y246" s="38" t="n">
        <f aca="false">INDEX(C_TAB,MATCH($B246,C_COD,0),12)</f>
        <v>10</v>
      </c>
    </row>
    <row r="247" customFormat="false" ht="15" hidden="false" customHeight="false" outlineLevel="1" collapsed="false">
      <c r="A247" s="24" t="n">
        <v>1</v>
      </c>
      <c r="B247" s="24" t="s">
        <v>614</v>
      </c>
      <c r="C247" s="40" t="s">
        <v>3852</v>
      </c>
      <c r="D247" s="24"/>
      <c r="E247" s="24"/>
      <c r="F247" s="24"/>
      <c r="G247" s="24"/>
      <c r="H247" s="24" t="s">
        <v>229</v>
      </c>
      <c r="I247" s="24" t="s">
        <v>3853</v>
      </c>
      <c r="J247" s="42" t="n">
        <f aca="false">INSUMOS_DIRECTOS_MANUALES!H151</f>
        <v>0</v>
      </c>
      <c r="K247" s="42" t="n">
        <f aca="false">INSUMOS_DIRECTOS_MANUALES!I151</f>
        <v>0</v>
      </c>
      <c r="L247" s="42" t="n">
        <f aca="false">INSUMOS_DIRECTOS_MANUALES!J151</f>
        <v>9531.2</v>
      </c>
      <c r="M247" s="42" t="n">
        <f aca="false">INSUMOS_DIRECTOS_MANUALES!K151</f>
        <v>33205.6</v>
      </c>
      <c r="N247" s="42" t="n">
        <f aca="false">INSUMOS_DIRECTOS_MANUALES!L151</f>
        <v>61492</v>
      </c>
      <c r="O247" s="42" t="n">
        <f aca="false">INSUMOS_DIRECTOS_MANUALES!M151</f>
        <v>89163.2</v>
      </c>
      <c r="P247" s="42" t="n">
        <f aca="false">INSUMOS_DIRECTOS_MANUALES!N151</f>
        <v>126057.6</v>
      </c>
      <c r="Q247" s="42" t="n">
        <f aca="false">INSUMOS_DIRECTOS_MANUALES!O151</f>
        <v>162952</v>
      </c>
      <c r="R247" s="42" t="n">
        <f aca="false">INSUMOS_DIRECTOS_MANUALES!P151</f>
        <v>182628.4</v>
      </c>
      <c r="S247" s="42" t="n">
        <f aca="false">INSUMOS_DIRECTOS_MANUALES!Q151</f>
        <v>212143</v>
      </c>
      <c r="T247" s="42" t="n">
        <f aca="false">INDEX(J247:S247,INDEX(P_VAL,MATCH("AÑO_DIS",P_ID,0))-2025)</f>
        <v>212143</v>
      </c>
      <c r="U247" s="24"/>
      <c r="V247" s="24"/>
      <c r="W247" s="24"/>
      <c r="X247" s="24"/>
      <c r="Y247" s="24"/>
    </row>
    <row r="248" customFormat="false" ht="15" hidden="false" customHeight="false" outlineLevel="1" collapsed="false">
      <c r="A248" s="24" t="n">
        <v>1</v>
      </c>
      <c r="B248" s="24" t="s">
        <v>614</v>
      </c>
      <c r="C248" s="40" t="s">
        <v>3856</v>
      </c>
      <c r="D248" s="24"/>
      <c r="E248" s="24"/>
      <c r="F248" s="24"/>
      <c r="G248" s="24"/>
      <c r="H248" s="24" t="s">
        <v>244</v>
      </c>
      <c r="I248" s="24" t="s">
        <v>3857</v>
      </c>
      <c r="J248" s="42" t="n">
        <f aca="false">INSUMOS_DIRECTOS_RODANTES!H185</f>
        <v>0</v>
      </c>
      <c r="K248" s="42" t="n">
        <f aca="false">INSUMOS_DIRECTOS_RODANTES!I185</f>
        <v>0</v>
      </c>
      <c r="L248" s="42" t="n">
        <f aca="false">INSUMOS_DIRECTOS_RODANTES!J185</f>
        <v>57.8</v>
      </c>
      <c r="M248" s="42" t="n">
        <f aca="false">INSUMOS_DIRECTOS_RODANTES!K185</f>
        <v>201.4</v>
      </c>
      <c r="N248" s="42" t="n">
        <f aca="false">INSUMOS_DIRECTOS_RODANTES!L185</f>
        <v>373</v>
      </c>
      <c r="O248" s="42" t="n">
        <f aca="false">INSUMOS_DIRECTOS_RODANTES!M185</f>
        <v>540.8</v>
      </c>
      <c r="P248" s="42" t="n">
        <f aca="false">INSUMOS_DIRECTOS_RODANTES!N185</f>
        <v>764.4</v>
      </c>
      <c r="Q248" s="42" t="n">
        <f aca="false">INSUMOS_DIRECTOS_RODANTES!O185</f>
        <v>988</v>
      </c>
      <c r="R248" s="42" t="n">
        <f aca="false">INSUMOS_DIRECTOS_RODANTES!P185</f>
        <v>1107.6</v>
      </c>
      <c r="S248" s="42" t="n">
        <f aca="false">INSUMOS_DIRECTOS_RODANTES!Q185</f>
        <v>1287</v>
      </c>
      <c r="T248" s="42" t="n">
        <f aca="false">INDEX(J248:S248,INDEX(P_VAL,MATCH("AÑO_DIS",P_ID,0))-2025)</f>
        <v>1287</v>
      </c>
      <c r="U248" s="24"/>
      <c r="V248" s="24"/>
      <c r="W248" s="24"/>
      <c r="X248" s="24"/>
      <c r="Y248" s="24"/>
    </row>
    <row r="249" customFormat="false" ht="15" hidden="false" customHeight="false" outlineLevel="0" collapsed="false">
      <c r="A249" s="38" t="n">
        <v>0</v>
      </c>
      <c r="B249" s="38" t="s">
        <v>1345</v>
      </c>
      <c r="C249" s="38" t="str">
        <f aca="false">INDEX(C_TAB,MATCH($B249,C_COD,0),2)</f>
        <v>Etiqueta de control periódico (celeste 35 × 50)</v>
      </c>
      <c r="D249" s="38" t="str">
        <f aca="false">INDEX(C_TAB,MATCH($B249,C_COD,0),3)</f>
        <v>u</v>
      </c>
      <c r="E249" s="38" t="str">
        <f aca="false">INDEX(C_TAB,MATCH($B249,C_COD,0),4)</f>
        <v>Directo</v>
      </c>
      <c r="F249" s="38" t="str">
        <f aca="false">INDEX(C_TAB,MATCH($B249,C_COD,0),5)</f>
        <v>Identificación</v>
      </c>
      <c r="G249" s="38" t="str">
        <f aca="false">INDEX(C_TAB,MATCH($B249,C_COD,0),6)</f>
        <v>Insumos de recargas</v>
      </c>
      <c r="H249" s="38"/>
      <c r="I249" s="38"/>
      <c r="J249" s="39" t="n">
        <f aca="false">SUM(J250:J250)</f>
        <v>27647.172392332</v>
      </c>
      <c r="K249" s="39" t="n">
        <f aca="false">SUM(K250:K250)</f>
        <v>123990.72365656</v>
      </c>
      <c r="L249" s="39" t="n">
        <f aca="false">SUM(L250:L250)</f>
        <v>248604.23199872</v>
      </c>
      <c r="M249" s="39" t="n">
        <f aca="false">SUM(M250:M250)</f>
        <v>461143.181738</v>
      </c>
      <c r="N249" s="39" t="n">
        <f aca="false">SUM(N250:N250)</f>
        <v>678749.5831956</v>
      </c>
      <c r="O249" s="39" t="n">
        <f aca="false">SUM(O250:O250)</f>
        <v>923844.4324408</v>
      </c>
      <c r="P249" s="39" t="n">
        <f aca="false">SUM(P250:P250)</f>
        <v>1147371.1286984</v>
      </c>
      <c r="Q249" s="39" t="n">
        <f aca="false">SUM(Q250:Q250)</f>
        <v>1304384.9529024</v>
      </c>
      <c r="R249" s="39" t="n">
        <f aca="false">SUM(R250:R250)</f>
        <v>1403010.8619372</v>
      </c>
      <c r="S249" s="39" t="n">
        <f aca="false">SUM(S250:S250)</f>
        <v>1503702.758332</v>
      </c>
      <c r="T249" s="39" t="n">
        <f aca="false">INDEX(J249:S249,INDEX(P_VAL,MATCH("AÑO_DIS",P_ID,0))-2025)</f>
        <v>1503702.758332</v>
      </c>
      <c r="U249" s="38" t="str">
        <f aca="false">INDEX(C_TAB,MATCH($B249,C_COD,0),10)</f>
        <v>Rollo de 1.000 u</v>
      </c>
      <c r="V249" s="38" t="n">
        <f aca="false">INDEX(C_TAB,MATCH($B249,C_COD,0),11)</f>
        <v>1000</v>
      </c>
      <c r="W249" s="44" t="n">
        <f aca="false">ROUNDUP(T249/V249,0)</f>
        <v>1504</v>
      </c>
      <c r="X249" s="38" t="str">
        <f aca="false">INDEX(C_TAB,MATCH($B249,C_COD,0),7)</f>
        <v>Astuprint</v>
      </c>
      <c r="Y249" s="38" t="n">
        <f aca="false">INDEX(C_TAB,MATCH($B249,C_COD,0),12)</f>
        <v>10</v>
      </c>
    </row>
    <row r="250" customFormat="false" ht="15" hidden="false" customHeight="false" outlineLevel="1" collapsed="false">
      <c r="A250" s="24" t="n">
        <v>1</v>
      </c>
      <c r="B250" s="24" t="s">
        <v>1345</v>
      </c>
      <c r="C250" s="40" t="s">
        <v>3854</v>
      </c>
      <c r="D250" s="24"/>
      <c r="E250" s="24"/>
      <c r="F250" s="24"/>
      <c r="G250" s="24"/>
      <c r="H250" s="24" t="s">
        <v>132</v>
      </c>
      <c r="I250" s="24" t="s">
        <v>3855</v>
      </c>
      <c r="J250" s="42" t="n">
        <f aca="false">INSUMOS_DIRECTOS_RECARGAS!H343</f>
        <v>27647.172392332</v>
      </c>
      <c r="K250" s="42" t="n">
        <f aca="false">INSUMOS_DIRECTOS_RECARGAS!I343</f>
        <v>123990.72365656</v>
      </c>
      <c r="L250" s="42" t="n">
        <f aca="false">INSUMOS_DIRECTOS_RECARGAS!J343</f>
        <v>248604.23199872</v>
      </c>
      <c r="M250" s="42" t="n">
        <f aca="false">INSUMOS_DIRECTOS_RECARGAS!K343</f>
        <v>461143.181738</v>
      </c>
      <c r="N250" s="42" t="n">
        <f aca="false">INSUMOS_DIRECTOS_RECARGAS!L343</f>
        <v>678749.5831956</v>
      </c>
      <c r="O250" s="42" t="n">
        <f aca="false">INSUMOS_DIRECTOS_RECARGAS!M343</f>
        <v>923844.4324408</v>
      </c>
      <c r="P250" s="42" t="n">
        <f aca="false">INSUMOS_DIRECTOS_RECARGAS!N343</f>
        <v>1147371.1286984</v>
      </c>
      <c r="Q250" s="42" t="n">
        <f aca="false">INSUMOS_DIRECTOS_RECARGAS!O343</f>
        <v>1304384.9529024</v>
      </c>
      <c r="R250" s="42" t="n">
        <f aca="false">INSUMOS_DIRECTOS_RECARGAS!P343</f>
        <v>1403010.8619372</v>
      </c>
      <c r="S250" s="42" t="n">
        <f aca="false">INSUMOS_DIRECTOS_RECARGAS!Q343</f>
        <v>1503702.758332</v>
      </c>
      <c r="T250" s="42" t="n">
        <f aca="false">INDEX(J250:S250,INDEX(P_VAL,MATCH("AÑO_DIS",P_ID,0))-2025)</f>
        <v>1503702.758332</v>
      </c>
      <c r="U250" s="24"/>
      <c r="V250" s="24"/>
      <c r="W250" s="24"/>
      <c r="X250" s="24"/>
      <c r="Y250" s="24"/>
    </row>
    <row r="251" customFormat="false" ht="15" hidden="false" customHeight="false" outlineLevel="0" collapsed="false">
      <c r="A251" s="38" t="n">
        <v>0</v>
      </c>
      <c r="B251" s="38" t="s">
        <v>1363</v>
      </c>
      <c r="C251" s="38" t="str">
        <f aca="false">INDEX(C_TAB,MATCH($B251,C_COD,0),2)</f>
        <v>Etiqueta de servicio del recargador</v>
      </c>
      <c r="D251" s="38" t="str">
        <f aca="false">INDEX(C_TAB,MATCH($B251,C_COD,0),3)</f>
        <v>u</v>
      </c>
      <c r="E251" s="38" t="str">
        <f aca="false">INDEX(C_TAB,MATCH($B251,C_COD,0),4)</f>
        <v>Directo</v>
      </c>
      <c r="F251" s="38" t="str">
        <f aca="false">INDEX(C_TAB,MATCH($B251,C_COD,0),5)</f>
        <v>Identificación</v>
      </c>
      <c r="G251" s="38" t="str">
        <f aca="false">INDEX(C_TAB,MATCH($B251,C_COD,0),6)</f>
        <v>Insumos de recargas</v>
      </c>
      <c r="H251" s="38"/>
      <c r="I251" s="38"/>
      <c r="J251" s="39" t="n">
        <f aca="false">SUM(J252:J252)</f>
        <v>6911.793098083</v>
      </c>
      <c r="K251" s="39" t="n">
        <f aca="false">SUM(K252:K252)</f>
        <v>30997.68091414</v>
      </c>
      <c r="L251" s="39" t="n">
        <f aca="false">SUM(L252:L252)</f>
        <v>62151.05799968</v>
      </c>
      <c r="M251" s="39" t="n">
        <f aca="false">SUM(M252:M252)</f>
        <v>115285.7954345</v>
      </c>
      <c r="N251" s="39" t="n">
        <f aca="false">SUM(N252:N252)</f>
        <v>169687.3957989</v>
      </c>
      <c r="O251" s="39" t="n">
        <f aca="false">SUM(O252:O252)</f>
        <v>230961.1081102</v>
      </c>
      <c r="P251" s="39" t="n">
        <f aca="false">SUM(P252:P252)</f>
        <v>286842.7821746</v>
      </c>
      <c r="Q251" s="39" t="n">
        <f aca="false">SUM(Q252:Q252)</f>
        <v>326096.2382256</v>
      </c>
      <c r="R251" s="39" t="n">
        <f aca="false">SUM(R252:R252)</f>
        <v>350752.7154843</v>
      </c>
      <c r="S251" s="39" t="n">
        <f aca="false">SUM(S252:S252)</f>
        <v>375925.689583</v>
      </c>
      <c r="T251" s="39" t="n">
        <f aca="false">INDEX(J251:S251,INDEX(P_VAL,MATCH("AÑO_DIS",P_ID,0))-2025)</f>
        <v>375925.689583</v>
      </c>
      <c r="U251" s="38" t="str">
        <f aca="false">INDEX(C_TAB,MATCH($B251,C_COD,0),10)</f>
        <v>Rollo de 1.000 u</v>
      </c>
      <c r="V251" s="38" t="n">
        <f aca="false">INDEX(C_TAB,MATCH($B251,C_COD,0),11)</f>
        <v>1000</v>
      </c>
      <c r="W251" s="44" t="n">
        <f aca="false">ROUNDUP(T251/V251,0)</f>
        <v>376</v>
      </c>
      <c r="X251" s="38" t="str">
        <f aca="false">INDEX(C_TAB,MATCH($B251,C_COD,0),7)</f>
        <v>Astuprint</v>
      </c>
      <c r="Y251" s="38" t="n">
        <f aca="false">INDEX(C_TAB,MATCH($B251,C_COD,0),12)</f>
        <v>10</v>
      </c>
    </row>
    <row r="252" customFormat="false" ht="15" hidden="false" customHeight="false" outlineLevel="1" collapsed="false">
      <c r="A252" s="24" t="n">
        <v>1</v>
      </c>
      <c r="B252" s="24" t="s">
        <v>1363</v>
      </c>
      <c r="C252" s="40" t="s">
        <v>3854</v>
      </c>
      <c r="D252" s="24"/>
      <c r="E252" s="24"/>
      <c r="F252" s="24"/>
      <c r="G252" s="24"/>
      <c r="H252" s="24" t="s">
        <v>132</v>
      </c>
      <c r="I252" s="24" t="s">
        <v>3855</v>
      </c>
      <c r="J252" s="42" t="n">
        <f aca="false">INSUMOS_DIRECTOS_RECARGAS!H373</f>
        <v>6911.793098083</v>
      </c>
      <c r="K252" s="42" t="n">
        <f aca="false">INSUMOS_DIRECTOS_RECARGAS!I373</f>
        <v>30997.68091414</v>
      </c>
      <c r="L252" s="42" t="n">
        <f aca="false">INSUMOS_DIRECTOS_RECARGAS!J373</f>
        <v>62151.05799968</v>
      </c>
      <c r="M252" s="42" t="n">
        <f aca="false">INSUMOS_DIRECTOS_RECARGAS!K373</f>
        <v>115285.7954345</v>
      </c>
      <c r="N252" s="42" t="n">
        <f aca="false">INSUMOS_DIRECTOS_RECARGAS!L373</f>
        <v>169687.3957989</v>
      </c>
      <c r="O252" s="42" t="n">
        <f aca="false">INSUMOS_DIRECTOS_RECARGAS!M373</f>
        <v>230961.1081102</v>
      </c>
      <c r="P252" s="42" t="n">
        <f aca="false">INSUMOS_DIRECTOS_RECARGAS!N373</f>
        <v>286842.7821746</v>
      </c>
      <c r="Q252" s="42" t="n">
        <f aca="false">INSUMOS_DIRECTOS_RECARGAS!O373</f>
        <v>326096.2382256</v>
      </c>
      <c r="R252" s="42" t="n">
        <f aca="false">INSUMOS_DIRECTOS_RECARGAS!P373</f>
        <v>350752.7154843</v>
      </c>
      <c r="S252" s="42" t="n">
        <f aca="false">INSUMOS_DIRECTOS_RECARGAS!Q373</f>
        <v>375925.689583</v>
      </c>
      <c r="T252" s="42" t="n">
        <f aca="false">INDEX(J252:S252,INDEX(P_VAL,MATCH("AÑO_DIS",P_ID,0))-2025)</f>
        <v>375925.689583</v>
      </c>
      <c r="U252" s="24"/>
      <c r="V252" s="24"/>
      <c r="W252" s="24"/>
      <c r="X252" s="24"/>
      <c r="Y252" s="24"/>
    </row>
    <row r="253" customFormat="false" ht="15" hidden="false" customHeight="false" outlineLevel="0" collapsed="false">
      <c r="A253" s="38" t="n">
        <v>0</v>
      </c>
      <c r="B253" s="38" t="s">
        <v>1359</v>
      </c>
      <c r="C253" s="38" t="str">
        <f aca="false">INDEX(C_TAB,MATCH($B253,C_COD,0),2)</f>
        <v>Marbete indicador de mantenimiento (color del año)</v>
      </c>
      <c r="D253" s="38" t="str">
        <f aca="false">INDEX(C_TAB,MATCH($B253,C_COD,0),3)</f>
        <v>u</v>
      </c>
      <c r="E253" s="38" t="str">
        <f aca="false">INDEX(C_TAB,MATCH($B253,C_COD,0),4)</f>
        <v>Directo</v>
      </c>
      <c r="F253" s="38" t="str">
        <f aca="false">INDEX(C_TAB,MATCH($B253,C_COD,0),5)</f>
        <v>Identificación</v>
      </c>
      <c r="G253" s="38" t="str">
        <f aca="false">INDEX(C_TAB,MATCH($B253,C_COD,0),6)</f>
        <v>Insumos de recargas</v>
      </c>
      <c r="H253" s="38"/>
      <c r="I253" s="38"/>
      <c r="J253" s="39" t="n">
        <f aca="false">SUM(J254:J254)</f>
        <v>6445.563267043</v>
      </c>
      <c r="K253" s="39" t="n">
        <f aca="false">SUM(K254:K254)</f>
        <v>29104.2314255</v>
      </c>
      <c r="L253" s="39" t="n">
        <f aca="false">SUM(L254:L254)</f>
        <v>57839.99913808</v>
      </c>
      <c r="M253" s="39" t="n">
        <f aca="false">SUM(M254:M254)</f>
        <v>107181.3597585</v>
      </c>
      <c r="N253" s="39" t="n">
        <f aca="false">SUM(N254:N254)</f>
        <v>157990.2738045</v>
      </c>
      <c r="O253" s="39" t="n">
        <f aca="false">SUM(O254:O254)</f>
        <v>215404.030507</v>
      </c>
      <c r="P253" s="39" t="n">
        <f aca="false">SUM(P254:P254)</f>
        <v>267758.4586162</v>
      </c>
      <c r="Q253" s="39" t="n">
        <f aca="false">SUM(Q254:Q254)</f>
        <v>304889.3059304</v>
      </c>
      <c r="R253" s="39" t="n">
        <f aca="false">SUM(R254:R254)</f>
        <v>327829.9037667</v>
      </c>
      <c r="S253" s="39" t="n">
        <f aca="false">SUM(S254:S254)</f>
        <v>351258.4265134</v>
      </c>
      <c r="T253" s="39" t="n">
        <f aca="false">INDEX(J253:S253,INDEX(P_VAL,MATCH("AÑO_DIS",P_ID,0))-2025)</f>
        <v>351258.4265134</v>
      </c>
      <c r="U253" s="38" t="str">
        <f aca="false">INDEX(C_TAB,MATCH($B253,C_COD,0),10)</f>
        <v>Paquete de 1.000 u</v>
      </c>
      <c r="V253" s="38" t="n">
        <f aca="false">INDEX(C_TAB,MATCH($B253,C_COD,0),11)</f>
        <v>1000</v>
      </c>
      <c r="W253" s="44" t="n">
        <f aca="false">ROUNDUP(T253/V253,0)</f>
        <v>352</v>
      </c>
      <c r="X253" s="38" t="str">
        <f aca="false">INDEX(C_TAB,MATCH($B253,C_COD,0),7)</f>
        <v>Astuprint</v>
      </c>
      <c r="Y253" s="38" t="n">
        <f aca="false">INDEX(C_TAB,MATCH($B253,C_COD,0),12)</f>
        <v>10</v>
      </c>
    </row>
    <row r="254" customFormat="false" ht="15" hidden="false" customHeight="false" outlineLevel="1" collapsed="false">
      <c r="A254" s="24" t="n">
        <v>1</v>
      </c>
      <c r="B254" s="24" t="s">
        <v>1359</v>
      </c>
      <c r="C254" s="40" t="s">
        <v>3854</v>
      </c>
      <c r="D254" s="24"/>
      <c r="E254" s="24"/>
      <c r="F254" s="24"/>
      <c r="G254" s="24"/>
      <c r="H254" s="24" t="s">
        <v>132</v>
      </c>
      <c r="I254" s="24" t="s">
        <v>3855</v>
      </c>
      <c r="J254" s="42" t="n">
        <f aca="false">INSUMOS_DIRECTOS_RECARGAS!H403</f>
        <v>6445.563267043</v>
      </c>
      <c r="K254" s="42" t="n">
        <f aca="false">INSUMOS_DIRECTOS_RECARGAS!I403</f>
        <v>29104.2314255</v>
      </c>
      <c r="L254" s="42" t="n">
        <f aca="false">INSUMOS_DIRECTOS_RECARGAS!J403</f>
        <v>57839.99913808</v>
      </c>
      <c r="M254" s="42" t="n">
        <f aca="false">INSUMOS_DIRECTOS_RECARGAS!K403</f>
        <v>107181.3597585</v>
      </c>
      <c r="N254" s="42" t="n">
        <f aca="false">INSUMOS_DIRECTOS_RECARGAS!L403</f>
        <v>157990.2738045</v>
      </c>
      <c r="O254" s="42" t="n">
        <f aca="false">INSUMOS_DIRECTOS_RECARGAS!M403</f>
        <v>215404.030507</v>
      </c>
      <c r="P254" s="42" t="n">
        <f aca="false">INSUMOS_DIRECTOS_RECARGAS!N403</f>
        <v>267758.4586162</v>
      </c>
      <c r="Q254" s="42" t="n">
        <f aca="false">INSUMOS_DIRECTOS_RECARGAS!O403</f>
        <v>304889.3059304</v>
      </c>
      <c r="R254" s="42" t="n">
        <f aca="false">INSUMOS_DIRECTOS_RECARGAS!P403</f>
        <v>327829.9037667</v>
      </c>
      <c r="S254" s="42" t="n">
        <f aca="false">INSUMOS_DIRECTOS_RECARGAS!Q403</f>
        <v>351258.4265134</v>
      </c>
      <c r="T254" s="42" t="n">
        <f aca="false">INDEX(J254:S254,INDEX(P_VAL,MATCH("AÑO_DIS",P_ID,0))-2025)</f>
        <v>351258.4265134</v>
      </c>
      <c r="U254" s="24"/>
      <c r="V254" s="24"/>
      <c r="W254" s="24"/>
      <c r="X254" s="24"/>
      <c r="Y254" s="24"/>
    </row>
    <row r="255" customFormat="false" ht="15" hidden="false" customHeight="false" outlineLevel="0" collapsed="false">
      <c r="A255" s="38" t="n">
        <v>0</v>
      </c>
      <c r="B255" s="38" t="s">
        <v>1381</v>
      </c>
      <c r="C255" s="38" t="str">
        <f aca="false">INDEX(C_TAB,MATCH($B255,C_COD,0),2)</f>
        <v>Oblea de vencimiento de la prueba hidráulica</v>
      </c>
      <c r="D255" s="38" t="str">
        <f aca="false">INDEX(C_TAB,MATCH($B255,C_COD,0),3)</f>
        <v>u</v>
      </c>
      <c r="E255" s="38" t="str">
        <f aca="false">INDEX(C_TAB,MATCH($B255,C_COD,0),4)</f>
        <v>Directo</v>
      </c>
      <c r="F255" s="38" t="str">
        <f aca="false">INDEX(C_TAB,MATCH($B255,C_COD,0),5)</f>
        <v>Identificación</v>
      </c>
      <c r="G255" s="38" t="str">
        <f aca="false">INDEX(C_TAB,MATCH($B255,C_COD,0),6)</f>
        <v>Insumos de recargas</v>
      </c>
      <c r="H255" s="38"/>
      <c r="I255" s="38"/>
      <c r="J255" s="39" t="n">
        <f aca="false">SUM(J256:J256)</f>
        <v>1349.9141206766</v>
      </c>
      <c r="K255" s="39" t="n">
        <f aca="false">SUM(K256:K256)</f>
        <v>6097.38231099</v>
      </c>
      <c r="L255" s="39" t="n">
        <f aca="false">SUM(L256:L256)</f>
        <v>12172.356545406</v>
      </c>
      <c r="M255" s="39" t="n">
        <f aca="false">SUM(M256:M256)</f>
        <v>22527.77621006</v>
      </c>
      <c r="N255" s="39" t="n">
        <f aca="false">SUM(N256:N256)</f>
        <v>33165.7833207</v>
      </c>
      <c r="O255" s="39" t="n">
        <f aca="false">SUM(O256:O256)</f>
        <v>45157.66186472</v>
      </c>
      <c r="P255" s="39" t="n">
        <f aca="false">SUM(P256:P256)</f>
        <v>56103.34456815</v>
      </c>
      <c r="Q255" s="39" t="n">
        <f aca="false">SUM(Q256:Q256)</f>
        <v>63833.16087323</v>
      </c>
      <c r="R255" s="39" t="n">
        <f aca="false">SUM(R256:R256)</f>
        <v>68658.5849355</v>
      </c>
      <c r="S255" s="39" t="n">
        <f aca="false">SUM(S256:S256)</f>
        <v>73585.57192823</v>
      </c>
      <c r="T255" s="39" t="n">
        <f aca="false">INDEX(J255:S255,INDEX(P_VAL,MATCH("AÑO_DIS",P_ID,0))-2025)</f>
        <v>73585.57192823</v>
      </c>
      <c r="U255" s="38" t="str">
        <f aca="false">INDEX(C_TAB,MATCH($B255,C_COD,0),10)</f>
        <v>Rollo de 1.000 u</v>
      </c>
      <c r="V255" s="38" t="n">
        <f aca="false">INDEX(C_TAB,MATCH($B255,C_COD,0),11)</f>
        <v>1000</v>
      </c>
      <c r="W255" s="44" t="n">
        <f aca="false">ROUNDUP(T255/V255,0)</f>
        <v>74</v>
      </c>
      <c r="X255" s="38" t="str">
        <f aca="false">INDEX(C_TAB,MATCH($B255,C_COD,0),7)</f>
        <v>Astuprint</v>
      </c>
      <c r="Y255" s="38" t="n">
        <f aca="false">INDEX(C_TAB,MATCH($B255,C_COD,0),12)</f>
        <v>10</v>
      </c>
    </row>
    <row r="256" customFormat="false" ht="15" hidden="false" customHeight="false" outlineLevel="1" collapsed="false">
      <c r="A256" s="24" t="n">
        <v>1</v>
      </c>
      <c r="B256" s="24" t="s">
        <v>1381</v>
      </c>
      <c r="C256" s="40" t="s">
        <v>3854</v>
      </c>
      <c r="D256" s="24"/>
      <c r="E256" s="24"/>
      <c r="F256" s="24"/>
      <c r="G256" s="24"/>
      <c r="H256" s="24" t="s">
        <v>132</v>
      </c>
      <c r="I256" s="24" t="s">
        <v>3855</v>
      </c>
      <c r="J256" s="42" t="n">
        <f aca="false">INSUMOS_DIRECTOS_RECARGAS!H433</f>
        <v>1349.9141206766</v>
      </c>
      <c r="K256" s="42" t="n">
        <f aca="false">INSUMOS_DIRECTOS_RECARGAS!I433</f>
        <v>6097.38231099</v>
      </c>
      <c r="L256" s="42" t="n">
        <f aca="false">INSUMOS_DIRECTOS_RECARGAS!J433</f>
        <v>12172.356545406</v>
      </c>
      <c r="M256" s="42" t="n">
        <f aca="false">INSUMOS_DIRECTOS_RECARGAS!K433</f>
        <v>22527.77621006</v>
      </c>
      <c r="N256" s="42" t="n">
        <f aca="false">INSUMOS_DIRECTOS_RECARGAS!L433</f>
        <v>33165.7833207</v>
      </c>
      <c r="O256" s="42" t="n">
        <f aca="false">INSUMOS_DIRECTOS_RECARGAS!M433</f>
        <v>45157.66186472</v>
      </c>
      <c r="P256" s="42" t="n">
        <f aca="false">INSUMOS_DIRECTOS_RECARGAS!N433</f>
        <v>56103.34456815</v>
      </c>
      <c r="Q256" s="42" t="n">
        <f aca="false">INSUMOS_DIRECTOS_RECARGAS!O433</f>
        <v>63833.16087323</v>
      </c>
      <c r="R256" s="42" t="n">
        <f aca="false">INSUMOS_DIRECTOS_RECARGAS!P433</f>
        <v>68658.5849355</v>
      </c>
      <c r="S256" s="42" t="n">
        <f aca="false">INSUMOS_DIRECTOS_RECARGAS!Q433</f>
        <v>73585.57192823</v>
      </c>
      <c r="T256" s="42" t="n">
        <f aca="false">INDEX(J256:S256,INDEX(P_VAL,MATCH("AÑO_DIS",P_ID,0))-2025)</f>
        <v>73585.57192823</v>
      </c>
      <c r="U256" s="24"/>
      <c r="V256" s="24"/>
      <c r="W256" s="24"/>
      <c r="X256" s="24"/>
      <c r="Y256" s="24"/>
    </row>
    <row r="257" customFormat="false" ht="15" hidden="false" customHeight="false" outlineLevel="0" collapsed="false">
      <c r="A257" s="38" t="n">
        <v>0</v>
      </c>
      <c r="B257" s="38" t="s">
        <v>1355</v>
      </c>
      <c r="C257" s="38" t="str">
        <f aca="false">INDEX(C_TAB,MATCH($B257,C_COD,0),2)</f>
        <v>Precinto con identificación del recargador</v>
      </c>
      <c r="D257" s="38" t="str">
        <f aca="false">INDEX(C_TAB,MATCH($B257,C_COD,0),3)</f>
        <v>u</v>
      </c>
      <c r="E257" s="38" t="str">
        <f aca="false">INDEX(C_TAB,MATCH($B257,C_COD,0),4)</f>
        <v>Directo</v>
      </c>
      <c r="F257" s="38" t="str">
        <f aca="false">INDEX(C_TAB,MATCH($B257,C_COD,0),5)</f>
        <v>Identificación</v>
      </c>
      <c r="G257" s="38" t="str">
        <f aca="false">INDEX(C_TAB,MATCH($B257,C_COD,0),6)</f>
        <v>Insumos de recargas</v>
      </c>
      <c r="H257" s="38"/>
      <c r="I257" s="38"/>
      <c r="J257" s="39" t="n">
        <f aca="false">SUM(J258:J258)</f>
        <v>6911.793098083</v>
      </c>
      <c r="K257" s="39" t="n">
        <f aca="false">SUM(K258:K258)</f>
        <v>30997.68091414</v>
      </c>
      <c r="L257" s="39" t="n">
        <f aca="false">SUM(L258:L258)</f>
        <v>62151.05799968</v>
      </c>
      <c r="M257" s="39" t="n">
        <f aca="false">SUM(M258:M258)</f>
        <v>115285.7954345</v>
      </c>
      <c r="N257" s="39" t="n">
        <f aca="false">SUM(N258:N258)</f>
        <v>169687.3957989</v>
      </c>
      <c r="O257" s="39" t="n">
        <f aca="false">SUM(O258:O258)</f>
        <v>230961.1081102</v>
      </c>
      <c r="P257" s="39" t="n">
        <f aca="false">SUM(P258:P258)</f>
        <v>286842.7821746</v>
      </c>
      <c r="Q257" s="39" t="n">
        <f aca="false">SUM(Q258:Q258)</f>
        <v>326096.2382256</v>
      </c>
      <c r="R257" s="39" t="n">
        <f aca="false">SUM(R258:R258)</f>
        <v>350752.7154843</v>
      </c>
      <c r="S257" s="39" t="n">
        <f aca="false">SUM(S258:S258)</f>
        <v>375925.689583</v>
      </c>
      <c r="T257" s="39" t="n">
        <f aca="false">INDEX(J257:S257,INDEX(P_VAL,MATCH("AÑO_DIS",P_ID,0))-2025)</f>
        <v>375925.689583</v>
      </c>
      <c r="U257" s="38" t="str">
        <f aca="false">INDEX(C_TAB,MATCH($B257,C_COD,0),10)</f>
        <v>Bolsa de 1.000 u</v>
      </c>
      <c r="V257" s="38" t="n">
        <f aca="false">INDEX(C_TAB,MATCH($B257,C_COD,0),11)</f>
        <v>1000</v>
      </c>
      <c r="W257" s="44" t="n">
        <f aca="false">ROUNDUP(T257/V257,0)</f>
        <v>376</v>
      </c>
      <c r="X257" s="38" t="str">
        <f aca="false">INDEX(C_TAB,MATCH($B257,C_COD,0),7)</f>
        <v>SonFuertes</v>
      </c>
      <c r="Y257" s="38" t="n">
        <f aca="false">INDEX(C_TAB,MATCH($B257,C_COD,0),12)</f>
        <v>10</v>
      </c>
    </row>
    <row r="258" customFormat="false" ht="15" hidden="false" customHeight="false" outlineLevel="1" collapsed="false">
      <c r="A258" s="24" t="n">
        <v>1</v>
      </c>
      <c r="B258" s="24" t="s">
        <v>1355</v>
      </c>
      <c r="C258" s="40" t="s">
        <v>3854</v>
      </c>
      <c r="D258" s="24"/>
      <c r="E258" s="24"/>
      <c r="F258" s="24"/>
      <c r="G258" s="24"/>
      <c r="H258" s="24" t="s">
        <v>132</v>
      </c>
      <c r="I258" s="24" t="s">
        <v>3855</v>
      </c>
      <c r="J258" s="42" t="n">
        <f aca="false">INSUMOS_DIRECTOS_RECARGAS!H460</f>
        <v>6911.793098083</v>
      </c>
      <c r="K258" s="42" t="n">
        <f aca="false">INSUMOS_DIRECTOS_RECARGAS!I460</f>
        <v>30997.68091414</v>
      </c>
      <c r="L258" s="42" t="n">
        <f aca="false">INSUMOS_DIRECTOS_RECARGAS!J460</f>
        <v>62151.05799968</v>
      </c>
      <c r="M258" s="42" t="n">
        <f aca="false">INSUMOS_DIRECTOS_RECARGAS!K460</f>
        <v>115285.7954345</v>
      </c>
      <c r="N258" s="42" t="n">
        <f aca="false">INSUMOS_DIRECTOS_RECARGAS!L460</f>
        <v>169687.3957989</v>
      </c>
      <c r="O258" s="42" t="n">
        <f aca="false">INSUMOS_DIRECTOS_RECARGAS!M460</f>
        <v>230961.1081102</v>
      </c>
      <c r="P258" s="42" t="n">
        <f aca="false">INSUMOS_DIRECTOS_RECARGAS!N460</f>
        <v>286842.7821746</v>
      </c>
      <c r="Q258" s="42" t="n">
        <f aca="false">INSUMOS_DIRECTOS_RECARGAS!O460</f>
        <v>326096.2382256</v>
      </c>
      <c r="R258" s="42" t="n">
        <f aca="false">INSUMOS_DIRECTOS_RECARGAS!P460</f>
        <v>350752.7154843</v>
      </c>
      <c r="S258" s="42" t="n">
        <f aca="false">INSUMOS_DIRECTOS_RECARGAS!Q460</f>
        <v>375925.689583</v>
      </c>
      <c r="T258" s="42" t="n">
        <f aca="false">INDEX(J258:S258,INDEX(P_VAL,MATCH("AÑO_DIS",P_ID,0))-2025)</f>
        <v>375925.689583</v>
      </c>
      <c r="U258" s="24"/>
      <c r="V258" s="24"/>
      <c r="W258" s="24"/>
      <c r="X258" s="24"/>
      <c r="Y258" s="24"/>
    </row>
    <row r="259" customFormat="false" ht="15" hidden="false" customHeight="false" outlineLevel="0" collapsed="false">
      <c r="A259" s="38" t="n">
        <v>0</v>
      </c>
      <c r="B259" s="38" t="s">
        <v>1567</v>
      </c>
      <c r="C259" s="38" t="str">
        <f aca="false">INDEX(C_TAB,MATCH($B259,C_COD,0),2)</f>
        <v>Conjunto de seguridad (disco) de CO₂, IRAM 2736</v>
      </c>
      <c r="D259" s="38" t="str">
        <f aca="false">INDEX(C_TAB,MATCH($B259,C_COD,0),3)</f>
        <v>u</v>
      </c>
      <c r="E259" s="38" t="str">
        <f aca="false">INDEX(C_TAB,MATCH($B259,C_COD,0),4)</f>
        <v>Directo</v>
      </c>
      <c r="F259" s="38" t="str">
        <f aca="false">INDEX(C_TAB,MATCH($B259,C_COD,0),5)</f>
        <v>Componente comprado</v>
      </c>
      <c r="G259" s="38" t="str">
        <f aca="false">INDEX(C_TAB,MATCH($B259,C_COD,0),6)</f>
        <v>Insumos de recargas</v>
      </c>
      <c r="H259" s="38"/>
      <c r="I259" s="38"/>
      <c r="J259" s="39" t="n">
        <f aca="false">SUM(J260:J260)</f>
        <v>144.321444198432</v>
      </c>
      <c r="K259" s="39" t="n">
        <f aca="false">SUM(K260:K260)</f>
        <v>586.107821961069</v>
      </c>
      <c r="L259" s="39" t="n">
        <f aca="false">SUM(L260:L260)</f>
        <v>1334.47210413755</v>
      </c>
      <c r="M259" s="39" t="n">
        <f aca="false">SUM(M260:M260)</f>
        <v>2508.71793296121</v>
      </c>
      <c r="N259" s="39" t="n">
        <f aca="false">SUM(N260:N260)</f>
        <v>3620.78562775655</v>
      </c>
      <c r="O259" s="39" t="n">
        <f aca="false">SUM(O260:O260)</f>
        <v>4815.63503302955</v>
      </c>
      <c r="P259" s="39" t="n">
        <f aca="false">SUM(P260:P260)</f>
        <v>5907.45693588493</v>
      </c>
      <c r="Q259" s="39" t="n">
        <f aca="false">SUM(Q260:Q260)</f>
        <v>6564.55287464842</v>
      </c>
      <c r="R259" s="39" t="n">
        <f aca="false">SUM(R260:R260)</f>
        <v>7095.64175312449</v>
      </c>
      <c r="S259" s="39" t="n">
        <f aca="false">SUM(S260:S260)</f>
        <v>7635.53544464282</v>
      </c>
      <c r="T259" s="39" t="n">
        <f aca="false">INDEX(J259:S259,INDEX(P_VAL,MATCH("AÑO_DIS",P_ID,0))-2025)</f>
        <v>7635.53544464282</v>
      </c>
      <c r="U259" s="38" t="str">
        <f aca="false">INDEX(C_TAB,MATCH($B259,C_COD,0),10)</f>
        <v>Bolsa de 100 u</v>
      </c>
      <c r="V259" s="38" t="n">
        <f aca="false">INDEX(C_TAB,MATCH($B259,C_COD,0),11)</f>
        <v>100</v>
      </c>
      <c r="W259" s="44" t="n">
        <f aca="false">ROUNDUP(T259/V259,0)</f>
        <v>77</v>
      </c>
      <c r="X259" s="38" t="str">
        <f aca="false">INDEX(C_TAB,MATCH($B259,C_COD,0),7)</f>
        <v>Georgia</v>
      </c>
      <c r="Y259" s="38" t="n">
        <f aca="false">INDEX(C_TAB,MATCH($B259,C_COD,0),12)</f>
        <v>15</v>
      </c>
    </row>
    <row r="260" customFormat="false" ht="15" hidden="false" customHeight="false" outlineLevel="1" collapsed="false">
      <c r="A260" s="24" t="n">
        <v>1</v>
      </c>
      <c r="B260" s="24" t="s">
        <v>1567</v>
      </c>
      <c r="C260" s="40" t="s">
        <v>3854</v>
      </c>
      <c r="D260" s="24"/>
      <c r="E260" s="24"/>
      <c r="F260" s="24"/>
      <c r="G260" s="24"/>
      <c r="H260" s="24" t="s">
        <v>132</v>
      </c>
      <c r="I260" s="24" t="s">
        <v>3855</v>
      </c>
      <c r="J260" s="42" t="n">
        <f aca="false">INSUMOS_DIRECTOS_RECARGAS!H490</f>
        <v>144.321444198432</v>
      </c>
      <c r="K260" s="42" t="n">
        <f aca="false">INSUMOS_DIRECTOS_RECARGAS!I490</f>
        <v>586.107821961069</v>
      </c>
      <c r="L260" s="42" t="n">
        <f aca="false">INSUMOS_DIRECTOS_RECARGAS!J490</f>
        <v>1334.47210413755</v>
      </c>
      <c r="M260" s="42" t="n">
        <f aca="false">INSUMOS_DIRECTOS_RECARGAS!K490</f>
        <v>2508.71793296121</v>
      </c>
      <c r="N260" s="42" t="n">
        <f aca="false">INSUMOS_DIRECTOS_RECARGAS!L490</f>
        <v>3620.78562775655</v>
      </c>
      <c r="O260" s="42" t="n">
        <f aca="false">INSUMOS_DIRECTOS_RECARGAS!M490</f>
        <v>4815.63503302955</v>
      </c>
      <c r="P260" s="42" t="n">
        <f aca="false">INSUMOS_DIRECTOS_RECARGAS!N490</f>
        <v>5907.45693588493</v>
      </c>
      <c r="Q260" s="42" t="n">
        <f aca="false">INSUMOS_DIRECTOS_RECARGAS!O490</f>
        <v>6564.55287464842</v>
      </c>
      <c r="R260" s="42" t="n">
        <f aca="false">INSUMOS_DIRECTOS_RECARGAS!P490</f>
        <v>7095.64175312449</v>
      </c>
      <c r="S260" s="42" t="n">
        <f aca="false">INSUMOS_DIRECTOS_RECARGAS!Q490</f>
        <v>7635.53544464282</v>
      </c>
      <c r="T260" s="42" t="n">
        <f aca="false">INDEX(J260:S260,INDEX(P_VAL,MATCH("AÑO_DIS",P_ID,0))-2025)</f>
        <v>7635.53544464282</v>
      </c>
      <c r="U260" s="24"/>
      <c r="V260" s="24"/>
      <c r="W260" s="24"/>
      <c r="X260" s="24"/>
      <c r="Y260" s="24"/>
    </row>
    <row r="261" customFormat="false" ht="15" hidden="false" customHeight="false" outlineLevel="0" collapsed="false">
      <c r="A261" s="38" t="n">
        <v>0</v>
      </c>
      <c r="B261" s="38" t="s">
        <v>1619</v>
      </c>
      <c r="C261" s="38" t="str">
        <f aca="false">INDEX(C_TAB,MATCH($B261,C_COD,0),2)</f>
        <v>Faja amarilla de sustituto (≤ 40 mm)</v>
      </c>
      <c r="D261" s="38" t="str">
        <f aca="false">INDEX(C_TAB,MATCH($B261,C_COD,0),3)</f>
        <v>u</v>
      </c>
      <c r="E261" s="38" t="str">
        <f aca="false">INDEX(C_TAB,MATCH($B261,C_COD,0),4)</f>
        <v>Directo</v>
      </c>
      <c r="F261" s="38" t="str">
        <f aca="false">INDEX(C_TAB,MATCH($B261,C_COD,0),5)</f>
        <v>Identificación</v>
      </c>
      <c r="G261" s="38" t="str">
        <f aca="false">INDEX(C_TAB,MATCH($B261,C_COD,0),6)</f>
        <v>Insumos de recargas</v>
      </c>
      <c r="H261" s="38"/>
      <c r="I261" s="38"/>
      <c r="J261" s="39" t="n">
        <f aca="false">SUM(J262:J262)</f>
        <v>82</v>
      </c>
      <c r="K261" s="39" t="n">
        <f aca="false">SUM(K262:K262)</f>
        <v>256.98333333</v>
      </c>
      <c r="L261" s="39" t="n">
        <f aca="false">SUM(L262:L262)</f>
        <v>349.31666667</v>
      </c>
      <c r="M261" s="39" t="n">
        <f aca="false">SUM(M262:M262)</f>
        <v>599.43333333</v>
      </c>
      <c r="N261" s="39" t="n">
        <f aca="false">SUM(N262:N262)</f>
        <v>641.93333333</v>
      </c>
      <c r="O261" s="39" t="n">
        <f aca="false">SUM(O262:O262)</f>
        <v>742.25</v>
      </c>
      <c r="P261" s="39" t="n">
        <f aca="false">SUM(P262:P262)</f>
        <v>714.08333333</v>
      </c>
      <c r="Q261" s="39" t="n">
        <f aca="false">SUM(Q262:Q262)</f>
        <v>568</v>
      </c>
      <c r="R261" s="39" t="n">
        <f aca="false">SUM(R262:R262)</f>
        <v>434.48333333</v>
      </c>
      <c r="S261" s="39" t="n">
        <f aca="false">SUM(S262:S262)</f>
        <v>451.35</v>
      </c>
      <c r="T261" s="39" t="n">
        <f aca="false">INDEX(J261:S261,INDEX(P_VAL,MATCH("AÑO_DIS",P_ID,0))-2025)</f>
        <v>451.35</v>
      </c>
      <c r="U261" s="38" t="str">
        <f aca="false">INDEX(C_TAB,MATCH($B261,C_COD,0),10)</f>
        <v>Rollo de 500 u</v>
      </c>
      <c r="V261" s="38" t="n">
        <f aca="false">INDEX(C_TAB,MATCH($B261,C_COD,0),11)</f>
        <v>500</v>
      </c>
      <c r="W261" s="44" t="n">
        <f aca="false">ROUNDUP(T261/V261,0)</f>
        <v>1</v>
      </c>
      <c r="X261" s="38" t="str">
        <f aca="false">INDEX(C_TAB,MATCH($B261,C_COD,0),7)</f>
        <v>Astuprint</v>
      </c>
      <c r="Y261" s="38" t="n">
        <f aca="false">INDEX(C_TAB,MATCH($B261,C_COD,0),12)</f>
        <v>10</v>
      </c>
    </row>
    <row r="262" customFormat="false" ht="15" hidden="false" customHeight="false" outlineLevel="1" collapsed="false">
      <c r="A262" s="24" t="n">
        <v>1</v>
      </c>
      <c r="B262" s="24" t="s">
        <v>1619</v>
      </c>
      <c r="C262" s="40" t="s">
        <v>3854</v>
      </c>
      <c r="D262" s="24"/>
      <c r="E262" s="24"/>
      <c r="F262" s="24"/>
      <c r="G262" s="24"/>
      <c r="H262" s="24" t="s">
        <v>132</v>
      </c>
      <c r="I262" s="24" t="s">
        <v>3855</v>
      </c>
      <c r="J262" s="42" t="n">
        <f aca="false">INSUMOS_DIRECTOS_RECARGAS!H494</f>
        <v>82</v>
      </c>
      <c r="K262" s="42" t="n">
        <f aca="false">INSUMOS_DIRECTOS_RECARGAS!I494</f>
        <v>256.98333333</v>
      </c>
      <c r="L262" s="42" t="n">
        <f aca="false">INSUMOS_DIRECTOS_RECARGAS!J494</f>
        <v>349.31666667</v>
      </c>
      <c r="M262" s="42" t="n">
        <f aca="false">INSUMOS_DIRECTOS_RECARGAS!K494</f>
        <v>599.43333333</v>
      </c>
      <c r="N262" s="42" t="n">
        <f aca="false">INSUMOS_DIRECTOS_RECARGAS!L494</f>
        <v>641.93333333</v>
      </c>
      <c r="O262" s="42" t="n">
        <f aca="false">INSUMOS_DIRECTOS_RECARGAS!M494</f>
        <v>742.25</v>
      </c>
      <c r="P262" s="42" t="n">
        <f aca="false">INSUMOS_DIRECTOS_RECARGAS!N494</f>
        <v>714.08333333</v>
      </c>
      <c r="Q262" s="42" t="n">
        <f aca="false">INSUMOS_DIRECTOS_RECARGAS!O494</f>
        <v>568</v>
      </c>
      <c r="R262" s="42" t="n">
        <f aca="false">INSUMOS_DIRECTOS_RECARGAS!P494</f>
        <v>434.48333333</v>
      </c>
      <c r="S262" s="42" t="n">
        <f aca="false">INSUMOS_DIRECTOS_RECARGAS!Q494</f>
        <v>451.35</v>
      </c>
      <c r="T262" s="42" t="n">
        <f aca="false">INDEX(J262:S262,INDEX(P_VAL,MATCH("AÑO_DIS",P_ID,0))-2025)</f>
        <v>451.35</v>
      </c>
      <c r="U262" s="24"/>
      <c r="V262" s="24"/>
      <c r="W262" s="24"/>
      <c r="X262" s="24"/>
      <c r="Y262" s="24"/>
    </row>
    <row r="263" customFormat="false" ht="15" hidden="false" customHeight="false" outlineLevel="0" collapsed="false">
      <c r="A263" s="38" t="n">
        <v>0</v>
      </c>
      <c r="B263" s="38" t="s">
        <v>1624</v>
      </c>
      <c r="C263" s="38" t="str">
        <f aca="false">INDEX(C_TAB,MATCH($B263,C_COD,0),2)</f>
        <v>Tarjeta DPS «SUSTITUTO HABILITADO»</v>
      </c>
      <c r="D263" s="38" t="str">
        <f aca="false">INDEX(C_TAB,MATCH($B263,C_COD,0),3)</f>
        <v>u</v>
      </c>
      <c r="E263" s="38" t="str">
        <f aca="false">INDEX(C_TAB,MATCH($B263,C_COD,0),4)</f>
        <v>Directo</v>
      </c>
      <c r="F263" s="38" t="str">
        <f aca="false">INDEX(C_TAB,MATCH($B263,C_COD,0),5)</f>
        <v>Identificación</v>
      </c>
      <c r="G263" s="38" t="str">
        <f aca="false">INDEX(C_TAB,MATCH($B263,C_COD,0),6)</f>
        <v>Insumos de recargas</v>
      </c>
      <c r="H263" s="38"/>
      <c r="I263" s="38"/>
      <c r="J263" s="39" t="n">
        <f aca="false">SUM(J264:J264)</f>
        <v>82</v>
      </c>
      <c r="K263" s="39" t="n">
        <f aca="false">SUM(K264:K264)</f>
        <v>256.98333333</v>
      </c>
      <c r="L263" s="39" t="n">
        <f aca="false">SUM(L264:L264)</f>
        <v>349.31666667</v>
      </c>
      <c r="M263" s="39" t="n">
        <f aca="false">SUM(M264:M264)</f>
        <v>599.43333333</v>
      </c>
      <c r="N263" s="39" t="n">
        <f aca="false">SUM(N264:N264)</f>
        <v>641.93333333</v>
      </c>
      <c r="O263" s="39" t="n">
        <f aca="false">SUM(O264:O264)</f>
        <v>742.25</v>
      </c>
      <c r="P263" s="39" t="n">
        <f aca="false">SUM(P264:P264)</f>
        <v>714.08333333</v>
      </c>
      <c r="Q263" s="39" t="n">
        <f aca="false">SUM(Q264:Q264)</f>
        <v>568</v>
      </c>
      <c r="R263" s="39" t="n">
        <f aca="false">SUM(R264:R264)</f>
        <v>434.48333333</v>
      </c>
      <c r="S263" s="39" t="n">
        <f aca="false">SUM(S264:S264)</f>
        <v>451.35</v>
      </c>
      <c r="T263" s="39" t="n">
        <f aca="false">INDEX(J263:S263,INDEX(P_VAL,MATCH("AÑO_DIS",P_ID,0))-2025)</f>
        <v>451.35</v>
      </c>
      <c r="U263" s="38" t="str">
        <f aca="false">INDEX(C_TAB,MATCH($B263,C_COD,0),10)</f>
        <v>Paquete de 100 u</v>
      </c>
      <c r="V263" s="38" t="n">
        <f aca="false">INDEX(C_TAB,MATCH($B263,C_COD,0),11)</f>
        <v>100</v>
      </c>
      <c r="W263" s="44" t="n">
        <f aca="false">ROUNDUP(T263/V263,0)</f>
        <v>5</v>
      </c>
      <c r="X263" s="38" t="str">
        <f aca="false">INDEX(C_TAB,MATCH($B263,C_COD,0),7)</f>
        <v>Ministerio de Ambiente PBA (DPS)</v>
      </c>
      <c r="Y263" s="38" t="n">
        <f aca="false">INDEX(C_TAB,MATCH($B263,C_COD,0),12)</f>
        <v>10</v>
      </c>
    </row>
    <row r="264" customFormat="false" ht="15" hidden="false" customHeight="false" outlineLevel="1" collapsed="false">
      <c r="A264" s="24" t="n">
        <v>1</v>
      </c>
      <c r="B264" s="24" t="s">
        <v>1624</v>
      </c>
      <c r="C264" s="40" t="s">
        <v>3854</v>
      </c>
      <c r="D264" s="24"/>
      <c r="E264" s="24"/>
      <c r="F264" s="24"/>
      <c r="G264" s="24"/>
      <c r="H264" s="24" t="s">
        <v>132</v>
      </c>
      <c r="I264" s="24" t="s">
        <v>3855</v>
      </c>
      <c r="J264" s="42" t="n">
        <f aca="false">INSUMOS_DIRECTOS_RECARGAS!H507</f>
        <v>82</v>
      </c>
      <c r="K264" s="42" t="n">
        <f aca="false">INSUMOS_DIRECTOS_RECARGAS!I507</f>
        <v>256.98333333</v>
      </c>
      <c r="L264" s="42" t="n">
        <f aca="false">INSUMOS_DIRECTOS_RECARGAS!J507</f>
        <v>349.31666667</v>
      </c>
      <c r="M264" s="42" t="n">
        <f aca="false">INSUMOS_DIRECTOS_RECARGAS!K507</f>
        <v>599.43333333</v>
      </c>
      <c r="N264" s="42" t="n">
        <f aca="false">INSUMOS_DIRECTOS_RECARGAS!L507</f>
        <v>641.93333333</v>
      </c>
      <c r="O264" s="42" t="n">
        <f aca="false">INSUMOS_DIRECTOS_RECARGAS!M507</f>
        <v>742.25</v>
      </c>
      <c r="P264" s="42" t="n">
        <f aca="false">INSUMOS_DIRECTOS_RECARGAS!N507</f>
        <v>714.08333333</v>
      </c>
      <c r="Q264" s="42" t="n">
        <f aca="false">INSUMOS_DIRECTOS_RECARGAS!O507</f>
        <v>568</v>
      </c>
      <c r="R264" s="42" t="n">
        <f aca="false">INSUMOS_DIRECTOS_RECARGAS!P507</f>
        <v>434.48333333</v>
      </c>
      <c r="S264" s="42" t="n">
        <f aca="false">INSUMOS_DIRECTOS_RECARGAS!Q507</f>
        <v>451.35</v>
      </c>
      <c r="T264" s="42" t="n">
        <f aca="false">INDEX(J264:S264,INDEX(P_VAL,MATCH("AÑO_DIS",P_ID,0))-2025)</f>
        <v>451.35</v>
      </c>
      <c r="U264" s="24"/>
      <c r="V264" s="24"/>
      <c r="W264" s="24"/>
      <c r="X264" s="24"/>
      <c r="Y264" s="24"/>
    </row>
    <row r="265" customFormat="false" ht="15" hidden="false" customHeight="false" outlineLevel="0" collapsed="false">
      <c r="A265" s="38" t="n">
        <v>0</v>
      </c>
      <c r="B265" s="38" t="s">
        <v>1628</v>
      </c>
      <c r="C265" s="38" t="str">
        <f aca="false">INDEX(C_TAB,MATCH($B265,C_COD,0),2)</f>
        <v>Tarjeta AGC con «Es sustituto»</v>
      </c>
      <c r="D265" s="38" t="str">
        <f aca="false">INDEX(C_TAB,MATCH($B265,C_COD,0),3)</f>
        <v>u</v>
      </c>
      <c r="E265" s="38" t="str">
        <f aca="false">INDEX(C_TAB,MATCH($B265,C_COD,0),4)</f>
        <v>Directo</v>
      </c>
      <c r="F265" s="38" t="str">
        <f aca="false">INDEX(C_TAB,MATCH($B265,C_COD,0),5)</f>
        <v>Identificación</v>
      </c>
      <c r="G265" s="38" t="str">
        <f aca="false">INDEX(C_TAB,MATCH($B265,C_COD,0),6)</f>
        <v>Insumos de recargas</v>
      </c>
      <c r="H265" s="38"/>
      <c r="I265" s="38"/>
      <c r="J265" s="39" t="n">
        <f aca="false">SUM(J266:J266)</f>
        <v>82</v>
      </c>
      <c r="K265" s="39" t="n">
        <f aca="false">SUM(K266:K266)</f>
        <v>256.98333333</v>
      </c>
      <c r="L265" s="39" t="n">
        <f aca="false">SUM(L266:L266)</f>
        <v>349.31666667</v>
      </c>
      <c r="M265" s="39" t="n">
        <f aca="false">SUM(M266:M266)</f>
        <v>599.43333333</v>
      </c>
      <c r="N265" s="39" t="n">
        <f aca="false">SUM(N266:N266)</f>
        <v>641.93333333</v>
      </c>
      <c r="O265" s="39" t="n">
        <f aca="false">SUM(O266:O266)</f>
        <v>742.25</v>
      </c>
      <c r="P265" s="39" t="n">
        <f aca="false">SUM(P266:P266)</f>
        <v>714.08333333</v>
      </c>
      <c r="Q265" s="39" t="n">
        <f aca="false">SUM(Q266:Q266)</f>
        <v>568</v>
      </c>
      <c r="R265" s="39" t="n">
        <f aca="false">SUM(R266:R266)</f>
        <v>434.48333333</v>
      </c>
      <c r="S265" s="39" t="n">
        <f aca="false">SUM(S266:S266)</f>
        <v>451.35</v>
      </c>
      <c r="T265" s="39" t="n">
        <f aca="false">INDEX(J265:S265,INDEX(P_VAL,MATCH("AÑO_DIS",P_ID,0))-2025)</f>
        <v>451.35</v>
      </c>
      <c r="U265" s="38" t="str">
        <f aca="false">INDEX(C_TAB,MATCH($B265,C_COD,0),10)</f>
        <v>Paquete de 100 u</v>
      </c>
      <c r="V265" s="38" t="n">
        <f aca="false">INDEX(C_TAB,MATCH($B265,C_COD,0),11)</f>
        <v>100</v>
      </c>
      <c r="W265" s="44" t="n">
        <f aca="false">ROUNDUP(T265/V265,0)</f>
        <v>5</v>
      </c>
      <c r="X265" s="38" t="str">
        <f aca="false">INDEX(C_TAB,MATCH($B265,C_COD,0),7)</f>
        <v>AGC (CABA)</v>
      </c>
      <c r="Y265" s="38" t="n">
        <f aca="false">INDEX(C_TAB,MATCH($B265,C_COD,0),12)</f>
        <v>10</v>
      </c>
    </row>
    <row r="266" customFormat="false" ht="15" hidden="false" customHeight="false" outlineLevel="1" collapsed="false">
      <c r="A266" s="24" t="n">
        <v>1</v>
      </c>
      <c r="B266" s="24" t="s">
        <v>1628</v>
      </c>
      <c r="C266" s="40" t="s">
        <v>3854</v>
      </c>
      <c r="D266" s="24"/>
      <c r="E266" s="24"/>
      <c r="F266" s="24"/>
      <c r="G266" s="24"/>
      <c r="H266" s="24" t="s">
        <v>132</v>
      </c>
      <c r="I266" s="24" t="s">
        <v>3855</v>
      </c>
      <c r="J266" s="42" t="n">
        <f aca="false">INSUMOS_DIRECTOS_RECARGAS!H520</f>
        <v>82</v>
      </c>
      <c r="K266" s="42" t="n">
        <f aca="false">INSUMOS_DIRECTOS_RECARGAS!I520</f>
        <v>256.98333333</v>
      </c>
      <c r="L266" s="42" t="n">
        <f aca="false">INSUMOS_DIRECTOS_RECARGAS!J520</f>
        <v>349.31666667</v>
      </c>
      <c r="M266" s="42" t="n">
        <f aca="false">INSUMOS_DIRECTOS_RECARGAS!K520</f>
        <v>599.43333333</v>
      </c>
      <c r="N266" s="42" t="n">
        <f aca="false">INSUMOS_DIRECTOS_RECARGAS!L520</f>
        <v>641.93333333</v>
      </c>
      <c r="O266" s="42" t="n">
        <f aca="false">INSUMOS_DIRECTOS_RECARGAS!M520</f>
        <v>742.25</v>
      </c>
      <c r="P266" s="42" t="n">
        <f aca="false">INSUMOS_DIRECTOS_RECARGAS!N520</f>
        <v>714.08333333</v>
      </c>
      <c r="Q266" s="42" t="n">
        <f aca="false">INSUMOS_DIRECTOS_RECARGAS!O520</f>
        <v>568</v>
      </c>
      <c r="R266" s="42" t="n">
        <f aca="false">INSUMOS_DIRECTOS_RECARGAS!P520</f>
        <v>434.48333333</v>
      </c>
      <c r="S266" s="42" t="n">
        <f aca="false">INSUMOS_DIRECTOS_RECARGAS!Q520</f>
        <v>451.35</v>
      </c>
      <c r="T266" s="42" t="n">
        <f aca="false">INDEX(J266:S266,INDEX(P_VAL,MATCH("AÑO_DIS",P_ID,0))-2025)</f>
        <v>451.35</v>
      </c>
      <c r="U266" s="24"/>
      <c r="V266" s="24"/>
      <c r="W266" s="24"/>
      <c r="X266" s="24"/>
      <c r="Y266" s="24"/>
    </row>
    <row r="267" customFormat="false" ht="15" hidden="false" customHeight="false" outlineLevel="0" collapsed="false">
      <c r="A267" s="38" t="n">
        <v>0</v>
      </c>
      <c r="B267" s="38" t="s">
        <v>1632</v>
      </c>
      <c r="C267" s="38" t="str">
        <f aca="false">INDEX(C_TAB,MATCH($B267,C_COD,0),2)</f>
        <v>Impresos (protocolo de ensayo, remito de préstamo)</v>
      </c>
      <c r="D267" s="38" t="str">
        <f aca="false">INDEX(C_TAB,MATCH($B267,C_COD,0),3)</f>
        <v>u</v>
      </c>
      <c r="E267" s="38" t="str">
        <f aca="false">INDEX(C_TAB,MATCH($B267,C_COD,0),4)</f>
        <v>Directo</v>
      </c>
      <c r="F267" s="38" t="str">
        <f aca="false">INDEX(C_TAB,MATCH($B267,C_COD,0),5)</f>
        <v>Identificación</v>
      </c>
      <c r="G267" s="38" t="str">
        <f aca="false">INDEX(C_TAB,MATCH($B267,C_COD,0),6)</f>
        <v>Identificación</v>
      </c>
      <c r="H267" s="38"/>
      <c r="I267" s="38"/>
      <c r="J267" s="39" t="n">
        <f aca="false">SUM(J268:J270)</f>
        <v>82</v>
      </c>
      <c r="K267" s="39" t="n">
        <f aca="false">SUM(K268:K270)</f>
        <v>256.98333333</v>
      </c>
      <c r="L267" s="39" t="n">
        <f aca="false">SUM(L268:L270)</f>
        <v>9938.31666667</v>
      </c>
      <c r="M267" s="39" t="n">
        <f aca="false">SUM(M268:M270)</f>
        <v>34006.43333333</v>
      </c>
      <c r="N267" s="39" t="n">
        <f aca="false">SUM(N268:N270)</f>
        <v>62506.93333333</v>
      </c>
      <c r="O267" s="39" t="n">
        <f aca="false">SUM(O268:O270)</f>
        <v>90446.25</v>
      </c>
      <c r="P267" s="39" t="n">
        <f aca="false">SUM(P268:P270)</f>
        <v>127536.08333333</v>
      </c>
      <c r="Q267" s="39" t="n">
        <f aca="false">SUM(Q268:Q270)</f>
        <v>164508</v>
      </c>
      <c r="R267" s="39" t="n">
        <f aca="false">SUM(R268:R270)</f>
        <v>184170.48333333</v>
      </c>
      <c r="S267" s="39" t="n">
        <f aca="false">SUM(S268:S270)</f>
        <v>213881.35</v>
      </c>
      <c r="T267" s="39" t="n">
        <f aca="false">INDEX(J267:S267,INDEX(P_VAL,MATCH("AÑO_DIS",P_ID,0))-2025)</f>
        <v>213881.35</v>
      </c>
      <c r="U267" s="38" t="str">
        <f aca="false">INDEX(C_TAB,MATCH($B267,C_COD,0),10)</f>
        <v>Paquete de 500 u</v>
      </c>
      <c r="V267" s="38" t="n">
        <f aca="false">INDEX(C_TAB,MATCH($B267,C_COD,0),11)</f>
        <v>500</v>
      </c>
      <c r="W267" s="44" t="n">
        <f aca="false">ROUNDUP(T267/V267,0)</f>
        <v>428</v>
      </c>
      <c r="X267" s="38" t="str">
        <f aca="false">INDEX(C_TAB,MATCH($B267,C_COD,0),7)</f>
        <v>Astuprint</v>
      </c>
      <c r="Y267" s="38" t="n">
        <f aca="false">INDEX(C_TAB,MATCH($B267,C_COD,0),12)</f>
        <v>5</v>
      </c>
    </row>
    <row r="268" customFormat="false" ht="15" hidden="false" customHeight="false" outlineLevel="1" collapsed="false">
      <c r="A268" s="24" t="n">
        <v>1</v>
      </c>
      <c r="B268" s="24" t="s">
        <v>1632</v>
      </c>
      <c r="C268" s="40" t="s">
        <v>3852</v>
      </c>
      <c r="D268" s="24"/>
      <c r="E268" s="24"/>
      <c r="F268" s="24"/>
      <c r="G268" s="24"/>
      <c r="H268" s="24" t="s">
        <v>229</v>
      </c>
      <c r="I268" s="24" t="s">
        <v>3853</v>
      </c>
      <c r="J268" s="42" t="n">
        <f aca="false">INSUMOS_DIRECTOS_MANUALES!H156</f>
        <v>0</v>
      </c>
      <c r="K268" s="42" t="n">
        <f aca="false">INSUMOS_DIRECTOS_MANUALES!I156</f>
        <v>0</v>
      </c>
      <c r="L268" s="42" t="n">
        <f aca="false">INSUMOS_DIRECTOS_MANUALES!J156</f>
        <v>9531.2</v>
      </c>
      <c r="M268" s="42" t="n">
        <f aca="false">INSUMOS_DIRECTOS_MANUALES!K156</f>
        <v>33205.6</v>
      </c>
      <c r="N268" s="42" t="n">
        <f aca="false">INSUMOS_DIRECTOS_MANUALES!L156</f>
        <v>61492</v>
      </c>
      <c r="O268" s="42" t="n">
        <f aca="false">INSUMOS_DIRECTOS_MANUALES!M156</f>
        <v>89163.2</v>
      </c>
      <c r="P268" s="42" t="n">
        <f aca="false">INSUMOS_DIRECTOS_MANUALES!N156</f>
        <v>126057.6</v>
      </c>
      <c r="Q268" s="42" t="n">
        <f aca="false">INSUMOS_DIRECTOS_MANUALES!O156</f>
        <v>162952</v>
      </c>
      <c r="R268" s="42" t="n">
        <f aca="false">INSUMOS_DIRECTOS_MANUALES!P156</f>
        <v>182628.4</v>
      </c>
      <c r="S268" s="42" t="n">
        <f aca="false">INSUMOS_DIRECTOS_MANUALES!Q156</f>
        <v>212143</v>
      </c>
      <c r="T268" s="42" t="n">
        <f aca="false">INDEX(J268:S268,INDEX(P_VAL,MATCH("AÑO_DIS",P_ID,0))-2025)</f>
        <v>212143</v>
      </c>
      <c r="U268" s="24"/>
      <c r="V268" s="24"/>
      <c r="W268" s="24"/>
      <c r="X268" s="24"/>
      <c r="Y268" s="24"/>
    </row>
    <row r="269" customFormat="false" ht="15" hidden="false" customHeight="false" outlineLevel="1" collapsed="false">
      <c r="A269" s="24" t="n">
        <v>1</v>
      </c>
      <c r="B269" s="24" t="s">
        <v>1632</v>
      </c>
      <c r="C269" s="40" t="s">
        <v>3856</v>
      </c>
      <c r="D269" s="24"/>
      <c r="E269" s="24"/>
      <c r="F269" s="24"/>
      <c r="G269" s="24"/>
      <c r="H269" s="24" t="s">
        <v>244</v>
      </c>
      <c r="I269" s="24" t="s">
        <v>3857</v>
      </c>
      <c r="J269" s="42" t="n">
        <f aca="false">INSUMOS_DIRECTOS_RODANTES!H190</f>
        <v>0</v>
      </c>
      <c r="K269" s="42" t="n">
        <f aca="false">INSUMOS_DIRECTOS_RODANTES!I190</f>
        <v>0</v>
      </c>
      <c r="L269" s="42" t="n">
        <f aca="false">INSUMOS_DIRECTOS_RODANTES!J190</f>
        <v>57.8</v>
      </c>
      <c r="M269" s="42" t="n">
        <f aca="false">INSUMOS_DIRECTOS_RODANTES!K190</f>
        <v>201.4</v>
      </c>
      <c r="N269" s="42" t="n">
        <f aca="false">INSUMOS_DIRECTOS_RODANTES!L190</f>
        <v>373</v>
      </c>
      <c r="O269" s="42" t="n">
        <f aca="false">INSUMOS_DIRECTOS_RODANTES!M190</f>
        <v>540.8</v>
      </c>
      <c r="P269" s="42" t="n">
        <f aca="false">INSUMOS_DIRECTOS_RODANTES!N190</f>
        <v>764.4</v>
      </c>
      <c r="Q269" s="42" t="n">
        <f aca="false">INSUMOS_DIRECTOS_RODANTES!O190</f>
        <v>988</v>
      </c>
      <c r="R269" s="42" t="n">
        <f aca="false">INSUMOS_DIRECTOS_RODANTES!P190</f>
        <v>1107.6</v>
      </c>
      <c r="S269" s="42" t="n">
        <f aca="false">INSUMOS_DIRECTOS_RODANTES!Q190</f>
        <v>1287</v>
      </c>
      <c r="T269" s="42" t="n">
        <f aca="false">INDEX(J269:S269,INDEX(P_VAL,MATCH("AÑO_DIS",P_ID,0))-2025)</f>
        <v>1287</v>
      </c>
      <c r="U269" s="24"/>
      <c r="V269" s="24"/>
      <c r="W269" s="24"/>
      <c r="X269" s="24"/>
      <c r="Y269" s="24"/>
    </row>
    <row r="270" customFormat="false" ht="15" hidden="false" customHeight="false" outlineLevel="1" collapsed="false">
      <c r="A270" s="24" t="n">
        <v>1</v>
      </c>
      <c r="B270" s="24" t="s">
        <v>1632</v>
      </c>
      <c r="C270" s="40" t="s">
        <v>3854</v>
      </c>
      <c r="D270" s="24"/>
      <c r="E270" s="24"/>
      <c r="F270" s="24"/>
      <c r="G270" s="24"/>
      <c r="H270" s="24" t="s">
        <v>132</v>
      </c>
      <c r="I270" s="24" t="s">
        <v>3855</v>
      </c>
      <c r="J270" s="42" t="n">
        <f aca="false">INSUMOS_DIRECTOS_RECARGAS!H533</f>
        <v>82</v>
      </c>
      <c r="K270" s="42" t="n">
        <f aca="false">INSUMOS_DIRECTOS_RECARGAS!I533</f>
        <v>256.98333333</v>
      </c>
      <c r="L270" s="42" t="n">
        <f aca="false">INSUMOS_DIRECTOS_RECARGAS!J533</f>
        <v>349.31666667</v>
      </c>
      <c r="M270" s="42" t="n">
        <f aca="false">INSUMOS_DIRECTOS_RECARGAS!K533</f>
        <v>599.43333333</v>
      </c>
      <c r="N270" s="42" t="n">
        <f aca="false">INSUMOS_DIRECTOS_RECARGAS!L533</f>
        <v>641.93333333</v>
      </c>
      <c r="O270" s="42" t="n">
        <f aca="false">INSUMOS_DIRECTOS_RECARGAS!M533</f>
        <v>742.25</v>
      </c>
      <c r="P270" s="42" t="n">
        <f aca="false">INSUMOS_DIRECTOS_RECARGAS!N533</f>
        <v>714.08333333</v>
      </c>
      <c r="Q270" s="42" t="n">
        <f aca="false">INSUMOS_DIRECTOS_RECARGAS!O533</f>
        <v>568</v>
      </c>
      <c r="R270" s="42" t="n">
        <f aca="false">INSUMOS_DIRECTOS_RECARGAS!P533</f>
        <v>434.48333333</v>
      </c>
      <c r="S270" s="42" t="n">
        <f aca="false">INSUMOS_DIRECTOS_RECARGAS!Q533</f>
        <v>451.35</v>
      </c>
      <c r="T270" s="42" t="n">
        <f aca="false">INDEX(J270:S270,INDEX(P_VAL,MATCH("AÑO_DIS",P_ID,0))-2025)</f>
        <v>451.35</v>
      </c>
      <c r="U270" s="24"/>
      <c r="V270" s="24"/>
      <c r="W270" s="24"/>
      <c r="X270" s="24"/>
      <c r="Y270" s="24"/>
    </row>
    <row r="271" customFormat="false" ht="15" hidden="false" customHeight="false" outlineLevel="0" collapsed="false">
      <c r="A271" s="38" t="n">
        <v>0</v>
      </c>
      <c r="B271" s="38" t="s">
        <v>1530</v>
      </c>
      <c r="C271" s="38" t="str">
        <f aca="false">INDEX(C_TAB,MATCH($B271,C_COD,0),2)</f>
        <v>Polvo BC (IRAM 3566), recargas</v>
      </c>
      <c r="D271" s="38" t="str">
        <f aca="false">INDEX(C_TAB,MATCH($B271,C_COD,0),3)</f>
        <v>kg</v>
      </c>
      <c r="E271" s="38" t="str">
        <f aca="false">INDEX(C_TAB,MATCH($B271,C_COD,0),4)</f>
        <v>Directo</v>
      </c>
      <c r="F271" s="38" t="str">
        <f aca="false">INDEX(C_TAB,MATCH($B271,C_COD,0),5)</f>
        <v>Materia prima</v>
      </c>
      <c r="G271" s="38" t="str">
        <f aca="false">INDEX(C_TAB,MATCH($B271,C_COD,0),6)</f>
        <v>Depósito de polvo químico</v>
      </c>
      <c r="H271" s="38"/>
      <c r="I271" s="38"/>
      <c r="J271" s="39" t="n">
        <f aca="false">SUM(J272:J272)</f>
        <v>3.0386421999438</v>
      </c>
      <c r="K271" s="39" t="n">
        <f aca="false">SUM(K272:K272)</f>
        <v>18.6610206510962</v>
      </c>
      <c r="L271" s="39" t="n">
        <f aca="false">SUM(L272:L272)</f>
        <v>34.8938239673426</v>
      </c>
      <c r="M271" s="39" t="n">
        <f aca="false">SUM(M272:M272)</f>
        <v>62.6944596102035</v>
      </c>
      <c r="N271" s="39" t="n">
        <f aca="false">SUM(N272:N272)</f>
        <v>86.485029653542</v>
      </c>
      <c r="O271" s="39" t="n">
        <f aca="false">SUM(O272:O272)</f>
        <v>114.852238925624</v>
      </c>
      <c r="P271" s="39" t="n">
        <f aca="false">SUM(P272:P272)</f>
        <v>144.730649600056</v>
      </c>
      <c r="Q271" s="39" t="n">
        <f aca="false">SUM(Q272:Q272)</f>
        <v>160.481221503889</v>
      </c>
      <c r="R271" s="39" t="n">
        <f aca="false">SUM(R272:R272)</f>
        <v>174.984535138374</v>
      </c>
      <c r="S271" s="39" t="n">
        <f aca="false">SUM(S272:S272)</f>
        <v>189.998694987761</v>
      </c>
      <c r="T271" s="39" t="n">
        <f aca="false">INDEX(J271:S271,INDEX(P_VAL,MATCH("AÑO_DIS",P_ID,0))-2025)</f>
        <v>189.998694987761</v>
      </c>
      <c r="U271" s="38" t="str">
        <f aca="false">INDEX(C_TAB,MATCH($B271,C_COD,0),10)</f>
        <v>Bolsa de 25 kg</v>
      </c>
      <c r="V271" s="38" t="n">
        <f aca="false">INDEX(C_TAB,MATCH($B271,C_COD,0),11)</f>
        <v>25</v>
      </c>
      <c r="W271" s="44" t="n">
        <f aca="false">ROUNDUP(T271/V271,0)</f>
        <v>8</v>
      </c>
      <c r="X271" s="38" t="str">
        <f aca="false">INDEX(C_TAB,MATCH($B271,C_COD,0),7)</f>
        <v>Polvex</v>
      </c>
      <c r="Y271" s="38" t="n">
        <f aca="false">INDEX(C_TAB,MATCH($B271,C_COD,0),12)</f>
        <v>7</v>
      </c>
    </row>
    <row r="272" customFormat="false" ht="15" hidden="false" customHeight="false" outlineLevel="1" collapsed="false">
      <c r="A272" s="24" t="n">
        <v>1</v>
      </c>
      <c r="B272" s="24" t="s">
        <v>1530</v>
      </c>
      <c r="C272" s="40" t="s">
        <v>3854</v>
      </c>
      <c r="D272" s="24"/>
      <c r="E272" s="24"/>
      <c r="F272" s="24"/>
      <c r="G272" s="24"/>
      <c r="H272" s="24" t="s">
        <v>132</v>
      </c>
      <c r="I272" s="24" t="s">
        <v>3855</v>
      </c>
      <c r="J272" s="42" t="n">
        <f aca="false">INSUMOS_DIRECTOS_RECARGAS!H546</f>
        <v>3.0386421999438</v>
      </c>
      <c r="K272" s="42" t="n">
        <f aca="false">INSUMOS_DIRECTOS_RECARGAS!I546</f>
        <v>18.6610206510962</v>
      </c>
      <c r="L272" s="42" t="n">
        <f aca="false">INSUMOS_DIRECTOS_RECARGAS!J546</f>
        <v>34.8938239673426</v>
      </c>
      <c r="M272" s="42" t="n">
        <f aca="false">INSUMOS_DIRECTOS_RECARGAS!K546</f>
        <v>62.6944596102035</v>
      </c>
      <c r="N272" s="42" t="n">
        <f aca="false">INSUMOS_DIRECTOS_RECARGAS!L546</f>
        <v>86.485029653542</v>
      </c>
      <c r="O272" s="42" t="n">
        <f aca="false">INSUMOS_DIRECTOS_RECARGAS!M546</f>
        <v>114.852238925624</v>
      </c>
      <c r="P272" s="42" t="n">
        <f aca="false">INSUMOS_DIRECTOS_RECARGAS!N546</f>
        <v>144.730649600056</v>
      </c>
      <c r="Q272" s="42" t="n">
        <f aca="false">INSUMOS_DIRECTOS_RECARGAS!O546</f>
        <v>160.481221503889</v>
      </c>
      <c r="R272" s="42" t="n">
        <f aca="false">INSUMOS_DIRECTOS_RECARGAS!P546</f>
        <v>174.984535138374</v>
      </c>
      <c r="S272" s="42" t="n">
        <f aca="false">INSUMOS_DIRECTOS_RECARGAS!Q546</f>
        <v>189.998694987761</v>
      </c>
      <c r="T272" s="42" t="n">
        <f aca="false">INDEX(J272:S272,INDEX(P_VAL,MATCH("AÑO_DIS",P_ID,0))-2025)</f>
        <v>189.998694987761</v>
      </c>
      <c r="U272" s="24"/>
      <c r="V272" s="24"/>
      <c r="W272" s="24"/>
      <c r="X272" s="24"/>
      <c r="Y272" s="24"/>
    </row>
    <row r="273" customFormat="false" ht="15" hidden="false" customHeight="false" outlineLevel="0" collapsed="false">
      <c r="A273" s="38" t="n">
        <v>0</v>
      </c>
      <c r="B273" s="38" t="s">
        <v>1603</v>
      </c>
      <c r="C273" s="38" t="str">
        <f aca="false">INDEX(C_TAB,MATCH($B273,C_COD,0),2)</f>
        <v>Polvo para metales combustibles clase D, recargas</v>
      </c>
      <c r="D273" s="38" t="str">
        <f aca="false">INDEX(C_TAB,MATCH($B273,C_COD,0),3)</f>
        <v>kg</v>
      </c>
      <c r="E273" s="38" t="str">
        <f aca="false">INDEX(C_TAB,MATCH($B273,C_COD,0),4)</f>
        <v>Directo</v>
      </c>
      <c r="F273" s="38" t="str">
        <f aca="false">INDEX(C_TAB,MATCH($B273,C_COD,0),5)</f>
        <v>Materia prima</v>
      </c>
      <c r="G273" s="38" t="str">
        <f aca="false">INDEX(C_TAB,MATCH($B273,C_COD,0),6)</f>
        <v>Depósito de polvo químico</v>
      </c>
      <c r="H273" s="38"/>
      <c r="I273" s="38"/>
      <c r="J273" s="39" t="n">
        <f aca="false">SUM(J274:J274)</f>
        <v>4.53025388881884</v>
      </c>
      <c r="K273" s="39" t="n">
        <f aca="false">SUM(K274:K274)</f>
        <v>27.8210637211732</v>
      </c>
      <c r="L273" s="39" t="n">
        <f aca="false">SUM(L274:L274)</f>
        <v>52.0221219936166</v>
      </c>
      <c r="M273" s="39" t="n">
        <f aca="false">SUM(M274:M274)</f>
        <v>86.9742270931824</v>
      </c>
      <c r="N273" s="39" t="n">
        <f aca="false">SUM(N274:N274)</f>
        <v>120.505414412117</v>
      </c>
      <c r="O273" s="39" t="n">
        <f aca="false">SUM(O274:O274)</f>
        <v>149.755928661285</v>
      </c>
      <c r="P273" s="39" t="n">
        <f aca="false">SUM(P274:P274)</f>
        <v>192.378217801303</v>
      </c>
      <c r="Q273" s="39" t="n">
        <f aca="false">SUM(Q274:Q274)</f>
        <v>214.660079000305</v>
      </c>
      <c r="R273" s="39" t="n">
        <f aca="false">SUM(R274:R274)</f>
        <v>235.35646425974</v>
      </c>
      <c r="S273" s="39" t="n">
        <f aca="false">SUM(S274:S274)</f>
        <v>255.602815856663</v>
      </c>
      <c r="T273" s="39" t="n">
        <f aca="false">INDEX(J273:S273,INDEX(P_VAL,MATCH("AÑO_DIS",P_ID,0))-2025)</f>
        <v>255.602815856663</v>
      </c>
      <c r="U273" s="38" t="str">
        <f aca="false">INDEX(C_TAB,MATCH($B273,C_COD,0),10)</f>
        <v>Bolsa de 25 kg</v>
      </c>
      <c r="V273" s="38" t="n">
        <f aca="false">INDEX(C_TAB,MATCH($B273,C_COD,0),11)</f>
        <v>25</v>
      </c>
      <c r="W273" s="44" t="n">
        <f aca="false">ROUNDUP(T273/V273,0)</f>
        <v>11</v>
      </c>
      <c r="X273" s="38" t="str">
        <f aca="false">INDEX(C_TAB,MATCH($B273,C_COD,0),7)</f>
        <v>DEMSA</v>
      </c>
      <c r="Y273" s="38" t="n">
        <f aca="false">INDEX(C_TAB,MATCH($B273,C_COD,0),12)</f>
        <v>15</v>
      </c>
    </row>
    <row r="274" customFormat="false" ht="15" hidden="false" customHeight="false" outlineLevel="1" collapsed="false">
      <c r="A274" s="24" t="n">
        <v>1</v>
      </c>
      <c r="B274" s="24" t="s">
        <v>1603</v>
      </c>
      <c r="C274" s="40" t="s">
        <v>3854</v>
      </c>
      <c r="D274" s="24"/>
      <c r="E274" s="24"/>
      <c r="F274" s="24"/>
      <c r="G274" s="24"/>
      <c r="H274" s="24" t="s">
        <v>132</v>
      </c>
      <c r="I274" s="24" t="s">
        <v>3855</v>
      </c>
      <c r="J274" s="42" t="n">
        <f aca="false">INSUMOS_DIRECTOS_RECARGAS!H549</f>
        <v>4.53025388881884</v>
      </c>
      <c r="K274" s="42" t="n">
        <f aca="false">INSUMOS_DIRECTOS_RECARGAS!I549</f>
        <v>27.8210637211732</v>
      </c>
      <c r="L274" s="42" t="n">
        <f aca="false">INSUMOS_DIRECTOS_RECARGAS!J549</f>
        <v>52.0221219936166</v>
      </c>
      <c r="M274" s="42" t="n">
        <f aca="false">INSUMOS_DIRECTOS_RECARGAS!K549</f>
        <v>86.9742270931824</v>
      </c>
      <c r="N274" s="42" t="n">
        <f aca="false">INSUMOS_DIRECTOS_RECARGAS!L549</f>
        <v>120.505414412117</v>
      </c>
      <c r="O274" s="42" t="n">
        <f aca="false">INSUMOS_DIRECTOS_RECARGAS!M549</f>
        <v>149.755928661285</v>
      </c>
      <c r="P274" s="42" t="n">
        <f aca="false">INSUMOS_DIRECTOS_RECARGAS!N549</f>
        <v>192.378217801303</v>
      </c>
      <c r="Q274" s="42" t="n">
        <f aca="false">INSUMOS_DIRECTOS_RECARGAS!O549</f>
        <v>214.660079000305</v>
      </c>
      <c r="R274" s="42" t="n">
        <f aca="false">INSUMOS_DIRECTOS_RECARGAS!P549</f>
        <v>235.35646425974</v>
      </c>
      <c r="S274" s="42" t="n">
        <f aca="false">INSUMOS_DIRECTOS_RECARGAS!Q549</f>
        <v>255.602815856663</v>
      </c>
      <c r="T274" s="42" t="n">
        <f aca="false">INDEX(J274:S274,INDEX(P_VAL,MATCH("AÑO_DIS",P_ID,0))-2025)</f>
        <v>255.602815856663</v>
      </c>
      <c r="U274" s="24"/>
      <c r="V274" s="24"/>
      <c r="W274" s="24"/>
      <c r="X274" s="24"/>
      <c r="Y274" s="24"/>
    </row>
    <row r="275" customFormat="false" ht="15" hidden="false" customHeight="false" outlineLevel="0" collapsed="false">
      <c r="A275" s="38" t="n">
        <v>0</v>
      </c>
      <c r="B275" s="38" t="s">
        <v>1558</v>
      </c>
      <c r="C275" s="38" t="str">
        <f aca="false">INDEX(C_TAB,MATCH($B275,C_COD,0),2)</f>
        <v>CO₂ líquido grado industrial, recargas</v>
      </c>
      <c r="D275" s="38" t="str">
        <f aca="false">INDEX(C_TAB,MATCH($B275,C_COD,0),3)</f>
        <v>kg</v>
      </c>
      <c r="E275" s="38" t="str">
        <f aca="false">INDEX(C_TAB,MATCH($B275,C_COD,0),4)</f>
        <v>Directo</v>
      </c>
      <c r="F275" s="38" t="str">
        <f aca="false">INDEX(C_TAB,MATCH($B275,C_COD,0),5)</f>
        <v>Materia prima</v>
      </c>
      <c r="G275" s="38" t="str">
        <f aca="false">INDEX(C_TAB,MATCH($B275,C_COD,0),6)</f>
        <v>Jaula de gases</v>
      </c>
      <c r="H275" s="38"/>
      <c r="I275" s="38"/>
      <c r="J275" s="39" t="n">
        <f aca="false">SUM(J276:J276)</f>
        <v>148.801381247389</v>
      </c>
      <c r="K275" s="39" t="n">
        <f aca="false">SUM(K276:K276)</f>
        <v>642.252856500803</v>
      </c>
      <c r="L275" s="39" t="n">
        <f aca="false">SUM(L276:L276)</f>
        <v>1436.3073807884</v>
      </c>
      <c r="M275" s="39" t="n">
        <f aca="false">SUM(M276:M276)</f>
        <v>2664.23890511224</v>
      </c>
      <c r="N275" s="39" t="n">
        <f aca="false">SUM(N276:N276)</f>
        <v>3843.1810134615</v>
      </c>
      <c r="O275" s="39" t="n">
        <f aca="false">SUM(O276:O276)</f>
        <v>5113.9707974987</v>
      </c>
      <c r="P275" s="39" t="n">
        <f aca="false">SUM(P276:P276)</f>
        <v>6290.35155956011</v>
      </c>
      <c r="Q275" s="39" t="n">
        <f aca="false">SUM(Q276:Q276)</f>
        <v>7019.58494122509</v>
      </c>
      <c r="R275" s="39" t="n">
        <f aca="false">SUM(R276:R276)</f>
        <v>7599.58529974509</v>
      </c>
      <c r="S275" s="39" t="n">
        <f aca="false">SUM(S276:S276)</f>
        <v>8188.46223778897</v>
      </c>
      <c r="T275" s="39" t="n">
        <f aca="false">INDEX(J275:S275,INDEX(P_VAL,MATCH("AÑO_DIS",P_ID,0))-2025)</f>
        <v>8188.46223778897</v>
      </c>
      <c r="U275" s="38" t="str">
        <f aca="false">INDEX(C_TAB,MATCH($B275,C_COD,0),10)</f>
        <v>Cilindro con sifón de 25 kg</v>
      </c>
      <c r="V275" s="38" t="n">
        <f aca="false">INDEX(C_TAB,MATCH($B275,C_COD,0),11)</f>
        <v>25</v>
      </c>
      <c r="W275" s="44" t="n">
        <f aca="false">ROUNDUP(T275/V275,0)</f>
        <v>328</v>
      </c>
      <c r="X275" s="38" t="str">
        <f aca="false">INDEX(C_TAB,MATCH($B275,C_COD,0),7)</f>
        <v>Air Liquide</v>
      </c>
      <c r="Y275" s="38" t="n">
        <f aca="false">INDEX(C_TAB,MATCH($B275,C_COD,0),12)</f>
        <v>1</v>
      </c>
    </row>
    <row r="276" customFormat="false" ht="15" hidden="false" customHeight="false" outlineLevel="1" collapsed="false">
      <c r="A276" s="24" t="n">
        <v>1</v>
      </c>
      <c r="B276" s="24" t="s">
        <v>1558</v>
      </c>
      <c r="C276" s="40" t="s">
        <v>3854</v>
      </c>
      <c r="D276" s="24"/>
      <c r="E276" s="24"/>
      <c r="F276" s="24"/>
      <c r="G276" s="24"/>
      <c r="H276" s="24" t="s">
        <v>132</v>
      </c>
      <c r="I276" s="24" t="s">
        <v>3855</v>
      </c>
      <c r="J276" s="42" t="n">
        <f aca="false">INSUMOS_DIRECTOS_RECARGAS!H552</f>
        <v>148.801381247389</v>
      </c>
      <c r="K276" s="42" t="n">
        <f aca="false">INSUMOS_DIRECTOS_RECARGAS!I552</f>
        <v>642.252856500803</v>
      </c>
      <c r="L276" s="42" t="n">
        <f aca="false">INSUMOS_DIRECTOS_RECARGAS!J552</f>
        <v>1436.3073807884</v>
      </c>
      <c r="M276" s="42" t="n">
        <f aca="false">INSUMOS_DIRECTOS_RECARGAS!K552</f>
        <v>2664.23890511224</v>
      </c>
      <c r="N276" s="42" t="n">
        <f aca="false">INSUMOS_DIRECTOS_RECARGAS!L552</f>
        <v>3843.1810134615</v>
      </c>
      <c r="O276" s="42" t="n">
        <f aca="false">INSUMOS_DIRECTOS_RECARGAS!M552</f>
        <v>5113.9707974987</v>
      </c>
      <c r="P276" s="42" t="n">
        <f aca="false">INSUMOS_DIRECTOS_RECARGAS!N552</f>
        <v>6290.35155956011</v>
      </c>
      <c r="Q276" s="42" t="n">
        <f aca="false">INSUMOS_DIRECTOS_RECARGAS!O552</f>
        <v>7019.58494122509</v>
      </c>
      <c r="R276" s="42" t="n">
        <f aca="false">INSUMOS_DIRECTOS_RECARGAS!P552</f>
        <v>7599.58529974509</v>
      </c>
      <c r="S276" s="42" t="n">
        <f aca="false">INSUMOS_DIRECTOS_RECARGAS!Q552</f>
        <v>8188.46223778897</v>
      </c>
      <c r="T276" s="42" t="n">
        <f aca="false">INDEX(J276:S276,INDEX(P_VAL,MATCH("AÑO_DIS",P_ID,0))-2025)</f>
        <v>8188.46223778897</v>
      </c>
      <c r="U276" s="24"/>
      <c r="V276" s="24"/>
      <c r="W276" s="24"/>
      <c r="X276" s="24"/>
      <c r="Y276" s="24"/>
    </row>
    <row r="277" customFormat="false" ht="15" hidden="false" customHeight="false" outlineLevel="0" collapsed="false">
      <c r="A277" s="38" t="n">
        <v>0</v>
      </c>
      <c r="B277" s="38" t="s">
        <v>1586</v>
      </c>
      <c r="C277" s="38" t="str">
        <f aca="false">INDEX(C_TAB,MATCH($B277,C_COD,0),2)</f>
        <v>Agente limpio HCFC-123 / HFC-236fa, recargas</v>
      </c>
      <c r="D277" s="38" t="str">
        <f aca="false">INDEX(C_TAB,MATCH($B277,C_COD,0),3)</f>
        <v>kg</v>
      </c>
      <c r="E277" s="38" t="str">
        <f aca="false">INDEX(C_TAB,MATCH($B277,C_COD,0),4)</f>
        <v>Directo</v>
      </c>
      <c r="F277" s="38" t="str">
        <f aca="false">INDEX(C_TAB,MATCH($B277,C_COD,0),5)</f>
        <v>Materia prima</v>
      </c>
      <c r="G277" s="38" t="str">
        <f aca="false">INDEX(C_TAB,MATCH($B277,C_COD,0),6)</f>
        <v>Insumos de recargas</v>
      </c>
      <c r="H277" s="38"/>
      <c r="I277" s="38"/>
      <c r="J277" s="39" t="n">
        <f aca="false">SUM(J278:J278)</f>
        <v>7.31879469737526</v>
      </c>
      <c r="K277" s="39" t="n">
        <f aca="false">SUM(K278:K278)</f>
        <v>43.4665684431177</v>
      </c>
      <c r="L277" s="39" t="n">
        <f aca="false">SUM(L278:L278)</f>
        <v>89.1076152391253</v>
      </c>
      <c r="M277" s="39" t="n">
        <f aca="false">SUM(M278:M278)</f>
        <v>154.597483353191</v>
      </c>
      <c r="N277" s="39" t="n">
        <f aca="false">SUM(N278:N278)</f>
        <v>221.574587969017</v>
      </c>
      <c r="O277" s="39" t="n">
        <f aca="false">SUM(O278:O278)</f>
        <v>290.864796271619</v>
      </c>
      <c r="P277" s="39" t="n">
        <f aca="false">SUM(P278:P278)</f>
        <v>364.211480562278</v>
      </c>
      <c r="Q277" s="39" t="n">
        <f aca="false">SUM(Q278:Q278)</f>
        <v>413.141441246925</v>
      </c>
      <c r="R277" s="39" t="n">
        <f aca="false">SUM(R278:R278)</f>
        <v>451.410072366054</v>
      </c>
      <c r="S277" s="39" t="n">
        <f aca="false">SUM(S278:S278)</f>
        <v>489.969341838035</v>
      </c>
      <c r="T277" s="39" t="n">
        <f aca="false">INDEX(J277:S277,INDEX(P_VAL,MATCH("AÑO_DIS",P_ID,0))-2025)</f>
        <v>489.969341838035</v>
      </c>
      <c r="U277" s="38" t="str">
        <f aca="false">INDEX(C_TAB,MATCH($B277,C_COD,0),10)</f>
        <v>Cilindro de 50 kg</v>
      </c>
      <c r="V277" s="38" t="n">
        <f aca="false">INDEX(C_TAB,MATCH($B277,C_COD,0),11)</f>
        <v>50</v>
      </c>
      <c r="W277" s="44" t="n">
        <f aca="false">ROUNDUP(T277/V277,0)</f>
        <v>10</v>
      </c>
      <c r="X277" s="38" t="str">
        <f aca="false">INDEX(C_TAB,MATCH($B277,C_COD,0),7)</f>
        <v>A definir (importado)</v>
      </c>
      <c r="Y277" s="38" t="n">
        <f aca="false">INDEX(C_TAB,MATCH($B277,C_COD,0),12)</f>
        <v>30</v>
      </c>
    </row>
    <row r="278" customFormat="false" ht="15" hidden="false" customHeight="false" outlineLevel="1" collapsed="false">
      <c r="A278" s="24" t="n">
        <v>1</v>
      </c>
      <c r="B278" s="24" t="s">
        <v>1586</v>
      </c>
      <c r="C278" s="40" t="s">
        <v>3854</v>
      </c>
      <c r="D278" s="24"/>
      <c r="E278" s="24"/>
      <c r="F278" s="24"/>
      <c r="G278" s="24"/>
      <c r="H278" s="24" t="s">
        <v>132</v>
      </c>
      <c r="I278" s="24" t="s">
        <v>3855</v>
      </c>
      <c r="J278" s="42" t="n">
        <f aca="false">INSUMOS_DIRECTOS_RECARGAS!H556</f>
        <v>7.31879469737526</v>
      </c>
      <c r="K278" s="42" t="n">
        <f aca="false">INSUMOS_DIRECTOS_RECARGAS!I556</f>
        <v>43.4665684431177</v>
      </c>
      <c r="L278" s="42" t="n">
        <f aca="false">INSUMOS_DIRECTOS_RECARGAS!J556</f>
        <v>89.1076152391253</v>
      </c>
      <c r="M278" s="42" t="n">
        <f aca="false">INSUMOS_DIRECTOS_RECARGAS!K556</f>
        <v>154.597483353191</v>
      </c>
      <c r="N278" s="42" t="n">
        <f aca="false">INSUMOS_DIRECTOS_RECARGAS!L556</f>
        <v>221.574587969017</v>
      </c>
      <c r="O278" s="42" t="n">
        <f aca="false">INSUMOS_DIRECTOS_RECARGAS!M556</f>
        <v>290.864796271619</v>
      </c>
      <c r="P278" s="42" t="n">
        <f aca="false">INSUMOS_DIRECTOS_RECARGAS!N556</f>
        <v>364.211480562278</v>
      </c>
      <c r="Q278" s="42" t="n">
        <f aca="false">INSUMOS_DIRECTOS_RECARGAS!O556</f>
        <v>413.141441246925</v>
      </c>
      <c r="R278" s="42" t="n">
        <f aca="false">INSUMOS_DIRECTOS_RECARGAS!P556</f>
        <v>451.410072366054</v>
      </c>
      <c r="S278" s="42" t="n">
        <f aca="false">INSUMOS_DIRECTOS_RECARGAS!Q556</f>
        <v>489.969341838035</v>
      </c>
      <c r="T278" s="42" t="n">
        <f aca="false">INDEX(J278:S278,INDEX(P_VAL,MATCH("AÑO_DIS",P_ID,0))-2025)</f>
        <v>489.969341838035</v>
      </c>
      <c r="U278" s="24"/>
      <c r="V278" s="24"/>
      <c r="W278" s="24"/>
      <c r="X278" s="24"/>
      <c r="Y278" s="24"/>
    </row>
    <row r="279" customFormat="false" ht="15" hidden="false" customHeight="false" outlineLevel="0" collapsed="false">
      <c r="A279" s="38" t="n">
        <v>0</v>
      </c>
      <c r="B279" s="38" t="s">
        <v>1499</v>
      </c>
      <c r="C279" s="38" t="str">
        <f aca="false">INDEX(C_TAB,MATCH($B279,C_COD,0),2)</f>
        <v>Concentrado AFFF 3 % (IRAM 3515), recargas</v>
      </c>
      <c r="D279" s="38" t="str">
        <f aca="false">INDEX(C_TAB,MATCH($B279,C_COD,0),3)</f>
        <v>L</v>
      </c>
      <c r="E279" s="38" t="str">
        <f aca="false">INDEX(C_TAB,MATCH($B279,C_COD,0),4)</f>
        <v>Directo</v>
      </c>
      <c r="F279" s="38" t="str">
        <f aca="false">INDEX(C_TAB,MATCH($B279,C_COD,0),5)</f>
        <v>Materia prima</v>
      </c>
      <c r="G279" s="38" t="str">
        <f aca="false">INDEX(C_TAB,MATCH($B279,C_COD,0),6)</f>
        <v>Insumos de recargas</v>
      </c>
      <c r="H279" s="38"/>
      <c r="I279" s="38"/>
      <c r="J279" s="39" t="n">
        <f aca="false">SUM(J280:J280)</f>
        <v>25.696310403</v>
      </c>
      <c r="K279" s="39" t="n">
        <f aca="false">SUM(K280:K280)</f>
        <v>175.33000476</v>
      </c>
      <c r="L279" s="39" t="n">
        <f aca="false">SUM(L280:L280)</f>
        <v>345.87793338</v>
      </c>
      <c r="M279" s="39" t="n">
        <f aca="false">SUM(M280:M280)</f>
        <v>588.03010392</v>
      </c>
      <c r="N279" s="39" t="n">
        <f aca="false">SUM(N280:N280)</f>
        <v>831.69044754</v>
      </c>
      <c r="O279" s="39" t="n">
        <f aca="false">SUM(O280:O280)</f>
        <v>1072.95322716</v>
      </c>
      <c r="P279" s="39" t="n">
        <f aca="false">SUM(P280:P280)</f>
        <v>1316.48091975</v>
      </c>
      <c r="Q279" s="39" t="n">
        <f aca="false">SUM(Q280:Q280)</f>
        <v>1488.75219045</v>
      </c>
      <c r="R279" s="39" t="n">
        <f aca="false">SUM(R280:R280)</f>
        <v>1621.6811277</v>
      </c>
      <c r="S279" s="39" t="n">
        <f aca="false">SUM(S280:S280)</f>
        <v>1756.25863425</v>
      </c>
      <c r="T279" s="39" t="n">
        <f aca="false">INDEX(J279:S279,INDEX(P_VAL,MATCH("AÑO_DIS",P_ID,0))-2025)</f>
        <v>1756.25863425</v>
      </c>
      <c r="U279" s="38" t="str">
        <f aca="false">INDEX(C_TAB,MATCH($B279,C_COD,0),10)</f>
        <v>Bidón de 20 L</v>
      </c>
      <c r="V279" s="38" t="n">
        <f aca="false">INDEX(C_TAB,MATCH($B279,C_COD,0),11)</f>
        <v>20</v>
      </c>
      <c r="W279" s="44" t="n">
        <f aca="false">ROUNDUP(T279/V279,0)</f>
        <v>88</v>
      </c>
      <c r="X279" s="38" t="str">
        <f aca="false">INDEX(C_TAB,MATCH($B279,C_COD,0),7)</f>
        <v>DEMSA</v>
      </c>
      <c r="Y279" s="38" t="n">
        <f aca="false">INDEX(C_TAB,MATCH($B279,C_COD,0),12)</f>
        <v>7</v>
      </c>
    </row>
    <row r="280" customFormat="false" ht="15" hidden="false" customHeight="false" outlineLevel="1" collapsed="false">
      <c r="A280" s="24" t="n">
        <v>1</v>
      </c>
      <c r="B280" s="24" t="s">
        <v>1499</v>
      </c>
      <c r="C280" s="40" t="s">
        <v>3854</v>
      </c>
      <c r="D280" s="24"/>
      <c r="E280" s="24"/>
      <c r="F280" s="24"/>
      <c r="G280" s="24"/>
      <c r="H280" s="24" t="s">
        <v>132</v>
      </c>
      <c r="I280" s="24" t="s">
        <v>3855</v>
      </c>
      <c r="J280" s="42" t="n">
        <f aca="false">INSUMOS_DIRECTOS_RECARGAS!H559</f>
        <v>25.696310403</v>
      </c>
      <c r="K280" s="42" t="n">
        <f aca="false">INSUMOS_DIRECTOS_RECARGAS!I559</f>
        <v>175.33000476</v>
      </c>
      <c r="L280" s="42" t="n">
        <f aca="false">INSUMOS_DIRECTOS_RECARGAS!J559</f>
        <v>345.87793338</v>
      </c>
      <c r="M280" s="42" t="n">
        <f aca="false">INSUMOS_DIRECTOS_RECARGAS!K559</f>
        <v>588.03010392</v>
      </c>
      <c r="N280" s="42" t="n">
        <f aca="false">INSUMOS_DIRECTOS_RECARGAS!L559</f>
        <v>831.69044754</v>
      </c>
      <c r="O280" s="42" t="n">
        <f aca="false">INSUMOS_DIRECTOS_RECARGAS!M559</f>
        <v>1072.95322716</v>
      </c>
      <c r="P280" s="42" t="n">
        <f aca="false">INSUMOS_DIRECTOS_RECARGAS!N559</f>
        <v>1316.48091975</v>
      </c>
      <c r="Q280" s="42" t="n">
        <f aca="false">INSUMOS_DIRECTOS_RECARGAS!O559</f>
        <v>1488.75219045</v>
      </c>
      <c r="R280" s="42" t="n">
        <f aca="false">INSUMOS_DIRECTOS_RECARGAS!P559</f>
        <v>1621.6811277</v>
      </c>
      <c r="S280" s="42" t="n">
        <f aca="false">INSUMOS_DIRECTOS_RECARGAS!Q559</f>
        <v>1756.25863425</v>
      </c>
      <c r="T280" s="42" t="n">
        <f aca="false">INDEX(J280:S280,INDEX(P_VAL,MATCH("AÑO_DIS",P_ID,0))-2025)</f>
        <v>1756.25863425</v>
      </c>
      <c r="U280" s="24"/>
      <c r="V280" s="24"/>
      <c r="W280" s="24"/>
      <c r="X280" s="24"/>
      <c r="Y280" s="24"/>
    </row>
    <row r="281" customFormat="false" ht="15" hidden="false" customHeight="false" outlineLevel="0" collapsed="false">
      <c r="A281" s="38" t="n">
        <v>0</v>
      </c>
      <c r="B281" s="38" t="s">
        <v>1545</v>
      </c>
      <c r="C281" s="38" t="str">
        <f aca="false">INDEX(C_TAB,MATCH($B281,C_COD,0),2)</f>
        <v>Solución de acetato de potasio (clase K), recargas</v>
      </c>
      <c r="D281" s="38" t="str">
        <f aca="false">INDEX(C_TAB,MATCH($B281,C_COD,0),3)</f>
        <v>L</v>
      </c>
      <c r="E281" s="38" t="str">
        <f aca="false">INDEX(C_TAB,MATCH($B281,C_COD,0),4)</f>
        <v>Directo</v>
      </c>
      <c r="F281" s="38" t="str">
        <f aca="false">INDEX(C_TAB,MATCH($B281,C_COD,0),5)</f>
        <v>Materia prima</v>
      </c>
      <c r="G281" s="38" t="str">
        <f aca="false">INDEX(C_TAB,MATCH($B281,C_COD,0),6)</f>
        <v>Insumos de recargas</v>
      </c>
      <c r="H281" s="38"/>
      <c r="I281" s="38"/>
      <c r="J281" s="39" t="n">
        <f aca="false">SUM(J282:J282)</f>
        <v>505.0449612999</v>
      </c>
      <c r="K281" s="39" t="n">
        <f aca="false">SUM(K282:K282)</f>
        <v>2066.939028777</v>
      </c>
      <c r="L281" s="39" t="n">
        <f aca="false">SUM(L282:L282)</f>
        <v>4601.593964289</v>
      </c>
      <c r="M281" s="39" t="n">
        <f aca="false">SUM(M282:M282)</f>
        <v>8367.05000733</v>
      </c>
      <c r="N281" s="39" t="n">
        <f aca="false">SUM(N282:N282)</f>
        <v>12077.23442898</v>
      </c>
      <c r="O281" s="39" t="n">
        <f aca="false">SUM(O282:O282)</f>
        <v>16001.72719908</v>
      </c>
      <c r="P281" s="39" t="n">
        <f aca="false">SUM(P282:P282)</f>
        <v>19684.48457493</v>
      </c>
      <c r="Q281" s="39" t="n">
        <f aca="false">SUM(Q282:Q282)</f>
        <v>22030.81526268</v>
      </c>
      <c r="R281" s="39" t="n">
        <f aca="false">SUM(R282:R282)</f>
        <v>23828.63530173</v>
      </c>
      <c r="S281" s="39" t="n">
        <f aca="false">SUM(S282:S282)</f>
        <v>25654.48809798</v>
      </c>
      <c r="T281" s="39" t="n">
        <f aca="false">INDEX(J281:S281,INDEX(P_VAL,MATCH("AÑO_DIS",P_ID,0))-2025)</f>
        <v>25654.48809798</v>
      </c>
      <c r="U281" s="38" t="str">
        <f aca="false">INDEX(C_TAB,MATCH($B281,C_COD,0),10)</f>
        <v>Bidón de 20 L</v>
      </c>
      <c r="V281" s="38" t="n">
        <f aca="false">INDEX(C_TAB,MATCH($B281,C_COD,0),11)</f>
        <v>20</v>
      </c>
      <c r="W281" s="44" t="n">
        <f aca="false">ROUNDUP(T281/V281,0)</f>
        <v>1283</v>
      </c>
      <c r="X281" s="38" t="str">
        <f aca="false">INDEX(C_TAB,MATCH($B281,C_COD,0),7)</f>
        <v>Polvex (Gastro K)</v>
      </c>
      <c r="Y281" s="38" t="n">
        <f aca="false">INDEX(C_TAB,MATCH($B281,C_COD,0),12)</f>
        <v>7</v>
      </c>
    </row>
    <row r="282" customFormat="false" ht="15" hidden="false" customHeight="false" outlineLevel="1" collapsed="false">
      <c r="A282" s="24" t="n">
        <v>1</v>
      </c>
      <c r="B282" s="24" t="s">
        <v>1545</v>
      </c>
      <c r="C282" s="40" t="s">
        <v>3854</v>
      </c>
      <c r="D282" s="24"/>
      <c r="E282" s="24"/>
      <c r="F282" s="24"/>
      <c r="G282" s="24"/>
      <c r="H282" s="24" t="s">
        <v>132</v>
      </c>
      <c r="I282" s="24" t="s">
        <v>3855</v>
      </c>
      <c r="J282" s="42" t="n">
        <f aca="false">INSUMOS_DIRECTOS_RECARGAS!H564</f>
        <v>505.0449612999</v>
      </c>
      <c r="K282" s="42" t="n">
        <f aca="false">INSUMOS_DIRECTOS_RECARGAS!I564</f>
        <v>2066.939028777</v>
      </c>
      <c r="L282" s="42" t="n">
        <f aca="false">INSUMOS_DIRECTOS_RECARGAS!J564</f>
        <v>4601.593964289</v>
      </c>
      <c r="M282" s="42" t="n">
        <f aca="false">INSUMOS_DIRECTOS_RECARGAS!K564</f>
        <v>8367.05000733</v>
      </c>
      <c r="N282" s="42" t="n">
        <f aca="false">INSUMOS_DIRECTOS_RECARGAS!L564</f>
        <v>12077.23442898</v>
      </c>
      <c r="O282" s="42" t="n">
        <f aca="false">INSUMOS_DIRECTOS_RECARGAS!M564</f>
        <v>16001.72719908</v>
      </c>
      <c r="P282" s="42" t="n">
        <f aca="false">INSUMOS_DIRECTOS_RECARGAS!N564</f>
        <v>19684.48457493</v>
      </c>
      <c r="Q282" s="42" t="n">
        <f aca="false">INSUMOS_DIRECTOS_RECARGAS!O564</f>
        <v>22030.81526268</v>
      </c>
      <c r="R282" s="42" t="n">
        <f aca="false">INSUMOS_DIRECTOS_RECARGAS!P564</f>
        <v>23828.63530173</v>
      </c>
      <c r="S282" s="42" t="n">
        <f aca="false">INSUMOS_DIRECTOS_RECARGAS!Q564</f>
        <v>25654.48809798</v>
      </c>
      <c r="T282" s="42" t="n">
        <f aca="false">INDEX(J282:S282,INDEX(P_VAL,MATCH("AÑO_DIS",P_ID,0))-2025)</f>
        <v>25654.48809798</v>
      </c>
      <c r="U282" s="24"/>
      <c r="V282" s="24"/>
      <c r="W282" s="24"/>
      <c r="X282" s="24"/>
      <c r="Y282" s="24"/>
    </row>
    <row r="283" customFormat="false" ht="15" hidden="false" customHeight="false" outlineLevel="0" collapsed="false">
      <c r="A283" s="38" t="n">
        <v>0</v>
      </c>
      <c r="B283" s="38" t="s">
        <v>1926</v>
      </c>
      <c r="C283" s="38" t="str">
        <f aca="false">INDEX(C_TAB,MATCH($B283,C_COD,0),2)</f>
        <v>Esmalte rojo de retoque, recargas</v>
      </c>
      <c r="D283" s="38" t="str">
        <f aca="false">INDEX(C_TAB,MATCH($B283,C_COD,0),3)</f>
        <v>L</v>
      </c>
      <c r="E283" s="38" t="str">
        <f aca="false">INDEX(C_TAB,MATCH($B283,C_COD,0),4)</f>
        <v>Directo</v>
      </c>
      <c r="F283" s="38" t="str">
        <f aca="false">INDEX(C_TAB,MATCH($B283,C_COD,0),5)</f>
        <v>Materia prima</v>
      </c>
      <c r="G283" s="38" t="str">
        <f aca="false">INDEX(C_TAB,MATCH($B283,C_COD,0),6)</f>
        <v>Insumos de recargas</v>
      </c>
      <c r="H283" s="38"/>
      <c r="I283" s="38"/>
      <c r="J283" s="39" t="n">
        <f aca="false">SUM(J284:J284)</f>
        <v>51.8384482356225</v>
      </c>
      <c r="K283" s="39" t="n">
        <f aca="false">SUM(K284:K284)</f>
        <v>232.48260685605</v>
      </c>
      <c r="L283" s="39" t="n">
        <f aca="false">SUM(L284:L284)</f>
        <v>466.1329349976</v>
      </c>
      <c r="M283" s="39" t="n">
        <f aca="false">SUM(M284:M284)</f>
        <v>864.64346575875</v>
      </c>
      <c r="N283" s="39" t="n">
        <f aca="false">SUM(N284:N284)</f>
        <v>1272.65546849175</v>
      </c>
      <c r="O283" s="39" t="n">
        <f aca="false">SUM(O284:O284)</f>
        <v>1732.2083108265</v>
      </c>
      <c r="P283" s="39" t="n">
        <f aca="false">SUM(P284:P284)</f>
        <v>2151.3208663095</v>
      </c>
      <c r="Q283" s="39" t="n">
        <f aca="false">SUM(Q284:Q284)</f>
        <v>2445.721786692</v>
      </c>
      <c r="R283" s="39" t="n">
        <f aca="false">SUM(R284:R284)</f>
        <v>2630.64536613225</v>
      </c>
      <c r="S283" s="39" t="n">
        <f aca="false">SUM(S284:S284)</f>
        <v>2819.4426718725</v>
      </c>
      <c r="T283" s="39" t="n">
        <f aca="false">INDEX(J283:S283,INDEX(P_VAL,MATCH("AÑO_DIS",P_ID,0))-2025)</f>
        <v>2819.4426718725</v>
      </c>
      <c r="U283" s="38" t="str">
        <f aca="false">INDEX(C_TAB,MATCH($B283,C_COD,0),10)</f>
        <v>Lata de 4 L</v>
      </c>
      <c r="V283" s="38" t="n">
        <f aca="false">INDEX(C_TAB,MATCH($B283,C_COD,0),11)</f>
        <v>4</v>
      </c>
      <c r="W283" s="44" t="n">
        <f aca="false">ROUNDUP(T283/V283,0)</f>
        <v>705</v>
      </c>
      <c r="X283" s="38" t="str">
        <f aca="false">INDEX(C_TAB,MATCH($B283,C_COD,0),7)</f>
        <v>Sinteplast</v>
      </c>
      <c r="Y283" s="38" t="n">
        <f aca="false">INDEX(C_TAB,MATCH($B283,C_COD,0),12)</f>
        <v>5</v>
      </c>
    </row>
    <row r="284" customFormat="false" ht="15" hidden="false" customHeight="false" outlineLevel="1" collapsed="false">
      <c r="A284" s="24" t="n">
        <v>1</v>
      </c>
      <c r="B284" s="24" t="s">
        <v>1926</v>
      </c>
      <c r="C284" s="40" t="s">
        <v>3854</v>
      </c>
      <c r="D284" s="24"/>
      <c r="E284" s="24"/>
      <c r="F284" s="24"/>
      <c r="G284" s="24"/>
      <c r="H284" s="24" t="s">
        <v>132</v>
      </c>
      <c r="I284" s="24" t="s">
        <v>3855</v>
      </c>
      <c r="J284" s="42" t="n">
        <f aca="false">INSUMOS_DIRECTOS_RECARGAS!H567</f>
        <v>51.8384482356225</v>
      </c>
      <c r="K284" s="42" t="n">
        <f aca="false">INSUMOS_DIRECTOS_RECARGAS!I567</f>
        <v>232.48260685605</v>
      </c>
      <c r="L284" s="42" t="n">
        <f aca="false">INSUMOS_DIRECTOS_RECARGAS!J567</f>
        <v>466.1329349976</v>
      </c>
      <c r="M284" s="42" t="n">
        <f aca="false">INSUMOS_DIRECTOS_RECARGAS!K567</f>
        <v>864.64346575875</v>
      </c>
      <c r="N284" s="42" t="n">
        <f aca="false">INSUMOS_DIRECTOS_RECARGAS!L567</f>
        <v>1272.65546849175</v>
      </c>
      <c r="O284" s="42" t="n">
        <f aca="false">INSUMOS_DIRECTOS_RECARGAS!M567</f>
        <v>1732.2083108265</v>
      </c>
      <c r="P284" s="42" t="n">
        <f aca="false">INSUMOS_DIRECTOS_RECARGAS!N567</f>
        <v>2151.3208663095</v>
      </c>
      <c r="Q284" s="42" t="n">
        <f aca="false">INSUMOS_DIRECTOS_RECARGAS!O567</f>
        <v>2445.721786692</v>
      </c>
      <c r="R284" s="42" t="n">
        <f aca="false">INSUMOS_DIRECTOS_RECARGAS!P567</f>
        <v>2630.64536613225</v>
      </c>
      <c r="S284" s="42" t="n">
        <f aca="false">INSUMOS_DIRECTOS_RECARGAS!Q567</f>
        <v>2819.4426718725</v>
      </c>
      <c r="T284" s="42" t="n">
        <f aca="false">INDEX(J284:S284,INDEX(P_VAL,MATCH("AÑO_DIS",P_ID,0))-2025)</f>
        <v>2819.4426718725</v>
      </c>
      <c r="U284" s="24"/>
      <c r="V284" s="24"/>
      <c r="W284" s="24"/>
      <c r="X284" s="24"/>
      <c r="Y284" s="24"/>
    </row>
    <row r="285" customFormat="false" ht="15" hidden="false" customHeight="false" outlineLevel="0" collapsed="false">
      <c r="A285" s="38" t="n">
        <v>0</v>
      </c>
      <c r="B285" s="38" t="s">
        <v>1807</v>
      </c>
      <c r="C285" s="38" t="str">
        <f aca="false">INDEX(C_TAB,MATCH($B285,C_COD,0),2)</f>
        <v>Caja de cartón corrugado simple ABC 1 kg</v>
      </c>
      <c r="D285" s="38" t="str">
        <f aca="false">INDEX(C_TAB,MATCH($B285,C_COD,0),3)</f>
        <v>u</v>
      </c>
      <c r="E285" s="38" t="str">
        <f aca="false">INDEX(C_TAB,MATCH($B285,C_COD,0),4)</f>
        <v>Directo</v>
      </c>
      <c r="F285" s="38" t="str">
        <f aca="false">INDEX(C_TAB,MATCH($B285,C_COD,0),5)</f>
        <v>Embalaje</v>
      </c>
      <c r="G285" s="38" t="str">
        <f aca="false">INDEX(C_TAB,MATCH($B285,C_COD,0),6)</f>
        <v>Embalaje</v>
      </c>
      <c r="H285" s="38"/>
      <c r="I285" s="38"/>
      <c r="J285" s="39" t="n">
        <f aca="false">SUM(J286:J286)</f>
        <v>4178.736543</v>
      </c>
      <c r="K285" s="39" t="n">
        <f aca="false">SUM(K286:K286)</f>
        <v>5997.303977</v>
      </c>
      <c r="L285" s="39" t="n">
        <f aca="false">SUM(L286:L286)</f>
        <v>14514.147758</v>
      </c>
      <c r="M285" s="39" t="n">
        <f aca="false">SUM(M286:M286)</f>
        <v>35161.935549</v>
      </c>
      <c r="N285" s="39" t="n">
        <f aca="false">SUM(N286:N286)</f>
        <v>62115.43271</v>
      </c>
      <c r="O285" s="39" t="n">
        <f aca="false">SUM(O286:O286)</f>
        <v>87300.45307</v>
      </c>
      <c r="P285" s="39" t="n">
        <f aca="false">SUM(P286:P286)</f>
        <v>121673.15326</v>
      </c>
      <c r="Q285" s="39" t="n">
        <f aca="false">SUM(Q286:Q286)</f>
        <v>156133.07848</v>
      </c>
      <c r="R285" s="39" t="n">
        <f aca="false">SUM(R286:R286)</f>
        <v>175393.13614</v>
      </c>
      <c r="S285" s="39" t="n">
        <f aca="false">SUM(S286:S286)</f>
        <v>202620.63913</v>
      </c>
      <c r="T285" s="39" t="n">
        <f aca="false">INDEX(J285:S285,INDEX(P_VAL,MATCH("AÑO_DIS",P_ID,0))-2025)</f>
        <v>202620.63913</v>
      </c>
      <c r="U285" s="38" t="str">
        <f aca="false">INDEX(C_TAB,MATCH($B285,C_COD,0),10)</f>
        <v>Pallet de 600 cajas plegadas</v>
      </c>
      <c r="V285" s="38" t="n">
        <f aca="false">INDEX(C_TAB,MATCH($B285,C_COD,0),11)</f>
        <v>600</v>
      </c>
      <c r="W285" s="44" t="n">
        <f aca="false">ROUNDUP(T285/V285,0)</f>
        <v>338</v>
      </c>
      <c r="X285" s="38" t="str">
        <f aca="false">INDEX(C_TAB,MATCH($B285,C_COD,0),7)</f>
        <v>Maxipack</v>
      </c>
      <c r="Y285" s="38" t="n">
        <f aca="false">INDEX(C_TAB,MATCH($B285,C_COD,0),12)</f>
        <v>10</v>
      </c>
    </row>
    <row r="286" customFormat="false" ht="15" hidden="false" customHeight="false" outlineLevel="1" collapsed="false">
      <c r="A286" s="24" t="n">
        <v>1</v>
      </c>
      <c r="B286" s="24" t="s">
        <v>1807</v>
      </c>
      <c r="C286" s="40" t="s">
        <v>3852</v>
      </c>
      <c r="D286" s="24"/>
      <c r="E286" s="24"/>
      <c r="F286" s="24"/>
      <c r="G286" s="24"/>
      <c r="H286" s="24" t="s">
        <v>229</v>
      </c>
      <c r="I286" s="24" t="s">
        <v>3853</v>
      </c>
      <c r="J286" s="42" t="n">
        <f aca="false">INSUMOS_DIRECTOS_MANUALES!H161</f>
        <v>4178.736543</v>
      </c>
      <c r="K286" s="42" t="n">
        <f aca="false">INSUMOS_DIRECTOS_MANUALES!I161</f>
        <v>5997.303977</v>
      </c>
      <c r="L286" s="42" t="n">
        <f aca="false">INSUMOS_DIRECTOS_MANUALES!J161</f>
        <v>14514.147758</v>
      </c>
      <c r="M286" s="42" t="n">
        <f aca="false">INSUMOS_DIRECTOS_MANUALES!K161</f>
        <v>35161.935549</v>
      </c>
      <c r="N286" s="42" t="n">
        <f aca="false">INSUMOS_DIRECTOS_MANUALES!L161</f>
        <v>62115.43271</v>
      </c>
      <c r="O286" s="42" t="n">
        <f aca="false">INSUMOS_DIRECTOS_MANUALES!M161</f>
        <v>87300.45307</v>
      </c>
      <c r="P286" s="42" t="n">
        <f aca="false">INSUMOS_DIRECTOS_MANUALES!N161</f>
        <v>121673.15326</v>
      </c>
      <c r="Q286" s="42" t="n">
        <f aca="false">INSUMOS_DIRECTOS_MANUALES!O161</f>
        <v>156133.07848</v>
      </c>
      <c r="R286" s="42" t="n">
        <f aca="false">INSUMOS_DIRECTOS_MANUALES!P161</f>
        <v>175393.13614</v>
      </c>
      <c r="S286" s="42" t="n">
        <f aca="false">INSUMOS_DIRECTOS_MANUALES!Q161</f>
        <v>202620.63913</v>
      </c>
      <c r="T286" s="42" t="n">
        <f aca="false">INDEX(J286:S286,INDEX(P_VAL,MATCH("AÑO_DIS",P_ID,0))-2025)</f>
        <v>202620.63913</v>
      </c>
      <c r="U286" s="24"/>
      <c r="V286" s="24"/>
      <c r="W286" s="24"/>
      <c r="X286" s="24"/>
      <c r="Y286" s="24"/>
    </row>
    <row r="287" customFormat="false" ht="15" hidden="false" customHeight="false" outlineLevel="0" collapsed="false">
      <c r="A287" s="38" t="n">
        <v>0</v>
      </c>
      <c r="B287" s="38" t="s">
        <v>1826</v>
      </c>
      <c r="C287" s="38" t="str">
        <f aca="false">INDEX(C_TAB,MATCH($B287,C_COD,0),2)</f>
        <v>Caja de cartón corrugado simple ABC 2,5 kg</v>
      </c>
      <c r="D287" s="38" t="str">
        <f aca="false">INDEX(C_TAB,MATCH($B287,C_COD,0),3)</f>
        <v>u</v>
      </c>
      <c r="E287" s="38" t="str">
        <f aca="false">INDEX(C_TAB,MATCH($B287,C_COD,0),4)</f>
        <v>Directo</v>
      </c>
      <c r="F287" s="38" t="str">
        <f aca="false">INDEX(C_TAB,MATCH($B287,C_COD,0),5)</f>
        <v>Embalaje</v>
      </c>
      <c r="G287" s="38" t="str">
        <f aca="false">INDEX(C_TAB,MATCH($B287,C_COD,0),6)</f>
        <v>Embalaje</v>
      </c>
      <c r="H287" s="38"/>
      <c r="I287" s="38"/>
      <c r="J287" s="39" t="n">
        <f aca="false">SUM(J288:J288)</f>
        <v>295.0303572</v>
      </c>
      <c r="K287" s="39" t="n">
        <f aca="false">SUM(K288:K288)</f>
        <v>709.7274503</v>
      </c>
      <c r="L287" s="39" t="n">
        <f aca="false">SUM(L288:L288)</f>
        <v>1286.4680576</v>
      </c>
      <c r="M287" s="39" t="n">
        <f aca="false">SUM(M288:M288)</f>
        <v>2544.438174</v>
      </c>
      <c r="N287" s="39" t="n">
        <f aca="false">SUM(N288:N288)</f>
        <v>4245.627726</v>
      </c>
      <c r="O287" s="39" t="n">
        <f aca="false">SUM(O288:O288)</f>
        <v>6055.869887</v>
      </c>
      <c r="P287" s="39" t="n">
        <f aca="false">SUM(P288:P288)</f>
        <v>8065.315524</v>
      </c>
      <c r="Q287" s="39" t="n">
        <f aca="false">SUM(Q288:Q288)</f>
        <v>10227.306587</v>
      </c>
      <c r="R287" s="39" t="n">
        <f aca="false">SUM(R288:R288)</f>
        <v>11936.586243</v>
      </c>
      <c r="S287" s="39" t="n">
        <f aca="false">SUM(S288:S288)</f>
        <v>14093.858444</v>
      </c>
      <c r="T287" s="39" t="n">
        <f aca="false">INDEX(J287:S287,INDEX(P_VAL,MATCH("AÑO_DIS",P_ID,0))-2025)</f>
        <v>14093.858444</v>
      </c>
      <c r="U287" s="38" t="str">
        <f aca="false">INDEX(C_TAB,MATCH($B287,C_COD,0),10)</f>
        <v>Pallet de 600 cajas plegadas</v>
      </c>
      <c r="V287" s="38" t="n">
        <f aca="false">INDEX(C_TAB,MATCH($B287,C_COD,0),11)</f>
        <v>600</v>
      </c>
      <c r="W287" s="44" t="n">
        <f aca="false">ROUNDUP(T287/V287,0)</f>
        <v>24</v>
      </c>
      <c r="X287" s="38" t="str">
        <f aca="false">INDEX(C_TAB,MATCH($B287,C_COD,0),7)</f>
        <v>Maxipack</v>
      </c>
      <c r="Y287" s="38" t="n">
        <f aca="false">INDEX(C_TAB,MATCH($B287,C_COD,0),12)</f>
        <v>10</v>
      </c>
    </row>
    <row r="288" customFormat="false" ht="15" hidden="false" customHeight="false" outlineLevel="1" collapsed="false">
      <c r="A288" s="24" t="n">
        <v>1</v>
      </c>
      <c r="B288" s="24" t="s">
        <v>1826</v>
      </c>
      <c r="C288" s="40" t="s">
        <v>3852</v>
      </c>
      <c r="D288" s="24"/>
      <c r="E288" s="24"/>
      <c r="F288" s="24"/>
      <c r="G288" s="24"/>
      <c r="H288" s="24" t="s">
        <v>229</v>
      </c>
      <c r="I288" s="24" t="s">
        <v>3853</v>
      </c>
      <c r="J288" s="42" t="n">
        <f aca="false">INSUMOS_DIRECTOS_MANUALES!H164</f>
        <v>295.0303572</v>
      </c>
      <c r="K288" s="42" t="n">
        <f aca="false">INSUMOS_DIRECTOS_MANUALES!I164</f>
        <v>709.7274503</v>
      </c>
      <c r="L288" s="42" t="n">
        <f aca="false">INSUMOS_DIRECTOS_MANUALES!J164</f>
        <v>1286.4680576</v>
      </c>
      <c r="M288" s="42" t="n">
        <f aca="false">INSUMOS_DIRECTOS_MANUALES!K164</f>
        <v>2544.438174</v>
      </c>
      <c r="N288" s="42" t="n">
        <f aca="false">INSUMOS_DIRECTOS_MANUALES!L164</f>
        <v>4245.627726</v>
      </c>
      <c r="O288" s="42" t="n">
        <f aca="false">INSUMOS_DIRECTOS_MANUALES!M164</f>
        <v>6055.869887</v>
      </c>
      <c r="P288" s="42" t="n">
        <f aca="false">INSUMOS_DIRECTOS_MANUALES!N164</f>
        <v>8065.315524</v>
      </c>
      <c r="Q288" s="42" t="n">
        <f aca="false">INSUMOS_DIRECTOS_MANUALES!O164</f>
        <v>10227.306587</v>
      </c>
      <c r="R288" s="42" t="n">
        <f aca="false">INSUMOS_DIRECTOS_MANUALES!P164</f>
        <v>11936.586243</v>
      </c>
      <c r="S288" s="42" t="n">
        <f aca="false">INSUMOS_DIRECTOS_MANUALES!Q164</f>
        <v>14093.858444</v>
      </c>
      <c r="T288" s="42" t="n">
        <f aca="false">INDEX(J288:S288,INDEX(P_VAL,MATCH("AÑO_DIS",P_ID,0))-2025)</f>
        <v>14093.858444</v>
      </c>
      <c r="U288" s="24"/>
      <c r="V288" s="24"/>
      <c r="W288" s="24"/>
      <c r="X288" s="24"/>
      <c r="Y288" s="24"/>
    </row>
    <row r="289" customFormat="false" ht="15" hidden="false" customHeight="false" outlineLevel="0" collapsed="false">
      <c r="A289" s="38" t="n">
        <v>0</v>
      </c>
      <c r="B289" s="38" t="s">
        <v>1830</v>
      </c>
      <c r="C289" s="38" t="str">
        <f aca="false">INDEX(C_TAB,MATCH($B289,C_COD,0),2)</f>
        <v>Caja de cartón corrugado simple ABC 5 kg</v>
      </c>
      <c r="D289" s="38" t="str">
        <f aca="false">INDEX(C_TAB,MATCH($B289,C_COD,0),3)</f>
        <v>u</v>
      </c>
      <c r="E289" s="38" t="str">
        <f aca="false">INDEX(C_TAB,MATCH($B289,C_COD,0),4)</f>
        <v>Directo</v>
      </c>
      <c r="F289" s="38" t="str">
        <f aca="false">INDEX(C_TAB,MATCH($B289,C_COD,0),5)</f>
        <v>Embalaje</v>
      </c>
      <c r="G289" s="38" t="str">
        <f aca="false">INDEX(C_TAB,MATCH($B289,C_COD,0),6)</f>
        <v>Embalaje</v>
      </c>
      <c r="H289" s="38"/>
      <c r="I289" s="38"/>
      <c r="J289" s="39" t="n">
        <f aca="false">SUM(J290:J290)</f>
        <v>2709.773025</v>
      </c>
      <c r="K289" s="39" t="n">
        <f aca="false">SUM(K290:K290)</f>
        <v>5424.978881</v>
      </c>
      <c r="L289" s="39" t="n">
        <f aca="false">SUM(L290:L290)</f>
        <v>8603.337591</v>
      </c>
      <c r="M289" s="39" t="n">
        <f aca="false">SUM(M290:M290)</f>
        <v>15429.115313</v>
      </c>
      <c r="N289" s="39" t="n">
        <f aca="false">SUM(N290:N290)</f>
        <v>23880.10694</v>
      </c>
      <c r="O289" s="39" t="n">
        <f aca="false">SUM(O290:O290)</f>
        <v>32389.16411</v>
      </c>
      <c r="P289" s="39" t="n">
        <f aca="false">SUM(P290:P290)</f>
        <v>42017.35984</v>
      </c>
      <c r="Q289" s="39" t="n">
        <f aca="false">SUM(Q290:Q290)</f>
        <v>51143.18637</v>
      </c>
      <c r="R289" s="39" t="n">
        <f aca="false">SUM(R290:R290)</f>
        <v>56843.52455</v>
      </c>
      <c r="S289" s="39" t="n">
        <f aca="false">SUM(S290:S290)</f>
        <v>65233.77872</v>
      </c>
      <c r="T289" s="39" t="n">
        <f aca="false">INDEX(J289:S289,INDEX(P_VAL,MATCH("AÑO_DIS",P_ID,0))-2025)</f>
        <v>65233.77872</v>
      </c>
      <c r="U289" s="38" t="str">
        <f aca="false">INDEX(C_TAB,MATCH($B289,C_COD,0),10)</f>
        <v>Pallet de 600 cajas plegadas</v>
      </c>
      <c r="V289" s="38" t="n">
        <f aca="false">INDEX(C_TAB,MATCH($B289,C_COD,0),11)</f>
        <v>600</v>
      </c>
      <c r="W289" s="44" t="n">
        <f aca="false">ROUNDUP(T289/V289,0)</f>
        <v>109</v>
      </c>
      <c r="X289" s="38" t="str">
        <f aca="false">INDEX(C_TAB,MATCH($B289,C_COD,0),7)</f>
        <v>Maxipack</v>
      </c>
      <c r="Y289" s="38" t="n">
        <f aca="false">INDEX(C_TAB,MATCH($B289,C_COD,0),12)</f>
        <v>10</v>
      </c>
    </row>
    <row r="290" customFormat="false" ht="15" hidden="false" customHeight="false" outlineLevel="1" collapsed="false">
      <c r="A290" s="24" t="n">
        <v>1</v>
      </c>
      <c r="B290" s="24" t="s">
        <v>1830</v>
      </c>
      <c r="C290" s="40" t="s">
        <v>3852</v>
      </c>
      <c r="D290" s="24"/>
      <c r="E290" s="24"/>
      <c r="F290" s="24"/>
      <c r="G290" s="24"/>
      <c r="H290" s="24" t="s">
        <v>229</v>
      </c>
      <c r="I290" s="24" t="s">
        <v>3853</v>
      </c>
      <c r="J290" s="42" t="n">
        <f aca="false">INSUMOS_DIRECTOS_MANUALES!H167</f>
        <v>2709.773025</v>
      </c>
      <c r="K290" s="42" t="n">
        <f aca="false">INSUMOS_DIRECTOS_MANUALES!I167</f>
        <v>5424.978881</v>
      </c>
      <c r="L290" s="42" t="n">
        <f aca="false">INSUMOS_DIRECTOS_MANUALES!J167</f>
        <v>8603.337591</v>
      </c>
      <c r="M290" s="42" t="n">
        <f aca="false">INSUMOS_DIRECTOS_MANUALES!K167</f>
        <v>15429.115313</v>
      </c>
      <c r="N290" s="42" t="n">
        <f aca="false">INSUMOS_DIRECTOS_MANUALES!L167</f>
        <v>23880.10694</v>
      </c>
      <c r="O290" s="42" t="n">
        <f aca="false">INSUMOS_DIRECTOS_MANUALES!M167</f>
        <v>32389.16411</v>
      </c>
      <c r="P290" s="42" t="n">
        <f aca="false">INSUMOS_DIRECTOS_MANUALES!N167</f>
        <v>42017.35984</v>
      </c>
      <c r="Q290" s="42" t="n">
        <f aca="false">INSUMOS_DIRECTOS_MANUALES!O167</f>
        <v>51143.18637</v>
      </c>
      <c r="R290" s="42" t="n">
        <f aca="false">INSUMOS_DIRECTOS_MANUALES!P167</f>
        <v>56843.52455</v>
      </c>
      <c r="S290" s="42" t="n">
        <f aca="false">INSUMOS_DIRECTOS_MANUALES!Q167</f>
        <v>65233.77872</v>
      </c>
      <c r="T290" s="42" t="n">
        <f aca="false">INDEX(J290:S290,INDEX(P_VAL,MATCH("AÑO_DIS",P_ID,0))-2025)</f>
        <v>65233.77872</v>
      </c>
      <c r="U290" s="24"/>
      <c r="V290" s="24"/>
      <c r="W290" s="24"/>
      <c r="X290" s="24"/>
      <c r="Y290" s="24"/>
    </row>
    <row r="291" customFormat="false" ht="15" hidden="false" customHeight="false" outlineLevel="0" collapsed="false">
      <c r="A291" s="38" t="n">
        <v>0</v>
      </c>
      <c r="B291" s="38" t="s">
        <v>1834</v>
      </c>
      <c r="C291" s="38" t="str">
        <f aca="false">INDEX(C_TAB,MATCH($B291,C_COD,0),2)</f>
        <v>Caja de cartón corrugado doble ABC 10 kg</v>
      </c>
      <c r="D291" s="38" t="str">
        <f aca="false">INDEX(C_TAB,MATCH($B291,C_COD,0),3)</f>
        <v>u</v>
      </c>
      <c r="E291" s="38" t="str">
        <f aca="false">INDEX(C_TAB,MATCH($B291,C_COD,0),4)</f>
        <v>Directo</v>
      </c>
      <c r="F291" s="38" t="str">
        <f aca="false">INDEX(C_TAB,MATCH($B291,C_COD,0),5)</f>
        <v>Embalaje</v>
      </c>
      <c r="G291" s="38" t="str">
        <f aca="false">INDEX(C_TAB,MATCH($B291,C_COD,0),6)</f>
        <v>Embalaje</v>
      </c>
      <c r="H291" s="38"/>
      <c r="I291" s="38"/>
      <c r="J291" s="39" t="n">
        <f aca="false">SUM(J292:J292)</f>
        <v>91.83318153</v>
      </c>
      <c r="K291" s="39" t="n">
        <f aca="false">SUM(K292:K292)</f>
        <v>177.2472967</v>
      </c>
      <c r="L291" s="39" t="n">
        <f aca="false">SUM(L292:L292)</f>
        <v>343.3787798</v>
      </c>
      <c r="M291" s="39" t="n">
        <f aca="false">SUM(M292:M292)</f>
        <v>673.0204941</v>
      </c>
      <c r="N291" s="39" t="n">
        <f aca="false">SUM(N292:N292)</f>
        <v>1186.1181519</v>
      </c>
      <c r="O291" s="39" t="n">
        <f aca="false">SUM(O292:O292)</f>
        <v>1718.405032</v>
      </c>
      <c r="P291" s="39" t="n">
        <f aca="false">SUM(P292:P292)</f>
        <v>2322.560545</v>
      </c>
      <c r="Q291" s="39" t="n">
        <f aca="false">SUM(Q292:Q292)</f>
        <v>2940.444812</v>
      </c>
      <c r="R291" s="39" t="n">
        <f aca="false">SUM(R292:R292)</f>
        <v>3343.750054</v>
      </c>
      <c r="S291" s="39" t="n">
        <f aca="false">SUM(S292:S292)</f>
        <v>3851.848079</v>
      </c>
      <c r="T291" s="39" t="n">
        <f aca="false">INDEX(J291:S291,INDEX(P_VAL,MATCH("AÑO_DIS",P_ID,0))-2025)</f>
        <v>3851.848079</v>
      </c>
      <c r="U291" s="38" t="str">
        <f aca="false">INDEX(C_TAB,MATCH($B291,C_COD,0),10)</f>
        <v>Pallet de 600 cajas plegadas</v>
      </c>
      <c r="V291" s="38" t="n">
        <f aca="false">INDEX(C_TAB,MATCH($B291,C_COD,0),11)</f>
        <v>600</v>
      </c>
      <c r="W291" s="44" t="n">
        <f aca="false">ROUNDUP(T291/V291,0)</f>
        <v>7</v>
      </c>
      <c r="X291" s="38" t="str">
        <f aca="false">INDEX(C_TAB,MATCH($B291,C_COD,0),7)</f>
        <v>Maxipack</v>
      </c>
      <c r="Y291" s="38" t="n">
        <f aca="false">INDEX(C_TAB,MATCH($B291,C_COD,0),12)</f>
        <v>10</v>
      </c>
    </row>
    <row r="292" customFormat="false" ht="15" hidden="false" customHeight="false" outlineLevel="1" collapsed="false">
      <c r="A292" s="24" t="n">
        <v>1</v>
      </c>
      <c r="B292" s="24" t="s">
        <v>1834</v>
      </c>
      <c r="C292" s="40" t="s">
        <v>3852</v>
      </c>
      <c r="D292" s="24"/>
      <c r="E292" s="24"/>
      <c r="F292" s="24"/>
      <c r="G292" s="24"/>
      <c r="H292" s="24" t="s">
        <v>229</v>
      </c>
      <c r="I292" s="24" t="s">
        <v>3853</v>
      </c>
      <c r="J292" s="42" t="n">
        <f aca="false">INSUMOS_DIRECTOS_MANUALES!H170</f>
        <v>91.83318153</v>
      </c>
      <c r="K292" s="42" t="n">
        <f aca="false">INSUMOS_DIRECTOS_MANUALES!I170</f>
        <v>177.2472967</v>
      </c>
      <c r="L292" s="42" t="n">
        <f aca="false">INSUMOS_DIRECTOS_MANUALES!J170</f>
        <v>343.3787798</v>
      </c>
      <c r="M292" s="42" t="n">
        <f aca="false">INSUMOS_DIRECTOS_MANUALES!K170</f>
        <v>673.0204941</v>
      </c>
      <c r="N292" s="42" t="n">
        <f aca="false">INSUMOS_DIRECTOS_MANUALES!L170</f>
        <v>1186.1181519</v>
      </c>
      <c r="O292" s="42" t="n">
        <f aca="false">INSUMOS_DIRECTOS_MANUALES!M170</f>
        <v>1718.405032</v>
      </c>
      <c r="P292" s="42" t="n">
        <f aca="false">INSUMOS_DIRECTOS_MANUALES!N170</f>
        <v>2322.560545</v>
      </c>
      <c r="Q292" s="42" t="n">
        <f aca="false">INSUMOS_DIRECTOS_MANUALES!O170</f>
        <v>2940.444812</v>
      </c>
      <c r="R292" s="42" t="n">
        <f aca="false">INSUMOS_DIRECTOS_MANUALES!P170</f>
        <v>3343.750054</v>
      </c>
      <c r="S292" s="42" t="n">
        <f aca="false">INSUMOS_DIRECTOS_MANUALES!Q170</f>
        <v>3851.848079</v>
      </c>
      <c r="T292" s="42" t="n">
        <f aca="false">INDEX(J292:S292,INDEX(P_VAL,MATCH("AÑO_DIS",P_ID,0))-2025)</f>
        <v>3851.848079</v>
      </c>
      <c r="U292" s="24"/>
      <c r="V292" s="24"/>
      <c r="W292" s="24"/>
      <c r="X292" s="24"/>
      <c r="Y292" s="24"/>
    </row>
    <row r="293" customFormat="false" ht="15" hidden="false" customHeight="false" outlineLevel="0" collapsed="false">
      <c r="A293" s="38" t="n">
        <v>0</v>
      </c>
      <c r="B293" s="38" t="s">
        <v>1810</v>
      </c>
      <c r="C293" s="38" t="str">
        <f aca="false">INDEX(C_TAB,MATCH($B293,C_COD,0),2)</f>
        <v>Etiqueta de caja (código, serie y lote)</v>
      </c>
      <c r="D293" s="38" t="str">
        <f aca="false">INDEX(C_TAB,MATCH($B293,C_COD,0),3)</f>
        <v>u</v>
      </c>
      <c r="E293" s="38" t="str">
        <f aca="false">INDEX(C_TAB,MATCH($B293,C_COD,0),4)</f>
        <v>Directo</v>
      </c>
      <c r="F293" s="38" t="str">
        <f aca="false">INDEX(C_TAB,MATCH($B293,C_COD,0),5)</f>
        <v>Embalaje</v>
      </c>
      <c r="G293" s="38" t="str">
        <f aca="false">INDEX(C_TAB,MATCH($B293,C_COD,0),6)</f>
        <v>Embalaje</v>
      </c>
      <c r="H293" s="38"/>
      <c r="I293" s="38"/>
      <c r="J293" s="39" t="n">
        <f aca="false">SUM(J294:J294)</f>
        <v>7275.37310673</v>
      </c>
      <c r="K293" s="39" t="n">
        <f aca="false">SUM(K294:K294)</f>
        <v>12309.257605</v>
      </c>
      <c r="L293" s="39" t="n">
        <f aca="false">SUM(L294:L294)</f>
        <v>24747.3321864</v>
      </c>
      <c r="M293" s="39" t="n">
        <f aca="false">SUM(M294:M294)</f>
        <v>53808.5095301</v>
      </c>
      <c r="N293" s="39" t="n">
        <f aca="false">SUM(N294:N294)</f>
        <v>91427.2855279</v>
      </c>
      <c r="O293" s="39" t="n">
        <f aca="false">SUM(O294:O294)</f>
        <v>127463.892099</v>
      </c>
      <c r="P293" s="39" t="n">
        <f aca="false">SUM(P294:P294)</f>
        <v>174078.389169</v>
      </c>
      <c r="Q293" s="39" t="n">
        <f aca="false">SUM(Q294:Q294)</f>
        <v>220444.016249</v>
      </c>
      <c r="R293" s="39" t="n">
        <f aca="false">SUM(R294:R294)</f>
        <v>247516.996987</v>
      </c>
      <c r="S293" s="39" t="n">
        <f aca="false">SUM(S294:S294)</f>
        <v>285800.124373</v>
      </c>
      <c r="T293" s="39" t="n">
        <f aca="false">INDEX(J293:S293,INDEX(P_VAL,MATCH("AÑO_DIS",P_ID,0))-2025)</f>
        <v>285800.124373</v>
      </c>
      <c r="U293" s="38" t="str">
        <f aca="false">INDEX(C_TAB,MATCH($B293,C_COD,0),10)</f>
        <v>Rollo de 1.000 u</v>
      </c>
      <c r="V293" s="38" t="n">
        <f aca="false">INDEX(C_TAB,MATCH($B293,C_COD,0),11)</f>
        <v>1000</v>
      </c>
      <c r="W293" s="44" t="n">
        <f aca="false">ROUNDUP(T293/V293,0)</f>
        <v>286</v>
      </c>
      <c r="X293" s="38" t="str">
        <f aca="false">INDEX(C_TAB,MATCH($B293,C_COD,0),7)</f>
        <v>Astuprint</v>
      </c>
      <c r="Y293" s="38" t="n">
        <f aca="false">INDEX(C_TAB,MATCH($B293,C_COD,0),12)</f>
        <v>10</v>
      </c>
    </row>
    <row r="294" customFormat="false" ht="15" hidden="false" customHeight="false" outlineLevel="1" collapsed="false">
      <c r="A294" s="24" t="n">
        <v>1</v>
      </c>
      <c r="B294" s="24" t="s">
        <v>1810</v>
      </c>
      <c r="C294" s="40" t="s">
        <v>3852</v>
      </c>
      <c r="D294" s="24"/>
      <c r="E294" s="24"/>
      <c r="F294" s="24"/>
      <c r="G294" s="24"/>
      <c r="H294" s="24" t="s">
        <v>229</v>
      </c>
      <c r="I294" s="24" t="s">
        <v>3853</v>
      </c>
      <c r="J294" s="42" t="n">
        <f aca="false">INSUMOS_DIRECTOS_MANUALES!H173</f>
        <v>7275.37310673</v>
      </c>
      <c r="K294" s="42" t="n">
        <f aca="false">INSUMOS_DIRECTOS_MANUALES!I173</f>
        <v>12309.257605</v>
      </c>
      <c r="L294" s="42" t="n">
        <f aca="false">INSUMOS_DIRECTOS_MANUALES!J173</f>
        <v>24747.3321864</v>
      </c>
      <c r="M294" s="42" t="n">
        <f aca="false">INSUMOS_DIRECTOS_MANUALES!K173</f>
        <v>53808.5095301</v>
      </c>
      <c r="N294" s="42" t="n">
        <f aca="false">INSUMOS_DIRECTOS_MANUALES!L173</f>
        <v>91427.2855279</v>
      </c>
      <c r="O294" s="42" t="n">
        <f aca="false">INSUMOS_DIRECTOS_MANUALES!M173</f>
        <v>127463.892099</v>
      </c>
      <c r="P294" s="42" t="n">
        <f aca="false">INSUMOS_DIRECTOS_MANUALES!N173</f>
        <v>174078.389169</v>
      </c>
      <c r="Q294" s="42" t="n">
        <f aca="false">INSUMOS_DIRECTOS_MANUALES!O173</f>
        <v>220444.016249</v>
      </c>
      <c r="R294" s="42" t="n">
        <f aca="false">INSUMOS_DIRECTOS_MANUALES!P173</f>
        <v>247516.996987</v>
      </c>
      <c r="S294" s="42" t="n">
        <f aca="false">INSUMOS_DIRECTOS_MANUALES!Q173</f>
        <v>285800.124373</v>
      </c>
      <c r="T294" s="42" t="n">
        <f aca="false">INDEX(J294:S294,INDEX(P_VAL,MATCH("AÑO_DIS",P_ID,0))-2025)</f>
        <v>285800.124373</v>
      </c>
      <c r="U294" s="24"/>
      <c r="V294" s="24"/>
      <c r="W294" s="24"/>
      <c r="X294" s="24"/>
      <c r="Y294" s="24"/>
    </row>
    <row r="295" customFormat="false" ht="15" hidden="false" customHeight="false" outlineLevel="0" collapsed="false">
      <c r="A295" s="38" t="n">
        <v>0</v>
      </c>
      <c r="B295" s="38" t="s">
        <v>1813</v>
      </c>
      <c r="C295" s="38" t="str">
        <f aca="false">INDEX(C_TAB,MATCH($B295,C_COD,0),2)</f>
        <v>Pallet de madera 1200 × 1000 (IRAM 10016)</v>
      </c>
      <c r="D295" s="38" t="str">
        <f aca="false">INDEX(C_TAB,MATCH($B295,C_COD,0),3)</f>
        <v>u</v>
      </c>
      <c r="E295" s="38" t="str">
        <f aca="false">INDEX(C_TAB,MATCH($B295,C_COD,0),4)</f>
        <v>Directo</v>
      </c>
      <c r="F295" s="38" t="str">
        <f aca="false">INDEX(C_TAB,MATCH($B295,C_COD,0),5)</f>
        <v>Embalaje</v>
      </c>
      <c r="G295" s="38" t="str">
        <f aca="false">INDEX(C_TAB,MATCH($B295,C_COD,0),6)</f>
        <v>Embalaje</v>
      </c>
      <c r="H295" s="38"/>
      <c r="I295" s="38"/>
      <c r="J295" s="39" t="n">
        <f aca="false">SUM(J296:J297)</f>
        <v>44.6179089079256</v>
      </c>
      <c r="K295" s="39" t="n">
        <f aca="false">SUM(K296:K297)</f>
        <v>83.9518504540785</v>
      </c>
      <c r="L295" s="39" t="n">
        <f aca="false">SUM(L296:L297)</f>
        <v>154.232546999182</v>
      </c>
      <c r="M295" s="39" t="n">
        <f aca="false">SUM(M296:M297)</f>
        <v>312.537233655539</v>
      </c>
      <c r="N295" s="39" t="n">
        <f aca="false">SUM(N296:N297)</f>
        <v>514.840644309692</v>
      </c>
      <c r="O295" s="39" t="n">
        <f aca="false">SUM(O296:O297)</f>
        <v>714.078553631354</v>
      </c>
      <c r="P295" s="39" t="n">
        <f aca="false">SUM(P296:P297)</f>
        <v>957.548975313922</v>
      </c>
      <c r="Q295" s="39" t="n">
        <f aca="false">SUM(Q296:Q297)</f>
        <v>1196.91224408616</v>
      </c>
      <c r="R295" s="39" t="n">
        <f aca="false">SUM(R296:R297)</f>
        <v>1341.2562065849</v>
      </c>
      <c r="S295" s="39" t="n">
        <f aca="false">SUM(S296:S297)</f>
        <v>1546.97859196234</v>
      </c>
      <c r="T295" s="39" t="n">
        <f aca="false">INDEX(J295:S295,INDEX(P_VAL,MATCH("AÑO_DIS",P_ID,0))-2025)</f>
        <v>1546.97859196234</v>
      </c>
      <c r="U295" s="38" t="str">
        <f aca="false">INDEX(C_TAB,MATCH($B295,C_COD,0),10)</f>
        <v>Pila de 15 u</v>
      </c>
      <c r="V295" s="38" t="n">
        <f aca="false">INDEX(C_TAB,MATCH($B295,C_COD,0),11)</f>
        <v>15</v>
      </c>
      <c r="W295" s="44" t="n">
        <f aca="false">ROUNDUP(T295/V295,0)</f>
        <v>104</v>
      </c>
      <c r="X295" s="38" t="str">
        <f aca="false">INDEX(C_TAB,MATCH($B295,C_COD,0),7)</f>
        <v>IndusPallets</v>
      </c>
      <c r="Y295" s="38" t="n">
        <f aca="false">INDEX(C_TAB,MATCH($B295,C_COD,0),12)</f>
        <v>5</v>
      </c>
    </row>
    <row r="296" customFormat="false" ht="15" hidden="false" customHeight="false" outlineLevel="1" collapsed="false">
      <c r="A296" s="24" t="n">
        <v>1</v>
      </c>
      <c r="B296" s="24" t="s">
        <v>1813</v>
      </c>
      <c r="C296" s="40" t="s">
        <v>3852</v>
      </c>
      <c r="D296" s="24"/>
      <c r="E296" s="24"/>
      <c r="F296" s="24"/>
      <c r="G296" s="24"/>
      <c r="H296" s="24" t="s">
        <v>229</v>
      </c>
      <c r="I296" s="24" t="s">
        <v>3853</v>
      </c>
      <c r="J296" s="42" t="n">
        <f aca="false">INSUMOS_DIRECTOS_MANUALES!H182</f>
        <v>44.6179089079256</v>
      </c>
      <c r="K296" s="42" t="n">
        <f aca="false">INSUMOS_DIRECTOS_MANUALES!I182</f>
        <v>83.9518504540785</v>
      </c>
      <c r="L296" s="42" t="n">
        <f aca="false">INSUMOS_DIRECTOS_MANUALES!J182</f>
        <v>148.165880332515</v>
      </c>
      <c r="M296" s="42" t="n">
        <f aca="false">INSUMOS_DIRECTOS_MANUALES!K182</f>
        <v>291.401122544428</v>
      </c>
      <c r="N296" s="42" t="n">
        <f aca="false">INSUMOS_DIRECTOS_MANUALES!L182</f>
        <v>475.698977643026</v>
      </c>
      <c r="O296" s="42" t="n">
        <f aca="false">INSUMOS_DIRECTOS_MANUALES!M182</f>
        <v>657.353553631354</v>
      </c>
      <c r="P296" s="42" t="n">
        <f aca="false">INSUMOS_DIRECTOS_MANUALES!N182</f>
        <v>877.4017530917</v>
      </c>
      <c r="Q296" s="42" t="n">
        <f aca="false">INSUMOS_DIRECTOS_MANUALES!O182</f>
        <v>1093.34279964172</v>
      </c>
      <c r="R296" s="42" t="n">
        <f aca="false">INSUMOS_DIRECTOS_MANUALES!P182</f>
        <v>1225.14787325156</v>
      </c>
      <c r="S296" s="42" t="n">
        <f aca="false">INSUMOS_DIRECTOS_MANUALES!Q182</f>
        <v>1412.06192529568</v>
      </c>
      <c r="T296" s="42" t="n">
        <f aca="false">INDEX(J296:S296,INDEX(P_VAL,MATCH("AÑO_DIS",P_ID,0))-2025)</f>
        <v>1412.06192529568</v>
      </c>
      <c r="U296" s="24"/>
      <c r="V296" s="24"/>
      <c r="W296" s="24"/>
      <c r="X296" s="24"/>
      <c r="Y296" s="24"/>
    </row>
    <row r="297" customFormat="false" ht="15" hidden="false" customHeight="false" outlineLevel="1" collapsed="false">
      <c r="A297" s="24" t="n">
        <v>1</v>
      </c>
      <c r="B297" s="24" t="s">
        <v>1813</v>
      </c>
      <c r="C297" s="40" t="s">
        <v>3856</v>
      </c>
      <c r="D297" s="24"/>
      <c r="E297" s="24"/>
      <c r="F297" s="24"/>
      <c r="G297" s="24"/>
      <c r="H297" s="24" t="s">
        <v>244</v>
      </c>
      <c r="I297" s="24" t="s">
        <v>3857</v>
      </c>
      <c r="J297" s="42" t="n">
        <f aca="false">INSUMOS_DIRECTOS_RODANTES!H195</f>
        <v>0</v>
      </c>
      <c r="K297" s="42" t="n">
        <f aca="false">INSUMOS_DIRECTOS_RODANTES!I195</f>
        <v>0</v>
      </c>
      <c r="L297" s="42" t="n">
        <f aca="false">INSUMOS_DIRECTOS_RODANTES!J195</f>
        <v>6.06666666666667</v>
      </c>
      <c r="M297" s="42" t="n">
        <f aca="false">INSUMOS_DIRECTOS_RODANTES!K195</f>
        <v>21.1361111111111</v>
      </c>
      <c r="N297" s="42" t="n">
        <f aca="false">INSUMOS_DIRECTOS_RODANTES!L195</f>
        <v>39.1416666666667</v>
      </c>
      <c r="O297" s="42" t="n">
        <f aca="false">INSUMOS_DIRECTOS_RODANTES!M195</f>
        <v>56.725</v>
      </c>
      <c r="P297" s="42" t="n">
        <f aca="false">INSUMOS_DIRECTOS_RODANTES!N195</f>
        <v>80.1472222222222</v>
      </c>
      <c r="Q297" s="42" t="n">
        <f aca="false">INSUMOS_DIRECTOS_RODANTES!O195</f>
        <v>103.569444444444</v>
      </c>
      <c r="R297" s="42" t="n">
        <f aca="false">INSUMOS_DIRECTOS_RODANTES!P195</f>
        <v>116.108333333333</v>
      </c>
      <c r="S297" s="42" t="n">
        <f aca="false">INSUMOS_DIRECTOS_RODANTES!Q195</f>
        <v>134.916666666667</v>
      </c>
      <c r="T297" s="42" t="n">
        <f aca="false">INDEX(J297:S297,INDEX(P_VAL,MATCH("AÑO_DIS",P_ID,0))-2025)</f>
        <v>134.916666666667</v>
      </c>
      <c r="U297" s="24"/>
      <c r="V297" s="24"/>
      <c r="W297" s="24"/>
      <c r="X297" s="24"/>
      <c r="Y297" s="24"/>
    </row>
    <row r="298" customFormat="false" ht="15" hidden="false" customHeight="false" outlineLevel="0" collapsed="false">
      <c r="A298" s="38" t="n">
        <v>0</v>
      </c>
      <c r="B298" s="38" t="s">
        <v>1816</v>
      </c>
      <c r="C298" s="38" t="str">
        <f aca="false">INDEX(C_TAB,MATCH($B298,C_COD,0),2)</f>
        <v>Film stretch 500 mm pre-estirable</v>
      </c>
      <c r="D298" s="38" t="str">
        <f aca="false">INDEX(C_TAB,MATCH($B298,C_COD,0),3)</f>
        <v>kg</v>
      </c>
      <c r="E298" s="38" t="str">
        <f aca="false">INDEX(C_TAB,MATCH($B298,C_COD,0),4)</f>
        <v>Directo</v>
      </c>
      <c r="F298" s="38" t="str">
        <f aca="false">INDEX(C_TAB,MATCH($B298,C_COD,0),5)</f>
        <v>Embalaje</v>
      </c>
      <c r="G298" s="38" t="str">
        <f aca="false">INDEX(C_TAB,MATCH($B298,C_COD,0),6)</f>
        <v>Embalaje</v>
      </c>
      <c r="H298" s="38"/>
      <c r="I298" s="38"/>
      <c r="J298" s="39" t="n">
        <f aca="false">SUM(J299:J300)</f>
        <v>15.616268117774</v>
      </c>
      <c r="K298" s="39" t="n">
        <f aca="false">SUM(K299:K300)</f>
        <v>29.3831476589275</v>
      </c>
      <c r="L298" s="39" t="n">
        <f aca="false">SUM(L299:L300)</f>
        <v>53.9813914497136</v>
      </c>
      <c r="M298" s="39" t="n">
        <f aca="false">SUM(M299:M300)</f>
        <v>109.388031779439</v>
      </c>
      <c r="N298" s="39" t="n">
        <f aca="false">SUM(N299:N300)</f>
        <v>180.194225508392</v>
      </c>
      <c r="O298" s="39" t="n">
        <f aca="false">SUM(O299:O300)</f>
        <v>249.927493770974</v>
      </c>
      <c r="P298" s="39" t="n">
        <f aca="false">SUM(P299:P300)</f>
        <v>335.142141359873</v>
      </c>
      <c r="Q298" s="39" t="n">
        <f aca="false">SUM(Q299:Q300)</f>
        <v>418.919285430156</v>
      </c>
      <c r="R298" s="39" t="n">
        <f aca="false">SUM(R299:R300)</f>
        <v>469.439672304714</v>
      </c>
      <c r="S298" s="39" t="n">
        <f aca="false">SUM(S299:S300)</f>
        <v>541.44250718682</v>
      </c>
      <c r="T298" s="39" t="n">
        <f aca="false">INDEX(J298:S298,INDEX(P_VAL,MATCH("AÑO_DIS",P_ID,0))-2025)</f>
        <v>541.44250718682</v>
      </c>
      <c r="U298" s="38" t="str">
        <f aca="false">INDEX(C_TAB,MATCH($B298,C_COD,0),10)</f>
        <v>Bobina de 16 kg</v>
      </c>
      <c r="V298" s="38" t="n">
        <f aca="false">INDEX(C_TAB,MATCH($B298,C_COD,0),11)</f>
        <v>16</v>
      </c>
      <c r="W298" s="44" t="n">
        <f aca="false">ROUNDUP(T298/V298,0)</f>
        <v>34</v>
      </c>
      <c r="X298" s="38" t="str">
        <f aca="false">INDEX(C_TAB,MATCH($B298,C_COD,0),7)</f>
        <v>MV Embalajes</v>
      </c>
      <c r="Y298" s="38" t="n">
        <f aca="false">INDEX(C_TAB,MATCH($B298,C_COD,0),12)</f>
        <v>5</v>
      </c>
    </row>
    <row r="299" customFormat="false" ht="15" hidden="false" customHeight="false" outlineLevel="1" collapsed="false">
      <c r="A299" s="24" t="n">
        <v>1</v>
      </c>
      <c r="B299" s="24" t="s">
        <v>1816</v>
      </c>
      <c r="C299" s="40" t="s">
        <v>3852</v>
      </c>
      <c r="D299" s="24"/>
      <c r="E299" s="24"/>
      <c r="F299" s="24"/>
      <c r="G299" s="24"/>
      <c r="H299" s="24" t="s">
        <v>229</v>
      </c>
      <c r="I299" s="24" t="s">
        <v>3853</v>
      </c>
      <c r="J299" s="42" t="n">
        <f aca="false">INSUMOS_DIRECTOS_MANUALES!H191</f>
        <v>15.616268117774</v>
      </c>
      <c r="K299" s="42" t="n">
        <f aca="false">INSUMOS_DIRECTOS_MANUALES!I191</f>
        <v>29.3831476589275</v>
      </c>
      <c r="L299" s="42" t="n">
        <f aca="false">INSUMOS_DIRECTOS_MANUALES!J191</f>
        <v>51.8580581163802</v>
      </c>
      <c r="M299" s="42" t="n">
        <f aca="false">INSUMOS_DIRECTOS_MANUALES!K191</f>
        <v>101.99039289055</v>
      </c>
      <c r="N299" s="42" t="n">
        <f aca="false">INSUMOS_DIRECTOS_MANUALES!L191</f>
        <v>166.494642175059</v>
      </c>
      <c r="O299" s="42" t="n">
        <f aca="false">INSUMOS_DIRECTOS_MANUALES!M191</f>
        <v>230.073743770974</v>
      </c>
      <c r="P299" s="42" t="n">
        <f aca="false">INSUMOS_DIRECTOS_MANUALES!N191</f>
        <v>307.090613582095</v>
      </c>
      <c r="Q299" s="42" t="n">
        <f aca="false">INSUMOS_DIRECTOS_MANUALES!O191</f>
        <v>382.669979874601</v>
      </c>
      <c r="R299" s="42" t="n">
        <f aca="false">INSUMOS_DIRECTOS_MANUALES!P191</f>
        <v>428.801755638047</v>
      </c>
      <c r="S299" s="42" t="n">
        <f aca="false">INSUMOS_DIRECTOS_MANUALES!Q191</f>
        <v>494.221673853486</v>
      </c>
      <c r="T299" s="42" t="n">
        <f aca="false">INDEX(J299:S299,INDEX(P_VAL,MATCH("AÑO_DIS",P_ID,0))-2025)</f>
        <v>494.221673853486</v>
      </c>
      <c r="U299" s="24"/>
      <c r="V299" s="24"/>
      <c r="W299" s="24"/>
      <c r="X299" s="24"/>
      <c r="Y299" s="24"/>
    </row>
    <row r="300" customFormat="false" ht="15" hidden="false" customHeight="false" outlineLevel="1" collapsed="false">
      <c r="A300" s="24" t="n">
        <v>1</v>
      </c>
      <c r="B300" s="24" t="s">
        <v>1816</v>
      </c>
      <c r="C300" s="40" t="s">
        <v>3856</v>
      </c>
      <c r="D300" s="24"/>
      <c r="E300" s="24"/>
      <c r="F300" s="24"/>
      <c r="G300" s="24"/>
      <c r="H300" s="24" t="s">
        <v>244</v>
      </c>
      <c r="I300" s="24" t="s">
        <v>3857</v>
      </c>
      <c r="J300" s="42" t="n">
        <f aca="false">INSUMOS_DIRECTOS_RODANTES!H200</f>
        <v>0</v>
      </c>
      <c r="K300" s="42" t="n">
        <f aca="false">INSUMOS_DIRECTOS_RODANTES!I200</f>
        <v>0</v>
      </c>
      <c r="L300" s="42" t="n">
        <f aca="false">INSUMOS_DIRECTOS_RODANTES!J200</f>
        <v>2.12333333333333</v>
      </c>
      <c r="M300" s="42" t="n">
        <f aca="false">INSUMOS_DIRECTOS_RODANTES!K200</f>
        <v>7.39763888888889</v>
      </c>
      <c r="N300" s="42" t="n">
        <f aca="false">INSUMOS_DIRECTOS_RODANTES!L200</f>
        <v>13.6995833333333</v>
      </c>
      <c r="O300" s="42" t="n">
        <f aca="false">INSUMOS_DIRECTOS_RODANTES!M200</f>
        <v>19.85375</v>
      </c>
      <c r="P300" s="42" t="n">
        <f aca="false">INSUMOS_DIRECTOS_RODANTES!N200</f>
        <v>28.0515277777778</v>
      </c>
      <c r="Q300" s="42" t="n">
        <f aca="false">INSUMOS_DIRECTOS_RODANTES!O200</f>
        <v>36.2493055555556</v>
      </c>
      <c r="R300" s="42" t="n">
        <f aca="false">INSUMOS_DIRECTOS_RODANTES!P200</f>
        <v>40.6379166666667</v>
      </c>
      <c r="S300" s="42" t="n">
        <f aca="false">INSUMOS_DIRECTOS_RODANTES!Q200</f>
        <v>47.2208333333333</v>
      </c>
      <c r="T300" s="42" t="n">
        <f aca="false">INDEX(J300:S300,INDEX(P_VAL,MATCH("AÑO_DIS",P_ID,0))-2025)</f>
        <v>47.2208333333333</v>
      </c>
      <c r="U300" s="24"/>
      <c r="V300" s="24"/>
      <c r="W300" s="24"/>
      <c r="X300" s="24"/>
      <c r="Y300" s="24"/>
    </row>
    <row r="301" customFormat="false" ht="15" hidden="false" customHeight="false" outlineLevel="0" collapsed="false">
      <c r="A301" s="38" t="n">
        <v>0</v>
      </c>
      <c r="B301" s="38" t="s">
        <v>1818</v>
      </c>
      <c r="C301" s="38" t="str">
        <f aca="false">INDEX(C_TAB,MATCH($B301,C_COD,0),2)</f>
        <v>Etiqueta de pallet</v>
      </c>
      <c r="D301" s="38" t="str">
        <f aca="false">INDEX(C_TAB,MATCH($B301,C_COD,0),3)</f>
        <v>u</v>
      </c>
      <c r="E301" s="38" t="str">
        <f aca="false">INDEX(C_TAB,MATCH($B301,C_COD,0),4)</f>
        <v>Directo</v>
      </c>
      <c r="F301" s="38" t="str">
        <f aca="false">INDEX(C_TAB,MATCH($B301,C_COD,0),5)</f>
        <v>Embalaje</v>
      </c>
      <c r="G301" s="38" t="str">
        <f aca="false">INDEX(C_TAB,MATCH($B301,C_COD,0),6)</f>
        <v>Embalaje</v>
      </c>
      <c r="H301" s="38"/>
      <c r="I301" s="38"/>
      <c r="J301" s="39" t="n">
        <f aca="false">SUM(J302:J303)</f>
        <v>44.6179089079256</v>
      </c>
      <c r="K301" s="39" t="n">
        <f aca="false">SUM(K302:K303)</f>
        <v>83.9518504540785</v>
      </c>
      <c r="L301" s="39" t="n">
        <f aca="false">SUM(L302:L303)</f>
        <v>154.232546999182</v>
      </c>
      <c r="M301" s="39" t="n">
        <f aca="false">SUM(M302:M303)</f>
        <v>312.537233655539</v>
      </c>
      <c r="N301" s="39" t="n">
        <f aca="false">SUM(N302:N303)</f>
        <v>514.840644309692</v>
      </c>
      <c r="O301" s="39" t="n">
        <f aca="false">SUM(O302:O303)</f>
        <v>714.078553631354</v>
      </c>
      <c r="P301" s="39" t="n">
        <f aca="false">SUM(P302:P303)</f>
        <v>957.548975313922</v>
      </c>
      <c r="Q301" s="39" t="n">
        <f aca="false">SUM(Q302:Q303)</f>
        <v>1196.91224408616</v>
      </c>
      <c r="R301" s="39" t="n">
        <f aca="false">SUM(R302:R303)</f>
        <v>1341.2562065849</v>
      </c>
      <c r="S301" s="39" t="n">
        <f aca="false">SUM(S302:S303)</f>
        <v>1546.97859196234</v>
      </c>
      <c r="T301" s="39" t="n">
        <f aca="false">INDEX(J301:S301,INDEX(P_VAL,MATCH("AÑO_DIS",P_ID,0))-2025)</f>
        <v>1546.97859196234</v>
      </c>
      <c r="U301" s="38" t="str">
        <f aca="false">INDEX(C_TAB,MATCH($B301,C_COD,0),10)</f>
        <v>Rollo de 500 u</v>
      </c>
      <c r="V301" s="38" t="n">
        <f aca="false">INDEX(C_TAB,MATCH($B301,C_COD,0),11)</f>
        <v>500</v>
      </c>
      <c r="W301" s="44" t="n">
        <f aca="false">ROUNDUP(T301/V301,0)</f>
        <v>4</v>
      </c>
      <c r="X301" s="38" t="str">
        <f aca="false">INDEX(C_TAB,MATCH($B301,C_COD,0),7)</f>
        <v>Astuprint</v>
      </c>
      <c r="Y301" s="38" t="n">
        <f aca="false">INDEX(C_TAB,MATCH($B301,C_COD,0),12)</f>
        <v>10</v>
      </c>
    </row>
    <row r="302" customFormat="false" ht="15" hidden="false" customHeight="false" outlineLevel="1" collapsed="false">
      <c r="A302" s="24" t="n">
        <v>1</v>
      </c>
      <c r="B302" s="24" t="s">
        <v>1818</v>
      </c>
      <c r="C302" s="40" t="s">
        <v>3852</v>
      </c>
      <c r="D302" s="24"/>
      <c r="E302" s="24"/>
      <c r="F302" s="24"/>
      <c r="G302" s="24"/>
      <c r="H302" s="24" t="s">
        <v>229</v>
      </c>
      <c r="I302" s="24" t="s">
        <v>3853</v>
      </c>
      <c r="J302" s="42" t="n">
        <f aca="false">INSUMOS_DIRECTOS_MANUALES!H200</f>
        <v>44.6179089079256</v>
      </c>
      <c r="K302" s="42" t="n">
        <f aca="false">INSUMOS_DIRECTOS_MANUALES!I200</f>
        <v>83.9518504540785</v>
      </c>
      <c r="L302" s="42" t="n">
        <f aca="false">INSUMOS_DIRECTOS_MANUALES!J200</f>
        <v>148.165880332515</v>
      </c>
      <c r="M302" s="42" t="n">
        <f aca="false">INSUMOS_DIRECTOS_MANUALES!K200</f>
        <v>291.401122544428</v>
      </c>
      <c r="N302" s="42" t="n">
        <f aca="false">INSUMOS_DIRECTOS_MANUALES!L200</f>
        <v>475.698977643026</v>
      </c>
      <c r="O302" s="42" t="n">
        <f aca="false">INSUMOS_DIRECTOS_MANUALES!M200</f>
        <v>657.353553631354</v>
      </c>
      <c r="P302" s="42" t="n">
        <f aca="false">INSUMOS_DIRECTOS_MANUALES!N200</f>
        <v>877.4017530917</v>
      </c>
      <c r="Q302" s="42" t="n">
        <f aca="false">INSUMOS_DIRECTOS_MANUALES!O200</f>
        <v>1093.34279964172</v>
      </c>
      <c r="R302" s="42" t="n">
        <f aca="false">INSUMOS_DIRECTOS_MANUALES!P200</f>
        <v>1225.14787325156</v>
      </c>
      <c r="S302" s="42" t="n">
        <f aca="false">INSUMOS_DIRECTOS_MANUALES!Q200</f>
        <v>1412.06192529568</v>
      </c>
      <c r="T302" s="42" t="n">
        <f aca="false">INDEX(J302:S302,INDEX(P_VAL,MATCH("AÑO_DIS",P_ID,0))-2025)</f>
        <v>1412.06192529568</v>
      </c>
      <c r="U302" s="24"/>
      <c r="V302" s="24"/>
      <c r="W302" s="24"/>
      <c r="X302" s="24"/>
      <c r="Y302" s="24"/>
    </row>
    <row r="303" customFormat="false" ht="15" hidden="false" customHeight="false" outlineLevel="1" collapsed="false">
      <c r="A303" s="24" t="n">
        <v>1</v>
      </c>
      <c r="B303" s="24" t="s">
        <v>1818</v>
      </c>
      <c r="C303" s="40" t="s">
        <v>3856</v>
      </c>
      <c r="D303" s="24"/>
      <c r="E303" s="24"/>
      <c r="F303" s="24"/>
      <c r="G303" s="24"/>
      <c r="H303" s="24" t="s">
        <v>244</v>
      </c>
      <c r="I303" s="24" t="s">
        <v>3857</v>
      </c>
      <c r="J303" s="42" t="n">
        <f aca="false">INSUMOS_DIRECTOS_RODANTES!H205</f>
        <v>0</v>
      </c>
      <c r="K303" s="42" t="n">
        <f aca="false">INSUMOS_DIRECTOS_RODANTES!I205</f>
        <v>0</v>
      </c>
      <c r="L303" s="42" t="n">
        <f aca="false">INSUMOS_DIRECTOS_RODANTES!J205</f>
        <v>6.06666666666667</v>
      </c>
      <c r="M303" s="42" t="n">
        <f aca="false">INSUMOS_DIRECTOS_RODANTES!K205</f>
        <v>21.1361111111111</v>
      </c>
      <c r="N303" s="42" t="n">
        <f aca="false">INSUMOS_DIRECTOS_RODANTES!L205</f>
        <v>39.1416666666667</v>
      </c>
      <c r="O303" s="42" t="n">
        <f aca="false">INSUMOS_DIRECTOS_RODANTES!M205</f>
        <v>56.725</v>
      </c>
      <c r="P303" s="42" t="n">
        <f aca="false">INSUMOS_DIRECTOS_RODANTES!N205</f>
        <v>80.1472222222222</v>
      </c>
      <c r="Q303" s="42" t="n">
        <f aca="false">INSUMOS_DIRECTOS_RODANTES!O205</f>
        <v>103.569444444444</v>
      </c>
      <c r="R303" s="42" t="n">
        <f aca="false">INSUMOS_DIRECTOS_RODANTES!P205</f>
        <v>116.108333333333</v>
      </c>
      <c r="S303" s="42" t="n">
        <f aca="false">INSUMOS_DIRECTOS_RODANTES!Q205</f>
        <v>134.916666666667</v>
      </c>
      <c r="T303" s="42" t="n">
        <f aca="false">INDEX(J303:S303,INDEX(P_VAL,MATCH("AÑO_DIS",P_ID,0))-2025)</f>
        <v>134.916666666667</v>
      </c>
      <c r="U303" s="24"/>
      <c r="V303" s="24"/>
      <c r="W303" s="24"/>
      <c r="X303" s="24"/>
      <c r="Y303" s="24"/>
    </row>
    <row r="304" customFormat="false" ht="15" hidden="false" customHeight="false" outlineLevel="0" collapsed="false">
      <c r="A304" s="38" t="n">
        <v>0</v>
      </c>
      <c r="B304" s="38" t="s">
        <v>1890</v>
      </c>
      <c r="C304" s="38" t="str">
        <f aca="false">INDEX(C_TAB,MATCH($B304,C_COD,0),2)</f>
        <v>Esquinero de cartón 50 × 50 × 1200</v>
      </c>
      <c r="D304" s="38" t="str">
        <f aca="false">INDEX(C_TAB,MATCH($B304,C_COD,0),3)</f>
        <v>u</v>
      </c>
      <c r="E304" s="38" t="str">
        <f aca="false">INDEX(C_TAB,MATCH($B304,C_COD,0),4)</f>
        <v>Directo</v>
      </c>
      <c r="F304" s="38" t="str">
        <f aca="false">INDEX(C_TAB,MATCH($B304,C_COD,0),5)</f>
        <v>Embalaje</v>
      </c>
      <c r="G304" s="38" t="str">
        <f aca="false">INDEX(C_TAB,MATCH($B304,C_COD,0),6)</f>
        <v>Embalaje</v>
      </c>
      <c r="H304" s="38"/>
      <c r="I304" s="38"/>
      <c r="J304" s="39" t="n">
        <f aca="false">SUM(J305:J305)</f>
        <v>0</v>
      </c>
      <c r="K304" s="39" t="n">
        <f aca="false">SUM(K305:K305)</f>
        <v>0</v>
      </c>
      <c r="L304" s="39" t="n">
        <f aca="false">SUM(L305:L305)</f>
        <v>24.2666666666667</v>
      </c>
      <c r="M304" s="39" t="n">
        <f aca="false">SUM(M305:M305)</f>
        <v>84.5444444444444</v>
      </c>
      <c r="N304" s="39" t="n">
        <f aca="false">SUM(N305:N305)</f>
        <v>156.566666666667</v>
      </c>
      <c r="O304" s="39" t="n">
        <f aca="false">SUM(O305:O305)</f>
        <v>226.9</v>
      </c>
      <c r="P304" s="39" t="n">
        <f aca="false">SUM(P305:P305)</f>
        <v>320.588888888889</v>
      </c>
      <c r="Q304" s="39" t="n">
        <f aca="false">SUM(Q305:Q305)</f>
        <v>414.277777777778</v>
      </c>
      <c r="R304" s="39" t="n">
        <f aca="false">SUM(R305:R305)</f>
        <v>464.433333333333</v>
      </c>
      <c r="S304" s="39" t="n">
        <f aca="false">SUM(S305:S305)</f>
        <v>539.666666666667</v>
      </c>
      <c r="T304" s="39" t="n">
        <f aca="false">INDEX(J304:S304,INDEX(P_VAL,MATCH("AÑO_DIS",P_ID,0))-2025)</f>
        <v>539.666666666667</v>
      </c>
      <c r="U304" s="38" t="str">
        <f aca="false">INDEX(C_TAB,MATCH($B304,C_COD,0),10)</f>
        <v>Paquete de 100 u</v>
      </c>
      <c r="V304" s="38" t="n">
        <f aca="false">INDEX(C_TAB,MATCH($B304,C_COD,0),11)</f>
        <v>100</v>
      </c>
      <c r="W304" s="44" t="n">
        <f aca="false">ROUNDUP(T304/V304,0)</f>
        <v>6</v>
      </c>
      <c r="X304" s="38" t="str">
        <f aca="false">INDEX(C_TAB,MATCH($B304,C_COD,0),7)</f>
        <v>Maxipack</v>
      </c>
      <c r="Y304" s="38" t="n">
        <f aca="false">INDEX(C_TAB,MATCH($B304,C_COD,0),12)</f>
        <v>10</v>
      </c>
    </row>
    <row r="305" customFormat="false" ht="15" hidden="false" customHeight="false" outlineLevel="1" collapsed="false">
      <c r="A305" s="24" t="n">
        <v>1</v>
      </c>
      <c r="B305" s="24" t="s">
        <v>1890</v>
      </c>
      <c r="C305" s="40" t="s">
        <v>3856</v>
      </c>
      <c r="D305" s="24"/>
      <c r="E305" s="24"/>
      <c r="F305" s="24"/>
      <c r="G305" s="24"/>
      <c r="H305" s="24" t="s">
        <v>244</v>
      </c>
      <c r="I305" s="24" t="s">
        <v>3857</v>
      </c>
      <c r="J305" s="42" t="n">
        <f aca="false">INSUMOS_DIRECTOS_RODANTES!H210</f>
        <v>0</v>
      </c>
      <c r="K305" s="42" t="n">
        <f aca="false">INSUMOS_DIRECTOS_RODANTES!I210</f>
        <v>0</v>
      </c>
      <c r="L305" s="42" t="n">
        <f aca="false">INSUMOS_DIRECTOS_RODANTES!J210</f>
        <v>24.2666666666667</v>
      </c>
      <c r="M305" s="42" t="n">
        <f aca="false">INSUMOS_DIRECTOS_RODANTES!K210</f>
        <v>84.5444444444444</v>
      </c>
      <c r="N305" s="42" t="n">
        <f aca="false">INSUMOS_DIRECTOS_RODANTES!L210</f>
        <v>156.566666666667</v>
      </c>
      <c r="O305" s="42" t="n">
        <f aca="false">INSUMOS_DIRECTOS_RODANTES!M210</f>
        <v>226.9</v>
      </c>
      <c r="P305" s="42" t="n">
        <f aca="false">INSUMOS_DIRECTOS_RODANTES!N210</f>
        <v>320.588888888889</v>
      </c>
      <c r="Q305" s="42" t="n">
        <f aca="false">INSUMOS_DIRECTOS_RODANTES!O210</f>
        <v>414.277777777778</v>
      </c>
      <c r="R305" s="42" t="n">
        <f aca="false">INSUMOS_DIRECTOS_RODANTES!P210</f>
        <v>464.433333333333</v>
      </c>
      <c r="S305" s="42" t="n">
        <f aca="false">INSUMOS_DIRECTOS_RODANTES!Q210</f>
        <v>539.666666666667</v>
      </c>
      <c r="T305" s="42" t="n">
        <f aca="false">INDEX(J305:S305,INDEX(P_VAL,MATCH("AÑO_DIS",P_ID,0))-2025)</f>
        <v>539.666666666667</v>
      </c>
      <c r="U305" s="24"/>
      <c r="V305" s="24"/>
      <c r="W305" s="24"/>
      <c r="X305" s="24"/>
      <c r="Y305" s="24"/>
    </row>
    <row r="306" customFormat="false" ht="15" hidden="false" customHeight="false" outlineLevel="0" collapsed="false">
      <c r="A306" s="38" t="n">
        <v>0</v>
      </c>
      <c r="B306" s="38" t="s">
        <v>1885</v>
      </c>
      <c r="C306" s="38" t="str">
        <f aca="false">INDEX(C_TAB,MATCH($B306,C_COD,0),2)</f>
        <v>Funda de polietileno para rodante</v>
      </c>
      <c r="D306" s="38" t="str">
        <f aca="false">INDEX(C_TAB,MATCH($B306,C_COD,0),3)</f>
        <v>u</v>
      </c>
      <c r="E306" s="38" t="str">
        <f aca="false">INDEX(C_TAB,MATCH($B306,C_COD,0),4)</f>
        <v>Directo</v>
      </c>
      <c r="F306" s="38" t="str">
        <f aca="false">INDEX(C_TAB,MATCH($B306,C_COD,0),5)</f>
        <v>Embalaje</v>
      </c>
      <c r="G306" s="38" t="str">
        <f aca="false">INDEX(C_TAB,MATCH($B306,C_COD,0),6)</f>
        <v>Embalaje</v>
      </c>
      <c r="H306" s="38"/>
      <c r="I306" s="38"/>
      <c r="J306" s="39" t="n">
        <f aca="false">SUM(J307:J307)</f>
        <v>136.20716545</v>
      </c>
      <c r="K306" s="39" t="n">
        <f aca="false">SUM(K307:K307)</f>
        <v>233.84858982</v>
      </c>
      <c r="L306" s="39" t="n">
        <f aca="false">SUM(L307:L307)</f>
        <v>300.83415996</v>
      </c>
      <c r="M306" s="39" t="n">
        <f aca="false">SUM(M307:M307)</f>
        <v>402.11941175</v>
      </c>
      <c r="N306" s="39" t="n">
        <f aca="false">SUM(N307:N307)</f>
        <v>623.50401399</v>
      </c>
      <c r="O306" s="39" t="n">
        <f aca="false">SUM(O307:O307)</f>
        <v>847.73793087</v>
      </c>
      <c r="P306" s="39" t="n">
        <f aca="false">SUM(P307:P307)</f>
        <v>1090.67293261</v>
      </c>
      <c r="Q306" s="39" t="n">
        <f aca="false">SUM(Q307:Q307)</f>
        <v>1351.3946828</v>
      </c>
      <c r="R306" s="39" t="n">
        <f aca="false">SUM(R307:R307)</f>
        <v>1574.5096624</v>
      </c>
      <c r="S306" s="39" t="n">
        <f aca="false">SUM(S307:S307)</f>
        <v>1813.0821329</v>
      </c>
      <c r="T306" s="39" t="n">
        <f aca="false">INDEX(J306:S306,INDEX(P_VAL,MATCH("AÑO_DIS",P_ID,0))-2025)</f>
        <v>1813.0821329</v>
      </c>
      <c r="U306" s="38" t="str">
        <f aca="false">INDEX(C_TAB,MATCH($B306,C_COD,0),10)</f>
        <v>Rollo de 100 u</v>
      </c>
      <c r="V306" s="38" t="n">
        <f aca="false">INDEX(C_TAB,MATCH($B306,C_COD,0),11)</f>
        <v>100</v>
      </c>
      <c r="W306" s="44" t="n">
        <f aca="false">ROUNDUP(T306/V306,0)</f>
        <v>19</v>
      </c>
      <c r="X306" s="38" t="str">
        <f aca="false">INDEX(C_TAB,MATCH($B306,C_COD,0),7)</f>
        <v>MV Embalajes</v>
      </c>
      <c r="Y306" s="38" t="n">
        <f aca="false">INDEX(C_TAB,MATCH($B306,C_COD,0),12)</f>
        <v>5</v>
      </c>
    </row>
    <row r="307" customFormat="false" ht="15" hidden="false" customHeight="false" outlineLevel="1" collapsed="false">
      <c r="A307" s="24" t="n">
        <v>1</v>
      </c>
      <c r="B307" s="24" t="s">
        <v>1885</v>
      </c>
      <c r="C307" s="40" t="s">
        <v>3856</v>
      </c>
      <c r="D307" s="24"/>
      <c r="E307" s="24"/>
      <c r="F307" s="24"/>
      <c r="G307" s="24"/>
      <c r="H307" s="24" t="s">
        <v>244</v>
      </c>
      <c r="I307" s="24" t="s">
        <v>3857</v>
      </c>
      <c r="J307" s="42" t="n">
        <f aca="false">INSUMOS_DIRECTOS_RODANTES!H215</f>
        <v>136.20716545</v>
      </c>
      <c r="K307" s="42" t="n">
        <f aca="false">INSUMOS_DIRECTOS_RODANTES!I215</f>
        <v>233.84858982</v>
      </c>
      <c r="L307" s="42" t="n">
        <f aca="false">INSUMOS_DIRECTOS_RODANTES!J215</f>
        <v>300.83415996</v>
      </c>
      <c r="M307" s="42" t="n">
        <f aca="false">INSUMOS_DIRECTOS_RODANTES!K215</f>
        <v>402.11941175</v>
      </c>
      <c r="N307" s="42" t="n">
        <f aca="false">INSUMOS_DIRECTOS_RODANTES!L215</f>
        <v>623.50401399</v>
      </c>
      <c r="O307" s="42" t="n">
        <f aca="false">INSUMOS_DIRECTOS_RODANTES!M215</f>
        <v>847.73793087</v>
      </c>
      <c r="P307" s="42" t="n">
        <f aca="false">INSUMOS_DIRECTOS_RODANTES!N215</f>
        <v>1090.67293261</v>
      </c>
      <c r="Q307" s="42" t="n">
        <f aca="false">INSUMOS_DIRECTOS_RODANTES!O215</f>
        <v>1351.3946828</v>
      </c>
      <c r="R307" s="42" t="n">
        <f aca="false">INSUMOS_DIRECTOS_RODANTES!P215</f>
        <v>1574.5096624</v>
      </c>
      <c r="S307" s="42" t="n">
        <f aca="false">INSUMOS_DIRECTOS_RODANTES!Q215</f>
        <v>1813.0821329</v>
      </c>
      <c r="T307" s="42" t="n">
        <f aca="false">INDEX(J307:S307,INDEX(P_VAL,MATCH("AÑO_DIS",P_ID,0))-2025)</f>
        <v>1813.0821329</v>
      </c>
      <c r="U307" s="24"/>
      <c r="V307" s="24"/>
      <c r="W307" s="24"/>
      <c r="X307" s="24"/>
      <c r="Y307" s="24"/>
    </row>
    <row r="308" customFormat="false" ht="15" hidden="false" customHeight="false" outlineLevel="0" collapsed="false">
      <c r="A308" s="38" t="n">
        <v>0</v>
      </c>
      <c r="B308" s="38" t="s">
        <v>610</v>
      </c>
      <c r="C308" s="38" t="str">
        <f aca="false">INDEX(C_TAB,MATCH($B308,C_COD,0),2)</f>
        <v>Tapón protector de rosca PE M22 (cilindro suelto)</v>
      </c>
      <c r="D308" s="38" t="str">
        <f aca="false">INDEX(C_TAB,MATCH($B308,C_COD,0),3)</f>
        <v>u</v>
      </c>
      <c r="E308" s="38" t="str">
        <f aca="false">INDEX(C_TAB,MATCH($B308,C_COD,0),4)</f>
        <v>Directo</v>
      </c>
      <c r="F308" s="38" t="str">
        <f aca="false">INDEX(C_TAB,MATCH($B308,C_COD,0),5)</f>
        <v>Embalaje</v>
      </c>
      <c r="G308" s="38" t="str">
        <f aca="false">INDEX(C_TAB,MATCH($B308,C_COD,0),6)</f>
        <v>Embalaje</v>
      </c>
      <c r="H308" s="38"/>
      <c r="I308" s="38"/>
      <c r="J308" s="39" t="n">
        <f aca="false">SUM(J309:J309)</f>
        <v>0</v>
      </c>
      <c r="K308" s="39" t="n">
        <f aca="false">SUM(K309:K309)</f>
        <v>0</v>
      </c>
      <c r="L308" s="39" t="n">
        <f aca="false">SUM(L309:L309)</f>
        <v>7662.4</v>
      </c>
      <c r="M308" s="39" t="n">
        <f aca="false">SUM(M309:M309)</f>
        <v>26694.8</v>
      </c>
      <c r="N308" s="39" t="n">
        <f aca="false">SUM(N309:N309)</f>
        <v>49434.8</v>
      </c>
      <c r="O308" s="39" t="n">
        <f aca="false">SUM(O309:O309)</f>
        <v>71680.2</v>
      </c>
      <c r="P308" s="39" t="n">
        <f aca="false">SUM(P309:P309)</f>
        <v>101340.6</v>
      </c>
      <c r="Q308" s="39" t="n">
        <f aca="false">SUM(Q309:Q309)</f>
        <v>131001</v>
      </c>
      <c r="R308" s="39" t="n">
        <f aca="false">SUM(R309:R309)</f>
        <v>146819.8</v>
      </c>
      <c r="S308" s="39" t="n">
        <f aca="false">SUM(S309:S309)</f>
        <v>170548</v>
      </c>
      <c r="T308" s="39" t="n">
        <f aca="false">INDEX(J308:S308,INDEX(P_VAL,MATCH("AÑO_DIS",P_ID,0))-2025)</f>
        <v>170548</v>
      </c>
      <c r="U308" s="38" t="str">
        <f aca="false">INDEX(C_TAB,MATCH($B308,C_COD,0),10)</f>
        <v>Caja de 5.000 u</v>
      </c>
      <c r="V308" s="38" t="n">
        <f aca="false">INDEX(C_TAB,MATCH($B308,C_COD,0),11)</f>
        <v>5000</v>
      </c>
      <c r="W308" s="44" t="n">
        <f aca="false">ROUNDUP(T308/V308,0)</f>
        <v>35</v>
      </c>
      <c r="X308" s="38" t="str">
        <f aca="false">INDEX(C_TAB,MATCH($B308,C_COD,0),7)</f>
        <v>A definir (inyectora)</v>
      </c>
      <c r="Y308" s="38" t="n">
        <f aca="false">INDEX(C_TAB,MATCH($B308,C_COD,0),12)</f>
        <v>10</v>
      </c>
    </row>
    <row r="309" customFormat="false" ht="15" hidden="false" customHeight="false" outlineLevel="1" collapsed="false">
      <c r="A309" s="24" t="n">
        <v>1</v>
      </c>
      <c r="B309" s="24" t="s">
        <v>610</v>
      </c>
      <c r="C309" s="40" t="s">
        <v>3852</v>
      </c>
      <c r="D309" s="24"/>
      <c r="E309" s="24"/>
      <c r="F309" s="24"/>
      <c r="G309" s="24"/>
      <c r="H309" s="24" t="s">
        <v>229</v>
      </c>
      <c r="I309" s="24" t="s">
        <v>3853</v>
      </c>
      <c r="J309" s="42" t="n">
        <f aca="false">INSUMOS_DIRECTOS_MANUALES!H209</f>
        <v>0</v>
      </c>
      <c r="K309" s="42" t="n">
        <f aca="false">INSUMOS_DIRECTOS_MANUALES!I209</f>
        <v>0</v>
      </c>
      <c r="L309" s="42" t="n">
        <f aca="false">INSUMOS_DIRECTOS_MANUALES!J209</f>
        <v>7662.4</v>
      </c>
      <c r="M309" s="42" t="n">
        <f aca="false">INSUMOS_DIRECTOS_MANUALES!K209</f>
        <v>26694.8</v>
      </c>
      <c r="N309" s="42" t="n">
        <f aca="false">INSUMOS_DIRECTOS_MANUALES!L209</f>
        <v>49434.8</v>
      </c>
      <c r="O309" s="42" t="n">
        <f aca="false">INSUMOS_DIRECTOS_MANUALES!M209</f>
        <v>71680.2</v>
      </c>
      <c r="P309" s="42" t="n">
        <f aca="false">INSUMOS_DIRECTOS_MANUALES!N209</f>
        <v>101340.6</v>
      </c>
      <c r="Q309" s="42" t="n">
        <f aca="false">INSUMOS_DIRECTOS_MANUALES!O209</f>
        <v>131001</v>
      </c>
      <c r="R309" s="42" t="n">
        <f aca="false">INSUMOS_DIRECTOS_MANUALES!P209</f>
        <v>146819.8</v>
      </c>
      <c r="S309" s="42" t="n">
        <f aca="false">INSUMOS_DIRECTOS_MANUALES!Q209</f>
        <v>170548</v>
      </c>
      <c r="T309" s="42" t="n">
        <f aca="false">INDEX(J309:S309,INDEX(P_VAL,MATCH("AÑO_DIS",P_ID,0))-2025)</f>
        <v>170548</v>
      </c>
      <c r="U309" s="24"/>
      <c r="V309" s="24"/>
      <c r="W309" s="24"/>
      <c r="X309" s="24"/>
      <c r="Y309" s="24"/>
    </row>
    <row r="310" customFormat="false" ht="15" hidden="false" customHeight="false" outlineLevel="0" collapsed="false">
      <c r="A310" s="38" t="n">
        <v>0</v>
      </c>
      <c r="B310" s="38" t="s">
        <v>710</v>
      </c>
      <c r="C310" s="38" t="str">
        <f aca="false">INDEX(C_TAB,MATCH($B310,C_COD,0),2)</f>
        <v>Tapón protector de rosca PE M30 (cilindro suelto)</v>
      </c>
      <c r="D310" s="38" t="str">
        <f aca="false">INDEX(C_TAB,MATCH($B310,C_COD,0),3)</f>
        <v>u</v>
      </c>
      <c r="E310" s="38" t="str">
        <f aca="false">INDEX(C_TAB,MATCH($B310,C_COD,0),4)</f>
        <v>Directo</v>
      </c>
      <c r="F310" s="38" t="str">
        <f aca="false">INDEX(C_TAB,MATCH($B310,C_COD,0),5)</f>
        <v>Embalaje</v>
      </c>
      <c r="G310" s="38" t="str">
        <f aca="false">INDEX(C_TAB,MATCH($B310,C_COD,0),6)</f>
        <v>Embalaje</v>
      </c>
      <c r="H310" s="38"/>
      <c r="I310" s="38"/>
      <c r="J310" s="39" t="n">
        <f aca="false">SUM(J311:J312)</f>
        <v>0</v>
      </c>
      <c r="K310" s="39" t="n">
        <f aca="false">SUM(K311:K312)</f>
        <v>0</v>
      </c>
      <c r="L310" s="39" t="n">
        <f aca="false">SUM(L311:L312)</f>
        <v>1915</v>
      </c>
      <c r="M310" s="39" t="n">
        <f aca="false">SUM(M311:M312)</f>
        <v>6671.8</v>
      </c>
      <c r="N310" s="39" t="n">
        <f aca="false">SUM(N311:N312)</f>
        <v>12355.4</v>
      </c>
      <c r="O310" s="39" t="n">
        <f aca="false">SUM(O311:O312)</f>
        <v>17915.6</v>
      </c>
      <c r="P310" s="39" t="n">
        <f aca="false">SUM(P311:P312)</f>
        <v>25328.8</v>
      </c>
      <c r="Q310" s="39" t="n">
        <f aca="false">SUM(Q311:Q312)</f>
        <v>32742</v>
      </c>
      <c r="R310" s="39" t="n">
        <f aca="false">SUM(R311:R312)</f>
        <v>36695.2</v>
      </c>
      <c r="S310" s="39" t="n">
        <f aca="false">SUM(S311:S312)</f>
        <v>42625</v>
      </c>
      <c r="T310" s="39" t="n">
        <f aca="false">INDEX(J310:S310,INDEX(P_VAL,MATCH("AÑO_DIS",P_ID,0))-2025)</f>
        <v>42625</v>
      </c>
      <c r="U310" s="38" t="str">
        <f aca="false">INDEX(C_TAB,MATCH($B310,C_COD,0),10)</f>
        <v>Caja de 5.000 u</v>
      </c>
      <c r="V310" s="38" t="n">
        <f aca="false">INDEX(C_TAB,MATCH($B310,C_COD,0),11)</f>
        <v>5000</v>
      </c>
      <c r="W310" s="44" t="n">
        <f aca="false">ROUNDUP(T310/V310,0)</f>
        <v>9</v>
      </c>
      <c r="X310" s="38" t="str">
        <f aca="false">INDEX(C_TAB,MATCH($B310,C_COD,0),7)</f>
        <v>A definir (inyectora)</v>
      </c>
      <c r="Y310" s="38" t="n">
        <f aca="false">INDEX(C_TAB,MATCH($B310,C_COD,0),12)</f>
        <v>10</v>
      </c>
    </row>
    <row r="311" customFormat="false" ht="15" hidden="false" customHeight="false" outlineLevel="1" collapsed="false">
      <c r="A311" s="24" t="n">
        <v>1</v>
      </c>
      <c r="B311" s="24" t="s">
        <v>710</v>
      </c>
      <c r="C311" s="40" t="s">
        <v>3852</v>
      </c>
      <c r="D311" s="24"/>
      <c r="E311" s="24"/>
      <c r="F311" s="24"/>
      <c r="G311" s="24"/>
      <c r="H311" s="24" t="s">
        <v>229</v>
      </c>
      <c r="I311" s="24" t="s">
        <v>3853</v>
      </c>
      <c r="J311" s="42" t="n">
        <f aca="false">INSUMOS_DIRECTOS_MANUALES!H211</f>
        <v>0</v>
      </c>
      <c r="K311" s="42" t="n">
        <f aca="false">INSUMOS_DIRECTOS_MANUALES!I211</f>
        <v>0</v>
      </c>
      <c r="L311" s="42" t="n">
        <f aca="false">INSUMOS_DIRECTOS_MANUALES!J211</f>
        <v>1868.8</v>
      </c>
      <c r="M311" s="42" t="n">
        <f aca="false">INSUMOS_DIRECTOS_MANUALES!K211</f>
        <v>6510.8</v>
      </c>
      <c r="N311" s="42" t="n">
        <f aca="false">INSUMOS_DIRECTOS_MANUALES!L211</f>
        <v>12057.2</v>
      </c>
      <c r="O311" s="42" t="n">
        <f aca="false">INSUMOS_DIRECTOS_MANUALES!M211</f>
        <v>17483</v>
      </c>
      <c r="P311" s="42" t="n">
        <f aca="false">INSUMOS_DIRECTOS_MANUALES!N211</f>
        <v>24717</v>
      </c>
      <c r="Q311" s="42" t="n">
        <f aca="false">INSUMOS_DIRECTOS_MANUALES!O211</f>
        <v>31951</v>
      </c>
      <c r="R311" s="42" t="n">
        <f aca="false">INSUMOS_DIRECTOS_MANUALES!P211</f>
        <v>35808.6</v>
      </c>
      <c r="S311" s="42" t="n">
        <f aca="false">INSUMOS_DIRECTOS_MANUALES!Q211</f>
        <v>41595</v>
      </c>
      <c r="T311" s="42" t="n">
        <f aca="false">INDEX(J311:S311,INDEX(P_VAL,MATCH("AÑO_DIS",P_ID,0))-2025)</f>
        <v>41595</v>
      </c>
      <c r="U311" s="24"/>
      <c r="V311" s="24"/>
      <c r="W311" s="24"/>
      <c r="X311" s="24"/>
      <c r="Y311" s="24"/>
    </row>
    <row r="312" customFormat="false" ht="15" hidden="false" customHeight="false" outlineLevel="1" collapsed="false">
      <c r="A312" s="24" t="n">
        <v>1</v>
      </c>
      <c r="B312" s="24" t="s">
        <v>710</v>
      </c>
      <c r="C312" s="40" t="s">
        <v>3856</v>
      </c>
      <c r="D312" s="24"/>
      <c r="E312" s="24"/>
      <c r="F312" s="24"/>
      <c r="G312" s="24"/>
      <c r="H312" s="24" t="s">
        <v>244</v>
      </c>
      <c r="I312" s="24" t="s">
        <v>3857</v>
      </c>
      <c r="J312" s="42" t="n">
        <f aca="false">INSUMOS_DIRECTOS_RODANTES!H220</f>
        <v>0</v>
      </c>
      <c r="K312" s="42" t="n">
        <f aca="false">INSUMOS_DIRECTOS_RODANTES!I220</f>
        <v>0</v>
      </c>
      <c r="L312" s="42" t="n">
        <f aca="false">INSUMOS_DIRECTOS_RODANTES!J220</f>
        <v>46.2</v>
      </c>
      <c r="M312" s="42" t="n">
        <f aca="false">INSUMOS_DIRECTOS_RODANTES!K220</f>
        <v>161</v>
      </c>
      <c r="N312" s="42" t="n">
        <f aca="false">INSUMOS_DIRECTOS_RODANTES!L220</f>
        <v>298.2</v>
      </c>
      <c r="O312" s="42" t="n">
        <f aca="false">INSUMOS_DIRECTOS_RODANTES!M220</f>
        <v>432.6</v>
      </c>
      <c r="P312" s="42" t="n">
        <f aca="false">INSUMOS_DIRECTOS_RODANTES!N220</f>
        <v>611.8</v>
      </c>
      <c r="Q312" s="42" t="n">
        <f aca="false">INSUMOS_DIRECTOS_RODANTES!O220</f>
        <v>791</v>
      </c>
      <c r="R312" s="42" t="n">
        <f aca="false">INSUMOS_DIRECTOS_RODANTES!P220</f>
        <v>886.6</v>
      </c>
      <c r="S312" s="42" t="n">
        <f aca="false">INSUMOS_DIRECTOS_RODANTES!Q220</f>
        <v>1030</v>
      </c>
      <c r="T312" s="42" t="n">
        <f aca="false">INDEX(J312:S312,INDEX(P_VAL,MATCH("AÑO_DIS",P_ID,0))-2025)</f>
        <v>1030</v>
      </c>
      <c r="U312" s="24"/>
      <c r="V312" s="24"/>
      <c r="W312" s="24"/>
      <c r="X312" s="24"/>
      <c r="Y312" s="24"/>
    </row>
    <row r="313" customFormat="false" ht="15" hidden="false" customHeight="false" outlineLevel="0" collapsed="false">
      <c r="A313" s="38" t="n">
        <v>0</v>
      </c>
      <c r="B313" s="38" t="s">
        <v>1225</v>
      </c>
      <c r="C313" s="38" t="str">
        <f aca="false">INDEX(C_TAB,MATCH($B313,C_COD,0),2)</f>
        <v>Tapón protector de rosca PE 2½" (cilindro suelto)</v>
      </c>
      <c r="D313" s="38" t="str">
        <f aca="false">INDEX(C_TAB,MATCH($B313,C_COD,0),3)</f>
        <v>u</v>
      </c>
      <c r="E313" s="38" t="str">
        <f aca="false">INDEX(C_TAB,MATCH($B313,C_COD,0),4)</f>
        <v>Directo</v>
      </c>
      <c r="F313" s="38" t="str">
        <f aca="false">INDEX(C_TAB,MATCH($B313,C_COD,0),5)</f>
        <v>Embalaje</v>
      </c>
      <c r="G313" s="38" t="str">
        <f aca="false">INDEX(C_TAB,MATCH($B313,C_COD,0),6)</f>
        <v>Embalaje</v>
      </c>
      <c r="H313" s="38"/>
      <c r="I313" s="38"/>
      <c r="J313" s="39" t="n">
        <f aca="false">SUM(J314:J314)</f>
        <v>0</v>
      </c>
      <c r="K313" s="39" t="n">
        <f aca="false">SUM(K314:K314)</f>
        <v>0</v>
      </c>
      <c r="L313" s="39" t="n">
        <f aca="false">SUM(L314:L314)</f>
        <v>11.6</v>
      </c>
      <c r="M313" s="39" t="n">
        <f aca="false">SUM(M314:M314)</f>
        <v>40.4</v>
      </c>
      <c r="N313" s="39" t="n">
        <f aca="false">SUM(N314:N314)</f>
        <v>74.8</v>
      </c>
      <c r="O313" s="39" t="n">
        <f aca="false">SUM(O314:O314)</f>
        <v>108.2</v>
      </c>
      <c r="P313" s="39" t="n">
        <f aca="false">SUM(P314:P314)</f>
        <v>152.6</v>
      </c>
      <c r="Q313" s="39" t="n">
        <f aca="false">SUM(Q314:Q314)</f>
        <v>197</v>
      </c>
      <c r="R313" s="39" t="n">
        <f aca="false">SUM(R314:R314)</f>
        <v>221</v>
      </c>
      <c r="S313" s="39" t="n">
        <f aca="false">SUM(S314:S314)</f>
        <v>257</v>
      </c>
      <c r="T313" s="39" t="n">
        <f aca="false">INDEX(J313:S313,INDEX(P_VAL,MATCH("AÑO_DIS",P_ID,0))-2025)</f>
        <v>257</v>
      </c>
      <c r="U313" s="38" t="str">
        <f aca="false">INDEX(C_TAB,MATCH($B313,C_COD,0),10)</f>
        <v>Caja de 500 u</v>
      </c>
      <c r="V313" s="38" t="n">
        <f aca="false">INDEX(C_TAB,MATCH($B313,C_COD,0),11)</f>
        <v>500</v>
      </c>
      <c r="W313" s="44" t="n">
        <f aca="false">ROUNDUP(T313/V313,0)</f>
        <v>1</v>
      </c>
      <c r="X313" s="38" t="str">
        <f aca="false">INDEX(C_TAB,MATCH($B313,C_COD,0),7)</f>
        <v>A definir (inyectora)</v>
      </c>
      <c r="Y313" s="38" t="n">
        <f aca="false">INDEX(C_TAB,MATCH($B313,C_COD,0),12)</f>
        <v>10</v>
      </c>
    </row>
    <row r="314" customFormat="false" ht="15" hidden="false" customHeight="false" outlineLevel="1" collapsed="false">
      <c r="A314" s="24" t="n">
        <v>1</v>
      </c>
      <c r="B314" s="24" t="s">
        <v>1225</v>
      </c>
      <c r="C314" s="40" t="s">
        <v>3856</v>
      </c>
      <c r="D314" s="24"/>
      <c r="E314" s="24"/>
      <c r="F314" s="24"/>
      <c r="G314" s="24"/>
      <c r="H314" s="24" t="s">
        <v>244</v>
      </c>
      <c r="I314" s="24" t="s">
        <v>3857</v>
      </c>
      <c r="J314" s="42" t="n">
        <f aca="false">INSUMOS_DIRECTOS_RODANTES!H223</f>
        <v>0</v>
      </c>
      <c r="K314" s="42" t="n">
        <f aca="false">INSUMOS_DIRECTOS_RODANTES!I223</f>
        <v>0</v>
      </c>
      <c r="L314" s="42" t="n">
        <f aca="false">INSUMOS_DIRECTOS_RODANTES!J223</f>
        <v>11.6</v>
      </c>
      <c r="M314" s="42" t="n">
        <f aca="false">INSUMOS_DIRECTOS_RODANTES!K223</f>
        <v>40.4</v>
      </c>
      <c r="N314" s="42" t="n">
        <f aca="false">INSUMOS_DIRECTOS_RODANTES!L223</f>
        <v>74.8</v>
      </c>
      <c r="O314" s="42" t="n">
        <f aca="false">INSUMOS_DIRECTOS_RODANTES!M223</f>
        <v>108.2</v>
      </c>
      <c r="P314" s="42" t="n">
        <f aca="false">INSUMOS_DIRECTOS_RODANTES!N223</f>
        <v>152.6</v>
      </c>
      <c r="Q314" s="42" t="n">
        <f aca="false">INSUMOS_DIRECTOS_RODANTES!O223</f>
        <v>197</v>
      </c>
      <c r="R314" s="42" t="n">
        <f aca="false">INSUMOS_DIRECTOS_RODANTES!P223</f>
        <v>221</v>
      </c>
      <c r="S314" s="42" t="n">
        <f aca="false">INSUMOS_DIRECTOS_RODANTES!Q223</f>
        <v>257</v>
      </c>
      <c r="T314" s="42" t="n">
        <f aca="false">INDEX(J314:S314,INDEX(P_VAL,MATCH("AÑO_DIS",P_ID,0))-2025)</f>
        <v>257</v>
      </c>
      <c r="U314" s="24"/>
      <c r="V314" s="24"/>
      <c r="W314" s="24"/>
      <c r="X314" s="24"/>
      <c r="Y314" s="24"/>
    </row>
    <row r="315" customFormat="false" ht="15" hidden="false" customHeight="false" outlineLevel="0" collapsed="false">
      <c r="A315" s="38" t="n">
        <v>0</v>
      </c>
      <c r="B315" s="38" t="s">
        <v>1881</v>
      </c>
      <c r="C315" s="38" t="str">
        <f aca="false">INDEX(C_TAB,MATCH($B315,C_COD,0),2)</f>
        <v>Servicio de pintura en polvo, carro 25 kg (tercerizado)</v>
      </c>
      <c r="D315" s="38" t="str">
        <f aca="false">INDEX(C_TAB,MATCH($B315,C_COD,0),3)</f>
        <v>u</v>
      </c>
      <c r="E315" s="38" t="str">
        <f aca="false">INDEX(C_TAB,MATCH($B315,C_COD,0),4)</f>
        <v>Directo</v>
      </c>
      <c r="F315" s="38" t="str">
        <f aca="false">INDEX(C_TAB,MATCH($B315,C_COD,0),5)</f>
        <v>Servicio</v>
      </c>
      <c r="G315" s="38" t="str">
        <f aca="false">INDEX(C_TAB,MATCH($B315,C_COD,0),6)</f>
        <v>Servicio (no se almacena)</v>
      </c>
      <c r="H315" s="38"/>
      <c r="I315" s="38"/>
      <c r="J315" s="39" t="n">
        <f aca="false">SUM(J316:J316)</f>
        <v>34.05179136</v>
      </c>
      <c r="K315" s="39" t="n">
        <f aca="false">SUM(K316:K316)</f>
        <v>58.46214745</v>
      </c>
      <c r="L315" s="39" t="n">
        <f aca="false">SUM(L316:L316)</f>
        <v>89.60853998</v>
      </c>
      <c r="M315" s="39" t="n">
        <f aca="false">SUM(M316:M316)</f>
        <v>150.7298529</v>
      </c>
      <c r="N315" s="39" t="n">
        <f aca="false">SUM(N316:N316)</f>
        <v>248.8760035</v>
      </c>
      <c r="O315" s="39" t="n">
        <f aca="false">SUM(O316:O316)</f>
        <v>346.9344827</v>
      </c>
      <c r="P315" s="39" t="n">
        <f aca="false">SUM(P316:P316)</f>
        <v>463.6682332</v>
      </c>
      <c r="Q315" s="39" t="n">
        <f aca="false">SUM(Q316:Q316)</f>
        <v>584.8486707</v>
      </c>
      <c r="R315" s="39" t="n">
        <f aca="false">SUM(R316:R316)</f>
        <v>670.6274156</v>
      </c>
      <c r="S315" s="39" t="n">
        <f aca="false">SUM(S316:S316)</f>
        <v>775.2705332</v>
      </c>
      <c r="T315" s="39" t="n">
        <f aca="false">INDEX(J315:S315,INDEX(P_VAL,MATCH("AÑO_DIS",P_ID,0))-2025)</f>
        <v>775.2705332</v>
      </c>
      <c r="U315" s="38" t="str">
        <f aca="false">INDEX(C_TAB,MATCH($B315,C_COD,0),10)</f>
        <v>Unidad</v>
      </c>
      <c r="V315" s="38" t="n">
        <f aca="false">INDEX(C_TAB,MATCH($B315,C_COD,0),11)</f>
        <v>1</v>
      </c>
      <c r="W315" s="44" t="n">
        <f aca="false">ROUNDUP(T315/V315,0)</f>
        <v>776</v>
      </c>
      <c r="X315" s="38" t="str">
        <f aca="false">INDEX(C_TAB,MATCH($B315,C_COD,0),7)</f>
        <v>Pintor de carros (cotización por mensaje)</v>
      </c>
      <c r="Y315" s="38" t="n">
        <f aca="false">INDEX(C_TAB,MATCH($B315,C_COD,0),12)</f>
        <v>5</v>
      </c>
    </row>
    <row r="316" customFormat="false" ht="15" hidden="false" customHeight="false" outlineLevel="1" collapsed="false">
      <c r="A316" s="24" t="n">
        <v>1</v>
      </c>
      <c r="B316" s="24" t="s">
        <v>1881</v>
      </c>
      <c r="C316" s="40" t="s">
        <v>3856</v>
      </c>
      <c r="D316" s="24"/>
      <c r="E316" s="24"/>
      <c r="F316" s="24"/>
      <c r="G316" s="24"/>
      <c r="H316" s="24" t="s">
        <v>244</v>
      </c>
      <c r="I316" s="24" t="s">
        <v>3857</v>
      </c>
      <c r="J316" s="42" t="n">
        <f aca="false">INSUMOS_DIRECTOS_RODANTES!H226</f>
        <v>34.05179136</v>
      </c>
      <c r="K316" s="42" t="n">
        <f aca="false">INSUMOS_DIRECTOS_RODANTES!I226</f>
        <v>58.46214745</v>
      </c>
      <c r="L316" s="42" t="n">
        <f aca="false">INSUMOS_DIRECTOS_RODANTES!J226</f>
        <v>89.60853998</v>
      </c>
      <c r="M316" s="42" t="n">
        <f aca="false">INSUMOS_DIRECTOS_RODANTES!K226</f>
        <v>150.7298529</v>
      </c>
      <c r="N316" s="42" t="n">
        <f aca="false">INSUMOS_DIRECTOS_RODANTES!L226</f>
        <v>248.8760035</v>
      </c>
      <c r="O316" s="42" t="n">
        <f aca="false">INSUMOS_DIRECTOS_RODANTES!M226</f>
        <v>346.9344827</v>
      </c>
      <c r="P316" s="42" t="n">
        <f aca="false">INSUMOS_DIRECTOS_RODANTES!N226</f>
        <v>463.6682332</v>
      </c>
      <c r="Q316" s="42" t="n">
        <f aca="false">INSUMOS_DIRECTOS_RODANTES!O226</f>
        <v>584.8486707</v>
      </c>
      <c r="R316" s="42" t="n">
        <f aca="false">INSUMOS_DIRECTOS_RODANTES!P226</f>
        <v>670.6274156</v>
      </c>
      <c r="S316" s="42" t="n">
        <f aca="false">INSUMOS_DIRECTOS_RODANTES!Q226</f>
        <v>775.2705332</v>
      </c>
      <c r="T316" s="42" t="n">
        <f aca="false">INDEX(J316:S316,INDEX(P_VAL,MATCH("AÑO_DIS",P_ID,0))-2025)</f>
        <v>775.2705332</v>
      </c>
      <c r="U316" s="24"/>
      <c r="V316" s="24"/>
      <c r="W316" s="24"/>
      <c r="X316" s="24"/>
      <c r="Y316" s="24"/>
    </row>
    <row r="317" customFormat="false" ht="15" hidden="false" customHeight="false" outlineLevel="0" collapsed="false">
      <c r="A317" s="38" t="n">
        <v>0</v>
      </c>
      <c r="B317" s="38" t="s">
        <v>1901</v>
      </c>
      <c r="C317" s="38" t="str">
        <f aca="false">INDEX(C_TAB,MATCH($B317,C_COD,0),2)</f>
        <v>Servicio de pintura en polvo, carro 50 kg (tercerizado)</v>
      </c>
      <c r="D317" s="38" t="str">
        <f aca="false">INDEX(C_TAB,MATCH($B317,C_COD,0),3)</f>
        <v>u</v>
      </c>
      <c r="E317" s="38" t="str">
        <f aca="false">INDEX(C_TAB,MATCH($B317,C_COD,0),4)</f>
        <v>Directo</v>
      </c>
      <c r="F317" s="38" t="str">
        <f aca="false">INDEX(C_TAB,MATCH($B317,C_COD,0),5)</f>
        <v>Servicio</v>
      </c>
      <c r="G317" s="38" t="str">
        <f aca="false">INDEX(C_TAB,MATCH($B317,C_COD,0),6)</f>
        <v>Servicio (no se almacena)</v>
      </c>
      <c r="H317" s="38"/>
      <c r="I317" s="38"/>
      <c r="J317" s="39" t="n">
        <f aca="false">SUM(J318:J319)</f>
        <v>75.913941</v>
      </c>
      <c r="K317" s="39" t="n">
        <f aca="false">SUM(K318:K319)</f>
        <v>130.6667244</v>
      </c>
      <c r="L317" s="39" t="n">
        <f aca="false">SUM(L318:L319)</f>
        <v>201.408788</v>
      </c>
      <c r="M317" s="39" t="n">
        <f aca="false">SUM(M318:M319)</f>
        <v>337.3156765</v>
      </c>
      <c r="N317" s="39" t="n">
        <f aca="false">SUM(N318:N319)</f>
        <v>553.7272077</v>
      </c>
      <c r="O317" s="39" t="n">
        <f aca="false">SUM(O318:O319)</f>
        <v>770.705862</v>
      </c>
      <c r="P317" s="39" t="n">
        <f aca="false">SUM(P318:P319)</f>
        <v>1026.8201129</v>
      </c>
      <c r="Q317" s="39" t="n">
        <f aca="false">SUM(Q318:Q319)</f>
        <v>1291.6670756</v>
      </c>
      <c r="R317" s="39" t="n">
        <f aca="false">SUM(R318:R319)</f>
        <v>1480.1303143</v>
      </c>
      <c r="S317" s="39" t="n">
        <f aca="false">SUM(S318:S319)</f>
        <v>1708.8951731</v>
      </c>
      <c r="T317" s="39" t="n">
        <f aca="false">INDEX(J317:S317,INDEX(P_VAL,MATCH("AÑO_DIS",P_ID,0))-2025)</f>
        <v>1708.8951731</v>
      </c>
      <c r="U317" s="38" t="str">
        <f aca="false">INDEX(C_TAB,MATCH($B317,C_COD,0),10)</f>
        <v>Unidad</v>
      </c>
      <c r="V317" s="38" t="n">
        <f aca="false">INDEX(C_TAB,MATCH($B317,C_COD,0),11)</f>
        <v>1</v>
      </c>
      <c r="W317" s="44" t="n">
        <f aca="false">ROUNDUP(T317/V317,0)</f>
        <v>1709</v>
      </c>
      <c r="X317" s="38" t="str">
        <f aca="false">INDEX(C_TAB,MATCH($B317,C_COD,0),7)</f>
        <v>Pintor de carros (cotización por mensaje)</v>
      </c>
      <c r="Y317" s="38" t="n">
        <f aca="false">INDEX(C_TAB,MATCH($B317,C_COD,0),12)</f>
        <v>5</v>
      </c>
    </row>
    <row r="318" customFormat="false" ht="15" hidden="false" customHeight="false" outlineLevel="1" collapsed="false">
      <c r="A318" s="24" t="n">
        <v>1</v>
      </c>
      <c r="B318" s="24" t="s">
        <v>1901</v>
      </c>
      <c r="C318" s="40" t="s">
        <v>3856</v>
      </c>
      <c r="D318" s="24"/>
      <c r="E318" s="24"/>
      <c r="F318" s="24"/>
      <c r="G318" s="24"/>
      <c r="H318" s="24" t="s">
        <v>244</v>
      </c>
      <c r="I318" s="24" t="s">
        <v>3857</v>
      </c>
      <c r="J318" s="42" t="n">
        <f aca="false">INSUMOS_DIRECTOS_RODANTES!H229</f>
        <v>74.913941</v>
      </c>
      <c r="K318" s="42" t="n">
        <f aca="false">INSUMOS_DIRECTOS_RODANTES!I229</f>
        <v>128.6167244</v>
      </c>
      <c r="L318" s="42" t="n">
        <f aca="false">INSUMOS_DIRECTOS_RODANTES!J229</f>
        <v>197.258788</v>
      </c>
      <c r="M318" s="42" t="n">
        <f aca="false">INSUMOS_DIRECTOS_RODANTES!K229</f>
        <v>331.9656765</v>
      </c>
      <c r="N318" s="42" t="n">
        <f aca="false">INSUMOS_DIRECTOS_RODANTES!L229</f>
        <v>548.1272077</v>
      </c>
      <c r="O318" s="42" t="n">
        <f aca="false">INSUMOS_DIRECTOS_RODANTES!M229</f>
        <v>763.855862</v>
      </c>
      <c r="P318" s="42" t="n">
        <f aca="false">INSUMOS_DIRECTOS_RODANTES!N229</f>
        <v>1020.6701129</v>
      </c>
      <c r="Q318" s="42" t="n">
        <f aca="false">INSUMOS_DIRECTOS_RODANTES!O229</f>
        <v>1287.2670756</v>
      </c>
      <c r="R318" s="42" t="n">
        <f aca="false">INSUMOS_DIRECTOS_RODANTES!P229</f>
        <v>1475.5803143</v>
      </c>
      <c r="S318" s="42" t="n">
        <f aca="false">INSUMOS_DIRECTOS_RODANTES!Q229</f>
        <v>1705.1951731</v>
      </c>
      <c r="T318" s="42" t="n">
        <f aca="false">INDEX(J318:S318,INDEX(P_VAL,MATCH("AÑO_DIS",P_ID,0))-2025)</f>
        <v>1705.1951731</v>
      </c>
      <c r="U318" s="24"/>
      <c r="V318" s="24"/>
      <c r="W318" s="24"/>
      <c r="X318" s="24"/>
      <c r="Y318" s="24"/>
    </row>
    <row r="319" customFormat="false" ht="15" hidden="false" customHeight="false" outlineLevel="1" collapsed="false">
      <c r="A319" s="24" t="n">
        <v>1</v>
      </c>
      <c r="B319" s="24" t="s">
        <v>1901</v>
      </c>
      <c r="C319" s="40" t="s">
        <v>3854</v>
      </c>
      <c r="D319" s="24"/>
      <c r="E319" s="24"/>
      <c r="F319" s="24"/>
      <c r="G319" s="24"/>
      <c r="H319" s="24" t="s">
        <v>132</v>
      </c>
      <c r="I319" s="24" t="s">
        <v>3855</v>
      </c>
      <c r="J319" s="42" t="n">
        <f aca="false">INSUMOS_DIRECTOS_RECARGAS!H597</f>
        <v>1</v>
      </c>
      <c r="K319" s="42" t="n">
        <f aca="false">INSUMOS_DIRECTOS_RECARGAS!I597</f>
        <v>2.05</v>
      </c>
      <c r="L319" s="42" t="n">
        <f aca="false">INSUMOS_DIRECTOS_RECARGAS!J597</f>
        <v>4.15</v>
      </c>
      <c r="M319" s="42" t="n">
        <f aca="false">INSUMOS_DIRECTOS_RECARGAS!K597</f>
        <v>5.35</v>
      </c>
      <c r="N319" s="42" t="n">
        <f aca="false">INSUMOS_DIRECTOS_RECARGAS!L597</f>
        <v>5.6</v>
      </c>
      <c r="O319" s="42" t="n">
        <f aca="false">INSUMOS_DIRECTOS_RECARGAS!M597</f>
        <v>6.85</v>
      </c>
      <c r="P319" s="42" t="n">
        <f aca="false">INSUMOS_DIRECTOS_RECARGAS!N597</f>
        <v>6.15</v>
      </c>
      <c r="Q319" s="42" t="n">
        <f aca="false">INSUMOS_DIRECTOS_RECARGAS!O597</f>
        <v>4.4</v>
      </c>
      <c r="R319" s="42" t="n">
        <f aca="false">INSUMOS_DIRECTOS_RECARGAS!P597</f>
        <v>4.55</v>
      </c>
      <c r="S319" s="42" t="n">
        <f aca="false">INSUMOS_DIRECTOS_RECARGAS!Q597</f>
        <v>3.7</v>
      </c>
      <c r="T319" s="42" t="n">
        <f aca="false">INDEX(J319:S319,INDEX(P_VAL,MATCH("AÑO_DIS",P_ID,0))-2025)</f>
        <v>3.7</v>
      </c>
      <c r="U319" s="24"/>
      <c r="V319" s="24"/>
      <c r="W319" s="24"/>
      <c r="X319" s="24"/>
      <c r="Y319" s="24"/>
    </row>
    <row r="320" customFormat="false" ht="15" hidden="false" customHeight="false" outlineLevel="0" collapsed="false">
      <c r="A320" s="38" t="n">
        <v>0</v>
      </c>
      <c r="B320" s="38" t="s">
        <v>1918</v>
      </c>
      <c r="C320" s="38" t="str">
        <f aca="false">INDEX(C_TAB,MATCH($B320,C_COD,0),2)</f>
        <v>Servicio de pintura en polvo, carro 70 kg (tercerizado)</v>
      </c>
      <c r="D320" s="38" t="str">
        <f aca="false">INDEX(C_TAB,MATCH($B320,C_COD,0),3)</f>
        <v>u</v>
      </c>
      <c r="E320" s="38" t="str">
        <f aca="false">INDEX(C_TAB,MATCH($B320,C_COD,0),4)</f>
        <v>Directo</v>
      </c>
      <c r="F320" s="38" t="str">
        <f aca="false">INDEX(C_TAB,MATCH($B320,C_COD,0),5)</f>
        <v>Servicio</v>
      </c>
      <c r="G320" s="38" t="str">
        <f aca="false">INDEX(C_TAB,MATCH($B320,C_COD,0),6)</f>
        <v>Servicio (no se almacena)</v>
      </c>
      <c r="H320" s="38"/>
      <c r="I320" s="38"/>
      <c r="J320" s="39" t="n">
        <f aca="false">SUM(J321:J321)</f>
        <v>16.34485985</v>
      </c>
      <c r="K320" s="39" t="n">
        <f aca="false">SUM(K321:K321)</f>
        <v>28.06183078</v>
      </c>
      <c r="L320" s="39" t="n">
        <f aca="false">SUM(L321:L321)</f>
        <v>43.10009919</v>
      </c>
      <c r="M320" s="39" t="n">
        <f aca="false">SUM(M321:M321)</f>
        <v>72.65432941</v>
      </c>
      <c r="N320" s="39" t="n">
        <f aca="false">SUM(N321:N321)</f>
        <v>120.02048167</v>
      </c>
      <c r="O320" s="39" t="n">
        <f aca="false">SUM(O321:O321)</f>
        <v>167.1285517</v>
      </c>
      <c r="P320" s="39" t="n">
        <f aca="false">SUM(P321:P321)</f>
        <v>223.0807519</v>
      </c>
      <c r="Q320" s="39" t="n">
        <f aca="false">SUM(Q321:Q321)</f>
        <v>281.1673619</v>
      </c>
      <c r="R320" s="39" t="n">
        <f aca="false">SUM(R321:R321)</f>
        <v>322.3411595</v>
      </c>
      <c r="S320" s="39" t="n">
        <f aca="false">SUM(S321:S321)</f>
        <v>372.569856</v>
      </c>
      <c r="T320" s="39" t="n">
        <f aca="false">INDEX(J320:S320,INDEX(P_VAL,MATCH("AÑO_DIS",P_ID,0))-2025)</f>
        <v>372.569856</v>
      </c>
      <c r="U320" s="38" t="str">
        <f aca="false">INDEX(C_TAB,MATCH($B320,C_COD,0),10)</f>
        <v>Unidad</v>
      </c>
      <c r="V320" s="38" t="n">
        <f aca="false">INDEX(C_TAB,MATCH($B320,C_COD,0),11)</f>
        <v>1</v>
      </c>
      <c r="W320" s="44" t="n">
        <f aca="false">ROUNDUP(T320/V320,0)</f>
        <v>373</v>
      </c>
      <c r="X320" s="38" t="str">
        <f aca="false">INDEX(C_TAB,MATCH($B320,C_COD,0),7)</f>
        <v>Pintor de carros (cotización por mensaje)</v>
      </c>
      <c r="Y320" s="38" t="n">
        <f aca="false">INDEX(C_TAB,MATCH($B320,C_COD,0),12)</f>
        <v>5</v>
      </c>
    </row>
    <row r="321" customFormat="false" ht="15" hidden="false" customHeight="false" outlineLevel="1" collapsed="false">
      <c r="A321" s="24" t="n">
        <v>1</v>
      </c>
      <c r="B321" s="24" t="s">
        <v>1918</v>
      </c>
      <c r="C321" s="40" t="s">
        <v>3856</v>
      </c>
      <c r="D321" s="24"/>
      <c r="E321" s="24"/>
      <c r="F321" s="24"/>
      <c r="G321" s="24"/>
      <c r="H321" s="24" t="s">
        <v>244</v>
      </c>
      <c r="I321" s="24" t="s">
        <v>3857</v>
      </c>
      <c r="J321" s="42" t="n">
        <f aca="false">INSUMOS_DIRECTOS_RODANTES!H232</f>
        <v>16.34485985</v>
      </c>
      <c r="K321" s="42" t="n">
        <f aca="false">INSUMOS_DIRECTOS_RODANTES!I232</f>
        <v>28.06183078</v>
      </c>
      <c r="L321" s="42" t="n">
        <f aca="false">INSUMOS_DIRECTOS_RODANTES!J232</f>
        <v>43.10009919</v>
      </c>
      <c r="M321" s="42" t="n">
        <f aca="false">INSUMOS_DIRECTOS_RODANTES!K232</f>
        <v>72.65432941</v>
      </c>
      <c r="N321" s="42" t="n">
        <f aca="false">INSUMOS_DIRECTOS_RODANTES!L232</f>
        <v>120.02048167</v>
      </c>
      <c r="O321" s="42" t="n">
        <f aca="false">INSUMOS_DIRECTOS_RODANTES!M232</f>
        <v>167.1285517</v>
      </c>
      <c r="P321" s="42" t="n">
        <f aca="false">INSUMOS_DIRECTOS_RODANTES!N232</f>
        <v>223.0807519</v>
      </c>
      <c r="Q321" s="42" t="n">
        <f aca="false">INSUMOS_DIRECTOS_RODANTES!O232</f>
        <v>281.1673619</v>
      </c>
      <c r="R321" s="42" t="n">
        <f aca="false">INSUMOS_DIRECTOS_RODANTES!P232</f>
        <v>322.3411595</v>
      </c>
      <c r="S321" s="42" t="n">
        <f aca="false">INSUMOS_DIRECTOS_RODANTES!Q232</f>
        <v>372.569856</v>
      </c>
      <c r="T321" s="42" t="n">
        <f aca="false">INDEX(J321:S321,INDEX(P_VAL,MATCH("AÑO_DIS",P_ID,0))-2025)</f>
        <v>372.569856</v>
      </c>
      <c r="U321" s="24"/>
      <c r="V321" s="24"/>
      <c r="W321" s="24"/>
      <c r="X321" s="24"/>
      <c r="Y321" s="24"/>
    </row>
    <row r="322" customFormat="false" ht="15" hidden="false" customHeight="false" outlineLevel="0" collapsed="false">
      <c r="A322" s="38" t="n">
        <v>0</v>
      </c>
      <c r="B322" s="38" t="s">
        <v>1924</v>
      </c>
      <c r="C322" s="38" t="str">
        <f aca="false">INDEX(C_TAB,MATCH($B322,C_COD,0),2)</f>
        <v>Servicio de pintura en polvo, carro 100 kg (tercerizado)</v>
      </c>
      <c r="D322" s="38" t="str">
        <f aca="false">INDEX(C_TAB,MATCH($B322,C_COD,0),3)</f>
        <v>u</v>
      </c>
      <c r="E322" s="38" t="str">
        <f aca="false">INDEX(C_TAB,MATCH($B322,C_COD,0),4)</f>
        <v>Directo</v>
      </c>
      <c r="F322" s="38" t="str">
        <f aca="false">INDEX(C_TAB,MATCH($B322,C_COD,0),5)</f>
        <v>Servicio</v>
      </c>
      <c r="G322" s="38" t="str">
        <f aca="false">INDEX(C_TAB,MATCH($B322,C_COD,0),6)</f>
        <v>Servicio (no se almacena)</v>
      </c>
      <c r="H322" s="38"/>
      <c r="I322" s="38"/>
      <c r="J322" s="39" t="n">
        <f aca="false">SUM(J323:J324)</f>
        <v>11.89657324</v>
      </c>
      <c r="K322" s="39" t="n">
        <f aca="false">SUM(K323:K324)</f>
        <v>18.75788719</v>
      </c>
      <c r="L322" s="39" t="n">
        <f aca="false">SUM(L323:L324)</f>
        <v>29.71673279</v>
      </c>
      <c r="M322" s="39" t="n">
        <f aca="false">SUM(M323:M324)</f>
        <v>49.26955294</v>
      </c>
      <c r="N322" s="39" t="n">
        <f aca="false">SUM(N323:N324)</f>
        <v>81.63032112</v>
      </c>
      <c r="O322" s="39" t="n">
        <f aca="false">SUM(O323:O324)</f>
        <v>111.86903447</v>
      </c>
      <c r="P322" s="39" t="n">
        <f aca="false">SUM(P323:P324)</f>
        <v>148.95383461</v>
      </c>
      <c r="Q322" s="39" t="n">
        <f aca="false">SUM(Q323:Q324)</f>
        <v>187.4615746</v>
      </c>
      <c r="R322" s="39" t="n">
        <f aca="false">SUM(R323:R324)</f>
        <v>214.960773</v>
      </c>
      <c r="S322" s="39" t="n">
        <f aca="false">SUM(S323:S324)</f>
        <v>247.4965706</v>
      </c>
      <c r="T322" s="39" t="n">
        <f aca="false">INDEX(J322:S322,INDEX(P_VAL,MATCH("AÑO_DIS",P_ID,0))-2025)</f>
        <v>247.4965706</v>
      </c>
      <c r="U322" s="38" t="str">
        <f aca="false">INDEX(C_TAB,MATCH($B322,C_COD,0),10)</f>
        <v>Unidad</v>
      </c>
      <c r="V322" s="38" t="n">
        <f aca="false">INDEX(C_TAB,MATCH($B322,C_COD,0),11)</f>
        <v>1</v>
      </c>
      <c r="W322" s="44" t="n">
        <f aca="false">ROUNDUP(T322/V322,0)</f>
        <v>248</v>
      </c>
      <c r="X322" s="38" t="str">
        <f aca="false">INDEX(C_TAB,MATCH($B322,C_COD,0),7)</f>
        <v>Pintor de carros (cotización por mensaje)</v>
      </c>
      <c r="Y322" s="38" t="n">
        <f aca="false">INDEX(C_TAB,MATCH($B322,C_COD,0),12)</f>
        <v>5</v>
      </c>
    </row>
    <row r="323" customFormat="false" ht="15" hidden="false" customHeight="false" outlineLevel="1" collapsed="false">
      <c r="A323" s="24" t="n">
        <v>1</v>
      </c>
      <c r="B323" s="24" t="s">
        <v>1924</v>
      </c>
      <c r="C323" s="40" t="s">
        <v>3856</v>
      </c>
      <c r="D323" s="24"/>
      <c r="E323" s="24"/>
      <c r="F323" s="24"/>
      <c r="G323" s="24"/>
      <c r="H323" s="24" t="s">
        <v>244</v>
      </c>
      <c r="I323" s="24" t="s">
        <v>3857</v>
      </c>
      <c r="J323" s="42" t="n">
        <f aca="false">INSUMOS_DIRECTOS_RODANTES!H235</f>
        <v>10.89657324</v>
      </c>
      <c r="K323" s="42" t="n">
        <f aca="false">INSUMOS_DIRECTOS_RODANTES!I235</f>
        <v>18.70788719</v>
      </c>
      <c r="L323" s="42" t="n">
        <f aca="false">INSUMOS_DIRECTOS_RODANTES!J235</f>
        <v>28.66673279</v>
      </c>
      <c r="M323" s="42" t="n">
        <f aca="false">INSUMOS_DIRECTOS_RODANTES!K235</f>
        <v>48.16955294</v>
      </c>
      <c r="N323" s="42" t="n">
        <f aca="false">INSUMOS_DIRECTOS_RODANTES!L235</f>
        <v>79.48032112</v>
      </c>
      <c r="O323" s="42" t="n">
        <f aca="false">INSUMOS_DIRECTOS_RODANTES!M235</f>
        <v>110.61903447</v>
      </c>
      <c r="P323" s="42" t="n">
        <f aca="false">INSUMOS_DIRECTOS_RODANTES!N235</f>
        <v>147.65383461</v>
      </c>
      <c r="Q323" s="42" t="n">
        <f aca="false">INSUMOS_DIRECTOS_RODANTES!O235</f>
        <v>186.1115746</v>
      </c>
      <c r="R323" s="42" t="n">
        <f aca="false">INSUMOS_DIRECTOS_RODANTES!P235</f>
        <v>213.560773</v>
      </c>
      <c r="S323" s="42" t="n">
        <f aca="false">INSUMOS_DIRECTOS_RODANTES!Q235</f>
        <v>247.0465706</v>
      </c>
      <c r="T323" s="42" t="n">
        <f aca="false">INDEX(J323:S323,INDEX(P_VAL,MATCH("AÑO_DIS",P_ID,0))-2025)</f>
        <v>247.0465706</v>
      </c>
      <c r="U323" s="24"/>
      <c r="V323" s="24"/>
      <c r="W323" s="24"/>
      <c r="X323" s="24"/>
      <c r="Y323" s="24"/>
    </row>
    <row r="324" customFormat="false" ht="15" hidden="false" customHeight="false" outlineLevel="1" collapsed="false">
      <c r="A324" s="24" t="n">
        <v>1</v>
      </c>
      <c r="B324" s="24" t="s">
        <v>1924</v>
      </c>
      <c r="C324" s="40" t="s">
        <v>3854</v>
      </c>
      <c r="D324" s="24"/>
      <c r="E324" s="24"/>
      <c r="F324" s="24"/>
      <c r="G324" s="24"/>
      <c r="H324" s="24" t="s">
        <v>132</v>
      </c>
      <c r="I324" s="24" t="s">
        <v>3855</v>
      </c>
      <c r="J324" s="42" t="n">
        <f aca="false">INSUMOS_DIRECTOS_RECARGAS!H599</f>
        <v>1</v>
      </c>
      <c r="K324" s="42" t="n">
        <f aca="false">INSUMOS_DIRECTOS_RECARGAS!I599</f>
        <v>0.05</v>
      </c>
      <c r="L324" s="42" t="n">
        <f aca="false">INSUMOS_DIRECTOS_RECARGAS!J599</f>
        <v>1.05</v>
      </c>
      <c r="M324" s="42" t="n">
        <f aca="false">INSUMOS_DIRECTOS_RECARGAS!K599</f>
        <v>1.1</v>
      </c>
      <c r="N324" s="42" t="n">
        <f aca="false">INSUMOS_DIRECTOS_RECARGAS!L599</f>
        <v>2.15</v>
      </c>
      <c r="O324" s="42" t="n">
        <f aca="false">INSUMOS_DIRECTOS_RECARGAS!M599</f>
        <v>1.25</v>
      </c>
      <c r="P324" s="42" t="n">
        <f aca="false">INSUMOS_DIRECTOS_RECARGAS!N599</f>
        <v>1.3</v>
      </c>
      <c r="Q324" s="42" t="n">
        <f aca="false">INSUMOS_DIRECTOS_RECARGAS!O599</f>
        <v>1.35</v>
      </c>
      <c r="R324" s="42" t="n">
        <f aca="false">INSUMOS_DIRECTOS_RECARGAS!P599</f>
        <v>1.4</v>
      </c>
      <c r="S324" s="42" t="n">
        <f aca="false">INSUMOS_DIRECTOS_RECARGAS!Q599</f>
        <v>0.45</v>
      </c>
      <c r="T324" s="42" t="n">
        <f aca="false">INDEX(J324:S324,INDEX(P_VAL,MATCH("AÑO_DIS",P_ID,0))-2025)</f>
        <v>0.45</v>
      </c>
      <c r="U324" s="24"/>
      <c r="V324" s="24"/>
      <c r="W324" s="24"/>
      <c r="X324" s="24"/>
      <c r="Y324" s="24"/>
    </row>
    <row r="325" customFormat="false" ht="15" hidden="false" customHeight="false" outlineLevel="0" collapsed="false">
      <c r="A325" s="38" t="n">
        <v>0</v>
      </c>
      <c r="B325" s="38" t="s">
        <v>1329</v>
      </c>
      <c r="C325" s="38" t="str">
        <f aca="false">INDEX(C_TAB,MATCH($B325,C_COD,0),2)</f>
        <v>Matafuego Agua 10 l terminado (reventa)</v>
      </c>
      <c r="D325" s="38" t="str">
        <f aca="false">INDEX(C_TAB,MATCH($B325,C_COD,0),3)</f>
        <v>u</v>
      </c>
      <c r="E325" s="38" t="str">
        <f aca="false">INDEX(C_TAB,MATCH($B325,C_COD,0),4)</f>
        <v>Directo</v>
      </c>
      <c r="F325" s="38" t="str">
        <f aca="false">INDEX(C_TAB,MATCH($B325,C_COD,0),5)</f>
        <v>Reventa</v>
      </c>
      <c r="G325" s="38" t="str">
        <f aca="false">INDEX(C_TAB,MATCH($B325,C_COD,0),6)</f>
        <v>Equipos revendidos (almacén de PT)</v>
      </c>
      <c r="H325" s="38"/>
      <c r="I325" s="38"/>
      <c r="J325" s="39" t="n">
        <f aca="false">SUM(J326:J327)</f>
        <v>177.6079593</v>
      </c>
      <c r="K325" s="39" t="n">
        <f aca="false">SUM(K326:K327)</f>
        <v>325.4906115</v>
      </c>
      <c r="L325" s="39" t="n">
        <f aca="false">SUM(L326:L327)</f>
        <v>445.9387807</v>
      </c>
      <c r="M325" s="39" t="n">
        <f aca="false">SUM(M326:M327)</f>
        <v>617.0865757</v>
      </c>
      <c r="N325" s="39" t="n">
        <f aca="false">SUM(N326:N327)</f>
        <v>990.2593754</v>
      </c>
      <c r="O325" s="39" t="n">
        <f aca="false">SUM(O326:O327)</f>
        <v>1386.281328</v>
      </c>
      <c r="P325" s="39" t="n">
        <f aca="false">SUM(P326:P327)</f>
        <v>1783.08337</v>
      </c>
      <c r="Q325" s="39" t="n">
        <f aca="false">SUM(Q326:Q327)</f>
        <v>2200.016718</v>
      </c>
      <c r="R325" s="39" t="n">
        <f aca="false">SUM(R326:R327)</f>
        <v>2546.293254</v>
      </c>
      <c r="S325" s="39" t="n">
        <f aca="false">SUM(S326:S327)</f>
        <v>2916.147406</v>
      </c>
      <c r="T325" s="39" t="n">
        <f aca="false">INDEX(J325:S325,INDEX(P_VAL,MATCH("AÑO_DIS",P_ID,0))-2025)</f>
        <v>2916.147406</v>
      </c>
      <c r="U325" s="38" t="str">
        <f aca="false">INDEX(C_TAB,MATCH($B325,C_COD,0),10)</f>
        <v>Unidad</v>
      </c>
      <c r="V325" s="38" t="n">
        <f aca="false">INDEX(C_TAB,MATCH($B325,C_COD,0),11)</f>
        <v>1</v>
      </c>
      <c r="W325" s="44" t="n">
        <f aca="false">ROUNDUP(T325/V325,0)</f>
        <v>2917</v>
      </c>
      <c r="X325" s="38" t="str">
        <f aca="false">INDEX(C_TAB,MATCH($B325,C_COD,0),7)</f>
        <v>Georgia</v>
      </c>
      <c r="Y325" s="38" t="n">
        <f aca="false">INDEX(C_TAB,MATCH($B325,C_COD,0),12)</f>
        <v>15</v>
      </c>
    </row>
    <row r="326" customFormat="false" ht="15" hidden="false" customHeight="false" outlineLevel="1" collapsed="false">
      <c r="A326" s="24" t="n">
        <v>1</v>
      </c>
      <c r="B326" s="24" t="s">
        <v>1329</v>
      </c>
      <c r="C326" s="40" t="s">
        <v>3854</v>
      </c>
      <c r="D326" s="24"/>
      <c r="E326" s="24"/>
      <c r="F326" s="24"/>
      <c r="G326" s="24"/>
      <c r="H326" s="24" t="s">
        <v>132</v>
      </c>
      <c r="I326" s="24" t="s">
        <v>3855</v>
      </c>
      <c r="J326" s="42" t="n">
        <f aca="false">INSUMOS_DIRECTOS_RECARGAS!H601</f>
        <v>2</v>
      </c>
      <c r="K326" s="42" t="n">
        <f aca="false">INSUMOS_DIRECTOS_RECARGAS!I601</f>
        <v>5.1</v>
      </c>
      <c r="L326" s="42" t="n">
        <f aca="false">INSUMOS_DIRECTOS_RECARGAS!J601</f>
        <v>9.35</v>
      </c>
      <c r="M326" s="42" t="n">
        <f aca="false">INSUMOS_DIRECTOS_RECARGAS!K601</f>
        <v>14.8</v>
      </c>
      <c r="N326" s="42" t="n">
        <f aca="false">INSUMOS_DIRECTOS_RECARGAS!L601</f>
        <v>15.5</v>
      </c>
      <c r="O326" s="42" t="n">
        <f aca="false">INSUMOS_DIRECTOS_RECARGAS!M601</f>
        <v>16.2</v>
      </c>
      <c r="P326" s="42" t="n">
        <f aca="false">INSUMOS_DIRECTOS_RECARGAS!N601</f>
        <v>15.9</v>
      </c>
      <c r="Q326" s="42" t="n">
        <f aca="false">INSUMOS_DIRECTOS_RECARGAS!O601</f>
        <v>11.55</v>
      </c>
      <c r="R326" s="42" t="n">
        <f aca="false">INSUMOS_DIRECTOS_RECARGAS!P601</f>
        <v>9.95</v>
      </c>
      <c r="S326" s="42" t="n">
        <f aca="false">INSUMOS_DIRECTOS_RECARGAS!Q601</f>
        <v>11.25</v>
      </c>
      <c r="T326" s="42" t="n">
        <f aca="false">INDEX(J326:S326,INDEX(P_VAL,MATCH("AÑO_DIS",P_ID,0))-2025)</f>
        <v>11.25</v>
      </c>
      <c r="U326" s="24"/>
      <c r="V326" s="24"/>
      <c r="W326" s="24"/>
      <c r="X326" s="24"/>
      <c r="Y326" s="24"/>
    </row>
    <row r="327" customFormat="false" ht="15" hidden="false" customHeight="false" outlineLevel="1" collapsed="false">
      <c r="A327" s="24" t="n">
        <v>1</v>
      </c>
      <c r="B327" s="24" t="s">
        <v>1329</v>
      </c>
      <c r="C327" s="40" t="s">
        <v>3864</v>
      </c>
      <c r="D327" s="24"/>
      <c r="E327" s="24"/>
      <c r="F327" s="24"/>
      <c r="G327" s="24"/>
      <c r="H327" s="24" t="s">
        <v>408</v>
      </c>
      <c r="I327" s="24" t="s">
        <v>3865</v>
      </c>
      <c r="J327" s="42" t="n">
        <f aca="false">INSUMOS_DIRECTOS_REVENDIDOS!H14</f>
        <v>175.6079593</v>
      </c>
      <c r="K327" s="42" t="n">
        <f aca="false">INSUMOS_DIRECTOS_REVENDIDOS!I14</f>
        <v>320.3906115</v>
      </c>
      <c r="L327" s="42" t="n">
        <f aca="false">INSUMOS_DIRECTOS_REVENDIDOS!J14</f>
        <v>436.5887807</v>
      </c>
      <c r="M327" s="42" t="n">
        <f aca="false">INSUMOS_DIRECTOS_REVENDIDOS!K14</f>
        <v>602.2865757</v>
      </c>
      <c r="N327" s="42" t="n">
        <f aca="false">INSUMOS_DIRECTOS_REVENDIDOS!L14</f>
        <v>974.7593754</v>
      </c>
      <c r="O327" s="42" t="n">
        <f aca="false">INSUMOS_DIRECTOS_REVENDIDOS!M14</f>
        <v>1370.081328</v>
      </c>
      <c r="P327" s="42" t="n">
        <f aca="false">INSUMOS_DIRECTOS_REVENDIDOS!N14</f>
        <v>1767.18337</v>
      </c>
      <c r="Q327" s="42" t="n">
        <f aca="false">INSUMOS_DIRECTOS_REVENDIDOS!O14</f>
        <v>2188.466718</v>
      </c>
      <c r="R327" s="42" t="n">
        <f aca="false">INSUMOS_DIRECTOS_REVENDIDOS!P14</f>
        <v>2536.343254</v>
      </c>
      <c r="S327" s="42" t="n">
        <f aca="false">INSUMOS_DIRECTOS_REVENDIDOS!Q14</f>
        <v>2904.897406</v>
      </c>
      <c r="T327" s="42" t="n">
        <f aca="false">INDEX(J327:S327,INDEX(P_VAL,MATCH("AÑO_DIS",P_ID,0))-2025)</f>
        <v>2904.897406</v>
      </c>
      <c r="U327" s="24"/>
      <c r="V327" s="24"/>
      <c r="W327" s="24"/>
      <c r="X327" s="24"/>
      <c r="Y327" s="24"/>
    </row>
    <row r="328" customFormat="false" ht="15" hidden="false" customHeight="false" outlineLevel="0" collapsed="false">
      <c r="A328" s="38" t="n">
        <v>0</v>
      </c>
      <c r="B328" s="38" t="s">
        <v>1333</v>
      </c>
      <c r="C328" s="38" t="str">
        <f aca="false">INDEX(C_TAB,MATCH($B328,C_COD,0),2)</f>
        <v>Matafuego AFFF 10 l terminado (reventa)</v>
      </c>
      <c r="D328" s="38" t="str">
        <f aca="false">INDEX(C_TAB,MATCH($B328,C_COD,0),3)</f>
        <v>u</v>
      </c>
      <c r="E328" s="38" t="str">
        <f aca="false">INDEX(C_TAB,MATCH($B328,C_COD,0),4)</f>
        <v>Directo</v>
      </c>
      <c r="F328" s="38" t="str">
        <f aca="false">INDEX(C_TAB,MATCH($B328,C_COD,0),5)</f>
        <v>Reventa</v>
      </c>
      <c r="G328" s="38" t="str">
        <f aca="false">INDEX(C_TAB,MATCH($B328,C_COD,0),6)</f>
        <v>Equipos revendidos (almacén de PT)</v>
      </c>
      <c r="H328" s="38"/>
      <c r="I328" s="38"/>
      <c r="J328" s="39" t="n">
        <f aca="false">SUM(J329:J330)</f>
        <v>100.50178533</v>
      </c>
      <c r="K328" s="39" t="n">
        <f aca="false">SUM(K329:K330)</f>
        <v>160.9368424</v>
      </c>
      <c r="L328" s="39" t="n">
        <f aca="false">SUM(L329:L330)</f>
        <v>195.5151498</v>
      </c>
      <c r="M328" s="39" t="n">
        <f aca="false">SUM(M329:M330)</f>
        <v>250.0822329</v>
      </c>
      <c r="N328" s="39" t="n">
        <f aca="false">SUM(N329:N330)</f>
        <v>363.5676432</v>
      </c>
      <c r="O328" s="39" t="n">
        <f aca="false">SUM(O329:O330)</f>
        <v>450.3196133</v>
      </c>
      <c r="P328" s="39" t="n">
        <f aca="false">SUM(P329:P330)</f>
        <v>576.4959793</v>
      </c>
      <c r="Q328" s="39" t="n">
        <f aca="false">SUM(Q329:Q330)</f>
        <v>714.381345</v>
      </c>
      <c r="R328" s="39" t="n">
        <f aca="false">SUM(R329:R330)</f>
        <v>837.794561</v>
      </c>
      <c r="S328" s="39" t="n">
        <f aca="false">SUM(S329:S330)</f>
        <v>973.5041311</v>
      </c>
      <c r="T328" s="39" t="n">
        <f aca="false">INDEX(J328:S328,INDEX(P_VAL,MATCH("AÑO_DIS",P_ID,0))-2025)</f>
        <v>973.5041311</v>
      </c>
      <c r="U328" s="38" t="str">
        <f aca="false">INDEX(C_TAB,MATCH($B328,C_COD,0),10)</f>
        <v>Unidad</v>
      </c>
      <c r="V328" s="38" t="n">
        <f aca="false">INDEX(C_TAB,MATCH($B328,C_COD,0),11)</f>
        <v>1</v>
      </c>
      <c r="W328" s="44" t="n">
        <f aca="false">ROUNDUP(T328/V328,0)</f>
        <v>974</v>
      </c>
      <c r="X328" s="38" t="str">
        <f aca="false">INDEX(C_TAB,MATCH($B328,C_COD,0),7)</f>
        <v>Georgia</v>
      </c>
      <c r="Y328" s="38" t="n">
        <f aca="false">INDEX(C_TAB,MATCH($B328,C_COD,0),12)</f>
        <v>15</v>
      </c>
    </row>
    <row r="329" customFormat="false" ht="15" hidden="false" customHeight="false" outlineLevel="1" collapsed="false">
      <c r="A329" s="24" t="n">
        <v>1</v>
      </c>
      <c r="B329" s="24" t="s">
        <v>1333</v>
      </c>
      <c r="C329" s="40" t="s">
        <v>3854</v>
      </c>
      <c r="D329" s="24"/>
      <c r="E329" s="24"/>
      <c r="F329" s="24"/>
      <c r="G329" s="24"/>
      <c r="H329" s="24" t="s">
        <v>132</v>
      </c>
      <c r="I329" s="24" t="s">
        <v>3855</v>
      </c>
      <c r="J329" s="42" t="n">
        <f aca="false">INSUMOS_DIRECTOS_RECARGAS!H603</f>
        <v>1</v>
      </c>
      <c r="K329" s="42" t="n">
        <f aca="false">INSUMOS_DIRECTOS_RECARGAS!I603</f>
        <v>1.05</v>
      </c>
      <c r="L329" s="42" t="n">
        <f aca="false">INSUMOS_DIRECTOS_RECARGAS!J603</f>
        <v>2.1</v>
      </c>
      <c r="M329" s="42" t="n">
        <f aca="false">INSUMOS_DIRECTOS_RECARGAS!K603</f>
        <v>2.2</v>
      </c>
      <c r="N329" s="42" t="n">
        <f aca="false">INSUMOS_DIRECTOS_RECARGAS!L603</f>
        <v>3.3</v>
      </c>
      <c r="O329" s="42" t="n">
        <f aca="false">INSUMOS_DIRECTOS_RECARGAS!M603</f>
        <v>2.45</v>
      </c>
      <c r="P329" s="42" t="n">
        <f aca="false">INSUMOS_DIRECTOS_RECARGAS!N603</f>
        <v>2.55</v>
      </c>
      <c r="Q329" s="42" t="n">
        <f aca="false">INSUMOS_DIRECTOS_RECARGAS!O603</f>
        <v>2.65</v>
      </c>
      <c r="R329" s="42" t="n">
        <f aca="false">INSUMOS_DIRECTOS_RECARGAS!P603</f>
        <v>1.75</v>
      </c>
      <c r="S329" s="42" t="n">
        <f aca="false">INSUMOS_DIRECTOS_RECARGAS!Q603</f>
        <v>2.8</v>
      </c>
      <c r="T329" s="42" t="n">
        <f aca="false">INDEX(J329:S329,INDEX(P_VAL,MATCH("AÑO_DIS",P_ID,0))-2025)</f>
        <v>2.8</v>
      </c>
      <c r="U329" s="24"/>
      <c r="V329" s="24"/>
      <c r="W329" s="24"/>
      <c r="X329" s="24"/>
      <c r="Y329" s="24"/>
    </row>
    <row r="330" customFormat="false" ht="15" hidden="false" customHeight="false" outlineLevel="1" collapsed="false">
      <c r="A330" s="24" t="n">
        <v>1</v>
      </c>
      <c r="B330" s="24" t="s">
        <v>1333</v>
      </c>
      <c r="C330" s="40" t="s">
        <v>3864</v>
      </c>
      <c r="D330" s="24"/>
      <c r="E330" s="24"/>
      <c r="F330" s="24"/>
      <c r="G330" s="24"/>
      <c r="H330" s="24" t="s">
        <v>408</v>
      </c>
      <c r="I330" s="24" t="s">
        <v>3865</v>
      </c>
      <c r="J330" s="42" t="n">
        <f aca="false">INSUMOS_DIRECTOS_REVENDIDOS!H16</f>
        <v>99.50178533</v>
      </c>
      <c r="K330" s="42" t="n">
        <f aca="false">INSUMOS_DIRECTOS_REVENDIDOS!I16</f>
        <v>159.8868424</v>
      </c>
      <c r="L330" s="42" t="n">
        <f aca="false">INSUMOS_DIRECTOS_REVENDIDOS!J16</f>
        <v>193.4151498</v>
      </c>
      <c r="M330" s="42" t="n">
        <f aca="false">INSUMOS_DIRECTOS_REVENDIDOS!K16</f>
        <v>247.8822329</v>
      </c>
      <c r="N330" s="42" t="n">
        <f aca="false">INSUMOS_DIRECTOS_REVENDIDOS!L16</f>
        <v>360.2676432</v>
      </c>
      <c r="O330" s="42" t="n">
        <f aca="false">INSUMOS_DIRECTOS_REVENDIDOS!M16</f>
        <v>447.8696133</v>
      </c>
      <c r="P330" s="42" t="n">
        <f aca="false">INSUMOS_DIRECTOS_REVENDIDOS!N16</f>
        <v>573.9459793</v>
      </c>
      <c r="Q330" s="42" t="n">
        <f aca="false">INSUMOS_DIRECTOS_REVENDIDOS!O16</f>
        <v>711.731345</v>
      </c>
      <c r="R330" s="42" t="n">
        <f aca="false">INSUMOS_DIRECTOS_REVENDIDOS!P16</f>
        <v>836.044561</v>
      </c>
      <c r="S330" s="42" t="n">
        <f aca="false">INSUMOS_DIRECTOS_REVENDIDOS!Q16</f>
        <v>970.7041311</v>
      </c>
      <c r="T330" s="42" t="n">
        <f aca="false">INDEX(J330:S330,INDEX(P_VAL,MATCH("AÑO_DIS",P_ID,0))-2025)</f>
        <v>970.7041311</v>
      </c>
      <c r="U330" s="24"/>
      <c r="V330" s="24"/>
      <c r="W330" s="24"/>
      <c r="X330" s="24"/>
      <c r="Y330" s="24"/>
    </row>
    <row r="331" customFormat="false" ht="15" hidden="false" customHeight="false" outlineLevel="0" collapsed="false">
      <c r="A331" s="38" t="n">
        <v>0</v>
      </c>
      <c r="B331" s="38" t="s">
        <v>1334</v>
      </c>
      <c r="C331" s="38" t="str">
        <f aca="false">INDEX(C_TAB,MATCH($B331,C_COD,0),2)</f>
        <v>Matafuego AFFF 50 l rodante terminado (reventa)</v>
      </c>
      <c r="D331" s="38" t="str">
        <f aca="false">INDEX(C_TAB,MATCH($B331,C_COD,0),3)</f>
        <v>u</v>
      </c>
      <c r="E331" s="38" t="str">
        <f aca="false">INDEX(C_TAB,MATCH($B331,C_COD,0),4)</f>
        <v>Directo</v>
      </c>
      <c r="F331" s="38" t="str">
        <f aca="false">INDEX(C_TAB,MATCH($B331,C_COD,0),5)</f>
        <v>Reventa</v>
      </c>
      <c r="G331" s="38" t="str">
        <f aca="false">INDEX(C_TAB,MATCH($B331,C_COD,0),6)</f>
        <v>Equipos revendidos (almacén de PT)</v>
      </c>
      <c r="H331" s="38"/>
      <c r="I331" s="38"/>
      <c r="J331" s="39" t="n">
        <f aca="false">SUM(J332:J333)</f>
        <v>43.64362229</v>
      </c>
      <c r="K331" s="39" t="n">
        <f aca="false">SUM(K332:K333)</f>
        <v>68.57293247</v>
      </c>
      <c r="L331" s="39" t="n">
        <f aca="false">SUM(L332:L333)</f>
        <v>83.94220707</v>
      </c>
      <c r="M331" s="39" t="n">
        <f aca="false">SUM(M332:M333)</f>
        <v>108.3352427</v>
      </c>
      <c r="N331" s="39" t="n">
        <f aca="false">SUM(N332:N333)</f>
        <v>155.6004185</v>
      </c>
      <c r="O331" s="39" t="n">
        <f aca="false">SUM(O332:O333)</f>
        <v>193.19412</v>
      </c>
      <c r="P331" s="39" t="n">
        <f aca="false">SUM(P332:P333)</f>
        <v>247.2768483</v>
      </c>
      <c r="Q331" s="39" t="n">
        <f aca="false">SUM(Q332:Q333)</f>
        <v>306.3777193</v>
      </c>
      <c r="R331" s="39" t="n">
        <f aca="false">SUM(R332:R333)</f>
        <v>359.7048119</v>
      </c>
      <c r="S331" s="39" t="n">
        <f aca="false">SUM(S332:S333)</f>
        <v>417.4660562</v>
      </c>
      <c r="T331" s="39" t="n">
        <f aca="false">INDEX(J331:S331,INDEX(P_VAL,MATCH("AÑO_DIS",P_ID,0))-2025)</f>
        <v>417.4660562</v>
      </c>
      <c r="U331" s="38" t="str">
        <f aca="false">INDEX(C_TAB,MATCH($B331,C_COD,0),10)</f>
        <v>Unidad</v>
      </c>
      <c r="V331" s="38" t="n">
        <f aca="false">INDEX(C_TAB,MATCH($B331,C_COD,0),11)</f>
        <v>1</v>
      </c>
      <c r="W331" s="44" t="n">
        <f aca="false">ROUNDUP(T331/V331,0)</f>
        <v>418</v>
      </c>
      <c r="X331" s="38" t="str">
        <f aca="false">INDEX(C_TAB,MATCH($B331,C_COD,0),7)</f>
        <v>Georgia</v>
      </c>
      <c r="Y331" s="38" t="n">
        <f aca="false">INDEX(C_TAB,MATCH($B331,C_COD,0),12)</f>
        <v>15</v>
      </c>
    </row>
    <row r="332" customFormat="false" ht="15" hidden="false" customHeight="false" outlineLevel="1" collapsed="false">
      <c r="A332" s="24" t="n">
        <v>1</v>
      </c>
      <c r="B332" s="24" t="s">
        <v>1334</v>
      </c>
      <c r="C332" s="40" t="s">
        <v>3854</v>
      </c>
      <c r="D332" s="24"/>
      <c r="E332" s="24"/>
      <c r="F332" s="24"/>
      <c r="G332" s="24"/>
      <c r="H332" s="24" t="s">
        <v>132</v>
      </c>
      <c r="I332" s="24" t="s">
        <v>3855</v>
      </c>
      <c r="J332" s="42" t="n">
        <f aca="false">INSUMOS_DIRECTOS_RECARGAS!H605</f>
        <v>1</v>
      </c>
      <c r="K332" s="42" t="n">
        <f aca="false">INSUMOS_DIRECTOS_RECARGAS!I605</f>
        <v>0.05</v>
      </c>
      <c r="L332" s="42" t="n">
        <f aca="false">INSUMOS_DIRECTOS_RECARGAS!J605</f>
        <v>1.05</v>
      </c>
      <c r="M332" s="42" t="n">
        <f aca="false">INSUMOS_DIRECTOS_RECARGAS!K605</f>
        <v>2.1</v>
      </c>
      <c r="N332" s="42" t="n">
        <f aca="false">INSUMOS_DIRECTOS_RECARGAS!L605</f>
        <v>1.2</v>
      </c>
      <c r="O332" s="42" t="n">
        <f aca="false">INSUMOS_DIRECTOS_RECARGAS!M605</f>
        <v>1.25</v>
      </c>
      <c r="P332" s="42" t="n">
        <f aca="false">INSUMOS_DIRECTOS_RECARGAS!N605</f>
        <v>1.3</v>
      </c>
      <c r="Q332" s="42" t="n">
        <f aca="false">INSUMOS_DIRECTOS_RECARGAS!O605</f>
        <v>1.35</v>
      </c>
      <c r="R332" s="42" t="n">
        <f aca="false">INSUMOS_DIRECTOS_RECARGAS!P605</f>
        <v>1.4</v>
      </c>
      <c r="S332" s="42" t="n">
        <f aca="false">INSUMOS_DIRECTOS_RECARGAS!Q605</f>
        <v>1.45</v>
      </c>
      <c r="T332" s="42" t="n">
        <f aca="false">INDEX(J332:S332,INDEX(P_VAL,MATCH("AÑO_DIS",P_ID,0))-2025)</f>
        <v>1.45</v>
      </c>
      <c r="U332" s="24"/>
      <c r="V332" s="24"/>
      <c r="W332" s="24"/>
      <c r="X332" s="24"/>
      <c r="Y332" s="24"/>
    </row>
    <row r="333" customFormat="false" ht="15" hidden="false" customHeight="false" outlineLevel="1" collapsed="false">
      <c r="A333" s="24" t="n">
        <v>1</v>
      </c>
      <c r="B333" s="24" t="s">
        <v>1334</v>
      </c>
      <c r="C333" s="40" t="s">
        <v>3864</v>
      </c>
      <c r="D333" s="24"/>
      <c r="E333" s="24"/>
      <c r="F333" s="24"/>
      <c r="G333" s="24"/>
      <c r="H333" s="24" t="s">
        <v>408</v>
      </c>
      <c r="I333" s="24" t="s">
        <v>3865</v>
      </c>
      <c r="J333" s="42" t="n">
        <f aca="false">INSUMOS_DIRECTOS_REVENDIDOS!H18</f>
        <v>42.64362229</v>
      </c>
      <c r="K333" s="42" t="n">
        <f aca="false">INSUMOS_DIRECTOS_REVENDIDOS!I18</f>
        <v>68.52293247</v>
      </c>
      <c r="L333" s="42" t="n">
        <f aca="false">INSUMOS_DIRECTOS_REVENDIDOS!J18</f>
        <v>82.89220707</v>
      </c>
      <c r="M333" s="42" t="n">
        <f aca="false">INSUMOS_DIRECTOS_REVENDIDOS!K18</f>
        <v>106.2352427</v>
      </c>
      <c r="N333" s="42" t="n">
        <f aca="false">INSUMOS_DIRECTOS_REVENDIDOS!L18</f>
        <v>154.4004185</v>
      </c>
      <c r="O333" s="42" t="n">
        <f aca="false">INSUMOS_DIRECTOS_REVENDIDOS!M18</f>
        <v>191.94412</v>
      </c>
      <c r="P333" s="42" t="n">
        <f aca="false">INSUMOS_DIRECTOS_REVENDIDOS!N18</f>
        <v>245.9768483</v>
      </c>
      <c r="Q333" s="42" t="n">
        <f aca="false">INSUMOS_DIRECTOS_REVENDIDOS!O18</f>
        <v>305.0277193</v>
      </c>
      <c r="R333" s="42" t="n">
        <f aca="false">INSUMOS_DIRECTOS_REVENDIDOS!P18</f>
        <v>358.3048119</v>
      </c>
      <c r="S333" s="42" t="n">
        <f aca="false">INSUMOS_DIRECTOS_REVENDIDOS!Q18</f>
        <v>416.0160562</v>
      </c>
      <c r="T333" s="42" t="n">
        <f aca="false">INDEX(J333:S333,INDEX(P_VAL,MATCH("AÑO_DIS",P_ID,0))-2025)</f>
        <v>416.0160562</v>
      </c>
      <c r="U333" s="24"/>
      <c r="V333" s="24"/>
      <c r="W333" s="24"/>
      <c r="X333" s="24"/>
      <c r="Y333" s="24"/>
    </row>
    <row r="334" customFormat="false" ht="15" hidden="false" customHeight="false" outlineLevel="0" collapsed="false">
      <c r="A334" s="38" t="n">
        <v>0</v>
      </c>
      <c r="B334" s="38" t="s">
        <v>1335</v>
      </c>
      <c r="C334" s="38" t="str">
        <f aca="false">INDEX(C_TAB,MATCH($B334,C_COD,0),2)</f>
        <v>Matafuego BC 5 kg terminado (reventa)</v>
      </c>
      <c r="D334" s="38" t="str">
        <f aca="false">INDEX(C_TAB,MATCH($B334,C_COD,0),3)</f>
        <v>u</v>
      </c>
      <c r="E334" s="38" t="str">
        <f aca="false">INDEX(C_TAB,MATCH($B334,C_COD,0),4)</f>
        <v>Directo</v>
      </c>
      <c r="F334" s="38" t="str">
        <f aca="false">INDEX(C_TAB,MATCH($B334,C_COD,0),5)</f>
        <v>Reventa</v>
      </c>
      <c r="G334" s="38" t="str">
        <f aca="false">INDEX(C_TAB,MATCH($B334,C_COD,0),6)</f>
        <v>Equipos revendidos (almacén de PT)</v>
      </c>
      <c r="H334" s="38"/>
      <c r="I334" s="38"/>
      <c r="J334" s="39" t="n">
        <f aca="false">SUM(J335:J336)</f>
        <v>29.42908152</v>
      </c>
      <c r="K334" s="39" t="n">
        <f aca="false">SUM(K335:K336)</f>
        <v>45.73195498</v>
      </c>
      <c r="L334" s="39" t="n">
        <f aca="false">SUM(L335:L336)</f>
        <v>55.31147138</v>
      </c>
      <c r="M334" s="39" t="n">
        <f aca="false">SUM(M335:M336)</f>
        <v>71.87349512</v>
      </c>
      <c r="N334" s="39" t="n">
        <f aca="false">SUM(N335:N336)</f>
        <v>104.0336123</v>
      </c>
      <c r="O334" s="39" t="n">
        <f aca="false">SUM(O335:O336)</f>
        <v>129.1127467</v>
      </c>
      <c r="P334" s="39" t="n">
        <f aca="false">SUM(P335:P336)</f>
        <v>164.1845655</v>
      </c>
      <c r="Q334" s="39" t="n">
        <f aca="false">SUM(Q335:Q336)</f>
        <v>204.5518129</v>
      </c>
      <c r="R334" s="39" t="n">
        <f aca="false">SUM(R335:R336)</f>
        <v>239.1198746</v>
      </c>
      <c r="S334" s="39" t="n">
        <f aca="false">SUM(S335:S336)</f>
        <v>278.5940374</v>
      </c>
      <c r="T334" s="39" t="n">
        <f aca="false">INDEX(J334:S334,INDEX(P_VAL,MATCH("AÑO_DIS",P_ID,0))-2025)</f>
        <v>278.5940374</v>
      </c>
      <c r="U334" s="38" t="str">
        <f aca="false">INDEX(C_TAB,MATCH($B334,C_COD,0),10)</f>
        <v>Unidad</v>
      </c>
      <c r="V334" s="38" t="n">
        <f aca="false">INDEX(C_TAB,MATCH($B334,C_COD,0),11)</f>
        <v>1</v>
      </c>
      <c r="W334" s="44" t="n">
        <f aca="false">ROUNDUP(T334/V334,0)</f>
        <v>279</v>
      </c>
      <c r="X334" s="38" t="str">
        <f aca="false">INDEX(C_TAB,MATCH($B334,C_COD,0),7)</f>
        <v>Georgia</v>
      </c>
      <c r="Y334" s="38" t="n">
        <f aca="false">INDEX(C_TAB,MATCH($B334,C_COD,0),12)</f>
        <v>15</v>
      </c>
    </row>
    <row r="335" customFormat="false" ht="15" hidden="false" customHeight="false" outlineLevel="1" collapsed="false">
      <c r="A335" s="24" t="n">
        <v>1</v>
      </c>
      <c r="B335" s="24" t="s">
        <v>1335</v>
      </c>
      <c r="C335" s="40" t="s">
        <v>3854</v>
      </c>
      <c r="D335" s="24"/>
      <c r="E335" s="24"/>
      <c r="F335" s="24"/>
      <c r="G335" s="24"/>
      <c r="H335" s="24" t="s">
        <v>132</v>
      </c>
      <c r="I335" s="24" t="s">
        <v>3855</v>
      </c>
      <c r="J335" s="42" t="n">
        <f aca="false">INSUMOS_DIRECTOS_RECARGAS!H607</f>
        <v>1</v>
      </c>
      <c r="K335" s="42" t="n">
        <f aca="false">INSUMOS_DIRECTOS_RECARGAS!I607</f>
        <v>0.05</v>
      </c>
      <c r="L335" s="42" t="n">
        <f aca="false">INSUMOS_DIRECTOS_RECARGAS!J607</f>
        <v>0.05</v>
      </c>
      <c r="M335" s="42" t="n">
        <f aca="false">INSUMOS_DIRECTOS_RECARGAS!K607</f>
        <v>1.05</v>
      </c>
      <c r="N335" s="42" t="n">
        <f aca="false">INSUMOS_DIRECTOS_RECARGAS!L607</f>
        <v>1.1</v>
      </c>
      <c r="O335" s="42" t="n">
        <f aca="false">INSUMOS_DIRECTOS_RECARGAS!M607</f>
        <v>1.15</v>
      </c>
      <c r="P335" s="42" t="n">
        <f aca="false">INSUMOS_DIRECTOS_RECARGAS!N607</f>
        <v>0.2</v>
      </c>
      <c r="Q335" s="42" t="n">
        <f aca="false">INSUMOS_DIRECTOS_RECARGAS!O607</f>
        <v>1.2</v>
      </c>
      <c r="R335" s="42" t="n">
        <f aca="false">INSUMOS_DIRECTOS_RECARGAS!P607</f>
        <v>0.25</v>
      </c>
      <c r="S335" s="42" t="n">
        <f aca="false">INSUMOS_DIRECTOS_RECARGAS!Q607</f>
        <v>1.25</v>
      </c>
      <c r="T335" s="42" t="n">
        <f aca="false">INDEX(J335:S335,INDEX(P_VAL,MATCH("AÑO_DIS",P_ID,0))-2025)</f>
        <v>1.25</v>
      </c>
      <c r="U335" s="24"/>
      <c r="V335" s="24"/>
      <c r="W335" s="24"/>
      <c r="X335" s="24"/>
      <c r="Y335" s="24"/>
    </row>
    <row r="336" customFormat="false" ht="15" hidden="false" customHeight="false" outlineLevel="1" collapsed="false">
      <c r="A336" s="24" t="n">
        <v>1</v>
      </c>
      <c r="B336" s="24" t="s">
        <v>1335</v>
      </c>
      <c r="C336" s="40" t="s">
        <v>3864</v>
      </c>
      <c r="D336" s="24"/>
      <c r="E336" s="24"/>
      <c r="F336" s="24"/>
      <c r="G336" s="24"/>
      <c r="H336" s="24" t="s">
        <v>408</v>
      </c>
      <c r="I336" s="24" t="s">
        <v>3865</v>
      </c>
      <c r="J336" s="42" t="n">
        <f aca="false">INSUMOS_DIRECTOS_REVENDIDOS!H20</f>
        <v>28.42908152</v>
      </c>
      <c r="K336" s="42" t="n">
        <f aca="false">INSUMOS_DIRECTOS_REVENDIDOS!I20</f>
        <v>45.68195498</v>
      </c>
      <c r="L336" s="42" t="n">
        <f aca="false">INSUMOS_DIRECTOS_REVENDIDOS!J20</f>
        <v>55.26147138</v>
      </c>
      <c r="M336" s="42" t="n">
        <f aca="false">INSUMOS_DIRECTOS_REVENDIDOS!K20</f>
        <v>70.82349512</v>
      </c>
      <c r="N336" s="42" t="n">
        <f aca="false">INSUMOS_DIRECTOS_REVENDIDOS!L20</f>
        <v>102.9336123</v>
      </c>
      <c r="O336" s="42" t="n">
        <f aca="false">INSUMOS_DIRECTOS_REVENDIDOS!M20</f>
        <v>127.9627467</v>
      </c>
      <c r="P336" s="42" t="n">
        <f aca="false">INSUMOS_DIRECTOS_REVENDIDOS!N20</f>
        <v>163.9845655</v>
      </c>
      <c r="Q336" s="42" t="n">
        <f aca="false">INSUMOS_DIRECTOS_REVENDIDOS!O20</f>
        <v>203.3518129</v>
      </c>
      <c r="R336" s="42" t="n">
        <f aca="false">INSUMOS_DIRECTOS_REVENDIDOS!P20</f>
        <v>238.8698746</v>
      </c>
      <c r="S336" s="42" t="n">
        <f aca="false">INSUMOS_DIRECTOS_REVENDIDOS!Q20</f>
        <v>277.3440374</v>
      </c>
      <c r="T336" s="42" t="n">
        <f aca="false">INDEX(J336:S336,INDEX(P_VAL,MATCH("AÑO_DIS",P_ID,0))-2025)</f>
        <v>277.3440374</v>
      </c>
      <c r="U336" s="24"/>
      <c r="V336" s="24"/>
      <c r="W336" s="24"/>
      <c r="X336" s="24"/>
      <c r="Y336" s="24"/>
    </row>
    <row r="337" customFormat="false" ht="15" hidden="false" customHeight="false" outlineLevel="0" collapsed="false">
      <c r="A337" s="38" t="n">
        <v>0</v>
      </c>
      <c r="B337" s="38" t="s">
        <v>1336</v>
      </c>
      <c r="C337" s="38" t="str">
        <f aca="false">INDEX(C_TAB,MATCH($B337,C_COD,0),2)</f>
        <v>Matafuego Clase K 6 l terminado (reventa)</v>
      </c>
      <c r="D337" s="38" t="str">
        <f aca="false">INDEX(C_TAB,MATCH($B337,C_COD,0),3)</f>
        <v>u</v>
      </c>
      <c r="E337" s="38" t="str">
        <f aca="false">INDEX(C_TAB,MATCH($B337,C_COD,0),4)</f>
        <v>Directo</v>
      </c>
      <c r="F337" s="38" t="str">
        <f aca="false">INDEX(C_TAB,MATCH($B337,C_COD,0),5)</f>
        <v>Reventa</v>
      </c>
      <c r="G337" s="38" t="str">
        <f aca="false">INDEX(C_TAB,MATCH($B337,C_COD,0),6)</f>
        <v>Equipos revendidos (almacén de PT)</v>
      </c>
      <c r="H337" s="38"/>
      <c r="I337" s="38"/>
      <c r="J337" s="39" t="n">
        <f aca="false">SUM(J338:J339)</f>
        <v>101.6111337</v>
      </c>
      <c r="K337" s="39" t="n">
        <f aca="false">SUM(K338:K339)</f>
        <v>191.9472271</v>
      </c>
      <c r="L337" s="39" t="n">
        <f aca="false">SUM(L338:L339)</f>
        <v>254.1891832</v>
      </c>
      <c r="M337" s="39" t="n">
        <f aca="false">SUM(M338:M339)</f>
        <v>354.863746</v>
      </c>
      <c r="N337" s="39" t="n">
        <f aca="false">SUM(N338:N339)</f>
        <v>553.9266841</v>
      </c>
      <c r="O337" s="39" t="n">
        <f aca="false">SUM(O338:O339)</f>
        <v>759.9580799</v>
      </c>
      <c r="P337" s="39" t="n">
        <f aca="false">SUM(P338:P339)</f>
        <v>967.4971253</v>
      </c>
      <c r="Q337" s="39" t="n">
        <f aca="false">SUM(Q338:Q339)</f>
        <v>1197.169103</v>
      </c>
      <c r="R337" s="39" t="n">
        <f aca="false">SUM(R338:R339)</f>
        <v>1414.880374</v>
      </c>
      <c r="S337" s="39" t="n">
        <f aca="false">SUM(S338:S339)</f>
        <v>1654.235599</v>
      </c>
      <c r="T337" s="39" t="n">
        <f aca="false">INDEX(J337:S337,INDEX(P_VAL,MATCH("AÑO_DIS",P_ID,0))-2025)</f>
        <v>1654.235599</v>
      </c>
      <c r="U337" s="38" t="str">
        <f aca="false">INDEX(C_TAB,MATCH($B337,C_COD,0),10)</f>
        <v>Unidad</v>
      </c>
      <c r="V337" s="38" t="n">
        <f aca="false">INDEX(C_TAB,MATCH($B337,C_COD,0),11)</f>
        <v>1</v>
      </c>
      <c r="W337" s="44" t="n">
        <f aca="false">ROUNDUP(T337/V337,0)</f>
        <v>1655</v>
      </c>
      <c r="X337" s="38" t="str">
        <f aca="false">INDEX(C_TAB,MATCH($B337,C_COD,0),7)</f>
        <v>Georgia</v>
      </c>
      <c r="Y337" s="38" t="n">
        <f aca="false">INDEX(C_TAB,MATCH($B337,C_COD,0),12)</f>
        <v>15</v>
      </c>
    </row>
    <row r="338" customFormat="false" ht="15" hidden="false" customHeight="false" outlineLevel="1" collapsed="false">
      <c r="A338" s="24" t="n">
        <v>1</v>
      </c>
      <c r="B338" s="24" t="s">
        <v>1336</v>
      </c>
      <c r="C338" s="40" t="s">
        <v>3854</v>
      </c>
      <c r="D338" s="24"/>
      <c r="E338" s="24"/>
      <c r="F338" s="24"/>
      <c r="G338" s="24"/>
      <c r="H338" s="24" t="s">
        <v>132</v>
      </c>
      <c r="I338" s="24" t="s">
        <v>3855</v>
      </c>
      <c r="J338" s="42" t="n">
        <f aca="false">INSUMOS_DIRECTOS_RECARGAS!H609</f>
        <v>1</v>
      </c>
      <c r="K338" s="42" t="n">
        <f aca="false">INSUMOS_DIRECTOS_RECARGAS!I609</f>
        <v>3.05</v>
      </c>
      <c r="L338" s="42" t="n">
        <f aca="false">INSUMOS_DIRECTOS_RECARGAS!J609</f>
        <v>5.2</v>
      </c>
      <c r="M338" s="42" t="n">
        <f aca="false">INSUMOS_DIRECTOS_RECARGAS!K609</f>
        <v>6.45</v>
      </c>
      <c r="N338" s="42" t="n">
        <f aca="false">INSUMOS_DIRECTOS_RECARGAS!L609</f>
        <v>7.75</v>
      </c>
      <c r="O338" s="42" t="n">
        <f aca="false">INSUMOS_DIRECTOS_RECARGAS!M609</f>
        <v>8.1</v>
      </c>
      <c r="P338" s="42" t="n">
        <f aca="false">INSUMOS_DIRECTOS_RECARGAS!N609</f>
        <v>7.45</v>
      </c>
      <c r="Q338" s="42" t="n">
        <f aca="false">INSUMOS_DIRECTOS_RECARGAS!O609</f>
        <v>5.75</v>
      </c>
      <c r="R338" s="42" t="n">
        <f aca="false">INSUMOS_DIRECTOS_RECARGAS!P609</f>
        <v>4.95</v>
      </c>
      <c r="S338" s="42" t="n">
        <f aca="false">INSUMOS_DIRECTOS_RECARGAS!Q609</f>
        <v>5.1</v>
      </c>
      <c r="T338" s="42" t="n">
        <f aca="false">INDEX(J338:S338,INDEX(P_VAL,MATCH("AÑO_DIS",P_ID,0))-2025)</f>
        <v>5.1</v>
      </c>
      <c r="U338" s="24"/>
      <c r="V338" s="24"/>
      <c r="W338" s="24"/>
      <c r="X338" s="24"/>
      <c r="Y338" s="24"/>
    </row>
    <row r="339" customFormat="false" ht="15" hidden="false" customHeight="false" outlineLevel="1" collapsed="false">
      <c r="A339" s="24" t="n">
        <v>1</v>
      </c>
      <c r="B339" s="24" t="s">
        <v>1336</v>
      </c>
      <c r="C339" s="40" t="s">
        <v>3864</v>
      </c>
      <c r="D339" s="24"/>
      <c r="E339" s="24"/>
      <c r="F339" s="24"/>
      <c r="G339" s="24"/>
      <c r="H339" s="24" t="s">
        <v>408</v>
      </c>
      <c r="I339" s="24" t="s">
        <v>3865</v>
      </c>
      <c r="J339" s="42" t="n">
        <f aca="false">INSUMOS_DIRECTOS_REVENDIDOS!H22</f>
        <v>100.6111337</v>
      </c>
      <c r="K339" s="42" t="n">
        <f aca="false">INSUMOS_DIRECTOS_REVENDIDOS!I22</f>
        <v>188.8972271</v>
      </c>
      <c r="L339" s="42" t="n">
        <f aca="false">INSUMOS_DIRECTOS_REVENDIDOS!J22</f>
        <v>248.9891832</v>
      </c>
      <c r="M339" s="42" t="n">
        <f aca="false">INSUMOS_DIRECTOS_REVENDIDOS!K22</f>
        <v>348.413746</v>
      </c>
      <c r="N339" s="42" t="n">
        <f aca="false">INSUMOS_DIRECTOS_REVENDIDOS!L22</f>
        <v>546.1766841</v>
      </c>
      <c r="O339" s="42" t="n">
        <f aca="false">INSUMOS_DIRECTOS_REVENDIDOS!M22</f>
        <v>751.8580799</v>
      </c>
      <c r="P339" s="42" t="n">
        <f aca="false">INSUMOS_DIRECTOS_REVENDIDOS!N22</f>
        <v>960.0471253</v>
      </c>
      <c r="Q339" s="42" t="n">
        <f aca="false">INSUMOS_DIRECTOS_REVENDIDOS!O22</f>
        <v>1191.419103</v>
      </c>
      <c r="R339" s="42" t="n">
        <f aca="false">INSUMOS_DIRECTOS_REVENDIDOS!P22</f>
        <v>1409.930374</v>
      </c>
      <c r="S339" s="42" t="n">
        <f aca="false">INSUMOS_DIRECTOS_REVENDIDOS!Q22</f>
        <v>1649.135599</v>
      </c>
      <c r="T339" s="42" t="n">
        <f aca="false">INDEX(J339:S339,INDEX(P_VAL,MATCH("AÑO_DIS",P_ID,0))-2025)</f>
        <v>1649.135599</v>
      </c>
      <c r="U339" s="24"/>
      <c r="V339" s="24"/>
      <c r="W339" s="24"/>
      <c r="X339" s="24"/>
      <c r="Y339" s="24"/>
    </row>
    <row r="340" customFormat="false" ht="15" hidden="false" customHeight="false" outlineLevel="0" collapsed="false">
      <c r="A340" s="38" t="n">
        <v>0</v>
      </c>
      <c r="B340" s="38" t="s">
        <v>1337</v>
      </c>
      <c r="C340" s="38" t="str">
        <f aca="false">INDEX(C_TAB,MATCH($B340,C_COD,0),2)</f>
        <v>Matafuego CO₂ 2 kg terminado (reventa)</v>
      </c>
      <c r="D340" s="38" t="str">
        <f aca="false">INDEX(C_TAB,MATCH($B340,C_COD,0),3)</f>
        <v>u</v>
      </c>
      <c r="E340" s="38" t="str">
        <f aca="false">INDEX(C_TAB,MATCH($B340,C_COD,0),4)</f>
        <v>Directo</v>
      </c>
      <c r="F340" s="38" t="str">
        <f aca="false">INDEX(C_TAB,MATCH($B340,C_COD,0),5)</f>
        <v>Reventa</v>
      </c>
      <c r="G340" s="38" t="str">
        <f aca="false">INDEX(C_TAB,MATCH($B340,C_COD,0),6)</f>
        <v>Equipos revendidos (almacén de PT)</v>
      </c>
      <c r="H340" s="38"/>
      <c r="I340" s="38"/>
      <c r="J340" s="39" t="n">
        <f aca="false">SUM(J341:J341)</f>
        <v>421.9843726</v>
      </c>
      <c r="K340" s="39" t="n">
        <f aca="false">SUM(K341:K341)</f>
        <v>772.3206222</v>
      </c>
      <c r="L340" s="39" t="n">
        <f aca="false">SUM(L341:L341)</f>
        <v>1066.363722</v>
      </c>
      <c r="M340" s="39" t="n">
        <f aca="false">SUM(M341:M341)</f>
        <v>1474.963344</v>
      </c>
      <c r="N340" s="39" t="n">
        <f aca="false">SUM(N341:N341)</f>
        <v>2394.644883</v>
      </c>
      <c r="O340" s="39" t="n">
        <f aca="false">SUM(O341:O341)</f>
        <v>3311.547454</v>
      </c>
      <c r="P340" s="39" t="n">
        <f aca="false">SUM(P341:P341)</f>
        <v>4274.187843</v>
      </c>
      <c r="Q340" s="39" t="n">
        <f aca="false">SUM(Q341:Q341)</f>
        <v>5292.394724</v>
      </c>
      <c r="R340" s="39" t="n">
        <f aca="false">SUM(R341:R341)</f>
        <v>6125.204809</v>
      </c>
      <c r="S340" s="39" t="n">
        <f aca="false">SUM(S341:S341)</f>
        <v>7005.27737</v>
      </c>
      <c r="T340" s="39" t="n">
        <f aca="false">INDEX(J340:S340,INDEX(P_VAL,MATCH("AÑO_DIS",P_ID,0))-2025)</f>
        <v>7005.27737</v>
      </c>
      <c r="U340" s="38" t="str">
        <f aca="false">INDEX(C_TAB,MATCH($B340,C_COD,0),10)</f>
        <v>Unidad</v>
      </c>
      <c r="V340" s="38" t="n">
        <f aca="false">INDEX(C_TAB,MATCH($B340,C_COD,0),11)</f>
        <v>1</v>
      </c>
      <c r="W340" s="44" t="n">
        <f aca="false">ROUNDUP(T340/V340,0)</f>
        <v>7006</v>
      </c>
      <c r="X340" s="38" t="str">
        <f aca="false">INDEX(C_TAB,MATCH($B340,C_COD,0),7)</f>
        <v>Mozart</v>
      </c>
      <c r="Y340" s="38" t="n">
        <f aca="false">INDEX(C_TAB,MATCH($B340,C_COD,0),12)</f>
        <v>15</v>
      </c>
    </row>
    <row r="341" customFormat="false" ht="15" hidden="false" customHeight="false" outlineLevel="1" collapsed="false">
      <c r="A341" s="24" t="n">
        <v>1</v>
      </c>
      <c r="B341" s="24" t="s">
        <v>1337</v>
      </c>
      <c r="C341" s="40" t="s">
        <v>3864</v>
      </c>
      <c r="D341" s="24"/>
      <c r="E341" s="24"/>
      <c r="F341" s="24"/>
      <c r="G341" s="24"/>
      <c r="H341" s="24" t="s">
        <v>408</v>
      </c>
      <c r="I341" s="24" t="s">
        <v>3865</v>
      </c>
      <c r="J341" s="42" t="n">
        <f aca="false">INSUMOS_DIRECTOS_REVENDIDOS!H24</f>
        <v>421.9843726</v>
      </c>
      <c r="K341" s="42" t="n">
        <f aca="false">INSUMOS_DIRECTOS_REVENDIDOS!I24</f>
        <v>772.3206222</v>
      </c>
      <c r="L341" s="42" t="n">
        <f aca="false">INSUMOS_DIRECTOS_REVENDIDOS!J24</f>
        <v>1066.363722</v>
      </c>
      <c r="M341" s="42" t="n">
        <f aca="false">INSUMOS_DIRECTOS_REVENDIDOS!K24</f>
        <v>1474.963344</v>
      </c>
      <c r="N341" s="42" t="n">
        <f aca="false">INSUMOS_DIRECTOS_REVENDIDOS!L24</f>
        <v>2394.644883</v>
      </c>
      <c r="O341" s="42" t="n">
        <f aca="false">INSUMOS_DIRECTOS_REVENDIDOS!M24</f>
        <v>3311.547454</v>
      </c>
      <c r="P341" s="42" t="n">
        <f aca="false">INSUMOS_DIRECTOS_REVENDIDOS!N24</f>
        <v>4274.187843</v>
      </c>
      <c r="Q341" s="42" t="n">
        <f aca="false">INSUMOS_DIRECTOS_REVENDIDOS!O24</f>
        <v>5292.394724</v>
      </c>
      <c r="R341" s="42" t="n">
        <f aca="false">INSUMOS_DIRECTOS_REVENDIDOS!P24</f>
        <v>6125.204809</v>
      </c>
      <c r="S341" s="42" t="n">
        <f aca="false">INSUMOS_DIRECTOS_REVENDIDOS!Q24</f>
        <v>7005.27737</v>
      </c>
      <c r="T341" s="42" t="n">
        <f aca="false">INDEX(J341:S341,INDEX(P_VAL,MATCH("AÑO_DIS",P_ID,0))-2025)</f>
        <v>7005.27737</v>
      </c>
      <c r="U341" s="24"/>
      <c r="V341" s="24"/>
      <c r="W341" s="24"/>
      <c r="X341" s="24"/>
      <c r="Y341" s="24"/>
    </row>
    <row r="342" customFormat="false" ht="15" hidden="false" customHeight="false" outlineLevel="0" collapsed="false">
      <c r="A342" s="38" t="n">
        <v>0</v>
      </c>
      <c r="B342" s="38" t="s">
        <v>1338</v>
      </c>
      <c r="C342" s="38" t="str">
        <f aca="false">INDEX(C_TAB,MATCH($B342,C_COD,0),2)</f>
        <v>Matafuego CO₂ 5 kg terminado (reventa)</v>
      </c>
      <c r="D342" s="38" t="str">
        <f aca="false">INDEX(C_TAB,MATCH($B342,C_COD,0),3)</f>
        <v>u</v>
      </c>
      <c r="E342" s="38" t="str">
        <f aca="false">INDEX(C_TAB,MATCH($B342,C_COD,0),4)</f>
        <v>Directo</v>
      </c>
      <c r="F342" s="38" t="str">
        <f aca="false">INDEX(C_TAB,MATCH($B342,C_COD,0),5)</f>
        <v>Reventa</v>
      </c>
      <c r="G342" s="38" t="str">
        <f aca="false">INDEX(C_TAB,MATCH($B342,C_COD,0),6)</f>
        <v>Equipos revendidos (almacén de PT)</v>
      </c>
      <c r="H342" s="38"/>
      <c r="I342" s="38"/>
      <c r="J342" s="39" t="n">
        <f aca="false">SUM(J343:J344)</f>
        <v>291.0395051</v>
      </c>
      <c r="K342" s="39" t="n">
        <f aca="false">SUM(K343:K344)</f>
        <v>508.68630663</v>
      </c>
      <c r="L342" s="39" t="n">
        <f aca="false">SUM(L343:L344)</f>
        <v>658.29727807</v>
      </c>
      <c r="M342" s="39" t="n">
        <f aca="false">SUM(M343:M344)</f>
        <v>889.88520083</v>
      </c>
      <c r="N342" s="39" t="n">
        <f aca="false">SUM(N343:N344)</f>
        <v>1339.77664833</v>
      </c>
      <c r="O342" s="39" t="n">
        <f aca="false">SUM(O343:O344)</f>
        <v>1808.935715</v>
      </c>
      <c r="P342" s="39" t="n">
        <f aca="false">SUM(P343:P344)</f>
        <v>2304.18040133</v>
      </c>
      <c r="Q342" s="39" t="n">
        <f aca="false">SUM(Q343:Q344)</f>
        <v>2825.559394</v>
      </c>
      <c r="R342" s="39" t="n">
        <f aca="false">SUM(R343:R344)</f>
        <v>3292.40813733</v>
      </c>
      <c r="S342" s="39" t="n">
        <f aca="false">SUM(S343:S344)</f>
        <v>3800.375472</v>
      </c>
      <c r="T342" s="39" t="n">
        <f aca="false">INDEX(J342:S342,INDEX(P_VAL,MATCH("AÑO_DIS",P_ID,0))-2025)</f>
        <v>3800.375472</v>
      </c>
      <c r="U342" s="38" t="str">
        <f aca="false">INDEX(C_TAB,MATCH($B342,C_COD,0),10)</f>
        <v>Unidad</v>
      </c>
      <c r="V342" s="38" t="n">
        <f aca="false">INDEX(C_TAB,MATCH($B342,C_COD,0),11)</f>
        <v>1</v>
      </c>
      <c r="W342" s="44" t="n">
        <f aca="false">ROUNDUP(T342/V342,0)</f>
        <v>3801</v>
      </c>
      <c r="X342" s="38" t="str">
        <f aca="false">INDEX(C_TAB,MATCH($B342,C_COD,0),7)</f>
        <v>Mozart</v>
      </c>
      <c r="Y342" s="38" t="n">
        <f aca="false">INDEX(C_TAB,MATCH($B342,C_COD,0),12)</f>
        <v>15</v>
      </c>
    </row>
    <row r="343" customFormat="false" ht="15" hidden="false" customHeight="false" outlineLevel="1" collapsed="false">
      <c r="A343" s="24" t="n">
        <v>1</v>
      </c>
      <c r="B343" s="24" t="s">
        <v>1338</v>
      </c>
      <c r="C343" s="40" t="s">
        <v>3854</v>
      </c>
      <c r="D343" s="24"/>
      <c r="E343" s="24"/>
      <c r="F343" s="24"/>
      <c r="G343" s="24"/>
      <c r="H343" s="24" t="s">
        <v>132</v>
      </c>
      <c r="I343" s="24" t="s">
        <v>3855</v>
      </c>
      <c r="J343" s="42" t="n">
        <f aca="false">INSUMOS_DIRECTOS_RECARGAS!H611</f>
        <v>7</v>
      </c>
      <c r="K343" s="42" t="n">
        <f aca="false">INSUMOS_DIRECTOS_RECARGAS!I611</f>
        <v>19.23333333</v>
      </c>
      <c r="L343" s="42" t="n">
        <f aca="false">INSUMOS_DIRECTOS_RECARGAS!J611</f>
        <v>32.86666667</v>
      </c>
      <c r="M343" s="42" t="n">
        <f aca="false">INSUMOS_DIRECTOS_RECARGAS!K611</f>
        <v>52.93333333</v>
      </c>
      <c r="N343" s="42" t="n">
        <f aca="false">INSUMOS_DIRECTOS_RECARGAS!L611</f>
        <v>50.63333333</v>
      </c>
      <c r="O343" s="42" t="n">
        <f aca="false">INSUMOS_DIRECTOS_RECARGAS!M611</f>
        <v>57.2</v>
      </c>
      <c r="P343" s="42" t="n">
        <f aca="false">INSUMOS_DIRECTOS_RECARGAS!N611</f>
        <v>53.93333333</v>
      </c>
      <c r="Q343" s="42" t="n">
        <f aca="false">INSUMOS_DIRECTOS_RECARGAS!O611</f>
        <v>36.5</v>
      </c>
      <c r="R343" s="42" t="n">
        <f aca="false">INSUMOS_DIRECTOS_RECARGAS!P611</f>
        <v>32.43333333</v>
      </c>
      <c r="S343" s="42" t="n">
        <f aca="false">INSUMOS_DIRECTOS_RECARGAS!Q611</f>
        <v>34.2</v>
      </c>
      <c r="T343" s="42" t="n">
        <f aca="false">INDEX(J343:S343,INDEX(P_VAL,MATCH("AÑO_DIS",P_ID,0))-2025)</f>
        <v>34.2</v>
      </c>
      <c r="U343" s="24"/>
      <c r="V343" s="24"/>
      <c r="W343" s="24"/>
      <c r="X343" s="24"/>
      <c r="Y343" s="24"/>
    </row>
    <row r="344" customFormat="false" ht="15" hidden="false" customHeight="false" outlineLevel="1" collapsed="false">
      <c r="A344" s="24" t="n">
        <v>1</v>
      </c>
      <c r="B344" s="24" t="s">
        <v>1338</v>
      </c>
      <c r="C344" s="40" t="s">
        <v>3864</v>
      </c>
      <c r="D344" s="24"/>
      <c r="E344" s="24"/>
      <c r="F344" s="24"/>
      <c r="G344" s="24"/>
      <c r="H344" s="24" t="s">
        <v>408</v>
      </c>
      <c r="I344" s="24" t="s">
        <v>3865</v>
      </c>
      <c r="J344" s="42" t="n">
        <f aca="false">INSUMOS_DIRECTOS_REVENDIDOS!H26</f>
        <v>284.0395051</v>
      </c>
      <c r="K344" s="42" t="n">
        <f aca="false">INSUMOS_DIRECTOS_REVENDIDOS!I26</f>
        <v>489.4529733</v>
      </c>
      <c r="L344" s="42" t="n">
        <f aca="false">INSUMOS_DIRECTOS_REVENDIDOS!J26</f>
        <v>625.4306114</v>
      </c>
      <c r="M344" s="42" t="n">
        <f aca="false">INSUMOS_DIRECTOS_REVENDIDOS!K26</f>
        <v>836.9518675</v>
      </c>
      <c r="N344" s="42" t="n">
        <f aca="false">INSUMOS_DIRECTOS_REVENDIDOS!L26</f>
        <v>1289.143315</v>
      </c>
      <c r="O344" s="42" t="n">
        <f aca="false">INSUMOS_DIRECTOS_REVENDIDOS!M26</f>
        <v>1751.735715</v>
      </c>
      <c r="P344" s="42" t="n">
        <f aca="false">INSUMOS_DIRECTOS_REVENDIDOS!N26</f>
        <v>2250.247068</v>
      </c>
      <c r="Q344" s="42" t="n">
        <f aca="false">INSUMOS_DIRECTOS_REVENDIDOS!O26</f>
        <v>2789.059394</v>
      </c>
      <c r="R344" s="42" t="n">
        <f aca="false">INSUMOS_DIRECTOS_REVENDIDOS!P26</f>
        <v>3259.974804</v>
      </c>
      <c r="S344" s="42" t="n">
        <f aca="false">INSUMOS_DIRECTOS_REVENDIDOS!Q26</f>
        <v>3766.175472</v>
      </c>
      <c r="T344" s="42" t="n">
        <f aca="false">INDEX(J344:S344,INDEX(P_VAL,MATCH("AÑO_DIS",P_ID,0))-2025)</f>
        <v>3766.175472</v>
      </c>
      <c r="U344" s="24"/>
      <c r="V344" s="24"/>
      <c r="W344" s="24"/>
      <c r="X344" s="24"/>
      <c r="Y344" s="24"/>
    </row>
    <row r="345" customFormat="false" ht="15" hidden="false" customHeight="false" outlineLevel="0" collapsed="false">
      <c r="A345" s="38" t="n">
        <v>0</v>
      </c>
      <c r="B345" s="38" t="s">
        <v>1339</v>
      </c>
      <c r="C345" s="38" t="str">
        <f aca="false">INDEX(C_TAB,MATCH($B345,C_COD,0),2)</f>
        <v>Matafuego HCFC/HFC 5 kg terminado (reventa)</v>
      </c>
      <c r="D345" s="38" t="str">
        <f aca="false">INDEX(C_TAB,MATCH($B345,C_COD,0),3)</f>
        <v>u</v>
      </c>
      <c r="E345" s="38" t="str">
        <f aca="false">INDEX(C_TAB,MATCH($B345,C_COD,0),4)</f>
        <v>Directo</v>
      </c>
      <c r="F345" s="38" t="str">
        <f aca="false">INDEX(C_TAB,MATCH($B345,C_COD,0),5)</f>
        <v>Reventa</v>
      </c>
      <c r="G345" s="38" t="str">
        <f aca="false">INDEX(C_TAB,MATCH($B345,C_COD,0),6)</f>
        <v>Equipos revendidos (almacén de PT)</v>
      </c>
      <c r="H345" s="38"/>
      <c r="I345" s="38"/>
      <c r="J345" s="39" t="n">
        <f aca="false">SUM(J346:J347)</f>
        <v>59.85960407</v>
      </c>
      <c r="K345" s="39" t="n">
        <f aca="false">SUM(K346:K347)</f>
        <v>101.3118958</v>
      </c>
      <c r="L345" s="39" t="n">
        <f aca="false">SUM(L346:L347)</f>
        <v>127.6296618</v>
      </c>
      <c r="M345" s="39" t="n">
        <f aca="false">SUM(M346:M347)</f>
        <v>169.9679923</v>
      </c>
      <c r="N345" s="39" t="n">
        <f aca="false">SUM(N346:N347)</f>
        <v>258.8401403</v>
      </c>
      <c r="O345" s="39" t="n">
        <f aca="false">SUM(O346:O347)</f>
        <v>348.4645766</v>
      </c>
      <c r="P345" s="39" t="n">
        <f aca="false">SUM(P346:P347)</f>
        <v>447.1489087</v>
      </c>
      <c r="Q345" s="39" t="n">
        <f aca="false">SUM(Q346:Q347)</f>
        <v>552.7078445</v>
      </c>
      <c r="R345" s="39" t="n">
        <f aca="false">SUM(R346:R347)</f>
        <v>645.5574165</v>
      </c>
      <c r="S345" s="39" t="n">
        <f aca="false">SUM(S346:S347)</f>
        <v>745.2956074</v>
      </c>
      <c r="T345" s="39" t="n">
        <f aca="false">INDEX(J345:S345,INDEX(P_VAL,MATCH("AÑO_DIS",P_ID,0))-2025)</f>
        <v>745.2956074</v>
      </c>
      <c r="U345" s="38" t="str">
        <f aca="false">INDEX(C_TAB,MATCH($B345,C_COD,0),10)</f>
        <v>Unidad</v>
      </c>
      <c r="V345" s="38" t="n">
        <f aca="false">INDEX(C_TAB,MATCH($B345,C_COD,0),11)</f>
        <v>1</v>
      </c>
      <c r="W345" s="44" t="n">
        <f aca="false">ROUNDUP(T345/V345,0)</f>
        <v>746</v>
      </c>
      <c r="X345" s="38" t="str">
        <f aca="false">INDEX(C_TAB,MATCH($B345,C_COD,0),7)</f>
        <v>Georgia</v>
      </c>
      <c r="Y345" s="38" t="n">
        <f aca="false">INDEX(C_TAB,MATCH($B345,C_COD,0),12)</f>
        <v>15</v>
      </c>
    </row>
    <row r="346" customFormat="false" ht="15" hidden="false" customHeight="false" outlineLevel="1" collapsed="false">
      <c r="A346" s="24" t="n">
        <v>1</v>
      </c>
      <c r="B346" s="24" t="s">
        <v>1339</v>
      </c>
      <c r="C346" s="40" t="s">
        <v>3854</v>
      </c>
      <c r="D346" s="24"/>
      <c r="E346" s="24"/>
      <c r="F346" s="24"/>
      <c r="G346" s="24"/>
      <c r="H346" s="24" t="s">
        <v>132</v>
      </c>
      <c r="I346" s="24" t="s">
        <v>3855</v>
      </c>
      <c r="J346" s="42" t="n">
        <f aca="false">INSUMOS_DIRECTOS_RECARGAS!H613</f>
        <v>1</v>
      </c>
      <c r="K346" s="42" t="n">
        <f aca="false">INSUMOS_DIRECTOS_RECARGAS!I613</f>
        <v>1.05</v>
      </c>
      <c r="L346" s="42" t="n">
        <f aca="false">INSUMOS_DIRECTOS_RECARGAS!J613</f>
        <v>1.1</v>
      </c>
      <c r="M346" s="42" t="n">
        <f aca="false">INSUMOS_DIRECTOS_RECARGAS!K613</f>
        <v>2.15</v>
      </c>
      <c r="N346" s="42" t="n">
        <f aca="false">INSUMOS_DIRECTOS_RECARGAS!L613</f>
        <v>2.25</v>
      </c>
      <c r="O346" s="42" t="n">
        <f aca="false">INSUMOS_DIRECTOS_RECARGAS!M613</f>
        <v>2.35</v>
      </c>
      <c r="P346" s="42" t="n">
        <f aca="false">INSUMOS_DIRECTOS_RECARGAS!N613</f>
        <v>2.45</v>
      </c>
      <c r="Q346" s="42" t="n">
        <f aca="false">INSUMOS_DIRECTOS_RECARGAS!O613</f>
        <v>1.55</v>
      </c>
      <c r="R346" s="42" t="n">
        <f aca="false">INSUMOS_DIRECTOS_RECARGAS!P613</f>
        <v>1.6</v>
      </c>
      <c r="S346" s="42" t="n">
        <f aca="false">INSUMOS_DIRECTOS_RECARGAS!Q613</f>
        <v>1.65</v>
      </c>
      <c r="T346" s="42" t="n">
        <f aca="false">INDEX(J346:S346,INDEX(P_VAL,MATCH("AÑO_DIS",P_ID,0))-2025)</f>
        <v>1.65</v>
      </c>
      <c r="U346" s="24"/>
      <c r="V346" s="24"/>
      <c r="W346" s="24"/>
      <c r="X346" s="24"/>
      <c r="Y346" s="24"/>
    </row>
    <row r="347" customFormat="false" ht="15" hidden="false" customHeight="false" outlineLevel="1" collapsed="false">
      <c r="A347" s="24" t="n">
        <v>1</v>
      </c>
      <c r="B347" s="24" t="s">
        <v>1339</v>
      </c>
      <c r="C347" s="40" t="s">
        <v>3864</v>
      </c>
      <c r="D347" s="24"/>
      <c r="E347" s="24"/>
      <c r="F347" s="24"/>
      <c r="G347" s="24"/>
      <c r="H347" s="24" t="s">
        <v>408</v>
      </c>
      <c r="I347" s="24" t="s">
        <v>3865</v>
      </c>
      <c r="J347" s="42" t="n">
        <f aca="false">INSUMOS_DIRECTOS_REVENDIDOS!H28</f>
        <v>58.85960407</v>
      </c>
      <c r="K347" s="42" t="n">
        <f aca="false">INSUMOS_DIRECTOS_REVENDIDOS!I28</f>
        <v>100.2618958</v>
      </c>
      <c r="L347" s="42" t="n">
        <f aca="false">INSUMOS_DIRECTOS_REVENDIDOS!J28</f>
        <v>126.5296618</v>
      </c>
      <c r="M347" s="42" t="n">
        <f aca="false">INSUMOS_DIRECTOS_REVENDIDOS!K28</f>
        <v>167.8179923</v>
      </c>
      <c r="N347" s="42" t="n">
        <f aca="false">INSUMOS_DIRECTOS_REVENDIDOS!L28</f>
        <v>256.5901403</v>
      </c>
      <c r="O347" s="42" t="n">
        <f aca="false">INSUMOS_DIRECTOS_REVENDIDOS!M28</f>
        <v>346.1145766</v>
      </c>
      <c r="P347" s="42" t="n">
        <f aca="false">INSUMOS_DIRECTOS_REVENDIDOS!N28</f>
        <v>444.6989087</v>
      </c>
      <c r="Q347" s="42" t="n">
        <f aca="false">INSUMOS_DIRECTOS_REVENDIDOS!O28</f>
        <v>551.1578445</v>
      </c>
      <c r="R347" s="42" t="n">
        <f aca="false">INSUMOS_DIRECTOS_REVENDIDOS!P28</f>
        <v>643.9574165</v>
      </c>
      <c r="S347" s="42" t="n">
        <f aca="false">INSUMOS_DIRECTOS_REVENDIDOS!Q28</f>
        <v>743.6456074</v>
      </c>
      <c r="T347" s="42" t="n">
        <f aca="false">INDEX(J347:S347,INDEX(P_VAL,MATCH("AÑO_DIS",P_ID,0))-2025)</f>
        <v>743.6456074</v>
      </c>
      <c r="U347" s="24"/>
      <c r="V347" s="24"/>
      <c r="W347" s="24"/>
      <c r="X347" s="24"/>
      <c r="Y347" s="24"/>
    </row>
    <row r="348" customFormat="false" ht="15" hidden="false" customHeight="false" outlineLevel="0" collapsed="false">
      <c r="A348" s="38" t="n">
        <v>0</v>
      </c>
      <c r="B348" s="38" t="s">
        <v>1340</v>
      </c>
      <c r="C348" s="38" t="str">
        <f aca="false">INDEX(C_TAB,MATCH($B348,C_COD,0),2)</f>
        <v>Matafuego Clase D 9 l terminado (reventa)</v>
      </c>
      <c r="D348" s="38" t="str">
        <f aca="false">INDEX(C_TAB,MATCH($B348,C_COD,0),3)</f>
        <v>u</v>
      </c>
      <c r="E348" s="38" t="str">
        <f aca="false">INDEX(C_TAB,MATCH($B348,C_COD,0),4)</f>
        <v>Directo</v>
      </c>
      <c r="F348" s="38" t="str">
        <f aca="false">INDEX(C_TAB,MATCH($B348,C_COD,0),5)</f>
        <v>Reventa</v>
      </c>
      <c r="G348" s="38" t="str">
        <f aca="false">INDEX(C_TAB,MATCH($B348,C_COD,0),6)</f>
        <v>Equipos revendidos (almacén de PT)</v>
      </c>
      <c r="H348" s="38"/>
      <c r="I348" s="38"/>
      <c r="J348" s="39" t="n">
        <f aca="false">SUM(J349:J350)</f>
        <v>29.42908152</v>
      </c>
      <c r="K348" s="39" t="n">
        <f aca="false">SUM(K349:K350)</f>
        <v>45.73195498</v>
      </c>
      <c r="L348" s="39" t="n">
        <f aca="false">SUM(L349:L350)</f>
        <v>55.31147138</v>
      </c>
      <c r="M348" s="39" t="n">
        <f aca="false">SUM(M349:M350)</f>
        <v>71.87349512</v>
      </c>
      <c r="N348" s="39" t="n">
        <f aca="false">SUM(N349:N350)</f>
        <v>104.0336123</v>
      </c>
      <c r="O348" s="39" t="n">
        <f aca="false">SUM(O349:O350)</f>
        <v>128.1127467</v>
      </c>
      <c r="P348" s="39" t="n">
        <f aca="false">SUM(P349:P350)</f>
        <v>165.1345655</v>
      </c>
      <c r="Q348" s="39" t="n">
        <f aca="false">SUM(Q349:Q350)</f>
        <v>203.5518129</v>
      </c>
      <c r="R348" s="39" t="n">
        <f aca="false">SUM(R349:R350)</f>
        <v>240.0698746</v>
      </c>
      <c r="S348" s="39" t="n">
        <f aca="false">SUM(S349:S350)</f>
        <v>277.5940374</v>
      </c>
      <c r="T348" s="39" t="n">
        <f aca="false">INDEX(J348:S348,INDEX(P_VAL,MATCH("AÑO_DIS",P_ID,0))-2025)</f>
        <v>277.5940374</v>
      </c>
      <c r="U348" s="38" t="str">
        <f aca="false">INDEX(C_TAB,MATCH($B348,C_COD,0),10)</f>
        <v>Unidad</v>
      </c>
      <c r="V348" s="38" t="n">
        <f aca="false">INDEX(C_TAB,MATCH($B348,C_COD,0),11)</f>
        <v>1</v>
      </c>
      <c r="W348" s="44" t="n">
        <f aca="false">ROUNDUP(T348/V348,0)</f>
        <v>278</v>
      </c>
      <c r="X348" s="38" t="str">
        <f aca="false">INDEX(C_TAB,MATCH($B348,C_COD,0),7)</f>
        <v>Georgia</v>
      </c>
      <c r="Y348" s="38" t="n">
        <f aca="false">INDEX(C_TAB,MATCH($B348,C_COD,0),12)</f>
        <v>15</v>
      </c>
    </row>
    <row r="349" customFormat="false" ht="15" hidden="false" customHeight="false" outlineLevel="1" collapsed="false">
      <c r="A349" s="24" t="n">
        <v>1</v>
      </c>
      <c r="B349" s="24" t="s">
        <v>1340</v>
      </c>
      <c r="C349" s="40" t="s">
        <v>3854</v>
      </c>
      <c r="D349" s="24"/>
      <c r="E349" s="24"/>
      <c r="F349" s="24"/>
      <c r="G349" s="24"/>
      <c r="H349" s="24" t="s">
        <v>132</v>
      </c>
      <c r="I349" s="24" t="s">
        <v>3855</v>
      </c>
      <c r="J349" s="42" t="n">
        <f aca="false">INSUMOS_DIRECTOS_RECARGAS!H615</f>
        <v>1</v>
      </c>
      <c r="K349" s="42" t="n">
        <f aca="false">INSUMOS_DIRECTOS_RECARGAS!I615</f>
        <v>0.05</v>
      </c>
      <c r="L349" s="42" t="n">
        <f aca="false">INSUMOS_DIRECTOS_RECARGAS!J615</f>
        <v>0.05</v>
      </c>
      <c r="M349" s="42" t="n">
        <f aca="false">INSUMOS_DIRECTOS_RECARGAS!K615</f>
        <v>1.05</v>
      </c>
      <c r="N349" s="42" t="n">
        <f aca="false">INSUMOS_DIRECTOS_RECARGAS!L615</f>
        <v>1.1</v>
      </c>
      <c r="O349" s="42" t="n">
        <f aca="false">INSUMOS_DIRECTOS_RECARGAS!M615</f>
        <v>0.15</v>
      </c>
      <c r="P349" s="42" t="n">
        <f aca="false">INSUMOS_DIRECTOS_RECARGAS!N615</f>
        <v>1.15</v>
      </c>
      <c r="Q349" s="42" t="n">
        <f aca="false">INSUMOS_DIRECTOS_RECARGAS!O615</f>
        <v>0.2</v>
      </c>
      <c r="R349" s="42" t="n">
        <f aca="false">INSUMOS_DIRECTOS_RECARGAS!P615</f>
        <v>1.2</v>
      </c>
      <c r="S349" s="42" t="n">
        <f aca="false">INSUMOS_DIRECTOS_RECARGAS!Q615</f>
        <v>0.25</v>
      </c>
      <c r="T349" s="42" t="n">
        <f aca="false">INDEX(J349:S349,INDEX(P_VAL,MATCH("AÑO_DIS",P_ID,0))-2025)</f>
        <v>0.25</v>
      </c>
      <c r="U349" s="24"/>
      <c r="V349" s="24"/>
      <c r="W349" s="24"/>
      <c r="X349" s="24"/>
      <c r="Y349" s="24"/>
    </row>
    <row r="350" customFormat="false" ht="15" hidden="false" customHeight="false" outlineLevel="1" collapsed="false">
      <c r="A350" s="24" t="n">
        <v>1</v>
      </c>
      <c r="B350" s="24" t="s">
        <v>1340</v>
      </c>
      <c r="C350" s="40" t="s">
        <v>3864</v>
      </c>
      <c r="D350" s="24"/>
      <c r="E350" s="24"/>
      <c r="F350" s="24"/>
      <c r="G350" s="24"/>
      <c r="H350" s="24" t="s">
        <v>408</v>
      </c>
      <c r="I350" s="24" t="s">
        <v>3865</v>
      </c>
      <c r="J350" s="42" t="n">
        <f aca="false">INSUMOS_DIRECTOS_REVENDIDOS!H30</f>
        <v>28.42908152</v>
      </c>
      <c r="K350" s="42" t="n">
        <f aca="false">INSUMOS_DIRECTOS_REVENDIDOS!I30</f>
        <v>45.68195498</v>
      </c>
      <c r="L350" s="42" t="n">
        <f aca="false">INSUMOS_DIRECTOS_REVENDIDOS!J30</f>
        <v>55.26147138</v>
      </c>
      <c r="M350" s="42" t="n">
        <f aca="false">INSUMOS_DIRECTOS_REVENDIDOS!K30</f>
        <v>70.82349512</v>
      </c>
      <c r="N350" s="42" t="n">
        <f aca="false">INSUMOS_DIRECTOS_REVENDIDOS!L30</f>
        <v>102.9336123</v>
      </c>
      <c r="O350" s="42" t="n">
        <f aca="false">INSUMOS_DIRECTOS_REVENDIDOS!M30</f>
        <v>127.9627467</v>
      </c>
      <c r="P350" s="42" t="n">
        <f aca="false">INSUMOS_DIRECTOS_REVENDIDOS!N30</f>
        <v>163.9845655</v>
      </c>
      <c r="Q350" s="42" t="n">
        <f aca="false">INSUMOS_DIRECTOS_REVENDIDOS!O30</f>
        <v>203.3518129</v>
      </c>
      <c r="R350" s="42" t="n">
        <f aca="false">INSUMOS_DIRECTOS_REVENDIDOS!P30</f>
        <v>238.8698746</v>
      </c>
      <c r="S350" s="42" t="n">
        <f aca="false">INSUMOS_DIRECTOS_REVENDIDOS!Q30</f>
        <v>277.3440374</v>
      </c>
      <c r="T350" s="42" t="n">
        <f aca="false">INDEX(J350:S350,INDEX(P_VAL,MATCH("AÑO_DIS",P_ID,0))-2025)</f>
        <v>277.3440374</v>
      </c>
      <c r="U350" s="24"/>
      <c r="V350" s="24"/>
      <c r="W350" s="24"/>
      <c r="X350" s="24"/>
      <c r="Y350" s="24"/>
    </row>
  </sheetData>
  <autoFilter ref="A3:Y3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M1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6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9" min="6" style="0" width="11"/>
    <col collapsed="false" customWidth="true" hidden="false" outlineLevel="0" max="21" min="10" style="0" width="9"/>
    <col collapsed="false" customWidth="true" hidden="false" outlineLevel="0" max="39" min="22" style="0" width="11"/>
  </cols>
  <sheetData>
    <row r="1" customFormat="false" ht="15" hidden="false" customHeight="false" outlineLevel="0" collapsed="false">
      <c r="A1" s="1" t="s">
        <v>3866</v>
      </c>
    </row>
    <row r="2" customFormat="false" ht="15" hidden="false" customHeight="false" outlineLevel="0" collapsed="false">
      <c r="A2" s="2" t="s">
        <v>3867</v>
      </c>
    </row>
    <row r="3" customFormat="false" ht="31.5" hidden="false" customHeight="true" outlineLevel="0" collapsed="false">
      <c r="A3" s="3" t="s">
        <v>1948</v>
      </c>
      <c r="B3" s="3" t="s">
        <v>1772</v>
      </c>
      <c r="C3" s="3" t="s">
        <v>466</v>
      </c>
      <c r="D3" s="3" t="s">
        <v>1950</v>
      </c>
      <c r="E3" s="3" t="s">
        <v>3868</v>
      </c>
      <c r="F3" s="3" t="s">
        <v>229</v>
      </c>
      <c r="G3" s="3" t="s">
        <v>244</v>
      </c>
      <c r="H3" s="3" t="s">
        <v>132</v>
      </c>
      <c r="I3" s="3" t="s">
        <v>408</v>
      </c>
      <c r="J3" s="3" t="s">
        <v>443</v>
      </c>
      <c r="K3" s="3" t="s">
        <v>444</v>
      </c>
      <c r="L3" s="3" t="s">
        <v>445</v>
      </c>
      <c r="M3" s="3" t="s">
        <v>446</v>
      </c>
      <c r="N3" s="3" t="s">
        <v>447</v>
      </c>
      <c r="O3" s="3" t="s">
        <v>448</v>
      </c>
      <c r="P3" s="3" t="s">
        <v>449</v>
      </c>
      <c r="Q3" s="3" t="s">
        <v>450</v>
      </c>
      <c r="R3" s="3" t="s">
        <v>451</v>
      </c>
      <c r="S3" s="3" t="s">
        <v>452</v>
      </c>
      <c r="T3" s="3" t="s">
        <v>453</v>
      </c>
      <c r="U3" s="3" t="s">
        <v>454</v>
      </c>
      <c r="V3" s="3" t="s">
        <v>3869</v>
      </c>
      <c r="W3" s="3" t="s">
        <v>3870</v>
      </c>
      <c r="X3" s="3" t="s">
        <v>3871</v>
      </c>
      <c r="Y3" s="3" t="s">
        <v>1956</v>
      </c>
      <c r="Z3" s="3" t="s">
        <v>3872</v>
      </c>
      <c r="AA3" s="3" t="s">
        <v>3873</v>
      </c>
      <c r="AB3" s="3" t="s">
        <v>1959</v>
      </c>
      <c r="AC3" s="3" t="s">
        <v>3850</v>
      </c>
      <c r="AD3" s="3" t="s">
        <v>3874</v>
      </c>
      <c r="AE3" s="3" t="s">
        <v>3875</v>
      </c>
      <c r="AF3" s="3" t="s">
        <v>3876</v>
      </c>
      <c r="AG3" s="3" t="s">
        <v>3877</v>
      </c>
      <c r="AH3" s="3" t="s">
        <v>3878</v>
      </c>
      <c r="AI3" s="3" t="s">
        <v>3879</v>
      </c>
      <c r="AJ3" s="3" t="s">
        <v>1960</v>
      </c>
      <c r="AK3" s="3" t="s">
        <v>3880</v>
      </c>
      <c r="AL3" s="3" t="s">
        <v>1961</v>
      </c>
      <c r="AM3" s="3" t="s">
        <v>3881</v>
      </c>
    </row>
    <row r="4" customFormat="false" ht="15" hidden="false" customHeight="false" outlineLevel="0" collapsed="false">
      <c r="A4" s="24" t="s">
        <v>492</v>
      </c>
      <c r="B4" s="24" t="str">
        <f aca="false">INDEX(C_TAB,MATCH($A4,C_COD,0),2)</f>
        <v>Caño c/costura LF SAE 1010 Ø76,2 × 1,25 × 6 m (cuerpo 1 kg)</v>
      </c>
      <c r="C4" s="24" t="str">
        <f aca="false">INDEX(C_TAB,MATCH($A4,C_COD,0),3)</f>
        <v>barra</v>
      </c>
      <c r="D4" s="24" t="str">
        <f aca="false">INDEX(C_TAB,MATCH($A4,C_COD,0),6)</f>
        <v>Cantilever de caños y barras</v>
      </c>
      <c r="E4" s="45" t="n">
        <f aca="false">CONSOLIDADO_INSUMOS!T4</f>
        <v>8809.59300565217</v>
      </c>
      <c r="F4" s="45" t="n">
        <f aca="false">SUMIFS(CONSOLIDADO_INSUMOS!$T$4:$T$350,CONSOLIDADO_INSUMOS!$B$4:$B$350,$A4,CONSOLIDADO_INSUMOS!$H$4:$H$350,"MANUALES")</f>
        <v>8809.59300565217</v>
      </c>
      <c r="G4" s="45" t="n">
        <f aca="false">SUMIFS(CONSOLIDADO_INSUMOS!$T$4:$T$350,CONSOLIDADO_INSUMOS!$B$4:$B$350,$A4,CONSOLIDADO_INSUMOS!$H$4:$H$350,"RODANTES")</f>
        <v>0</v>
      </c>
      <c r="H4" s="45" t="n">
        <f aca="false">SUMIFS(CONSOLIDADO_INSUMOS!$T$4:$T$350,CONSOLIDADO_INSUMOS!$B$4:$B$350,$A4,CONSOLIDADO_INSUMOS!$H$4:$H$350,"RECARGAS")</f>
        <v>0</v>
      </c>
      <c r="I4" s="45" t="n">
        <f aca="false">SUMIFS(CONSOLIDADO_INSUMOS!$T$4:$T$350,CONSOLIDADO_INSUMOS!$B$4:$B$350,$A4,CONSOLIDADO_INSUMOS!$H$4:$H$350,"REVENDIDOS")</f>
        <v>0</v>
      </c>
      <c r="J4" s="45" t="n">
        <f aca="false">F4*ESTACIONALIDAD!$B$14+G4*ESTACIONALIDAD!$B$15+H4*ESTACIONALIDAD!$B$16+I4*ESTACIONALIDAD!$B$17</f>
        <v>1005.8721479054</v>
      </c>
      <c r="K4" s="45" t="n">
        <f aca="false">F4*ESTACIONALIDAD!$C$14+G4*ESTACIONALIDAD!$C$15+H4*ESTACIONALIDAD!$C$16+I4*ESTACIONALIDAD!$C$17</f>
        <v>767.223864122263</v>
      </c>
      <c r="L4" s="45" t="n">
        <f aca="false">F4*ESTACIONALIDAD!$D$14+G4*ESTACIONALIDAD!$D$15+H4*ESTACIONALIDAD!$D$16+I4*ESTACIONALIDAD!$D$17</f>
        <v>717.58719364539</v>
      </c>
      <c r="M4" s="45" t="n">
        <f aca="false">F4*ESTACIONALIDAD!$E$14+G4*ESTACIONALIDAD!$E$15+H4*ESTACIONALIDAD!$E$16+I4*ESTACIONALIDAD!$E$17</f>
        <v>686.358981810346</v>
      </c>
      <c r="N4" s="45" t="n">
        <f aca="false">F4*ESTACIONALIDAD!$F$14+G4*ESTACIONALIDAD!$F$15+H4*ESTACIONALIDAD!$F$16+I4*ESTACIONALIDAD!$F$17</f>
        <v>642.311016782085</v>
      </c>
      <c r="O4" s="45" t="n">
        <f aca="false">F4*ESTACIONALIDAD!$G$14+G4*ESTACIONALIDAD!$G$15+H4*ESTACIONALIDAD!$G$16+I4*ESTACIONALIDAD!$G$17</f>
        <v>629.491263588869</v>
      </c>
      <c r="P4" s="45" t="n">
        <f aca="false">F4*ESTACIONALIDAD!$H$14+G4*ESTACIONALIDAD!$H$15+H4*ESTACIONALIDAD!$H$16+I4*ESTACIONALIDAD!$H$17</f>
        <v>673.539228617129</v>
      </c>
      <c r="Q4" s="45" t="n">
        <f aca="false">F4*ESTACIONALIDAD!$I$14+G4*ESTACIONALIDAD!$I$15+H4*ESTACIONALIDAD!$I$16+I4*ESTACIONALIDAD!$I$17</f>
        <v>673.539228617129</v>
      </c>
      <c r="R4" s="45" t="n">
        <f aca="false">F4*ESTACIONALIDAD!$J$14+G4*ESTACIONALIDAD!$J$15+H4*ESTACIONALIDAD!$J$16+I4*ESTACIONALIDAD!$J$17</f>
        <v>673.539228617129</v>
      </c>
      <c r="S4" s="45" t="n">
        <f aca="false">F4*ESTACIONALIDAD!$K$14+G4*ESTACIONALIDAD!$K$15+H4*ESTACIONALIDAD!$K$16+I4*ESTACIONALIDAD!$K$17</f>
        <v>660.719475423913</v>
      </c>
      <c r="T4" s="45" t="n">
        <f aca="false">F4*ESTACIONALIDAD!$L$14+G4*ESTACIONALIDAD!$L$15+H4*ESTACIONALIDAD!$L$16+I4*ESTACIONALIDAD!$L$17</f>
        <v>647.899722230697</v>
      </c>
      <c r="U4" s="45" t="n">
        <f aca="false">F4*ESTACIONALIDAD!$M$14+G4*ESTACIONALIDAD!$M$15+H4*ESTACIONALIDAD!$M$16+I4*ESTACIONALIDAD!$M$17</f>
        <v>1031.51165429183</v>
      </c>
      <c r="V4" s="45" t="n">
        <f aca="false">MAX(J4:U4)</f>
        <v>1031.51165429183</v>
      </c>
      <c r="W4" s="46" t="n">
        <f aca="false">E4/INDEX(P_VAL,MATCH("DH_AÑO",P_ID,0))</f>
        <v>36.7066375235507</v>
      </c>
      <c r="X4" s="46" t="n">
        <f aca="false">V4/INDEX(P_VAL,MATCH("DH_MES",P_ID,0))</f>
        <v>51.5755827145914</v>
      </c>
      <c r="Y4" s="25" t="n">
        <f aca="false">INDEX(C_TAB,MATCH($A4,C_COD,0),12)</f>
        <v>5</v>
      </c>
      <c r="Z4" s="46" t="n">
        <f aca="false">(X4-W4)*Y4</f>
        <v>74.3447259552034</v>
      </c>
      <c r="AA4" s="45" t="n">
        <f aca="false">W4*Y4+Z4</f>
        <v>257.877913572957</v>
      </c>
      <c r="AB4" s="25" t="n">
        <f aca="false">INDEX(C_TAB,MATCH($A4,C_COD,0),15)</f>
        <v>5</v>
      </c>
      <c r="AC4" s="45" t="n">
        <f aca="false">INDEX(C_TAB,MATCH($A4,C_COD,0),11)</f>
        <v>16</v>
      </c>
      <c r="AD4" s="45" t="n">
        <f aca="false">MAX(AC4,CEILING(X4*AB4,AC4))</f>
        <v>272</v>
      </c>
      <c r="AE4" s="25" t="n">
        <f aca="false">AD4/AC4</f>
        <v>17</v>
      </c>
      <c r="AF4" s="45" t="n">
        <f aca="false">Z4+AD4</f>
        <v>346.344725955203</v>
      </c>
      <c r="AG4" s="25" t="n">
        <f aca="false">ROUNDUP(AF4/AC4,0)</f>
        <v>22</v>
      </c>
      <c r="AH4" s="45" t="n">
        <f aca="false">IF(W4&gt;0,AF4/W4,0)</f>
        <v>9.4354795023922</v>
      </c>
      <c r="AI4" s="25" t="n">
        <f aca="false">IF(AD4&gt;0,E4/AD4,0)</f>
        <v>32.3882095796036</v>
      </c>
      <c r="AJ4" s="25" t="n">
        <f aca="false">INDEX(C_TAB,MATCH($A4,C_COD,0),16)</f>
        <v>2</v>
      </c>
      <c r="AK4" s="47" t="n">
        <f aca="false">IF(AJ4&gt;0,AG4/AJ4,0)</f>
        <v>11</v>
      </c>
      <c r="AL4" s="45" t="n">
        <f aca="false">INDEX(C_TAB,MATCH($A4,C_COD,0),17)</f>
        <v>1</v>
      </c>
      <c r="AM4" s="45" t="n">
        <f aca="false">AK4*AL4</f>
        <v>11</v>
      </c>
    </row>
    <row r="5" customFormat="false" ht="15" hidden="false" customHeight="false" outlineLevel="0" collapsed="false">
      <c r="A5" s="24" t="s">
        <v>617</v>
      </c>
      <c r="B5" s="24" t="str">
        <f aca="false">INDEX(C_TAB,MATCH($A5,C_COD,0),2)</f>
        <v>Hoja LAF 1,25 × 1220 × 2440 mm (cuerpo 2,5 kg, 27 por hoja)</v>
      </c>
      <c r="C5" s="24" t="str">
        <f aca="false">INDEX(C_TAB,MATCH($A5,C_COD,0),3)</f>
        <v>hoja</v>
      </c>
      <c r="D5" s="24" t="str">
        <f aca="false">INDEX(C_TAB,MATCH($A5,C_COD,0),6)</f>
        <v>Chapa y fleje (manuales)</v>
      </c>
      <c r="E5" s="45" t="n">
        <f aca="false">CONSOLIDADO_INSUMOS!T6</f>
        <v>521.994757185185</v>
      </c>
      <c r="F5" s="45" t="n">
        <f aca="false">SUMIFS(CONSOLIDADO_INSUMOS!$T$4:$T$350,CONSOLIDADO_INSUMOS!$B$4:$B$350,$A5,CONSOLIDADO_INSUMOS!$H$4:$H$350,"MANUALES")</f>
        <v>521.994757185185</v>
      </c>
      <c r="G5" s="45" t="n">
        <f aca="false">SUMIFS(CONSOLIDADO_INSUMOS!$T$4:$T$350,CONSOLIDADO_INSUMOS!$B$4:$B$350,$A5,CONSOLIDADO_INSUMOS!$H$4:$H$350,"RODANTES")</f>
        <v>0</v>
      </c>
      <c r="H5" s="45" t="n">
        <f aca="false">SUMIFS(CONSOLIDADO_INSUMOS!$T$4:$T$350,CONSOLIDADO_INSUMOS!$B$4:$B$350,$A5,CONSOLIDADO_INSUMOS!$H$4:$H$350,"RECARGAS")</f>
        <v>0</v>
      </c>
      <c r="I5" s="45" t="n">
        <f aca="false">SUMIFS(CONSOLIDADO_INSUMOS!$T$4:$T$350,CONSOLIDADO_INSUMOS!$B$4:$B$350,$A5,CONSOLIDADO_INSUMOS!$H$4:$H$350,"REVENDIDOS")</f>
        <v>0</v>
      </c>
      <c r="J5" s="45" t="n">
        <f aca="false">F5*ESTACIONALIDAD!$B$14+G5*ESTACIONALIDAD!$B$15+H5*ESTACIONALIDAD!$B$16+I5*ESTACIONALIDAD!$B$17</f>
        <v>59.6009358512184</v>
      </c>
      <c r="K5" s="45" t="n">
        <f aca="false">F5*ESTACIONALIDAD!$C$14+G5*ESTACIONALIDAD!$C$15+H5*ESTACIONALIDAD!$C$16+I5*ESTACIONALIDAD!$C$17</f>
        <v>45.4603106411647</v>
      </c>
      <c r="L5" s="45" t="n">
        <f aca="false">F5*ESTACIONALIDAD!$D$14+G5*ESTACIONALIDAD!$D$15+H5*ESTACIONALIDAD!$D$16+I5*ESTACIONALIDAD!$D$17</f>
        <v>42.5191893275658</v>
      </c>
      <c r="M5" s="45" t="n">
        <f aca="false">F5*ESTACIONALIDAD!$E$14+G5*ESTACIONALIDAD!$E$15+H5*ESTACIONALIDAD!$E$16+I5*ESTACIONALIDAD!$E$17</f>
        <v>40.6688242943908</v>
      </c>
      <c r="N5" s="45" t="n">
        <f aca="false">F5*ESTACIONALIDAD!$F$14+G5*ESTACIONALIDAD!$F$15+H5*ESTACIONALIDAD!$F$16+I5*ESTACIONALIDAD!$F$17</f>
        <v>38.0588505084649</v>
      </c>
      <c r="O5" s="45" t="n">
        <f aca="false">F5*ESTACIONALIDAD!$G$14+G5*ESTACIONALIDAD!$G$15+H5*ESTACIONALIDAD!$G$16+I5*ESTACIONALIDAD!$G$17</f>
        <v>37.2992417557139</v>
      </c>
      <c r="P5" s="45" t="n">
        <f aca="false">F5*ESTACIONALIDAD!$H$14+G5*ESTACIONALIDAD!$H$15+H5*ESTACIONALIDAD!$H$16+I5*ESTACIONALIDAD!$H$17</f>
        <v>39.9092155416398</v>
      </c>
      <c r="Q5" s="45" t="n">
        <f aca="false">F5*ESTACIONALIDAD!$I$14+G5*ESTACIONALIDAD!$I$15+H5*ESTACIONALIDAD!$I$16+I5*ESTACIONALIDAD!$I$17</f>
        <v>39.9092155416398</v>
      </c>
      <c r="R5" s="45" t="n">
        <f aca="false">F5*ESTACIONALIDAD!$J$14+G5*ESTACIONALIDAD!$J$15+H5*ESTACIONALIDAD!$J$16+I5*ESTACIONALIDAD!$J$17</f>
        <v>39.9092155416398</v>
      </c>
      <c r="S5" s="45" t="n">
        <f aca="false">F5*ESTACIONALIDAD!$K$14+G5*ESTACIONALIDAD!$K$15+H5*ESTACIONALIDAD!$K$16+I5*ESTACIONALIDAD!$K$17</f>
        <v>39.1496067888889</v>
      </c>
      <c r="T5" s="45" t="n">
        <f aca="false">F5*ESTACIONALIDAD!$L$14+G5*ESTACIONALIDAD!$L$15+H5*ESTACIONALIDAD!$L$16+I5*ESTACIONALIDAD!$L$17</f>
        <v>38.3899980361379</v>
      </c>
      <c r="U5" s="45" t="n">
        <f aca="false">F5*ESTACIONALIDAD!$M$14+G5*ESTACIONALIDAD!$M$15+H5*ESTACIONALIDAD!$M$16+I5*ESTACIONALIDAD!$M$17</f>
        <v>61.1201533567203</v>
      </c>
      <c r="V5" s="45" t="n">
        <f aca="false">MAX(J5:U5)</f>
        <v>61.1201533567203</v>
      </c>
      <c r="W5" s="46" t="n">
        <f aca="false">E5/INDEX(P_VAL,MATCH("DH_AÑO",P_ID,0))</f>
        <v>2.17497815493827</v>
      </c>
      <c r="X5" s="46" t="n">
        <f aca="false">V5/INDEX(P_VAL,MATCH("DH_MES",P_ID,0))</f>
        <v>3.05600766783602</v>
      </c>
      <c r="Y5" s="25" t="n">
        <f aca="false">INDEX(C_TAB,MATCH($A5,C_COD,0),12)</f>
        <v>10</v>
      </c>
      <c r="Z5" s="46" t="n">
        <f aca="false">(X5-W5)*Y5</f>
        <v>8.81029512897744</v>
      </c>
      <c r="AA5" s="45" t="n">
        <f aca="false">W5*Y5+Z5</f>
        <v>30.5600766783602</v>
      </c>
      <c r="AB5" s="25" t="n">
        <f aca="false">INDEX(C_TAB,MATCH($A5,C_COD,0),15)</f>
        <v>5</v>
      </c>
      <c r="AC5" s="45" t="n">
        <f aca="false">INDEX(C_TAB,MATCH($A5,C_COD,0),11)</f>
        <v>50</v>
      </c>
      <c r="AD5" s="45" t="n">
        <f aca="false">MAX(AC5,CEILING(X5*AB5,AC5))</f>
        <v>50</v>
      </c>
      <c r="AE5" s="25" t="n">
        <f aca="false">AD5/AC5</f>
        <v>1</v>
      </c>
      <c r="AF5" s="45" t="n">
        <f aca="false">Z5+AD5</f>
        <v>58.8102951289774</v>
      </c>
      <c r="AG5" s="25" t="n">
        <f aca="false">ROUNDUP(AF5/AC5,0)</f>
        <v>2</v>
      </c>
      <c r="AH5" s="45" t="n">
        <f aca="false">IF(W5&gt;0,AF5/W5,0)</f>
        <v>27.0394877279338</v>
      </c>
      <c r="AI5" s="25" t="n">
        <f aca="false">IF(AD5&gt;0,E5/AD5,0)</f>
        <v>10.4398951437037</v>
      </c>
      <c r="AJ5" s="25" t="n">
        <f aca="false">INDEX(C_TAB,MATCH($A5,C_COD,0),16)</f>
        <v>2</v>
      </c>
      <c r="AK5" s="47" t="n">
        <f aca="false">IF(AJ5&gt;0,AG5/AJ5,0)</f>
        <v>1</v>
      </c>
      <c r="AL5" s="45" t="n">
        <f aca="false">INDEX(C_TAB,MATCH($A5,C_COD,0),17)</f>
        <v>2.98</v>
      </c>
      <c r="AM5" s="45" t="n">
        <f aca="false">AK5*AL5</f>
        <v>2.98</v>
      </c>
    </row>
    <row r="6" customFormat="false" ht="15" hidden="false" customHeight="false" outlineLevel="0" collapsed="false">
      <c r="A6" s="24" t="s">
        <v>715</v>
      </c>
      <c r="B6" s="24" t="str">
        <f aca="false">INDEX(C_TAB,MATCH($A6,C_COD,0),2)</f>
        <v>Hoja LAF 1,6 × 1000 × 2000 mm (cuerpo 5 kg, 12 por hoja)</v>
      </c>
      <c r="C6" s="24" t="str">
        <f aca="false">INDEX(C_TAB,MATCH($A6,C_COD,0),3)</f>
        <v>hoja</v>
      </c>
      <c r="D6" s="24" t="str">
        <f aca="false">INDEX(C_TAB,MATCH($A6,C_COD,0),6)</f>
        <v>Chapa y fleje (manuales)</v>
      </c>
      <c r="E6" s="45" t="n">
        <f aca="false">CONSOLIDADO_INSUMOS!T8</f>
        <v>5467.99822666667</v>
      </c>
      <c r="F6" s="45" t="n">
        <f aca="false">SUMIFS(CONSOLIDADO_INSUMOS!$T$4:$T$350,CONSOLIDADO_INSUMOS!$B$4:$B$350,$A6,CONSOLIDADO_INSUMOS!$H$4:$H$350,"MANUALES")</f>
        <v>5436.14822666667</v>
      </c>
      <c r="G6" s="45" t="n">
        <f aca="false">SUMIFS(CONSOLIDADO_INSUMOS!$T$4:$T$350,CONSOLIDADO_INSUMOS!$B$4:$B$350,$A6,CONSOLIDADO_INSUMOS!$H$4:$H$350,"RODANTES")</f>
        <v>0</v>
      </c>
      <c r="H6" s="45" t="n">
        <f aca="false">SUMIFS(CONSOLIDADO_INSUMOS!$T$4:$T$350,CONSOLIDADO_INSUMOS!$B$4:$B$350,$A6,CONSOLIDADO_INSUMOS!$H$4:$H$350,"RECARGAS")</f>
        <v>31.85</v>
      </c>
      <c r="I6" s="45" t="n">
        <f aca="false">SUMIFS(CONSOLIDADO_INSUMOS!$T$4:$T$350,CONSOLIDADO_INSUMOS!$B$4:$B$350,$A6,CONSOLIDADO_INSUMOS!$H$4:$H$350,"REVENDIDOS")</f>
        <v>0</v>
      </c>
      <c r="J6" s="45" t="n">
        <f aca="false">F6*ESTACIONALIDAD!$B$14+G6*ESTACIONALIDAD!$B$15+H6*ESTACIONALIDAD!$B$16+I6*ESTACIONALIDAD!$B$17</f>
        <v>623.73185842017</v>
      </c>
      <c r="K6" s="45" t="n">
        <f aca="false">F6*ESTACIONALIDAD!$C$14+G6*ESTACIONALIDAD!$C$15+H6*ESTACIONALIDAD!$C$16+I6*ESTACIONALIDAD!$C$17</f>
        <v>475.946713417897</v>
      </c>
      <c r="L6" s="45" t="n">
        <f aca="false">F6*ESTACIONALIDAD!$D$14+G6*ESTACIONALIDAD!$D$15+H6*ESTACIONALIDAD!$D$16+I6*ESTACIONALIDAD!$D$17</f>
        <v>445.393542026719</v>
      </c>
      <c r="M6" s="45" t="n">
        <f aca="false">F6*ESTACIONALIDAD!$E$14+G6*ESTACIONALIDAD!$E$15+H6*ESTACIONALIDAD!$E$16+I6*ESTACIONALIDAD!$E$17</f>
        <v>426.049447127502</v>
      </c>
      <c r="N6" s="45" t="n">
        <f aca="false">F6*ESTACIONALIDAD!$F$14+G6*ESTACIONALIDAD!$F$15+H6*ESTACIONALIDAD!$F$16+I6*ESTACIONALIDAD!$F$17</f>
        <v>398.792505742709</v>
      </c>
      <c r="O6" s="45" t="n">
        <f aca="false">F6*ESTACIONALIDAD!$G$14+G6*ESTACIONALIDAD!$G$15+H6*ESTACIONALIDAD!$G$16+I6*ESTACIONALIDAD!$G$17</f>
        <v>390.805601949907</v>
      </c>
      <c r="P6" s="45" t="n">
        <f aca="false">F6*ESTACIONALIDAD!$H$14+G6*ESTACIONALIDAD!$H$15+H6*ESTACIONALIDAD!$H$16+I6*ESTACIONALIDAD!$H$17</f>
        <v>418.140886530389</v>
      </c>
      <c r="Q6" s="45" t="n">
        <f aca="false">F6*ESTACIONALIDAD!$I$14+G6*ESTACIONALIDAD!$I$15+H6*ESTACIONALIDAD!$I$16+I6*ESTACIONALIDAD!$I$17</f>
        <v>418.210657949155</v>
      </c>
      <c r="R6" s="45" t="n">
        <f aca="false">F6*ESTACIONALIDAD!$J$14+G6*ESTACIONALIDAD!$J$15+H6*ESTACIONALIDAD!$J$16+I6*ESTACIONALIDAD!$J$17</f>
        <v>418.210657949155</v>
      </c>
      <c r="S6" s="45" t="n">
        <f aca="false">F6*ESTACIONALIDAD!$K$14+G6*ESTACIONALIDAD!$K$15+H6*ESTACIONALIDAD!$K$16+I6*ESTACIONALIDAD!$K$17</f>
        <v>410.225897100584</v>
      </c>
      <c r="T6" s="45" t="n">
        <f aca="false">F6*ESTACIONALIDAD!$L$14+G6*ESTACIONALIDAD!$L$15+H6*ESTACIONALIDAD!$L$16+I6*ESTACIONALIDAD!$L$17</f>
        <v>402.313050615009</v>
      </c>
      <c r="U6" s="45" t="n">
        <f aca="false">F6*ESTACIONALIDAD!$M$14+G6*ESTACIONALIDAD!$M$15+H6*ESTACIONALIDAD!$M$16+I6*ESTACIONALIDAD!$M$17</f>
        <v>640.177407837472</v>
      </c>
      <c r="V6" s="45" t="n">
        <f aca="false">MAX(J6:U6)</f>
        <v>640.177407837472</v>
      </c>
      <c r="W6" s="46" t="n">
        <f aca="false">E6/INDEX(P_VAL,MATCH("DH_AÑO",P_ID,0))</f>
        <v>22.7833259444444</v>
      </c>
      <c r="X6" s="46" t="n">
        <f aca="false">V6/INDEX(P_VAL,MATCH("DH_MES",P_ID,0))</f>
        <v>32.0088703918736</v>
      </c>
      <c r="Y6" s="25" t="n">
        <f aca="false">INDEX(C_TAB,MATCH($A6,C_COD,0),12)</f>
        <v>10</v>
      </c>
      <c r="Z6" s="46" t="n">
        <f aca="false">(X6-W6)*Y6</f>
        <v>92.2554444742913</v>
      </c>
      <c r="AA6" s="45" t="n">
        <f aca="false">W6*Y6+Z6</f>
        <v>320.088703918736</v>
      </c>
      <c r="AB6" s="25" t="n">
        <f aca="false">INDEX(C_TAB,MATCH($A6,C_COD,0),15)</f>
        <v>5</v>
      </c>
      <c r="AC6" s="45" t="n">
        <f aca="false">INDEX(C_TAB,MATCH($A6,C_COD,0),11)</f>
        <v>80</v>
      </c>
      <c r="AD6" s="45" t="n">
        <f aca="false">MAX(AC6,CEILING(X6*AB6,AC6))</f>
        <v>240</v>
      </c>
      <c r="AE6" s="25" t="n">
        <f aca="false">AD6/AC6</f>
        <v>3</v>
      </c>
      <c r="AF6" s="45" t="n">
        <f aca="false">Z6+AD6</f>
        <v>332.255444474291</v>
      </c>
      <c r="AG6" s="25" t="n">
        <f aca="false">ROUNDUP(AF6/AC6,0)</f>
        <v>5</v>
      </c>
      <c r="AH6" s="45" t="n">
        <f aca="false">IF(W6&gt;0,AF6/W6,0)</f>
        <v>14.5832722265605</v>
      </c>
      <c r="AI6" s="25" t="n">
        <f aca="false">IF(AD6&gt;0,E6/AD6,0)</f>
        <v>22.7833259444444</v>
      </c>
      <c r="AJ6" s="25" t="n">
        <f aca="false">INDEX(C_TAB,MATCH($A6,C_COD,0),16)</f>
        <v>2</v>
      </c>
      <c r="AK6" s="47" t="n">
        <f aca="false">IF(AJ6&gt;0,AG6/AJ6,0)</f>
        <v>2.5</v>
      </c>
      <c r="AL6" s="45" t="n">
        <f aca="false">INDEX(C_TAB,MATCH($A6,C_COD,0),17)</f>
        <v>2</v>
      </c>
      <c r="AM6" s="45" t="n">
        <f aca="false">AK6*AL6</f>
        <v>5</v>
      </c>
    </row>
    <row r="7" customFormat="false" ht="15" hidden="false" customHeight="false" outlineLevel="0" collapsed="false">
      <c r="A7" s="24" t="s">
        <v>799</v>
      </c>
      <c r="B7" s="24" t="str">
        <f aca="false">INDEX(C_TAB,MATCH($A7,C_COD,0),2)</f>
        <v>Hoja LAF 2,0 × 1500 × 3000 mm (cuerpo 10 kg, 15 por hoja)</v>
      </c>
      <c r="C7" s="24" t="str">
        <f aca="false">INDEX(C_TAB,MATCH($A7,C_COD,0),3)</f>
        <v>hoja</v>
      </c>
      <c r="D7" s="24" t="str">
        <f aca="false">INDEX(C_TAB,MATCH($A7,C_COD,0),6)</f>
        <v>Chapa y fleje (manuales)</v>
      </c>
      <c r="E7" s="45" t="n">
        <f aca="false">CONSOLIDADO_INSUMOS!T11</f>
        <v>257.259871933333</v>
      </c>
      <c r="F7" s="45" t="n">
        <f aca="false">SUMIFS(CONSOLIDADO_INSUMOS!$T$4:$T$350,CONSOLIDADO_INSUMOS!$B$4:$B$350,$A7,CONSOLIDADO_INSUMOS!$H$4:$H$350,"MANUALES")</f>
        <v>256.789871933333</v>
      </c>
      <c r="G7" s="45" t="n">
        <f aca="false">SUMIFS(CONSOLIDADO_INSUMOS!$T$4:$T$350,CONSOLIDADO_INSUMOS!$B$4:$B$350,$A7,CONSOLIDADO_INSUMOS!$H$4:$H$350,"RODANTES")</f>
        <v>0</v>
      </c>
      <c r="H7" s="45" t="n">
        <f aca="false">SUMIFS(CONSOLIDADO_INSUMOS!$T$4:$T$350,CONSOLIDADO_INSUMOS!$B$4:$B$350,$A7,CONSOLIDADO_INSUMOS!$H$4:$H$350,"RECARGAS")</f>
        <v>0.47</v>
      </c>
      <c r="I7" s="45" t="n">
        <f aca="false">SUMIFS(CONSOLIDADO_INSUMOS!$T$4:$T$350,CONSOLIDADO_INSUMOS!$B$4:$B$350,$A7,CONSOLIDADO_INSUMOS!$H$4:$H$350,"REVENDIDOS")</f>
        <v>0</v>
      </c>
      <c r="J7" s="45" t="n">
        <f aca="false">F7*ESTACIONALIDAD!$B$14+G7*ESTACIONALIDAD!$B$15+H7*ESTACIONALIDAD!$B$16+I7*ESTACIONALIDAD!$B$17</f>
        <v>29.3648725663975</v>
      </c>
      <c r="K7" s="45" t="n">
        <f aca="false">F7*ESTACIONALIDAD!$C$14+G7*ESTACIONALIDAD!$C$15+H7*ESTACIONALIDAD!$C$16+I7*ESTACIONALIDAD!$C$17</f>
        <v>22.400835065427</v>
      </c>
      <c r="L7" s="45" t="n">
        <f aca="false">F7*ESTACIONALIDAD!$D$14+G7*ESTACIONALIDAD!$D$15+H7*ESTACIONALIDAD!$D$16+I7*ESTACIONALIDAD!$D$17</f>
        <v>20.9551055983283</v>
      </c>
      <c r="M7" s="45" t="n">
        <f aca="false">F7*ESTACIONALIDAD!$E$14+G7*ESTACIONALIDAD!$E$15+H7*ESTACIONALIDAD!$E$16+I7*ESTACIONALIDAD!$E$17</f>
        <v>20.0437449959854</v>
      </c>
      <c r="N7" s="45" t="n">
        <f aca="false">F7*ESTACIONALIDAD!$F$14+G7*ESTACIONALIDAD!$F$15+H7*ESTACIONALIDAD!$F$16+I7*ESTACIONALIDAD!$F$17</f>
        <v>18.7586711742093</v>
      </c>
      <c r="O7" s="45" t="n">
        <f aca="false">F7*ESTACIONALIDAD!$G$14+G7*ESTACIONALIDAD!$G$15+H7*ESTACIONALIDAD!$G$16+I7*ESTACIONALIDAD!$G$17</f>
        <v>18.3838651153915</v>
      </c>
      <c r="P7" s="45" t="n">
        <f aca="false">F7*ESTACIONALIDAD!$H$14+G7*ESTACIONALIDAD!$H$15+H7*ESTACIONALIDAD!$H$16+I7*ESTACIONALIDAD!$H$17</f>
        <v>19.670095022002</v>
      </c>
      <c r="Q7" s="45" t="n">
        <f aca="false">F7*ESTACIONALIDAD!$I$14+G7*ESTACIONALIDAD!$I$15+H7*ESTACIONALIDAD!$I$16+I7*ESTACIONALIDAD!$I$17</f>
        <v>19.6711246159367</v>
      </c>
      <c r="R7" s="45" t="n">
        <f aca="false">F7*ESTACIONALIDAD!$J$14+G7*ESTACIONALIDAD!$J$15+H7*ESTACIONALIDAD!$J$16+I7*ESTACIONALIDAD!$J$17</f>
        <v>19.6711246159367</v>
      </c>
      <c r="S7" s="45" t="n">
        <f aca="false">F7*ESTACIONALIDAD!$K$14+G7*ESTACIONALIDAD!$K$15+H7*ESTACIONALIDAD!$K$16+I7*ESTACIONALIDAD!$K$17</f>
        <v>19.2963501798438</v>
      </c>
      <c r="T7" s="45" t="n">
        <f aca="false">F7*ESTACIONALIDAD!$L$14+G7*ESTACIONALIDAD!$L$15+H7*ESTACIONALIDAD!$L$16+I7*ESTACIONALIDAD!$L$17</f>
        <v>18.9226369604105</v>
      </c>
      <c r="U7" s="45" t="n">
        <f aca="false">F7*ESTACIONALIDAD!$M$14+G7*ESTACIONALIDAD!$M$15+H7*ESTACIONALIDAD!$M$16+I7*ESTACIONALIDAD!$M$17</f>
        <v>30.1214460234647</v>
      </c>
      <c r="V7" s="45" t="n">
        <f aca="false">MAX(J7:U7)</f>
        <v>30.1214460234647</v>
      </c>
      <c r="W7" s="46" t="n">
        <f aca="false">E7/INDEX(P_VAL,MATCH("DH_AÑO",P_ID,0))</f>
        <v>1.07191613305556</v>
      </c>
      <c r="X7" s="46" t="n">
        <f aca="false">V7/INDEX(P_VAL,MATCH("DH_MES",P_ID,0))</f>
        <v>1.50607230117324</v>
      </c>
      <c r="Y7" s="25" t="n">
        <f aca="false">INDEX(C_TAB,MATCH($A7,C_COD,0),12)</f>
        <v>10</v>
      </c>
      <c r="Z7" s="46" t="n">
        <f aca="false">(X7-W7)*Y7</f>
        <v>4.3415616811768</v>
      </c>
      <c r="AA7" s="45" t="n">
        <f aca="false">W7*Y7+Z7</f>
        <v>15.0607230117324</v>
      </c>
      <c r="AB7" s="25" t="n">
        <f aca="false">INDEX(C_TAB,MATCH($A7,C_COD,0),15)</f>
        <v>5</v>
      </c>
      <c r="AC7" s="45" t="n">
        <f aca="false">INDEX(C_TAB,MATCH($A7,C_COD,0),11)</f>
        <v>20</v>
      </c>
      <c r="AD7" s="45" t="n">
        <f aca="false">MAX(AC7,CEILING(X7*AB7,AC7))</f>
        <v>20</v>
      </c>
      <c r="AE7" s="25" t="n">
        <f aca="false">AD7/AC7</f>
        <v>1</v>
      </c>
      <c r="AF7" s="45" t="n">
        <f aca="false">Z7+AD7</f>
        <v>24.3415616811768</v>
      </c>
      <c r="AG7" s="25" t="n">
        <f aca="false">ROUNDUP(AF7/AC7,0)</f>
        <v>2</v>
      </c>
      <c r="AH7" s="45" t="n">
        <f aca="false">IF(W7&gt;0,AF7/W7,0)</f>
        <v>22.7084572482269</v>
      </c>
      <c r="AI7" s="25" t="n">
        <f aca="false">IF(AD7&gt;0,E7/AD7,0)</f>
        <v>12.8629935966667</v>
      </c>
      <c r="AJ7" s="25" t="n">
        <f aca="false">INDEX(C_TAB,MATCH($A7,C_COD,0),16)</f>
        <v>2</v>
      </c>
      <c r="AK7" s="47" t="n">
        <f aca="false">IF(AJ7&gt;0,AG7/AJ7,0)</f>
        <v>1</v>
      </c>
      <c r="AL7" s="45" t="n">
        <f aca="false">INDEX(C_TAB,MATCH($A7,C_COD,0),17)</f>
        <v>4.5</v>
      </c>
      <c r="AM7" s="45" t="n">
        <f aca="false">AK7*AL7</f>
        <v>4.5</v>
      </c>
    </row>
    <row r="8" customFormat="false" ht="15" hidden="false" customHeight="false" outlineLevel="0" collapsed="false">
      <c r="A8" s="24" t="s">
        <v>497</v>
      </c>
      <c r="B8" s="24" t="str">
        <f aca="false">INDEX(C_TAB,MATCH($A8,C_COD,0),2)</f>
        <v>Fleje LAF 0,9 × 114 mm (cúpula 1 kg, disco Ø95)</v>
      </c>
      <c r="C8" s="24" t="str">
        <f aca="false">INDEX(C_TAB,MATCH($A8,C_COD,0),3)</f>
        <v>kg</v>
      </c>
      <c r="D8" s="24" t="str">
        <f aca="false">INDEX(C_TAB,MATCH($A8,C_COD,0),6)</f>
        <v>Chapa y fleje (manuales)</v>
      </c>
      <c r="E8" s="45" t="n">
        <f aca="false">CONSOLIDADO_INSUMOS!T14</f>
        <v>15650.1788714264</v>
      </c>
      <c r="F8" s="45" t="n">
        <f aca="false">SUMIFS(CONSOLIDADO_INSUMOS!$T$4:$T$350,CONSOLIDADO_INSUMOS!$B$4:$B$350,$A8,CONSOLIDADO_INSUMOS!$H$4:$H$350,"MANUALES")</f>
        <v>15650.1788714264</v>
      </c>
      <c r="G8" s="45" t="n">
        <f aca="false">SUMIFS(CONSOLIDADO_INSUMOS!$T$4:$T$350,CONSOLIDADO_INSUMOS!$B$4:$B$350,$A8,CONSOLIDADO_INSUMOS!$H$4:$H$350,"RODANTES")</f>
        <v>0</v>
      </c>
      <c r="H8" s="45" t="n">
        <f aca="false">SUMIFS(CONSOLIDADO_INSUMOS!$T$4:$T$350,CONSOLIDADO_INSUMOS!$B$4:$B$350,$A8,CONSOLIDADO_INSUMOS!$H$4:$H$350,"RECARGAS")</f>
        <v>0</v>
      </c>
      <c r="I8" s="45" t="n">
        <f aca="false">SUMIFS(CONSOLIDADO_INSUMOS!$T$4:$T$350,CONSOLIDADO_INSUMOS!$B$4:$B$350,$A8,CONSOLIDADO_INSUMOS!$H$4:$H$350,"REVENDIDOS")</f>
        <v>0</v>
      </c>
      <c r="J8" s="45" t="n">
        <f aca="false">F8*ESTACIONALIDAD!$B$14+G8*ESTACIONALIDAD!$B$15+H8*ESTACIONALIDAD!$B$16+I8*ESTACIONALIDAD!$B$17</f>
        <v>1786.92466569174</v>
      </c>
      <c r="K8" s="45" t="n">
        <f aca="false">F8*ESTACIONALIDAD!$C$14+G8*ESTACIONALIDAD!$C$15+H8*ESTACIONALIDAD!$C$16+I8*ESTACIONALIDAD!$C$17</f>
        <v>1362.96769898866</v>
      </c>
      <c r="L8" s="45" t="n">
        <f aca="false">F8*ESTACIONALIDAD!$D$14+G8*ESTACIONALIDAD!$D$15+H8*ESTACIONALIDAD!$D$16+I8*ESTACIONALIDAD!$D$17</f>
        <v>1274.78850943397</v>
      </c>
      <c r="M8" s="45" t="n">
        <f aca="false">F8*ESTACIONALIDAD!$E$14+G8*ESTACIONALIDAD!$E$15+H8*ESTACIONALIDAD!$E$16+I8*ESTACIONALIDAD!$E$17</f>
        <v>1219.31181479669</v>
      </c>
      <c r="N8" s="45" t="n">
        <f aca="false">F8*ESTACIONALIDAD!$F$14+G8*ESTACIONALIDAD!$F$15+H8*ESTACIONALIDAD!$F$16+I8*ESTACIONALIDAD!$F$17</f>
        <v>1141.06092043956</v>
      </c>
      <c r="O8" s="45" t="n">
        <f aca="false">F8*ESTACIONALIDAD!$G$14+G8*ESTACIONALIDAD!$G$15+H8*ESTACIONALIDAD!$G$16+I8*ESTACIONALIDAD!$G$17</f>
        <v>1118.2867207197</v>
      </c>
      <c r="P8" s="45" t="n">
        <f aca="false">F8*ESTACIONALIDAD!$H$14+G8*ESTACIONALIDAD!$H$15+H8*ESTACIONALIDAD!$H$16+I8*ESTACIONALIDAD!$H$17</f>
        <v>1196.53761507684</v>
      </c>
      <c r="Q8" s="45" t="n">
        <f aca="false">F8*ESTACIONALIDAD!$I$14+G8*ESTACIONALIDAD!$I$15+H8*ESTACIONALIDAD!$I$16+I8*ESTACIONALIDAD!$I$17</f>
        <v>1196.53761507684</v>
      </c>
      <c r="R8" s="45" t="n">
        <f aca="false">F8*ESTACIONALIDAD!$J$14+G8*ESTACIONALIDAD!$J$15+H8*ESTACIONALIDAD!$J$16+I8*ESTACIONALIDAD!$J$17</f>
        <v>1196.53761507684</v>
      </c>
      <c r="S8" s="45" t="n">
        <f aca="false">F8*ESTACIONALIDAD!$K$14+G8*ESTACIONALIDAD!$K$15+H8*ESTACIONALIDAD!$K$16+I8*ESTACIONALIDAD!$K$17</f>
        <v>1173.76341535698</v>
      </c>
      <c r="T8" s="45" t="n">
        <f aca="false">F8*ESTACIONALIDAD!$L$14+G8*ESTACIONALIDAD!$L$15+H8*ESTACIONALIDAD!$L$16+I8*ESTACIONALIDAD!$L$17</f>
        <v>1150.98921563712</v>
      </c>
      <c r="U8" s="45" t="n">
        <f aca="false">F8*ESTACIONALIDAD!$M$14+G8*ESTACIONALIDAD!$M$15+H8*ESTACIONALIDAD!$M$16+I8*ESTACIONALIDAD!$M$17</f>
        <v>1832.47306513145</v>
      </c>
      <c r="V8" s="45" t="n">
        <f aca="false">MAX(J8:U8)</f>
        <v>1832.47306513145</v>
      </c>
      <c r="W8" s="46" t="n">
        <f aca="false">E8/INDEX(P_VAL,MATCH("DH_AÑO",P_ID,0))</f>
        <v>65.2090786309433</v>
      </c>
      <c r="X8" s="46" t="n">
        <f aca="false">V8/INDEX(P_VAL,MATCH("DH_MES",P_ID,0))</f>
        <v>91.6236532565726</v>
      </c>
      <c r="Y8" s="25" t="n">
        <f aca="false">INDEX(C_TAB,MATCH($A8,C_COD,0),12)</f>
        <v>10</v>
      </c>
      <c r="Z8" s="46" t="n">
        <f aca="false">(X8-W8)*Y8</f>
        <v>264.145746256294</v>
      </c>
      <c r="AA8" s="45" t="n">
        <f aca="false">W8*Y8+Z8</f>
        <v>916.236532565726</v>
      </c>
      <c r="AB8" s="25" t="n">
        <f aca="false">INDEX(C_TAB,MATCH($A8,C_COD,0),15)</f>
        <v>5</v>
      </c>
      <c r="AC8" s="45" t="n">
        <f aca="false">INDEX(C_TAB,MATCH($A8,C_COD,0),11)</f>
        <v>1900</v>
      </c>
      <c r="AD8" s="45" t="n">
        <f aca="false">MAX(AC8,CEILING(X8*AB8,AC8))</f>
        <v>1900</v>
      </c>
      <c r="AE8" s="25" t="n">
        <f aca="false">AD8/AC8</f>
        <v>1</v>
      </c>
      <c r="AF8" s="45" t="n">
        <f aca="false">Z8+AD8</f>
        <v>2164.14574625629</v>
      </c>
      <c r="AG8" s="25" t="n">
        <f aca="false">ROUNDUP(AF8/AC8,0)</f>
        <v>2</v>
      </c>
      <c r="AH8" s="45" t="n">
        <f aca="false">IF(W8&gt;0,AF8/W8,0)</f>
        <v>33.1877982589583</v>
      </c>
      <c r="AI8" s="25" t="n">
        <f aca="false">IF(AD8&gt;0,E8/AD8,0)</f>
        <v>8.23693624811915</v>
      </c>
      <c r="AJ8" s="25" t="n">
        <f aca="false">INDEX(C_TAB,MATCH($A8,C_COD,0),16)</f>
        <v>1</v>
      </c>
      <c r="AK8" s="47" t="n">
        <f aca="false">IF(AJ8&gt;0,AG8/AJ8,0)</f>
        <v>2</v>
      </c>
      <c r="AL8" s="45" t="n">
        <f aca="false">INDEX(C_TAB,MATCH($A8,C_COD,0),17)</f>
        <v>1</v>
      </c>
      <c r="AM8" s="45" t="n">
        <f aca="false">AK8*AL8</f>
        <v>2</v>
      </c>
    </row>
    <row r="9" customFormat="false" ht="15" hidden="false" customHeight="false" outlineLevel="0" collapsed="false">
      <c r="A9" s="24" t="s">
        <v>501</v>
      </c>
      <c r="B9" s="24" t="str">
        <f aca="false">INDEX(C_TAB,MATCH($A9,C_COD,0),2)</f>
        <v>Fleje LAF 1,25 × 135 mm (fondo 1 kg, disco Ø112)</v>
      </c>
      <c r="C9" s="24" t="str">
        <f aca="false">INDEX(C_TAB,MATCH($A9,C_COD,0),3)</f>
        <v>kg</v>
      </c>
      <c r="D9" s="24" t="str">
        <f aca="false">INDEX(C_TAB,MATCH($A9,C_COD,0),6)</f>
        <v>Chapa y fleje (manuales)</v>
      </c>
      <c r="E9" s="45" t="n">
        <f aca="false">CONSOLIDADO_INSUMOS!T16</f>
        <v>30397.3224093944</v>
      </c>
      <c r="F9" s="45" t="n">
        <f aca="false">SUMIFS(CONSOLIDADO_INSUMOS!$T$4:$T$350,CONSOLIDADO_INSUMOS!$B$4:$B$350,$A9,CONSOLIDADO_INSUMOS!$H$4:$H$350,"MANUALES")</f>
        <v>30397.3224093944</v>
      </c>
      <c r="G9" s="45" t="n">
        <f aca="false">SUMIFS(CONSOLIDADO_INSUMOS!$T$4:$T$350,CONSOLIDADO_INSUMOS!$B$4:$B$350,$A9,CONSOLIDADO_INSUMOS!$H$4:$H$350,"RODANTES")</f>
        <v>0</v>
      </c>
      <c r="H9" s="45" t="n">
        <f aca="false">SUMIFS(CONSOLIDADO_INSUMOS!$T$4:$T$350,CONSOLIDADO_INSUMOS!$B$4:$B$350,$A9,CONSOLIDADO_INSUMOS!$H$4:$H$350,"RECARGAS")</f>
        <v>0</v>
      </c>
      <c r="I9" s="45" t="n">
        <f aca="false">SUMIFS(CONSOLIDADO_INSUMOS!$T$4:$T$350,CONSOLIDADO_INSUMOS!$B$4:$B$350,$A9,CONSOLIDADO_INSUMOS!$H$4:$H$350,"REVENDIDOS")</f>
        <v>0</v>
      </c>
      <c r="J9" s="45" t="n">
        <f aca="false">F9*ESTACIONALIDAD!$B$14+G9*ESTACIONALIDAD!$B$15+H9*ESTACIONALIDAD!$B$16+I9*ESTACIONALIDAD!$B$17</f>
        <v>3470.74149315332</v>
      </c>
      <c r="K9" s="45" t="n">
        <f aca="false">F9*ESTACIONALIDAD!$C$14+G9*ESTACIONALIDAD!$C$15+H9*ESTACIONALIDAD!$C$16+I9*ESTACIONALIDAD!$C$17</f>
        <v>2647.29041885849</v>
      </c>
      <c r="L9" s="45" t="n">
        <f aca="false">F9*ESTACIONALIDAD!$D$14+G9*ESTACIONALIDAD!$D$15+H9*ESTACIONALIDAD!$D$16+I9*ESTACIONALIDAD!$D$17</f>
        <v>2476.02009174505</v>
      </c>
      <c r="M9" s="45" t="n">
        <f aca="false">F9*ESTACIONALIDAD!$E$14+G9*ESTACIONALIDAD!$E$15+H9*ESTACIONALIDAD!$E$16+I9*ESTACIONALIDAD!$E$17</f>
        <v>2368.26777869158</v>
      </c>
      <c r="N9" s="45" t="n">
        <f aca="false">F9*ESTACIONALIDAD!$F$14+G9*ESTACIONALIDAD!$F$15+H9*ESTACIONALIDAD!$F$16+I9*ESTACIONALIDAD!$F$17</f>
        <v>2216.2811666446</v>
      </c>
      <c r="O9" s="45" t="n">
        <f aca="false">F9*ESTACIONALIDAD!$G$14+G9*ESTACIONALIDAD!$G$15+H9*ESTACIONALIDAD!$G$16+I9*ESTACIONALIDAD!$G$17</f>
        <v>2172.0468676511</v>
      </c>
      <c r="P9" s="45" t="n">
        <f aca="false">F9*ESTACIONALIDAD!$H$14+G9*ESTACIONALIDAD!$H$15+H9*ESTACIONALIDAD!$H$16+I9*ESTACIONALIDAD!$H$17</f>
        <v>2324.03347969808</v>
      </c>
      <c r="Q9" s="45" t="n">
        <f aca="false">F9*ESTACIONALIDAD!$I$14+G9*ESTACIONALIDAD!$I$15+H9*ESTACIONALIDAD!$I$16+I9*ESTACIONALIDAD!$I$17</f>
        <v>2324.03347969808</v>
      </c>
      <c r="R9" s="45" t="n">
        <f aca="false">F9*ESTACIONALIDAD!$J$14+G9*ESTACIONALIDAD!$J$15+H9*ESTACIONALIDAD!$J$16+I9*ESTACIONALIDAD!$J$17</f>
        <v>2324.03347969808</v>
      </c>
      <c r="S9" s="45" t="n">
        <f aca="false">F9*ESTACIONALIDAD!$K$14+G9*ESTACIONALIDAD!$K$15+H9*ESTACIONALIDAD!$K$16+I9*ESTACIONALIDAD!$K$17</f>
        <v>2279.79918070458</v>
      </c>
      <c r="T9" s="45" t="n">
        <f aca="false">F9*ESTACIONALIDAD!$L$14+G9*ESTACIONALIDAD!$L$15+H9*ESTACIONALIDAD!$L$16+I9*ESTACIONALIDAD!$L$17</f>
        <v>2235.56488171108</v>
      </c>
      <c r="U9" s="45" t="n">
        <f aca="false">F9*ESTACIONALIDAD!$M$14+G9*ESTACIONALIDAD!$M$15+H9*ESTACIONALIDAD!$M$16+I9*ESTACIONALIDAD!$M$17</f>
        <v>3559.21009114032</v>
      </c>
      <c r="V9" s="45" t="n">
        <f aca="false">MAX(J9:U9)</f>
        <v>3559.21009114032</v>
      </c>
      <c r="W9" s="46" t="n">
        <f aca="false">E9/INDEX(P_VAL,MATCH("DH_AÑO",P_ID,0))</f>
        <v>126.655510039143</v>
      </c>
      <c r="X9" s="46" t="n">
        <f aca="false">V9/INDEX(P_VAL,MATCH("DH_MES",P_ID,0))</f>
        <v>177.960504557016</v>
      </c>
      <c r="Y9" s="25" t="n">
        <f aca="false">INDEX(C_TAB,MATCH($A9,C_COD,0),12)</f>
        <v>10</v>
      </c>
      <c r="Z9" s="46" t="n">
        <f aca="false">(X9-W9)*Y9</f>
        <v>513.04994517873</v>
      </c>
      <c r="AA9" s="45" t="n">
        <f aca="false">W9*Y9+Z9</f>
        <v>1779.60504557016</v>
      </c>
      <c r="AB9" s="25" t="n">
        <f aca="false">INDEX(C_TAB,MATCH($A9,C_COD,0),15)</f>
        <v>5</v>
      </c>
      <c r="AC9" s="45" t="n">
        <f aca="false">INDEX(C_TAB,MATCH($A9,C_COD,0),11)</f>
        <v>1900</v>
      </c>
      <c r="AD9" s="45" t="n">
        <f aca="false">MAX(AC9,CEILING(X9*AB9,AC9))</f>
        <v>1900</v>
      </c>
      <c r="AE9" s="25" t="n">
        <f aca="false">AD9/AC9</f>
        <v>1</v>
      </c>
      <c r="AF9" s="45" t="n">
        <f aca="false">Z9+AD9</f>
        <v>2413.04994517873</v>
      </c>
      <c r="AG9" s="25" t="n">
        <f aca="false">ROUNDUP(AF9/AC9,0)</f>
        <v>2</v>
      </c>
      <c r="AH9" s="45" t="n">
        <f aca="false">IF(W9&gt;0,AF9/W9,0)</f>
        <v>19.0520723846359</v>
      </c>
      <c r="AI9" s="25" t="n">
        <f aca="false">IF(AD9&gt;0,E9/AD9,0)</f>
        <v>15.9985907417865</v>
      </c>
      <c r="AJ9" s="25" t="n">
        <f aca="false">INDEX(C_TAB,MATCH($A9,C_COD,0),16)</f>
        <v>1</v>
      </c>
      <c r="AK9" s="47" t="n">
        <f aca="false">IF(AJ9&gt;0,AG9/AJ9,0)</f>
        <v>2</v>
      </c>
      <c r="AL9" s="45" t="n">
        <f aca="false">INDEX(C_TAB,MATCH($A9,C_COD,0),17)</f>
        <v>1</v>
      </c>
      <c r="AM9" s="45" t="n">
        <f aca="false">AK9*AL9</f>
        <v>2</v>
      </c>
    </row>
    <row r="10" customFormat="false" ht="15" hidden="false" customHeight="false" outlineLevel="0" collapsed="false">
      <c r="A10" s="24" t="s">
        <v>620</v>
      </c>
      <c r="B10" s="24" t="str">
        <f aca="false">INDEX(C_TAB,MATCH($A10,C_COD,0),2)</f>
        <v>Fleje LAF 1,25 × 200 mm (cúpula Ø179 y fondo Ø148, 2,5 kg)</v>
      </c>
      <c r="C10" s="24" t="str">
        <f aca="false">INDEX(C_TAB,MATCH($A10,C_COD,0),3)</f>
        <v>kg</v>
      </c>
      <c r="D10" s="24" t="str">
        <f aca="false">INDEX(C_TAB,MATCH($A10,C_COD,0),6)</f>
        <v>Chapa y fleje (manuales)</v>
      </c>
      <c r="E10" s="45" t="n">
        <f aca="false">CONSOLIDADO_INSUMOS!T18</f>
        <v>9113.70547619733</v>
      </c>
      <c r="F10" s="45" t="n">
        <f aca="false">SUMIFS(CONSOLIDADO_INSUMOS!$T$4:$T$350,CONSOLIDADO_INSUMOS!$B$4:$B$350,$A10,CONSOLIDADO_INSUMOS!$H$4:$H$350,"MANUALES")</f>
        <v>9113.70547619733</v>
      </c>
      <c r="G10" s="45" t="n">
        <f aca="false">SUMIFS(CONSOLIDADO_INSUMOS!$T$4:$T$350,CONSOLIDADO_INSUMOS!$B$4:$B$350,$A10,CONSOLIDADO_INSUMOS!$H$4:$H$350,"RODANTES")</f>
        <v>0</v>
      </c>
      <c r="H10" s="45" t="n">
        <f aca="false">SUMIFS(CONSOLIDADO_INSUMOS!$T$4:$T$350,CONSOLIDADO_INSUMOS!$B$4:$B$350,$A10,CONSOLIDADO_INSUMOS!$H$4:$H$350,"RECARGAS")</f>
        <v>0</v>
      </c>
      <c r="I10" s="45" t="n">
        <f aca="false">SUMIFS(CONSOLIDADO_INSUMOS!$T$4:$T$350,CONSOLIDADO_INSUMOS!$B$4:$B$350,$A10,CONSOLIDADO_INSUMOS!$H$4:$H$350,"REVENDIDOS")</f>
        <v>0</v>
      </c>
      <c r="J10" s="45" t="n">
        <f aca="false">F10*ESTACIONALIDAD!$B$14+G10*ESTACIONALIDAD!$B$15+H10*ESTACIONALIDAD!$B$16+I10*ESTACIONALIDAD!$B$17</f>
        <v>1040.59546188322</v>
      </c>
      <c r="K10" s="45" t="n">
        <f aca="false">F10*ESTACIONALIDAD!$C$14+G10*ESTACIONALIDAD!$C$15+H10*ESTACIONALIDAD!$C$16+I10*ESTACIONALIDAD!$C$17</f>
        <v>793.708895227527</v>
      </c>
      <c r="L10" s="45" t="n">
        <f aca="false">F10*ESTACIONALIDAD!$D$14+G10*ESTACIONALIDAD!$D$15+H10*ESTACIONALIDAD!$D$16+I10*ESTACIONALIDAD!$D$17</f>
        <v>742.358736910902</v>
      </c>
      <c r="M10" s="45" t="n">
        <f aca="false">F10*ESTACIONALIDAD!$E$14+G10*ESTACIONALIDAD!$E$15+H10*ESTACIONALIDAD!$E$16+I10*ESTACIONALIDAD!$E$17</f>
        <v>710.052508345031</v>
      </c>
      <c r="N10" s="45" t="n">
        <f aca="false">F10*ESTACIONALIDAD!$F$14+G10*ESTACIONALIDAD!$F$15+H10*ESTACIONALIDAD!$F$16+I10*ESTACIONALIDAD!$F$17</f>
        <v>664.483980964045</v>
      </c>
      <c r="O10" s="45" t="n">
        <f aca="false">F10*ESTACIONALIDAD!$G$14+G10*ESTACIONALIDAD!$G$15+H10*ESTACIONALIDAD!$G$16+I10*ESTACIONALIDAD!$G$17</f>
        <v>651.221682148929</v>
      </c>
      <c r="P10" s="45" t="n">
        <f aca="false">F10*ESTACIONALIDAD!$H$14+G10*ESTACIONALIDAD!$H$15+H10*ESTACIONALIDAD!$H$16+I10*ESTACIONALIDAD!$H$17</f>
        <v>696.790209529915</v>
      </c>
      <c r="Q10" s="45" t="n">
        <f aca="false">F10*ESTACIONALIDAD!$I$14+G10*ESTACIONALIDAD!$I$15+H10*ESTACIONALIDAD!$I$16+I10*ESTACIONALIDAD!$I$17</f>
        <v>696.790209529915</v>
      </c>
      <c r="R10" s="45" t="n">
        <f aca="false">F10*ESTACIONALIDAD!$J$14+G10*ESTACIONALIDAD!$J$15+H10*ESTACIONALIDAD!$J$16+I10*ESTACIONALIDAD!$J$17</f>
        <v>696.790209529915</v>
      </c>
      <c r="S10" s="45" t="n">
        <f aca="false">F10*ESTACIONALIDAD!$K$14+G10*ESTACIONALIDAD!$K$15+H10*ESTACIONALIDAD!$K$16+I10*ESTACIONALIDAD!$K$17</f>
        <v>683.527910714799</v>
      </c>
      <c r="T10" s="45" t="n">
        <f aca="false">F10*ESTACIONALIDAD!$L$14+G10*ESTACIONALIDAD!$L$15+H10*ESTACIONALIDAD!$L$16+I10*ESTACIONALIDAD!$L$17</f>
        <v>670.265611899683</v>
      </c>
      <c r="U10" s="45" t="n">
        <f aca="false">F10*ESTACIONALIDAD!$M$14+G10*ESTACIONALIDAD!$M$15+H10*ESTACIONALIDAD!$M$16+I10*ESTACIONALIDAD!$M$17</f>
        <v>1067.12005951345</v>
      </c>
      <c r="V10" s="45" t="n">
        <f aca="false">MAX(J10:U10)</f>
        <v>1067.12005951345</v>
      </c>
      <c r="W10" s="46" t="n">
        <f aca="false">E10/INDEX(P_VAL,MATCH("DH_AÑO",P_ID,0))</f>
        <v>37.9737728174889</v>
      </c>
      <c r="X10" s="46" t="n">
        <f aca="false">V10/INDEX(P_VAL,MATCH("DH_MES",P_ID,0))</f>
        <v>53.3560029756724</v>
      </c>
      <c r="Y10" s="25" t="n">
        <f aca="false">INDEX(C_TAB,MATCH($A10,C_COD,0),12)</f>
        <v>10</v>
      </c>
      <c r="Z10" s="46" t="n">
        <f aca="false">(X10-W10)*Y10</f>
        <v>153.822301581835</v>
      </c>
      <c r="AA10" s="45" t="n">
        <f aca="false">W10*Y10+Z10</f>
        <v>533.560029756724</v>
      </c>
      <c r="AB10" s="25" t="n">
        <f aca="false">INDEX(C_TAB,MATCH($A10,C_COD,0),15)</f>
        <v>5</v>
      </c>
      <c r="AC10" s="45" t="n">
        <f aca="false">INDEX(C_TAB,MATCH($A10,C_COD,0),11)</f>
        <v>492</v>
      </c>
      <c r="AD10" s="45" t="n">
        <f aca="false">MAX(AC10,CEILING(X10*AB10,AC10))</f>
        <v>492</v>
      </c>
      <c r="AE10" s="25" t="n">
        <f aca="false">AD10/AC10</f>
        <v>1</v>
      </c>
      <c r="AF10" s="45" t="n">
        <f aca="false">Z10+AD10</f>
        <v>645.822301581835</v>
      </c>
      <c r="AG10" s="25" t="n">
        <f aca="false">ROUNDUP(AF10/AC10,0)</f>
        <v>2</v>
      </c>
      <c r="AH10" s="45" t="n">
        <f aca="false">IF(W10&gt;0,AF10/W10,0)</f>
        <v>17.0070618130522</v>
      </c>
      <c r="AI10" s="25" t="n">
        <f aca="false">IF(AD10&gt;0,E10/AD10,0)</f>
        <v>18.5237916182872</v>
      </c>
      <c r="AJ10" s="25" t="n">
        <f aca="false">INDEX(C_TAB,MATCH($A10,C_COD,0),16)</f>
        <v>1</v>
      </c>
      <c r="AK10" s="47" t="n">
        <f aca="false">IF(AJ10&gt;0,AG10/AJ10,0)</f>
        <v>2</v>
      </c>
      <c r="AL10" s="45" t="n">
        <f aca="false">INDEX(C_TAB,MATCH($A10,C_COD,0),17)</f>
        <v>1</v>
      </c>
      <c r="AM10" s="45" t="n">
        <f aca="false">AK10*AL10</f>
        <v>2</v>
      </c>
    </row>
    <row r="11" customFormat="false" ht="15" hidden="false" customHeight="false" outlineLevel="0" collapsed="false">
      <c r="A11" s="24" t="s">
        <v>718</v>
      </c>
      <c r="B11" s="24" t="str">
        <f aca="false">INDEX(C_TAB,MATCH($A11,C_COD,0),2)</f>
        <v>Fleje LAF 1,6 × 250 mm (cúpula Ø221, 5 kg)</v>
      </c>
      <c r="C11" s="24" t="str">
        <f aca="false">INDEX(C_TAB,MATCH($A11,C_COD,0),3)</f>
        <v>kg</v>
      </c>
      <c r="D11" s="24" t="str">
        <f aca="false">INDEX(C_TAB,MATCH($A11,C_COD,0),6)</f>
        <v>Chapa y fleje (manuales)</v>
      </c>
      <c r="E11" s="45" t="n">
        <f aca="false">CONSOLIDADO_INSUMOS!T20</f>
        <v>45863.2069500461</v>
      </c>
      <c r="F11" s="45" t="n">
        <f aca="false">SUMIFS(CONSOLIDADO_INSUMOS!$T$4:$T$350,CONSOLIDADO_INSUMOS!$B$4:$B$350,$A11,CONSOLIDADO_INSUMOS!$H$4:$H$350,"MANUALES")</f>
        <v>45596.0629092461</v>
      </c>
      <c r="G11" s="45" t="n">
        <f aca="false">SUMIFS(CONSOLIDADO_INSUMOS!$T$4:$T$350,CONSOLIDADO_INSUMOS!$B$4:$B$350,$A11,CONSOLIDADO_INSUMOS!$H$4:$H$350,"RODANTES")</f>
        <v>0</v>
      </c>
      <c r="H11" s="45" t="n">
        <f aca="false">SUMIFS(CONSOLIDADO_INSUMOS!$T$4:$T$350,CONSOLIDADO_INSUMOS!$B$4:$B$350,$A11,CONSOLIDADO_INSUMOS!$H$4:$H$350,"RECARGAS")</f>
        <v>267.1440408</v>
      </c>
      <c r="I11" s="45" t="n">
        <f aca="false">SUMIFS(CONSOLIDADO_INSUMOS!$T$4:$T$350,CONSOLIDADO_INSUMOS!$B$4:$B$350,$A11,CONSOLIDADO_INSUMOS!$H$4:$H$350,"REVENDIDOS")</f>
        <v>0</v>
      </c>
      <c r="J11" s="45" t="n">
        <f aca="false">F11*ESTACIONALIDAD!$B$14+G11*ESTACIONALIDAD!$B$15+H11*ESTACIONALIDAD!$B$16+I11*ESTACIONALIDAD!$B$17</f>
        <v>5231.59337626555</v>
      </c>
      <c r="K11" s="45" t="n">
        <f aca="false">F11*ESTACIONALIDAD!$C$14+G11*ESTACIONALIDAD!$C$15+H11*ESTACIONALIDAD!$C$16+I11*ESTACIONALIDAD!$C$17</f>
        <v>3992.03542316912</v>
      </c>
      <c r="L11" s="45" t="n">
        <f aca="false">F11*ESTACIONALIDAD!$D$14+G11*ESTACIONALIDAD!$D$15+H11*ESTACIONALIDAD!$D$16+I11*ESTACIONALIDAD!$D$17</f>
        <v>3735.76862050997</v>
      </c>
      <c r="M11" s="45" t="n">
        <f aca="false">F11*ESTACIONALIDAD!$E$14+G11*ESTACIONALIDAD!$E$15+H11*ESTACIONALIDAD!$E$16+I11*ESTACIONALIDAD!$E$17</f>
        <v>3573.51870914432</v>
      </c>
      <c r="N11" s="45" t="n">
        <f aca="false">F11*ESTACIONALIDAD!$F$14+G11*ESTACIONALIDAD!$F$15+H11*ESTACIONALIDAD!$F$16+I11*ESTACIONALIDAD!$F$17</f>
        <v>3344.89925980736</v>
      </c>
      <c r="O11" s="45" t="n">
        <f aca="false">F11*ESTACIONALIDAD!$G$14+G11*ESTACIONALIDAD!$G$15+H11*ESTACIONALIDAD!$G$16+I11*ESTACIONALIDAD!$G$17</f>
        <v>3277.90856113577</v>
      </c>
      <c r="P11" s="45" t="n">
        <f aca="false">F11*ESTACIONALIDAD!$H$14+G11*ESTACIONALIDAD!$H$15+H11*ESTACIONALIDAD!$H$16+I11*ESTACIONALIDAD!$H$17</f>
        <v>3507.18511935392</v>
      </c>
      <c r="Q11" s="45" t="n">
        <f aca="false">F11*ESTACIONALIDAD!$I$14+G11*ESTACIONALIDAD!$I$15+H11*ESTACIONALIDAD!$I$16+I11*ESTACIONALIDAD!$I$17</f>
        <v>3507.77033187328</v>
      </c>
      <c r="R11" s="45" t="n">
        <f aca="false">F11*ESTACIONALIDAD!$J$14+G11*ESTACIONALIDAD!$J$15+H11*ESTACIONALIDAD!$J$16+I11*ESTACIONALIDAD!$J$17</f>
        <v>3507.77033187328</v>
      </c>
      <c r="S11" s="45" t="n">
        <f aca="false">F11*ESTACIONALIDAD!$K$14+G11*ESTACIONALIDAD!$K$15+H11*ESTACIONALIDAD!$K$16+I11*ESTACIONALIDAD!$K$17</f>
        <v>3440.79760729215</v>
      </c>
      <c r="T11" s="45" t="n">
        <f aca="false">F11*ESTACIONALIDAD!$L$14+G11*ESTACIONALIDAD!$L$15+H11*ESTACIONALIDAD!$L$16+I11*ESTACIONALIDAD!$L$17</f>
        <v>3374.42806932083</v>
      </c>
      <c r="U11" s="45" t="n">
        <f aca="false">F11*ESTACIONALIDAD!$M$14+G11*ESTACIONALIDAD!$M$15+H11*ESTACIONALIDAD!$M$16+I11*ESTACIONALIDAD!$M$17</f>
        <v>5369.53154030053</v>
      </c>
      <c r="V11" s="45" t="n">
        <f aca="false">MAX(J11:U11)</f>
        <v>5369.53154030053</v>
      </c>
      <c r="W11" s="46" t="n">
        <f aca="false">E11/INDEX(P_VAL,MATCH("DH_AÑO",P_ID,0))</f>
        <v>191.096695625192</v>
      </c>
      <c r="X11" s="46" t="n">
        <f aca="false">V11/INDEX(P_VAL,MATCH("DH_MES",P_ID,0))</f>
        <v>268.476577015026</v>
      </c>
      <c r="Y11" s="25" t="n">
        <f aca="false">INDEX(C_TAB,MATCH($A11,C_COD,0),12)</f>
        <v>10</v>
      </c>
      <c r="Z11" s="46" t="n">
        <f aca="false">(X11-W11)*Y11</f>
        <v>773.798813898343</v>
      </c>
      <c r="AA11" s="45" t="n">
        <f aca="false">W11*Y11+Z11</f>
        <v>2684.76577015026</v>
      </c>
      <c r="AB11" s="25" t="n">
        <f aca="false">INDEX(C_TAB,MATCH($A11,C_COD,0),15)</f>
        <v>5</v>
      </c>
      <c r="AC11" s="45" t="n">
        <f aca="false">INDEX(C_TAB,MATCH($A11,C_COD,0),11)</f>
        <v>615</v>
      </c>
      <c r="AD11" s="45" t="n">
        <f aca="false">MAX(AC11,CEILING(X11*AB11,AC11))</f>
        <v>1845</v>
      </c>
      <c r="AE11" s="25" t="n">
        <f aca="false">AD11/AC11</f>
        <v>3</v>
      </c>
      <c r="AF11" s="45" t="n">
        <f aca="false">Z11+AD11</f>
        <v>2618.79881389834</v>
      </c>
      <c r="AG11" s="25" t="n">
        <f aca="false">ROUNDUP(AF11/AC11,0)</f>
        <v>5</v>
      </c>
      <c r="AH11" s="45" t="n">
        <f aca="false">IF(W11&gt;0,AF11/W11,0)</f>
        <v>13.7040507442093</v>
      </c>
      <c r="AI11" s="25" t="n">
        <f aca="false">IF(AD11&gt;0,E11/AD11,0)</f>
        <v>24.8581067479925</v>
      </c>
      <c r="AJ11" s="25" t="n">
        <f aca="false">INDEX(C_TAB,MATCH($A11,C_COD,0),16)</f>
        <v>1</v>
      </c>
      <c r="AK11" s="47" t="n">
        <f aca="false">IF(AJ11&gt;0,AG11/AJ11,0)</f>
        <v>5</v>
      </c>
      <c r="AL11" s="45" t="n">
        <f aca="false">INDEX(C_TAB,MATCH($A11,C_COD,0),17)</f>
        <v>1</v>
      </c>
      <c r="AM11" s="45" t="n">
        <f aca="false">AK11*AL11</f>
        <v>5</v>
      </c>
    </row>
    <row r="12" customFormat="false" ht="15" hidden="false" customHeight="false" outlineLevel="0" collapsed="false">
      <c r="A12" s="24" t="s">
        <v>721</v>
      </c>
      <c r="B12" s="24" t="str">
        <f aca="false">INDEX(C_TAB,MATCH($A12,C_COD,0),2)</f>
        <v>Fleje LAF 1,6 × 200 mm (fondo Ø177, 5 kg)</v>
      </c>
      <c r="C12" s="24" t="str">
        <f aca="false">INDEX(C_TAB,MATCH($A12,C_COD,0),3)</f>
        <v>kg</v>
      </c>
      <c r="D12" s="24" t="str">
        <f aca="false">INDEX(C_TAB,MATCH($A12,C_COD,0),6)</f>
        <v>Chapa y fleje (manuales)</v>
      </c>
      <c r="E12" s="45" t="n">
        <f aca="false">CONSOLIDADO_INSUMOS!T23</f>
        <v>29438.1626640727</v>
      </c>
      <c r="F12" s="45" t="n">
        <f aca="false">SUMIFS(CONSOLIDADO_INSUMOS!$T$4:$T$350,CONSOLIDADO_INSUMOS!$B$4:$B$350,$A12,CONSOLIDADO_INSUMOS!$H$4:$H$350,"MANUALES")</f>
        <v>29266.6912330327</v>
      </c>
      <c r="G12" s="45" t="n">
        <f aca="false">SUMIFS(CONSOLIDADO_INSUMOS!$T$4:$T$350,CONSOLIDADO_INSUMOS!$B$4:$B$350,$A12,CONSOLIDADO_INSUMOS!$H$4:$H$350,"RODANTES")</f>
        <v>0</v>
      </c>
      <c r="H12" s="45" t="n">
        <f aca="false">SUMIFS(CONSOLIDADO_INSUMOS!$T$4:$T$350,CONSOLIDADO_INSUMOS!$B$4:$B$350,$A12,CONSOLIDADO_INSUMOS!$H$4:$H$350,"RECARGAS")</f>
        <v>171.47143104</v>
      </c>
      <c r="I12" s="45" t="n">
        <f aca="false">SUMIFS(CONSOLIDADO_INSUMOS!$T$4:$T$350,CONSOLIDADO_INSUMOS!$B$4:$B$350,$A12,CONSOLIDADO_INSUMOS!$H$4:$H$350,"REVENDIDOS")</f>
        <v>0</v>
      </c>
      <c r="J12" s="45" t="n">
        <f aca="false">F12*ESTACIONALIDAD!$B$14+G12*ESTACIONALIDAD!$B$15+H12*ESTACIONALIDAD!$B$16+I12*ESTACIONALIDAD!$B$17</f>
        <v>3357.99668284286</v>
      </c>
      <c r="K12" s="45" t="n">
        <f aca="false">F12*ESTACIONALIDAD!$C$14+G12*ESTACIONALIDAD!$C$15+H12*ESTACIONALIDAD!$C$16+I12*ESTACIONALIDAD!$C$17</f>
        <v>2562.36307844746</v>
      </c>
      <c r="L12" s="45" t="n">
        <f aca="false">F12*ESTACIONALIDAD!$D$14+G12*ESTACIONALIDAD!$D$15+H12*ESTACIONALIDAD!$D$16+I12*ESTACIONALIDAD!$D$17</f>
        <v>2397.87340745042</v>
      </c>
      <c r="M12" s="45" t="n">
        <f aca="false">F12*ESTACIONALIDAD!$E$14+G12*ESTACIONALIDAD!$E$15+H12*ESTACIONALIDAD!$E$16+I12*ESTACIONALIDAD!$E$17</f>
        <v>2293.73024781016</v>
      </c>
      <c r="N12" s="45" t="n">
        <f aca="false">F12*ESTACIONALIDAD!$F$14+G12*ESTACIONALIDAD!$F$15+H12*ESTACIONALIDAD!$F$16+I12*ESTACIONALIDAD!$F$17</f>
        <v>2146.98655094913</v>
      </c>
      <c r="O12" s="45" t="n">
        <f aca="false">F12*ESTACIONALIDAD!$G$14+G12*ESTACIONALIDAD!$G$15+H12*ESTACIONALIDAD!$G$16+I12*ESTACIONALIDAD!$G$17</f>
        <v>2103.98731004079</v>
      </c>
      <c r="P12" s="45" t="n">
        <f aca="false">F12*ESTACIONALIDAD!$H$14+G12*ESTACIONALIDAD!$H$15+H12*ESTACIONALIDAD!$H$16+I12*ESTACIONALIDAD!$H$17</f>
        <v>2251.15278460597</v>
      </c>
      <c r="Q12" s="45" t="n">
        <f aca="false">F12*ESTACIONALIDAD!$I$14+G12*ESTACIONALIDAD!$I$15+H12*ESTACIONALIDAD!$I$16+I12*ESTACIONALIDAD!$I$17</f>
        <v>2251.52841427697</v>
      </c>
      <c r="R12" s="45" t="n">
        <f aca="false">F12*ESTACIONALIDAD!$J$14+G12*ESTACIONALIDAD!$J$15+H12*ESTACIONALIDAD!$J$16+I12*ESTACIONALIDAD!$J$17</f>
        <v>2251.52841427697</v>
      </c>
      <c r="S12" s="45" t="n">
        <f aca="false">F12*ESTACIONALIDAD!$K$14+G12*ESTACIONALIDAD!$K$15+H12*ESTACIONALIDAD!$K$16+I12*ESTACIONALIDAD!$K$17</f>
        <v>2208.54071037692</v>
      </c>
      <c r="T12" s="45" t="n">
        <f aca="false">F12*ESTACIONALIDAD!$L$14+G12*ESTACIONALIDAD!$L$15+H12*ESTACIONALIDAD!$L$16+I12*ESTACIONALIDAD!$L$17</f>
        <v>2165.94017315616</v>
      </c>
      <c r="U12" s="45" t="n">
        <f aca="false">F12*ESTACIONALIDAD!$M$14+G12*ESTACIONALIDAD!$M$15+H12*ESTACIONALIDAD!$M$16+I12*ESTACIONALIDAD!$M$17</f>
        <v>3446.5348898389</v>
      </c>
      <c r="V12" s="45" t="n">
        <f aca="false">MAX(J12:U12)</f>
        <v>3446.5348898389</v>
      </c>
      <c r="W12" s="46" t="n">
        <f aca="false">E12/INDEX(P_VAL,MATCH("DH_AÑO",P_ID,0))</f>
        <v>122.659011100303</v>
      </c>
      <c r="X12" s="46" t="n">
        <f aca="false">V12/INDEX(P_VAL,MATCH("DH_MES",P_ID,0))</f>
        <v>172.326744491945</v>
      </c>
      <c r="Y12" s="25" t="n">
        <f aca="false">INDEX(C_TAB,MATCH($A12,C_COD,0),12)</f>
        <v>10</v>
      </c>
      <c r="Z12" s="46" t="n">
        <f aca="false">(X12-W12)*Y12</f>
        <v>496.677333916421</v>
      </c>
      <c r="AA12" s="45" t="n">
        <f aca="false">W12*Y12+Z12</f>
        <v>1723.26744491945</v>
      </c>
      <c r="AB12" s="25" t="n">
        <f aca="false">INDEX(C_TAB,MATCH($A12,C_COD,0),15)</f>
        <v>5</v>
      </c>
      <c r="AC12" s="45" t="n">
        <f aca="false">INDEX(C_TAB,MATCH($A12,C_COD,0),11)</f>
        <v>492</v>
      </c>
      <c r="AD12" s="45" t="n">
        <f aca="false">MAX(AC12,CEILING(X12*AB12,AC12))</f>
        <v>984</v>
      </c>
      <c r="AE12" s="25" t="n">
        <f aca="false">AD12/AC12</f>
        <v>2</v>
      </c>
      <c r="AF12" s="45" t="n">
        <f aca="false">Z12+AD12</f>
        <v>1480.67733391642</v>
      </c>
      <c r="AG12" s="25" t="n">
        <f aca="false">ROUNDUP(AF12/AC12,0)</f>
        <v>4</v>
      </c>
      <c r="AH12" s="45" t="n">
        <f aca="false">IF(W12&gt;0,AF12/W12,0)</f>
        <v>12.0714925111015</v>
      </c>
      <c r="AI12" s="25" t="n">
        <f aca="false">IF(AD12&gt;0,E12/AD12,0)</f>
        <v>29.9168319756836</v>
      </c>
      <c r="AJ12" s="25" t="n">
        <f aca="false">INDEX(C_TAB,MATCH($A12,C_COD,0),16)</f>
        <v>1</v>
      </c>
      <c r="AK12" s="47" t="n">
        <f aca="false">IF(AJ12&gt;0,AG12/AJ12,0)</f>
        <v>4</v>
      </c>
      <c r="AL12" s="45" t="n">
        <f aca="false">INDEX(C_TAB,MATCH($A12,C_COD,0),17)</f>
        <v>1</v>
      </c>
      <c r="AM12" s="45" t="n">
        <f aca="false">AK12*AL12</f>
        <v>4</v>
      </c>
    </row>
    <row r="13" customFormat="false" ht="15" hidden="false" customHeight="false" outlineLevel="0" collapsed="false">
      <c r="A13" s="24" t="s">
        <v>802</v>
      </c>
      <c r="B13" s="24" t="str">
        <f aca="false">INDEX(C_TAB,MATCH($A13,C_COD,0),2)</f>
        <v>Fleje LAF 1,6 × 300 mm (cúpula Ø258, 10 kg)</v>
      </c>
      <c r="C13" s="24" t="str">
        <f aca="false">INDEX(C_TAB,MATCH($A13,C_COD,0),3)</f>
        <v>kg</v>
      </c>
      <c r="D13" s="24" t="str">
        <f aca="false">INDEX(C_TAB,MATCH($A13,C_COD,0),6)</f>
        <v>Chapa y fleje (manuales)</v>
      </c>
      <c r="E13" s="45" t="n">
        <f aca="false">CONSOLIDADO_INSUMOS!T26</f>
        <v>3774.66913885005</v>
      </c>
      <c r="F13" s="45" t="n">
        <f aca="false">SUMIFS(CONSOLIDADO_INSUMOS!$T$4:$T$350,CONSOLIDADO_INSUMOS!$B$4:$B$350,$A13,CONSOLIDADO_INSUMOS!$H$4:$H$350,"MANUALES")</f>
        <v>3767.77302061005</v>
      </c>
      <c r="G13" s="45" t="n">
        <f aca="false">SUMIFS(CONSOLIDADO_INSUMOS!$T$4:$T$350,CONSOLIDADO_INSUMOS!$B$4:$B$350,$A13,CONSOLIDADO_INSUMOS!$H$4:$H$350,"RODANTES")</f>
        <v>0</v>
      </c>
      <c r="H13" s="45" t="n">
        <f aca="false">SUMIFS(CONSOLIDADO_INSUMOS!$T$4:$T$350,CONSOLIDADO_INSUMOS!$B$4:$B$350,$A13,CONSOLIDADO_INSUMOS!$H$4:$H$350,"RECARGAS")</f>
        <v>6.89611824</v>
      </c>
      <c r="I13" s="45" t="n">
        <f aca="false">SUMIFS(CONSOLIDADO_INSUMOS!$T$4:$T$350,CONSOLIDADO_INSUMOS!$B$4:$B$350,$A13,CONSOLIDADO_INSUMOS!$H$4:$H$350,"REVENDIDOS")</f>
        <v>0</v>
      </c>
      <c r="J13" s="45" t="n">
        <f aca="false">F13*ESTACIONALIDAD!$B$14+G13*ESTACIONALIDAD!$B$15+H13*ESTACIONALIDAD!$B$16+I13*ESTACIONALIDAD!$B$17</f>
        <v>430.858794298743</v>
      </c>
      <c r="K13" s="45" t="n">
        <f aca="false">F13*ESTACIONALIDAD!$C$14+G13*ESTACIONALIDAD!$C$15+H13*ESTACIONALIDAD!$C$16+I13*ESTACIONALIDAD!$C$17</f>
        <v>328.678313374304</v>
      </c>
      <c r="L13" s="45" t="n">
        <f aca="false">F13*ESTACIONALIDAD!$D$14+G13*ESTACIONALIDAD!$D$15+H13*ESTACIONALIDAD!$D$16+I13*ESTACIONALIDAD!$D$17</f>
        <v>307.465714761186</v>
      </c>
      <c r="M13" s="45" t="n">
        <f aca="false">F13*ESTACIONALIDAD!$E$14+G13*ESTACIONALIDAD!$E$15+H13*ESTACIONALIDAD!$E$16+I13*ESTACIONALIDAD!$E$17</f>
        <v>294.093692478136</v>
      </c>
      <c r="N13" s="45" t="n">
        <f aca="false">F13*ESTACIONALIDAD!$F$14+G13*ESTACIONALIDAD!$F$15+H13*ESTACIONALIDAD!$F$16+I13*ESTACIONALIDAD!$F$17</f>
        <v>275.238328601334</v>
      </c>
      <c r="O13" s="45" t="n">
        <f aca="false">F13*ESTACIONALIDAD!$G$14+G13*ESTACIONALIDAD!$G$15+H13*ESTACIONALIDAD!$G$16+I13*ESTACIONALIDAD!$G$17</f>
        <v>269.738952221173</v>
      </c>
      <c r="P13" s="45" t="n">
        <f aca="false">F13*ESTACIONALIDAD!$H$14+G13*ESTACIONALIDAD!$H$15+H13*ESTACIONALIDAD!$H$16+I13*ESTACIONALIDAD!$H$17</f>
        <v>288.611278859066</v>
      </c>
      <c r="Q13" s="45" t="n">
        <f aca="false">F13*ESTACIONALIDAD!$I$14+G13*ESTACIONALIDAD!$I$15+H13*ESTACIONALIDAD!$I$16+I13*ESTACIONALIDAD!$I$17</f>
        <v>288.626385670796</v>
      </c>
      <c r="R13" s="45" t="n">
        <f aca="false">F13*ESTACIONALIDAD!$J$14+G13*ESTACIONALIDAD!$J$15+H13*ESTACIONALIDAD!$J$16+I13*ESTACIONALIDAD!$J$17</f>
        <v>288.626385670796</v>
      </c>
      <c r="S13" s="45" t="n">
        <f aca="false">F13*ESTACIONALIDAD!$K$14+G13*ESTACIONALIDAD!$K$15+H13*ESTACIONALIDAD!$K$16+I13*ESTACIONALIDAD!$K$17</f>
        <v>283.127473277974</v>
      </c>
      <c r="T13" s="45" t="n">
        <f aca="false">F13*ESTACIONALIDAD!$L$14+G13*ESTACIONALIDAD!$L$15+H13*ESTACIONALIDAD!$L$16+I13*ESTACIONALIDAD!$L$17</f>
        <v>277.644131684223</v>
      </c>
      <c r="U13" s="45" t="n">
        <f aca="false">F13*ESTACIONALIDAD!$M$14+G13*ESTACIONALIDAD!$M$15+H13*ESTACIONALIDAD!$M$16+I13*ESTACIONALIDAD!$M$17</f>
        <v>441.95968795232</v>
      </c>
      <c r="V13" s="45" t="n">
        <f aca="false">MAX(J13:U13)</f>
        <v>441.95968795232</v>
      </c>
      <c r="W13" s="46" t="n">
        <f aca="false">E13/INDEX(P_VAL,MATCH("DH_AÑO",P_ID,0))</f>
        <v>15.7277880785419</v>
      </c>
      <c r="X13" s="46" t="n">
        <f aca="false">V13/INDEX(P_VAL,MATCH("DH_MES",P_ID,0))</f>
        <v>22.097984397616</v>
      </c>
      <c r="Y13" s="25" t="n">
        <f aca="false">INDEX(C_TAB,MATCH($A13,C_COD,0),12)</f>
        <v>10</v>
      </c>
      <c r="Z13" s="46" t="n">
        <f aca="false">(X13-W13)*Y13</f>
        <v>63.7019631907414</v>
      </c>
      <c r="AA13" s="45" t="n">
        <f aca="false">W13*Y13+Z13</f>
        <v>220.97984397616</v>
      </c>
      <c r="AB13" s="25" t="n">
        <f aca="false">INDEX(C_TAB,MATCH($A13,C_COD,0),15)</f>
        <v>5</v>
      </c>
      <c r="AC13" s="45" t="n">
        <f aca="false">INDEX(C_TAB,MATCH($A13,C_COD,0),11)</f>
        <v>590</v>
      </c>
      <c r="AD13" s="45" t="n">
        <f aca="false">MAX(AC13,CEILING(X13*AB13,AC13))</f>
        <v>590</v>
      </c>
      <c r="AE13" s="25" t="n">
        <f aca="false">AD13/AC13</f>
        <v>1</v>
      </c>
      <c r="AF13" s="45" t="n">
        <f aca="false">Z13+AD13</f>
        <v>653.701963190741</v>
      </c>
      <c r="AG13" s="25" t="n">
        <f aca="false">ROUNDUP(AF13/AC13,0)</f>
        <v>2</v>
      </c>
      <c r="AH13" s="45" t="n">
        <f aca="false">IF(W13&gt;0,AF13/W13,0)</f>
        <v>41.5635027587011</v>
      </c>
      <c r="AI13" s="25" t="n">
        <f aca="false">IF(AD13&gt;0,E13/AD13,0)</f>
        <v>6.39774430313568</v>
      </c>
      <c r="AJ13" s="25" t="n">
        <f aca="false">INDEX(C_TAB,MATCH($A13,C_COD,0),16)</f>
        <v>1</v>
      </c>
      <c r="AK13" s="47" t="n">
        <f aca="false">IF(AJ13&gt;0,AG13/AJ13,0)</f>
        <v>2</v>
      </c>
      <c r="AL13" s="45" t="n">
        <f aca="false">INDEX(C_TAB,MATCH($A13,C_COD,0),17)</f>
        <v>1</v>
      </c>
      <c r="AM13" s="45" t="n">
        <f aca="false">AK13*AL13</f>
        <v>2</v>
      </c>
    </row>
    <row r="14" customFormat="false" ht="15" hidden="false" customHeight="false" outlineLevel="0" collapsed="false">
      <c r="A14" s="24" t="s">
        <v>805</v>
      </c>
      <c r="B14" s="24" t="str">
        <f aca="false">INDEX(C_TAB,MATCH($A14,C_COD,0),2)</f>
        <v>Fleje LAF 2,0 × 249 mm (fondo Ø205, 10 kg)</v>
      </c>
      <c r="C14" s="24" t="str">
        <f aca="false">INDEX(C_TAB,MATCH($A14,C_COD,0),3)</f>
        <v>kg</v>
      </c>
      <c r="D14" s="24" t="str">
        <f aca="false">INDEX(C_TAB,MATCH($A14,C_COD,0),6)</f>
        <v>Chapa y fleje (manuales)</v>
      </c>
      <c r="E14" s="45" t="n">
        <f aca="false">CONSOLIDADO_INSUMOS!T29</f>
        <v>3122.71718386858</v>
      </c>
      <c r="F14" s="45" t="n">
        <f aca="false">SUMIFS(CONSOLIDADO_INSUMOS!$T$4:$T$350,CONSOLIDADO_INSUMOS!$B$4:$B$350,$A14,CONSOLIDADO_INSUMOS!$H$4:$H$350,"MANUALES")</f>
        <v>3117.01214691358</v>
      </c>
      <c r="G14" s="45" t="n">
        <f aca="false">SUMIFS(CONSOLIDADO_INSUMOS!$T$4:$T$350,CONSOLIDADO_INSUMOS!$B$4:$B$350,$A14,CONSOLIDADO_INSUMOS!$H$4:$H$350,"RODANTES")</f>
        <v>0</v>
      </c>
      <c r="H14" s="45" t="n">
        <f aca="false">SUMIFS(CONSOLIDADO_INSUMOS!$T$4:$T$350,CONSOLIDADO_INSUMOS!$B$4:$B$350,$A14,CONSOLIDADO_INSUMOS!$H$4:$H$350,"RECARGAS")</f>
        <v>5.705036955</v>
      </c>
      <c r="I14" s="45" t="n">
        <f aca="false">SUMIFS(CONSOLIDADO_INSUMOS!$T$4:$T$350,CONSOLIDADO_INSUMOS!$B$4:$B$350,$A14,CONSOLIDADO_INSUMOS!$H$4:$H$350,"REVENDIDOS")</f>
        <v>0</v>
      </c>
      <c r="J14" s="45" t="n">
        <f aca="false">F14*ESTACIONALIDAD!$B$14+G14*ESTACIONALIDAD!$B$15+H14*ESTACIONALIDAD!$B$16+I14*ESTACIONALIDAD!$B$17</f>
        <v>356.441879085454</v>
      </c>
      <c r="K14" s="45" t="n">
        <f aca="false">F14*ESTACIONALIDAD!$C$14+G14*ESTACIONALIDAD!$C$15+H14*ESTACIONALIDAD!$C$16+I14*ESTACIONALIDAD!$C$17</f>
        <v>271.909769938556</v>
      </c>
      <c r="L14" s="45" t="n">
        <f aca="false">F14*ESTACIONALIDAD!$D$14+G14*ESTACIONALIDAD!$D$15+H14*ESTACIONALIDAD!$D$16+I14*ESTACIONALIDAD!$D$17</f>
        <v>254.360961349766</v>
      </c>
      <c r="M14" s="45" t="n">
        <f aca="false">F14*ESTACIONALIDAD!$E$14+G14*ESTACIONALIDAD!$E$15+H14*ESTACIONALIDAD!$E$16+I14*ESTACIONALIDAD!$E$17</f>
        <v>243.298523231262</v>
      </c>
      <c r="N14" s="45" t="n">
        <f aca="false">F14*ESTACIONALIDAD!$F$14+G14*ESTACIONALIDAD!$F$15+H14*ESTACIONALIDAD!$F$16+I14*ESTACIONALIDAD!$F$17</f>
        <v>227.69981335225</v>
      </c>
      <c r="O14" s="45" t="n">
        <f aca="false">F14*ESTACIONALIDAD!$G$14+G14*ESTACIONALIDAD!$G$15+H14*ESTACIONALIDAD!$G$16+I14*ESTACIONALIDAD!$G$17</f>
        <v>223.150276295838</v>
      </c>
      <c r="P14" s="45" t="n">
        <f aca="false">F14*ESTACIONALIDAD!$H$14+G14*ESTACIONALIDAD!$H$15+H14*ESTACIONALIDAD!$H$16+I14*ESTACIONALIDAD!$H$17</f>
        <v>238.763019167836</v>
      </c>
      <c r="Q14" s="45" t="n">
        <f aca="false">F14*ESTACIONALIDAD!$I$14+G14*ESTACIONALIDAD!$I$15+H14*ESTACIONALIDAD!$I$16+I14*ESTACIONALIDAD!$I$17</f>
        <v>238.775516766657</v>
      </c>
      <c r="R14" s="45" t="n">
        <f aca="false">F14*ESTACIONALIDAD!$J$14+G14*ESTACIONALIDAD!$J$15+H14*ESTACIONALIDAD!$J$16+I14*ESTACIONALIDAD!$J$17</f>
        <v>238.775516766657</v>
      </c>
      <c r="S14" s="45" t="n">
        <f aca="false">F14*ESTACIONALIDAD!$K$14+G14*ESTACIONALIDAD!$K$15+H14*ESTACIONALIDAD!$K$16+I14*ESTACIONALIDAD!$K$17</f>
        <v>234.226363558786</v>
      </c>
      <c r="T14" s="45" t="n">
        <f aca="false">F14*ESTACIONALIDAD!$L$14+G14*ESTACIONALIDAD!$L$15+H14*ESTACIONALIDAD!$L$16+I14*ESTACIONALIDAD!$L$17</f>
        <v>229.690091798278</v>
      </c>
      <c r="U14" s="45" t="n">
        <f aca="false">F14*ESTACIONALIDAD!$M$14+G14*ESTACIONALIDAD!$M$15+H14*ESTACIONALIDAD!$M$16+I14*ESTACIONALIDAD!$M$17</f>
        <v>365.625452557243</v>
      </c>
      <c r="V14" s="45" t="n">
        <f aca="false">MAX(J14:U14)</f>
        <v>365.625452557243</v>
      </c>
      <c r="W14" s="46" t="n">
        <f aca="false">E14/INDEX(P_VAL,MATCH("DH_AÑO",P_ID,0))</f>
        <v>13.0113215994524</v>
      </c>
      <c r="X14" s="46" t="n">
        <f aca="false">V14/INDEX(P_VAL,MATCH("DH_MES",P_ID,0))</f>
        <v>18.2812726278621</v>
      </c>
      <c r="Y14" s="25" t="n">
        <f aca="false">INDEX(C_TAB,MATCH($A14,C_COD,0),12)</f>
        <v>10</v>
      </c>
      <c r="Z14" s="46" t="n">
        <f aca="false">(X14-W14)*Y14</f>
        <v>52.699510284097</v>
      </c>
      <c r="AA14" s="45" t="n">
        <f aca="false">W14*Y14+Z14</f>
        <v>182.812726278621</v>
      </c>
      <c r="AB14" s="25" t="n">
        <f aca="false">INDEX(C_TAB,MATCH($A14,C_COD,0),15)</f>
        <v>5</v>
      </c>
      <c r="AC14" s="45" t="n">
        <f aca="false">INDEX(C_TAB,MATCH($A14,C_COD,0),11)</f>
        <v>498</v>
      </c>
      <c r="AD14" s="45" t="n">
        <f aca="false">MAX(AC14,CEILING(X14*AB14,AC14))</f>
        <v>498</v>
      </c>
      <c r="AE14" s="25" t="n">
        <f aca="false">AD14/AC14</f>
        <v>1</v>
      </c>
      <c r="AF14" s="45" t="n">
        <f aca="false">Z14+AD14</f>
        <v>550.699510284097</v>
      </c>
      <c r="AG14" s="25" t="n">
        <f aca="false">ROUNDUP(AF14/AC14,0)</f>
        <v>2</v>
      </c>
      <c r="AH14" s="45" t="n">
        <f aca="false">IF(W14&gt;0,AF14/W14,0)</f>
        <v>42.3246405889524</v>
      </c>
      <c r="AI14" s="25" t="n">
        <f aca="false">IF(AD14&gt;0,E14/AD14,0)</f>
        <v>6.27051643347105</v>
      </c>
      <c r="AJ14" s="25" t="n">
        <f aca="false">INDEX(C_TAB,MATCH($A14,C_COD,0),16)</f>
        <v>1</v>
      </c>
      <c r="AK14" s="47" t="n">
        <f aca="false">IF(AJ14&gt;0,AG14/AJ14,0)</f>
        <v>2</v>
      </c>
      <c r="AL14" s="45" t="n">
        <f aca="false">INDEX(C_TAB,MATCH($A14,C_COD,0),17)</f>
        <v>1</v>
      </c>
      <c r="AM14" s="45" t="n">
        <f aca="false">AK14*AL14</f>
        <v>2</v>
      </c>
    </row>
    <row r="15" customFormat="false" ht="15" hidden="false" customHeight="false" outlineLevel="0" collapsed="false">
      <c r="A15" s="24" t="s">
        <v>883</v>
      </c>
      <c r="B15" s="24" t="str">
        <f aca="false">INDEX(C_TAB,MATCH($A15,C_COD,0),2)</f>
        <v>Hoja LAC 3,2 × 1500 × 3000 mm (cuerpo 25 kg: 9 por hoja; 50 kg: 6)</v>
      </c>
      <c r="C15" s="24" t="str">
        <f aca="false">INDEX(C_TAB,MATCH($A15,C_COD,0),3)</f>
        <v>hoja</v>
      </c>
      <c r="D15" s="24" t="str">
        <f aca="false">INDEX(C_TAB,MATCH($A15,C_COD,0),6)</f>
        <v>Calle de chapa (carros)</v>
      </c>
      <c r="E15" s="45" t="n">
        <f aca="false">CONSOLIDADO_INSUMOS!T32</f>
        <v>370.957032538889</v>
      </c>
      <c r="F15" s="45" t="n">
        <f aca="false">SUMIFS(CONSOLIDADO_INSUMOS!$T$4:$T$350,CONSOLIDADO_INSUMOS!$B$4:$B$350,$A15,CONSOLIDADO_INSUMOS!$H$4:$H$350,"MANUALES")</f>
        <v>0</v>
      </c>
      <c r="G15" s="45" t="n">
        <f aca="false">SUMIFS(CONSOLIDADO_INSUMOS!$T$4:$T$350,CONSOLIDADO_INSUMOS!$B$4:$B$350,$A15,CONSOLIDADO_INSUMOS!$H$4:$H$350,"RODANTES")</f>
        <v>370.340365872222</v>
      </c>
      <c r="H15" s="45" t="n">
        <f aca="false">SUMIFS(CONSOLIDADO_INSUMOS!$T$4:$T$350,CONSOLIDADO_INSUMOS!$B$4:$B$350,$A15,CONSOLIDADO_INSUMOS!$H$4:$H$350,"RECARGAS")</f>
        <v>0.616666666666667</v>
      </c>
      <c r="I15" s="45" t="n">
        <f aca="false">SUMIFS(CONSOLIDADO_INSUMOS!$T$4:$T$350,CONSOLIDADO_INSUMOS!$B$4:$B$350,$A15,CONSOLIDADO_INSUMOS!$H$4:$H$350,"REVENDIDOS")</f>
        <v>0</v>
      </c>
      <c r="J15" s="45" t="n">
        <f aca="false">F15*ESTACIONALIDAD!$B$14+G15*ESTACIONALIDAD!$B$15+H15*ESTACIONALIDAD!$B$16+I15*ESTACIONALIDAD!$B$17</f>
        <v>31.5377300312504</v>
      </c>
      <c r="K15" s="45" t="n">
        <f aca="false">F15*ESTACIONALIDAD!$C$14+G15*ESTACIONALIDAD!$C$15+H15*ESTACIONALIDAD!$C$16+I15*ESTACIONALIDAD!$C$17</f>
        <v>27.8242175836514</v>
      </c>
      <c r="L15" s="45" t="n">
        <f aca="false">F15*ESTACIONALIDAD!$D$14+G15*ESTACIONALIDAD!$D$15+H15*ESTACIONALIDAD!$D$16+I15*ESTACIONALIDAD!$D$17</f>
        <v>33.3807984298216</v>
      </c>
      <c r="M15" s="45" t="n">
        <f aca="false">F15*ESTACIONALIDAD!$E$14+G15*ESTACIONALIDAD!$E$15+H15*ESTACIONALIDAD!$E$16+I15*ESTACIONALIDAD!$E$17</f>
        <v>33.379364562544</v>
      </c>
      <c r="N15" s="45" t="n">
        <f aca="false">F15*ESTACIONALIDAD!$F$14+G15*ESTACIONALIDAD!$F$15+H15*ESTACIONALIDAD!$F$16+I15*ESTACIONALIDAD!$F$17</f>
        <v>33.3778892044572</v>
      </c>
      <c r="O15" s="45" t="n">
        <f aca="false">F15*ESTACIONALIDAD!$G$14+G15*ESTACIONALIDAD!$G$15+H15*ESTACIONALIDAD!$G$16+I15*ESTACIONALIDAD!$G$17</f>
        <v>29.6730101876481</v>
      </c>
      <c r="P15" s="45" t="n">
        <f aca="false">F15*ESTACIONALIDAD!$H$14+G15*ESTACIONALIDAD!$H$15+H15*ESTACIONALIDAD!$H$16+I15*ESTACIONALIDAD!$H$17</f>
        <v>33.3794060533533</v>
      </c>
      <c r="Q15" s="45" t="n">
        <f aca="false">F15*ESTACIONALIDAD!$I$14+G15*ESTACIONALIDAD!$I$15+H15*ESTACIONALIDAD!$I$16+I15*ESTACIONALIDAD!$I$17</f>
        <v>33.3807569390123</v>
      </c>
      <c r="R15" s="45" t="n">
        <f aca="false">F15*ESTACIONALIDAD!$J$14+G15*ESTACIONALIDAD!$J$15+H15*ESTACIONALIDAD!$J$16+I15*ESTACIONALIDAD!$J$17</f>
        <v>31.5290551096512</v>
      </c>
      <c r="S15" s="45" t="n">
        <f aca="false">F15*ESTACIONALIDAD!$K$14+G15*ESTACIONALIDAD!$K$15+H15*ESTACIONALIDAD!$K$16+I15*ESTACIONALIDAD!$K$17</f>
        <v>27.8242175836514</v>
      </c>
      <c r="T15" s="45" t="n">
        <f aca="false">F15*ESTACIONALIDAD!$L$14+G15*ESTACIONALIDAD!$L$15+H15*ESTACIONALIDAD!$L$16+I15*ESTACIONALIDAD!$L$17</f>
        <v>25.972474263481</v>
      </c>
      <c r="U15" s="45" t="n">
        <f aca="false">F15*ESTACIONALIDAD!$M$14+G15*ESTACIONALIDAD!$M$15+H15*ESTACIONALIDAD!$M$16+I15*ESTACIONALIDAD!$M$17</f>
        <v>29.6981125903669</v>
      </c>
      <c r="V15" s="45" t="n">
        <f aca="false">MAX(J15:U15)</f>
        <v>33.3807984298216</v>
      </c>
      <c r="W15" s="46" t="n">
        <f aca="false">E15/INDEX(P_VAL,MATCH("DH_AÑO",P_ID,0))</f>
        <v>1.54565430224537</v>
      </c>
      <c r="X15" s="46" t="n">
        <f aca="false">V15/INDEX(P_VAL,MATCH("DH_MES",P_ID,0))</f>
        <v>1.66903992149108</v>
      </c>
      <c r="Y15" s="25" t="n">
        <f aca="false">INDEX(C_TAB,MATCH($A15,C_COD,0),12)</f>
        <v>10</v>
      </c>
      <c r="Z15" s="46" t="n">
        <f aca="false">(X15-W15)*Y15</f>
        <v>1.23385619245709</v>
      </c>
      <c r="AA15" s="45" t="n">
        <f aca="false">W15*Y15+Z15</f>
        <v>16.6903992149108</v>
      </c>
      <c r="AB15" s="25" t="n">
        <f aca="false">INDEX(C_TAB,MATCH($A15,C_COD,0),15)</f>
        <v>5</v>
      </c>
      <c r="AC15" s="45" t="n">
        <f aca="false">INDEX(C_TAB,MATCH($A15,C_COD,0),11)</f>
        <v>20</v>
      </c>
      <c r="AD15" s="45" t="n">
        <f aca="false">MAX(AC15,CEILING(X15*AB15,AC15))</f>
        <v>20</v>
      </c>
      <c r="AE15" s="25" t="n">
        <f aca="false">AD15/AC15</f>
        <v>1</v>
      </c>
      <c r="AF15" s="45" t="n">
        <f aca="false">Z15+AD15</f>
        <v>21.2338561924571</v>
      </c>
      <c r="AG15" s="25" t="n">
        <f aca="false">ROUNDUP(AF15/AC15,0)</f>
        <v>2</v>
      </c>
      <c r="AH15" s="45" t="n">
        <f aca="false">IF(W15&gt;0,AF15/W15,0)</f>
        <v>13.7377783386691</v>
      </c>
      <c r="AI15" s="25" t="n">
        <f aca="false">IF(AD15&gt;0,E15/AD15,0)</f>
        <v>18.5478516269444</v>
      </c>
      <c r="AJ15" s="25" t="n">
        <f aca="false">INDEX(C_TAB,MATCH($A15,C_COD,0),16)</f>
        <v>2</v>
      </c>
      <c r="AK15" s="47" t="n">
        <f aca="false">IF(AJ15&gt;0,AG15/AJ15,0)</f>
        <v>1</v>
      </c>
      <c r="AL15" s="45" t="n">
        <f aca="false">INDEX(C_TAB,MATCH($A15,C_COD,0),17)</f>
        <v>4.5</v>
      </c>
      <c r="AM15" s="45" t="n">
        <f aca="false">AK15*AL15</f>
        <v>4.5</v>
      </c>
    </row>
    <row r="16" customFormat="false" ht="15" hidden="false" customHeight="false" outlineLevel="0" collapsed="false">
      <c r="A16" s="24" t="s">
        <v>1121</v>
      </c>
      <c r="B16" s="24" t="str">
        <f aca="false">INDEX(C_TAB,MATCH($A16,C_COD,0),2)</f>
        <v>Hoja LAC 4,75 × 1500 × 3000 mm (cuerpos 70 y 100 kg)</v>
      </c>
      <c r="C16" s="24" t="str">
        <f aca="false">INDEX(C_TAB,MATCH($A16,C_COD,0),3)</f>
        <v>hoja</v>
      </c>
      <c r="D16" s="24" t="str">
        <f aca="false">INDEX(C_TAB,MATCH($A16,C_COD,0),6)</f>
        <v>Calle de chapa (carros)</v>
      </c>
      <c r="E16" s="45" t="n">
        <f aca="false">CONSOLIDADO_INSUMOS!T35</f>
        <v>165.2921582</v>
      </c>
      <c r="F16" s="45" t="n">
        <f aca="false">SUMIFS(CONSOLIDADO_INSUMOS!$T$4:$T$350,CONSOLIDADO_INSUMOS!$B$4:$B$350,$A16,CONSOLIDADO_INSUMOS!$H$4:$H$350,"MANUALES")</f>
        <v>0</v>
      </c>
      <c r="G16" s="45" t="n">
        <f aca="false">SUMIFS(CONSOLIDADO_INSUMOS!$T$4:$T$350,CONSOLIDADO_INSUMOS!$B$4:$B$350,$A16,CONSOLIDADO_INSUMOS!$H$4:$H$350,"RODANTES")</f>
        <v>165.1421582</v>
      </c>
      <c r="H16" s="45" t="n">
        <f aca="false">SUMIFS(CONSOLIDADO_INSUMOS!$T$4:$T$350,CONSOLIDADO_INSUMOS!$B$4:$B$350,$A16,CONSOLIDADO_INSUMOS!$H$4:$H$350,"RECARGAS")</f>
        <v>0.15</v>
      </c>
      <c r="I16" s="45" t="n">
        <f aca="false">SUMIFS(CONSOLIDADO_INSUMOS!$T$4:$T$350,CONSOLIDADO_INSUMOS!$B$4:$B$350,$A16,CONSOLIDADO_INSUMOS!$H$4:$H$350,"REVENDIDOS")</f>
        <v>0</v>
      </c>
      <c r="J16" s="45" t="n">
        <f aca="false">F16*ESTACIONALIDAD!$B$14+G16*ESTACIONALIDAD!$B$15+H16*ESTACIONALIDAD!$B$16+I16*ESTACIONALIDAD!$B$17</f>
        <v>14.051385889946</v>
      </c>
      <c r="K16" s="45" t="n">
        <f aca="false">F16*ESTACIONALIDAD!$C$14+G16*ESTACIONALIDAD!$C$15+H16*ESTACIONALIDAD!$C$16+I16*ESTACIONALIDAD!$C$17</f>
        <v>12.3975054133544</v>
      </c>
      <c r="L16" s="45" t="n">
        <f aca="false">F16*ESTACIONALIDAD!$D$14+G16*ESTACIONALIDAD!$D$15+H16*ESTACIONALIDAD!$D$16+I16*ESTACIONALIDAD!$D$17</f>
        <v>14.8749966572404</v>
      </c>
      <c r="M16" s="45" t="n">
        <f aca="false">F16*ESTACIONALIDAD!$E$14+G16*ESTACIONALIDAD!$E$15+H16*ESTACIONALIDAD!$E$16+I16*ESTACIONALIDAD!$E$17</f>
        <v>14.8746478787134</v>
      </c>
      <c r="N16" s="45" t="n">
        <f aca="false">F16*ESTACIONALIDAD!$F$14+G16*ESTACIONALIDAD!$F$15+H16*ESTACIONALIDAD!$F$16+I16*ESTACIONALIDAD!$F$17</f>
        <v>14.8742890078274</v>
      </c>
      <c r="O16" s="45" t="n">
        <f aca="false">F16*ESTACIONALIDAD!$G$14+G16*ESTACIONALIDAD!$G$15+H16*ESTACIONALIDAD!$G$16+I16*ESTACIONALIDAD!$G$17</f>
        <v>13.2225085549414</v>
      </c>
      <c r="P16" s="45" t="n">
        <f aca="false">F16*ESTACIONALIDAD!$H$14+G16*ESTACIONALIDAD!$H$15+H16*ESTACIONALIDAD!$H$16+I16*ESTACIONALIDAD!$H$17</f>
        <v>14.8746579710724</v>
      </c>
      <c r="Q16" s="45" t="n">
        <f aca="false">F16*ESTACIONALIDAD!$I$14+G16*ESTACIONALIDAD!$I$15+H16*ESTACIONALIDAD!$I$16+I16*ESTACIONALIDAD!$I$17</f>
        <v>14.8749865648814</v>
      </c>
      <c r="R16" s="45" t="n">
        <f aca="false">F16*ESTACIONALIDAD!$J$14+G16*ESTACIONALIDAD!$J$15+H16*ESTACIONALIDAD!$J$16+I16*ESTACIONALIDAD!$J$17</f>
        <v>14.0492757738814</v>
      </c>
      <c r="S16" s="45" t="n">
        <f aca="false">F16*ESTACIONALIDAD!$K$14+G16*ESTACIONALIDAD!$K$15+H16*ESTACIONALIDAD!$K$16+I16*ESTACIONALIDAD!$K$17</f>
        <v>12.3975054133544</v>
      </c>
      <c r="T16" s="45" t="n">
        <f aca="false">F16*ESTACIONALIDAD!$L$14+G16*ESTACIONALIDAD!$L$15+H16*ESTACIONALIDAD!$L$16+I16*ESTACIONALIDAD!$L$17</f>
        <v>11.5717845299954</v>
      </c>
      <c r="U16" s="45" t="n">
        <f aca="false">F16*ESTACIONALIDAD!$M$14+G16*ESTACIONALIDAD!$M$15+H16*ESTACIONALIDAD!$M$16+I16*ESTACIONALIDAD!$M$17</f>
        <v>13.228614544792</v>
      </c>
      <c r="V16" s="45" t="n">
        <f aca="false">MAX(J16:U16)</f>
        <v>14.8749966572404</v>
      </c>
      <c r="W16" s="46" t="n">
        <f aca="false">E16/INDEX(P_VAL,MATCH("DH_AÑO",P_ID,0))</f>
        <v>0.688717325833333</v>
      </c>
      <c r="X16" s="46" t="n">
        <f aca="false">V16/INDEX(P_VAL,MATCH("DH_MES",P_ID,0))</f>
        <v>0.743749832862019</v>
      </c>
      <c r="Y16" s="25" t="n">
        <f aca="false">INDEX(C_TAB,MATCH($A16,C_COD,0),12)</f>
        <v>10</v>
      </c>
      <c r="Z16" s="46" t="n">
        <f aca="false">(X16-W16)*Y16</f>
        <v>0.55032507028686</v>
      </c>
      <c r="AA16" s="45" t="n">
        <f aca="false">W16*Y16+Z16</f>
        <v>7.43749832862019</v>
      </c>
      <c r="AB16" s="25" t="n">
        <f aca="false">INDEX(C_TAB,MATCH($A16,C_COD,0),15)</f>
        <v>5</v>
      </c>
      <c r="AC16" s="45" t="n">
        <f aca="false">INDEX(C_TAB,MATCH($A16,C_COD,0),11)</f>
        <v>15</v>
      </c>
      <c r="AD16" s="45" t="n">
        <f aca="false">MAX(AC16,CEILING(X16*AB16,AC16))</f>
        <v>15</v>
      </c>
      <c r="AE16" s="25" t="n">
        <f aca="false">AD16/AC16</f>
        <v>1</v>
      </c>
      <c r="AF16" s="45" t="n">
        <f aca="false">Z16+AD16</f>
        <v>15.5503250702869</v>
      </c>
      <c r="AG16" s="25" t="n">
        <f aca="false">ROUNDUP(AF16/AC16,0)</f>
        <v>2</v>
      </c>
      <c r="AH16" s="45" t="n">
        <f aca="false">IF(W16&gt;0,AF16/W16,0)</f>
        <v>22.5786755857656</v>
      </c>
      <c r="AI16" s="25" t="n">
        <f aca="false">IF(AD16&gt;0,E16/AD16,0)</f>
        <v>11.0194772133333</v>
      </c>
      <c r="AJ16" s="25" t="n">
        <f aca="false">INDEX(C_TAB,MATCH($A16,C_COD,0),16)</f>
        <v>2</v>
      </c>
      <c r="AK16" s="47" t="n">
        <f aca="false">IF(AJ16&gt;0,AG16/AJ16,0)</f>
        <v>1</v>
      </c>
      <c r="AL16" s="45" t="n">
        <f aca="false">INDEX(C_TAB,MATCH($A16,C_COD,0),17)</f>
        <v>4.5</v>
      </c>
      <c r="AM16" s="45" t="n">
        <f aca="false">AK16*AL16</f>
        <v>4.5</v>
      </c>
    </row>
    <row r="17" customFormat="false" ht="15" hidden="false" customHeight="false" outlineLevel="0" collapsed="false">
      <c r="A17" s="24" t="s">
        <v>886</v>
      </c>
      <c r="B17" s="24" t="str">
        <f aca="false">INDEX(C_TAB,MATCH($A17,C_COD,0),2)</f>
        <v>Casquete embutido 10" × 3,2 mm (cúpula y fondo, carro 25 kg)</v>
      </c>
      <c r="C17" s="24" t="str">
        <f aca="false">INDEX(C_TAB,MATCH($A17,C_COD,0),3)</f>
        <v>u</v>
      </c>
      <c r="D17" s="24" t="str">
        <f aca="false">INDEX(C_TAB,MATCH($A17,C_COD,0),6)</f>
        <v>Rack de casquetes y cuplas (carros)</v>
      </c>
      <c r="E17" s="45" t="n">
        <f aca="false">CONSOLIDADO_INSUMOS!T38</f>
        <v>1550.5410664</v>
      </c>
      <c r="F17" s="45" t="n">
        <f aca="false">SUMIFS(CONSOLIDADO_INSUMOS!$T$4:$T$350,CONSOLIDADO_INSUMOS!$B$4:$B$350,$A17,CONSOLIDADO_INSUMOS!$H$4:$H$350,"MANUALES")</f>
        <v>0</v>
      </c>
      <c r="G17" s="45" t="n">
        <f aca="false">SUMIFS(CONSOLIDADO_INSUMOS!$T$4:$T$350,CONSOLIDADO_INSUMOS!$B$4:$B$350,$A17,CONSOLIDADO_INSUMOS!$H$4:$H$350,"RODANTES")</f>
        <v>1550.5410664</v>
      </c>
      <c r="H17" s="45" t="n">
        <f aca="false">SUMIFS(CONSOLIDADO_INSUMOS!$T$4:$T$350,CONSOLIDADO_INSUMOS!$B$4:$B$350,$A17,CONSOLIDADO_INSUMOS!$H$4:$H$350,"RECARGAS")</f>
        <v>0</v>
      </c>
      <c r="I17" s="45" t="n">
        <f aca="false">SUMIFS(CONSOLIDADO_INSUMOS!$T$4:$T$350,CONSOLIDADO_INSUMOS!$B$4:$B$350,$A17,CONSOLIDADO_INSUMOS!$H$4:$H$350,"REVENDIDOS")</f>
        <v>0</v>
      </c>
      <c r="J17" s="45" t="n">
        <f aca="false">F17*ESTACIONALIDAD!$B$14+G17*ESTACIONALIDAD!$B$15+H17*ESTACIONALIDAD!$B$16+I17*ESTACIONALIDAD!$B$17</f>
        <v>131.795990644</v>
      </c>
      <c r="K17" s="45" t="n">
        <f aca="false">F17*ESTACIONALIDAD!$C$14+G17*ESTACIONALIDAD!$C$15+H17*ESTACIONALIDAD!$C$16+I17*ESTACIONALIDAD!$C$17</f>
        <v>116.29057998</v>
      </c>
      <c r="L17" s="45" t="n">
        <f aca="false">F17*ESTACIONALIDAD!$D$14+G17*ESTACIONALIDAD!$D$15+H17*ESTACIONALIDAD!$D$16+I17*ESTACIONALIDAD!$D$17</f>
        <v>139.548695976</v>
      </c>
      <c r="M17" s="45" t="n">
        <f aca="false">F17*ESTACIONALIDAD!$E$14+G17*ESTACIONALIDAD!$E$15+H17*ESTACIONALIDAD!$E$16+I17*ESTACIONALIDAD!$E$17</f>
        <v>139.548695976</v>
      </c>
      <c r="N17" s="45" t="n">
        <f aca="false">F17*ESTACIONALIDAD!$F$14+G17*ESTACIONALIDAD!$F$15+H17*ESTACIONALIDAD!$F$16+I17*ESTACIONALIDAD!$F$17</f>
        <v>139.548695976</v>
      </c>
      <c r="O17" s="45" t="n">
        <f aca="false">F17*ESTACIONALIDAD!$G$14+G17*ESTACIONALIDAD!$G$15+H17*ESTACIONALIDAD!$G$16+I17*ESTACIONALIDAD!$G$17</f>
        <v>124.043285312</v>
      </c>
      <c r="P17" s="45" t="n">
        <f aca="false">F17*ESTACIONALIDAD!$H$14+G17*ESTACIONALIDAD!$H$15+H17*ESTACIONALIDAD!$H$16+I17*ESTACIONALIDAD!$H$17</f>
        <v>139.548695976</v>
      </c>
      <c r="Q17" s="45" t="n">
        <f aca="false">F17*ESTACIONALIDAD!$I$14+G17*ESTACIONALIDAD!$I$15+H17*ESTACIONALIDAD!$I$16+I17*ESTACIONALIDAD!$I$17</f>
        <v>139.548695976</v>
      </c>
      <c r="R17" s="45" t="n">
        <f aca="false">F17*ESTACIONALIDAD!$J$14+G17*ESTACIONALIDAD!$J$15+H17*ESTACIONALIDAD!$J$16+I17*ESTACIONALIDAD!$J$17</f>
        <v>131.795990644</v>
      </c>
      <c r="S17" s="45" t="n">
        <f aca="false">F17*ESTACIONALIDAD!$K$14+G17*ESTACIONALIDAD!$K$15+H17*ESTACIONALIDAD!$K$16+I17*ESTACIONALIDAD!$K$17</f>
        <v>116.29057998</v>
      </c>
      <c r="T17" s="45" t="n">
        <f aca="false">F17*ESTACIONALIDAD!$L$14+G17*ESTACIONALIDAD!$L$15+H17*ESTACIONALIDAD!$L$16+I17*ESTACIONALIDAD!$L$17</f>
        <v>108.537874648</v>
      </c>
      <c r="U17" s="45" t="n">
        <f aca="false">F17*ESTACIONALIDAD!$M$14+G17*ESTACIONALIDAD!$M$15+H17*ESTACIONALIDAD!$M$16+I17*ESTACIONALIDAD!$M$17</f>
        <v>124.043285312</v>
      </c>
      <c r="V17" s="45" t="n">
        <f aca="false">MAX(J17:U17)</f>
        <v>139.548695976</v>
      </c>
      <c r="W17" s="46" t="n">
        <f aca="false">E17/INDEX(P_VAL,MATCH("DH_AÑO",P_ID,0))</f>
        <v>6.46058777666667</v>
      </c>
      <c r="X17" s="46" t="n">
        <f aca="false">V17/INDEX(P_VAL,MATCH("DH_MES",P_ID,0))</f>
        <v>6.9774347988</v>
      </c>
      <c r="Y17" s="25" t="n">
        <f aca="false">INDEX(C_TAB,MATCH($A17,C_COD,0),12)</f>
        <v>60</v>
      </c>
      <c r="Z17" s="46" t="n">
        <f aca="false">(X17-W17)*Y17</f>
        <v>31.010821328</v>
      </c>
      <c r="AA17" s="45" t="n">
        <f aca="false">W17*Y17+Z17</f>
        <v>418.646087928</v>
      </c>
      <c r="AB17" s="25" t="n">
        <f aca="false">INDEX(C_TAB,MATCH($A17,C_COD,0),15)</f>
        <v>20</v>
      </c>
      <c r="AC17" s="45" t="n">
        <f aca="false">INDEX(C_TAB,MATCH($A17,C_COD,0),11)</f>
        <v>400</v>
      </c>
      <c r="AD17" s="45" t="n">
        <f aca="false">MAX(AC17,CEILING(X17*AB17,AC17))</f>
        <v>400</v>
      </c>
      <c r="AE17" s="25" t="n">
        <f aca="false">AD17/AC17</f>
        <v>1</v>
      </c>
      <c r="AF17" s="45" t="n">
        <f aca="false">Z17+AD17</f>
        <v>431.010821328</v>
      </c>
      <c r="AG17" s="25" t="n">
        <f aca="false">ROUNDUP(AF17/AC17,0)</f>
        <v>2</v>
      </c>
      <c r="AH17" s="45" t="n">
        <f aca="false">IF(W17&gt;0,AF17/W17,0)</f>
        <v>66.7138712803589</v>
      </c>
      <c r="AI17" s="25" t="n">
        <f aca="false">IF(AD17&gt;0,E17/AD17,0)</f>
        <v>3.876352666</v>
      </c>
      <c r="AJ17" s="25" t="n">
        <f aca="false">INDEX(C_TAB,MATCH($A17,C_COD,0),16)</f>
        <v>1</v>
      </c>
      <c r="AK17" s="47" t="n">
        <f aca="false">IF(AJ17&gt;0,AG17/AJ17,0)</f>
        <v>2</v>
      </c>
      <c r="AL17" s="45" t="n">
        <f aca="false">INDEX(C_TAB,MATCH($A17,C_COD,0),17)</f>
        <v>0.73</v>
      </c>
      <c r="AM17" s="45" t="n">
        <f aca="false">AK17*AL17</f>
        <v>1.46</v>
      </c>
    </row>
    <row r="18" customFormat="false" ht="15" hidden="false" customHeight="false" outlineLevel="0" collapsed="false">
      <c r="A18" s="24" t="s">
        <v>1018</v>
      </c>
      <c r="B18" s="24" t="str">
        <f aca="false">INDEX(C_TAB,MATCH($A18,C_COD,0),2)</f>
        <v>Casquete embutido 12" × 3,2 mm (cúpula y fondo, carro 50 kg)</v>
      </c>
      <c r="C18" s="24" t="str">
        <f aca="false">INDEX(C_TAB,MATCH($A18,C_COD,0),3)</f>
        <v>u</v>
      </c>
      <c r="D18" s="24" t="str">
        <f aca="false">INDEX(C_TAB,MATCH($A18,C_COD,0),6)</f>
        <v>Rack de casquetes y cuplas (carros)</v>
      </c>
      <c r="E18" s="45" t="n">
        <f aca="false">CONSOLIDADO_INSUMOS!T40</f>
        <v>3417.7903462</v>
      </c>
      <c r="F18" s="45" t="n">
        <f aca="false">SUMIFS(CONSOLIDADO_INSUMOS!$T$4:$T$350,CONSOLIDADO_INSUMOS!$B$4:$B$350,$A18,CONSOLIDADO_INSUMOS!$H$4:$H$350,"MANUALES")</f>
        <v>0</v>
      </c>
      <c r="G18" s="45" t="n">
        <f aca="false">SUMIFS(CONSOLIDADO_INSUMOS!$T$4:$T$350,CONSOLIDADO_INSUMOS!$B$4:$B$350,$A18,CONSOLIDADO_INSUMOS!$H$4:$H$350,"RODANTES")</f>
        <v>3410.3903462</v>
      </c>
      <c r="H18" s="45" t="n">
        <f aca="false">SUMIFS(CONSOLIDADO_INSUMOS!$T$4:$T$350,CONSOLIDADO_INSUMOS!$B$4:$B$350,$A18,CONSOLIDADO_INSUMOS!$H$4:$H$350,"RECARGAS")</f>
        <v>7.4</v>
      </c>
      <c r="I18" s="45" t="n">
        <f aca="false">SUMIFS(CONSOLIDADO_INSUMOS!$T$4:$T$350,CONSOLIDADO_INSUMOS!$B$4:$B$350,$A18,CONSOLIDADO_INSUMOS!$H$4:$H$350,"REVENDIDOS")</f>
        <v>0</v>
      </c>
      <c r="J18" s="45" t="n">
        <f aca="false">F18*ESTACIONALIDAD!$B$14+G18*ESTACIONALIDAD!$B$15+H18*ESTACIONALIDAD!$B$16+I18*ESTACIONALIDAD!$B$17</f>
        <v>290.588766612338</v>
      </c>
      <c r="K18" s="45" t="n">
        <f aca="false">F18*ESTACIONALIDAD!$C$14+G18*ESTACIONALIDAD!$C$15+H18*ESTACIONALIDAD!$C$16+I18*ESTACIONALIDAD!$C$17</f>
        <v>256.363557683817</v>
      </c>
      <c r="L18" s="45" t="n">
        <f aca="false">F18*ESTACIONALIDAD!$D$14+G18*ESTACIONALIDAD!$D$15+H18*ESTACIONALIDAD!$D$16+I18*ESTACIONALIDAD!$D$17</f>
        <v>307.537117173859</v>
      </c>
      <c r="M18" s="45" t="n">
        <f aca="false">F18*ESTACIONALIDAD!$E$14+G18*ESTACIONALIDAD!$E$15+H18*ESTACIONALIDAD!$E$16+I18*ESTACIONALIDAD!$E$17</f>
        <v>307.519910766528</v>
      </c>
      <c r="N18" s="45" t="n">
        <f aca="false">F18*ESTACIONALIDAD!$F$14+G18*ESTACIONALIDAD!$F$15+H18*ESTACIONALIDAD!$F$16+I18*ESTACIONALIDAD!$F$17</f>
        <v>307.502206469486</v>
      </c>
      <c r="O18" s="45" t="n">
        <f aca="false">F18*ESTACIONALIDAD!$G$14+G18*ESTACIONALIDAD!$G$15+H18*ESTACIONALIDAD!$G$16+I18*ESTACIONALIDAD!$G$17</f>
        <v>273.380598710444</v>
      </c>
      <c r="P18" s="45" t="n">
        <f aca="false">F18*ESTACIONALIDAD!$H$14+G18*ESTACIONALIDAD!$H$15+H18*ESTACIONALIDAD!$H$16+I18*ESTACIONALIDAD!$H$17</f>
        <v>307.52040865624</v>
      </c>
      <c r="Q18" s="45" t="n">
        <f aca="false">F18*ESTACIONALIDAD!$I$14+G18*ESTACIONALIDAD!$I$15+H18*ESTACIONALIDAD!$I$16+I18*ESTACIONALIDAD!$I$17</f>
        <v>307.536619284148</v>
      </c>
      <c r="R18" s="45" t="n">
        <f aca="false">F18*ESTACIONALIDAD!$J$14+G18*ESTACIONALIDAD!$J$15+H18*ESTACIONALIDAD!$J$16+I18*ESTACIONALIDAD!$J$17</f>
        <v>290.484667553148</v>
      </c>
      <c r="S18" s="45" t="n">
        <f aca="false">F18*ESTACIONALIDAD!$K$14+G18*ESTACIONALIDAD!$K$15+H18*ESTACIONALIDAD!$K$16+I18*ESTACIONALIDAD!$K$17</f>
        <v>256.363557683817</v>
      </c>
      <c r="T18" s="45" t="n">
        <f aca="false">F18*ESTACIONALIDAD!$L$14+G18*ESTACIONALIDAD!$L$15+H18*ESTACIONALIDAD!$L$16+I18*ESTACIONALIDAD!$L$17</f>
        <v>239.311108063106</v>
      </c>
      <c r="U18" s="45" t="n">
        <f aca="false">F18*ESTACIONALIDAD!$M$14+G18*ESTACIONALIDAD!$M$15+H18*ESTACIONALIDAD!$M$16+I18*ESTACIONALIDAD!$M$17</f>
        <v>273.68182754307</v>
      </c>
      <c r="V18" s="45" t="n">
        <f aca="false">MAX(J18:U18)</f>
        <v>307.537117173859</v>
      </c>
      <c r="W18" s="46" t="n">
        <f aca="false">E18/INDEX(P_VAL,MATCH("DH_AÑO",P_ID,0))</f>
        <v>14.2407931091667</v>
      </c>
      <c r="X18" s="46" t="n">
        <f aca="false">V18/INDEX(P_VAL,MATCH("DH_MES",P_ID,0))</f>
        <v>15.376855858693</v>
      </c>
      <c r="Y18" s="25" t="n">
        <f aca="false">INDEX(C_TAB,MATCH($A18,C_COD,0),12)</f>
        <v>60</v>
      </c>
      <c r="Z18" s="46" t="n">
        <f aca="false">(X18-W18)*Y18</f>
        <v>68.1637649715776</v>
      </c>
      <c r="AA18" s="45" t="n">
        <f aca="false">W18*Y18+Z18</f>
        <v>922.611351521578</v>
      </c>
      <c r="AB18" s="25" t="n">
        <f aca="false">INDEX(C_TAB,MATCH($A18,C_COD,0),15)</f>
        <v>20</v>
      </c>
      <c r="AC18" s="45" t="n">
        <f aca="false">INDEX(C_TAB,MATCH($A18,C_COD,0),11)</f>
        <v>300</v>
      </c>
      <c r="AD18" s="45" t="n">
        <f aca="false">MAX(AC18,CEILING(X18*AB18,AC18))</f>
        <v>600</v>
      </c>
      <c r="AE18" s="25" t="n">
        <f aca="false">AD18/AC18</f>
        <v>2</v>
      </c>
      <c r="AF18" s="45" t="n">
        <f aca="false">Z18+AD18</f>
        <v>668.163764971578</v>
      </c>
      <c r="AG18" s="25" t="n">
        <f aca="false">ROUNDUP(AF18/AC18,0)</f>
        <v>3</v>
      </c>
      <c r="AH18" s="45" t="n">
        <f aca="false">IF(W18&gt;0,AF18/W18,0)</f>
        <v>46.9189995142537</v>
      </c>
      <c r="AI18" s="25" t="n">
        <f aca="false">IF(AD18&gt;0,E18/AD18,0)</f>
        <v>5.69631724366667</v>
      </c>
      <c r="AJ18" s="25" t="n">
        <f aca="false">INDEX(C_TAB,MATCH($A18,C_COD,0),16)</f>
        <v>1</v>
      </c>
      <c r="AK18" s="47" t="n">
        <f aca="false">IF(AJ18&gt;0,AG18/AJ18,0)</f>
        <v>3</v>
      </c>
      <c r="AL18" s="45" t="n">
        <f aca="false">INDEX(C_TAB,MATCH($A18,C_COD,0),17)</f>
        <v>0.73</v>
      </c>
      <c r="AM18" s="45" t="n">
        <f aca="false">AK18*AL18</f>
        <v>2.19</v>
      </c>
    </row>
    <row r="19" customFormat="false" ht="15" hidden="false" customHeight="false" outlineLevel="0" collapsed="false">
      <c r="A19" s="24" t="s">
        <v>1124</v>
      </c>
      <c r="B19" s="24" t="str">
        <f aca="false">INDEX(C_TAB,MATCH($A19,C_COD,0),2)</f>
        <v>Casquete embutido 15" × 4,75 mm (cúpula y fondo, carros 70 y 100 kg)</v>
      </c>
      <c r="C19" s="24" t="str">
        <f aca="false">INDEX(C_TAB,MATCH($A19,C_COD,0),3)</f>
        <v>u</v>
      </c>
      <c r="D19" s="24" t="str">
        <f aca="false">INDEX(C_TAB,MATCH($A19,C_COD,0),6)</f>
        <v>Rack de casquetes y cuplas (carros)</v>
      </c>
      <c r="E19" s="45" t="n">
        <f aca="false">CONSOLIDADO_INSUMOS!T43</f>
        <v>1240.1328532</v>
      </c>
      <c r="F19" s="45" t="n">
        <f aca="false">SUMIFS(CONSOLIDADO_INSUMOS!$T$4:$T$350,CONSOLIDADO_INSUMOS!$B$4:$B$350,$A19,CONSOLIDADO_INSUMOS!$H$4:$H$350,"MANUALES")</f>
        <v>0</v>
      </c>
      <c r="G19" s="45" t="n">
        <f aca="false">SUMIFS(CONSOLIDADO_INSUMOS!$T$4:$T$350,CONSOLIDADO_INSUMOS!$B$4:$B$350,$A19,CONSOLIDADO_INSUMOS!$H$4:$H$350,"RODANTES")</f>
        <v>1239.2328532</v>
      </c>
      <c r="H19" s="45" t="n">
        <f aca="false">SUMIFS(CONSOLIDADO_INSUMOS!$T$4:$T$350,CONSOLIDADO_INSUMOS!$B$4:$B$350,$A19,CONSOLIDADO_INSUMOS!$H$4:$H$350,"RECARGAS")</f>
        <v>0.9</v>
      </c>
      <c r="I19" s="45" t="n">
        <f aca="false">SUMIFS(CONSOLIDADO_INSUMOS!$T$4:$T$350,CONSOLIDADO_INSUMOS!$B$4:$B$350,$A19,CONSOLIDADO_INSUMOS!$H$4:$H$350,"REVENDIDOS")</f>
        <v>0</v>
      </c>
      <c r="J19" s="45" t="n">
        <f aca="false">F19*ESTACIONALIDAD!$B$14+G19*ESTACIONALIDAD!$B$15+H19*ESTACIONALIDAD!$B$16+I19*ESTACIONALIDAD!$B$17</f>
        <v>105.420607179676</v>
      </c>
      <c r="K19" s="45" t="n">
        <f aca="false">F19*ESTACIONALIDAD!$C$14+G19*ESTACIONALIDAD!$C$15+H19*ESTACIONALIDAD!$C$16+I19*ESTACIONALIDAD!$C$17</f>
        <v>93.0135252801264</v>
      </c>
      <c r="L19" s="45" t="n">
        <f aca="false">F19*ESTACIONALIDAD!$D$14+G19*ESTACIONALIDAD!$D$15+H19*ESTACIONALIDAD!$D$16+I19*ESTACIONALIDAD!$D$17</f>
        <v>111.604171303442</v>
      </c>
      <c r="M19" s="45" t="n">
        <f aca="false">F19*ESTACIONALIDAD!$E$14+G19*ESTACIONALIDAD!$E$15+H19*ESTACIONALIDAD!$E$16+I19*ESTACIONALIDAD!$E$17</f>
        <v>111.60207863228</v>
      </c>
      <c r="N19" s="45" t="n">
        <f aca="false">F19*ESTACIONALIDAD!$F$14+G19*ESTACIONALIDAD!$F$15+H19*ESTACIONALIDAD!$F$16+I19*ESTACIONALIDAD!$F$17</f>
        <v>111.599925406965</v>
      </c>
      <c r="O19" s="45" t="n">
        <f aca="false">F19*ESTACIONALIDAD!$G$14+G19*ESTACIONALIDAD!$G$15+H19*ESTACIONALIDAD!$G$16+I19*ESTACIONALIDAD!$G$17</f>
        <v>99.2054436496486</v>
      </c>
      <c r="P19" s="45" t="n">
        <f aca="false">F19*ESTACIONALIDAD!$H$14+G19*ESTACIONALIDAD!$H$15+H19*ESTACIONALIDAD!$H$16+I19*ESTACIONALIDAD!$H$17</f>
        <v>111.602139186435</v>
      </c>
      <c r="Q19" s="45" t="n">
        <f aca="false">F19*ESTACIONALIDAD!$I$14+G19*ESTACIONALIDAD!$I$15+H19*ESTACIONALIDAD!$I$16+I19*ESTACIONALIDAD!$I$17</f>
        <v>111.604110749288</v>
      </c>
      <c r="R19" s="45" t="n">
        <f aca="false">F19*ESTACIONALIDAD!$J$14+G19*ESTACIONALIDAD!$J$15+H19*ESTACIONALIDAD!$J$16+I19*ESTACIONALIDAD!$J$17</f>
        <v>105.407946483288</v>
      </c>
      <c r="S19" s="45" t="n">
        <f aca="false">F19*ESTACIONALIDAD!$K$14+G19*ESTACIONALIDAD!$K$15+H19*ESTACIONALIDAD!$K$16+I19*ESTACIONALIDAD!$K$17</f>
        <v>93.0135252801264</v>
      </c>
      <c r="T19" s="45" t="n">
        <f aca="false">F19*ESTACIONALIDAD!$L$14+G19*ESTACIONALIDAD!$L$15+H19*ESTACIONALIDAD!$L$16+I19*ESTACIONALIDAD!$L$17</f>
        <v>86.8173004599723</v>
      </c>
      <c r="U19" s="45" t="n">
        <f aca="false">F19*ESTACIONALIDAD!$M$14+G19*ESTACIONALIDAD!$M$15+H19*ESTACIONALIDAD!$M$16+I19*ESTACIONALIDAD!$M$17</f>
        <v>99.2420795887517</v>
      </c>
      <c r="V19" s="45" t="n">
        <f aca="false">MAX(J19:U19)</f>
        <v>111.604171303442</v>
      </c>
      <c r="W19" s="46" t="n">
        <f aca="false">E19/INDEX(P_VAL,MATCH("DH_AÑO",P_ID,0))</f>
        <v>5.16722022166667</v>
      </c>
      <c r="X19" s="46" t="n">
        <f aca="false">V19/INDEX(P_VAL,MATCH("DH_MES",P_ID,0))</f>
        <v>5.58020856517212</v>
      </c>
      <c r="Y19" s="25" t="n">
        <f aca="false">INDEX(C_TAB,MATCH($A19,C_COD,0),12)</f>
        <v>60</v>
      </c>
      <c r="Z19" s="46" t="n">
        <f aca="false">(X19-W19)*Y19</f>
        <v>24.779300610327</v>
      </c>
      <c r="AA19" s="45" t="n">
        <f aca="false">W19*Y19+Z19</f>
        <v>334.812513910327</v>
      </c>
      <c r="AB19" s="25" t="n">
        <f aca="false">INDEX(C_TAB,MATCH($A19,C_COD,0),15)</f>
        <v>20</v>
      </c>
      <c r="AC19" s="45" t="n">
        <f aca="false">INDEX(C_TAB,MATCH($A19,C_COD,0),11)</f>
        <v>150</v>
      </c>
      <c r="AD19" s="45" t="n">
        <f aca="false">MAX(AC19,CEILING(X19*AB19,AC19))</f>
        <v>150</v>
      </c>
      <c r="AE19" s="25" t="n">
        <f aca="false">AD19/AC19</f>
        <v>1</v>
      </c>
      <c r="AF19" s="45" t="n">
        <f aca="false">Z19+AD19</f>
        <v>174.779300610327</v>
      </c>
      <c r="AG19" s="25" t="n">
        <f aca="false">ROUNDUP(AF19/AC19,0)</f>
        <v>2</v>
      </c>
      <c r="AH19" s="45" t="n">
        <f aca="false">IF(W19&gt;0,AF19/W19,0)</f>
        <v>33.8246277713228</v>
      </c>
      <c r="AI19" s="25" t="n">
        <f aca="false">IF(AD19&gt;0,E19/AD19,0)</f>
        <v>8.26755235466667</v>
      </c>
      <c r="AJ19" s="25" t="n">
        <f aca="false">INDEX(C_TAB,MATCH($A19,C_COD,0),16)</f>
        <v>1</v>
      </c>
      <c r="AK19" s="47" t="n">
        <f aca="false">IF(AJ19&gt;0,AG19/AJ19,0)</f>
        <v>2</v>
      </c>
      <c r="AL19" s="45" t="n">
        <f aca="false">INDEX(C_TAB,MATCH($A19,C_COD,0),17)</f>
        <v>0.73</v>
      </c>
      <c r="AM19" s="45" t="n">
        <f aca="false">AK19*AL19</f>
        <v>1.46</v>
      </c>
    </row>
    <row r="20" customFormat="false" ht="15" hidden="false" customHeight="false" outlineLevel="0" collapsed="false">
      <c r="A20" s="24" t="s">
        <v>505</v>
      </c>
      <c r="B20" s="24" t="str">
        <f aca="false">INDEX(C_TAB,MATCH($A20,C_COD,0),2)</f>
        <v>Asiento de válvula roscado M22 × 1,5 (cúpula 1 kg)</v>
      </c>
      <c r="C20" s="24" t="str">
        <f aca="false">INDEX(C_TAB,MATCH($A20,C_COD,0),3)</f>
        <v>u</v>
      </c>
      <c r="D20" s="24" t="str">
        <f aca="false">INDEX(C_TAB,MATCH($A20,C_COD,0),6)</f>
        <v>Insumos de montaje (manuales)</v>
      </c>
      <c r="E20" s="45" t="n">
        <f aca="false">CONSOLIDADO_INSUMOS!T46</f>
        <v>202620.63913</v>
      </c>
      <c r="F20" s="45" t="n">
        <f aca="false">SUMIFS(CONSOLIDADO_INSUMOS!$T$4:$T$350,CONSOLIDADO_INSUMOS!$B$4:$B$350,$A20,CONSOLIDADO_INSUMOS!$H$4:$H$350,"MANUALES")</f>
        <v>202620.63913</v>
      </c>
      <c r="G20" s="45" t="n">
        <f aca="false">SUMIFS(CONSOLIDADO_INSUMOS!$T$4:$T$350,CONSOLIDADO_INSUMOS!$B$4:$B$350,$A20,CONSOLIDADO_INSUMOS!$H$4:$H$350,"RODANTES")</f>
        <v>0</v>
      </c>
      <c r="H20" s="45" t="n">
        <f aca="false">SUMIFS(CONSOLIDADO_INSUMOS!$T$4:$T$350,CONSOLIDADO_INSUMOS!$B$4:$B$350,$A20,CONSOLIDADO_INSUMOS!$H$4:$H$350,"RECARGAS")</f>
        <v>0</v>
      </c>
      <c r="I20" s="45" t="n">
        <f aca="false">SUMIFS(CONSOLIDADO_INSUMOS!$T$4:$T$350,CONSOLIDADO_INSUMOS!$B$4:$B$350,$A20,CONSOLIDADO_INSUMOS!$H$4:$H$350,"REVENDIDOS")</f>
        <v>0</v>
      </c>
      <c r="J20" s="45" t="n">
        <f aca="false">F20*ESTACIONALIDAD!$B$14+G20*ESTACIONALIDAD!$B$15+H20*ESTACIONALIDAD!$B$16+I20*ESTACIONALIDAD!$B$17</f>
        <v>23135.0594018241</v>
      </c>
      <c r="K20" s="45" t="n">
        <f aca="false">F20*ESTACIONALIDAD!$C$14+G20*ESTACIONALIDAD!$C$15+H20*ESTACIONALIDAD!$C$16+I20*ESTACIONALIDAD!$C$17</f>
        <v>17646.148874812</v>
      </c>
      <c r="L20" s="45" t="n">
        <f aca="false">F20*ESTACIONALIDAD!$D$14+G20*ESTACIONALIDAD!$D$15+H20*ESTACIONALIDAD!$D$16+I20*ESTACIONALIDAD!$D$17</f>
        <v>16504.505453844</v>
      </c>
      <c r="M20" s="45" t="n">
        <f aca="false">F20*ESTACIONALIDAD!$E$14+G20*ESTACIONALIDAD!$E$15+H20*ESTACIONALIDAD!$E$16+I20*ESTACIONALIDAD!$E$17</f>
        <v>15786.256581638</v>
      </c>
      <c r="N20" s="45" t="n">
        <f aca="false">F20*ESTACIONALIDAD!$F$14+G20*ESTACIONALIDAD!$F$15+H20*ESTACIONALIDAD!$F$16+I20*ESTACIONALIDAD!$F$17</f>
        <v>14773.153385988</v>
      </c>
      <c r="O20" s="45" t="n">
        <f aca="false">F20*ESTACIONALIDAD!$G$14+G20*ESTACIONALIDAD!$G$15+H20*ESTACIONALIDAD!$G$16+I20*ESTACIONALIDAD!$G$17</f>
        <v>14478.299062544</v>
      </c>
      <c r="P20" s="45" t="n">
        <f aca="false">F20*ESTACIONALIDAD!$H$14+G20*ESTACIONALIDAD!$H$15+H20*ESTACIONALIDAD!$H$16+I20*ESTACIONALIDAD!$H$17</f>
        <v>15491.402258194</v>
      </c>
      <c r="Q20" s="45" t="n">
        <f aca="false">F20*ESTACIONALIDAD!$I$14+G20*ESTACIONALIDAD!$I$15+H20*ESTACIONALIDAD!$I$16+I20*ESTACIONALIDAD!$I$17</f>
        <v>15491.402258194</v>
      </c>
      <c r="R20" s="45" t="n">
        <f aca="false">F20*ESTACIONALIDAD!$J$14+G20*ESTACIONALIDAD!$J$15+H20*ESTACIONALIDAD!$J$16+I20*ESTACIONALIDAD!$J$17</f>
        <v>15491.402258194</v>
      </c>
      <c r="S20" s="45" t="n">
        <f aca="false">F20*ESTACIONALIDAD!$K$14+G20*ESTACIONALIDAD!$K$15+H20*ESTACIONALIDAD!$K$16+I20*ESTACIONALIDAD!$K$17</f>
        <v>15196.54793475</v>
      </c>
      <c r="T20" s="45" t="n">
        <f aca="false">F20*ESTACIONALIDAD!$L$14+G20*ESTACIONALIDAD!$L$15+H20*ESTACIONALIDAD!$L$16+I20*ESTACIONALIDAD!$L$17</f>
        <v>14901.693611306</v>
      </c>
      <c r="U20" s="45" t="n">
        <f aca="false">F20*ESTACIONALIDAD!$M$14+G20*ESTACIONALIDAD!$M$15+H20*ESTACIONALIDAD!$M$16+I20*ESTACIONALIDAD!$M$17</f>
        <v>23724.768048712</v>
      </c>
      <c r="V20" s="45" t="n">
        <f aca="false">MAX(J20:U20)</f>
        <v>23724.768048712</v>
      </c>
      <c r="W20" s="46" t="n">
        <f aca="false">E20/INDEX(P_VAL,MATCH("DH_AÑO",P_ID,0))</f>
        <v>844.252663041667</v>
      </c>
      <c r="X20" s="46" t="n">
        <f aca="false">V20/INDEX(P_VAL,MATCH("DH_MES",P_ID,0))</f>
        <v>1186.2384024356</v>
      </c>
      <c r="Y20" s="25" t="n">
        <f aca="false">INDEX(C_TAB,MATCH($A20,C_COD,0),12)</f>
        <v>28</v>
      </c>
      <c r="Z20" s="46" t="n">
        <f aca="false">(X20-W20)*Y20</f>
        <v>9575.6007030302</v>
      </c>
      <c r="AA20" s="45" t="n">
        <f aca="false">W20*Y20+Z20</f>
        <v>33214.6752681969</v>
      </c>
      <c r="AB20" s="25" t="n">
        <f aca="false">INDEX(C_TAB,MATCH($A20,C_COD,0),15)</f>
        <v>10</v>
      </c>
      <c r="AC20" s="45" t="n">
        <f aca="false">INDEX(C_TAB,MATCH($A20,C_COD,0),11)</f>
        <v>1000</v>
      </c>
      <c r="AD20" s="45" t="n">
        <f aca="false">MAX(AC20,CEILING(X20*AB20,AC20))</f>
        <v>12000</v>
      </c>
      <c r="AE20" s="25" t="n">
        <f aca="false">AD20/AC20</f>
        <v>12</v>
      </c>
      <c r="AF20" s="45" t="n">
        <f aca="false">Z20+AD20</f>
        <v>21575.6007030302</v>
      </c>
      <c r="AG20" s="25" t="n">
        <f aca="false">ROUNDUP(AF20/AC20,0)</f>
        <v>22</v>
      </c>
      <c r="AH20" s="45" t="n">
        <f aca="false">IF(W20&gt;0,AF20/W20,0)</f>
        <v>25.5558574435499</v>
      </c>
      <c r="AI20" s="25" t="n">
        <f aca="false">IF(AD20&gt;0,E20/AD20,0)</f>
        <v>16.8850532608333</v>
      </c>
      <c r="AJ20" s="25" t="n">
        <f aca="false">INDEX(C_TAB,MATCH($A20,C_COD,0),16)</f>
        <v>12</v>
      </c>
      <c r="AK20" s="47" t="n">
        <f aca="false">IF(AJ20&gt;0,AG20/AJ20,0)</f>
        <v>1.83333333333333</v>
      </c>
      <c r="AL20" s="45" t="n">
        <f aca="false">INDEX(C_TAB,MATCH($A20,C_COD,0),17)</f>
        <v>0.73</v>
      </c>
      <c r="AM20" s="45" t="n">
        <f aca="false">AK20*AL20</f>
        <v>1.33833333333333</v>
      </c>
    </row>
    <row r="21" customFormat="false" ht="15" hidden="false" customHeight="false" outlineLevel="0" collapsed="false">
      <c r="A21" s="24" t="s">
        <v>625</v>
      </c>
      <c r="B21" s="24" t="str">
        <f aca="false">INDEX(C_TAB,MATCH($A21,C_COD,0),2)</f>
        <v>Asiento de válvula roscado M30 × 1,5 (cúpula 2,5 a 10 kg)</v>
      </c>
      <c r="C21" s="24" t="str">
        <f aca="false">INDEX(C_TAB,MATCH($A21,C_COD,0),3)</f>
        <v>u</v>
      </c>
      <c r="D21" s="24" t="str">
        <f aca="false">INDEX(C_TAB,MATCH($A21,C_COD,0),6)</f>
        <v>Insumos de montaje (manuales)</v>
      </c>
      <c r="E21" s="45" t="n">
        <f aca="false">CONSOLIDADO_INSUMOS!T48</f>
        <v>83568.735243</v>
      </c>
      <c r="F21" s="45" t="n">
        <f aca="false">SUMIFS(CONSOLIDADO_INSUMOS!$T$4:$T$350,CONSOLIDADO_INSUMOS!$B$4:$B$350,$A21,CONSOLIDADO_INSUMOS!$H$4:$H$350,"MANUALES")</f>
        <v>83179.485243</v>
      </c>
      <c r="G21" s="45" t="n">
        <f aca="false">SUMIFS(CONSOLIDADO_INSUMOS!$T$4:$T$350,CONSOLIDADO_INSUMOS!$B$4:$B$350,$A21,CONSOLIDADO_INSUMOS!$H$4:$H$350,"RODANTES")</f>
        <v>0</v>
      </c>
      <c r="H21" s="45" t="n">
        <f aca="false">SUMIFS(CONSOLIDADO_INSUMOS!$T$4:$T$350,CONSOLIDADO_INSUMOS!$B$4:$B$350,$A21,CONSOLIDADO_INSUMOS!$H$4:$H$350,"RECARGAS")</f>
        <v>389.25</v>
      </c>
      <c r="I21" s="45" t="n">
        <f aca="false">SUMIFS(CONSOLIDADO_INSUMOS!$T$4:$T$350,CONSOLIDADO_INSUMOS!$B$4:$B$350,$A21,CONSOLIDADO_INSUMOS!$H$4:$H$350,"REVENDIDOS")</f>
        <v>0</v>
      </c>
      <c r="J21" s="45" t="n">
        <f aca="false">F21*ESTACIONALIDAD!$B$14+G21*ESTACIONALIDAD!$B$15+H21*ESTACIONALIDAD!$B$16+I21*ESTACIONALIDAD!$B$17</f>
        <v>9534.4806575209</v>
      </c>
      <c r="K21" s="45" t="n">
        <f aca="false">F21*ESTACIONALIDAD!$C$14+G21*ESTACIONALIDAD!$C$15+H21*ESTACIONALIDAD!$C$16+I21*ESTACIONALIDAD!$C$17</f>
        <v>7274.80147430761</v>
      </c>
      <c r="L21" s="45" t="n">
        <f aca="false">F21*ESTACIONALIDAD!$D$14+G21*ESTACIONALIDAD!$D$15+H21*ESTACIONALIDAD!$D$16+I21*ESTACIONALIDAD!$D$17</f>
        <v>6807.06720013983</v>
      </c>
      <c r="M21" s="45" t="n">
        <f aca="false">F21*ESTACIONALIDAD!$E$14+G21*ESTACIONALIDAD!$E$15+H21*ESTACIONALIDAD!$E$16+I21*ESTACIONALIDAD!$E$17</f>
        <v>6511.30779641835</v>
      </c>
      <c r="N21" s="45" t="n">
        <f aca="false">F21*ESTACIONALIDAD!$F$14+G21*ESTACIONALIDAD!$F$15+H21*ESTACIONALIDAD!$F$16+I21*ESTACIONALIDAD!$F$17</f>
        <v>6094.4791002542</v>
      </c>
      <c r="O21" s="45" t="n">
        <f aca="false">F21*ESTACIONALIDAD!$G$14+G21*ESTACIONALIDAD!$G$15+H21*ESTACIONALIDAD!$G$16+I21*ESTACIONALIDAD!$G$17</f>
        <v>5972.50472753403</v>
      </c>
      <c r="P21" s="45" t="n">
        <f aca="false">F21*ESTACIONALIDAD!$H$14+G21*ESTACIONALIDAD!$H$15+H21*ESTACIONALIDAD!$H$16+I21*ESTACIONALIDAD!$H$17</f>
        <v>6390.29088331897</v>
      </c>
      <c r="Q21" s="45" t="n">
        <f aca="false">F21*ESTACIONALIDAD!$I$14+G21*ESTACIONALIDAD!$I$15+H21*ESTACIONALIDAD!$I$16+I21*ESTACIONALIDAD!$I$17</f>
        <v>6391.14358425319</v>
      </c>
      <c r="R21" s="45" t="n">
        <f aca="false">F21*ESTACIONALIDAD!$J$14+G21*ESTACIONALIDAD!$J$15+H21*ESTACIONALIDAD!$J$16+I21*ESTACIONALIDAD!$J$17</f>
        <v>6391.14358425319</v>
      </c>
      <c r="S21" s="45" t="n">
        <f aca="false">F21*ESTACIONALIDAD!$K$14+G21*ESTACIONALIDAD!$K$15+H21*ESTACIONALIDAD!$K$16+I21*ESTACIONALIDAD!$K$17</f>
        <v>6269.19540120466</v>
      </c>
      <c r="T21" s="45" t="n">
        <f aca="false">F21*ESTACIONALIDAD!$L$14+G21*ESTACIONALIDAD!$L$15+H21*ESTACIONALIDAD!$L$16+I21*ESTACIONALIDAD!$L$17</f>
        <v>6148.12610876199</v>
      </c>
      <c r="U21" s="45" t="n">
        <f aca="false">F21*ESTACIONALIDAD!$M$14+G21*ESTACIONALIDAD!$M$15+H21*ESTACIONALIDAD!$M$16+I21*ESTACIONALIDAD!$M$17</f>
        <v>9784.19472503308</v>
      </c>
      <c r="V21" s="45" t="n">
        <f aca="false">MAX(J21:U21)</f>
        <v>9784.19472503308</v>
      </c>
      <c r="W21" s="46" t="n">
        <f aca="false">E21/INDEX(P_VAL,MATCH("DH_AÑO",P_ID,0))</f>
        <v>348.2030635125</v>
      </c>
      <c r="X21" s="46" t="n">
        <f aca="false">V21/INDEX(P_VAL,MATCH("DH_MES",P_ID,0))</f>
        <v>489.209736251654</v>
      </c>
      <c r="Y21" s="25" t="n">
        <f aca="false">INDEX(C_TAB,MATCH($A21,C_COD,0),12)</f>
        <v>28</v>
      </c>
      <c r="Z21" s="46" t="n">
        <f aca="false">(X21-W21)*Y21</f>
        <v>3948.18683669631</v>
      </c>
      <c r="AA21" s="45" t="n">
        <f aca="false">W21*Y21+Z21</f>
        <v>13697.8726150463</v>
      </c>
      <c r="AB21" s="25" t="n">
        <f aca="false">INDEX(C_TAB,MATCH($A21,C_COD,0),15)</f>
        <v>10</v>
      </c>
      <c r="AC21" s="45" t="n">
        <f aca="false">INDEX(C_TAB,MATCH($A21,C_COD,0),11)</f>
        <v>1000</v>
      </c>
      <c r="AD21" s="45" t="n">
        <f aca="false">MAX(AC21,CEILING(X21*AB21,AC21))</f>
        <v>5000</v>
      </c>
      <c r="AE21" s="25" t="n">
        <f aca="false">AD21/AC21</f>
        <v>5</v>
      </c>
      <c r="AF21" s="45" t="n">
        <f aca="false">Z21+AD21</f>
        <v>8948.18683669631</v>
      </c>
      <c r="AG21" s="25" t="n">
        <f aca="false">ROUNDUP(AF21/AC21,0)</f>
        <v>9</v>
      </c>
      <c r="AH21" s="45" t="n">
        <f aca="false">IF(W21&gt;0,AF21/W21,0)</f>
        <v>25.6981852670434</v>
      </c>
      <c r="AI21" s="25" t="n">
        <f aca="false">IF(AD21&gt;0,E21/AD21,0)</f>
        <v>16.7137470486</v>
      </c>
      <c r="AJ21" s="25" t="n">
        <f aca="false">INDEX(C_TAB,MATCH($A21,C_COD,0),16)</f>
        <v>8</v>
      </c>
      <c r="AK21" s="47" t="n">
        <f aca="false">IF(AJ21&gt;0,AG21/AJ21,0)</f>
        <v>1.125</v>
      </c>
      <c r="AL21" s="45" t="n">
        <f aca="false">INDEX(C_TAB,MATCH($A21,C_COD,0),17)</f>
        <v>0.73</v>
      </c>
      <c r="AM21" s="45" t="n">
        <f aca="false">AK21*AL21</f>
        <v>0.82125</v>
      </c>
    </row>
    <row r="22" customFormat="false" ht="15" hidden="false" customHeight="false" outlineLevel="0" collapsed="false">
      <c r="A22" s="24" t="s">
        <v>891</v>
      </c>
      <c r="B22" s="24" t="str">
        <f aca="false">INDEX(C_TAB,MATCH($A22,C_COD,0),2)</f>
        <v>Cupla soldable M30 × 1,5 (carros 25 y 50 kg)</v>
      </c>
      <c r="C22" s="24" t="str">
        <f aca="false">INDEX(C_TAB,MATCH($A22,C_COD,0),3)</f>
        <v>u</v>
      </c>
      <c r="D22" s="24" t="str">
        <f aca="false">INDEX(C_TAB,MATCH($A22,C_COD,0),6)</f>
        <v>Rack de casquetes y cuplas (carros)</v>
      </c>
      <c r="E22" s="45" t="n">
        <f aca="false">CONSOLIDADO_INSUMOS!T51</f>
        <v>2484.1657063</v>
      </c>
      <c r="F22" s="45" t="n">
        <f aca="false">SUMIFS(CONSOLIDADO_INSUMOS!$T$4:$T$350,CONSOLIDADO_INSUMOS!$B$4:$B$350,$A22,CONSOLIDADO_INSUMOS!$H$4:$H$350,"MANUALES")</f>
        <v>0</v>
      </c>
      <c r="G22" s="45" t="n">
        <f aca="false">SUMIFS(CONSOLIDADO_INSUMOS!$T$4:$T$350,CONSOLIDADO_INSUMOS!$B$4:$B$350,$A22,CONSOLIDADO_INSUMOS!$H$4:$H$350,"RODANTES")</f>
        <v>2480.4657063</v>
      </c>
      <c r="H22" s="45" t="n">
        <f aca="false">SUMIFS(CONSOLIDADO_INSUMOS!$T$4:$T$350,CONSOLIDADO_INSUMOS!$B$4:$B$350,$A22,CONSOLIDADO_INSUMOS!$H$4:$H$350,"RECARGAS")</f>
        <v>3.7</v>
      </c>
      <c r="I22" s="45" t="n">
        <f aca="false">SUMIFS(CONSOLIDADO_INSUMOS!$T$4:$T$350,CONSOLIDADO_INSUMOS!$B$4:$B$350,$A22,CONSOLIDADO_INSUMOS!$H$4:$H$350,"REVENDIDOS")</f>
        <v>0</v>
      </c>
      <c r="J22" s="45" t="n">
        <f aca="false">F22*ESTACIONALIDAD!$B$14+G22*ESTACIONALIDAD!$B$15+H22*ESTACIONALIDAD!$B$16+I22*ESTACIONALIDAD!$B$17</f>
        <v>211.192378628169</v>
      </c>
      <c r="K22" s="45" t="n">
        <f aca="false">F22*ESTACIONALIDAD!$C$14+G22*ESTACIONALIDAD!$C$15+H22*ESTACIONALIDAD!$C$16+I22*ESTACIONALIDAD!$C$17</f>
        <v>186.327068831908</v>
      </c>
      <c r="L22" s="45" t="n">
        <f aca="false">F22*ESTACIONALIDAD!$D$14+G22*ESTACIONALIDAD!$D$15+H22*ESTACIONALIDAD!$D$16+I22*ESTACIONALIDAD!$D$17</f>
        <v>223.54290657493</v>
      </c>
      <c r="M22" s="45" t="n">
        <f aca="false">F22*ESTACIONALIDAD!$E$14+G22*ESTACIONALIDAD!$E$15+H22*ESTACIONALIDAD!$E$16+I22*ESTACIONALIDAD!$E$17</f>
        <v>223.534303371264</v>
      </c>
      <c r="N22" s="45" t="n">
        <f aca="false">F22*ESTACIONALIDAD!$F$14+G22*ESTACIONALIDAD!$F$15+H22*ESTACIONALIDAD!$F$16+I22*ESTACIONALIDAD!$F$17</f>
        <v>223.525451222743</v>
      </c>
      <c r="O22" s="45" t="n">
        <f aca="false">F22*ESTACIONALIDAD!$G$14+G22*ESTACIONALIDAD!$G$15+H22*ESTACIONALIDAD!$G$16+I22*ESTACIONALIDAD!$G$17</f>
        <v>198.711942011222</v>
      </c>
      <c r="P22" s="45" t="n">
        <f aca="false">F22*ESTACIONALIDAD!$H$14+G22*ESTACIONALIDAD!$H$15+H22*ESTACIONALIDAD!$H$16+I22*ESTACIONALIDAD!$H$17</f>
        <v>223.53455231612</v>
      </c>
      <c r="Q22" s="45" t="n">
        <f aca="false">F22*ESTACIONALIDAD!$I$14+G22*ESTACIONALIDAD!$I$15+H22*ESTACIONALIDAD!$I$16+I22*ESTACIONALIDAD!$I$17</f>
        <v>223.542657630074</v>
      </c>
      <c r="R22" s="45" t="n">
        <f aca="false">F22*ESTACIONALIDAD!$J$14+G22*ESTACIONALIDAD!$J$15+H22*ESTACIONALIDAD!$J$16+I22*ESTACIONALIDAD!$J$17</f>
        <v>211.140329098574</v>
      </c>
      <c r="S22" s="45" t="n">
        <f aca="false">F22*ESTACIONALIDAD!$K$14+G22*ESTACIONALIDAD!$K$15+H22*ESTACIONALIDAD!$K$16+I22*ESTACIONALIDAD!$K$17</f>
        <v>186.327068831908</v>
      </c>
      <c r="T22" s="45" t="n">
        <f aca="false">F22*ESTACIONALIDAD!$L$14+G22*ESTACIONALIDAD!$L$15+H22*ESTACIONALIDAD!$L$16+I22*ESTACIONALIDAD!$L$17</f>
        <v>173.924491355553</v>
      </c>
      <c r="U22" s="45" t="n">
        <f aca="false">F22*ESTACIONALIDAD!$M$14+G22*ESTACIONALIDAD!$M$15+H22*ESTACIONALIDAD!$M$16+I22*ESTACIONALIDAD!$M$17</f>
        <v>198.862556427535</v>
      </c>
      <c r="V22" s="45" t="n">
        <f aca="false">MAX(J22:U22)</f>
        <v>223.54290657493</v>
      </c>
      <c r="W22" s="46" t="n">
        <f aca="false">E22/INDEX(P_VAL,MATCH("DH_AÑO",P_ID,0))</f>
        <v>10.3506904429167</v>
      </c>
      <c r="X22" s="46" t="n">
        <f aca="false">V22/INDEX(P_VAL,MATCH("DH_MES",P_ID,0))</f>
        <v>11.1771453287465</v>
      </c>
      <c r="Y22" s="25" t="n">
        <f aca="false">INDEX(C_TAB,MATCH($A22,C_COD,0),12)</f>
        <v>28</v>
      </c>
      <c r="Z22" s="46" t="n">
        <f aca="false">(X22-W22)*Y22</f>
        <v>23.1407368032348</v>
      </c>
      <c r="AA22" s="45" t="n">
        <f aca="false">W22*Y22+Z22</f>
        <v>312.960069204901</v>
      </c>
      <c r="AB22" s="25" t="n">
        <f aca="false">INDEX(C_TAB,MATCH($A22,C_COD,0),15)</f>
        <v>10</v>
      </c>
      <c r="AC22" s="45" t="n">
        <f aca="false">INDEX(C_TAB,MATCH($A22,C_COD,0),11)</f>
        <v>100</v>
      </c>
      <c r="AD22" s="45" t="n">
        <f aca="false">MAX(AC22,CEILING(X22*AB22,AC22))</f>
        <v>200</v>
      </c>
      <c r="AE22" s="25" t="n">
        <f aca="false">AD22/AC22</f>
        <v>2</v>
      </c>
      <c r="AF22" s="45" t="n">
        <f aca="false">Z22+AD22</f>
        <v>223.140736803235</v>
      </c>
      <c r="AG22" s="25" t="n">
        <f aca="false">ROUNDUP(AF22/AC22,0)</f>
        <v>3</v>
      </c>
      <c r="AH22" s="45" t="n">
        <f aca="false">IF(W22&gt;0,AF22/W22,0)</f>
        <v>21.5580533524638</v>
      </c>
      <c r="AI22" s="25" t="n">
        <f aca="false">IF(AD22&gt;0,E22/AD22,0)</f>
        <v>12.4208285315</v>
      </c>
      <c r="AJ22" s="25" t="n">
        <f aca="false">INDEX(C_TAB,MATCH($A22,C_COD,0),16)</f>
        <v>12</v>
      </c>
      <c r="AK22" s="47" t="n">
        <f aca="false">IF(AJ22&gt;0,AG22/AJ22,0)</f>
        <v>0.25</v>
      </c>
      <c r="AL22" s="45" t="n">
        <f aca="false">INDEX(C_TAB,MATCH($A22,C_COD,0),17)</f>
        <v>0.73</v>
      </c>
      <c r="AM22" s="45" t="n">
        <f aca="false">AK22*AL22</f>
        <v>0.1825</v>
      </c>
    </row>
    <row r="23" customFormat="false" ht="15" hidden="false" customHeight="false" outlineLevel="0" collapsed="false">
      <c r="A23" s="24" t="s">
        <v>1129</v>
      </c>
      <c r="B23" s="24" t="str">
        <f aca="false">INDEX(C_TAB,MATCH($A23,C_COD,0),2)</f>
        <v>Cupla soldable 2½" BSP (carros 70 y 100 kg)</v>
      </c>
      <c r="C23" s="24" t="str">
        <f aca="false">INDEX(C_TAB,MATCH($A23,C_COD,0),3)</f>
        <v>u</v>
      </c>
      <c r="D23" s="24" t="str">
        <f aca="false">INDEX(C_TAB,MATCH($A23,C_COD,0),6)</f>
        <v>Rack de casquetes y cuplas (carros)</v>
      </c>
      <c r="E23" s="45" t="n">
        <f aca="false">CONSOLIDADO_INSUMOS!T54</f>
        <v>620.0664266</v>
      </c>
      <c r="F23" s="45" t="n">
        <f aca="false">SUMIFS(CONSOLIDADO_INSUMOS!$T$4:$T$350,CONSOLIDADO_INSUMOS!$B$4:$B$350,$A23,CONSOLIDADO_INSUMOS!$H$4:$H$350,"MANUALES")</f>
        <v>0</v>
      </c>
      <c r="G23" s="45" t="n">
        <f aca="false">SUMIFS(CONSOLIDADO_INSUMOS!$T$4:$T$350,CONSOLIDADO_INSUMOS!$B$4:$B$350,$A23,CONSOLIDADO_INSUMOS!$H$4:$H$350,"RODANTES")</f>
        <v>619.6164266</v>
      </c>
      <c r="H23" s="45" t="n">
        <f aca="false">SUMIFS(CONSOLIDADO_INSUMOS!$T$4:$T$350,CONSOLIDADO_INSUMOS!$B$4:$B$350,$A23,CONSOLIDADO_INSUMOS!$H$4:$H$350,"RECARGAS")</f>
        <v>0.45</v>
      </c>
      <c r="I23" s="45" t="n">
        <f aca="false">SUMIFS(CONSOLIDADO_INSUMOS!$T$4:$T$350,CONSOLIDADO_INSUMOS!$B$4:$B$350,$A23,CONSOLIDADO_INSUMOS!$H$4:$H$350,"REVENDIDOS")</f>
        <v>0</v>
      </c>
      <c r="J23" s="45" t="n">
        <f aca="false">F23*ESTACIONALIDAD!$B$14+G23*ESTACIONALIDAD!$B$15+H23*ESTACIONALIDAD!$B$16+I23*ESTACIONALIDAD!$B$17</f>
        <v>52.7103035898382</v>
      </c>
      <c r="K23" s="45" t="n">
        <f aca="false">F23*ESTACIONALIDAD!$C$14+G23*ESTACIONALIDAD!$C$15+H23*ESTACIONALIDAD!$C$16+I23*ESTACIONALIDAD!$C$17</f>
        <v>46.5067626400632</v>
      </c>
      <c r="L23" s="45" t="n">
        <f aca="false">F23*ESTACIONALIDAD!$D$14+G23*ESTACIONALIDAD!$D$15+H23*ESTACIONALIDAD!$D$16+I23*ESTACIONALIDAD!$D$17</f>
        <v>55.8020856517212</v>
      </c>
      <c r="M23" s="45" t="n">
        <f aca="false">F23*ESTACIONALIDAD!$E$14+G23*ESTACIONALIDAD!$E$15+H23*ESTACIONALIDAD!$E$16+I23*ESTACIONALIDAD!$E$17</f>
        <v>55.8010393161402</v>
      </c>
      <c r="N23" s="45" t="n">
        <f aca="false">F23*ESTACIONALIDAD!$F$14+G23*ESTACIONALIDAD!$F$15+H23*ESTACIONALIDAD!$F$16+I23*ESTACIONALIDAD!$F$17</f>
        <v>55.7999627034823</v>
      </c>
      <c r="O23" s="45" t="n">
        <f aca="false">F23*ESTACIONALIDAD!$G$14+G23*ESTACIONALIDAD!$G$15+H23*ESTACIONALIDAD!$G$16+I23*ESTACIONALIDAD!$G$17</f>
        <v>49.6027218248243</v>
      </c>
      <c r="P23" s="45" t="n">
        <f aca="false">F23*ESTACIONALIDAD!$H$14+G23*ESTACIONALIDAD!$H$15+H23*ESTACIONALIDAD!$H$16+I23*ESTACIONALIDAD!$H$17</f>
        <v>55.8010695932173</v>
      </c>
      <c r="Q23" s="45" t="n">
        <f aca="false">F23*ESTACIONALIDAD!$I$14+G23*ESTACIONALIDAD!$I$15+H23*ESTACIONALIDAD!$I$16+I23*ESTACIONALIDAD!$I$17</f>
        <v>55.8020553746441</v>
      </c>
      <c r="R23" s="45" t="n">
        <f aca="false">F23*ESTACIONALIDAD!$J$14+G23*ESTACIONALIDAD!$J$15+H23*ESTACIONALIDAD!$J$16+I23*ESTACIONALIDAD!$J$17</f>
        <v>52.7039732416441</v>
      </c>
      <c r="S23" s="45" t="n">
        <f aca="false">F23*ESTACIONALIDAD!$K$14+G23*ESTACIONALIDAD!$K$15+H23*ESTACIONALIDAD!$K$16+I23*ESTACIONALIDAD!$K$17</f>
        <v>46.5067626400632</v>
      </c>
      <c r="T23" s="45" t="n">
        <f aca="false">F23*ESTACIONALIDAD!$L$14+G23*ESTACIONALIDAD!$L$15+H23*ESTACIONALIDAD!$L$16+I23*ESTACIONALIDAD!$L$17</f>
        <v>43.4086502299861</v>
      </c>
      <c r="U23" s="45" t="n">
        <f aca="false">F23*ESTACIONALIDAD!$M$14+G23*ESTACIONALIDAD!$M$15+H23*ESTACIONALIDAD!$M$16+I23*ESTACIONALIDAD!$M$17</f>
        <v>49.6210397943759</v>
      </c>
      <c r="V23" s="45" t="n">
        <f aca="false">MAX(J23:U23)</f>
        <v>55.8020856517212</v>
      </c>
      <c r="W23" s="46" t="n">
        <f aca="false">E23/INDEX(P_VAL,MATCH("DH_AÑO",P_ID,0))</f>
        <v>2.58361011083333</v>
      </c>
      <c r="X23" s="46" t="n">
        <f aca="false">V23/INDEX(P_VAL,MATCH("DH_MES",P_ID,0))</f>
        <v>2.79010428258606</v>
      </c>
      <c r="Y23" s="25" t="n">
        <f aca="false">INDEX(C_TAB,MATCH($A23,C_COD,0),12)</f>
        <v>28</v>
      </c>
      <c r="Z23" s="46" t="n">
        <f aca="false">(X23-W23)*Y23</f>
        <v>5.78183680907629</v>
      </c>
      <c r="AA23" s="45" t="n">
        <f aca="false">W23*Y23+Z23</f>
        <v>78.1229199124096</v>
      </c>
      <c r="AB23" s="25" t="n">
        <f aca="false">INDEX(C_TAB,MATCH($A23,C_COD,0),15)</f>
        <v>10</v>
      </c>
      <c r="AC23" s="45" t="n">
        <f aca="false">INDEX(C_TAB,MATCH($A23,C_COD,0),11)</f>
        <v>40</v>
      </c>
      <c r="AD23" s="45" t="n">
        <f aca="false">MAX(AC23,CEILING(X23*AB23,AC23))</f>
        <v>40</v>
      </c>
      <c r="AE23" s="25" t="n">
        <f aca="false">AD23/AC23</f>
        <v>1</v>
      </c>
      <c r="AF23" s="45" t="n">
        <f aca="false">Z23+AD23</f>
        <v>45.7818368090763</v>
      </c>
      <c r="AG23" s="25" t="n">
        <f aca="false">ROUNDUP(AF23/AC23,0)</f>
        <v>2</v>
      </c>
      <c r="AH23" s="45" t="n">
        <f aca="false">IF(W23&gt;0,AF23/W23,0)</f>
        <v>17.720102819349</v>
      </c>
      <c r="AI23" s="25" t="n">
        <f aca="false">IF(AD23&gt;0,E23/AD23,0)</f>
        <v>15.501660665</v>
      </c>
      <c r="AJ23" s="25" t="n">
        <f aca="false">INDEX(C_TAB,MATCH($A23,C_COD,0),16)</f>
        <v>8</v>
      </c>
      <c r="AK23" s="47" t="n">
        <f aca="false">IF(AJ23&gt;0,AG23/AJ23,0)</f>
        <v>0.25</v>
      </c>
      <c r="AL23" s="45" t="n">
        <f aca="false">INDEX(C_TAB,MATCH($A23,C_COD,0),17)</f>
        <v>0.73</v>
      </c>
      <c r="AM23" s="45" t="n">
        <f aca="false">AK23*AL23</f>
        <v>0.1825</v>
      </c>
    </row>
    <row r="24" customFormat="false" ht="15" hidden="false" customHeight="false" outlineLevel="0" collapsed="false">
      <c r="A24" s="24" t="s">
        <v>951</v>
      </c>
      <c r="B24" s="24" t="str">
        <f aca="false">INDEX(C_TAB,MATCH($A24,C_COD,0),2)</f>
        <v>Caño estructural SAE 1010 1" × 2,0 × 6 m (manija; caño del eje 25 kg)</v>
      </c>
      <c r="C24" s="24" t="str">
        <f aca="false">INDEX(C_TAB,MATCH($A24,C_COD,0),3)</f>
        <v>barra</v>
      </c>
      <c r="D24" s="24" t="str">
        <f aca="false">INDEX(C_TAB,MATCH($A24,C_COD,0),6)</f>
        <v>Cantilever de caños y barras</v>
      </c>
      <c r="E24" s="45" t="n">
        <f aca="false">CONSOLIDADO_INSUMOS!T57</f>
        <v>510.842739994176</v>
      </c>
      <c r="F24" s="45" t="n">
        <f aca="false">SUMIFS(CONSOLIDADO_INSUMOS!$T$4:$T$350,CONSOLIDADO_INSUMOS!$B$4:$B$350,$A24,CONSOLIDADO_INSUMOS!$H$4:$H$350,"MANUALES")</f>
        <v>0</v>
      </c>
      <c r="G24" s="45" t="n">
        <f aca="false">SUMIFS(CONSOLIDADO_INSUMOS!$T$4:$T$350,CONSOLIDADO_INSUMOS!$B$4:$B$350,$A24,CONSOLIDADO_INSUMOS!$H$4:$H$350,"RODANTES")</f>
        <v>509.730547011719</v>
      </c>
      <c r="H24" s="45" t="n">
        <f aca="false">SUMIFS(CONSOLIDADO_INSUMOS!$T$4:$T$350,CONSOLIDADO_INSUMOS!$B$4:$B$350,$A24,CONSOLIDADO_INSUMOS!$H$4:$H$350,"RECARGAS")</f>
        <v>1.11219298245614</v>
      </c>
      <c r="I24" s="45" t="n">
        <f aca="false">SUMIFS(CONSOLIDADO_INSUMOS!$T$4:$T$350,CONSOLIDADO_INSUMOS!$B$4:$B$350,$A24,CONSOLIDADO_INSUMOS!$H$4:$H$350,"REVENDIDOS")</f>
        <v>0</v>
      </c>
      <c r="J24" s="45" t="n">
        <f aca="false">F24*ESTACIONALIDAD!$B$14+G24*ESTACIONALIDAD!$B$15+H24*ESTACIONALIDAD!$B$16+I24*ESTACIONALIDAD!$B$17</f>
        <v>43.43314367384</v>
      </c>
      <c r="K24" s="45" t="n">
        <f aca="false">F24*ESTACIONALIDAD!$C$14+G24*ESTACIONALIDAD!$C$15+H24*ESTACIONALIDAD!$C$16+I24*ESTACIONALIDAD!$C$17</f>
        <v>38.3176064349932</v>
      </c>
      <c r="L24" s="45" t="n">
        <f aca="false">F24*ESTACIONALIDAD!$D$14+G24*ESTACIONALIDAD!$D$15+H24*ESTACIONALIDAD!$D$16+I24*ESTACIONALIDAD!$D$17</f>
        <v>45.9662255313757</v>
      </c>
      <c r="M24" s="45" t="n">
        <f aca="false">F24*ESTACIONALIDAD!$E$14+G24*ESTACIONALIDAD!$E$15+H24*ESTACIONALIDAD!$E$16+I24*ESTACIONALIDAD!$E$17</f>
        <v>45.9636394711748</v>
      </c>
      <c r="N24" s="45" t="n">
        <f aca="false">F24*ESTACIONALIDAD!$F$14+G24*ESTACIONALIDAD!$F$15+H24*ESTACIONALIDAD!$F$16+I24*ESTACIONALIDAD!$F$17</f>
        <v>45.9609785799681</v>
      </c>
      <c r="O24" s="45" t="n">
        <f aca="false">F24*ESTACIONALIDAD!$G$14+G24*ESTACIONALIDAD!$G$15+H24*ESTACIONALIDAD!$G$16+I24*ESTACIONALIDAD!$G$17</f>
        <v>40.8610122186442</v>
      </c>
      <c r="P24" s="45" t="n">
        <f aca="false">F24*ESTACIONALIDAD!$H$14+G24*ESTACIONALIDAD!$H$15+H24*ESTACIONALIDAD!$H$16+I24*ESTACIONALIDAD!$H$17</f>
        <v>45.9637143021807</v>
      </c>
      <c r="Q24" s="45" t="n">
        <f aca="false">F24*ESTACIONALIDAD!$I$14+G24*ESTACIONALIDAD!$I$15+H24*ESTACIONALIDAD!$I$16+I24*ESTACIONALIDAD!$I$17</f>
        <v>45.9661507003699</v>
      </c>
      <c r="R24" s="45" t="n">
        <f aca="false">F24*ESTACIONALIDAD!$J$14+G24*ESTACIONALIDAD!$J$15+H24*ESTACIONALIDAD!$J$16+I24*ESTACIONALIDAD!$J$17</f>
        <v>43.4174979653113</v>
      </c>
      <c r="S24" s="45" t="n">
        <f aca="false">F24*ESTACIONALIDAD!$K$14+G24*ESTACIONALIDAD!$K$15+H24*ESTACIONALIDAD!$K$16+I24*ESTACIONALIDAD!$K$17</f>
        <v>38.3176064349932</v>
      </c>
      <c r="T24" s="45" t="n">
        <f aca="false">F24*ESTACIONALIDAD!$L$14+G24*ESTACIONALIDAD!$L$15+H24*ESTACIONALIDAD!$L$16+I24*ESTACIONALIDAD!$L$17</f>
        <v>35.7688788689288</v>
      </c>
      <c r="U24" s="45" t="n">
        <f aca="false">F24*ESTACIONALIDAD!$M$14+G24*ESTACIONALIDAD!$M$15+H24*ESTACIONALIDAD!$M$16+I24*ESTACIONALIDAD!$M$17</f>
        <v>40.9062858123956</v>
      </c>
      <c r="V24" s="45" t="n">
        <f aca="false">MAX(J24:U24)</f>
        <v>45.9662255313757</v>
      </c>
      <c r="W24" s="46" t="n">
        <f aca="false">E24/INDEX(P_VAL,MATCH("DH_AÑO",P_ID,0))</f>
        <v>2.1285114166424</v>
      </c>
      <c r="X24" s="46" t="n">
        <f aca="false">V24/INDEX(P_VAL,MATCH("DH_MES",P_ID,0))</f>
        <v>2.29831127656879</v>
      </c>
      <c r="Y24" s="25" t="n">
        <f aca="false">INDEX(C_TAB,MATCH($A24,C_COD,0),12)</f>
        <v>5</v>
      </c>
      <c r="Z24" s="46" t="n">
        <f aca="false">(X24-W24)*Y24</f>
        <v>0.848999299631943</v>
      </c>
      <c r="AA24" s="45" t="n">
        <f aca="false">W24*Y24+Z24</f>
        <v>11.4915563828439</v>
      </c>
      <c r="AB24" s="25" t="n">
        <f aca="false">INDEX(C_TAB,MATCH($A24,C_COD,0),15)</f>
        <v>5</v>
      </c>
      <c r="AC24" s="45" t="n">
        <f aca="false">INDEX(C_TAB,MATCH($A24,C_COD,0),11)</f>
        <v>1</v>
      </c>
      <c r="AD24" s="45" t="n">
        <f aca="false">MAX(AC24,CEILING(X24*AB24,AC24))</f>
        <v>12</v>
      </c>
      <c r="AE24" s="25" t="n">
        <f aca="false">AD24/AC24</f>
        <v>12</v>
      </c>
      <c r="AF24" s="45" t="n">
        <f aca="false">Z24+AD24</f>
        <v>12.8489992996319</v>
      </c>
      <c r="AG24" s="25" t="n">
        <f aca="false">ROUNDUP(AF24/AC24,0)</f>
        <v>13</v>
      </c>
      <c r="AH24" s="45" t="n">
        <f aca="false">IF(W24&gt;0,AF24/W24,0)</f>
        <v>6.03661281737473</v>
      </c>
      <c r="AI24" s="25" t="n">
        <f aca="false">IF(AD24&gt;0,E24/AD24,0)</f>
        <v>42.570228332848</v>
      </c>
      <c r="AJ24" s="25" t="n">
        <f aca="false">INDEX(C_TAB,MATCH($A24,C_COD,0),16)</f>
        <v>40</v>
      </c>
      <c r="AK24" s="47" t="n">
        <f aca="false">IF(AJ24&gt;0,AG24/AJ24,0)</f>
        <v>0.325</v>
      </c>
      <c r="AL24" s="45" t="n">
        <f aca="false">INDEX(C_TAB,MATCH($A24,C_COD,0),17)</f>
        <v>1</v>
      </c>
      <c r="AM24" s="45" t="n">
        <f aca="false">AK24*AL24</f>
        <v>0.325</v>
      </c>
    </row>
    <row r="25" customFormat="false" ht="15" hidden="false" customHeight="false" outlineLevel="0" collapsed="false">
      <c r="A25" s="24" t="s">
        <v>1073</v>
      </c>
      <c r="B25" s="24" t="str">
        <f aca="false">INDEX(C_TAB,MATCH($A25,C_COD,0),2)</f>
        <v>Caño estructural SAE 1010 1¼" × 2,0 × 6 m (caño del eje 50 a 100 kg)</v>
      </c>
      <c r="C25" s="24" t="str">
        <f aca="false">INDEX(C_TAB,MATCH($A25,C_COD,0),3)</f>
        <v>barra</v>
      </c>
      <c r="D25" s="24" t="str">
        <f aca="false">INDEX(C_TAB,MATCH($A25,C_COD,0),6)</f>
        <v>Cantilever de caños y barras</v>
      </c>
      <c r="E25" s="45" t="n">
        <f aca="false">CONSOLIDADO_INSUMOS!T60</f>
        <v>89.8048632318947</v>
      </c>
      <c r="F25" s="45" t="n">
        <f aca="false">SUMIFS(CONSOLIDADO_INSUMOS!$T$4:$T$350,CONSOLIDADO_INSUMOS!$B$4:$B$350,$A25,CONSOLIDADO_INSUMOS!$H$4:$H$350,"MANUALES")</f>
        <v>0</v>
      </c>
      <c r="G25" s="45" t="n">
        <f aca="false">SUMIFS(CONSOLIDADO_INSUMOS!$T$4:$T$350,CONSOLIDADO_INSUMOS!$B$4:$B$350,$A25,CONSOLIDADO_INSUMOS!$H$4:$H$350,"RODANTES")</f>
        <v>89.5408106003158</v>
      </c>
      <c r="H25" s="45" t="n">
        <f aca="false">SUMIFS(CONSOLIDADO_INSUMOS!$T$4:$T$350,CONSOLIDADO_INSUMOS!$B$4:$B$350,$A25,CONSOLIDADO_INSUMOS!$H$4:$H$350,"RECARGAS")</f>
        <v>0.264052631578947</v>
      </c>
      <c r="I25" s="45" t="n">
        <f aca="false">SUMIFS(CONSOLIDADO_INSUMOS!$T$4:$T$350,CONSOLIDADO_INSUMOS!$B$4:$B$350,$A25,CONSOLIDADO_INSUMOS!$H$4:$H$350,"REVENDIDOS")</f>
        <v>0</v>
      </c>
      <c r="J25" s="45" t="n">
        <f aca="false">F25*ESTACIONALIDAD!$B$14+G25*ESTACIONALIDAD!$B$15+H25*ESTACIONALIDAD!$B$16+I25*ESTACIONALIDAD!$B$17</f>
        <v>7.63614621901292</v>
      </c>
      <c r="K25" s="45" t="n">
        <f aca="false">F25*ESTACIONALIDAD!$C$14+G25*ESTACIONALIDAD!$C$15+H25*ESTACIONALIDAD!$C$16+I25*ESTACIONALIDAD!$C$17</f>
        <v>6.73640959575842</v>
      </c>
      <c r="L25" s="45" t="n">
        <f aca="false">F25*ESTACIONALIDAD!$D$14+G25*ESTACIONALIDAD!$D$15+H25*ESTACIONALIDAD!$D$16+I25*ESTACIONALIDAD!$D$17</f>
        <v>8.08015349344212</v>
      </c>
      <c r="M25" s="45" t="n">
        <f aca="false">F25*ESTACIONALIDAD!$E$14+G25*ESTACIONALIDAD!$E$15+H25*ESTACIONALIDAD!$E$16+I25*ESTACIONALIDAD!$E$17</f>
        <v>8.07953952085621</v>
      </c>
      <c r="N25" s="45" t="n">
        <f aca="false">F25*ESTACIONALIDAD!$F$14+G25*ESTACIONALIDAD!$F$15+H25*ESTACIONALIDAD!$F$16+I25*ESTACIONALIDAD!$F$17</f>
        <v>8.07890778217725</v>
      </c>
      <c r="O25" s="45" t="n">
        <f aca="false">F25*ESTACIONALIDAD!$G$14+G25*ESTACIONALIDAD!$G$15+H25*ESTACIONALIDAD!$G$16+I25*ESTACIONALIDAD!$G$17</f>
        <v>7.18286793749514</v>
      </c>
      <c r="P25" s="45" t="n">
        <f aca="false">F25*ESTACIONALIDAD!$H$14+G25*ESTACIONALIDAD!$H$15+H25*ESTACIONALIDAD!$H$16+I25*ESTACIONALIDAD!$H$17</f>
        <v>8.07955728694925</v>
      </c>
      <c r="Q25" s="45" t="n">
        <f aca="false">F25*ESTACIONALIDAD!$I$14+G25*ESTACIONALIDAD!$I$15+H25*ESTACIONALIDAD!$I$16+I25*ESTACIONALIDAD!$I$17</f>
        <v>8.08013572734907</v>
      </c>
      <c r="R25" s="45" t="n">
        <f aca="false">F25*ESTACIONALIDAD!$J$14+G25*ESTACIONALIDAD!$J$15+H25*ESTACIONALIDAD!$J$16+I25*ESTACIONALIDAD!$J$17</f>
        <v>7.6324316743475</v>
      </c>
      <c r="S25" s="45" t="n">
        <f aca="false">F25*ESTACIONALIDAD!$K$14+G25*ESTACIONALIDAD!$K$15+H25*ESTACIONALIDAD!$K$16+I25*ESTACIONALIDAD!$K$17</f>
        <v>6.73640959575842</v>
      </c>
      <c r="T25" s="45" t="n">
        <f aca="false">F25*ESTACIONALIDAD!$L$14+G25*ESTACIONALIDAD!$L$15+H25*ESTACIONALIDAD!$L$16+I25*ESTACIONALIDAD!$L$17</f>
        <v>6.2886877766638</v>
      </c>
      <c r="U25" s="45" t="n">
        <f aca="false">F25*ESTACIONALIDAD!$M$14+G25*ESTACIONALIDAD!$M$15+H25*ESTACIONALIDAD!$M$16+I25*ESTACIONALIDAD!$M$17</f>
        <v>7.19361662208465</v>
      </c>
      <c r="V25" s="45" t="n">
        <f aca="false">MAX(J25:U25)</f>
        <v>8.08015349344212</v>
      </c>
      <c r="W25" s="46" t="n">
        <f aca="false">E25/INDEX(P_VAL,MATCH("DH_AÑO",P_ID,0))</f>
        <v>0.374186930132895</v>
      </c>
      <c r="X25" s="46" t="n">
        <f aca="false">V25/INDEX(P_VAL,MATCH("DH_MES",P_ID,0))</f>
        <v>0.404007674672106</v>
      </c>
      <c r="Y25" s="25" t="n">
        <f aca="false">INDEX(C_TAB,MATCH($A25,C_COD,0),12)</f>
        <v>5</v>
      </c>
      <c r="Z25" s="46" t="n">
        <f aca="false">(X25-W25)*Y25</f>
        <v>0.149103722696055</v>
      </c>
      <c r="AA25" s="45" t="n">
        <f aca="false">W25*Y25+Z25</f>
        <v>2.02003837336053</v>
      </c>
      <c r="AB25" s="25" t="n">
        <f aca="false">INDEX(C_TAB,MATCH($A25,C_COD,0),15)</f>
        <v>5</v>
      </c>
      <c r="AC25" s="45" t="n">
        <f aca="false">INDEX(C_TAB,MATCH($A25,C_COD,0),11)</f>
        <v>1</v>
      </c>
      <c r="AD25" s="45" t="n">
        <f aca="false">MAX(AC25,CEILING(X25*AB25,AC25))</f>
        <v>3</v>
      </c>
      <c r="AE25" s="25" t="n">
        <f aca="false">AD25/AC25</f>
        <v>3</v>
      </c>
      <c r="AF25" s="45" t="n">
        <f aca="false">Z25+AD25</f>
        <v>3.14910372269605</v>
      </c>
      <c r="AG25" s="25" t="n">
        <f aca="false">ROUNDUP(AF25/AC25,0)</f>
        <v>4</v>
      </c>
      <c r="AH25" s="45" t="n">
        <f aca="false">IF(W25&gt;0,AF25/W25,0)</f>
        <v>8.41585707330192</v>
      </c>
      <c r="AI25" s="25" t="n">
        <f aca="false">IF(AD25&gt;0,E25/AD25,0)</f>
        <v>29.9349544106316</v>
      </c>
      <c r="AJ25" s="25" t="n">
        <f aca="false">INDEX(C_TAB,MATCH($A25,C_COD,0),16)</f>
        <v>40</v>
      </c>
      <c r="AK25" s="47" t="n">
        <f aca="false">IF(AJ25&gt;0,AG25/AJ25,0)</f>
        <v>0.1</v>
      </c>
      <c r="AL25" s="45" t="n">
        <f aca="false">INDEX(C_TAB,MATCH($A25,C_COD,0),17)</f>
        <v>1</v>
      </c>
      <c r="AM25" s="45" t="n">
        <f aca="false">AK25*AL25</f>
        <v>0.1</v>
      </c>
    </row>
    <row r="26" customFormat="false" ht="15" hidden="false" customHeight="false" outlineLevel="0" collapsed="false">
      <c r="A26" s="24" t="s">
        <v>966</v>
      </c>
      <c r="B26" s="24" t="str">
        <f aca="false">INDEX(C_TAB,MATCH($A26,C_COD,0),2)</f>
        <v>Barra trefilada SAE 1045 3/4" × 4 m (eje 25 kg)</v>
      </c>
      <c r="C26" s="24" t="str">
        <f aca="false">INDEX(C_TAB,MATCH($A26,C_COD,0),3)</f>
        <v>barra</v>
      </c>
      <c r="D26" s="24" t="str">
        <f aca="false">INDEX(C_TAB,MATCH($A26,C_COD,0),6)</f>
        <v>Cantilever de caños y barras</v>
      </c>
      <c r="E26" s="45" t="n">
        <f aca="false">CONSOLIDADO_INSUMOS!T63</f>
        <v>56.65881665</v>
      </c>
      <c r="F26" s="45" t="n">
        <f aca="false">SUMIFS(CONSOLIDADO_INSUMOS!$T$4:$T$350,CONSOLIDADO_INSUMOS!$B$4:$B$350,$A26,CONSOLIDADO_INSUMOS!$H$4:$H$350,"MANUALES")</f>
        <v>0</v>
      </c>
      <c r="G26" s="45" t="n">
        <f aca="false">SUMIFS(CONSOLIDADO_INSUMOS!$T$4:$T$350,CONSOLIDADO_INSUMOS!$B$4:$B$350,$A26,CONSOLIDADO_INSUMOS!$H$4:$H$350,"RODANTES")</f>
        <v>56.65881665</v>
      </c>
      <c r="H26" s="45" t="n">
        <f aca="false">SUMIFS(CONSOLIDADO_INSUMOS!$T$4:$T$350,CONSOLIDADO_INSUMOS!$B$4:$B$350,$A26,CONSOLIDADO_INSUMOS!$H$4:$H$350,"RECARGAS")</f>
        <v>0</v>
      </c>
      <c r="I26" s="45" t="n">
        <f aca="false">SUMIFS(CONSOLIDADO_INSUMOS!$T$4:$T$350,CONSOLIDADO_INSUMOS!$B$4:$B$350,$A26,CONSOLIDADO_INSUMOS!$H$4:$H$350,"REVENDIDOS")</f>
        <v>0</v>
      </c>
      <c r="J26" s="45" t="n">
        <f aca="false">F26*ESTACIONALIDAD!$B$14+G26*ESTACIONALIDAD!$B$15+H26*ESTACIONALIDAD!$B$16+I26*ESTACIONALIDAD!$B$17</f>
        <v>4.81599941525</v>
      </c>
      <c r="K26" s="45" t="n">
        <f aca="false">F26*ESTACIONALIDAD!$C$14+G26*ESTACIONALIDAD!$C$15+H26*ESTACIONALIDAD!$C$16+I26*ESTACIONALIDAD!$C$17</f>
        <v>4.24941124875</v>
      </c>
      <c r="L26" s="45" t="n">
        <f aca="false">F26*ESTACIONALIDAD!$D$14+G26*ESTACIONALIDAD!$D$15+H26*ESTACIONALIDAD!$D$16+I26*ESTACIONALIDAD!$D$17</f>
        <v>5.0992934985</v>
      </c>
      <c r="M26" s="45" t="n">
        <f aca="false">F26*ESTACIONALIDAD!$E$14+G26*ESTACIONALIDAD!$E$15+H26*ESTACIONALIDAD!$E$16+I26*ESTACIONALIDAD!$E$17</f>
        <v>5.0992934985</v>
      </c>
      <c r="N26" s="45" t="n">
        <f aca="false">F26*ESTACIONALIDAD!$F$14+G26*ESTACIONALIDAD!$F$15+H26*ESTACIONALIDAD!$F$16+I26*ESTACIONALIDAD!$F$17</f>
        <v>5.0992934985</v>
      </c>
      <c r="O26" s="45" t="n">
        <f aca="false">F26*ESTACIONALIDAD!$G$14+G26*ESTACIONALIDAD!$G$15+H26*ESTACIONALIDAD!$G$16+I26*ESTACIONALIDAD!$G$17</f>
        <v>4.532705332</v>
      </c>
      <c r="P26" s="45" t="n">
        <f aca="false">F26*ESTACIONALIDAD!$H$14+G26*ESTACIONALIDAD!$H$15+H26*ESTACIONALIDAD!$H$16+I26*ESTACIONALIDAD!$H$17</f>
        <v>5.0992934985</v>
      </c>
      <c r="Q26" s="45" t="n">
        <f aca="false">F26*ESTACIONALIDAD!$I$14+G26*ESTACIONALIDAD!$I$15+H26*ESTACIONALIDAD!$I$16+I26*ESTACIONALIDAD!$I$17</f>
        <v>5.0992934985</v>
      </c>
      <c r="R26" s="45" t="n">
        <f aca="false">F26*ESTACIONALIDAD!$J$14+G26*ESTACIONALIDAD!$J$15+H26*ESTACIONALIDAD!$J$16+I26*ESTACIONALIDAD!$J$17</f>
        <v>4.81599941525</v>
      </c>
      <c r="S26" s="45" t="n">
        <f aca="false">F26*ESTACIONALIDAD!$K$14+G26*ESTACIONALIDAD!$K$15+H26*ESTACIONALIDAD!$K$16+I26*ESTACIONALIDAD!$K$17</f>
        <v>4.24941124875</v>
      </c>
      <c r="T26" s="45" t="n">
        <f aca="false">F26*ESTACIONALIDAD!$L$14+G26*ESTACIONALIDAD!$L$15+H26*ESTACIONALIDAD!$L$16+I26*ESTACIONALIDAD!$L$17</f>
        <v>3.9661171655</v>
      </c>
      <c r="U26" s="45" t="n">
        <f aca="false">F26*ESTACIONALIDAD!$M$14+G26*ESTACIONALIDAD!$M$15+H26*ESTACIONALIDAD!$M$16+I26*ESTACIONALIDAD!$M$17</f>
        <v>4.532705332</v>
      </c>
      <c r="V26" s="45" t="n">
        <f aca="false">MAX(J26:U26)</f>
        <v>5.0992934985</v>
      </c>
      <c r="W26" s="46" t="n">
        <f aca="false">E26/INDEX(P_VAL,MATCH("DH_AÑO",P_ID,0))</f>
        <v>0.236078402708333</v>
      </c>
      <c r="X26" s="46" t="n">
        <f aca="false">V26/INDEX(P_VAL,MATCH("DH_MES",P_ID,0))</f>
        <v>0.254964674925</v>
      </c>
      <c r="Y26" s="25" t="n">
        <f aca="false">INDEX(C_TAB,MATCH($A26,C_COD,0),12)</f>
        <v>5</v>
      </c>
      <c r="Z26" s="46" t="n">
        <f aca="false">(X26-W26)*Y26</f>
        <v>0.0944313610833332</v>
      </c>
      <c r="AA26" s="45" t="n">
        <f aca="false">W26*Y26+Z26</f>
        <v>1.274823374625</v>
      </c>
      <c r="AB26" s="25" t="n">
        <f aca="false">INDEX(C_TAB,MATCH($A26,C_COD,0),15)</f>
        <v>5</v>
      </c>
      <c r="AC26" s="45" t="n">
        <f aca="false">INDEX(C_TAB,MATCH($A26,C_COD,0),11)</f>
        <v>1</v>
      </c>
      <c r="AD26" s="45" t="n">
        <f aca="false">MAX(AC26,CEILING(X26*AB26,AC26))</f>
        <v>2</v>
      </c>
      <c r="AE26" s="25" t="n">
        <f aca="false">AD26/AC26</f>
        <v>2</v>
      </c>
      <c r="AF26" s="45" t="n">
        <f aca="false">Z26+AD26</f>
        <v>2.09443136108333</v>
      </c>
      <c r="AG26" s="25" t="n">
        <f aca="false">ROUNDUP(AF26/AC26,0)</f>
        <v>3</v>
      </c>
      <c r="AH26" s="45" t="n">
        <f aca="false">IF(W26&gt;0,AF26/W26,0)</f>
        <v>8.87176182596817</v>
      </c>
      <c r="AI26" s="25" t="n">
        <f aca="false">IF(AD26&gt;0,E26/AD26,0)</f>
        <v>28.329408325</v>
      </c>
      <c r="AJ26" s="25" t="n">
        <f aca="false">INDEX(C_TAB,MATCH($A26,C_COD,0),16)</f>
        <v>40</v>
      </c>
      <c r="AK26" s="47" t="n">
        <f aca="false">IF(AJ26&gt;0,AG26/AJ26,0)</f>
        <v>0.075</v>
      </c>
      <c r="AL26" s="45" t="n">
        <f aca="false">INDEX(C_TAB,MATCH($A26,C_COD,0),17)</f>
        <v>1</v>
      </c>
      <c r="AM26" s="45" t="n">
        <f aca="false">AK26*AL26</f>
        <v>0.075</v>
      </c>
    </row>
    <row r="27" customFormat="false" ht="15" hidden="false" customHeight="false" outlineLevel="0" collapsed="false">
      <c r="A27" s="24" t="s">
        <v>1081</v>
      </c>
      <c r="B27" s="24" t="str">
        <f aca="false">INDEX(C_TAB,MATCH($A27,C_COD,0),2)</f>
        <v>Barra trefilada SAE 1045 1" × 6 m (eje 50 a 100 kg)</v>
      </c>
      <c r="C27" s="24" t="str">
        <f aca="false">INDEX(C_TAB,MATCH($A27,C_COD,0),3)</f>
        <v>barra</v>
      </c>
      <c r="D27" s="24" t="str">
        <f aca="false">INDEX(C_TAB,MATCH($A27,C_COD,0),6)</f>
        <v>Cantilever de caños y barras</v>
      </c>
      <c r="E27" s="45" t="n">
        <f aca="false">CONSOLIDADO_INSUMOS!T65</f>
        <v>127.297112941818</v>
      </c>
      <c r="F27" s="45" t="n">
        <f aca="false">SUMIFS(CONSOLIDADO_INSUMOS!$T$4:$T$350,CONSOLIDADO_INSUMOS!$B$4:$B$350,$A27,CONSOLIDADO_INSUMOS!$H$4:$H$350,"MANUALES")</f>
        <v>0</v>
      </c>
      <c r="G27" s="45" t="n">
        <f aca="false">SUMIFS(CONSOLIDADO_INSUMOS!$T$4:$T$350,CONSOLIDADO_INSUMOS!$B$4:$B$350,$A27,CONSOLIDADO_INSUMOS!$H$4:$H$350,"RODANTES")</f>
        <v>126.915749305455</v>
      </c>
      <c r="H27" s="45" t="n">
        <f aca="false">SUMIFS(CONSOLIDADO_INSUMOS!$T$4:$T$350,CONSOLIDADO_INSUMOS!$B$4:$B$350,$A27,CONSOLIDADO_INSUMOS!$H$4:$H$350,"RECARGAS")</f>
        <v>0.381363636363636</v>
      </c>
      <c r="I27" s="45" t="n">
        <f aca="false">SUMIFS(CONSOLIDADO_INSUMOS!$T$4:$T$350,CONSOLIDADO_INSUMOS!$B$4:$B$350,$A27,CONSOLIDADO_INSUMOS!$H$4:$H$350,"REVENDIDOS")</f>
        <v>0</v>
      </c>
      <c r="J27" s="45" t="n">
        <f aca="false">F27*ESTACIONALIDAD!$B$14+G27*ESTACIONALIDAD!$B$15+H27*ESTACIONALIDAD!$B$16+I27*ESTACIONALIDAD!$B$17</f>
        <v>10.8242015686356</v>
      </c>
      <c r="K27" s="45" t="n">
        <f aca="false">F27*ESTACIONALIDAD!$C$14+G27*ESTACIONALIDAD!$C$15+H27*ESTACIONALIDAD!$C$16+I27*ESTACIONALIDAD!$C$17</f>
        <v>9.54879252236163</v>
      </c>
      <c r="L27" s="45" t="n">
        <f aca="false">F27*ESTACIONALIDAD!$D$14+G27*ESTACIONALIDAD!$D$15+H27*ESTACIONALIDAD!$D$16+I27*ESTACIONALIDAD!$D$17</f>
        <v>11.4534411639839</v>
      </c>
      <c r="M27" s="45" t="n">
        <f aca="false">F27*ESTACIONALIDAD!$E$14+G27*ESTACIONALIDAD!$E$15+H27*ESTACIONALIDAD!$E$16+I27*ESTACIONALIDAD!$E$17</f>
        <v>11.4525544210017</v>
      </c>
      <c r="N27" s="45" t="n">
        <f aca="false">F27*ESTACIONALIDAD!$F$14+G27*ESTACIONALIDAD!$F$15+H27*ESTACIONALIDAD!$F$16+I27*ESTACIONALIDAD!$F$17</f>
        <v>11.4516420189612</v>
      </c>
      <c r="O27" s="45" t="n">
        <f aca="false">F27*ESTACIONALIDAD!$G$14+G27*ESTACIONALIDAD!$G$15+H27*ESTACIONALIDAD!$G$16+I27*ESTACIONALIDAD!$G$17</f>
        <v>10.1815721238662</v>
      </c>
      <c r="P27" s="45" t="n">
        <f aca="false">F27*ESTACIONALIDAD!$H$14+G27*ESTACIONALIDAD!$H$15+H27*ESTACIONALIDAD!$H$16+I27*ESTACIONALIDAD!$H$17</f>
        <v>11.4525800800599</v>
      </c>
      <c r="Q27" s="45" t="n">
        <f aca="false">F27*ESTACIONALIDAD!$I$14+G27*ESTACIONALIDAD!$I$15+H27*ESTACIONALIDAD!$I$16+I27*ESTACIONALIDAD!$I$17</f>
        <v>11.4534155049257</v>
      </c>
      <c r="R27" s="45" t="n">
        <f aca="false">F27*ESTACIONALIDAD!$J$14+G27*ESTACIONALIDAD!$J$15+H27*ESTACIONALIDAD!$J$16+I27*ESTACIONALIDAD!$J$17</f>
        <v>10.8188367583984</v>
      </c>
      <c r="S27" s="45" t="n">
        <f aca="false">F27*ESTACIONALIDAD!$K$14+G27*ESTACIONALIDAD!$K$15+H27*ESTACIONALIDAD!$K$16+I27*ESTACIONALIDAD!$K$17</f>
        <v>9.54879252236163</v>
      </c>
      <c r="T27" s="45" t="n">
        <f aca="false">F27*ESTACIONALIDAD!$L$14+G27*ESTACIONALIDAD!$L$15+H27*ESTACIONALIDAD!$L$16+I27*ESTACIONALIDAD!$L$17</f>
        <v>8.91418811677614</v>
      </c>
      <c r="U27" s="45" t="n">
        <f aca="false">F27*ESTACIONALIDAD!$M$14+G27*ESTACIONALIDAD!$M$15+H27*ESTACIONALIDAD!$M$16+I27*ESTACIONALIDAD!$M$17</f>
        <v>10.1970961404862</v>
      </c>
      <c r="V27" s="45" t="n">
        <f aca="false">MAX(J27:U27)</f>
        <v>11.4534411639839</v>
      </c>
      <c r="W27" s="46" t="n">
        <f aca="false">E27/INDEX(P_VAL,MATCH("DH_AÑO",P_ID,0))</f>
        <v>0.530404637257576</v>
      </c>
      <c r="X27" s="46" t="n">
        <f aca="false">V27/INDEX(P_VAL,MATCH("DH_MES",P_ID,0))</f>
        <v>0.572672058199195</v>
      </c>
      <c r="Y27" s="25" t="n">
        <f aca="false">INDEX(C_TAB,MATCH($A27,C_COD,0),12)</f>
        <v>5</v>
      </c>
      <c r="Z27" s="46" t="n">
        <f aca="false">(X27-W27)*Y27</f>
        <v>0.211337104708096</v>
      </c>
      <c r="AA27" s="45" t="n">
        <f aca="false">W27*Y27+Z27</f>
        <v>2.86336029099597</v>
      </c>
      <c r="AB27" s="25" t="n">
        <f aca="false">INDEX(C_TAB,MATCH($A27,C_COD,0),15)</f>
        <v>5</v>
      </c>
      <c r="AC27" s="45" t="n">
        <f aca="false">INDEX(C_TAB,MATCH($A27,C_COD,0),11)</f>
        <v>1</v>
      </c>
      <c r="AD27" s="45" t="n">
        <f aca="false">MAX(AC27,CEILING(X27*AB27,AC27))</f>
        <v>3</v>
      </c>
      <c r="AE27" s="25" t="n">
        <f aca="false">AD27/AC27</f>
        <v>3</v>
      </c>
      <c r="AF27" s="45" t="n">
        <f aca="false">Z27+AD27</f>
        <v>3.2113371047081</v>
      </c>
      <c r="AG27" s="25" t="n">
        <f aca="false">ROUNDUP(AF27/AC27,0)</f>
        <v>4</v>
      </c>
      <c r="AH27" s="45" t="n">
        <f aca="false">IF(W27&gt;0,AF27/W27,0)</f>
        <v>6.05450420138126</v>
      </c>
      <c r="AI27" s="25" t="n">
        <f aca="false">IF(AD27&gt;0,E27/AD27,0)</f>
        <v>42.4323709806061</v>
      </c>
      <c r="AJ27" s="25" t="n">
        <f aca="false">INDEX(C_TAB,MATCH($A27,C_COD,0),16)</f>
        <v>40</v>
      </c>
      <c r="AK27" s="47" t="n">
        <f aca="false">IF(AJ27&gt;0,AG27/AJ27,0)</f>
        <v>0.1</v>
      </c>
      <c r="AL27" s="45" t="n">
        <f aca="false">INDEX(C_TAB,MATCH($A27,C_COD,0),17)</f>
        <v>1</v>
      </c>
      <c r="AM27" s="45" t="n">
        <f aca="false">AK27*AL27</f>
        <v>0.1</v>
      </c>
    </row>
    <row r="28" customFormat="false" ht="15" hidden="false" customHeight="false" outlineLevel="0" collapsed="false">
      <c r="A28" s="24" t="s">
        <v>971</v>
      </c>
      <c r="B28" s="24" t="str">
        <f aca="false">INDEX(C_TAB,MATCH($A28,C_COD,0),2)</f>
        <v>Arandela de tope del eje del carro</v>
      </c>
      <c r="C28" s="24" t="str">
        <f aca="false">INDEX(C_TAB,MATCH($A28,C_COD,0),3)</f>
        <v>u</v>
      </c>
      <c r="D28" s="24" t="str">
        <f aca="false">INDEX(C_TAB,MATCH($A28,C_COD,0),6)</f>
        <v>Rack de insumos de montaje (carros)</v>
      </c>
      <c r="E28" s="45" t="n">
        <f aca="false">CONSOLIDADO_INSUMOS!T68</f>
        <v>7268.9285316</v>
      </c>
      <c r="F28" s="45" t="n">
        <f aca="false">SUMIFS(CONSOLIDADO_INSUMOS!$T$4:$T$350,CONSOLIDADO_INSUMOS!$B$4:$B$350,$A28,CONSOLIDADO_INSUMOS!$H$4:$H$350,"MANUALES")</f>
        <v>0</v>
      </c>
      <c r="G28" s="45" t="n">
        <f aca="false">SUMIFS(CONSOLIDADO_INSUMOS!$T$4:$T$350,CONSOLIDADO_INSUMOS!$B$4:$B$350,$A28,CONSOLIDADO_INSUMOS!$H$4:$H$350,"RODANTES")</f>
        <v>7252.3285316</v>
      </c>
      <c r="H28" s="45" t="n">
        <f aca="false">SUMIFS(CONSOLIDADO_INSUMOS!$T$4:$T$350,CONSOLIDADO_INSUMOS!$B$4:$B$350,$A28,CONSOLIDADO_INSUMOS!$H$4:$H$350,"RECARGAS")</f>
        <v>16.6</v>
      </c>
      <c r="I28" s="45" t="n">
        <f aca="false">SUMIFS(CONSOLIDADO_INSUMOS!$T$4:$T$350,CONSOLIDADO_INSUMOS!$B$4:$B$350,$A28,CONSOLIDADO_INSUMOS!$H$4:$H$350,"REVENDIDOS")</f>
        <v>0</v>
      </c>
      <c r="J28" s="45" t="n">
        <f aca="false">F28*ESTACIONALIDAD!$B$14+G28*ESTACIONALIDAD!$B$15+H28*ESTACIONALIDAD!$B$16+I28*ESTACIONALIDAD!$B$17</f>
        <v>618.030728872029</v>
      </c>
      <c r="K28" s="45" t="n">
        <f aca="false">F28*ESTACIONALIDAD!$C$14+G28*ESTACIONALIDAD!$C$15+H28*ESTACIONALIDAD!$C$16+I28*ESTACIONALIDAD!$C$17</f>
        <v>545.235325887887</v>
      </c>
      <c r="L28" s="45" t="n">
        <f aca="false">F28*ESTACIONALIDAD!$D$14+G28*ESTACIONALIDAD!$D$15+H28*ESTACIONALIDAD!$D$16+I28*ESTACIONALIDAD!$D$17</f>
        <v>654.059968906603</v>
      </c>
      <c r="M28" s="45" t="n">
        <f aca="false">F28*ESTACIONALIDAD!$E$14+G28*ESTACIONALIDAD!$E$15+H28*ESTACIONALIDAD!$E$16+I28*ESTACIONALIDAD!$E$17</f>
        <v>654.021370749618</v>
      </c>
      <c r="N28" s="45" t="n">
        <f aca="false">F28*ESTACIONALIDAD!$F$14+G28*ESTACIONALIDAD!$F$15+H28*ESTACIONALIDAD!$F$16+I28*ESTACIONALIDAD!$F$17</f>
        <v>653.981655704901</v>
      </c>
      <c r="O28" s="45" t="n">
        <f aca="false">F28*ESTACIONALIDAD!$G$14+G28*ESTACIONALIDAD!$G$15+H28*ESTACIONALIDAD!$G$16+I28*ESTACIONALIDAD!$G$17</f>
        <v>581.418655344185</v>
      </c>
      <c r="P28" s="45" t="n">
        <f aca="false">F28*ESTACIONALIDAD!$H$14+G28*ESTACIONALIDAD!$H$15+H28*ESTACIONALIDAD!$H$16+I28*ESTACIONALIDAD!$H$17</f>
        <v>654.022487637349</v>
      </c>
      <c r="Q28" s="45" t="n">
        <f aca="false">F28*ESTACIONALIDAD!$I$14+G28*ESTACIONALIDAD!$I$15+H28*ESTACIONALIDAD!$I$16+I28*ESTACIONALIDAD!$I$17</f>
        <v>654.058852018872</v>
      </c>
      <c r="R28" s="45" t="n">
        <f aca="false">F28*ESTACIONALIDAD!$J$14+G28*ESTACIONALIDAD!$J$15+H28*ESTACIONALIDAD!$J$16+I28*ESTACIONALIDAD!$J$17</f>
        <v>617.797209360872</v>
      </c>
      <c r="S28" s="45" t="n">
        <f aca="false">F28*ESTACIONALIDAD!$K$14+G28*ESTACIONALIDAD!$K$15+H28*ESTACIONALIDAD!$K$16+I28*ESTACIONALIDAD!$K$17</f>
        <v>545.235325887887</v>
      </c>
      <c r="T28" s="45" t="n">
        <f aca="false">F28*ESTACIONALIDAD!$L$14+G28*ESTACIONALIDAD!$L$15+H28*ESTACIONALIDAD!$L$16+I28*ESTACIONALIDAD!$L$17</f>
        <v>508.972566342156</v>
      </c>
      <c r="U28" s="45" t="n">
        <f aca="false">F28*ESTACIONALIDAD!$M$14+G28*ESTACIONALIDAD!$M$15+H28*ESTACIONALIDAD!$M$16+I28*ESTACIONALIDAD!$M$17</f>
        <v>582.094384887643</v>
      </c>
      <c r="V28" s="45" t="n">
        <f aca="false">MAX(J28:U28)</f>
        <v>654.059968906603</v>
      </c>
      <c r="W28" s="46" t="n">
        <f aca="false">E28/INDEX(P_VAL,MATCH("DH_AÑO",P_ID,0))</f>
        <v>30.287202215</v>
      </c>
      <c r="X28" s="46" t="n">
        <f aca="false">V28/INDEX(P_VAL,MATCH("DH_MES",P_ID,0))</f>
        <v>32.7029984453302</v>
      </c>
      <c r="Y28" s="25" t="n">
        <f aca="false">INDEX(C_TAB,MATCH($A28,C_COD,0),12)</f>
        <v>5</v>
      </c>
      <c r="Z28" s="46" t="n">
        <f aca="false">(X28-W28)*Y28</f>
        <v>12.0789811516508</v>
      </c>
      <c r="AA28" s="45" t="n">
        <f aca="false">W28*Y28+Z28</f>
        <v>163.514992226651</v>
      </c>
      <c r="AB28" s="25" t="n">
        <f aca="false">INDEX(C_TAB,MATCH($A28,C_COD,0),15)</f>
        <v>10</v>
      </c>
      <c r="AC28" s="45" t="n">
        <f aca="false">INDEX(C_TAB,MATCH($A28,C_COD,0),11)</f>
        <v>100</v>
      </c>
      <c r="AD28" s="45" t="n">
        <f aca="false">MAX(AC28,CEILING(X28*AB28,AC28))</f>
        <v>400</v>
      </c>
      <c r="AE28" s="25" t="n">
        <f aca="false">AD28/AC28</f>
        <v>4</v>
      </c>
      <c r="AF28" s="45" t="n">
        <f aca="false">Z28+AD28</f>
        <v>412.078981151651</v>
      </c>
      <c r="AG28" s="25" t="n">
        <f aca="false">ROUNDUP(AF28/AC28,0)</f>
        <v>5</v>
      </c>
      <c r="AH28" s="45" t="n">
        <f aca="false">IF(W28&gt;0,AF28/W28,0)</f>
        <v>13.6057130079702</v>
      </c>
      <c r="AI28" s="25" t="n">
        <f aca="false">IF(AD28&gt;0,E28/AD28,0)</f>
        <v>18.172321329</v>
      </c>
      <c r="AJ28" s="25" t="n">
        <f aca="false">INDEX(C_TAB,MATCH($A28,C_COD,0),16)</f>
        <v>20</v>
      </c>
      <c r="AK28" s="47" t="n">
        <f aca="false">IF(AJ28&gt;0,AG28/AJ28,0)</f>
        <v>0.25</v>
      </c>
      <c r="AL28" s="45" t="n">
        <f aca="false">INDEX(C_TAB,MATCH($A28,C_COD,0),17)</f>
        <v>0.73</v>
      </c>
      <c r="AM28" s="45" t="n">
        <f aca="false">AK28*AL28</f>
        <v>0.1825</v>
      </c>
    </row>
    <row r="29" customFormat="false" ht="15" hidden="false" customHeight="false" outlineLevel="0" collapsed="false">
      <c r="A29" s="24" t="s">
        <v>976</v>
      </c>
      <c r="B29" s="24" t="str">
        <f aca="false">INDEX(C_TAB,MATCH($A29,C_COD,0),2)</f>
        <v>Pasador partido del eje del carro</v>
      </c>
      <c r="C29" s="24" t="str">
        <f aca="false">INDEX(C_TAB,MATCH($A29,C_COD,0),3)</f>
        <v>u</v>
      </c>
      <c r="D29" s="24" t="str">
        <f aca="false">INDEX(C_TAB,MATCH($A29,C_COD,0),6)</f>
        <v>Rack de insumos de montaje (carros)</v>
      </c>
      <c r="E29" s="45" t="n">
        <f aca="false">CONSOLIDADO_INSUMOS!T71</f>
        <v>3634.4642658</v>
      </c>
      <c r="F29" s="45" t="n">
        <f aca="false">SUMIFS(CONSOLIDADO_INSUMOS!$T$4:$T$350,CONSOLIDADO_INSUMOS!$B$4:$B$350,$A29,CONSOLIDADO_INSUMOS!$H$4:$H$350,"MANUALES")</f>
        <v>0</v>
      </c>
      <c r="G29" s="45" t="n">
        <f aca="false">SUMIFS(CONSOLIDADO_INSUMOS!$T$4:$T$350,CONSOLIDADO_INSUMOS!$B$4:$B$350,$A29,CONSOLIDADO_INSUMOS!$H$4:$H$350,"RODANTES")</f>
        <v>3626.1642658</v>
      </c>
      <c r="H29" s="45" t="n">
        <f aca="false">SUMIFS(CONSOLIDADO_INSUMOS!$T$4:$T$350,CONSOLIDADO_INSUMOS!$B$4:$B$350,$A29,CONSOLIDADO_INSUMOS!$H$4:$H$350,"RECARGAS")</f>
        <v>8.3</v>
      </c>
      <c r="I29" s="45" t="n">
        <f aca="false">SUMIFS(CONSOLIDADO_INSUMOS!$T$4:$T$350,CONSOLIDADO_INSUMOS!$B$4:$B$350,$A29,CONSOLIDADO_INSUMOS!$H$4:$H$350,"REVENDIDOS")</f>
        <v>0</v>
      </c>
      <c r="J29" s="45" t="n">
        <f aca="false">F29*ESTACIONALIDAD!$B$14+G29*ESTACIONALIDAD!$B$15+H29*ESTACIONALIDAD!$B$16+I29*ESTACIONALIDAD!$B$17</f>
        <v>309.015364436015</v>
      </c>
      <c r="K29" s="45" t="n">
        <f aca="false">F29*ESTACIONALIDAD!$C$14+G29*ESTACIONALIDAD!$C$15+H29*ESTACIONALIDAD!$C$16+I29*ESTACIONALIDAD!$C$17</f>
        <v>272.617662943943</v>
      </c>
      <c r="L29" s="45" t="n">
        <f aca="false">F29*ESTACIONALIDAD!$D$14+G29*ESTACIONALIDAD!$D$15+H29*ESTACIONALIDAD!$D$16+I29*ESTACIONALIDAD!$D$17</f>
        <v>327.029984453302</v>
      </c>
      <c r="M29" s="45" t="n">
        <f aca="false">F29*ESTACIONALIDAD!$E$14+G29*ESTACIONALIDAD!$E$15+H29*ESTACIONALIDAD!$E$16+I29*ESTACIONALIDAD!$E$17</f>
        <v>327.010685374809</v>
      </c>
      <c r="N29" s="45" t="n">
        <f aca="false">F29*ESTACIONALIDAD!$F$14+G29*ESTACIONALIDAD!$F$15+H29*ESTACIONALIDAD!$F$16+I29*ESTACIONALIDAD!$F$17</f>
        <v>326.990827852451</v>
      </c>
      <c r="O29" s="45" t="n">
        <f aca="false">F29*ESTACIONALIDAD!$G$14+G29*ESTACIONALIDAD!$G$15+H29*ESTACIONALIDAD!$G$16+I29*ESTACIONALIDAD!$G$17</f>
        <v>290.709327672092</v>
      </c>
      <c r="P29" s="45" t="n">
        <f aca="false">F29*ESTACIONALIDAD!$H$14+G29*ESTACIONALIDAD!$H$15+H29*ESTACIONALIDAD!$H$16+I29*ESTACIONALIDAD!$H$17</f>
        <v>327.011243818674</v>
      </c>
      <c r="Q29" s="45" t="n">
        <f aca="false">F29*ESTACIONALIDAD!$I$14+G29*ESTACIONALIDAD!$I$15+H29*ESTACIONALIDAD!$I$16+I29*ESTACIONALIDAD!$I$17</f>
        <v>327.029426009436</v>
      </c>
      <c r="R29" s="45" t="n">
        <f aca="false">F29*ESTACIONALIDAD!$J$14+G29*ESTACIONALIDAD!$J$15+H29*ESTACIONALIDAD!$J$16+I29*ESTACIONALIDAD!$J$17</f>
        <v>308.898604680436</v>
      </c>
      <c r="S29" s="45" t="n">
        <f aca="false">F29*ESTACIONALIDAD!$K$14+G29*ESTACIONALIDAD!$K$15+H29*ESTACIONALIDAD!$K$16+I29*ESTACIONALIDAD!$K$17</f>
        <v>272.617662943943</v>
      </c>
      <c r="T29" s="45" t="n">
        <f aca="false">F29*ESTACIONALIDAD!$L$14+G29*ESTACIONALIDAD!$L$15+H29*ESTACIONALIDAD!$L$16+I29*ESTACIONALIDAD!$L$17</f>
        <v>254.486283171078</v>
      </c>
      <c r="U29" s="45" t="n">
        <f aca="false">F29*ESTACIONALIDAD!$M$14+G29*ESTACIONALIDAD!$M$15+H29*ESTACIONALIDAD!$M$16+I29*ESTACIONALIDAD!$M$17</f>
        <v>291.047192443822</v>
      </c>
      <c r="V29" s="45" t="n">
        <f aca="false">MAX(J29:U29)</f>
        <v>327.029984453302</v>
      </c>
      <c r="W29" s="46" t="n">
        <f aca="false">E29/INDEX(P_VAL,MATCH("DH_AÑO",P_ID,0))</f>
        <v>15.1436011075</v>
      </c>
      <c r="X29" s="46" t="n">
        <f aca="false">V29/INDEX(P_VAL,MATCH("DH_MES",P_ID,0))</f>
        <v>16.3514992226651</v>
      </c>
      <c r="Y29" s="25" t="n">
        <f aca="false">INDEX(C_TAB,MATCH($A29,C_COD,0),12)</f>
        <v>5</v>
      </c>
      <c r="Z29" s="46" t="n">
        <f aca="false">(X29-W29)*Y29</f>
        <v>6.03949057582538</v>
      </c>
      <c r="AA29" s="45" t="n">
        <f aca="false">W29*Y29+Z29</f>
        <v>81.7574961133254</v>
      </c>
      <c r="AB29" s="25" t="n">
        <f aca="false">INDEX(C_TAB,MATCH($A29,C_COD,0),15)</f>
        <v>10</v>
      </c>
      <c r="AC29" s="45" t="n">
        <f aca="false">INDEX(C_TAB,MATCH($A29,C_COD,0),11)</f>
        <v>100</v>
      </c>
      <c r="AD29" s="45" t="n">
        <f aca="false">MAX(AC29,CEILING(X29*AB29,AC29))</f>
        <v>200</v>
      </c>
      <c r="AE29" s="25" t="n">
        <f aca="false">AD29/AC29</f>
        <v>2</v>
      </c>
      <c r="AF29" s="45" t="n">
        <f aca="false">Z29+AD29</f>
        <v>206.039490575825</v>
      </c>
      <c r="AG29" s="25" t="n">
        <f aca="false">ROUNDUP(AF29/AC29,0)</f>
        <v>3</v>
      </c>
      <c r="AH29" s="45" t="n">
        <f aca="false">IF(W29&gt;0,AF29/W29,0)</f>
        <v>13.6057130079702</v>
      </c>
      <c r="AI29" s="25" t="n">
        <f aca="false">IF(AD29&gt;0,E29/AD29,0)</f>
        <v>18.172321329</v>
      </c>
      <c r="AJ29" s="25" t="n">
        <f aca="false">INDEX(C_TAB,MATCH($A29,C_COD,0),16)</f>
        <v>20</v>
      </c>
      <c r="AK29" s="47" t="n">
        <f aca="false">IF(AJ29&gt;0,AG29/AJ29,0)</f>
        <v>0.15</v>
      </c>
      <c r="AL29" s="45" t="n">
        <f aca="false">INDEX(C_TAB,MATCH($A29,C_COD,0),17)</f>
        <v>0.73</v>
      </c>
      <c r="AM29" s="45" t="n">
        <f aca="false">AK29*AL29</f>
        <v>0.1095</v>
      </c>
    </row>
    <row r="30" customFormat="false" ht="15" hidden="false" customHeight="false" outlineLevel="0" collapsed="false">
      <c r="A30" s="24" t="s">
        <v>568</v>
      </c>
      <c r="B30" s="24" t="str">
        <f aca="false">INDEX(C_TAB,MATCH($A30,C_COD,0),2)</f>
        <v>Polvo ABC 60 (IRAM 3569), manuales y sus recargas</v>
      </c>
      <c r="C30" s="24" t="str">
        <f aca="false">INDEX(C_TAB,MATCH($A30,C_COD,0),3)</f>
        <v>kg</v>
      </c>
      <c r="D30" s="24" t="str">
        <f aca="false">INDEX(C_TAB,MATCH($A30,C_COD,0),6)</f>
        <v>Depósito de polvo químico</v>
      </c>
      <c r="E30" s="45" t="n">
        <f aca="false">CONSOLIDADO_INSUMOS!T74</f>
        <v>308494.17661916</v>
      </c>
      <c r="F30" s="45" t="n">
        <f aca="false">SUMIFS(CONSOLIDADO_INSUMOS!$T$4:$T$350,CONSOLIDADO_INSUMOS!$B$4:$B$350,$A30,CONSOLIDADO_INSUMOS!$H$4:$H$350,"MANUALES")</f>
        <v>240113.338313836</v>
      </c>
      <c r="G30" s="45" t="n">
        <f aca="false">SUMIFS(CONSOLIDADO_INSUMOS!$T$4:$T$350,CONSOLIDADO_INSUMOS!$B$4:$B$350,$A30,CONSOLIDADO_INSUMOS!$H$4:$H$350,"RODANTES")</f>
        <v>0</v>
      </c>
      <c r="H30" s="45" t="n">
        <f aca="false">SUMIFS(CONSOLIDADO_INSUMOS!$T$4:$T$350,CONSOLIDADO_INSUMOS!$B$4:$B$350,$A30,CONSOLIDADO_INSUMOS!$H$4:$H$350,"RECARGAS")</f>
        <v>68380.8383053248</v>
      </c>
      <c r="I30" s="45" t="n">
        <f aca="false">SUMIFS(CONSOLIDADO_INSUMOS!$T$4:$T$350,CONSOLIDADO_INSUMOS!$B$4:$B$350,$A30,CONSOLIDADO_INSUMOS!$H$4:$H$350,"REVENDIDOS")</f>
        <v>0</v>
      </c>
      <c r="J30" s="45" t="n">
        <f aca="false">F30*ESTACIONALIDAD!$B$14+G30*ESTACIONALIDAD!$B$15+H30*ESTACIONALIDAD!$B$16+I30*ESTACIONALIDAD!$B$17</f>
        <v>33936.0321541106</v>
      </c>
      <c r="K30" s="45" t="n">
        <f aca="false">F30*ESTACIONALIDAD!$C$14+G30*ESTACIONALIDAD!$C$15+H30*ESTACIONALIDAD!$C$16+I30*ESTACIONALIDAD!$C$17</f>
        <v>26310.5178648101</v>
      </c>
      <c r="L30" s="45" t="n">
        <f aca="false">F30*ESTACIONALIDAD!$D$14+G30*ESTACIONALIDAD!$D$15+H30*ESTACIONALIDAD!$D$16+I30*ESTACIONALIDAD!$D$17</f>
        <v>25121.2252868409</v>
      </c>
      <c r="M30" s="45" t="n">
        <f aca="false">F30*ESTACIONALIDAD!$E$14+G30*ESTACIONALIDAD!$E$15+H30*ESTACIONALIDAD!$E$16+I30*ESTACIONALIDAD!$E$17</f>
        <v>24111.0739832163</v>
      </c>
      <c r="N30" s="45" t="n">
        <f aca="false">F30*ESTACIONALIDAD!$F$14+G30*ESTACIONALIDAD!$F$15+H30*ESTACIONALIDAD!$F$16+I30*ESTACIONALIDAD!$F$17</f>
        <v>22746.9080114637</v>
      </c>
      <c r="O30" s="45" t="n">
        <f aca="false">F30*ESTACIONALIDAD!$G$14+G30*ESTACIONALIDAD!$G$15+H30*ESTACIONALIDAD!$G$16+I30*ESTACIONALIDAD!$G$17</f>
        <v>22233.8948896183</v>
      </c>
      <c r="P30" s="45" t="n">
        <f aca="false">F30*ESTACIONALIDAD!$H$14+G30*ESTACIONALIDAD!$H$15+H30*ESTACIONALIDAD!$H$16+I30*ESTACIONALIDAD!$H$17</f>
        <v>23766.2609680206</v>
      </c>
      <c r="Q30" s="45" t="n">
        <f aca="false">F30*ESTACIONALIDAD!$I$14+G30*ESTACIONALIDAD!$I$15+H30*ESTACIONALIDAD!$I$16+I30*ESTACIONALIDAD!$I$17</f>
        <v>23916.0577688056</v>
      </c>
      <c r="R30" s="45" t="n">
        <f aca="false">F30*ESTACIONALIDAD!$J$14+G30*ESTACIONALIDAD!$J$15+H30*ESTACIONALIDAD!$J$16+I30*ESTACIONALIDAD!$J$17</f>
        <v>23916.0577688056</v>
      </c>
      <c r="S30" s="45" t="n">
        <f aca="false">F30*ESTACIONALIDAD!$K$14+G30*ESTACIONALIDAD!$K$15+H30*ESTACIONALIDAD!$K$16+I30*ESTACIONALIDAD!$K$17</f>
        <v>23407.6454734264</v>
      </c>
      <c r="T30" s="45" t="n">
        <f aca="false">F30*ESTACIONALIDAD!$L$14+G30*ESTACIONALIDAD!$L$15+H30*ESTACIONALIDAD!$L$16+I30*ESTACIONALIDAD!$L$17</f>
        <v>23053.6308052983</v>
      </c>
      <c r="U30" s="45" t="n">
        <f aca="false">F30*ESTACIONALIDAD!$M$14+G30*ESTACIONALIDAD!$M$15+H30*ESTACIONALIDAD!$M$16+I30*ESTACIONALIDAD!$M$17</f>
        <v>35974.8716447439</v>
      </c>
      <c r="V30" s="45" t="n">
        <f aca="false">MAX(J30:U30)</f>
        <v>35974.8716447439</v>
      </c>
      <c r="W30" s="46" t="n">
        <f aca="false">E30/INDEX(P_VAL,MATCH("DH_AÑO",P_ID,0))</f>
        <v>1285.39240257983</v>
      </c>
      <c r="X30" s="46" t="n">
        <f aca="false">V30/INDEX(P_VAL,MATCH("DH_MES",P_ID,0))</f>
        <v>1798.7435822372</v>
      </c>
      <c r="Y30" s="25" t="n">
        <f aca="false">INDEX(C_TAB,MATCH($A30,C_COD,0),12)</f>
        <v>7</v>
      </c>
      <c r="Z30" s="46" t="n">
        <f aca="false">(X30-W30)*Y30</f>
        <v>3593.45825760153</v>
      </c>
      <c r="AA30" s="45" t="n">
        <f aca="false">W30*Y30+Z30</f>
        <v>12591.2050756604</v>
      </c>
      <c r="AB30" s="25" t="n">
        <f aca="false">INDEX(C_TAB,MATCH($A30,C_COD,0),15)</f>
        <v>5</v>
      </c>
      <c r="AC30" s="45" t="n">
        <f aca="false">INDEX(C_TAB,MATCH($A30,C_COD,0),11)</f>
        <v>1000</v>
      </c>
      <c r="AD30" s="45" t="n">
        <f aca="false">MAX(AC30,CEILING(X30*AB30,AC30))</f>
        <v>9000</v>
      </c>
      <c r="AE30" s="25" t="n">
        <f aca="false">AD30/AC30</f>
        <v>9</v>
      </c>
      <c r="AF30" s="45" t="n">
        <f aca="false">Z30+AD30</f>
        <v>12593.4582576015</v>
      </c>
      <c r="AG30" s="25" t="n">
        <f aca="false">ROUNDUP(AF30/AC30,0)</f>
        <v>13</v>
      </c>
      <c r="AH30" s="45" t="n">
        <f aca="false">IF(W30&gt;0,AF30/W30,0)</f>
        <v>9.79736478317901</v>
      </c>
      <c r="AI30" s="25" t="n">
        <f aca="false">IF(AD30&gt;0,E30/AD30,0)</f>
        <v>34.2771307354623</v>
      </c>
      <c r="AJ30" s="25" t="n">
        <f aca="false">INDEX(C_TAB,MATCH($A30,C_COD,0),16)</f>
        <v>2</v>
      </c>
      <c r="AK30" s="47" t="n">
        <f aca="false">IF(AJ30&gt;0,AG30/AJ30,0)</f>
        <v>6.5</v>
      </c>
      <c r="AL30" s="45" t="n">
        <f aca="false">INDEX(C_TAB,MATCH($A30,C_COD,0),17)</f>
        <v>1</v>
      </c>
      <c r="AM30" s="45" t="n">
        <f aca="false">AK30*AL30</f>
        <v>6.5</v>
      </c>
    </row>
    <row r="31" customFormat="false" ht="15" hidden="false" customHeight="false" outlineLevel="0" collapsed="false">
      <c r="A31" s="24" t="s">
        <v>988</v>
      </c>
      <c r="B31" s="24" t="str">
        <f aca="false">INDEX(C_TAB,MATCH($A31,C_COD,0),2)</f>
        <v>Polvo ABC 90 (IRAM 3569), rodantes y sus recargas</v>
      </c>
      <c r="C31" s="24" t="str">
        <f aca="false">INDEX(C_TAB,MATCH($A31,C_COD,0),3)</f>
        <v>kg</v>
      </c>
      <c r="D31" s="24" t="str">
        <f aca="false">INDEX(C_TAB,MATCH($A31,C_COD,0),6)</f>
        <v>Depósito de polvo químico</v>
      </c>
      <c r="E31" s="45" t="n">
        <f aca="false">CONSOLIDADO_INSUMOS!T77</f>
        <v>108201.017158065</v>
      </c>
      <c r="F31" s="45" t="n">
        <f aca="false">SUMIFS(CONSOLIDADO_INSUMOS!$T$4:$T$350,CONSOLIDADO_INSUMOS!$B$4:$B$350,$A31,CONSOLIDADO_INSUMOS!$H$4:$H$350,"MANUALES")</f>
        <v>0</v>
      </c>
      <c r="G31" s="45" t="n">
        <f aca="false">SUMIFS(CONSOLIDADO_INSUMOS!$T$4:$T$350,CONSOLIDADO_INSUMOS!$B$4:$B$350,$A31,CONSOLIDADO_INSUMOS!$H$4:$H$350,"RODANTES")</f>
        <v>91835.32965465</v>
      </c>
      <c r="H31" s="45" t="n">
        <f aca="false">SUMIFS(CONSOLIDADO_INSUMOS!$T$4:$T$350,CONSOLIDADO_INSUMOS!$B$4:$B$350,$A31,CONSOLIDADO_INSUMOS!$H$4:$H$350,"RECARGAS")</f>
        <v>16365.6875034153</v>
      </c>
      <c r="I31" s="45" t="n">
        <f aca="false">SUMIFS(CONSOLIDADO_INSUMOS!$T$4:$T$350,CONSOLIDADO_INSUMOS!$B$4:$B$350,$A31,CONSOLIDADO_INSUMOS!$H$4:$H$350,"REVENDIDOS")</f>
        <v>0</v>
      </c>
      <c r="J31" s="45" t="n">
        <f aca="false">F31*ESTACIONALIDAD!$B$14+G31*ESTACIONALIDAD!$B$15+H31*ESTACIONALIDAD!$B$16+I31*ESTACIONALIDAD!$B$17</f>
        <v>9366.46509924799</v>
      </c>
      <c r="K31" s="45" t="n">
        <f aca="false">F31*ESTACIONALIDAD!$C$14+G31*ESTACIONALIDAD!$C$15+H31*ESTACIONALIDAD!$C$16+I31*ESTACIONALIDAD!$C$17</f>
        <v>8179.83513276307</v>
      </c>
      <c r="L31" s="45" t="n">
        <f aca="false">F31*ESTACIONALIDAD!$D$14+G31*ESTACIONALIDAD!$D$15+H31*ESTACIONALIDAD!$D$16+I31*ESTACIONALIDAD!$D$17</f>
        <v>9596.51953607763</v>
      </c>
      <c r="M31" s="45" t="n">
        <f aca="false">F31*ESTACIONALIDAD!$E$14+G31*ESTACIONALIDAD!$E$15+H31*ESTACIONALIDAD!$E$16+I31*ESTACIONALIDAD!$E$17</f>
        <v>9558.46620020823</v>
      </c>
      <c r="N31" s="45" t="n">
        <f aca="false">F31*ESTACIONALIDAD!$F$14+G31*ESTACIONALIDAD!$F$15+H31*ESTACIONALIDAD!$F$16+I31*ESTACIONALIDAD!$F$17</f>
        <v>9519.31174171342</v>
      </c>
      <c r="O31" s="45" t="n">
        <f aca="false">F31*ESTACIONALIDAD!$G$14+G31*ESTACIONALIDAD!$G$15+H31*ESTACIONALIDAD!$G$16+I31*ESTACIONALIDAD!$G$17</f>
        <v>8561.80398667211</v>
      </c>
      <c r="P31" s="45" t="n">
        <f aca="false">F31*ESTACIONALIDAD!$H$14+G31*ESTACIONALIDAD!$H$15+H31*ESTACIONALIDAD!$H$16+I31*ESTACIONALIDAD!$H$17</f>
        <v>9559.56732283364</v>
      </c>
      <c r="Q31" s="45" t="n">
        <f aca="false">F31*ESTACIONALIDAD!$I$14+G31*ESTACIONALIDAD!$I$15+H31*ESTACIONALIDAD!$I$16+I31*ESTACIONALIDAD!$I$17</f>
        <v>9595.41841345221</v>
      </c>
      <c r="R31" s="45" t="n">
        <f aca="false">F31*ESTACIONALIDAD!$J$14+G31*ESTACIONALIDAD!$J$15+H31*ESTACIONALIDAD!$J$16+I31*ESTACIONALIDAD!$J$17</f>
        <v>9136.24176517896</v>
      </c>
      <c r="S31" s="45" t="n">
        <f aca="false">F31*ESTACIONALIDAD!$K$14+G31*ESTACIONALIDAD!$K$15+H31*ESTACIONALIDAD!$K$16+I31*ESTACIONALIDAD!$K$17</f>
        <v>8179.83513276307</v>
      </c>
      <c r="T31" s="45" t="n">
        <f aca="false">F31*ESTACIONALIDAD!$L$14+G31*ESTACIONALIDAD!$L$15+H31*ESTACIONALIDAD!$L$16+I31*ESTACIONALIDAD!$L$17</f>
        <v>7719.55736186441</v>
      </c>
      <c r="U31" s="45" t="n">
        <f aca="false">F31*ESTACIONALIDAD!$M$14+G31*ESTACIONALIDAD!$M$15+H31*ESTACIONALIDAD!$M$16+I31*ESTACIONALIDAD!$M$17</f>
        <v>9227.99546529057</v>
      </c>
      <c r="V31" s="45" t="n">
        <f aca="false">MAX(J31:U31)</f>
        <v>9596.51953607763</v>
      </c>
      <c r="W31" s="46" t="n">
        <f aca="false">E31/INDEX(P_VAL,MATCH("DH_AÑO",P_ID,0))</f>
        <v>450.837571491939</v>
      </c>
      <c r="X31" s="46" t="n">
        <f aca="false">V31/INDEX(P_VAL,MATCH("DH_MES",P_ID,0))</f>
        <v>479.825976803881</v>
      </c>
      <c r="Y31" s="25" t="n">
        <f aca="false">INDEX(C_TAB,MATCH($A31,C_COD,0),12)</f>
        <v>7</v>
      </c>
      <c r="Z31" s="46" t="n">
        <f aca="false">(X31-W31)*Y31</f>
        <v>202.918837183597</v>
      </c>
      <c r="AA31" s="45" t="n">
        <f aca="false">W31*Y31+Z31</f>
        <v>3358.78183762717</v>
      </c>
      <c r="AB31" s="25" t="n">
        <f aca="false">INDEX(C_TAB,MATCH($A31,C_COD,0),15)</f>
        <v>5</v>
      </c>
      <c r="AC31" s="45" t="n">
        <f aca="false">INDEX(C_TAB,MATCH($A31,C_COD,0),11)</f>
        <v>1000</v>
      </c>
      <c r="AD31" s="45" t="n">
        <f aca="false">MAX(AC31,CEILING(X31*AB31,AC31))</f>
        <v>3000</v>
      </c>
      <c r="AE31" s="25" t="n">
        <f aca="false">AD31/AC31</f>
        <v>3</v>
      </c>
      <c r="AF31" s="45" t="n">
        <f aca="false">Z31+AD31</f>
        <v>3202.9188371836</v>
      </c>
      <c r="AG31" s="25" t="n">
        <f aca="false">ROUNDUP(AF31/AC31,0)</f>
        <v>4</v>
      </c>
      <c r="AH31" s="45" t="n">
        <f aca="false">IF(W31&gt;0,AF31/W31,0)</f>
        <v>7.10437425741671</v>
      </c>
      <c r="AI31" s="25" t="n">
        <f aca="false">IF(AD31&gt;0,E31/AD31,0)</f>
        <v>36.0670057193551</v>
      </c>
      <c r="AJ31" s="25" t="n">
        <f aca="false">INDEX(C_TAB,MATCH($A31,C_COD,0),16)</f>
        <v>2</v>
      </c>
      <c r="AK31" s="47" t="n">
        <f aca="false">IF(AJ31&gt;0,AG31/AJ31,0)</f>
        <v>2</v>
      </c>
      <c r="AL31" s="45" t="n">
        <f aca="false">INDEX(C_TAB,MATCH($A31,C_COD,0),17)</f>
        <v>1</v>
      </c>
      <c r="AM31" s="45" t="n">
        <f aca="false">AK31*AL31</f>
        <v>2</v>
      </c>
    </row>
    <row r="32" customFormat="false" ht="15" hidden="false" customHeight="false" outlineLevel="0" collapsed="false">
      <c r="A32" s="24" t="s">
        <v>573</v>
      </c>
      <c r="B32" s="24" t="str">
        <f aca="false">INDEX(C_TAB,MATCH($A32,C_COD,0),2)</f>
        <v>Nitrógeno seco ≥ 99,8 % (gas impulsor)</v>
      </c>
      <c r="C32" s="24" t="str">
        <f aca="false">INDEX(C_TAB,MATCH($A32,C_COD,0),3)</f>
        <v>m³</v>
      </c>
      <c r="D32" s="24" t="str">
        <f aca="false">INDEX(C_TAB,MATCH($A32,C_COD,0),6)</f>
        <v>Jaula de gases</v>
      </c>
      <c r="E32" s="45" t="n">
        <f aca="false">CONSOLIDADO_INSUMOS!T80</f>
        <v>7273.69715359639</v>
      </c>
      <c r="F32" s="45" t="n">
        <f aca="false">SUMIFS(CONSOLIDADO_INSUMOS!$T$4:$T$350,CONSOLIDADO_INSUMOS!$B$4:$B$350,$A32,CONSOLIDADO_INSUMOS!$H$4:$H$350,"MANUALES")</f>
        <v>1160.09704917314</v>
      </c>
      <c r="G32" s="45" t="n">
        <f aca="false">SUMIFS(CONSOLIDADO_INSUMOS!$T$4:$T$350,CONSOLIDADO_INSUMOS!$B$4:$B$350,$A32,CONSOLIDADO_INSUMOS!$H$4:$H$350,"RODANTES")</f>
        <v>592.25860379923</v>
      </c>
      <c r="H32" s="45" t="n">
        <f aca="false">SUMIFS(CONSOLIDADO_INSUMOS!$T$4:$T$350,CONSOLIDADO_INSUMOS!$B$4:$B$350,$A32,CONSOLIDADO_INSUMOS!$H$4:$H$350,"RECARGAS")</f>
        <v>5521.34150062402</v>
      </c>
      <c r="I32" s="45" t="n">
        <f aca="false">SUMIFS(CONSOLIDADO_INSUMOS!$T$4:$T$350,CONSOLIDADO_INSUMOS!$B$4:$B$350,$A32,CONSOLIDADO_INSUMOS!$H$4:$H$350,"REVENDIDOS")</f>
        <v>0</v>
      </c>
      <c r="J32" s="45" t="n">
        <f aca="false">F32*ESTACIONALIDAD!$B$14+G32*ESTACIONALIDAD!$B$15+H32*ESTACIONALIDAD!$B$16+I32*ESTACIONALIDAD!$B$17</f>
        <v>709.25872868834</v>
      </c>
      <c r="K32" s="45" t="n">
        <f aca="false">F32*ESTACIONALIDAD!$C$14+G32*ESTACIONALIDAD!$C$15+H32*ESTACIONALIDAD!$C$16+I32*ESTACIONALIDAD!$C$17</f>
        <v>581.400274740332</v>
      </c>
      <c r="L32" s="45" t="n">
        <f aca="false">F32*ESTACIONALIDAD!$D$14+G32*ESTACIONALIDAD!$D$15+H32*ESTACIONALIDAD!$D$16+I32*ESTACIONALIDAD!$D$17</f>
        <v>596.957374306626</v>
      </c>
      <c r="M32" s="45" t="n">
        <f aca="false">F32*ESTACIONALIDAD!$E$14+G32*ESTACIONALIDAD!$E$15+H32*ESTACIONALIDAD!$E$16+I32*ESTACIONALIDAD!$E$17</f>
        <v>580.006897654949</v>
      </c>
      <c r="N32" s="45" t="n">
        <f aca="false">F32*ESTACIONALIDAD!$F$14+G32*ESTACIONALIDAD!$F$15+H32*ESTACIONALIDAD!$F$16+I32*ESTACIONALIDAD!$F$17</f>
        <v>560.996754301123</v>
      </c>
      <c r="O32" s="45" t="n">
        <f aca="false">F32*ESTACIONALIDAD!$G$14+G32*ESTACIONALIDAD!$G$15+H32*ESTACIONALIDAD!$G$16+I32*ESTACIONALIDAD!$G$17</f>
        <v>540.176332524144</v>
      </c>
      <c r="P32" s="45" t="n">
        <f aca="false">F32*ESTACIONALIDAD!$H$14+G32*ESTACIONALIDAD!$H$15+H32*ESTACIONALIDAD!$H$16+I32*ESTACIONALIDAD!$H$17</f>
        <v>578.690209095049</v>
      </c>
      <c r="Q32" s="45" t="n">
        <f aca="false">F32*ESTACIONALIDAD!$I$14+G32*ESTACIONALIDAD!$I$15+H32*ESTACIONALIDAD!$I$16+I32*ESTACIONALIDAD!$I$17</f>
        <v>590.785399989635</v>
      </c>
      <c r="R32" s="45" t="n">
        <f aca="false">F32*ESTACIONALIDAD!$J$14+G32*ESTACIONALIDAD!$J$15+H32*ESTACIONALIDAD!$J$16+I32*ESTACIONALIDAD!$J$17</f>
        <v>587.824106970639</v>
      </c>
      <c r="S32" s="45" t="n">
        <f aca="false">F32*ESTACIONALIDAD!$K$14+G32*ESTACIONALIDAD!$K$15+H32*ESTACIONALIDAD!$K$16+I32*ESTACIONALIDAD!$K$17</f>
        <v>567.375174264785</v>
      </c>
      <c r="T32" s="45" t="n">
        <f aca="false">F32*ESTACIONALIDAD!$L$14+G32*ESTACIONALIDAD!$L$15+H32*ESTACIONALIDAD!$L$16+I32*ESTACIONALIDAD!$L$17</f>
        <v>562.354214543639</v>
      </c>
      <c r="U32" s="45" t="n">
        <f aca="false">F32*ESTACIONALIDAD!$M$14+G32*ESTACIONALIDAD!$M$15+H32*ESTACIONALIDAD!$M$16+I32*ESTACIONALIDAD!$M$17</f>
        <v>817.871686517126</v>
      </c>
      <c r="V32" s="45" t="n">
        <f aca="false">MAX(J32:U32)</f>
        <v>817.871686517126</v>
      </c>
      <c r="W32" s="46" t="n">
        <f aca="false">E32/INDEX(P_VAL,MATCH("DH_AÑO",P_ID,0))</f>
        <v>30.3070714733183</v>
      </c>
      <c r="X32" s="46" t="n">
        <f aca="false">V32/INDEX(P_VAL,MATCH("DH_MES",P_ID,0))</f>
        <v>40.8935843258563</v>
      </c>
      <c r="Y32" s="25" t="n">
        <f aca="false">INDEX(C_TAB,MATCH($A32,C_COD,0),12)</f>
        <v>1</v>
      </c>
      <c r="Z32" s="46" t="n">
        <f aca="false">(X32-W32)*Y32</f>
        <v>10.586512852538</v>
      </c>
      <c r="AA32" s="45" t="n">
        <f aca="false">W32*Y32+Z32</f>
        <v>40.8935843258563</v>
      </c>
      <c r="AB32" s="25" t="n">
        <f aca="false">INDEX(C_TAB,MATCH($A32,C_COD,0),15)</f>
        <v>5</v>
      </c>
      <c r="AC32" s="45" t="n">
        <f aca="false">INDEX(C_TAB,MATCH($A32,C_COD,0),11)</f>
        <v>110</v>
      </c>
      <c r="AD32" s="45" t="n">
        <f aca="false">MAX(AC32,CEILING(X32*AB32,AC32))</f>
        <v>220</v>
      </c>
      <c r="AE32" s="25" t="n">
        <f aca="false">AD32/AC32</f>
        <v>2</v>
      </c>
      <c r="AF32" s="45" t="n">
        <f aca="false">Z32+AD32</f>
        <v>230.586512852538</v>
      </c>
      <c r="AG32" s="25" t="n">
        <f aca="false">ROUNDUP(AF32/AC32,0)</f>
        <v>3</v>
      </c>
      <c r="AH32" s="45" t="n">
        <f aca="false">IF(W32&gt;0,AF32/W32,0)</f>
        <v>7.60834028637645</v>
      </c>
      <c r="AI32" s="25" t="n">
        <f aca="false">IF(AD32&gt;0,E32/AD32,0)</f>
        <v>33.0622597890745</v>
      </c>
      <c r="AJ32" s="25" t="n">
        <f aca="false">INDEX(C_TAB,MATCH($A32,C_COD,0),16)</f>
        <v>1</v>
      </c>
      <c r="AK32" s="47" t="n">
        <f aca="false">IF(AJ32&gt;0,AG32/AJ32,0)</f>
        <v>3</v>
      </c>
      <c r="AL32" s="45" t="n">
        <f aca="false">INDEX(C_TAB,MATCH($A32,C_COD,0),17)</f>
        <v>1.5</v>
      </c>
      <c r="AM32" s="45" t="n">
        <f aca="false">AK32*AL32</f>
        <v>4.5</v>
      </c>
    </row>
    <row r="33" customFormat="false" ht="15" hidden="false" customHeight="false" outlineLevel="0" collapsed="false">
      <c r="A33" s="24" t="s">
        <v>1589</v>
      </c>
      <c r="B33" s="24" t="str">
        <f aca="false">INDEX(C_TAB,MATCH($A33,C_COD,0),2)</f>
        <v>Argón (gas impulsor del agente limpio)</v>
      </c>
      <c r="C33" s="24" t="str">
        <f aca="false">INDEX(C_TAB,MATCH($A33,C_COD,0),3)</f>
        <v>m³</v>
      </c>
      <c r="D33" s="24" t="str">
        <f aca="false">INDEX(C_TAB,MATCH($A33,C_COD,0),6)</f>
        <v>Jaula de gases</v>
      </c>
      <c r="E33" s="45" t="n">
        <f aca="false">CONSOLIDADO_INSUMOS!T84</f>
        <v>36.3274606009924</v>
      </c>
      <c r="F33" s="45" t="n">
        <f aca="false">SUMIFS(CONSOLIDADO_INSUMOS!$T$4:$T$350,CONSOLIDADO_INSUMOS!$B$4:$B$350,$A33,CONSOLIDADO_INSUMOS!$H$4:$H$350,"MANUALES")</f>
        <v>0</v>
      </c>
      <c r="G33" s="45" t="n">
        <f aca="false">SUMIFS(CONSOLIDADO_INSUMOS!$T$4:$T$350,CONSOLIDADO_INSUMOS!$B$4:$B$350,$A33,CONSOLIDADO_INSUMOS!$H$4:$H$350,"RODANTES")</f>
        <v>0</v>
      </c>
      <c r="H33" s="45" t="n">
        <f aca="false">SUMIFS(CONSOLIDADO_INSUMOS!$T$4:$T$350,CONSOLIDADO_INSUMOS!$B$4:$B$350,$A33,CONSOLIDADO_INSUMOS!$H$4:$H$350,"RECARGAS")</f>
        <v>36.3274606009924</v>
      </c>
      <c r="I33" s="45" t="n">
        <f aca="false">SUMIFS(CONSOLIDADO_INSUMOS!$T$4:$T$350,CONSOLIDADO_INSUMOS!$B$4:$B$350,$A33,CONSOLIDADO_INSUMOS!$H$4:$H$350,"REVENDIDOS")</f>
        <v>0</v>
      </c>
      <c r="J33" s="45" t="n">
        <f aca="false">F33*ESTACIONALIDAD!$B$14+G33*ESTACIONALIDAD!$B$15+H33*ESTACIONALIDAD!$B$16+I33*ESTACIONALIDAD!$B$17</f>
        <v>3.46380955080278</v>
      </c>
      <c r="K33" s="45" t="n">
        <f aca="false">F33*ESTACIONALIDAD!$C$14+G33*ESTACIONALIDAD!$C$15+H33*ESTACIONALIDAD!$C$16+I33*ESTACIONALIDAD!$C$17</f>
        <v>2.86830690813533</v>
      </c>
      <c r="L33" s="45" t="n">
        <f aca="false">F33*ESTACIONALIDAD!$D$14+G33*ESTACIONALIDAD!$D$15+H33*ESTACIONALIDAD!$D$16+I33*ESTACIONALIDAD!$D$17</f>
        <v>2.95521936128015</v>
      </c>
      <c r="M33" s="45" t="n">
        <f aca="false">F33*ESTACIONALIDAD!$E$14+G33*ESTACIONALIDAD!$E$15+H33*ESTACIONALIDAD!$E$16+I33*ESTACIONALIDAD!$E$17</f>
        <v>2.87075110663192</v>
      </c>
      <c r="N33" s="45" t="n">
        <f aca="false">F33*ESTACIONALIDAD!$F$14+G33*ESTACIONALIDAD!$F$15+H33*ESTACIONALIDAD!$F$16+I33*ESTACIONALIDAD!$F$17</f>
        <v>2.7838386534871</v>
      </c>
      <c r="O33" s="45" t="n">
        <f aca="false">F33*ESTACIONALIDAD!$G$14+G33*ESTACIONALIDAD!$G$15+H33*ESTACIONALIDAD!$G$16+I33*ESTACIONALIDAD!$G$17</f>
        <v>2.69692620034229</v>
      </c>
      <c r="P33" s="45" t="n">
        <f aca="false">F33*ESTACIONALIDAD!$H$14+G33*ESTACIONALIDAD!$H$15+H33*ESTACIONALIDAD!$H$16+I33*ESTACIONALIDAD!$H$17</f>
        <v>2.87319530512851</v>
      </c>
      <c r="Q33" s="45" t="n">
        <f aca="false">F33*ESTACIONALIDAD!$I$14+G33*ESTACIONALIDAD!$I$15+H33*ESTACIONALIDAD!$I$16+I33*ESTACIONALIDAD!$I$17</f>
        <v>2.95277516278356</v>
      </c>
      <c r="R33" s="45" t="n">
        <f aca="false">F33*ESTACIONALIDAD!$J$14+G33*ESTACIONALIDAD!$J$15+H33*ESTACIONALIDAD!$J$16+I33*ESTACIONALIDAD!$J$17</f>
        <v>2.95277516278356</v>
      </c>
      <c r="S33" s="45" t="n">
        <f aca="false">F33*ESTACIONALIDAD!$K$14+G33*ESTACIONALIDAD!$K$15+H33*ESTACIONALIDAD!$K$16+I33*ESTACIONALIDAD!$K$17</f>
        <v>2.86830690813533</v>
      </c>
      <c r="T33" s="45" t="n">
        <f aca="false">F33*ESTACIONALIDAD!$L$14+G33*ESTACIONALIDAD!$L$15+H33*ESTACIONALIDAD!$L$16+I33*ESTACIONALIDAD!$L$17</f>
        <v>2.86586270963874</v>
      </c>
      <c r="U33" s="45" t="n">
        <f aca="false">F33*ESTACIONALIDAD!$M$14+G33*ESTACIONALIDAD!$M$15+H33*ESTACIONALIDAD!$M$16+I33*ESTACIONALIDAD!$M$17</f>
        <v>4.17569357184309</v>
      </c>
      <c r="V33" s="45" t="n">
        <f aca="false">MAX(J33:U33)</f>
        <v>4.17569357184309</v>
      </c>
      <c r="W33" s="46" t="n">
        <f aca="false">E33/INDEX(P_VAL,MATCH("DH_AÑO",P_ID,0))</f>
        <v>0.151364419170801</v>
      </c>
      <c r="X33" s="46" t="n">
        <f aca="false">V33/INDEX(P_VAL,MATCH("DH_MES",P_ID,0))</f>
        <v>0.208784678592154</v>
      </c>
      <c r="Y33" s="25" t="n">
        <f aca="false">INDEX(C_TAB,MATCH($A33,C_COD,0),12)</f>
        <v>1</v>
      </c>
      <c r="Z33" s="46" t="n">
        <f aca="false">(X33-W33)*Y33</f>
        <v>0.0574202594213528</v>
      </c>
      <c r="AA33" s="45" t="n">
        <f aca="false">W33*Y33+Z33</f>
        <v>0.208784678592154</v>
      </c>
      <c r="AB33" s="25" t="n">
        <f aca="false">INDEX(C_TAB,MATCH($A33,C_COD,0),15)</f>
        <v>5</v>
      </c>
      <c r="AC33" s="45" t="n">
        <f aca="false">INDEX(C_TAB,MATCH($A33,C_COD,0),11)</f>
        <v>9.5</v>
      </c>
      <c r="AD33" s="45" t="n">
        <f aca="false">MAX(AC33,CEILING(X33*AB33,AC33))</f>
        <v>9.5</v>
      </c>
      <c r="AE33" s="25" t="n">
        <f aca="false">AD33/AC33</f>
        <v>1</v>
      </c>
      <c r="AF33" s="45" t="n">
        <f aca="false">Z33+AD33</f>
        <v>9.55742025942135</v>
      </c>
      <c r="AG33" s="25" t="n">
        <f aca="false">ROUNDUP(AF33/AC33,0)</f>
        <v>2</v>
      </c>
      <c r="AH33" s="45" t="n">
        <f aca="false">IF(W33&gt;0,AF33/W33,0)</f>
        <v>63.1417892776812</v>
      </c>
      <c r="AI33" s="25" t="n">
        <f aca="false">IF(AD33&gt;0,E33/AD33,0)</f>
        <v>3.82394322115709</v>
      </c>
      <c r="AJ33" s="25" t="n">
        <f aca="false">INDEX(C_TAB,MATCH($A33,C_COD,0),16)</f>
        <v>1</v>
      </c>
      <c r="AK33" s="47" t="n">
        <f aca="false">IF(AJ33&gt;0,AG33/AJ33,0)</f>
        <v>2</v>
      </c>
      <c r="AL33" s="45" t="n">
        <f aca="false">INDEX(C_TAB,MATCH($A33,C_COD,0),17)</f>
        <v>0.1</v>
      </c>
      <c r="AM33" s="45" t="n">
        <f aca="false">AK33*AL33</f>
        <v>0.2</v>
      </c>
    </row>
    <row r="34" customFormat="false" ht="15" hidden="false" customHeight="false" outlineLevel="0" collapsed="false">
      <c r="A34" s="24" t="s">
        <v>1784</v>
      </c>
      <c r="B34" s="24" t="str">
        <f aca="false">INDEX(C_TAB,MATCH($A34,C_COD,0),2)</f>
        <v>Alambre MAG ER70S-6 Ø0,9 mm (manuales)</v>
      </c>
      <c r="C34" s="24" t="str">
        <f aca="false">INDEX(C_TAB,MATCH($A34,C_COD,0),3)</f>
        <v>kg</v>
      </c>
      <c r="D34" s="24" t="str">
        <f aca="false">INDEX(C_TAB,MATCH($A34,C_COD,0),6)</f>
        <v>Insumos de soldadura y superficie</v>
      </c>
      <c r="E34" s="45" t="n">
        <f aca="false">CONSOLIDADO_INSUMOS!T86</f>
        <v>6053.66848233055</v>
      </c>
      <c r="F34" s="45" t="n">
        <f aca="false">SUMIFS(CONSOLIDADO_INSUMOS!$T$4:$T$350,CONSOLIDADO_INSUMOS!$B$4:$B$350,$A34,CONSOLIDADO_INSUMOS!$H$4:$H$350,"MANUALES")</f>
        <v>6039.30009483055</v>
      </c>
      <c r="G34" s="45" t="n">
        <f aca="false">SUMIFS(CONSOLIDADO_INSUMOS!$T$4:$T$350,CONSOLIDADO_INSUMOS!$B$4:$B$350,$A34,CONSOLIDADO_INSUMOS!$H$4:$H$350,"RODANTES")</f>
        <v>0</v>
      </c>
      <c r="H34" s="45" t="n">
        <f aca="false">SUMIFS(CONSOLIDADO_INSUMOS!$T$4:$T$350,CONSOLIDADO_INSUMOS!$B$4:$B$350,$A34,CONSOLIDADO_INSUMOS!$H$4:$H$350,"RECARGAS")</f>
        <v>14.3683875</v>
      </c>
      <c r="I34" s="45" t="n">
        <f aca="false">SUMIFS(CONSOLIDADO_INSUMOS!$T$4:$T$350,CONSOLIDADO_INSUMOS!$B$4:$B$350,$A34,CONSOLIDADO_INSUMOS!$H$4:$H$350,"REVENDIDOS")</f>
        <v>0</v>
      </c>
      <c r="J34" s="45" t="n">
        <f aca="false">F34*ESTACIONALIDAD!$B$14+G34*ESTACIONALIDAD!$B$15+H34*ESTACIONALIDAD!$B$16+I34*ESTACIONALIDAD!$B$17</f>
        <v>690.932381942008</v>
      </c>
      <c r="K34" s="45" t="n">
        <f aca="false">F34*ESTACIONALIDAD!$C$14+G34*ESTACIONALIDAD!$C$15+H34*ESTACIONALIDAD!$C$16+I34*ESTACIONALIDAD!$C$17</f>
        <v>527.094668288642</v>
      </c>
      <c r="L34" s="45" t="n">
        <f aca="false">F34*ESTACIONALIDAD!$D$14+G34*ESTACIONALIDAD!$D$15+H34*ESTACIONALIDAD!$D$16+I34*ESTACIONALIDAD!$D$17</f>
        <v>493.101280603823</v>
      </c>
      <c r="M34" s="45" t="n">
        <f aca="false">F34*ESTACIONALIDAD!$E$14+G34*ESTACIONALIDAD!$E$15+H34*ESTACIONALIDAD!$E$16+I34*ESTACIONALIDAD!$E$17</f>
        <v>471.659783326312</v>
      </c>
      <c r="N34" s="45" t="n">
        <f aca="false">F34*ESTACIONALIDAD!$F$14+G34*ESTACIONALIDAD!$F$15+H34*ESTACIONALIDAD!$F$16+I34*ESTACIONALIDAD!$F$17</f>
        <v>441.428906879143</v>
      </c>
      <c r="O34" s="45" t="n">
        <f aca="false">F34*ESTACIONALIDAD!$G$14+G34*ESTACIONALIDAD!$G$15+H34*ESTACIONALIDAD!$G$16+I34*ESTACIONALIDAD!$G$17</f>
        <v>432.60611847597</v>
      </c>
      <c r="P34" s="45" t="n">
        <f aca="false">F34*ESTACIONALIDAD!$H$14+G34*ESTACIONALIDAD!$H$15+H34*ESTACIONALIDAD!$H$16+I34*ESTACIONALIDAD!$H$17</f>
        <v>462.872337635656</v>
      </c>
      <c r="Q34" s="45" t="n">
        <f aca="false">F34*ESTACIONALIDAD!$I$14+G34*ESTACIONALIDAD!$I$15+H34*ESTACIONALIDAD!$I$16+I34*ESTACIONALIDAD!$I$17</f>
        <v>462.90381339017</v>
      </c>
      <c r="R34" s="45" t="n">
        <f aca="false">F34*ESTACIONALIDAD!$J$14+G34*ESTACIONALIDAD!$J$15+H34*ESTACIONALIDAD!$J$16+I34*ESTACIONALIDAD!$J$17</f>
        <v>462.90381339017</v>
      </c>
      <c r="S34" s="45" t="n">
        <f aca="false">F34*ESTACIONALIDAD!$K$14+G34*ESTACIONALIDAD!$K$15+H34*ESTACIONALIDAD!$K$16+I34*ESTACIONALIDAD!$K$17</f>
        <v>454.081991726498</v>
      </c>
      <c r="T34" s="45" t="n">
        <f aca="false">F34*ESTACIONALIDAD!$L$14+G34*ESTACIONALIDAD!$L$15+H34*ESTACIONALIDAD!$L$16+I34*ESTACIONALIDAD!$L$17</f>
        <v>445.29261255684</v>
      </c>
      <c r="U34" s="45" t="n">
        <f aca="false">F34*ESTACIONALIDAD!$M$14+G34*ESTACIONALIDAD!$M$15+H34*ESTACIONALIDAD!$M$16+I34*ESTACIONALIDAD!$M$17</f>
        <v>708.790774115317</v>
      </c>
      <c r="V34" s="45" t="n">
        <f aca="false">MAX(J34:U34)</f>
        <v>708.790774115317</v>
      </c>
      <c r="W34" s="46" t="n">
        <f aca="false">E34/INDEX(P_VAL,MATCH("DH_AÑO",P_ID,0))</f>
        <v>25.2236186763773</v>
      </c>
      <c r="X34" s="46" t="n">
        <f aca="false">V34/INDEX(P_VAL,MATCH("DH_MES",P_ID,0))</f>
        <v>35.4395387057659</v>
      </c>
      <c r="Y34" s="25" t="n">
        <f aca="false">INDEX(C_TAB,MATCH($A34,C_COD,0),12)</f>
        <v>5</v>
      </c>
      <c r="Z34" s="46" t="n">
        <f aca="false">(X34-W34)*Y34</f>
        <v>51.0796001469429</v>
      </c>
      <c r="AA34" s="45" t="n">
        <f aca="false">W34*Y34+Z34</f>
        <v>177.197693528829</v>
      </c>
      <c r="AB34" s="25" t="n">
        <f aca="false">INDEX(C_TAB,MATCH($A34,C_COD,0),15)</f>
        <v>10</v>
      </c>
      <c r="AC34" s="45" t="n">
        <f aca="false">INDEX(C_TAB,MATCH($A34,C_COD,0),11)</f>
        <v>15</v>
      </c>
      <c r="AD34" s="45" t="n">
        <f aca="false">MAX(AC34,CEILING(X34*AB34,AC34))</f>
        <v>360</v>
      </c>
      <c r="AE34" s="25" t="n">
        <f aca="false">AD34/AC34</f>
        <v>24</v>
      </c>
      <c r="AF34" s="45" t="n">
        <f aca="false">Z34+AD34</f>
        <v>411.079600146943</v>
      </c>
      <c r="AG34" s="25" t="n">
        <f aca="false">ROUNDUP(AF34/AC34,0)</f>
        <v>28</v>
      </c>
      <c r="AH34" s="45" t="n">
        <f aca="false">IF(W34&gt;0,AF34/W34,0)</f>
        <v>16.297407815316</v>
      </c>
      <c r="AI34" s="25" t="n">
        <f aca="false">IF(AD34&gt;0,E34/AD34,0)</f>
        <v>16.8157457842515</v>
      </c>
      <c r="AJ34" s="25" t="n">
        <f aca="false">INDEX(C_TAB,MATCH($A34,C_COD,0),16)</f>
        <v>60</v>
      </c>
      <c r="AK34" s="47" t="n">
        <f aca="false">IF(AJ34&gt;0,AG34/AJ34,0)</f>
        <v>0.466666666666667</v>
      </c>
      <c r="AL34" s="45" t="n">
        <f aca="false">INDEX(C_TAB,MATCH($A34,C_COD,0),17)</f>
        <v>0.73</v>
      </c>
      <c r="AM34" s="45" t="n">
        <f aca="false">AK34*AL34</f>
        <v>0.340666666666667</v>
      </c>
    </row>
    <row r="35" customFormat="false" ht="15" hidden="false" customHeight="false" outlineLevel="0" collapsed="false">
      <c r="A35" s="24" t="s">
        <v>1839</v>
      </c>
      <c r="B35" s="24" t="str">
        <f aca="false">INDEX(C_TAB,MATCH($A35,C_COD,0),2)</f>
        <v>Alambre MAG ER70S-6 Ø1,0 mm (carros)</v>
      </c>
      <c r="C35" s="24" t="str">
        <f aca="false">INDEX(C_TAB,MATCH($A35,C_COD,0),3)</f>
        <v>kg</v>
      </c>
      <c r="D35" s="24" t="str">
        <f aca="false">INDEX(C_TAB,MATCH($A35,C_COD,0),6)</f>
        <v>Rack de insumos de montaje (carros)</v>
      </c>
      <c r="E35" s="45" t="n">
        <f aca="false">CONSOLIDADO_INSUMOS!T89</f>
        <v>1389.64503286517</v>
      </c>
      <c r="F35" s="45" t="n">
        <f aca="false">SUMIFS(CONSOLIDADO_INSUMOS!$T$4:$T$350,CONSOLIDADO_INSUMOS!$B$4:$B$350,$A35,CONSOLIDADO_INSUMOS!$H$4:$H$350,"MANUALES")</f>
        <v>0</v>
      </c>
      <c r="G35" s="45" t="n">
        <f aca="false">SUMIFS(CONSOLIDADO_INSUMOS!$T$4:$T$350,CONSOLIDADO_INSUMOS!$B$4:$B$350,$A35,CONSOLIDADO_INSUMOS!$H$4:$H$350,"RODANTES")</f>
        <v>1387.60949286517</v>
      </c>
      <c r="H35" s="45" t="n">
        <f aca="false">SUMIFS(CONSOLIDADO_INSUMOS!$T$4:$T$350,CONSOLIDADO_INSUMOS!$B$4:$B$350,$A35,CONSOLIDADO_INSUMOS!$H$4:$H$350,"RECARGAS")</f>
        <v>2.03554</v>
      </c>
      <c r="I35" s="45" t="n">
        <f aca="false">SUMIFS(CONSOLIDADO_INSUMOS!$T$4:$T$350,CONSOLIDADO_INSUMOS!$B$4:$B$350,$A35,CONSOLIDADO_INSUMOS!$H$4:$H$350,"REVENDIDOS")</f>
        <v>0</v>
      </c>
      <c r="J35" s="45" t="n">
        <f aca="false">F35*ESTACIONALIDAD!$B$14+G35*ESTACIONALIDAD!$B$15+H35*ESTACIONALIDAD!$B$16+I35*ESTACIONALIDAD!$B$17</f>
        <v>118.140894858302</v>
      </c>
      <c r="K35" s="45" t="n">
        <f aca="false">F35*ESTACIONALIDAD!$C$14+G35*ESTACIONALIDAD!$C$15+H35*ESTACIONALIDAD!$C$16+I35*ESTACIONALIDAD!$C$17</f>
        <v>104.231432074336</v>
      </c>
      <c r="L35" s="45" t="n">
        <f aca="false">F35*ESTACIONALIDAD!$D$14+G35*ESTACIONALIDAD!$D$15+H35*ESTACIONALIDAD!$D$16+I35*ESTACIONALIDAD!$D$17</f>
        <v>125.050444440936</v>
      </c>
      <c r="M35" s="45" t="n">
        <f aca="false">F35*ESTACIONALIDAD!$E$14+G35*ESTACIONALIDAD!$E$15+H35*ESTACIONALIDAD!$E$16+I35*ESTACIONALIDAD!$E$17</f>
        <v>125.045711423317</v>
      </c>
      <c r="N35" s="45" t="n">
        <f aca="false">F35*ESTACIONALIDAD!$F$14+G35*ESTACIONALIDAD!$F$15+H35*ESTACIONALIDAD!$F$16+I35*ESTACIONALIDAD!$F$17</f>
        <v>125.040841449695</v>
      </c>
      <c r="O35" s="45" t="n">
        <f aca="false">F35*ESTACIONALIDAD!$G$14+G35*ESTACIONALIDAD!$G$15+H35*ESTACIONALIDAD!$G$16+I35*ESTACIONALIDAD!$G$17</f>
        <v>111.159876547422</v>
      </c>
      <c r="P35" s="45" t="n">
        <f aca="false">F35*ESTACIONALIDAD!$H$14+G35*ESTACIONALIDAD!$H$15+H35*ESTACIONALIDAD!$H$16+I35*ESTACIONALIDAD!$H$17</f>
        <v>125.04584837932</v>
      </c>
      <c r="Q35" s="45" t="n">
        <f aca="false">F35*ESTACIONALIDAD!$I$14+G35*ESTACIONALIDAD!$I$15+H35*ESTACIONALIDAD!$I$16+I35*ESTACIONALIDAD!$I$17</f>
        <v>125.050307484933</v>
      </c>
      <c r="R35" s="45" t="n">
        <f aca="false">F35*ESTACIONALIDAD!$J$14+G35*ESTACIONALIDAD!$J$15+H35*ESTACIONALIDAD!$J$16+I35*ESTACIONALIDAD!$J$17</f>
        <v>118.112260020607</v>
      </c>
      <c r="S35" s="45" t="n">
        <f aca="false">F35*ESTACIONALIDAD!$K$14+G35*ESTACIONALIDAD!$K$15+H35*ESTACIONALIDAD!$K$16+I35*ESTACIONALIDAD!$K$17</f>
        <v>104.231432074336</v>
      </c>
      <c r="T35" s="45" t="n">
        <f aca="false">F35*ESTACIONALIDAD!$L$14+G35*ESTACIONALIDAD!$L$15+H35*ESTACIONALIDAD!$L$16+I35*ESTACIONALIDAD!$L$17</f>
        <v>97.2932476540075</v>
      </c>
      <c r="U35" s="45" t="n">
        <f aca="false">F35*ESTACIONALIDAD!$M$14+G35*ESTACIONALIDAD!$M$15+H35*ESTACIONALIDAD!$M$16+I35*ESTACIONALIDAD!$M$17</f>
        <v>111.242736457957</v>
      </c>
      <c r="V35" s="45" t="n">
        <f aca="false">MAX(J35:U35)</f>
        <v>125.050444440936</v>
      </c>
      <c r="W35" s="46" t="n">
        <f aca="false">E35/INDEX(P_VAL,MATCH("DH_AÑO",P_ID,0))</f>
        <v>5.79018763693821</v>
      </c>
      <c r="X35" s="46" t="n">
        <f aca="false">V35/INDEX(P_VAL,MATCH("DH_MES",P_ID,0))</f>
        <v>6.25252222204679</v>
      </c>
      <c r="Y35" s="25" t="n">
        <f aca="false">INDEX(C_TAB,MATCH($A35,C_COD,0),12)</f>
        <v>5</v>
      </c>
      <c r="Z35" s="46" t="n">
        <f aca="false">(X35-W35)*Y35</f>
        <v>2.31167292554292</v>
      </c>
      <c r="AA35" s="45" t="n">
        <f aca="false">W35*Y35+Z35</f>
        <v>31.262611110234</v>
      </c>
      <c r="AB35" s="25" t="n">
        <f aca="false">INDEX(C_TAB,MATCH($A35,C_COD,0),15)</f>
        <v>10</v>
      </c>
      <c r="AC35" s="45" t="n">
        <f aca="false">INDEX(C_TAB,MATCH($A35,C_COD,0),11)</f>
        <v>15</v>
      </c>
      <c r="AD35" s="45" t="n">
        <f aca="false">MAX(AC35,CEILING(X35*AB35,AC35))</f>
        <v>75</v>
      </c>
      <c r="AE35" s="25" t="n">
        <f aca="false">AD35/AC35</f>
        <v>5</v>
      </c>
      <c r="AF35" s="45" t="n">
        <f aca="false">Z35+AD35</f>
        <v>77.3116729255429</v>
      </c>
      <c r="AG35" s="25" t="n">
        <f aca="false">ROUNDUP(AF35/AC35,0)</f>
        <v>6</v>
      </c>
      <c r="AH35" s="45" t="n">
        <f aca="false">IF(W35&gt;0,AF35/W35,0)</f>
        <v>13.3521878345249</v>
      </c>
      <c r="AI35" s="25" t="n">
        <f aca="false">IF(AD35&gt;0,E35/AD35,0)</f>
        <v>18.5286004382023</v>
      </c>
      <c r="AJ35" s="25" t="n">
        <f aca="false">INDEX(C_TAB,MATCH($A35,C_COD,0),16)</f>
        <v>60</v>
      </c>
      <c r="AK35" s="47" t="n">
        <f aca="false">IF(AJ35&gt;0,AG35/AJ35,0)</f>
        <v>0.1</v>
      </c>
      <c r="AL35" s="45" t="n">
        <f aca="false">INDEX(C_TAB,MATCH($A35,C_COD,0),17)</f>
        <v>0.73</v>
      </c>
      <c r="AM35" s="45" t="n">
        <f aca="false">AK35*AL35</f>
        <v>0.073</v>
      </c>
    </row>
    <row r="36" customFormat="false" ht="15" hidden="false" customHeight="false" outlineLevel="0" collapsed="false">
      <c r="A36" s="24" t="s">
        <v>1777</v>
      </c>
      <c r="B36" s="24" t="str">
        <f aca="false">INDEX(C_TAB,MATCH($A36,C_COD,0),2)</f>
        <v>Gas de protección MAG Ar + 8 % CO₂ (Arcal 21)</v>
      </c>
      <c r="C36" s="24" t="str">
        <f aca="false">INDEX(C_TAB,MATCH($A36,C_COD,0),3)</f>
        <v>m³</v>
      </c>
      <c r="D36" s="24" t="str">
        <f aca="false">INDEX(C_TAB,MATCH($A36,C_COD,0),6)</f>
        <v>Jaula de gases</v>
      </c>
      <c r="E36" s="45" t="n">
        <f aca="false">CONSOLIDADO_INSUMOS!T92</f>
        <v>8038.05418433059</v>
      </c>
      <c r="F36" s="45" t="n">
        <f aca="false">SUMIFS(CONSOLIDADO_INSUMOS!$T$4:$T$350,CONSOLIDADO_INSUMOS!$B$4:$B$350,$A36,CONSOLIDADO_INSUMOS!$H$4:$H$350,"MANUALES")</f>
        <v>7459.19332538073</v>
      </c>
      <c r="G36" s="45" t="n">
        <f aca="false">SUMIFS(CONSOLIDADO_INSUMOS!$T$4:$T$350,CONSOLIDADO_INSUMOS!$B$4:$B$350,$A36,CONSOLIDADO_INSUMOS!$H$4:$H$350,"RODANTES")</f>
        <v>560.20698562221</v>
      </c>
      <c r="H36" s="45" t="n">
        <f aca="false">SUMIFS(CONSOLIDADO_INSUMOS!$T$4:$T$350,CONSOLIDADO_INSUMOS!$B$4:$B$350,$A36,CONSOLIDADO_INSUMOS!$H$4:$H$350,"RECARGAS")</f>
        <v>18.6538733276576</v>
      </c>
      <c r="I36" s="45" t="n">
        <f aca="false">SUMIFS(CONSOLIDADO_INSUMOS!$T$4:$T$350,CONSOLIDADO_INSUMOS!$B$4:$B$350,$A36,CONSOLIDADO_INSUMOS!$H$4:$H$350,"REVENDIDOS")</f>
        <v>0</v>
      </c>
      <c r="J36" s="45" t="n">
        <f aca="false">F36*ESTACIONALIDAD!$B$14+G36*ESTACIONALIDAD!$B$15+H36*ESTACIONALIDAD!$B$16+I36*ESTACIONALIDAD!$B$17</f>
        <v>901.080846746952</v>
      </c>
      <c r="K36" s="45" t="n">
        <f aca="false">F36*ESTACIONALIDAD!$C$14+G36*ESTACIONALIDAD!$C$15+H36*ESTACIONALIDAD!$C$16+I36*ESTACIONALIDAD!$C$17</f>
        <v>693.106483976001</v>
      </c>
      <c r="L36" s="45" t="n">
        <f aca="false">F36*ESTACIONALIDAD!$D$14+G36*ESTACIONALIDAD!$D$15+H36*ESTACIONALIDAD!$D$16+I36*ESTACIONALIDAD!$D$17</f>
        <v>659.526223739273</v>
      </c>
      <c r="M36" s="45" t="n">
        <f aca="false">F36*ESTACIONALIDAD!$E$14+G36*ESTACIONALIDAD!$E$15+H36*ESTACIONALIDAD!$E$16+I36*ESTACIONALIDAD!$E$17</f>
        <v>633.0415297601</v>
      </c>
      <c r="N36" s="45" t="n">
        <f aca="false">F36*ESTACIONALIDAD!$F$14+G36*ESTACIONALIDAD!$F$15+H36*ESTACIONALIDAD!$F$16+I36*ESTACIONALIDAD!$F$17</f>
        <v>595.700934252875</v>
      </c>
      <c r="O36" s="45" t="n">
        <f aca="false">F36*ESTACIONALIDAD!$G$14+G36*ESTACIONALIDAD!$G$15+H36*ESTACIONALIDAD!$G$16+I36*ESTACIONALIDAD!$G$17</f>
        <v>579.199589065522</v>
      </c>
      <c r="P36" s="45" t="n">
        <f aca="false">F36*ESTACIONALIDAD!$H$14+G36*ESTACIONALIDAD!$H$15+H36*ESTACIONALIDAD!$H$16+I36*ESTACIONALIDAD!$H$17</f>
        <v>622.188138386536</v>
      </c>
      <c r="Q36" s="45" t="n">
        <f aca="false">F36*ESTACIONALIDAD!$I$14+G36*ESTACIONALIDAD!$I$15+H36*ESTACIONALIDAD!$I$16+I36*ESTACIONALIDAD!$I$17</f>
        <v>622.229002035125</v>
      </c>
      <c r="R36" s="45" t="n">
        <f aca="false">F36*ESTACIONALIDAD!$J$14+G36*ESTACIONALIDAD!$J$15+H36*ESTACIONALIDAD!$J$16+I36*ESTACIONALIDAD!$J$17</f>
        <v>619.427967107014</v>
      </c>
      <c r="S36" s="45" t="n">
        <f aca="false">F36*ESTACIONALIDAD!$K$14+G36*ESTACIONALIDAD!$K$15+H36*ESTACIONALIDAD!$K$16+I36*ESTACIONALIDAD!$K$17</f>
        <v>602.927876996906</v>
      </c>
      <c r="T36" s="45" t="n">
        <f aca="false">F36*ESTACIONALIDAD!$L$14+G36*ESTACIONALIDAD!$L$15+H36*ESTACIONALIDAD!$L$16+I36*ESTACIONALIDAD!$L$17</f>
        <v>589.270940540743</v>
      </c>
      <c r="U36" s="45" t="n">
        <f aca="false">F36*ESTACIONALIDAD!$M$14+G36*ESTACIONALIDAD!$M$15+H36*ESTACIONALIDAD!$M$16+I36*ESTACIONALIDAD!$M$17</f>
        <v>920.354651723545</v>
      </c>
      <c r="V36" s="45" t="n">
        <f aca="false">MAX(J36:U36)</f>
        <v>920.354651723545</v>
      </c>
      <c r="W36" s="46" t="n">
        <f aca="false">E36/INDEX(P_VAL,MATCH("DH_AÑO",P_ID,0))</f>
        <v>33.4918924347108</v>
      </c>
      <c r="X36" s="46" t="n">
        <f aca="false">V36/INDEX(P_VAL,MATCH("DH_MES",P_ID,0))</f>
        <v>46.0177325861773</v>
      </c>
      <c r="Y36" s="25" t="n">
        <f aca="false">INDEX(C_TAB,MATCH($A36,C_COD,0),12)</f>
        <v>1</v>
      </c>
      <c r="Z36" s="46" t="n">
        <f aca="false">(X36-W36)*Y36</f>
        <v>12.5258401514665</v>
      </c>
      <c r="AA36" s="45" t="n">
        <f aca="false">W36*Y36+Z36</f>
        <v>46.0177325861773</v>
      </c>
      <c r="AB36" s="25" t="n">
        <f aca="false">INDEX(C_TAB,MATCH($A36,C_COD,0),15)</f>
        <v>5</v>
      </c>
      <c r="AC36" s="45" t="n">
        <f aca="false">INDEX(C_TAB,MATCH($A36,C_COD,0),11)</f>
        <v>115.5</v>
      </c>
      <c r="AD36" s="45" t="n">
        <f aca="false">MAX(AC36,CEILING(X36*AB36,AC36))</f>
        <v>231</v>
      </c>
      <c r="AE36" s="25" t="n">
        <f aca="false">AD36/AC36</f>
        <v>2</v>
      </c>
      <c r="AF36" s="45" t="n">
        <f aca="false">Z36+AD36</f>
        <v>243.525840151466</v>
      </c>
      <c r="AG36" s="25" t="n">
        <f aca="false">ROUNDUP(AF36/AC36,0)</f>
        <v>3</v>
      </c>
      <c r="AH36" s="45" t="n">
        <f aca="false">IF(W36&gt;0,AF36/W36,0)</f>
        <v>7.27118781437019</v>
      </c>
      <c r="AI36" s="25" t="n">
        <f aca="false">IF(AD36&gt;0,E36/AD36,0)</f>
        <v>34.7967713607385</v>
      </c>
      <c r="AJ36" s="25" t="n">
        <f aca="false">INDEX(C_TAB,MATCH($A36,C_COD,0),16)</f>
        <v>1</v>
      </c>
      <c r="AK36" s="47" t="n">
        <f aca="false">IF(AJ36&gt;0,AG36/AJ36,0)</f>
        <v>3</v>
      </c>
      <c r="AL36" s="45" t="n">
        <f aca="false">INDEX(C_TAB,MATCH($A36,C_COD,0),17)</f>
        <v>1.5</v>
      </c>
      <c r="AM36" s="45" t="n">
        <f aca="false">AK36*AL36</f>
        <v>4.5</v>
      </c>
    </row>
    <row r="37" customFormat="false" ht="15" hidden="false" customHeight="false" outlineLevel="0" collapsed="false">
      <c r="A37" s="24" t="s">
        <v>1788</v>
      </c>
      <c r="B37" s="24" t="str">
        <f aca="false">INDEX(C_TAB,MATCH($A37,C_COD,0),2)</f>
        <v>Puntas de contacto y toberas MAG</v>
      </c>
      <c r="C37" s="24" t="str">
        <f aca="false">INDEX(C_TAB,MATCH($A37,C_COD,0),3)</f>
        <v>u</v>
      </c>
      <c r="D37" s="24" t="str">
        <f aca="false">INDEX(C_TAB,MATCH($A37,C_COD,0),6)</f>
        <v>Insumos de soldadura y superficie</v>
      </c>
      <c r="E37" s="45" t="n">
        <f aca="false">CONSOLIDADO_INSUMOS!T96</f>
        <v>1910.80662879893</v>
      </c>
      <c r="F37" s="45" t="n">
        <f aca="false">SUMIFS(CONSOLIDADO_INSUMOS!$T$4:$T$350,CONSOLIDADO_INSUMOS!$B$4:$B$350,$A37,CONSOLIDADO_INSUMOS!$H$4:$H$350,"MANUALES")</f>
        <v>1509.82502370764</v>
      </c>
      <c r="G37" s="45" t="n">
        <f aca="false">SUMIFS(CONSOLIDADO_INSUMOS!$T$4:$T$350,CONSOLIDADO_INSUMOS!$B$4:$B$350,$A37,CONSOLIDADO_INSUMOS!$H$4:$H$350,"RODANTES")</f>
        <v>396.880623216292</v>
      </c>
      <c r="H37" s="45" t="n">
        <f aca="false">SUMIFS(CONSOLIDADO_INSUMOS!$T$4:$T$350,CONSOLIDADO_INSUMOS!$B$4:$B$350,$A37,CONSOLIDADO_INSUMOS!$H$4:$H$350,"RECARGAS")</f>
        <v>4.100981875</v>
      </c>
      <c r="I37" s="45" t="n">
        <f aca="false">SUMIFS(CONSOLIDADO_INSUMOS!$T$4:$T$350,CONSOLIDADO_INSUMOS!$B$4:$B$350,$A37,CONSOLIDADO_INSUMOS!$H$4:$H$350,"REVENDIDOS")</f>
        <v>0</v>
      </c>
      <c r="J37" s="45" t="n">
        <f aca="false">F37*ESTACIONALIDAD!$B$14+G37*ESTACIONALIDAD!$B$15+H37*ESTACIONALIDAD!$B$16+I37*ESTACIONALIDAD!$B$17</f>
        <v>206.516470450078</v>
      </c>
      <c r="K37" s="45" t="n">
        <f aca="false">F37*ESTACIONALIDAD!$C$14+G37*ESTACIONALIDAD!$C$15+H37*ESTACIONALIDAD!$C$16+I37*ESTACIONALIDAD!$C$17</f>
        <v>161.579893840745</v>
      </c>
      <c r="L37" s="45" t="n">
        <f aca="false">F37*ESTACIONALIDAD!$D$14+G37*ESTACIONALIDAD!$D$15+H37*ESTACIONALIDAD!$D$16+I37*ESTACIONALIDAD!$D$17</f>
        <v>159.03597376119</v>
      </c>
      <c r="M37" s="45" t="n">
        <f aca="false">F37*ESTACIONALIDAD!$E$14+G37*ESTACIONALIDAD!$E$15+H37*ESTACIONALIDAD!$E$16+I37*ESTACIONALIDAD!$E$17</f>
        <v>153.674416187407</v>
      </c>
      <c r="N37" s="45" t="n">
        <f aca="false">F37*ESTACIONALIDAD!$F$14+G37*ESTACIONALIDAD!$F$15+H37*ESTACIONALIDAD!$F$16+I37*ESTACIONALIDAD!$F$17</f>
        <v>146.11547958221</v>
      </c>
      <c r="O37" s="45" t="n">
        <f aca="false">F37*ESTACIONALIDAD!$G$14+G37*ESTACIONALIDAD!$G$15+H37*ESTACIONALIDAD!$G$16+I37*ESTACIONALIDAD!$G$17</f>
        <v>139.939758755848</v>
      </c>
      <c r="P37" s="45" t="n">
        <f aca="false">F37*ESTACIONALIDAD!$H$14+G37*ESTACIONALIDAD!$H$15+H37*ESTACIONALIDAD!$H$16+I37*ESTACIONALIDAD!$H$17</f>
        <v>151.477589003744</v>
      </c>
      <c r="Q37" s="45" t="n">
        <f aca="false">F37*ESTACIONALIDAD!$I$14+G37*ESTACIONALIDAD!$I$15+H37*ESTACIONALIDAD!$I$16+I37*ESTACIONALIDAD!$I$17</f>
        <v>151.486572718776</v>
      </c>
      <c r="R37" s="45" t="n">
        <f aca="false">F37*ESTACIONALIDAD!$J$14+G37*ESTACIONALIDAD!$J$15+H37*ESTACIONALIDAD!$J$16+I37*ESTACIONALIDAD!$J$17</f>
        <v>149.502169602694</v>
      </c>
      <c r="S37" s="45" t="n">
        <f aca="false">F37*ESTACIONALIDAD!$K$14+G37*ESTACIONALIDAD!$K$15+H37*ESTACIONALIDAD!$K$16+I37*ESTACIONALIDAD!$K$17</f>
        <v>143.326724700209</v>
      </c>
      <c r="T37" s="45" t="n">
        <f aca="false">F37*ESTACIONALIDAD!$L$14+G37*ESTACIONALIDAD!$L$15+H37*ESTACIONALIDAD!$L$16+I37*ESTACIONALIDAD!$L$17</f>
        <v>139.144942552712</v>
      </c>
      <c r="U37" s="45" t="n">
        <f aca="false">F37*ESTACIONALIDAD!$M$14+G37*ESTACIONALIDAD!$M$15+H37*ESTACIONALIDAD!$M$16+I37*ESTACIONALIDAD!$M$17</f>
        <v>209.006637643319</v>
      </c>
      <c r="V37" s="45" t="n">
        <f aca="false">MAX(J37:U37)</f>
        <v>209.006637643319</v>
      </c>
      <c r="W37" s="46" t="n">
        <f aca="false">E37/INDEX(P_VAL,MATCH("DH_AÑO",P_ID,0))</f>
        <v>7.96169428666221</v>
      </c>
      <c r="X37" s="46" t="n">
        <f aca="false">V37/INDEX(P_VAL,MATCH("DH_MES",P_ID,0))</f>
        <v>10.4503318821659</v>
      </c>
      <c r="Y37" s="25" t="n">
        <f aca="false">INDEX(C_TAB,MATCH($A37,C_COD,0),12)</f>
        <v>5</v>
      </c>
      <c r="Z37" s="46" t="n">
        <f aca="false">(X37-W37)*Y37</f>
        <v>12.4431879775186</v>
      </c>
      <c r="AA37" s="45" t="n">
        <f aca="false">W37*Y37+Z37</f>
        <v>52.2516594108297</v>
      </c>
      <c r="AB37" s="25" t="n">
        <f aca="false">INDEX(C_TAB,MATCH($A37,C_COD,0),15)</f>
        <v>10</v>
      </c>
      <c r="AC37" s="45" t="n">
        <f aca="false">INDEX(C_TAB,MATCH($A37,C_COD,0),11)</f>
        <v>25</v>
      </c>
      <c r="AD37" s="45" t="n">
        <f aca="false">MAX(AC37,CEILING(X37*AB37,AC37))</f>
        <v>125</v>
      </c>
      <c r="AE37" s="25" t="n">
        <f aca="false">AD37/AC37</f>
        <v>5</v>
      </c>
      <c r="AF37" s="45" t="n">
        <f aca="false">Z37+AD37</f>
        <v>137.443187977519</v>
      </c>
      <c r="AG37" s="25" t="n">
        <f aca="false">ROUNDUP(AF37/AC37,0)</f>
        <v>6</v>
      </c>
      <c r="AH37" s="45" t="n">
        <f aca="false">IF(W37&gt;0,AF37/W37,0)</f>
        <v>17.263057714709</v>
      </c>
      <c r="AI37" s="25" t="n">
        <f aca="false">IF(AD37&gt;0,E37/AD37,0)</f>
        <v>15.2864530303914</v>
      </c>
      <c r="AJ37" s="25" t="n">
        <f aca="false">INDEX(C_TAB,MATCH($A37,C_COD,0),16)</f>
        <v>40</v>
      </c>
      <c r="AK37" s="47" t="n">
        <f aca="false">IF(AJ37&gt;0,AG37/AJ37,0)</f>
        <v>0.15</v>
      </c>
      <c r="AL37" s="45" t="n">
        <f aca="false">INDEX(C_TAB,MATCH($A37,C_COD,0),17)</f>
        <v>0.73</v>
      </c>
      <c r="AM37" s="45" t="n">
        <f aca="false">AK37*AL37</f>
        <v>0.1095</v>
      </c>
    </row>
    <row r="38" customFormat="false" ht="15" hidden="false" customHeight="false" outlineLevel="0" collapsed="false">
      <c r="A38" s="24" t="s">
        <v>1872</v>
      </c>
      <c r="B38" s="24" t="str">
        <f aca="false">INDEX(C_TAB,MATCH($A38,C_COD,0),2)</f>
        <v>Disco de corte 115 × 1,0 mm</v>
      </c>
      <c r="C38" s="24" t="str">
        <f aca="false">INDEX(C_TAB,MATCH($A38,C_COD,0),3)</f>
        <v>u</v>
      </c>
      <c r="D38" s="24" t="str">
        <f aca="false">INDEX(C_TAB,MATCH($A38,C_COD,0),6)</f>
        <v>Insumos de soldadura y superficie</v>
      </c>
      <c r="E38" s="45" t="n">
        <f aca="false">CONSOLIDADO_INSUMOS!T100</f>
        <v>99.68661565</v>
      </c>
      <c r="F38" s="45" t="n">
        <f aca="false">SUMIFS(CONSOLIDADO_INSUMOS!$T$4:$T$350,CONSOLIDADO_INSUMOS!$B$4:$B$350,$A38,CONSOLIDADO_INSUMOS!$H$4:$H$350,"MANUALES")</f>
        <v>0</v>
      </c>
      <c r="G38" s="45" t="n">
        <f aca="false">SUMIFS(CONSOLIDADO_INSUMOS!$T$4:$T$350,CONSOLIDADO_INSUMOS!$B$4:$B$350,$A38,CONSOLIDADO_INSUMOS!$H$4:$H$350,"RODANTES")</f>
        <v>99.54349065</v>
      </c>
      <c r="H38" s="45" t="n">
        <f aca="false">SUMIFS(CONSOLIDADO_INSUMOS!$T$4:$T$350,CONSOLIDADO_INSUMOS!$B$4:$B$350,$A38,CONSOLIDADO_INSUMOS!$H$4:$H$350,"RECARGAS")</f>
        <v>0.143125</v>
      </c>
      <c r="I38" s="45" t="n">
        <f aca="false">SUMIFS(CONSOLIDADO_INSUMOS!$T$4:$T$350,CONSOLIDADO_INSUMOS!$B$4:$B$350,$A38,CONSOLIDADO_INSUMOS!$H$4:$H$350,"REVENDIDOS")</f>
        <v>0</v>
      </c>
      <c r="J38" s="45" t="n">
        <f aca="false">F38*ESTACIONALIDAD!$B$14+G38*ESTACIONALIDAD!$B$15+H38*ESTACIONALIDAD!$B$16+I38*ESTACIONALIDAD!$B$17</f>
        <v>8.47484361956102</v>
      </c>
      <c r="K38" s="45" t="n">
        <f aca="false">F38*ESTACIONALIDAD!$C$14+G38*ESTACIONALIDAD!$C$15+H38*ESTACIONALIDAD!$C$16+I38*ESTACIONALIDAD!$C$17</f>
        <v>7.47706251780482</v>
      </c>
      <c r="L38" s="45" t="n">
        <f aca="false">F38*ESTACIONALIDAD!$D$14+G38*ESTACIONALIDAD!$D$15+H38*ESTACIONALIDAD!$D$16+I38*ESTACIONALIDAD!$D$17</f>
        <v>8.97055730019187</v>
      </c>
      <c r="M38" s="45" t="n">
        <f aca="false">F38*ESTACIONALIDAD!$E$14+G38*ESTACIONALIDAD!$E$15+H38*ESTACIONALIDAD!$E$16+I38*ESTACIONALIDAD!$E$17</f>
        <v>8.97022450734738</v>
      </c>
      <c r="N38" s="45" t="n">
        <f aca="false">F38*ESTACIONALIDAD!$F$14+G38*ESTACIONALIDAD!$F$15+H38*ESTACIONALIDAD!$F$16+I38*ESTACIONALIDAD!$F$17</f>
        <v>8.96988208471033</v>
      </c>
      <c r="O38" s="45" t="n">
        <f aca="false">F38*ESTACIONALIDAD!$G$14+G38*ESTACIONALIDAD!$G$15+H38*ESTACIONALIDAD!$G$16+I38*ESTACIONALIDAD!$G$17</f>
        <v>7.97410475557328</v>
      </c>
      <c r="P38" s="45" t="n">
        <f aca="false">F38*ESTACIONALIDAD!$H$14+G38*ESTACIONALIDAD!$H$15+H38*ESTACIONALIDAD!$H$16+I38*ESTACIONALIDAD!$H$17</f>
        <v>8.97023413713994</v>
      </c>
      <c r="Q38" s="45" t="n">
        <f aca="false">F38*ESTACIONALIDAD!$I$14+G38*ESTACIONALIDAD!$I$15+H38*ESTACIONALIDAD!$I$16+I38*ESTACIONALIDAD!$I$17</f>
        <v>8.97054767039931</v>
      </c>
      <c r="R38" s="45" t="n">
        <f aca="false">F38*ESTACIONALIDAD!$J$14+G38*ESTACIONALIDAD!$J$15+H38*ESTACIONALIDAD!$J$16+I38*ESTACIONALIDAD!$J$17</f>
        <v>8.47283021714931</v>
      </c>
      <c r="S38" s="45" t="n">
        <f aca="false">F38*ESTACIONALIDAD!$K$14+G38*ESTACIONALIDAD!$K$15+H38*ESTACIONALIDAD!$K$16+I38*ESTACIONALIDAD!$K$17</f>
        <v>7.47706251780482</v>
      </c>
      <c r="T38" s="45" t="n">
        <f aca="false">F38*ESTACIONALIDAD!$L$14+G38*ESTACIONALIDAD!$L$15+H38*ESTACIONALIDAD!$L$16+I38*ESTACIONALIDAD!$L$17</f>
        <v>6.97933543476226</v>
      </c>
      <c r="U38" s="45" t="n">
        <f aca="false">F38*ESTACIONALIDAD!$M$14+G38*ESTACIONALIDAD!$M$15+H38*ESTACIONALIDAD!$M$16+I38*ESTACIONALIDAD!$M$17</f>
        <v>7.97993088755566</v>
      </c>
      <c r="V38" s="45" t="n">
        <f aca="false">MAX(J38:U38)</f>
        <v>8.97055730019187</v>
      </c>
      <c r="W38" s="46" t="n">
        <f aca="false">E38/INDEX(P_VAL,MATCH("DH_AÑO",P_ID,0))</f>
        <v>0.415360898541667</v>
      </c>
      <c r="X38" s="46" t="n">
        <f aca="false">V38/INDEX(P_VAL,MATCH("DH_MES",P_ID,0))</f>
        <v>0.448527865009594</v>
      </c>
      <c r="Y38" s="25" t="n">
        <f aca="false">INDEX(C_TAB,MATCH($A38,C_COD,0),12)</f>
        <v>5</v>
      </c>
      <c r="Z38" s="46" t="n">
        <f aca="false">(X38-W38)*Y38</f>
        <v>0.165834832339634</v>
      </c>
      <c r="AA38" s="45" t="n">
        <f aca="false">W38*Y38+Z38</f>
        <v>2.24263932504797</v>
      </c>
      <c r="AB38" s="25" t="n">
        <f aca="false">INDEX(C_TAB,MATCH($A38,C_COD,0),15)</f>
        <v>10</v>
      </c>
      <c r="AC38" s="45" t="n">
        <f aca="false">INDEX(C_TAB,MATCH($A38,C_COD,0),11)</f>
        <v>25</v>
      </c>
      <c r="AD38" s="45" t="n">
        <f aca="false">MAX(AC38,CEILING(X38*AB38,AC38))</f>
        <v>25</v>
      </c>
      <c r="AE38" s="25" t="n">
        <f aca="false">AD38/AC38</f>
        <v>1</v>
      </c>
      <c r="AF38" s="45" t="n">
        <f aca="false">Z38+AD38</f>
        <v>25.1658348323396</v>
      </c>
      <c r="AG38" s="25" t="n">
        <f aca="false">ROUNDUP(AF38/AC38,0)</f>
        <v>2</v>
      </c>
      <c r="AH38" s="45" t="n">
        <f aca="false">IF(W38&gt;0,AF38/W38,0)</f>
        <v>60.5878765206281</v>
      </c>
      <c r="AI38" s="25" t="n">
        <f aca="false">IF(AD38&gt;0,E38/AD38,0)</f>
        <v>3.987464626</v>
      </c>
      <c r="AJ38" s="25" t="n">
        <f aca="false">INDEX(C_TAB,MATCH($A38,C_COD,0),16)</f>
        <v>40</v>
      </c>
      <c r="AK38" s="47" t="n">
        <f aca="false">IF(AJ38&gt;0,AG38/AJ38,0)</f>
        <v>0.05</v>
      </c>
      <c r="AL38" s="45" t="n">
        <f aca="false">INDEX(C_TAB,MATCH($A38,C_COD,0),17)</f>
        <v>0.73</v>
      </c>
      <c r="AM38" s="45" t="n">
        <f aca="false">AK38*AL38</f>
        <v>0.0365</v>
      </c>
    </row>
    <row r="39" customFormat="false" ht="15" hidden="false" customHeight="false" outlineLevel="0" collapsed="false">
      <c r="A39" s="24" t="s">
        <v>1791</v>
      </c>
      <c r="B39" s="24" t="str">
        <f aca="false">INDEX(C_TAB,MATCH($A39,C_COD,0),2)</f>
        <v>Disco flap 115 mm grano 60</v>
      </c>
      <c r="C39" s="24" t="str">
        <f aca="false">INDEX(C_TAB,MATCH($A39,C_COD,0),3)</f>
        <v>u</v>
      </c>
      <c r="D39" s="24" t="str">
        <f aca="false">INDEX(C_TAB,MATCH($A39,C_COD,0),6)</f>
        <v>Insumos de soldadura y superficie</v>
      </c>
      <c r="E39" s="45" t="n">
        <f aca="false">CONSOLIDADO_INSUMOS!T103</f>
        <v>1930.57927623304</v>
      </c>
      <c r="F39" s="45" t="n">
        <f aca="false">SUMIFS(CONSOLIDADO_INSUMOS!$T$4:$T$350,CONSOLIDADO_INSUMOS!$B$4:$B$350,$A39,CONSOLIDADO_INSUMOS!$H$4:$H$350,"MANUALES")</f>
        <v>1905.33416248667</v>
      </c>
      <c r="G39" s="45" t="n">
        <f aca="false">SUMIFS(CONSOLIDADO_INSUMOS!$T$4:$T$350,CONSOLIDADO_INSUMOS!$B$4:$B$350,$A39,CONSOLIDADO_INSUMOS!$H$4:$H$350,"RODANTES")</f>
        <v>22.619519996375</v>
      </c>
      <c r="H39" s="45" t="n">
        <f aca="false">SUMIFS(CONSOLIDADO_INSUMOS!$T$4:$T$350,CONSOLIDADO_INSUMOS!$B$4:$B$350,$A39,CONSOLIDADO_INSUMOS!$H$4:$H$350,"RECARGAS")</f>
        <v>2.62559375</v>
      </c>
      <c r="I39" s="45" t="n">
        <f aca="false">SUMIFS(CONSOLIDADO_INSUMOS!$T$4:$T$350,CONSOLIDADO_INSUMOS!$B$4:$B$350,$A39,CONSOLIDADO_INSUMOS!$H$4:$H$350,"REVENDIDOS")</f>
        <v>0</v>
      </c>
      <c r="J39" s="45" t="n">
        <f aca="false">F39*ESTACIONALIDAD!$B$14+G39*ESTACIONALIDAD!$B$15+H39*ESTACIONALIDAD!$B$16+I39*ESTACIONALIDAD!$B$17</f>
        <v>219.722510031084</v>
      </c>
      <c r="K39" s="45" t="n">
        <f aca="false">F39*ESTACIONALIDAD!$C$14+G39*ESTACIONALIDAD!$C$15+H39*ESTACIONALIDAD!$C$16+I39*ESTACIONALIDAD!$C$17</f>
        <v>167.838548584242</v>
      </c>
      <c r="L39" s="45" t="n">
        <f aca="false">F39*ESTACIONALIDAD!$D$14+G39*ESTACIONALIDAD!$D$15+H39*ESTACIONALIDAD!$D$16+I39*ESTACIONALIDAD!$D$17</f>
        <v>157.448729944657</v>
      </c>
      <c r="M39" s="45" t="n">
        <f aca="false">F39*ESTACIONALIDAD!$E$14+G39*ESTACIONALIDAD!$E$15+H39*ESTACIONALIDAD!$E$16+I39*ESTACIONALIDAD!$E$17</f>
        <v>150.68860363552</v>
      </c>
      <c r="N39" s="45" t="n">
        <f aca="false">F39*ESTACIONALIDAD!$F$14+G39*ESTACIONALIDAD!$F$15+H39*ESTACIONALIDAD!$F$16+I39*ESTACIONALIDAD!$F$17</f>
        <v>141.155651162051</v>
      </c>
      <c r="O39" s="45" t="n">
        <f aca="false">F39*ESTACIONALIDAD!$G$14+G39*ESTACIONALIDAD!$G$15+H39*ESTACIONALIDAD!$G$16+I39*ESTACIONALIDAD!$G$17</f>
        <v>138.150524792952</v>
      </c>
      <c r="P39" s="45" t="n">
        <f aca="false">F39*ESTACIONALIDAD!$H$14+G39*ESTACIONALIDAD!$H$15+H39*ESTACIONALIDAD!$H$16+I39*ESTACIONALIDAD!$H$17</f>
        <v>147.916130783651</v>
      </c>
      <c r="Q39" s="45" t="n">
        <f aca="false">F39*ESTACIONALIDAD!$I$14+G39*ESTACIONALIDAD!$I$15+H39*ESTACIONALIDAD!$I$16+I39*ESTACIONALIDAD!$I$17</f>
        <v>147.921882475992</v>
      </c>
      <c r="R39" s="45" t="n">
        <f aca="false">F39*ESTACIONALIDAD!$J$14+G39*ESTACIONALIDAD!$J$15+H39*ESTACIONALIDAD!$J$16+I39*ESTACIONALIDAD!$J$17</f>
        <v>147.80878487601</v>
      </c>
      <c r="S39" s="45" t="n">
        <f aca="false">F39*ESTACIONALIDAD!$K$14+G39*ESTACIONALIDAD!$K$15+H39*ESTACIONALIDAD!$K$16+I39*ESTACIONALIDAD!$K$17</f>
        <v>144.803835163142</v>
      </c>
      <c r="T39" s="45" t="n">
        <f aca="false">F39*ESTACIONALIDAD!$L$14+G39*ESTACIONALIDAD!$L$15+H39*ESTACIONALIDAD!$L$16+I39*ESTACIONALIDAD!$L$17</f>
        <v>141.917911398829</v>
      </c>
      <c r="U39" s="45" t="n">
        <f aca="false">F39*ESTACIONALIDAD!$M$14+G39*ESTACIONALIDAD!$M$15+H39*ESTACIONALIDAD!$M$16+I39*ESTACIONALIDAD!$M$17</f>
        <v>225.206163384912</v>
      </c>
      <c r="V39" s="45" t="n">
        <f aca="false">MAX(J39:U39)</f>
        <v>225.206163384912</v>
      </c>
      <c r="W39" s="46" t="n">
        <f aca="false">E39/INDEX(P_VAL,MATCH("DH_AÑO",P_ID,0))</f>
        <v>8.04408031763767</v>
      </c>
      <c r="X39" s="46" t="n">
        <f aca="false">V39/INDEX(P_VAL,MATCH("DH_MES",P_ID,0))</f>
        <v>11.2603081692456</v>
      </c>
      <c r="Y39" s="25" t="n">
        <f aca="false">INDEX(C_TAB,MATCH($A39,C_COD,0),12)</f>
        <v>5</v>
      </c>
      <c r="Z39" s="46" t="n">
        <f aca="false">(X39-W39)*Y39</f>
        <v>16.0811392580397</v>
      </c>
      <c r="AA39" s="45" t="n">
        <f aca="false">W39*Y39+Z39</f>
        <v>56.3015408462281</v>
      </c>
      <c r="AB39" s="25" t="n">
        <f aca="false">INDEX(C_TAB,MATCH($A39,C_COD,0),15)</f>
        <v>10</v>
      </c>
      <c r="AC39" s="45" t="n">
        <f aca="false">INDEX(C_TAB,MATCH($A39,C_COD,0),11)</f>
        <v>10</v>
      </c>
      <c r="AD39" s="45" t="n">
        <f aca="false">MAX(AC39,CEILING(X39*AB39,AC39))</f>
        <v>120</v>
      </c>
      <c r="AE39" s="25" t="n">
        <f aca="false">AD39/AC39</f>
        <v>12</v>
      </c>
      <c r="AF39" s="45" t="n">
        <f aca="false">Z39+AD39</f>
        <v>136.08113925804</v>
      </c>
      <c r="AG39" s="25" t="n">
        <f aca="false">ROUNDUP(AF39/AC39,0)</f>
        <v>14</v>
      </c>
      <c r="AH39" s="45" t="n">
        <f aca="false">IF(W39&gt;0,AF39/W39,0)</f>
        <v>16.9169294542801</v>
      </c>
      <c r="AI39" s="25" t="n">
        <f aca="false">IF(AD39&gt;0,E39/AD39,0)</f>
        <v>16.0881606352753</v>
      </c>
      <c r="AJ39" s="25" t="n">
        <f aca="false">INDEX(C_TAB,MATCH($A39,C_COD,0),16)</f>
        <v>40</v>
      </c>
      <c r="AK39" s="47" t="n">
        <f aca="false">IF(AJ39&gt;0,AG39/AJ39,0)</f>
        <v>0.35</v>
      </c>
      <c r="AL39" s="45" t="n">
        <f aca="false">INDEX(C_TAB,MATCH($A39,C_COD,0),17)</f>
        <v>0.73</v>
      </c>
      <c r="AM39" s="45" t="n">
        <f aca="false">AK39*AL39</f>
        <v>0.2555</v>
      </c>
    </row>
    <row r="40" customFormat="false" ht="15" hidden="false" customHeight="false" outlineLevel="0" collapsed="false">
      <c r="A40" s="24" t="s">
        <v>1869</v>
      </c>
      <c r="B40" s="24" t="str">
        <f aca="false">INDEX(C_TAB,MATCH($A40,C_COD,0),2)</f>
        <v>Disco de sensitiva 355 mm</v>
      </c>
      <c r="C40" s="24" t="str">
        <f aca="false">INDEX(C_TAB,MATCH($A40,C_COD,0),3)</f>
        <v>u</v>
      </c>
      <c r="D40" s="24" t="str">
        <f aca="false">INDEX(C_TAB,MATCH($A40,C_COD,0),6)</f>
        <v>Insumos de soldadura y superficie</v>
      </c>
      <c r="E40" s="45" t="n">
        <f aca="false">CONSOLIDADO_INSUMOS!T107</f>
        <v>27.2584819935</v>
      </c>
      <c r="F40" s="45" t="n">
        <f aca="false">SUMIFS(CONSOLIDADO_INSUMOS!$T$4:$T$350,CONSOLIDADO_INSUMOS!$B$4:$B$350,$A40,CONSOLIDADO_INSUMOS!$H$4:$H$350,"MANUALES")</f>
        <v>0</v>
      </c>
      <c r="G40" s="45" t="n">
        <f aca="false">SUMIFS(CONSOLIDADO_INSUMOS!$T$4:$T$350,CONSOLIDADO_INSUMOS!$B$4:$B$350,$A40,CONSOLIDADO_INSUMOS!$H$4:$H$350,"RODANTES")</f>
        <v>27.1962319935</v>
      </c>
      <c r="H40" s="45" t="n">
        <f aca="false">SUMIFS(CONSOLIDADO_INSUMOS!$T$4:$T$350,CONSOLIDADO_INSUMOS!$B$4:$B$350,$A40,CONSOLIDADO_INSUMOS!$H$4:$H$350,"RECARGAS")</f>
        <v>0.06225</v>
      </c>
      <c r="I40" s="45" t="n">
        <f aca="false">SUMIFS(CONSOLIDADO_INSUMOS!$T$4:$T$350,CONSOLIDADO_INSUMOS!$B$4:$B$350,$A40,CONSOLIDADO_INSUMOS!$H$4:$H$350,"REVENDIDOS")</f>
        <v>0</v>
      </c>
      <c r="J40" s="45" t="n">
        <f aca="false">F40*ESTACIONALIDAD!$B$14+G40*ESTACIONALIDAD!$B$15+H40*ESTACIONALIDAD!$B$16+I40*ESTACIONALIDAD!$B$17</f>
        <v>2.31761523327011</v>
      </c>
      <c r="K40" s="45" t="n">
        <f aca="false">F40*ESTACIONALIDAD!$C$14+G40*ESTACIONALIDAD!$C$15+H40*ESTACIONALIDAD!$C$16+I40*ESTACIONALIDAD!$C$17</f>
        <v>2.04463247207957</v>
      </c>
      <c r="L40" s="45" t="n">
        <f aca="false">F40*ESTACIONALIDAD!$D$14+G40*ESTACIONALIDAD!$D$15+H40*ESTACIONALIDAD!$D$16+I40*ESTACIONALIDAD!$D$17</f>
        <v>2.45272488339976</v>
      </c>
      <c r="M40" s="45" t="n">
        <f aca="false">F40*ESTACIONALIDAD!$E$14+G40*ESTACIONALIDAD!$E$15+H40*ESTACIONALIDAD!$E$16+I40*ESTACIONALIDAD!$E$17</f>
        <v>2.45258014031107</v>
      </c>
      <c r="N40" s="45" t="n">
        <f aca="false">F40*ESTACIONALIDAD!$F$14+G40*ESTACIONALIDAD!$F$15+H40*ESTACIONALIDAD!$F$16+I40*ESTACIONALIDAD!$F$17</f>
        <v>2.45243120889338</v>
      </c>
      <c r="O40" s="45" t="n">
        <f aca="false">F40*ESTACIONALIDAD!$G$14+G40*ESTACIONALIDAD!$G$15+H40*ESTACIONALIDAD!$G$16+I40*ESTACIONALIDAD!$G$17</f>
        <v>2.18031995754069</v>
      </c>
      <c r="P40" s="45" t="n">
        <f aca="false">F40*ESTACIONALIDAD!$H$14+G40*ESTACIONALIDAD!$H$15+H40*ESTACIONALIDAD!$H$16+I40*ESTACIONALIDAD!$H$17</f>
        <v>2.45258432864006</v>
      </c>
      <c r="Q40" s="45" t="n">
        <f aca="false">F40*ESTACIONALIDAD!$I$14+G40*ESTACIONALIDAD!$I$15+H40*ESTACIONALIDAD!$I$16+I40*ESTACIONALIDAD!$I$17</f>
        <v>2.45272069507077</v>
      </c>
      <c r="R40" s="45" t="n">
        <f aca="false">F40*ESTACIONALIDAD!$J$14+G40*ESTACIONALIDAD!$J$15+H40*ESTACIONALIDAD!$J$16+I40*ESTACIONALIDAD!$J$17</f>
        <v>2.31673953510327</v>
      </c>
      <c r="S40" s="45" t="n">
        <f aca="false">F40*ESTACIONALIDAD!$K$14+G40*ESTACIONALIDAD!$K$15+H40*ESTACIONALIDAD!$K$16+I40*ESTACIONALIDAD!$K$17</f>
        <v>2.04463247207957</v>
      </c>
      <c r="T40" s="45" t="n">
        <f aca="false">F40*ESTACIONALIDAD!$L$14+G40*ESTACIONALIDAD!$L$15+H40*ESTACIONALIDAD!$L$16+I40*ESTACIONALIDAD!$L$17</f>
        <v>1.90864712378308</v>
      </c>
      <c r="U40" s="45" t="n">
        <f aca="false">F40*ESTACIONALIDAD!$M$14+G40*ESTACIONALIDAD!$M$15+H40*ESTACIONALIDAD!$M$16+I40*ESTACIONALIDAD!$M$17</f>
        <v>2.18285394332866</v>
      </c>
      <c r="V40" s="45" t="n">
        <f aca="false">MAX(J40:U40)</f>
        <v>2.45272488339976</v>
      </c>
      <c r="W40" s="46" t="n">
        <f aca="false">E40/INDEX(P_VAL,MATCH("DH_AÑO",P_ID,0))</f>
        <v>0.11357700830625</v>
      </c>
      <c r="X40" s="46" t="n">
        <f aca="false">V40/INDEX(P_VAL,MATCH("DH_MES",P_ID,0))</f>
        <v>0.122636244169988</v>
      </c>
      <c r="Y40" s="25" t="n">
        <f aca="false">INDEX(C_TAB,MATCH($A40,C_COD,0),12)</f>
        <v>5</v>
      </c>
      <c r="Z40" s="46" t="n">
        <f aca="false">(X40-W40)*Y40</f>
        <v>0.0452961793186903</v>
      </c>
      <c r="AA40" s="45" t="n">
        <f aca="false">W40*Y40+Z40</f>
        <v>0.61318122084994</v>
      </c>
      <c r="AB40" s="25" t="n">
        <f aca="false">INDEX(C_TAB,MATCH($A40,C_COD,0),15)</f>
        <v>10</v>
      </c>
      <c r="AC40" s="45" t="n">
        <f aca="false">INDEX(C_TAB,MATCH($A40,C_COD,0),11)</f>
        <v>10</v>
      </c>
      <c r="AD40" s="45" t="n">
        <f aca="false">MAX(AC40,CEILING(X40*AB40,AC40))</f>
        <v>10</v>
      </c>
      <c r="AE40" s="25" t="n">
        <f aca="false">AD40/AC40</f>
        <v>1</v>
      </c>
      <c r="AF40" s="45" t="n">
        <f aca="false">Z40+AD40</f>
        <v>10.0452961793187</v>
      </c>
      <c r="AG40" s="25" t="n">
        <f aca="false">ROUNDUP(AF40/AC40,0)</f>
        <v>2</v>
      </c>
      <c r="AH40" s="45" t="n">
        <f aca="false">IF(W40&gt;0,AF40/W40,0)</f>
        <v>88.4448034784687</v>
      </c>
      <c r="AI40" s="25" t="n">
        <f aca="false">IF(AD40&gt;0,E40/AD40,0)</f>
        <v>2.72584819935</v>
      </c>
      <c r="AJ40" s="25" t="n">
        <f aca="false">INDEX(C_TAB,MATCH($A40,C_COD,0),16)</f>
        <v>20</v>
      </c>
      <c r="AK40" s="47" t="n">
        <f aca="false">IF(AJ40&gt;0,AG40/AJ40,0)</f>
        <v>0.1</v>
      </c>
      <c r="AL40" s="45" t="n">
        <f aca="false">INDEX(C_TAB,MATCH($A40,C_COD,0),17)</f>
        <v>0.73</v>
      </c>
      <c r="AM40" s="45" t="n">
        <f aca="false">AK40*AL40</f>
        <v>0.073</v>
      </c>
    </row>
    <row r="41" customFormat="false" ht="15" hidden="false" customHeight="false" outlineLevel="0" collapsed="false">
      <c r="A41" s="24" t="s">
        <v>1877</v>
      </c>
      <c r="B41" s="24" t="str">
        <f aca="false">INDEX(C_TAB,MATCH($A41,C_COD,0),2)</f>
        <v>Mecha de acero rápido 4,5 mm</v>
      </c>
      <c r="C41" s="24" t="str">
        <f aca="false">INDEX(C_TAB,MATCH($A41,C_COD,0),3)</f>
        <v>u</v>
      </c>
      <c r="D41" s="24" t="str">
        <f aca="false">INDEX(C_TAB,MATCH($A41,C_COD,0),6)</f>
        <v>Insumos de soldadura y superficie</v>
      </c>
      <c r="E41" s="45" t="n">
        <f aca="false">CONSOLIDADO_INSUMOS!T110</f>
        <v>18.172321329</v>
      </c>
      <c r="F41" s="45" t="n">
        <f aca="false">SUMIFS(CONSOLIDADO_INSUMOS!$T$4:$T$350,CONSOLIDADO_INSUMOS!$B$4:$B$350,$A41,CONSOLIDADO_INSUMOS!$H$4:$H$350,"MANUALES")</f>
        <v>0</v>
      </c>
      <c r="G41" s="45" t="n">
        <f aca="false">SUMIFS(CONSOLIDADO_INSUMOS!$T$4:$T$350,CONSOLIDADO_INSUMOS!$B$4:$B$350,$A41,CONSOLIDADO_INSUMOS!$H$4:$H$350,"RODANTES")</f>
        <v>18.130821329</v>
      </c>
      <c r="H41" s="45" t="n">
        <f aca="false">SUMIFS(CONSOLIDADO_INSUMOS!$T$4:$T$350,CONSOLIDADO_INSUMOS!$B$4:$B$350,$A41,CONSOLIDADO_INSUMOS!$H$4:$H$350,"RECARGAS")</f>
        <v>0.0415</v>
      </c>
      <c r="I41" s="45" t="n">
        <f aca="false">SUMIFS(CONSOLIDADO_INSUMOS!$T$4:$T$350,CONSOLIDADO_INSUMOS!$B$4:$B$350,$A41,CONSOLIDADO_INSUMOS!$H$4:$H$350,"REVENDIDOS")</f>
        <v>0</v>
      </c>
      <c r="J41" s="45" t="n">
        <f aca="false">F41*ESTACIONALIDAD!$B$14+G41*ESTACIONALIDAD!$B$15+H41*ESTACIONALIDAD!$B$16+I41*ESTACIONALIDAD!$B$17</f>
        <v>1.54507682218007</v>
      </c>
      <c r="K41" s="45" t="n">
        <f aca="false">F41*ESTACIONALIDAD!$C$14+G41*ESTACIONALIDAD!$C$15+H41*ESTACIONALIDAD!$C$16+I41*ESTACIONALIDAD!$C$17</f>
        <v>1.36308831471972</v>
      </c>
      <c r="L41" s="45" t="n">
        <f aca="false">F41*ESTACIONALIDAD!$D$14+G41*ESTACIONALIDAD!$D$15+H41*ESTACIONALIDAD!$D$16+I41*ESTACIONALIDAD!$D$17</f>
        <v>1.63514992226651</v>
      </c>
      <c r="M41" s="45" t="n">
        <f aca="false">F41*ESTACIONALIDAD!$E$14+G41*ESTACIONALIDAD!$E$15+H41*ESTACIONALIDAD!$E$16+I41*ESTACIONALIDAD!$E$17</f>
        <v>1.63505342687404</v>
      </c>
      <c r="N41" s="45" t="n">
        <f aca="false">F41*ESTACIONALIDAD!$F$14+G41*ESTACIONALIDAD!$F$15+H41*ESTACIONALIDAD!$F$16+I41*ESTACIONALIDAD!$F$17</f>
        <v>1.63495413926225</v>
      </c>
      <c r="O41" s="45" t="n">
        <f aca="false">F41*ESTACIONALIDAD!$G$14+G41*ESTACIONALIDAD!$G$15+H41*ESTACIONALIDAD!$G$16+I41*ESTACIONALIDAD!$G$17</f>
        <v>1.45354663836046</v>
      </c>
      <c r="P41" s="45" t="n">
        <f aca="false">F41*ESTACIONALIDAD!$H$14+G41*ESTACIONALIDAD!$H$15+H41*ESTACIONALIDAD!$H$16+I41*ESTACIONALIDAD!$H$17</f>
        <v>1.63505621909337</v>
      </c>
      <c r="Q41" s="45" t="n">
        <f aca="false">F41*ESTACIONALIDAD!$I$14+G41*ESTACIONALIDAD!$I$15+H41*ESTACIONALIDAD!$I$16+I41*ESTACIONALIDAD!$I$17</f>
        <v>1.63514713004718</v>
      </c>
      <c r="R41" s="45" t="n">
        <f aca="false">F41*ESTACIONALIDAD!$J$14+G41*ESTACIONALIDAD!$J$15+H41*ESTACIONALIDAD!$J$16+I41*ESTACIONALIDAD!$J$17</f>
        <v>1.54449302340218</v>
      </c>
      <c r="S41" s="45" t="n">
        <f aca="false">F41*ESTACIONALIDAD!$K$14+G41*ESTACIONALIDAD!$K$15+H41*ESTACIONALIDAD!$K$16+I41*ESTACIONALIDAD!$K$17</f>
        <v>1.36308831471972</v>
      </c>
      <c r="T41" s="45" t="n">
        <f aca="false">F41*ESTACIONALIDAD!$L$14+G41*ESTACIONALIDAD!$L$15+H41*ESTACIONALIDAD!$L$16+I41*ESTACIONALIDAD!$L$17</f>
        <v>1.27243141585539</v>
      </c>
      <c r="U41" s="45" t="n">
        <f aca="false">F41*ESTACIONALIDAD!$M$14+G41*ESTACIONALIDAD!$M$15+H41*ESTACIONALIDAD!$M$16+I41*ESTACIONALIDAD!$M$17</f>
        <v>1.45523596221911</v>
      </c>
      <c r="V41" s="45" t="n">
        <f aca="false">MAX(J41:U41)</f>
        <v>1.63514992226651</v>
      </c>
      <c r="W41" s="46" t="n">
        <f aca="false">E41/INDEX(P_VAL,MATCH("DH_AÑO",P_ID,0))</f>
        <v>0.0757180055375</v>
      </c>
      <c r="X41" s="46" t="n">
        <f aca="false">V41/INDEX(P_VAL,MATCH("DH_MES",P_ID,0))</f>
        <v>0.0817574961133254</v>
      </c>
      <c r="Y41" s="25" t="n">
        <f aca="false">INDEX(C_TAB,MATCH($A41,C_COD,0),12)</f>
        <v>5</v>
      </c>
      <c r="Z41" s="46" t="n">
        <f aca="false">(X41-W41)*Y41</f>
        <v>0.0301974528791269</v>
      </c>
      <c r="AA41" s="45" t="n">
        <f aca="false">W41*Y41+Z41</f>
        <v>0.408787480566627</v>
      </c>
      <c r="AB41" s="25" t="n">
        <f aca="false">INDEX(C_TAB,MATCH($A41,C_COD,0),15)</f>
        <v>10</v>
      </c>
      <c r="AC41" s="45" t="n">
        <f aca="false">INDEX(C_TAB,MATCH($A41,C_COD,0),11)</f>
        <v>10</v>
      </c>
      <c r="AD41" s="45" t="n">
        <f aca="false">MAX(AC41,CEILING(X41*AB41,AC41))</f>
        <v>10</v>
      </c>
      <c r="AE41" s="25" t="n">
        <f aca="false">AD41/AC41</f>
        <v>1</v>
      </c>
      <c r="AF41" s="45" t="n">
        <f aca="false">Z41+AD41</f>
        <v>10.0301974528791</v>
      </c>
      <c r="AG41" s="25" t="n">
        <f aca="false">ROUNDUP(AF41/AC41,0)</f>
        <v>2</v>
      </c>
      <c r="AH41" s="45" t="n">
        <f aca="false">IF(W41&gt;0,AF41/W41,0)</f>
        <v>132.46779787288</v>
      </c>
      <c r="AI41" s="25" t="n">
        <f aca="false">IF(AD41&gt;0,E41/AD41,0)</f>
        <v>1.8172321329</v>
      </c>
      <c r="AJ41" s="25" t="n">
        <f aca="false">INDEX(C_TAB,MATCH($A41,C_COD,0),16)</f>
        <v>40</v>
      </c>
      <c r="AK41" s="47" t="n">
        <f aca="false">IF(AJ41&gt;0,AG41/AJ41,0)</f>
        <v>0.05</v>
      </c>
      <c r="AL41" s="45" t="n">
        <f aca="false">INDEX(C_TAB,MATCH($A41,C_COD,0),17)</f>
        <v>0.73</v>
      </c>
      <c r="AM41" s="45" t="n">
        <f aca="false">AK41*AL41</f>
        <v>0.0365</v>
      </c>
    </row>
    <row r="42" customFormat="false" ht="15" hidden="false" customHeight="false" outlineLevel="0" collapsed="false">
      <c r="A42" s="24" t="s">
        <v>1865</v>
      </c>
      <c r="B42" s="24" t="str">
        <f aca="false">INDEX(C_TAB,MATCH($A42,C_COD,0),2)</f>
        <v>Spray antiproyecciones MIG 400 ml (Würth)</v>
      </c>
      <c r="C42" s="24" t="str">
        <f aca="false">INDEX(C_TAB,MATCH($A42,C_COD,0),3)</f>
        <v>u</v>
      </c>
      <c r="D42" s="24" t="str">
        <f aca="false">INDEX(C_TAB,MATCH($A42,C_COD,0),6)</f>
        <v>Insumos de soldadura y superficie</v>
      </c>
      <c r="E42" s="45" t="n">
        <f aca="false">CONSOLIDADO_INSUMOS!T113</f>
        <v>7.76058033225</v>
      </c>
      <c r="F42" s="45" t="n">
        <f aca="false">SUMIFS(CONSOLIDADO_INSUMOS!$T$4:$T$350,CONSOLIDADO_INSUMOS!$B$4:$B$350,$A42,CONSOLIDADO_INSUMOS!$H$4:$H$350,"MANUALES")</f>
        <v>0</v>
      </c>
      <c r="G42" s="45" t="n">
        <f aca="false">SUMIFS(CONSOLIDADO_INSUMOS!$T$4:$T$350,CONSOLIDADO_INSUMOS!$B$4:$B$350,$A42,CONSOLIDADO_INSUMOS!$H$4:$H$350,"RODANTES")</f>
        <v>7.75020533225</v>
      </c>
      <c r="H42" s="45" t="n">
        <f aca="false">SUMIFS(CONSOLIDADO_INSUMOS!$T$4:$T$350,CONSOLIDADO_INSUMOS!$B$4:$B$350,$A42,CONSOLIDADO_INSUMOS!$H$4:$H$350,"RECARGAS")</f>
        <v>0.010375</v>
      </c>
      <c r="I42" s="45" t="n">
        <f aca="false">SUMIFS(CONSOLIDADO_INSUMOS!$T$4:$T$350,CONSOLIDADO_INSUMOS!$B$4:$B$350,$A42,CONSOLIDADO_INSUMOS!$H$4:$H$350,"REVENDIDOS")</f>
        <v>0</v>
      </c>
      <c r="J42" s="45" t="n">
        <f aca="false">F42*ESTACIONALIDAD!$B$14+G42*ESTACIONALIDAD!$B$15+H42*ESTACIONALIDAD!$B$16+I42*ESTACIONALIDAD!$B$17</f>
        <v>0.659756705545018</v>
      </c>
      <c r="K42" s="45" t="n">
        <f aca="false">F42*ESTACIONALIDAD!$C$14+G42*ESTACIONALIDAD!$C$15+H42*ESTACIONALIDAD!$C$16+I42*ESTACIONALIDAD!$C$17</f>
        <v>0.582084578679929</v>
      </c>
      <c r="L42" s="45" t="n">
        <f aca="false">F42*ESTACIONALIDAD!$D$14+G42*ESTACIONALIDAD!$D$15+H42*ESTACIONALIDAD!$D$16+I42*ESTACIONALIDAD!$D$17</f>
        <v>0.698362480566627</v>
      </c>
      <c r="M42" s="45" t="n">
        <f aca="false">F42*ESTACIONALIDAD!$E$14+G42*ESTACIONALIDAD!$E$15+H42*ESTACIONALIDAD!$E$16+I42*ESTACIONALIDAD!$E$17</f>
        <v>0.698338356718511</v>
      </c>
      <c r="N42" s="45" t="n">
        <f aca="false">F42*ESTACIONALIDAD!$F$14+G42*ESTACIONALIDAD!$F$15+H42*ESTACIONALIDAD!$F$16+I42*ESTACIONALIDAD!$F$17</f>
        <v>0.698313534815563</v>
      </c>
      <c r="O42" s="45" t="n">
        <f aca="false">F42*ESTACIONALIDAD!$G$14+G42*ESTACIONALIDAD!$G$15+H42*ESTACIONALIDAD!$G$16+I42*ESTACIONALIDAD!$G$17</f>
        <v>0.620786659590115</v>
      </c>
      <c r="P42" s="45" t="n">
        <f aca="false">F42*ESTACIONALIDAD!$H$14+G42*ESTACIONALIDAD!$H$15+H42*ESTACIONALIDAD!$H$16+I42*ESTACIONALIDAD!$H$17</f>
        <v>0.698339054773343</v>
      </c>
      <c r="Q42" s="45" t="n">
        <f aca="false">F42*ESTACIONALIDAD!$I$14+G42*ESTACIONALIDAD!$I$15+H42*ESTACIONALIDAD!$I$16+I42*ESTACIONALIDAD!$I$17</f>
        <v>0.698361782511795</v>
      </c>
      <c r="R42" s="45" t="n">
        <f aca="false">F42*ESTACIONALIDAD!$J$14+G42*ESTACIONALIDAD!$J$15+H42*ESTACIONALIDAD!$J$16+I42*ESTACIONALIDAD!$J$17</f>
        <v>0.659610755850545</v>
      </c>
      <c r="S42" s="45" t="n">
        <f aca="false">F42*ESTACIONALIDAD!$K$14+G42*ESTACIONALIDAD!$K$15+H42*ESTACIONALIDAD!$K$16+I42*ESTACIONALIDAD!$K$17</f>
        <v>0.582084578679929</v>
      </c>
      <c r="T42" s="45" t="n">
        <f aca="false">F42*ESTACIONALIDAD!$L$14+G42*ESTACIONALIDAD!$L$15+H42*ESTACIONALIDAD!$L$16+I42*ESTACIONALIDAD!$L$17</f>
        <v>0.543332853963847</v>
      </c>
      <c r="U42" s="45" t="n">
        <f aca="false">F42*ESTACIONALIDAD!$M$14+G42*ESTACIONALIDAD!$M$15+H42*ESTACIONALIDAD!$M$16+I42*ESTACIONALIDAD!$M$17</f>
        <v>0.621208990554777</v>
      </c>
      <c r="V42" s="45" t="n">
        <f aca="false">MAX(J42:U42)</f>
        <v>0.698362480566627</v>
      </c>
      <c r="W42" s="46" t="n">
        <f aca="false">E42/INDEX(P_VAL,MATCH("DH_AÑO",P_ID,0))</f>
        <v>0.032335751384375</v>
      </c>
      <c r="X42" s="46" t="n">
        <f aca="false">V42/INDEX(P_VAL,MATCH("DH_MES",P_ID,0))</f>
        <v>0.0349181240283313</v>
      </c>
      <c r="Y42" s="25" t="n">
        <f aca="false">INDEX(C_TAB,MATCH($A42,C_COD,0),12)</f>
        <v>5</v>
      </c>
      <c r="Z42" s="46" t="n">
        <f aca="false">(X42-W42)*Y42</f>
        <v>0.0129118632197817</v>
      </c>
      <c r="AA42" s="45" t="n">
        <f aca="false">W42*Y42+Z42</f>
        <v>0.174590620141657</v>
      </c>
      <c r="AB42" s="25" t="n">
        <f aca="false">INDEX(C_TAB,MATCH($A42,C_COD,0),15)</f>
        <v>10</v>
      </c>
      <c r="AC42" s="45" t="n">
        <f aca="false">INDEX(C_TAB,MATCH($A42,C_COD,0),11)</f>
        <v>1</v>
      </c>
      <c r="AD42" s="45" t="n">
        <f aca="false">MAX(AC42,CEILING(X42*AB42,AC42))</f>
        <v>1</v>
      </c>
      <c r="AE42" s="25" t="n">
        <f aca="false">AD42/AC42</f>
        <v>1</v>
      </c>
      <c r="AF42" s="45" t="n">
        <f aca="false">Z42+AD42</f>
        <v>1.01291186321978</v>
      </c>
      <c r="AG42" s="25" t="n">
        <f aca="false">ROUNDUP(AF42/AC42,0)</f>
        <v>2</v>
      </c>
      <c r="AH42" s="45" t="n">
        <f aca="false">IF(W42&gt;0,AF42/W42,0)</f>
        <v>31.3248283975004</v>
      </c>
      <c r="AI42" s="25" t="n">
        <f aca="false">IF(AD42&gt;0,E42/AD42,0)</f>
        <v>7.76058033225</v>
      </c>
      <c r="AJ42" s="25" t="n">
        <f aca="false">INDEX(C_TAB,MATCH($A42,C_COD,0),16)</f>
        <v>50</v>
      </c>
      <c r="AK42" s="47" t="n">
        <f aca="false">IF(AJ42&gt;0,AG42/AJ42,0)</f>
        <v>0.04</v>
      </c>
      <c r="AL42" s="45" t="n">
        <f aca="false">INDEX(C_TAB,MATCH($A42,C_COD,0),17)</f>
        <v>0.73</v>
      </c>
      <c r="AM42" s="45" t="n">
        <f aca="false">AK42*AL42</f>
        <v>0.0292</v>
      </c>
    </row>
    <row r="43" customFormat="false" ht="15" hidden="false" customHeight="false" outlineLevel="0" collapsed="false">
      <c r="A43" s="24" t="s">
        <v>1795</v>
      </c>
      <c r="B43" s="24" t="str">
        <f aca="false">INDEX(C_TAB,MATCH($A43,C_COD,0),2)</f>
        <v>Granalla de acero S330 / S390 (reposición)</v>
      </c>
      <c r="C43" s="24" t="str">
        <f aca="false">INDEX(C_TAB,MATCH($A43,C_COD,0),3)</f>
        <v>kg</v>
      </c>
      <c r="D43" s="24" t="str">
        <f aca="false">INDEX(C_TAB,MATCH($A43,C_COD,0),6)</f>
        <v>Insumos de soldadura y superficie</v>
      </c>
      <c r="E43" s="45" t="n">
        <f aca="false">CONSOLIDADO_INSUMOS!T116</f>
        <v>22895.14994984</v>
      </c>
      <c r="F43" s="45" t="n">
        <f aca="false">SUMIFS(CONSOLIDADO_INSUMOS!$T$4:$T$350,CONSOLIDADO_INSUMOS!$B$4:$B$350,$A43,CONSOLIDADO_INSUMOS!$H$4:$H$350,"MANUALES")</f>
        <v>22864.00994984</v>
      </c>
      <c r="G43" s="45" t="n">
        <f aca="false">SUMIFS(CONSOLIDADO_INSUMOS!$T$4:$T$350,CONSOLIDADO_INSUMOS!$B$4:$B$350,$A43,CONSOLIDADO_INSUMOS!$H$4:$H$350,"RODANTES")</f>
        <v>0</v>
      </c>
      <c r="H43" s="45" t="n">
        <f aca="false">SUMIFS(CONSOLIDADO_INSUMOS!$T$4:$T$350,CONSOLIDADO_INSUMOS!$B$4:$B$350,$A43,CONSOLIDADO_INSUMOS!$H$4:$H$350,"RECARGAS")</f>
        <v>31.14</v>
      </c>
      <c r="I43" s="45" t="n">
        <f aca="false">SUMIFS(CONSOLIDADO_INSUMOS!$T$4:$T$350,CONSOLIDADO_INSUMOS!$B$4:$B$350,$A43,CONSOLIDADO_INSUMOS!$H$4:$H$350,"REVENDIDOS")</f>
        <v>0</v>
      </c>
      <c r="J43" s="45" t="n">
        <f aca="false">F43*ESTACIONALIDAD!$B$14+G43*ESTACIONALIDAD!$B$15+H43*ESTACIONALIDAD!$B$16+I43*ESTACIONALIDAD!$B$17</f>
        <v>2613.5632047476</v>
      </c>
      <c r="K43" s="45" t="n">
        <f aca="false">F43*ESTACIONALIDAD!$C$14+G43*ESTACIONALIDAD!$C$15+H43*ESTACIONALIDAD!$C$16+I43*ESTACIONALIDAD!$C$17</f>
        <v>1993.67602792957</v>
      </c>
      <c r="L43" s="45" t="n">
        <f aca="false">F43*ESTACIONALIDAD!$D$14+G43*ESTACIONALIDAD!$D$15+H43*ESTACIONALIDAD!$D$16+I43*ESTACIONALIDAD!$D$17</f>
        <v>1864.9258123187</v>
      </c>
      <c r="M43" s="45" t="n">
        <f aca="false">F43*ESTACIONALIDAD!$E$14+G43*ESTACIONALIDAD!$E$15+H43*ESTACIONALIDAD!$E$16+I43*ESTACIONALIDAD!$E$17</f>
        <v>1783.8051502445</v>
      </c>
      <c r="N43" s="45" t="n">
        <f aca="false">F43*ESTACIONALIDAD!$F$14+G43*ESTACIONALIDAD!$F$15+H43*ESTACIONALIDAD!$F$16+I43*ESTACIONALIDAD!$F$17</f>
        <v>1669.41059889937</v>
      </c>
      <c r="O43" s="45" t="n">
        <f aca="false">F43*ESTACIONALIDAD!$G$14+G43*ESTACIONALIDAD!$G$15+H43*ESTACIONALIDAD!$G$16+I43*ESTACIONALIDAD!$G$17</f>
        <v>1636.06430320624</v>
      </c>
      <c r="P43" s="45" t="n">
        <f aca="false">F43*ESTACIONALIDAD!$H$14+G43*ESTACIONALIDAD!$H$15+H43*ESTACIONALIDAD!$H$16+I43*ESTACIONALIDAD!$H$17</f>
        <v>1750.53545132104</v>
      </c>
      <c r="Q43" s="45" t="n">
        <f aca="false">F43*ESTACIONALIDAD!$I$14+G43*ESTACIONALIDAD!$I$15+H43*ESTACIONALIDAD!$I$16+I43*ESTACIONALIDAD!$I$17</f>
        <v>1750.60366739577</v>
      </c>
      <c r="R43" s="45" t="n">
        <f aca="false">F43*ESTACIONALIDAD!$J$14+G43*ESTACIONALIDAD!$J$15+H43*ESTACIONALIDAD!$J$16+I43*ESTACIONALIDAD!$J$17</f>
        <v>1750.60366739577</v>
      </c>
      <c r="S43" s="45" t="n">
        <f aca="false">F43*ESTACIONALIDAD!$K$14+G43*ESTACIONALIDAD!$K$15+H43*ESTACIONALIDAD!$K$16+I43*ESTACIONALIDAD!$K$17</f>
        <v>1717.25946687637</v>
      </c>
      <c r="T43" s="45" t="n">
        <f aca="false">F43*ESTACIONALIDAD!$L$14+G43*ESTACIONALIDAD!$L$15+H43*ESTACIONALIDAD!$L$16+I43*ESTACIONALIDAD!$L$17</f>
        <v>1683.98557760544</v>
      </c>
      <c r="U43" s="45" t="n">
        <f aca="false">F43*ESTACIONALIDAD!$M$14+G43*ESTACIONALIDAD!$M$15+H43*ESTACIONALIDAD!$M$16+I43*ESTACIONALIDAD!$M$17</f>
        <v>2680.71702189961</v>
      </c>
      <c r="V43" s="45" t="n">
        <f aca="false">MAX(J43:U43)</f>
        <v>2680.71702189961</v>
      </c>
      <c r="W43" s="46" t="n">
        <f aca="false">E43/INDEX(P_VAL,MATCH("DH_AÑO",P_ID,0))</f>
        <v>95.3964581243333</v>
      </c>
      <c r="X43" s="46" t="n">
        <f aca="false">V43/INDEX(P_VAL,MATCH("DH_MES",P_ID,0))</f>
        <v>134.035851094981</v>
      </c>
      <c r="Y43" s="25" t="n">
        <f aca="false">INDEX(C_TAB,MATCH($A43,C_COD,0),12)</f>
        <v>7</v>
      </c>
      <c r="Z43" s="46" t="n">
        <f aca="false">(X43-W43)*Y43</f>
        <v>270.47575079453</v>
      </c>
      <c r="AA43" s="45" t="n">
        <f aca="false">W43*Y43+Z43</f>
        <v>938.250957664864</v>
      </c>
      <c r="AB43" s="25" t="n">
        <f aca="false">INDEX(C_TAB,MATCH($A43,C_COD,0),15)</f>
        <v>10</v>
      </c>
      <c r="AC43" s="45" t="n">
        <f aca="false">INDEX(C_TAB,MATCH($A43,C_COD,0),11)</f>
        <v>1000</v>
      </c>
      <c r="AD43" s="45" t="n">
        <f aca="false">MAX(AC43,CEILING(X43*AB43,AC43))</f>
        <v>2000</v>
      </c>
      <c r="AE43" s="25" t="n">
        <f aca="false">AD43/AC43</f>
        <v>2</v>
      </c>
      <c r="AF43" s="45" t="n">
        <f aca="false">Z43+AD43</f>
        <v>2270.47575079453</v>
      </c>
      <c r="AG43" s="25" t="n">
        <f aca="false">ROUNDUP(AF43/AC43,0)</f>
        <v>3</v>
      </c>
      <c r="AH43" s="45" t="n">
        <f aca="false">IF(W43&gt;0,AF43/W43,0)</f>
        <v>23.8004198000239</v>
      </c>
      <c r="AI43" s="25" t="n">
        <f aca="false">IF(AD43&gt;0,E43/AD43,0)</f>
        <v>11.44757497492</v>
      </c>
      <c r="AJ43" s="25" t="n">
        <f aca="false">INDEX(C_TAB,MATCH($A43,C_COD,0),16)</f>
        <v>1</v>
      </c>
      <c r="AK43" s="47" t="n">
        <f aca="false">IF(AJ43&gt;0,AG43/AJ43,0)</f>
        <v>3</v>
      </c>
      <c r="AL43" s="45" t="n">
        <f aca="false">INDEX(C_TAB,MATCH($A43,C_COD,0),17)</f>
        <v>1.2</v>
      </c>
      <c r="AM43" s="45" t="n">
        <f aca="false">AK43*AL43</f>
        <v>3.6</v>
      </c>
    </row>
    <row r="44" customFormat="false" ht="15" hidden="false" customHeight="false" outlineLevel="0" collapsed="false">
      <c r="A44" s="24" t="s">
        <v>1803</v>
      </c>
      <c r="B44" s="24" t="str">
        <f aca="false">INDEX(C_TAB,MATCH($A44,C_COD,0),2)</f>
        <v>Pintura en polvo poliéster rojo 03-1-050 (IRAM-DEF D 10-54)</v>
      </c>
      <c r="C44" s="24" t="str">
        <f aca="false">INDEX(C_TAB,MATCH($A44,C_COD,0),3)</f>
        <v>kg</v>
      </c>
      <c r="D44" s="24" t="str">
        <f aca="false">INDEX(C_TAB,MATCH($A44,C_COD,0),6)</f>
        <v>Depósito de polvo químico</v>
      </c>
      <c r="E44" s="45" t="n">
        <f aca="false">CONSOLIDADO_INSUMOS!T119</f>
        <v>3903.25835658998</v>
      </c>
      <c r="F44" s="45" t="n">
        <f aca="false">SUMIFS(CONSOLIDADO_INSUMOS!$T$4:$T$350,CONSOLIDADO_INSUMOS!$B$4:$B$350,$A44,CONSOLIDADO_INSUMOS!$H$4:$H$350,"MANUALES")</f>
        <v>3893.36444532682</v>
      </c>
      <c r="G44" s="45" t="n">
        <f aca="false">SUMIFS(CONSOLIDADO_INSUMOS!$T$4:$T$350,CONSOLIDADO_INSUMOS!$B$4:$B$350,$A44,CONSOLIDADO_INSUMOS!$H$4:$H$350,"RODANTES")</f>
        <v>0</v>
      </c>
      <c r="H44" s="45" t="n">
        <f aca="false">SUMIFS(CONSOLIDADO_INSUMOS!$T$4:$T$350,CONSOLIDADO_INSUMOS!$B$4:$B$350,$A44,CONSOLIDADO_INSUMOS!$H$4:$H$350,"RECARGAS")</f>
        <v>9.89391126315789</v>
      </c>
      <c r="I44" s="45" t="n">
        <f aca="false">SUMIFS(CONSOLIDADO_INSUMOS!$T$4:$T$350,CONSOLIDADO_INSUMOS!$B$4:$B$350,$A44,CONSOLIDADO_INSUMOS!$H$4:$H$350,"REVENDIDOS")</f>
        <v>0</v>
      </c>
      <c r="J44" s="45" t="n">
        <f aca="false">F44*ESTACIONALIDAD!$B$14+G44*ESTACIONALIDAD!$B$15+H44*ESTACIONALIDAD!$B$16+I44*ESTACIONALIDAD!$B$17</f>
        <v>445.484559216722</v>
      </c>
      <c r="K44" s="45" t="n">
        <f aca="false">F44*ESTACIONALIDAD!$C$14+G44*ESTACIONALIDAD!$C$15+H44*ESTACIONALIDAD!$C$16+I44*ESTACIONALIDAD!$C$17</f>
        <v>339.852716073379</v>
      </c>
      <c r="L44" s="45" t="n">
        <f aca="false">F44*ESTACIONALIDAD!$D$14+G44*ESTACIONALIDAD!$D$15+H44*ESTACIONALIDAD!$D$16+I44*ESTACIONALIDAD!$D$17</f>
        <v>317.939658705096</v>
      </c>
      <c r="M44" s="45" t="n">
        <f aca="false">F44*ESTACIONALIDAD!$E$14+G44*ESTACIONALIDAD!$E$15+H44*ESTACIONALIDAD!$E$16+I44*ESTACIONALIDAD!$E$17</f>
        <v>304.115469977701</v>
      </c>
      <c r="N44" s="45" t="n">
        <f aca="false">F44*ESTACIONALIDAD!$F$14+G44*ESTACIONALIDAD!$F$15+H44*ESTACIONALIDAD!$F$16+I44*ESTACIONALIDAD!$F$17</f>
        <v>284.624976839727</v>
      </c>
      <c r="O44" s="45" t="n">
        <f aca="false">F44*ESTACIONALIDAD!$G$14+G44*ESTACIONALIDAD!$G$15+H44*ESTACIONALIDAD!$G$16+I44*ESTACIONALIDAD!$G$17</f>
        <v>278.935667203839</v>
      </c>
      <c r="P44" s="45" t="n">
        <f aca="false">F44*ESTACIONALIDAD!$H$14+G44*ESTACIONALIDAD!$H$15+H44*ESTACIONALIDAD!$H$16+I44*ESTACIONALIDAD!$H$17</f>
        <v>298.450496939183</v>
      </c>
      <c r="Q44" s="45" t="n">
        <f aca="false">F44*ESTACIONALIDAD!$I$14+G44*ESTACIONALIDAD!$I$15+H44*ESTACIONALIDAD!$I$16+I44*ESTACIONALIDAD!$I$17</f>
        <v>298.472170792432</v>
      </c>
      <c r="R44" s="45" t="n">
        <f aca="false">F44*ESTACIONALIDAD!$J$14+G44*ESTACIONALIDAD!$J$15+H44*ESTACIONALIDAD!$J$16+I44*ESTACIONALIDAD!$J$17</f>
        <v>298.472170792432</v>
      </c>
      <c r="S44" s="45" t="n">
        <f aca="false">F44*ESTACIONALIDAD!$K$14+G44*ESTACIONALIDAD!$K$15+H44*ESTACIONALIDAD!$K$16+I44*ESTACIONALIDAD!$K$17</f>
        <v>292.783526842574</v>
      </c>
      <c r="T44" s="45" t="n">
        <f aca="false">F44*ESTACIONALIDAD!$L$14+G44*ESTACIONALIDAD!$L$15+H44*ESTACIONALIDAD!$L$16+I44*ESTACIONALIDAD!$L$17</f>
        <v>287.117222431995</v>
      </c>
      <c r="U44" s="45" t="n">
        <f aca="false">F44*ESTACIONALIDAD!$M$14+G44*ESTACIONALIDAD!$M$15+H44*ESTACIONALIDAD!$M$16+I44*ESTACIONALIDAD!$M$17</f>
        <v>457.009720774901</v>
      </c>
      <c r="V44" s="45" t="n">
        <f aca="false">MAX(J44:U44)</f>
        <v>457.009720774901</v>
      </c>
      <c r="W44" s="46" t="n">
        <f aca="false">E44/INDEX(P_VAL,MATCH("DH_AÑO",P_ID,0))</f>
        <v>16.2635764857916</v>
      </c>
      <c r="X44" s="46" t="n">
        <f aca="false">V44/INDEX(P_VAL,MATCH("DH_MES",P_ID,0))</f>
        <v>22.850486038745</v>
      </c>
      <c r="Y44" s="25" t="n">
        <f aca="false">INDEX(C_TAB,MATCH($A44,C_COD,0),12)</f>
        <v>10</v>
      </c>
      <c r="Z44" s="46" t="n">
        <f aca="false">(X44-W44)*Y44</f>
        <v>65.8690955295346</v>
      </c>
      <c r="AA44" s="45" t="n">
        <f aca="false">W44*Y44+Z44</f>
        <v>228.50486038745</v>
      </c>
      <c r="AB44" s="25" t="n">
        <f aca="false">INDEX(C_TAB,MATCH($A44,C_COD,0),15)</f>
        <v>10</v>
      </c>
      <c r="AC44" s="45" t="n">
        <f aca="false">INDEX(C_TAB,MATCH($A44,C_COD,0),11)</f>
        <v>20</v>
      </c>
      <c r="AD44" s="45" t="n">
        <f aca="false">MAX(AC44,CEILING(X44*AB44,AC44))</f>
        <v>240</v>
      </c>
      <c r="AE44" s="25" t="n">
        <f aca="false">AD44/AC44</f>
        <v>12</v>
      </c>
      <c r="AF44" s="45" t="n">
        <f aca="false">Z44+AD44</f>
        <v>305.869095529535</v>
      </c>
      <c r="AG44" s="25" t="n">
        <f aca="false">ROUNDUP(AF44/AC44,0)</f>
        <v>16</v>
      </c>
      <c r="AH44" s="45" t="n">
        <f aca="false">IF(W44&gt;0,AF44/W44,0)</f>
        <v>18.8070007723549</v>
      </c>
      <c r="AI44" s="25" t="n">
        <f aca="false">IF(AD44&gt;0,E44/AD44,0)</f>
        <v>16.2635764857916</v>
      </c>
      <c r="AJ44" s="25" t="n">
        <f aca="false">INDEX(C_TAB,MATCH($A44,C_COD,0),16)</f>
        <v>30</v>
      </c>
      <c r="AK44" s="47" t="n">
        <f aca="false">IF(AJ44&gt;0,AG44/AJ44,0)</f>
        <v>0.533333333333333</v>
      </c>
      <c r="AL44" s="45" t="n">
        <f aca="false">INDEX(C_TAB,MATCH($A44,C_COD,0),17)</f>
        <v>0.73</v>
      </c>
      <c r="AM44" s="45" t="n">
        <f aca="false">AK44*AL44</f>
        <v>0.389333333333333</v>
      </c>
    </row>
    <row r="45" customFormat="false" ht="15" hidden="false" customHeight="false" outlineLevel="0" collapsed="false">
      <c r="A45" s="24" t="s">
        <v>1799</v>
      </c>
      <c r="B45" s="24" t="str">
        <f aca="false">INDEX(C_TAB,MATCH($A45,C_COD,0),2)</f>
        <v>Tapón-gancho de silicona M22 / M30 (enmascarado)</v>
      </c>
      <c r="C45" s="24" t="str">
        <f aca="false">INDEX(C_TAB,MATCH($A45,C_COD,0),3)</f>
        <v>u</v>
      </c>
      <c r="D45" s="24" t="str">
        <f aca="false">INDEX(C_TAB,MATCH($A45,C_COD,0),6)</f>
        <v>Insumos de soldadura y superficie</v>
      </c>
      <c r="E45" s="45" t="n">
        <f aca="false">CONSOLIDADO_INSUMOS!T122</f>
        <v>5723.78748746</v>
      </c>
      <c r="F45" s="45" t="n">
        <f aca="false">SUMIFS(CONSOLIDADO_INSUMOS!$T$4:$T$350,CONSOLIDADO_INSUMOS!$B$4:$B$350,$A45,CONSOLIDADO_INSUMOS!$H$4:$H$350,"MANUALES")</f>
        <v>5716.00248746</v>
      </c>
      <c r="G45" s="45" t="n">
        <f aca="false">SUMIFS(CONSOLIDADO_INSUMOS!$T$4:$T$350,CONSOLIDADO_INSUMOS!$B$4:$B$350,$A45,CONSOLIDADO_INSUMOS!$H$4:$H$350,"RODANTES")</f>
        <v>0</v>
      </c>
      <c r="H45" s="45" t="n">
        <f aca="false">SUMIFS(CONSOLIDADO_INSUMOS!$T$4:$T$350,CONSOLIDADO_INSUMOS!$B$4:$B$350,$A45,CONSOLIDADO_INSUMOS!$H$4:$H$350,"RECARGAS")</f>
        <v>7.785</v>
      </c>
      <c r="I45" s="45" t="n">
        <f aca="false">SUMIFS(CONSOLIDADO_INSUMOS!$T$4:$T$350,CONSOLIDADO_INSUMOS!$B$4:$B$350,$A45,CONSOLIDADO_INSUMOS!$H$4:$H$350,"REVENDIDOS")</f>
        <v>0</v>
      </c>
      <c r="J45" s="45" t="n">
        <f aca="false">F45*ESTACIONALIDAD!$B$14+G45*ESTACIONALIDAD!$B$15+H45*ESTACIONALIDAD!$B$16+I45*ESTACIONALIDAD!$B$17</f>
        <v>653.3908011869</v>
      </c>
      <c r="K45" s="45" t="n">
        <f aca="false">F45*ESTACIONALIDAD!$C$14+G45*ESTACIONALIDAD!$C$15+H45*ESTACIONALIDAD!$C$16+I45*ESTACIONALIDAD!$C$17</f>
        <v>498.419006982393</v>
      </c>
      <c r="L45" s="45" t="n">
        <f aca="false">F45*ESTACIONALIDAD!$D$14+G45*ESTACIONALIDAD!$D$15+H45*ESTACIONALIDAD!$D$16+I45*ESTACIONALIDAD!$D$17</f>
        <v>466.231453079676</v>
      </c>
      <c r="M45" s="45" t="n">
        <f aca="false">F45*ESTACIONALIDAD!$E$14+G45*ESTACIONALIDAD!$E$15+H45*ESTACIONALIDAD!$E$16+I45*ESTACIONALIDAD!$E$17</f>
        <v>445.951287561126</v>
      </c>
      <c r="N45" s="45" t="n">
        <f aca="false">F45*ESTACIONALIDAD!$F$14+G45*ESTACIONALIDAD!$F$15+H45*ESTACIONALIDAD!$F$16+I45*ESTACIONALIDAD!$F$17</f>
        <v>417.352649724843</v>
      </c>
      <c r="O45" s="45" t="n">
        <f aca="false">F45*ESTACIONALIDAD!$G$14+G45*ESTACIONALIDAD!$G$15+H45*ESTACIONALIDAD!$G$16+I45*ESTACIONALIDAD!$G$17</f>
        <v>409.01607580156</v>
      </c>
      <c r="P45" s="45" t="n">
        <f aca="false">F45*ESTACIONALIDAD!$H$14+G45*ESTACIONALIDAD!$H$15+H45*ESTACIONALIDAD!$H$16+I45*ESTACIONALIDAD!$H$17</f>
        <v>437.633862830259</v>
      </c>
      <c r="Q45" s="45" t="n">
        <f aca="false">F45*ESTACIONALIDAD!$I$14+G45*ESTACIONALIDAD!$I$15+H45*ESTACIONALIDAD!$I$16+I45*ESTACIONALIDAD!$I$17</f>
        <v>437.650916848943</v>
      </c>
      <c r="R45" s="45" t="n">
        <f aca="false">F45*ESTACIONALIDAD!$J$14+G45*ESTACIONALIDAD!$J$15+H45*ESTACIONALIDAD!$J$16+I45*ESTACIONALIDAD!$J$17</f>
        <v>437.650916848943</v>
      </c>
      <c r="S45" s="45" t="n">
        <f aca="false">F45*ESTACIONALIDAD!$K$14+G45*ESTACIONALIDAD!$K$15+H45*ESTACIONALIDAD!$K$16+I45*ESTACIONALIDAD!$K$17</f>
        <v>429.314866719093</v>
      </c>
      <c r="T45" s="45" t="n">
        <f aca="false">F45*ESTACIONALIDAD!$L$14+G45*ESTACIONALIDAD!$L$15+H45*ESTACIONALIDAD!$L$16+I45*ESTACIONALIDAD!$L$17</f>
        <v>420.99639440136</v>
      </c>
      <c r="U45" s="45" t="n">
        <f aca="false">F45*ESTACIONALIDAD!$M$14+G45*ESTACIONALIDAD!$M$15+H45*ESTACIONALIDAD!$M$16+I45*ESTACIONALIDAD!$M$17</f>
        <v>670.179255474902</v>
      </c>
      <c r="V45" s="45" t="n">
        <f aca="false">MAX(J45:U45)</f>
        <v>670.179255474902</v>
      </c>
      <c r="W45" s="46" t="n">
        <f aca="false">E45/INDEX(P_VAL,MATCH("DH_AÑO",P_ID,0))</f>
        <v>23.8491145310833</v>
      </c>
      <c r="X45" s="46" t="n">
        <f aca="false">V45/INDEX(P_VAL,MATCH("DH_MES",P_ID,0))</f>
        <v>33.5089627737451</v>
      </c>
      <c r="Y45" s="25" t="n">
        <f aca="false">INDEX(C_TAB,MATCH($A45,C_COD,0),12)</f>
        <v>10</v>
      </c>
      <c r="Z45" s="46" t="n">
        <f aca="false">(X45-W45)*Y45</f>
        <v>96.5984824266179</v>
      </c>
      <c r="AA45" s="45" t="n">
        <f aca="false">W45*Y45+Z45</f>
        <v>335.089627737451</v>
      </c>
      <c r="AB45" s="25" t="n">
        <f aca="false">INDEX(C_TAB,MATCH($A45,C_COD,0),15)</f>
        <v>10</v>
      </c>
      <c r="AC45" s="45" t="n">
        <f aca="false">INDEX(C_TAB,MATCH($A45,C_COD,0),11)</f>
        <v>500</v>
      </c>
      <c r="AD45" s="45" t="n">
        <f aca="false">MAX(AC45,CEILING(X45*AB45,AC45))</f>
        <v>500</v>
      </c>
      <c r="AE45" s="25" t="n">
        <f aca="false">AD45/AC45</f>
        <v>1</v>
      </c>
      <c r="AF45" s="45" t="n">
        <f aca="false">Z45+AD45</f>
        <v>596.598482426618</v>
      </c>
      <c r="AG45" s="25" t="n">
        <f aca="false">ROUNDUP(AF45/AC45,0)</f>
        <v>2</v>
      </c>
      <c r="AH45" s="45" t="n">
        <f aca="false">IF(W45&gt;0,AF45/W45,0)</f>
        <v>25.0155401639357</v>
      </c>
      <c r="AI45" s="25" t="n">
        <f aca="false">IF(AD45&gt;0,E45/AD45,0)</f>
        <v>11.44757497492</v>
      </c>
      <c r="AJ45" s="25" t="n">
        <f aca="false">INDEX(C_TAB,MATCH($A45,C_COD,0),16)</f>
        <v>10</v>
      </c>
      <c r="AK45" s="47" t="n">
        <f aca="false">IF(AJ45&gt;0,AG45/AJ45,0)</f>
        <v>0.2</v>
      </c>
      <c r="AL45" s="45" t="n">
        <f aca="false">INDEX(C_TAB,MATCH($A45,C_COD,0),17)</f>
        <v>0.73</v>
      </c>
      <c r="AM45" s="45" t="n">
        <f aca="false">AK45*AL45</f>
        <v>0.146</v>
      </c>
    </row>
    <row r="46" customFormat="false" ht="15" hidden="false" customHeight="false" outlineLevel="0" collapsed="false">
      <c r="A46" s="24" t="s">
        <v>519</v>
      </c>
      <c r="B46" s="24" t="str">
        <f aca="false">INDEX(C_TAB,MATCH($A46,C_COD,0),2)</f>
        <v>Válvula HZ M-22 con tubo de pesca (1 kg)</v>
      </c>
      <c r="C46" s="24" t="str">
        <f aca="false">INDEX(C_TAB,MATCH($A46,C_COD,0),3)</f>
        <v>u</v>
      </c>
      <c r="D46" s="24" t="str">
        <f aca="false">INDEX(C_TAB,MATCH($A46,C_COD,0),6)</f>
        <v>Insumos de montaje (manuales)</v>
      </c>
      <c r="E46" s="45" t="n">
        <f aca="false">CONSOLIDADO_INSUMOS!T125</f>
        <v>37961.119851</v>
      </c>
      <c r="F46" s="45" t="n">
        <f aca="false">SUMIFS(CONSOLIDADO_INSUMOS!$T$4:$T$350,CONSOLIDADO_INSUMOS!$B$4:$B$350,$A46,CONSOLIDADO_INSUMOS!$H$4:$H$350,"MANUALES")</f>
        <v>32072.63913</v>
      </c>
      <c r="G46" s="45" t="n">
        <f aca="false">SUMIFS(CONSOLIDADO_INSUMOS!$T$4:$T$350,CONSOLIDADO_INSUMOS!$B$4:$B$350,$A46,CONSOLIDADO_INSUMOS!$H$4:$H$350,"RODANTES")</f>
        <v>0</v>
      </c>
      <c r="H46" s="45" t="n">
        <f aca="false">SUMIFS(CONSOLIDADO_INSUMOS!$T$4:$T$350,CONSOLIDADO_INSUMOS!$B$4:$B$350,$A46,CONSOLIDADO_INSUMOS!$H$4:$H$350,"RECARGAS")</f>
        <v>5888.480721</v>
      </c>
      <c r="I46" s="45" t="n">
        <f aca="false">SUMIFS(CONSOLIDADO_INSUMOS!$T$4:$T$350,CONSOLIDADO_INSUMOS!$B$4:$B$350,$A46,CONSOLIDADO_INSUMOS!$H$4:$H$350,"REVENDIDOS")</f>
        <v>0</v>
      </c>
      <c r="J46" s="45" t="n">
        <f aca="false">F46*ESTACIONALIDAD!$B$14+G46*ESTACIONALIDAD!$B$15+H46*ESTACIONALIDAD!$B$16+I46*ESTACIONALIDAD!$B$17</f>
        <v>4223.49218761957</v>
      </c>
      <c r="K46" s="45" t="n">
        <f aca="false">F46*ESTACIONALIDAD!$C$14+G46*ESTACIONALIDAD!$C$15+H46*ESTACIONALIDAD!$C$16+I46*ESTACIONALIDAD!$C$17</f>
        <v>3258.12977689379</v>
      </c>
      <c r="L46" s="45" t="n">
        <f aca="false">F46*ESTACIONALIDAD!$D$14+G46*ESTACIONALIDAD!$D$15+H46*ESTACIONALIDAD!$D$16+I46*ESTACIONALIDAD!$D$17</f>
        <v>3091.50809295736</v>
      </c>
      <c r="M46" s="45" t="n">
        <f aca="false">F46*ESTACIONALIDAD!$E$14+G46*ESTACIONALIDAD!$E$15+H46*ESTACIONALIDAD!$E$16+I46*ESTACIONALIDAD!$E$17</f>
        <v>2964.12528600743</v>
      </c>
      <c r="N46" s="45" t="n">
        <f aca="false">F46*ESTACIONALIDAD!$F$14+G46*ESTACIONALIDAD!$F$15+H46*ESTACIONALIDAD!$F$16+I46*ESTACIONALIDAD!$F$17</f>
        <v>2789.67406173415</v>
      </c>
      <c r="O46" s="45" t="n">
        <f aca="false">F46*ESTACIONALIDAD!$G$14+G46*ESTACIONALIDAD!$G$15+H46*ESTACIONALIDAD!$G$16+I46*ESTACIONALIDAD!$G$17</f>
        <v>2728.9138068641</v>
      </c>
      <c r="P46" s="45" t="n">
        <f aca="false">F46*ESTACIONALIDAD!$H$14+G46*ESTACIONALIDAD!$H$15+H46*ESTACIONALIDAD!$H$16+I46*ESTACIONALIDAD!$H$17</f>
        <v>2917.84925083727</v>
      </c>
      <c r="Q46" s="45" t="n">
        <f aca="false">F46*ESTACIONALIDAD!$I$14+G46*ESTACIONALIDAD!$I$15+H46*ESTACIONALIDAD!$I$16+I46*ESTACIONALIDAD!$I$17</f>
        <v>2930.74870623077</v>
      </c>
      <c r="R46" s="45" t="n">
        <f aca="false">F46*ESTACIONALIDAD!$J$14+G46*ESTACIONALIDAD!$J$15+H46*ESTACIONALIDAD!$J$16+I46*ESTACIONALIDAD!$J$17</f>
        <v>2930.74870623077</v>
      </c>
      <c r="S46" s="45" t="n">
        <f aca="false">F46*ESTACIONALIDAD!$K$14+G46*ESTACIONALIDAD!$K$15+H46*ESTACIONALIDAD!$K$16+I46*ESTACIONALIDAD!$K$17</f>
        <v>2870.38464243731</v>
      </c>
      <c r="T46" s="45" t="n">
        <f aca="false">F46*ESTACIONALIDAD!$L$14+G46*ESTACIONALIDAD!$L$15+H46*ESTACIONALIDAD!$L$16+I46*ESTACIONALIDAD!$L$17</f>
        <v>2823.31622511396</v>
      </c>
      <c r="U46" s="45" t="n">
        <f aca="false">F46*ESTACIONALIDAD!$M$14+G46*ESTACIONALIDAD!$M$15+H46*ESTACIONALIDAD!$M$16+I46*ESTACIONALIDAD!$M$17</f>
        <v>4432.22910807352</v>
      </c>
      <c r="V46" s="45" t="n">
        <f aca="false">MAX(J46:U46)</f>
        <v>4432.22910807352</v>
      </c>
      <c r="W46" s="46" t="n">
        <f aca="false">E46/INDEX(P_VAL,MATCH("DH_AÑO",P_ID,0))</f>
        <v>158.1713327125</v>
      </c>
      <c r="X46" s="46" t="n">
        <f aca="false">V46/INDEX(P_VAL,MATCH("DH_MES",P_ID,0))</f>
        <v>221.611455403676</v>
      </c>
      <c r="Y46" s="25" t="n">
        <f aca="false">INDEX(C_TAB,MATCH($A46,C_COD,0),12)</f>
        <v>20</v>
      </c>
      <c r="Z46" s="46" t="n">
        <f aca="false">(X46-W46)*Y46</f>
        <v>1268.80245382352</v>
      </c>
      <c r="AA46" s="45" t="n">
        <f aca="false">W46*Y46+Z46</f>
        <v>4432.22910807352</v>
      </c>
      <c r="AB46" s="25" t="n">
        <f aca="false">INDEX(C_TAB,MATCH($A46,C_COD,0),15)</f>
        <v>10</v>
      </c>
      <c r="AC46" s="45" t="n">
        <f aca="false">INDEX(C_TAB,MATCH($A46,C_COD,0),11)</f>
        <v>100</v>
      </c>
      <c r="AD46" s="45" t="n">
        <f aca="false">MAX(AC46,CEILING(X46*AB46,AC46))</f>
        <v>2300</v>
      </c>
      <c r="AE46" s="25" t="n">
        <f aca="false">AD46/AC46</f>
        <v>23</v>
      </c>
      <c r="AF46" s="45" t="n">
        <f aca="false">Z46+AD46</f>
        <v>3568.80245382352</v>
      </c>
      <c r="AG46" s="25" t="n">
        <f aca="false">ROUNDUP(AF46/AC46,0)</f>
        <v>36</v>
      </c>
      <c r="AH46" s="45" t="n">
        <f aca="false">IF(W46&gt;0,AF46/W46,0)</f>
        <v>22.562890459489</v>
      </c>
      <c r="AI46" s="25" t="n">
        <f aca="false">IF(AD46&gt;0,E46/AD46,0)</f>
        <v>16.5048347178261</v>
      </c>
      <c r="AJ46" s="25" t="n">
        <f aca="false">INDEX(C_TAB,MATCH($A46,C_COD,0),16)</f>
        <v>30</v>
      </c>
      <c r="AK46" s="47" t="n">
        <f aca="false">IF(AJ46&gt;0,AG46/AJ46,0)</f>
        <v>1.2</v>
      </c>
      <c r="AL46" s="45" t="n">
        <f aca="false">INDEX(C_TAB,MATCH($A46,C_COD,0),17)</f>
        <v>0.73</v>
      </c>
      <c r="AM46" s="45" t="n">
        <f aca="false">AK46*AL46</f>
        <v>0.876</v>
      </c>
    </row>
    <row r="47" customFormat="false" ht="15" hidden="false" customHeight="false" outlineLevel="0" collapsed="false">
      <c r="A47" s="24" t="s">
        <v>634</v>
      </c>
      <c r="B47" s="24" t="str">
        <f aca="false">INDEX(C_TAB,MATCH($A47,C_COD,0),2)</f>
        <v>Válvula HZ M-30 con resorte y tubo 7/8 (2,5 a 10 kg)</v>
      </c>
      <c r="C47" s="24" t="str">
        <f aca="false">INDEX(C_TAB,MATCH($A47,C_COD,0),3)</f>
        <v>u</v>
      </c>
      <c r="D47" s="24" t="str">
        <f aca="false">INDEX(C_TAB,MATCH($A47,C_COD,0),6)</f>
        <v>Insumos de montaje (manuales)</v>
      </c>
      <c r="E47" s="45" t="n">
        <f aca="false">CONSOLIDADO_INSUMOS!T128</f>
        <v>45788.38188975</v>
      </c>
      <c r="F47" s="45" t="n">
        <f aca="false">SUMIFS(CONSOLIDADO_INSUMOS!$T$4:$T$350,CONSOLIDADO_INSUMOS!$B$4:$B$350,$A47,CONSOLIDADO_INSUMOS!$H$4:$H$350,"MANUALES")</f>
        <v>41584.485243</v>
      </c>
      <c r="G47" s="45" t="n">
        <f aca="false">SUMIFS(CONSOLIDADO_INSUMOS!$T$4:$T$350,CONSOLIDADO_INSUMOS!$B$4:$B$350,$A47,CONSOLIDADO_INSUMOS!$H$4:$H$350,"RODANTES")</f>
        <v>0</v>
      </c>
      <c r="H47" s="45" t="n">
        <f aca="false">SUMIFS(CONSOLIDADO_INSUMOS!$T$4:$T$350,CONSOLIDADO_INSUMOS!$B$4:$B$350,$A47,CONSOLIDADO_INSUMOS!$H$4:$H$350,"RECARGAS")</f>
        <v>4203.89664675</v>
      </c>
      <c r="I47" s="45" t="n">
        <f aca="false">SUMIFS(CONSOLIDADO_INSUMOS!$T$4:$T$350,CONSOLIDADO_INSUMOS!$B$4:$B$350,$A47,CONSOLIDADO_INSUMOS!$H$4:$H$350,"REVENDIDOS")</f>
        <v>0</v>
      </c>
      <c r="J47" s="45" t="n">
        <f aca="false">F47*ESTACIONALIDAD!$B$14+G47*ESTACIONALIDAD!$B$15+H47*ESTACIONALIDAD!$B$16+I47*ESTACIONALIDAD!$B$17</f>
        <v>5148.92257212134</v>
      </c>
      <c r="K47" s="45" t="n">
        <f aca="false">F47*ESTACIONALIDAD!$C$14+G47*ESTACIONALIDAD!$C$15+H47*ESTACIONALIDAD!$C$16+I47*ESTACIONALIDAD!$C$17</f>
        <v>3953.50289163109</v>
      </c>
      <c r="L47" s="45" t="n">
        <f aca="false">F47*ESTACIONALIDAD!$D$14+G47*ESTACIONALIDAD!$D$15+H47*ESTACIONALIDAD!$D$16+I47*ESTACIONALIDAD!$D$17</f>
        <v>3729.25744911442</v>
      </c>
      <c r="M47" s="45" t="n">
        <f aca="false">F47*ESTACIONALIDAD!$E$14+G47*ESTACIONALIDAD!$E$15+H47*ESTACIONALIDAD!$E$16+I47*ESTACIONALIDAD!$E$17</f>
        <v>3572.07406452765</v>
      </c>
      <c r="N47" s="45" t="n">
        <f aca="false">F47*ESTACIONALIDAD!$F$14+G47*ESTACIONALIDAD!$F$15+H47*ESTACIONALIDAD!$F$16+I47*ESTACIONALIDAD!$F$17</f>
        <v>3354.0939308844</v>
      </c>
      <c r="O47" s="45" t="n">
        <f aca="false">F47*ESTACIONALIDAD!$G$14+G47*ESTACIONALIDAD!$G$15+H47*ESTACIONALIDAD!$G$16+I47*ESTACIONALIDAD!$G$17</f>
        <v>3283.52232262778</v>
      </c>
      <c r="P47" s="45" t="n">
        <f aca="false">F47*ESTACIONALIDAD!$H$14+G47*ESTACIONALIDAD!$H$15+H47*ESTACIONALIDAD!$H$16+I47*ESTACIONALIDAD!$H$17</f>
        <v>3511.84301192744</v>
      </c>
      <c r="Q47" s="45" t="n">
        <f aca="false">F47*ESTACIONALIDAD!$I$14+G47*ESTACIONALIDAD!$I$15+H47*ESTACIONALIDAD!$I$16+I47*ESTACIONALIDAD!$I$17</f>
        <v>3521.05217467128</v>
      </c>
      <c r="R47" s="45" t="n">
        <f aca="false">F47*ESTACIONALIDAD!$J$14+G47*ESTACIONALIDAD!$J$15+H47*ESTACIONALIDAD!$J$16+I47*ESTACIONALIDAD!$J$17</f>
        <v>3521.05217467128</v>
      </c>
      <c r="S47" s="45" t="n">
        <f aca="false">F47*ESTACIONALIDAD!$K$14+G47*ESTACIONALIDAD!$K$15+H47*ESTACIONALIDAD!$K$16+I47*ESTACIONALIDAD!$K$17</f>
        <v>3450.7634146428</v>
      </c>
      <c r="T47" s="45" t="n">
        <f aca="false">F47*ESTACIONALIDAD!$L$14+G47*ESTACIONALIDAD!$L$15+H47*ESTACIONALIDAD!$L$16+I47*ESTACIONALIDAD!$L$17</f>
        <v>3389.96666558631</v>
      </c>
      <c r="U47" s="45" t="n">
        <f aca="false">F47*ESTACIONALIDAD!$M$14+G47*ESTACIONALIDAD!$M$15+H47*ESTACIONALIDAD!$M$16+I47*ESTACIONALIDAD!$M$17</f>
        <v>5352.33121734422</v>
      </c>
      <c r="V47" s="45" t="n">
        <f aca="false">MAX(J47:U47)</f>
        <v>5352.33121734422</v>
      </c>
      <c r="W47" s="46" t="n">
        <f aca="false">E47/INDEX(P_VAL,MATCH("DH_AÑO",P_ID,0))</f>
        <v>190.784924540625</v>
      </c>
      <c r="X47" s="46" t="n">
        <f aca="false">V47/INDEX(P_VAL,MATCH("DH_MES",P_ID,0))</f>
        <v>267.616560867211</v>
      </c>
      <c r="Y47" s="25" t="n">
        <f aca="false">INDEX(C_TAB,MATCH($A47,C_COD,0),12)</f>
        <v>20</v>
      </c>
      <c r="Z47" s="46" t="n">
        <f aca="false">(X47-W47)*Y47</f>
        <v>1536.63272653172</v>
      </c>
      <c r="AA47" s="45" t="n">
        <f aca="false">W47*Y47+Z47</f>
        <v>5352.33121734422</v>
      </c>
      <c r="AB47" s="25" t="n">
        <f aca="false">INDEX(C_TAB,MATCH($A47,C_COD,0),15)</f>
        <v>10</v>
      </c>
      <c r="AC47" s="45" t="n">
        <f aca="false">INDEX(C_TAB,MATCH($A47,C_COD,0),11)</f>
        <v>50</v>
      </c>
      <c r="AD47" s="45" t="n">
        <f aca="false">MAX(AC47,CEILING(X47*AB47,AC47))</f>
        <v>2700</v>
      </c>
      <c r="AE47" s="25" t="n">
        <f aca="false">AD47/AC47</f>
        <v>54</v>
      </c>
      <c r="AF47" s="45" t="n">
        <f aca="false">Z47+AD47</f>
        <v>4236.63272653172</v>
      </c>
      <c r="AG47" s="25" t="n">
        <f aca="false">ROUNDUP(AF47/AC47,0)</f>
        <v>85</v>
      </c>
      <c r="AH47" s="45" t="n">
        <f aca="false">IF(W47&gt;0,AF47/W47,0)</f>
        <v>22.2063286013439</v>
      </c>
      <c r="AI47" s="25" t="n">
        <f aca="false">IF(AD47&gt;0,E47/AD47,0)</f>
        <v>16.9586599591667</v>
      </c>
      <c r="AJ47" s="25" t="n">
        <f aca="false">INDEX(C_TAB,MATCH($A47,C_COD,0),16)</f>
        <v>30</v>
      </c>
      <c r="AK47" s="47" t="n">
        <f aca="false">IF(AJ47&gt;0,AG47/AJ47,0)</f>
        <v>2.83333333333333</v>
      </c>
      <c r="AL47" s="45" t="n">
        <f aca="false">INDEX(C_TAB,MATCH($A47,C_COD,0),17)</f>
        <v>0.73</v>
      </c>
      <c r="AM47" s="45" t="n">
        <f aca="false">AK47*AL47</f>
        <v>2.06833333333333</v>
      </c>
    </row>
    <row r="48" customFormat="false" ht="15" hidden="false" customHeight="false" outlineLevel="0" collapsed="false">
      <c r="A48" s="24" t="s">
        <v>899</v>
      </c>
      <c r="B48" s="24" t="str">
        <f aca="false">INDEX(C_TAB,MATCH($A48,C_COD,0),2)</f>
        <v>Válvula HZ de carro 25 kg (traba, manija y resorte)</v>
      </c>
      <c r="C48" s="24" t="str">
        <f aca="false">INDEX(C_TAB,MATCH($A48,C_COD,0),3)</f>
        <v>u</v>
      </c>
      <c r="D48" s="24" t="str">
        <f aca="false">INDEX(C_TAB,MATCH($A48,C_COD,0),6)</f>
        <v>Rack de insumos de montaje (carros)</v>
      </c>
      <c r="E48" s="45" t="n">
        <f aca="false">CONSOLIDADO_INSUMOS!T131</f>
        <v>484.52872426</v>
      </c>
      <c r="F48" s="45" t="n">
        <f aca="false">SUMIFS(CONSOLIDADO_INSUMOS!$T$4:$T$350,CONSOLIDADO_INSUMOS!$B$4:$B$350,$A48,CONSOLIDADO_INSUMOS!$H$4:$H$350,"MANUALES")</f>
        <v>0</v>
      </c>
      <c r="G48" s="45" t="n">
        <f aca="false">SUMIFS(CONSOLIDADO_INSUMOS!$T$4:$T$350,CONSOLIDADO_INSUMOS!$B$4:$B$350,$A48,CONSOLIDADO_INSUMOS!$H$4:$H$350,"RODANTES")</f>
        <v>453.2705332</v>
      </c>
      <c r="H48" s="45" t="n">
        <f aca="false">SUMIFS(CONSOLIDADO_INSUMOS!$T$4:$T$350,CONSOLIDADO_INSUMOS!$B$4:$B$350,$A48,CONSOLIDADO_INSUMOS!$H$4:$H$350,"RECARGAS")</f>
        <v>31.25819106</v>
      </c>
      <c r="I48" s="45" t="n">
        <f aca="false">SUMIFS(CONSOLIDADO_INSUMOS!$T$4:$T$350,CONSOLIDADO_INSUMOS!$B$4:$B$350,$A48,CONSOLIDADO_INSUMOS!$H$4:$H$350,"REVENDIDOS")</f>
        <v>0</v>
      </c>
      <c r="J48" s="45" t="n">
        <f aca="false">F48*ESTACIONALIDAD!$B$14+G48*ESTACIONALIDAD!$B$15+H48*ESTACIONALIDAD!$B$16+I48*ESTACIONALIDAD!$B$17</f>
        <v>41.508451950215</v>
      </c>
      <c r="K48" s="45" t="n">
        <f aca="false">F48*ESTACIONALIDAD!$C$14+G48*ESTACIONALIDAD!$C$15+H48*ESTACIONALIDAD!$C$16+I48*ESTACIONALIDAD!$C$17</f>
        <v>36.4633426386006</v>
      </c>
      <c r="L48" s="45" t="n">
        <f aca="false">F48*ESTACIONALIDAD!$D$14+G48*ESTACIONALIDAD!$D$15+H48*ESTACIONALIDAD!$D$16+I48*ESTACIONALIDAD!$D$17</f>
        <v>43.337185001402</v>
      </c>
      <c r="M48" s="45" t="n">
        <f aca="false">F48*ESTACIONALIDAD!$E$14+G48*ESTACIONALIDAD!$E$15+H48*ESTACIONALIDAD!$E$16+I48*ESTACIONALIDAD!$E$17</f>
        <v>43.2645037625095</v>
      </c>
      <c r="N48" s="45" t="n">
        <f aca="false">F48*ESTACIONALIDAD!$F$14+G48*ESTACIONALIDAD!$F$15+H48*ESTACIONALIDAD!$F$16+I48*ESTACIONALIDAD!$F$17</f>
        <v>43.1897193977081</v>
      </c>
      <c r="O48" s="45" t="n">
        <f aca="false">F48*ESTACIONALIDAD!$G$14+G48*ESTACIONALIDAD!$G$15+H48*ESTACIONALIDAD!$G$16+I48*ESTACIONALIDAD!$G$17</f>
        <v>38.5822297009066</v>
      </c>
      <c r="P48" s="45" t="n">
        <f aca="false">F48*ESTACIONALIDAD!$H$14+G48*ESTACIONALIDAD!$H$15+H48*ESTACIONALIDAD!$H$16+I48*ESTACIONALIDAD!$H$17</f>
        <v>43.2666068884184</v>
      </c>
      <c r="Q48" s="45" t="n">
        <f aca="false">F48*ESTACIONALIDAD!$I$14+G48*ESTACIONALIDAD!$I$15+H48*ESTACIONALIDAD!$I$16+I48*ESTACIONALIDAD!$I$17</f>
        <v>43.3350818754931</v>
      </c>
      <c r="R48" s="45" t="n">
        <f aca="false">F48*ESTACIONALIDAD!$J$14+G48*ESTACIONALIDAD!$J$15+H48*ESTACIONALIDAD!$J$16+I48*ESTACIONALIDAD!$J$17</f>
        <v>41.0687292094931</v>
      </c>
      <c r="S48" s="45" t="n">
        <f aca="false">F48*ESTACIONALIDAD!$K$14+G48*ESTACIONALIDAD!$K$15+H48*ESTACIONALIDAD!$K$16+I48*ESTACIONALIDAD!$K$17</f>
        <v>36.4633426386006</v>
      </c>
      <c r="T48" s="45" t="n">
        <f aca="false">F48*ESTACIONALIDAD!$L$14+G48*ESTACIONALIDAD!$L$15+H48*ESTACIONALIDAD!$L$16+I48*ESTACIONALIDAD!$L$17</f>
        <v>34.1948868466917</v>
      </c>
      <c r="U48" s="45" t="n">
        <f aca="false">F48*ESTACIONALIDAD!$M$14+G48*ESTACIONALIDAD!$M$15+H48*ESTACIONALIDAD!$M$16+I48*ESTACIONALIDAD!$M$17</f>
        <v>39.8546443499615</v>
      </c>
      <c r="V48" s="45" t="n">
        <f aca="false">MAX(J48:U48)</f>
        <v>43.337185001402</v>
      </c>
      <c r="W48" s="46" t="n">
        <f aca="false">E48/INDEX(P_VAL,MATCH("DH_AÑO",P_ID,0))</f>
        <v>2.01886968441667</v>
      </c>
      <c r="X48" s="46" t="n">
        <f aca="false">V48/INDEX(P_VAL,MATCH("DH_MES",P_ID,0))</f>
        <v>2.1668592500701</v>
      </c>
      <c r="Y48" s="25" t="n">
        <f aca="false">INDEX(C_TAB,MATCH($A48,C_COD,0),12)</f>
        <v>20</v>
      </c>
      <c r="Z48" s="46" t="n">
        <f aca="false">(X48-W48)*Y48</f>
        <v>2.95979131306866</v>
      </c>
      <c r="AA48" s="45" t="n">
        <f aca="false">W48*Y48+Z48</f>
        <v>43.337185001402</v>
      </c>
      <c r="AB48" s="25" t="n">
        <f aca="false">INDEX(C_TAB,MATCH($A48,C_COD,0),15)</f>
        <v>10</v>
      </c>
      <c r="AC48" s="45" t="n">
        <f aca="false">INDEX(C_TAB,MATCH($A48,C_COD,0),11)</f>
        <v>10</v>
      </c>
      <c r="AD48" s="45" t="n">
        <f aca="false">MAX(AC48,CEILING(X48*AB48,AC48))</f>
        <v>30</v>
      </c>
      <c r="AE48" s="25" t="n">
        <f aca="false">AD48/AC48</f>
        <v>3</v>
      </c>
      <c r="AF48" s="45" t="n">
        <f aca="false">Z48+AD48</f>
        <v>32.9597913130687</v>
      </c>
      <c r="AG48" s="25" t="n">
        <f aca="false">ROUNDUP(AF48/AC48,0)</f>
        <v>4</v>
      </c>
      <c r="AH48" s="45" t="n">
        <f aca="false">IF(W48&gt;0,AF48/W48,0)</f>
        <v>16.3258637085296</v>
      </c>
      <c r="AI48" s="25" t="n">
        <f aca="false">IF(AD48&gt;0,E48/AD48,0)</f>
        <v>16.1509574753333</v>
      </c>
      <c r="AJ48" s="25" t="n">
        <f aca="false">INDEX(C_TAB,MATCH($A48,C_COD,0),16)</f>
        <v>20</v>
      </c>
      <c r="AK48" s="47" t="n">
        <f aca="false">IF(AJ48&gt;0,AG48/AJ48,0)</f>
        <v>0.2</v>
      </c>
      <c r="AL48" s="45" t="n">
        <f aca="false">INDEX(C_TAB,MATCH($A48,C_COD,0),17)</f>
        <v>0.73</v>
      </c>
      <c r="AM48" s="45" t="n">
        <f aca="false">AK48*AL48</f>
        <v>0.146</v>
      </c>
    </row>
    <row r="49" customFormat="false" ht="15" hidden="false" customHeight="false" outlineLevel="0" collapsed="false">
      <c r="A49" s="24" t="s">
        <v>1030</v>
      </c>
      <c r="B49" s="24" t="str">
        <f aca="false">INDEX(C_TAB,MATCH($A49,C_COD,0),2)</f>
        <v>Válvula HZ de carro 50-70-100 kg</v>
      </c>
      <c r="C49" s="24" t="str">
        <f aca="false">INDEX(C_TAB,MATCH($A49,C_COD,0),3)</f>
        <v>u</v>
      </c>
      <c r="D49" s="24" t="str">
        <f aca="false">INDEX(C_TAB,MATCH($A49,C_COD,0),6)</f>
        <v>Rack de insumos de montaje (carros)</v>
      </c>
      <c r="E49" s="45" t="n">
        <f aca="false">CONSOLIDADO_INSUMOS!T134</f>
        <v>1459.086172826</v>
      </c>
      <c r="F49" s="45" t="n">
        <f aca="false">SUMIFS(CONSOLIDADO_INSUMOS!$T$4:$T$350,CONSOLIDADO_INSUMOS!$B$4:$B$350,$A49,CONSOLIDADO_INSUMOS!$H$4:$H$350,"MANUALES")</f>
        <v>0</v>
      </c>
      <c r="G49" s="45" t="n">
        <f aca="false">SUMIFS(CONSOLIDADO_INSUMOS!$T$4:$T$350,CONSOLIDADO_INSUMOS!$B$4:$B$350,$A49,CONSOLIDADO_INSUMOS!$H$4:$H$350,"RODANTES")</f>
        <v>1359.8115997</v>
      </c>
      <c r="H49" s="45" t="n">
        <f aca="false">SUMIFS(CONSOLIDADO_INSUMOS!$T$4:$T$350,CONSOLIDADO_INSUMOS!$B$4:$B$350,$A49,CONSOLIDADO_INSUMOS!$H$4:$H$350,"RECARGAS")</f>
        <v>99.274573126</v>
      </c>
      <c r="I49" s="45" t="n">
        <f aca="false">SUMIFS(CONSOLIDADO_INSUMOS!$T$4:$T$350,CONSOLIDADO_INSUMOS!$B$4:$B$350,$A49,CONSOLIDADO_INSUMOS!$H$4:$H$350,"REVENDIDOS")</f>
        <v>0</v>
      </c>
      <c r="J49" s="45" t="n">
        <f aca="false">F49*ESTACIONALIDAD!$B$14+G49*ESTACIONALIDAD!$B$15+H49*ESTACIONALIDAD!$B$16+I49*ESTACIONALIDAD!$B$17</f>
        <v>125.049778762018</v>
      </c>
      <c r="K49" s="45" t="n">
        <f aca="false">F49*ESTACIONALIDAD!$C$14+G49*ESTACIONALIDAD!$C$15+H49*ESTACIONALIDAD!$C$16+I49*ESTACIONALIDAD!$C$17</f>
        <v>109.824291358699</v>
      </c>
      <c r="L49" s="45" t="n">
        <f aca="false">F49*ESTACIONALIDAD!$D$14+G49*ESTACIONALIDAD!$D$15+H49*ESTACIONALIDAD!$D$16+I49*ESTACIONALIDAD!$D$17</f>
        <v>130.458977047627</v>
      </c>
      <c r="M49" s="45" t="n">
        <f aca="false">F49*ESTACIONALIDAD!$E$14+G49*ESTACIONALIDAD!$E$15+H49*ESTACIONALIDAD!$E$16+I49*ESTACIONALIDAD!$E$17</f>
        <v>130.228144785086</v>
      </c>
      <c r="N49" s="45" t="n">
        <f aca="false">F49*ESTACIONALIDAD!$F$14+G49*ESTACIONALIDAD!$F$15+H49*ESTACIONALIDAD!$F$16+I49*ESTACIONALIDAD!$F$17</f>
        <v>129.990633091658</v>
      </c>
      <c r="O49" s="45" t="n">
        <f aca="false">F49*ESTACIONALIDAD!$G$14+G49*ESTACIONALIDAD!$G$15+H49*ESTACIONALIDAD!$G$16+I49*ESTACIONALIDAD!$G$17</f>
        <v>116.15500540123</v>
      </c>
      <c r="P49" s="45" t="n">
        <f aca="false">F49*ESTACIONALIDAD!$H$14+G49*ESTACIONALIDAD!$H$15+H49*ESTACIONALIDAD!$H$16+I49*ESTACIONALIDAD!$H$17</f>
        <v>130.234824215973</v>
      </c>
      <c r="Q49" s="45" t="n">
        <f aca="false">F49*ESTACIONALIDAD!$I$14+G49*ESTACIONALIDAD!$I$15+H49*ESTACIONALIDAD!$I$16+I49*ESTACIONALIDAD!$I$17</f>
        <v>130.45229761674</v>
      </c>
      <c r="R49" s="45" t="n">
        <f aca="false">F49*ESTACIONALIDAD!$J$14+G49*ESTACIONALIDAD!$J$15+H49*ESTACIONALIDAD!$J$16+I49*ESTACIONALIDAD!$J$17</f>
        <v>123.65323961824</v>
      </c>
      <c r="S49" s="45" t="n">
        <f aca="false">F49*ESTACIONALIDAD!$K$14+G49*ESTACIONALIDAD!$K$15+H49*ESTACIONALIDAD!$K$16+I49*ESTACIONALIDAD!$K$17</f>
        <v>109.824291358699</v>
      </c>
      <c r="T49" s="45" t="n">
        <f aca="false">F49*ESTACIONALIDAD!$L$14+G49*ESTACIONALIDAD!$L$15+H49*ESTACIONALIDAD!$L$16+I49*ESTACIONALIDAD!$L$17</f>
        <v>103.018553929312</v>
      </c>
      <c r="U49" s="45" t="n">
        <f aca="false">F49*ESTACIONALIDAD!$M$14+G49*ESTACIONALIDAD!$M$15+H49*ESTACIONALIDAD!$M$16+I49*ESTACIONALIDAD!$M$17</f>
        <v>120.196135640716</v>
      </c>
      <c r="V49" s="45" t="n">
        <f aca="false">MAX(J49:U49)</f>
        <v>130.458977047627</v>
      </c>
      <c r="W49" s="46" t="n">
        <f aca="false">E49/INDEX(P_VAL,MATCH("DH_AÑO",P_ID,0))</f>
        <v>6.07952572010833</v>
      </c>
      <c r="X49" s="46" t="n">
        <f aca="false">V49/INDEX(P_VAL,MATCH("DH_MES",P_ID,0))</f>
        <v>6.52294885238137</v>
      </c>
      <c r="Y49" s="25" t="n">
        <f aca="false">INDEX(C_TAB,MATCH($A49,C_COD,0),12)</f>
        <v>20</v>
      </c>
      <c r="Z49" s="46" t="n">
        <f aca="false">(X49-W49)*Y49</f>
        <v>8.86846264546071</v>
      </c>
      <c r="AA49" s="45" t="n">
        <f aca="false">W49*Y49+Z49</f>
        <v>130.458977047627</v>
      </c>
      <c r="AB49" s="25" t="n">
        <f aca="false">INDEX(C_TAB,MATCH($A49,C_COD,0),15)</f>
        <v>10</v>
      </c>
      <c r="AC49" s="45" t="n">
        <f aca="false">INDEX(C_TAB,MATCH($A49,C_COD,0),11)</f>
        <v>10</v>
      </c>
      <c r="AD49" s="45" t="n">
        <f aca="false">MAX(AC49,CEILING(X49*AB49,AC49))</f>
        <v>70</v>
      </c>
      <c r="AE49" s="25" t="n">
        <f aca="false">AD49/AC49</f>
        <v>7</v>
      </c>
      <c r="AF49" s="45" t="n">
        <f aca="false">Z49+AD49</f>
        <v>78.8684626454607</v>
      </c>
      <c r="AG49" s="25" t="n">
        <f aca="false">ROUNDUP(AF49/AC49,0)</f>
        <v>8</v>
      </c>
      <c r="AH49" s="45" t="n">
        <f aca="false">IF(W49&gt;0,AF49/W49,0)</f>
        <v>12.9727985827249</v>
      </c>
      <c r="AI49" s="25" t="n">
        <f aca="false">IF(AD49&gt;0,E49/AD49,0)</f>
        <v>20.8440881832286</v>
      </c>
      <c r="AJ49" s="25" t="n">
        <f aca="false">INDEX(C_TAB,MATCH($A49,C_COD,0),16)</f>
        <v>20</v>
      </c>
      <c r="AK49" s="47" t="n">
        <f aca="false">IF(AJ49&gt;0,AG49/AJ49,0)</f>
        <v>0.4</v>
      </c>
      <c r="AL49" s="45" t="n">
        <f aca="false">INDEX(C_TAB,MATCH($A49,C_COD,0),17)</f>
        <v>0.73</v>
      </c>
      <c r="AM49" s="45" t="n">
        <f aca="false">AK49*AL49</f>
        <v>0.292</v>
      </c>
    </row>
    <row r="50" customFormat="false" ht="15" hidden="false" customHeight="false" outlineLevel="0" collapsed="false">
      <c r="A50" s="24" t="s">
        <v>510</v>
      </c>
      <c r="B50" s="24" t="str">
        <f aca="false">INDEX(C_TAB,MATCH($A50,C_COD,0),2)</f>
        <v>Manómetro IRAM 3533, 1,4 MPa</v>
      </c>
      <c r="C50" s="24" t="str">
        <f aca="false">INDEX(C_TAB,MATCH($A50,C_COD,0),3)</f>
        <v>u</v>
      </c>
      <c r="D50" s="24" t="str">
        <f aca="false">INDEX(C_TAB,MATCH($A50,C_COD,0),6)</f>
        <v>Insumos de montaje (manuales)</v>
      </c>
      <c r="E50" s="45" t="n">
        <f aca="false">CONSOLIDADO_INSUMOS!T137</f>
        <v>102075.633524396</v>
      </c>
      <c r="F50" s="45" t="n">
        <f aca="false">SUMIFS(CONSOLIDADO_INSUMOS!$T$4:$T$350,CONSOLIDADO_INSUMOS!$B$4:$B$350,$A50,CONSOLIDADO_INSUMOS!$H$4:$H$350,"MANUALES")</f>
        <v>73657.124373</v>
      </c>
      <c r="G50" s="45" t="n">
        <f aca="false">SUMIFS(CONSOLIDADO_INSUMOS!$T$4:$T$350,CONSOLIDADO_INSUMOS!$B$4:$B$350,$A50,CONSOLIDADO_INSUMOS!$H$4:$H$350,"RODANTES")</f>
        <v>1813.0821329</v>
      </c>
      <c r="H50" s="45" t="n">
        <f aca="false">SUMIFS(CONSOLIDADO_INSUMOS!$T$4:$T$350,CONSOLIDADO_INSUMOS!$B$4:$B$350,$A50,CONSOLIDADO_INSUMOS!$H$4:$H$350,"RECARGAS")</f>
        <v>26605.427018496</v>
      </c>
      <c r="I50" s="45" t="n">
        <f aca="false">SUMIFS(CONSOLIDADO_INSUMOS!$T$4:$T$350,CONSOLIDADO_INSUMOS!$B$4:$B$350,$A50,CONSOLIDADO_INSUMOS!$H$4:$H$350,"REVENDIDOS")</f>
        <v>0</v>
      </c>
      <c r="J50" s="45" t="n">
        <f aca="false">F50*ESTACIONALIDAD!$B$14+G50*ESTACIONALIDAD!$B$15+H50*ESTACIONALIDAD!$B$16+I50*ESTACIONALIDAD!$B$17</f>
        <v>11101.0397443375</v>
      </c>
      <c r="K50" s="45" t="n">
        <f aca="false">F50*ESTACIONALIDAD!$C$14+G50*ESTACIONALIDAD!$C$15+H50*ESTACIONALIDAD!$C$16+I50*ESTACIONALIDAD!$C$17</f>
        <v>8651.43450860682</v>
      </c>
      <c r="L50" s="45" t="n">
        <f aca="false">F50*ESTACIONALIDAD!$D$14+G50*ESTACIONALIDAD!$D$15+H50*ESTACIONALIDAD!$D$16+I50*ESTACIONALIDAD!$D$17</f>
        <v>8327.27063253786</v>
      </c>
      <c r="M50" s="45" t="n">
        <f aca="false">F50*ESTACIONALIDAD!$E$14+G50*ESTACIONALIDAD!$E$15+H50*ESTACIONALIDAD!$E$16+I50*ESTACIONALIDAD!$E$17</f>
        <v>8004.30846011392</v>
      </c>
      <c r="N50" s="45" t="n">
        <f aca="false">F50*ESTACIONALIDAD!$F$14+G50*ESTACIONALIDAD!$F$15+H50*ESTACIONALIDAD!$F$16+I50*ESTACIONALIDAD!$F$17</f>
        <v>7572.37008380674</v>
      </c>
      <c r="O50" s="45" t="n">
        <f aca="false">F50*ESTACIONALIDAD!$G$14+G50*ESTACIONALIDAD!$G$15+H50*ESTACIONALIDAD!$G$16+I50*ESTACIONALIDAD!$G$17</f>
        <v>7383.40038096044</v>
      </c>
      <c r="P50" s="45" t="n">
        <f aca="false">F50*ESTACIONALIDAD!$H$14+G50*ESTACIONALIDAD!$H$15+H50*ESTACIONALIDAD!$H$16+I50*ESTACIONALIDAD!$H$17</f>
        <v>7898.91240984692</v>
      </c>
      <c r="Q50" s="45" t="n">
        <f aca="false">F50*ESTACIONALIDAD!$I$14+G50*ESTACIONALIDAD!$I$15+H50*ESTACIONALIDAD!$I$16+I50*ESTACIONALIDAD!$I$17</f>
        <v>7957.19493386474</v>
      </c>
      <c r="R50" s="45" t="n">
        <f aca="false">F50*ESTACIONALIDAD!$J$14+G50*ESTACIONALIDAD!$J$15+H50*ESTACIONALIDAD!$J$16+I50*ESTACIONALIDAD!$J$17</f>
        <v>7948.12952320024</v>
      </c>
      <c r="S50" s="45" t="n">
        <f aca="false">F50*ESTACIONALIDAD!$K$14+G50*ESTACIONALIDAD!$K$15+H50*ESTACIONALIDAD!$K$16+I50*ESTACIONALIDAD!$K$17</f>
        <v>7760.94989716206</v>
      </c>
      <c r="T50" s="45" t="n">
        <f aca="false">F50*ESTACIONALIDAD!$L$14+G50*ESTACIONALIDAD!$L$15+H50*ESTACIONALIDAD!$L$16+I50*ESTACIONALIDAD!$L$17</f>
        <v>7642.90828261432</v>
      </c>
      <c r="U50" s="45" t="n">
        <f aca="false">F50*ESTACIONALIDAD!$M$14+G50*ESTACIONALIDAD!$M$15+H50*ESTACIONALIDAD!$M$16+I50*ESTACIONALIDAD!$M$17</f>
        <v>11827.7146673444</v>
      </c>
      <c r="V50" s="45" t="n">
        <f aca="false">MAX(J50:U50)</f>
        <v>11827.7146673444</v>
      </c>
      <c r="W50" s="46" t="n">
        <f aca="false">E50/INDEX(P_VAL,MATCH("DH_AÑO",P_ID,0))</f>
        <v>425.315139684983</v>
      </c>
      <c r="X50" s="46" t="n">
        <f aca="false">V50/INDEX(P_VAL,MATCH("DH_MES",P_ID,0))</f>
        <v>591.385733367222</v>
      </c>
      <c r="Y50" s="25" t="n">
        <f aca="false">INDEX(C_TAB,MATCH($A50,C_COD,0),12)</f>
        <v>20</v>
      </c>
      <c r="Z50" s="46" t="n">
        <f aca="false">(X50-W50)*Y50</f>
        <v>3321.41187364478</v>
      </c>
      <c r="AA50" s="45" t="n">
        <f aca="false">W50*Y50+Z50</f>
        <v>11827.7146673444</v>
      </c>
      <c r="AB50" s="25" t="n">
        <f aca="false">INDEX(C_TAB,MATCH($A50,C_COD,0),15)</f>
        <v>10</v>
      </c>
      <c r="AC50" s="45" t="n">
        <f aca="false">INDEX(C_TAB,MATCH($A50,C_COD,0),11)</f>
        <v>100</v>
      </c>
      <c r="AD50" s="45" t="n">
        <f aca="false">MAX(AC50,CEILING(X50*AB50,AC50))</f>
        <v>6000</v>
      </c>
      <c r="AE50" s="25" t="n">
        <f aca="false">AD50/AC50</f>
        <v>60</v>
      </c>
      <c r="AF50" s="45" t="n">
        <f aca="false">Z50+AD50</f>
        <v>9321.41187364478</v>
      </c>
      <c r="AG50" s="25" t="n">
        <f aca="false">ROUNDUP(AF50/AC50,0)</f>
        <v>94</v>
      </c>
      <c r="AH50" s="45" t="n">
        <f aca="false">IF(W50&gt;0,AF50/W50,0)</f>
        <v>21.9164826357906</v>
      </c>
      <c r="AI50" s="25" t="n">
        <f aca="false">IF(AD50&gt;0,E50/AD50,0)</f>
        <v>17.0126055873993</v>
      </c>
      <c r="AJ50" s="25" t="n">
        <f aca="false">INDEX(C_TAB,MATCH($A50,C_COD,0),16)</f>
        <v>20</v>
      </c>
      <c r="AK50" s="47" t="n">
        <f aca="false">IF(AJ50&gt;0,AG50/AJ50,0)</f>
        <v>4.7</v>
      </c>
      <c r="AL50" s="45" t="n">
        <f aca="false">INDEX(C_TAB,MATCH($A50,C_COD,0),17)</f>
        <v>0.73</v>
      </c>
      <c r="AM50" s="45" t="n">
        <f aca="false">AK50*AL50</f>
        <v>3.431</v>
      </c>
    </row>
    <row r="51" customFormat="false" ht="15" hidden="false" customHeight="false" outlineLevel="0" collapsed="false">
      <c r="A51" s="24" t="s">
        <v>560</v>
      </c>
      <c r="B51" s="24" t="str">
        <f aca="false">INDEX(C_TAB,MATCH($A51,C_COD,0),2)</f>
        <v>Tobera ABC 1 kg (armada)</v>
      </c>
      <c r="C51" s="24" t="str">
        <f aca="false">INDEX(C_TAB,MATCH($A51,C_COD,0),3)</f>
        <v>u</v>
      </c>
      <c r="D51" s="24" t="str">
        <f aca="false">INDEX(C_TAB,MATCH($A51,C_COD,0),6)</f>
        <v>Insumos de montaje (manuales)</v>
      </c>
      <c r="E51" s="45" t="n">
        <f aca="false">CONSOLIDADO_INSUMOS!T141</f>
        <v>32072.63913</v>
      </c>
      <c r="F51" s="45" t="n">
        <f aca="false">SUMIFS(CONSOLIDADO_INSUMOS!$T$4:$T$350,CONSOLIDADO_INSUMOS!$B$4:$B$350,$A51,CONSOLIDADO_INSUMOS!$H$4:$H$350,"MANUALES")</f>
        <v>32072.63913</v>
      </c>
      <c r="G51" s="45" t="n">
        <f aca="false">SUMIFS(CONSOLIDADO_INSUMOS!$T$4:$T$350,CONSOLIDADO_INSUMOS!$B$4:$B$350,$A51,CONSOLIDADO_INSUMOS!$H$4:$H$350,"RODANTES")</f>
        <v>0</v>
      </c>
      <c r="H51" s="45" t="n">
        <f aca="false">SUMIFS(CONSOLIDADO_INSUMOS!$T$4:$T$350,CONSOLIDADO_INSUMOS!$B$4:$B$350,$A51,CONSOLIDADO_INSUMOS!$H$4:$H$350,"RECARGAS")</f>
        <v>0</v>
      </c>
      <c r="I51" s="45" t="n">
        <f aca="false">SUMIFS(CONSOLIDADO_INSUMOS!$T$4:$T$350,CONSOLIDADO_INSUMOS!$B$4:$B$350,$A51,CONSOLIDADO_INSUMOS!$H$4:$H$350,"REVENDIDOS")</f>
        <v>0</v>
      </c>
      <c r="J51" s="45" t="n">
        <f aca="false">F51*ESTACIONALIDAD!$B$14+G51*ESTACIONALIDAD!$B$15+H51*ESTACIONALIDAD!$B$16+I51*ESTACIONALIDAD!$B$17</f>
        <v>3662.02779061295</v>
      </c>
      <c r="K51" s="45" t="n">
        <f aca="false">F51*ESTACIONALIDAD!$C$14+G51*ESTACIONALIDAD!$C$15+H51*ESTACIONALIDAD!$C$16+I51*ESTACIONALIDAD!$C$17</f>
        <v>2793.19306920648</v>
      </c>
      <c r="L51" s="45" t="n">
        <f aca="false">F51*ESTACIONALIDAD!$D$14+G51*ESTACIONALIDAD!$D$15+H51*ESTACIONALIDAD!$D$16+I51*ESTACIONALIDAD!$D$17</f>
        <v>2612.48335664676</v>
      </c>
      <c r="M51" s="45" t="n">
        <f aca="false">F51*ESTACIONALIDAD!$E$14+G51*ESTACIONALIDAD!$E$15+H51*ESTACIONALIDAD!$E$16+I51*ESTACIONALIDAD!$E$17</f>
        <v>2498.79238724353</v>
      </c>
      <c r="N51" s="45" t="n">
        <f aca="false">F51*ESTACIONALIDAD!$F$14+G51*ESTACIONALIDAD!$F$15+H51*ESTACIONALIDAD!$F$16+I51*ESTACIONALIDAD!$F$17</f>
        <v>2338.42919159353</v>
      </c>
      <c r="O51" s="45" t="n">
        <f aca="false">F51*ESTACIONALIDAD!$G$14+G51*ESTACIONALIDAD!$G$15+H51*ESTACIONALIDAD!$G$16+I51*ESTACIONALIDAD!$G$17</f>
        <v>2291.75696534676</v>
      </c>
      <c r="P51" s="45" t="n">
        <f aca="false">F51*ESTACIONALIDAD!$H$14+G51*ESTACIONALIDAD!$H$15+H51*ESTACIONALIDAD!$H$16+I51*ESTACIONALIDAD!$H$17</f>
        <v>2452.12016099676</v>
      </c>
      <c r="Q51" s="45" t="n">
        <f aca="false">F51*ESTACIONALIDAD!$I$14+G51*ESTACIONALIDAD!$I$15+H51*ESTACIONALIDAD!$I$16+I51*ESTACIONALIDAD!$I$17</f>
        <v>2452.12016099676</v>
      </c>
      <c r="R51" s="45" t="n">
        <f aca="false">F51*ESTACIONALIDAD!$J$14+G51*ESTACIONALIDAD!$J$15+H51*ESTACIONALIDAD!$J$16+I51*ESTACIONALIDAD!$J$17</f>
        <v>2452.12016099676</v>
      </c>
      <c r="S51" s="45" t="n">
        <f aca="false">F51*ESTACIONALIDAD!$K$14+G51*ESTACIONALIDAD!$K$15+H51*ESTACIONALIDAD!$K$16+I51*ESTACIONALIDAD!$K$17</f>
        <v>2405.44793475</v>
      </c>
      <c r="T51" s="45" t="n">
        <f aca="false">F51*ESTACIONALIDAD!$L$14+G51*ESTACIONALIDAD!$L$15+H51*ESTACIONALIDAD!$L$16+I51*ESTACIONALIDAD!$L$17</f>
        <v>2358.77570850324</v>
      </c>
      <c r="U51" s="45" t="n">
        <f aca="false">F51*ESTACIONALIDAD!$M$14+G51*ESTACIONALIDAD!$M$15+H51*ESTACIONALIDAD!$M$16+I51*ESTACIONALIDAD!$M$17</f>
        <v>3755.37224310648</v>
      </c>
      <c r="V51" s="45" t="n">
        <f aca="false">MAX(J51:U51)</f>
        <v>3755.37224310648</v>
      </c>
      <c r="W51" s="46" t="n">
        <f aca="false">E51/INDEX(P_VAL,MATCH("DH_AÑO",P_ID,0))</f>
        <v>133.635996375</v>
      </c>
      <c r="X51" s="46" t="n">
        <f aca="false">V51/INDEX(P_VAL,MATCH("DH_MES",P_ID,0))</f>
        <v>187.768612155324</v>
      </c>
      <c r="Y51" s="25" t="n">
        <f aca="false">INDEX(C_TAB,MATCH($A51,C_COD,0),12)</f>
        <v>15</v>
      </c>
      <c r="Z51" s="46" t="n">
        <f aca="false">(X51-W51)*Y51</f>
        <v>811.989236704857</v>
      </c>
      <c r="AA51" s="45" t="n">
        <f aca="false">W51*Y51+Z51</f>
        <v>2816.52918232986</v>
      </c>
      <c r="AB51" s="25" t="n">
        <f aca="false">INDEX(C_TAB,MATCH($A51,C_COD,0),15)</f>
        <v>10</v>
      </c>
      <c r="AC51" s="45" t="n">
        <f aca="false">INDEX(C_TAB,MATCH($A51,C_COD,0),11)</f>
        <v>50</v>
      </c>
      <c r="AD51" s="45" t="n">
        <f aca="false">MAX(AC51,CEILING(X51*AB51,AC51))</f>
        <v>1900</v>
      </c>
      <c r="AE51" s="25" t="n">
        <f aca="false">AD51/AC51</f>
        <v>38</v>
      </c>
      <c r="AF51" s="45" t="n">
        <f aca="false">Z51+AD51</f>
        <v>2711.98923670486</v>
      </c>
      <c r="AG51" s="25" t="n">
        <f aca="false">ROUNDUP(AF51/AC51,0)</f>
        <v>55</v>
      </c>
      <c r="AH51" s="45" t="n">
        <f aca="false">IF(W51&gt;0,AF51/W51,0)</f>
        <v>20.2938527812122</v>
      </c>
      <c r="AI51" s="25" t="n">
        <f aca="false">IF(AD51&gt;0,E51/AD51,0)</f>
        <v>16.8803363842105</v>
      </c>
      <c r="AJ51" s="25" t="n">
        <f aca="false">INDEX(C_TAB,MATCH($A51,C_COD,0),16)</f>
        <v>20</v>
      </c>
      <c r="AK51" s="47" t="n">
        <f aca="false">IF(AJ51&gt;0,AG51/AJ51,0)</f>
        <v>2.75</v>
      </c>
      <c r="AL51" s="45" t="n">
        <f aca="false">INDEX(C_TAB,MATCH($A51,C_COD,0),17)</f>
        <v>0.73</v>
      </c>
      <c r="AM51" s="45" t="n">
        <f aca="false">AK51*AL51</f>
        <v>2.0075</v>
      </c>
    </row>
    <row r="52" customFormat="false" ht="15" hidden="false" customHeight="false" outlineLevel="0" collapsed="false">
      <c r="A52" s="24" t="s">
        <v>661</v>
      </c>
      <c r="B52" s="24" t="str">
        <f aca="false">INDEX(C_TAB,MATCH($A52,C_COD,0),2)</f>
        <v>Manguera con racor y tobera ABC 2,5 kg (armada)</v>
      </c>
      <c r="C52" s="24" t="str">
        <f aca="false">INDEX(C_TAB,MATCH($A52,C_COD,0),3)</f>
        <v>u</v>
      </c>
      <c r="D52" s="24" t="str">
        <f aca="false">INDEX(C_TAB,MATCH($A52,C_COD,0),6)</f>
        <v>Insumos de montaje (manuales)</v>
      </c>
      <c r="E52" s="45" t="n">
        <f aca="false">CONSOLIDADO_INSUMOS!T143</f>
        <v>8255.8965025</v>
      </c>
      <c r="F52" s="45" t="n">
        <f aca="false">SUMIFS(CONSOLIDADO_INSUMOS!$T$4:$T$350,CONSOLIDADO_INSUMOS!$B$4:$B$350,$A52,CONSOLIDADO_INSUMOS!$H$4:$H$350,"MANUALES")</f>
        <v>7424.858444</v>
      </c>
      <c r="G52" s="45" t="n">
        <f aca="false">SUMIFS(CONSOLIDADO_INSUMOS!$T$4:$T$350,CONSOLIDADO_INSUMOS!$B$4:$B$350,$A52,CONSOLIDADO_INSUMOS!$H$4:$H$350,"RODANTES")</f>
        <v>0</v>
      </c>
      <c r="H52" s="45" t="n">
        <f aca="false">SUMIFS(CONSOLIDADO_INSUMOS!$T$4:$T$350,CONSOLIDADO_INSUMOS!$B$4:$B$350,$A52,CONSOLIDADO_INSUMOS!$H$4:$H$350,"RECARGAS")</f>
        <v>831.0380585</v>
      </c>
      <c r="I52" s="45" t="n">
        <f aca="false">SUMIFS(CONSOLIDADO_INSUMOS!$T$4:$T$350,CONSOLIDADO_INSUMOS!$B$4:$B$350,$A52,CONSOLIDADO_INSUMOS!$H$4:$H$350,"REVENDIDOS")</f>
        <v>0</v>
      </c>
      <c r="J52" s="45" t="n">
        <f aca="false">F52*ESTACIONALIDAD!$B$14+G52*ESTACIONALIDAD!$B$15+H52*ESTACIONALIDAD!$B$16+I52*ESTACIONALIDAD!$B$17</f>
        <v>927.0034472604</v>
      </c>
      <c r="K52" s="45" t="n">
        <f aca="false">F52*ESTACIONALIDAD!$C$14+G52*ESTACIONALIDAD!$C$15+H52*ESTACIONALIDAD!$C$16+I52*ESTACIONALIDAD!$C$17</f>
        <v>712.244158425829</v>
      </c>
      <c r="L52" s="45" t="n">
        <f aca="false">F52*ESTACIONALIDAD!$D$14+G52*ESTACIONALIDAD!$D$15+H52*ESTACIONALIDAD!$D$16+I52*ESTACIONALIDAD!$D$17</f>
        <v>672.397856351288</v>
      </c>
      <c r="M52" s="45" t="n">
        <f aca="false">F52*ESTACIONALIDAD!$E$14+G52*ESTACIONALIDAD!$E$15+H52*ESTACIONALIDAD!$E$16+I52*ESTACIONALIDAD!$E$17</f>
        <v>644.145924799632</v>
      </c>
      <c r="N52" s="45" t="n">
        <f aca="false">F52*ESTACIONALIDAD!$F$14+G52*ESTACIONALIDAD!$F$15+H52*ESTACIONALIDAD!$F$16+I52*ESTACIONALIDAD!$F$17</f>
        <v>605.033396817318</v>
      </c>
      <c r="O52" s="45" t="n">
        <f aca="false">F52*ESTACIONALIDAD!$G$14+G52*ESTACIONALIDAD!$G$15+H52*ESTACIONALIDAD!$G$16+I52*ESTACIONALIDAD!$G$17</f>
        <v>592.240478853956</v>
      </c>
      <c r="P52" s="45" t="n">
        <f aca="false">F52*ESTACIONALIDAD!$H$14+G52*ESTACIONALIDAD!$H$15+H52*ESTACIONALIDAD!$H$16+I52*ESTACIONALIDAD!$H$17</f>
        <v>633.397156828194</v>
      </c>
      <c r="Q52" s="45" t="n">
        <f aca="false">F52*ESTACIONALIDAD!$I$14+G52*ESTACIONALIDAD!$I$15+H52*ESTACIONALIDAD!$I$16+I52*ESTACIONALIDAD!$I$17</f>
        <v>635.217649901678</v>
      </c>
      <c r="R52" s="45" t="n">
        <f aca="false">F52*ESTACIONALIDAD!$J$14+G52*ESTACIONALIDAD!$J$15+H52*ESTACIONALIDAD!$J$16+I52*ESTACIONALIDAD!$J$17</f>
        <v>635.217649901678</v>
      </c>
      <c r="S52" s="45" t="n">
        <f aca="false">F52*ESTACIONALIDAD!$K$14+G52*ESTACIONALIDAD!$K$15+H52*ESTACIONALIDAD!$K$16+I52*ESTACIONALIDAD!$K$17</f>
        <v>622.480646167926</v>
      </c>
      <c r="T52" s="45" t="n">
        <f aca="false">F52*ESTACIONALIDAD!$L$14+G52*ESTACIONALIDAD!$L$15+H52*ESTACIONALIDAD!$L$16+I52*ESTACIONALIDAD!$L$17</f>
        <v>611.620049737267</v>
      </c>
      <c r="U52" s="45" t="n">
        <f aca="false">F52*ESTACIONALIDAD!$M$14+G52*ESTACIONALIDAD!$M$15+H52*ESTACIONALIDAD!$M$16+I52*ESTACIONALIDAD!$M$17</f>
        <v>964.898087454836</v>
      </c>
      <c r="V52" s="45" t="n">
        <f aca="false">MAX(J52:U52)</f>
        <v>964.898087454836</v>
      </c>
      <c r="W52" s="46" t="n">
        <f aca="false">E52/INDEX(P_VAL,MATCH("DH_AÑO",P_ID,0))</f>
        <v>34.3995687604167</v>
      </c>
      <c r="X52" s="46" t="n">
        <f aca="false">V52/INDEX(P_VAL,MATCH("DH_MES",P_ID,0))</f>
        <v>48.2449043727418</v>
      </c>
      <c r="Y52" s="25" t="n">
        <f aca="false">INDEX(C_TAB,MATCH($A52,C_COD,0),12)</f>
        <v>15</v>
      </c>
      <c r="Z52" s="46" t="n">
        <f aca="false">(X52-W52)*Y52</f>
        <v>207.680034184877</v>
      </c>
      <c r="AA52" s="45" t="n">
        <f aca="false">W52*Y52+Z52</f>
        <v>723.673565591127</v>
      </c>
      <c r="AB52" s="25" t="n">
        <f aca="false">INDEX(C_TAB,MATCH($A52,C_COD,0),15)</f>
        <v>10</v>
      </c>
      <c r="AC52" s="45" t="n">
        <f aca="false">INDEX(C_TAB,MATCH($A52,C_COD,0),11)</f>
        <v>50</v>
      </c>
      <c r="AD52" s="45" t="n">
        <f aca="false">MAX(AC52,CEILING(X52*AB52,AC52))</f>
        <v>500</v>
      </c>
      <c r="AE52" s="25" t="n">
        <f aca="false">AD52/AC52</f>
        <v>10</v>
      </c>
      <c r="AF52" s="45" t="n">
        <f aca="false">Z52+AD52</f>
        <v>707.680034184877</v>
      </c>
      <c r="AG52" s="25" t="n">
        <f aca="false">ROUNDUP(AF52/AC52,0)</f>
        <v>15</v>
      </c>
      <c r="AH52" s="45" t="n">
        <f aca="false">IF(W52&gt;0,AF52/W52,0)</f>
        <v>20.5723519127135</v>
      </c>
      <c r="AI52" s="25" t="n">
        <f aca="false">IF(AD52&gt;0,E52/AD52,0)</f>
        <v>16.511793005</v>
      </c>
      <c r="AJ52" s="25" t="n">
        <f aca="false">INDEX(C_TAB,MATCH($A52,C_COD,0),16)</f>
        <v>20</v>
      </c>
      <c r="AK52" s="47" t="n">
        <f aca="false">IF(AJ52&gt;0,AG52/AJ52,0)</f>
        <v>0.75</v>
      </c>
      <c r="AL52" s="45" t="n">
        <f aca="false">INDEX(C_TAB,MATCH($A52,C_COD,0),17)</f>
        <v>0.73</v>
      </c>
      <c r="AM52" s="45" t="n">
        <f aca="false">AK52*AL52</f>
        <v>0.5475</v>
      </c>
    </row>
    <row r="53" customFormat="false" ht="15" hidden="false" customHeight="false" outlineLevel="0" collapsed="false">
      <c r="A53" s="24" t="s">
        <v>756</v>
      </c>
      <c r="B53" s="24" t="str">
        <f aca="false">INDEX(C_TAB,MATCH($A53,C_COD,0),2)</f>
        <v>Manguera con racor y tobera ABC 5 kg (armada)</v>
      </c>
      <c r="C53" s="24" t="str">
        <f aca="false">INDEX(C_TAB,MATCH($A53,C_COD,0),3)</f>
        <v>u</v>
      </c>
      <c r="D53" s="24" t="str">
        <f aca="false">INDEX(C_TAB,MATCH($A53,C_COD,0),6)</f>
        <v>Insumos de montaje (manuales)</v>
      </c>
      <c r="E53" s="45" t="n">
        <f aca="false">CONSOLIDADO_INSUMOS!T146</f>
        <v>37925.13753</v>
      </c>
      <c r="F53" s="45" t="n">
        <f aca="false">SUMIFS(CONSOLIDADO_INSUMOS!$T$4:$T$350,CONSOLIDADO_INSUMOS!$B$4:$B$350,$A53,CONSOLIDADO_INSUMOS!$H$4:$H$350,"MANUALES")</f>
        <v>32318.77872</v>
      </c>
      <c r="G53" s="45" t="n">
        <f aca="false">SUMIFS(CONSOLIDADO_INSUMOS!$T$4:$T$350,CONSOLIDADO_INSUMOS!$B$4:$B$350,$A53,CONSOLIDADO_INSUMOS!$H$4:$H$350,"RODANTES")</f>
        <v>0</v>
      </c>
      <c r="H53" s="45" t="n">
        <f aca="false">SUMIFS(CONSOLIDADO_INSUMOS!$T$4:$T$350,CONSOLIDADO_INSUMOS!$B$4:$B$350,$A53,CONSOLIDADO_INSUMOS!$H$4:$H$350,"RECARGAS")</f>
        <v>5606.35881</v>
      </c>
      <c r="I53" s="45" t="n">
        <f aca="false">SUMIFS(CONSOLIDADO_INSUMOS!$T$4:$T$350,CONSOLIDADO_INSUMOS!$B$4:$B$350,$A53,CONSOLIDADO_INSUMOS!$H$4:$H$350,"REVENDIDOS")</f>
        <v>0</v>
      </c>
      <c r="J53" s="45" t="n">
        <f aca="false">F53*ESTACIONALIDAD!$B$14+G53*ESTACIONALIDAD!$B$15+H53*ESTACIONALIDAD!$B$16+I53*ESTACIONALIDAD!$B$17</f>
        <v>4224.69598844953</v>
      </c>
      <c r="K53" s="45" t="n">
        <f aca="false">F53*ESTACIONALIDAD!$C$14+G53*ESTACIONALIDAD!$C$15+H53*ESTACIONALIDAD!$C$16+I53*ESTACIONALIDAD!$C$17</f>
        <v>3257.29047683004</v>
      </c>
      <c r="L53" s="45" t="n">
        <f aca="false">F53*ESTACIONALIDAD!$D$14+G53*ESTACIONALIDAD!$D$15+H53*ESTACIONALIDAD!$D$16+I53*ESTACIONALIDAD!$D$17</f>
        <v>3088.60697785722</v>
      </c>
      <c r="M53" s="45" t="n">
        <f aca="false">F53*ESTACIONALIDAD!$E$14+G53*ESTACIONALIDAD!$E$15+H53*ESTACIONALIDAD!$E$16+I53*ESTACIONALIDAD!$E$17</f>
        <v>2961.00764332026</v>
      </c>
      <c r="N53" s="45" t="n">
        <f aca="false">F53*ESTACIONALIDAD!$F$14+G53*ESTACIONALIDAD!$F$15+H53*ESTACIONALIDAD!$F$16+I53*ESTACIONALIDAD!$F$17</f>
        <v>2786.00069003137</v>
      </c>
      <c r="O53" s="45" t="n">
        <f aca="false">F53*ESTACIONALIDAD!$G$14+G53*ESTACIONALIDAD!$G$15+H53*ESTACIONALIDAD!$G$16+I53*ESTACIONALIDAD!$G$17</f>
        <v>2725.55722082971</v>
      </c>
      <c r="P53" s="45" t="n">
        <f aca="false">F53*ESTACIONALIDAD!$H$14+G53*ESTACIONALIDAD!$H$15+H53*ESTACIONALIDAD!$H$16+I53*ESTACIONALIDAD!$H$17</f>
        <v>2914.35444304669</v>
      </c>
      <c r="Q53" s="45" t="n">
        <f aca="false">F53*ESTACIONALIDAD!$I$14+G53*ESTACIONALIDAD!$I$15+H53*ESTACIONALIDAD!$I$16+I53*ESTACIONALIDAD!$I$17</f>
        <v>2926.63587501803</v>
      </c>
      <c r="R53" s="45" t="n">
        <f aca="false">F53*ESTACIONALIDAD!$J$14+G53*ESTACIONALIDAD!$J$15+H53*ESTACIONALIDAD!$J$16+I53*ESTACIONALIDAD!$J$17</f>
        <v>2926.63587501803</v>
      </c>
      <c r="S53" s="45" t="n">
        <f aca="false">F53*ESTACIONALIDAD!$K$14+G53*ESTACIONALIDAD!$K$15+H53*ESTACIONALIDAD!$K$16+I53*ESTACIONALIDAD!$K$17</f>
        <v>2866.56961505556</v>
      </c>
      <c r="T53" s="45" t="n">
        <f aca="false">F53*ESTACIONALIDAD!$L$14+G53*ESTACIONALIDAD!$L$15+H53*ESTACIONALIDAD!$L$16+I53*ESTACIONALIDAD!$L$17</f>
        <v>2819.16199630361</v>
      </c>
      <c r="U53" s="45" t="n">
        <f aca="false">F53*ESTACIONALIDAD!$M$14+G53*ESTACIONALIDAD!$M$15+H53*ESTACIONALIDAD!$M$16+I53*ESTACIONALIDAD!$M$17</f>
        <v>4428.62072823995</v>
      </c>
      <c r="V53" s="45" t="n">
        <f aca="false">MAX(J53:U53)</f>
        <v>4428.62072823995</v>
      </c>
      <c r="W53" s="46" t="n">
        <f aca="false">E53/INDEX(P_VAL,MATCH("DH_AÑO",P_ID,0))</f>
        <v>158.021406375</v>
      </c>
      <c r="X53" s="46" t="n">
        <f aca="false">V53/INDEX(P_VAL,MATCH("DH_MES",P_ID,0))</f>
        <v>221.431036411998</v>
      </c>
      <c r="Y53" s="25" t="n">
        <f aca="false">INDEX(C_TAB,MATCH($A53,C_COD,0),12)</f>
        <v>15</v>
      </c>
      <c r="Z53" s="46" t="n">
        <f aca="false">(X53-W53)*Y53</f>
        <v>951.144450554965</v>
      </c>
      <c r="AA53" s="45" t="n">
        <f aca="false">W53*Y53+Z53</f>
        <v>3321.46554617997</v>
      </c>
      <c r="AB53" s="25" t="n">
        <f aca="false">INDEX(C_TAB,MATCH($A53,C_COD,0),15)</f>
        <v>10</v>
      </c>
      <c r="AC53" s="45" t="n">
        <f aca="false">INDEX(C_TAB,MATCH($A53,C_COD,0),11)</f>
        <v>50</v>
      </c>
      <c r="AD53" s="45" t="n">
        <f aca="false">MAX(AC53,CEILING(X53*AB53,AC53))</f>
        <v>2250</v>
      </c>
      <c r="AE53" s="25" t="n">
        <f aca="false">AD53/AC53</f>
        <v>45</v>
      </c>
      <c r="AF53" s="45" t="n">
        <f aca="false">Z53+AD53</f>
        <v>3201.14445055496</v>
      </c>
      <c r="AG53" s="25" t="n">
        <f aca="false">ROUNDUP(AF53/AC53,0)</f>
        <v>65</v>
      </c>
      <c r="AH53" s="45" t="n">
        <f aca="false">IF(W53&gt;0,AF53/W53,0)</f>
        <v>20.2576633380818</v>
      </c>
      <c r="AI53" s="25" t="n">
        <f aca="false">IF(AD53&gt;0,E53/AD53,0)</f>
        <v>16.85561668</v>
      </c>
      <c r="AJ53" s="25" t="n">
        <f aca="false">INDEX(C_TAB,MATCH($A53,C_COD,0),16)</f>
        <v>20</v>
      </c>
      <c r="AK53" s="47" t="n">
        <f aca="false">IF(AJ53&gt;0,AG53/AJ53,0)</f>
        <v>3.25</v>
      </c>
      <c r="AL53" s="45" t="n">
        <f aca="false">INDEX(C_TAB,MATCH($A53,C_COD,0),17)</f>
        <v>0.73</v>
      </c>
      <c r="AM53" s="45" t="n">
        <f aca="false">AK53*AL53</f>
        <v>2.3725</v>
      </c>
    </row>
    <row r="54" customFormat="false" ht="15" hidden="false" customHeight="false" outlineLevel="0" collapsed="false">
      <c r="A54" s="24" t="s">
        <v>840</v>
      </c>
      <c r="B54" s="24" t="str">
        <f aca="false">INDEX(C_TAB,MATCH($A54,C_COD,0),2)</f>
        <v>Manguera con racor y tobera ABC 10 kg (armada)</v>
      </c>
      <c r="C54" s="24" t="str">
        <f aca="false">INDEX(C_TAB,MATCH($A54,C_COD,0),3)</f>
        <v>u</v>
      </c>
      <c r="D54" s="24" t="str">
        <f aca="false">INDEX(C_TAB,MATCH($A54,C_COD,0),6)</f>
        <v>Insumos de montaje (manuales)</v>
      </c>
      <c r="E54" s="45" t="n">
        <f aca="false">CONSOLIDADO_INSUMOS!T149</f>
        <v>2150.44562175</v>
      </c>
      <c r="F54" s="45" t="n">
        <f aca="false">SUMIFS(CONSOLIDADO_INSUMOS!$T$4:$T$350,CONSOLIDADO_INSUMOS!$B$4:$B$350,$A54,CONSOLIDADO_INSUMOS!$H$4:$H$350,"MANUALES")</f>
        <v>1840.848079</v>
      </c>
      <c r="G54" s="45" t="n">
        <f aca="false">SUMIFS(CONSOLIDADO_INSUMOS!$T$4:$T$350,CONSOLIDADO_INSUMOS!$B$4:$B$350,$A54,CONSOLIDADO_INSUMOS!$H$4:$H$350,"RODANTES")</f>
        <v>0</v>
      </c>
      <c r="H54" s="45" t="n">
        <f aca="false">SUMIFS(CONSOLIDADO_INSUMOS!$T$4:$T$350,CONSOLIDADO_INSUMOS!$B$4:$B$350,$A54,CONSOLIDADO_INSUMOS!$H$4:$H$350,"RECARGAS")</f>
        <v>309.59754275</v>
      </c>
      <c r="I54" s="45" t="n">
        <f aca="false">SUMIFS(CONSOLIDADO_INSUMOS!$T$4:$T$350,CONSOLIDADO_INSUMOS!$B$4:$B$350,$A54,CONSOLIDADO_INSUMOS!$H$4:$H$350,"REVENDIDOS")</f>
        <v>0</v>
      </c>
      <c r="J54" s="45" t="n">
        <f aca="false">F54*ESTACIONALIDAD!$B$14+G54*ESTACIONALIDAD!$B$15+H54*ESTACIONALIDAD!$B$16+I54*ESTACIONALIDAD!$B$17</f>
        <v>239.706540964599</v>
      </c>
      <c r="K54" s="45" t="n">
        <f aca="false">F54*ESTACIONALIDAD!$C$14+G54*ESTACIONALIDAD!$C$15+H54*ESTACIONALIDAD!$C$16+I54*ESTACIONALIDAD!$C$17</f>
        <v>184.763598667321</v>
      </c>
      <c r="L54" s="45" t="n">
        <f aca="false">F54*ESTACIONALIDAD!$D$14+G54*ESTACIONALIDAD!$D$15+H54*ESTACIONALIDAD!$D$16+I54*ESTACIONALIDAD!$D$17</f>
        <v>175.132248850745</v>
      </c>
      <c r="M54" s="45" t="n">
        <f aca="false">F54*ESTACIONALIDAD!$E$14+G54*ESTACIONALIDAD!$E$15+H54*ESTACIONALIDAD!$E$16+I54*ESTACIONALIDAD!$E$17</f>
        <v>167.886944404184</v>
      </c>
      <c r="N54" s="45" t="n">
        <f aca="false">F54*ESTACIONALIDAD!$F$14+G54*ESTACIONALIDAD!$F$15+H54*ESTACIONALIDAD!$F$16+I54*ESTACIONALIDAD!$F$17</f>
        <v>157.9420003794</v>
      </c>
      <c r="O54" s="45" t="n">
        <f aca="false">F54*ESTACIONALIDAD!$G$14+G54*ESTACIONALIDAD!$G$15+H54*ESTACIONALIDAD!$G$16+I54*ESTACIONALIDAD!$G$17</f>
        <v>154.522487635069</v>
      </c>
      <c r="P54" s="45" t="n">
        <f aca="false">F54*ESTACIONALIDAD!$H$14+G54*ESTACIONALIDAD!$H$15+H54*ESTACIONALIDAD!$H$16+I54*ESTACIONALIDAD!$H$17</f>
        <v>165.228965753315</v>
      </c>
      <c r="Q54" s="45" t="n">
        <f aca="false">F54*ESTACIONALIDAD!$I$14+G54*ESTACIONALIDAD!$I$15+H54*ESTACIONALIDAD!$I$16+I54*ESTACIONALIDAD!$I$17</f>
        <v>165.907177992068</v>
      </c>
      <c r="R54" s="45" t="n">
        <f aca="false">F54*ESTACIONALIDAD!$J$14+G54*ESTACIONALIDAD!$J$15+H54*ESTACIONALIDAD!$J$16+I54*ESTACIONALIDAD!$J$17</f>
        <v>165.907177992068</v>
      </c>
      <c r="S54" s="45" t="n">
        <f aca="false">F54*ESTACIONALIDAD!$K$14+G54*ESTACIONALIDAD!$K$15+H54*ESTACIONALIDAD!$K$16+I54*ESTACIONALIDAD!$K$17</f>
        <v>162.508495711414</v>
      </c>
      <c r="T54" s="45" t="n">
        <f aca="false">F54*ESTACIONALIDAD!$L$14+G54*ESTACIONALIDAD!$L$15+H54*ESTACIONALIDAD!$L$16+I54*ESTACIONALIDAD!$L$17</f>
        <v>159.80885613319</v>
      </c>
      <c r="U54" s="45" t="n">
        <f aca="false">F54*ESTACIONALIDAD!$M$14+G54*ESTACIONALIDAD!$M$15+H54*ESTACIONALIDAD!$M$16+I54*ESTACIONALIDAD!$M$17</f>
        <v>251.131127266629</v>
      </c>
      <c r="V54" s="45" t="n">
        <f aca="false">MAX(J54:U54)</f>
        <v>251.131127266629</v>
      </c>
      <c r="W54" s="46" t="n">
        <f aca="false">E54/INDEX(P_VAL,MATCH("DH_AÑO",P_ID,0))</f>
        <v>8.960190090625</v>
      </c>
      <c r="X54" s="46" t="n">
        <f aca="false">V54/INDEX(P_VAL,MATCH("DH_MES",P_ID,0))</f>
        <v>12.5565563633314</v>
      </c>
      <c r="Y54" s="25" t="n">
        <f aca="false">INDEX(C_TAB,MATCH($A54,C_COD,0),12)</f>
        <v>15</v>
      </c>
      <c r="Z54" s="46" t="n">
        <f aca="false">(X54-W54)*Y54</f>
        <v>53.9454940905965</v>
      </c>
      <c r="AA54" s="45" t="n">
        <f aca="false">W54*Y54+Z54</f>
        <v>188.348345449972</v>
      </c>
      <c r="AB54" s="25" t="n">
        <f aca="false">INDEX(C_TAB,MATCH($A54,C_COD,0),15)</f>
        <v>10</v>
      </c>
      <c r="AC54" s="45" t="n">
        <f aca="false">INDEX(C_TAB,MATCH($A54,C_COD,0),11)</f>
        <v>50</v>
      </c>
      <c r="AD54" s="45" t="n">
        <f aca="false">MAX(AC54,CEILING(X54*AB54,AC54))</f>
        <v>150</v>
      </c>
      <c r="AE54" s="25" t="n">
        <f aca="false">AD54/AC54</f>
        <v>3</v>
      </c>
      <c r="AF54" s="45" t="n">
        <f aca="false">Z54+AD54</f>
        <v>203.945494090597</v>
      </c>
      <c r="AG54" s="25" t="n">
        <f aca="false">ROUNDUP(AF54/AC54,0)</f>
        <v>5</v>
      </c>
      <c r="AH54" s="45" t="n">
        <f aca="false">IF(W54&gt;0,AF54/W54,0)</f>
        <v>22.7612910025183</v>
      </c>
      <c r="AI54" s="25" t="n">
        <f aca="false">IF(AD54&gt;0,E54/AD54,0)</f>
        <v>14.336304145</v>
      </c>
      <c r="AJ54" s="25" t="n">
        <f aca="false">INDEX(C_TAB,MATCH($A54,C_COD,0),16)</f>
        <v>20</v>
      </c>
      <c r="AK54" s="47" t="n">
        <f aca="false">IF(AJ54&gt;0,AG54/AJ54,0)</f>
        <v>0.25</v>
      </c>
      <c r="AL54" s="45" t="n">
        <f aca="false">INDEX(C_TAB,MATCH($A54,C_COD,0),17)</f>
        <v>0.73</v>
      </c>
      <c r="AM54" s="45" t="n">
        <f aca="false">AK54*AL54</f>
        <v>0.1825</v>
      </c>
    </row>
    <row r="55" customFormat="false" ht="15" hidden="false" customHeight="false" outlineLevel="0" collapsed="false">
      <c r="A55" s="24" t="s">
        <v>926</v>
      </c>
      <c r="B55" s="24" t="str">
        <f aca="false">INDEX(C_TAB,MATCH($A55,C_COD,0),2)</f>
        <v>Manguera armada con válvula esférica y tobera campana, carro 25 kg</v>
      </c>
      <c r="C55" s="24" t="str">
        <f aca="false">INDEX(C_TAB,MATCH($A55,C_COD,0),3)</f>
        <v>u</v>
      </c>
      <c r="D55" s="24" t="str">
        <f aca="false">INDEX(C_TAB,MATCH($A55,C_COD,0),6)</f>
        <v>Rack de insumos de montaje (carros)</v>
      </c>
      <c r="E55" s="45" t="n">
        <f aca="false">CONSOLIDADO_INSUMOS!T152</f>
        <v>505.3675183</v>
      </c>
      <c r="F55" s="45" t="n">
        <f aca="false">SUMIFS(CONSOLIDADO_INSUMOS!$T$4:$T$350,CONSOLIDADO_INSUMOS!$B$4:$B$350,$A55,CONSOLIDADO_INSUMOS!$H$4:$H$350,"MANUALES")</f>
        <v>0</v>
      </c>
      <c r="G55" s="45" t="n">
        <f aca="false">SUMIFS(CONSOLIDADO_INSUMOS!$T$4:$T$350,CONSOLIDADO_INSUMOS!$B$4:$B$350,$A55,CONSOLIDADO_INSUMOS!$H$4:$H$350,"RODANTES")</f>
        <v>453.2705332</v>
      </c>
      <c r="H55" s="45" t="n">
        <f aca="false">SUMIFS(CONSOLIDADO_INSUMOS!$T$4:$T$350,CONSOLIDADO_INSUMOS!$B$4:$B$350,$A55,CONSOLIDADO_INSUMOS!$H$4:$H$350,"RECARGAS")</f>
        <v>52.0969851</v>
      </c>
      <c r="I55" s="45" t="n">
        <f aca="false">SUMIFS(CONSOLIDADO_INSUMOS!$T$4:$T$350,CONSOLIDADO_INSUMOS!$B$4:$B$350,$A55,CONSOLIDADO_INSUMOS!$H$4:$H$350,"REVENDIDOS")</f>
        <v>0</v>
      </c>
      <c r="J55" s="45" t="n">
        <f aca="false">F55*ESTACIONALIDAD!$B$14+G55*ESTACIONALIDAD!$B$15+H55*ESTACIONALIDAD!$B$16+I55*ESTACIONALIDAD!$B$17</f>
        <v>43.4954230356916</v>
      </c>
      <c r="K55" s="45" t="n">
        <f aca="false">F55*ESTACIONALIDAD!$C$14+G55*ESTACIONALIDAD!$C$15+H55*ESTACIONALIDAD!$C$16+I55*ESTACIONALIDAD!$C$17</f>
        <v>38.108711071001</v>
      </c>
      <c r="L55" s="45" t="n">
        <f aca="false">F55*ESTACIONALIDAD!$D$14+G55*ESTACIONALIDAD!$D$15+H55*ESTACIONALIDAD!$D$16+I55*ESTACIONALIDAD!$D$17</f>
        <v>45.0324096770033</v>
      </c>
      <c r="M55" s="45" t="n">
        <f aca="false">F55*ESTACIONALIDAD!$E$14+G55*ESTACIONALIDAD!$E$15+H55*ESTACIONALIDAD!$E$16+I55*ESTACIONALIDAD!$E$17</f>
        <v>44.9112742788491</v>
      </c>
      <c r="N55" s="45" t="n">
        <f aca="false">F55*ESTACIONALIDAD!$F$14+G55*ESTACIONALIDAD!$F$15+H55*ESTACIONALIDAD!$F$16+I55*ESTACIONALIDAD!$F$17</f>
        <v>44.7866336708468</v>
      </c>
      <c r="O55" s="45" t="n">
        <f aca="false">F55*ESTACIONALIDAD!$G$14+G55*ESTACIONALIDAD!$G$15+H55*ESTACIONALIDAD!$G$16+I55*ESTACIONALIDAD!$G$17</f>
        <v>40.1292877308444</v>
      </c>
      <c r="P55" s="45" t="n">
        <f aca="false">F55*ESTACIONALIDAD!$H$14+G55*ESTACIONALIDAD!$H$15+H55*ESTACIONALIDAD!$H$16+I55*ESTACIONALIDAD!$H$17</f>
        <v>44.9147794886973</v>
      </c>
      <c r="Q55" s="45" t="n">
        <f aca="false">F55*ESTACIONALIDAD!$I$14+G55*ESTACIONALIDAD!$I$15+H55*ESTACIONALIDAD!$I$16+I55*ESTACIONALIDAD!$I$17</f>
        <v>45.0289044671551</v>
      </c>
      <c r="R55" s="45" t="n">
        <f aca="false">F55*ESTACIONALIDAD!$J$14+G55*ESTACIONALIDAD!$J$15+H55*ESTACIONALIDAD!$J$16+I55*ESTACIONALIDAD!$J$17</f>
        <v>42.7625518011552</v>
      </c>
      <c r="S55" s="45" t="n">
        <f aca="false">F55*ESTACIONALIDAD!$K$14+G55*ESTACIONALIDAD!$K$15+H55*ESTACIONALIDAD!$K$16+I55*ESTACIONALIDAD!$K$17</f>
        <v>38.108711071001</v>
      </c>
      <c r="T55" s="45" t="n">
        <f aca="false">F55*ESTACIONALIDAD!$L$14+G55*ESTACIONALIDAD!$L$15+H55*ESTACIONALIDAD!$L$16+I55*ESTACIONALIDAD!$L$17</f>
        <v>35.8388531951528</v>
      </c>
      <c r="U55" s="45" t="n">
        <f aca="false">F55*ESTACIONALIDAD!$M$14+G55*ESTACIONALIDAD!$M$15+H55*ESTACIONALIDAD!$M$16+I55*ESTACIONALIDAD!$M$17</f>
        <v>42.2499788126025</v>
      </c>
      <c r="V55" s="45" t="n">
        <f aca="false">MAX(J55:U55)</f>
        <v>45.0324096770033</v>
      </c>
      <c r="W55" s="46" t="n">
        <f aca="false">E55/INDEX(P_VAL,MATCH("DH_AÑO",P_ID,0))</f>
        <v>2.10569799291667</v>
      </c>
      <c r="X55" s="46" t="n">
        <f aca="false">V55/INDEX(P_VAL,MATCH("DH_MES",P_ID,0))</f>
        <v>2.25162048385017</v>
      </c>
      <c r="Y55" s="25" t="n">
        <f aca="false">INDEX(C_TAB,MATCH($A55,C_COD,0),12)</f>
        <v>15</v>
      </c>
      <c r="Z55" s="46" t="n">
        <f aca="false">(X55-W55)*Y55</f>
        <v>2.1888373640025</v>
      </c>
      <c r="AA55" s="45" t="n">
        <f aca="false">W55*Y55+Z55</f>
        <v>33.7743072577525</v>
      </c>
      <c r="AB55" s="25" t="n">
        <f aca="false">INDEX(C_TAB,MATCH($A55,C_COD,0),15)</f>
        <v>10</v>
      </c>
      <c r="AC55" s="45" t="n">
        <f aca="false">INDEX(C_TAB,MATCH($A55,C_COD,0),11)</f>
        <v>10</v>
      </c>
      <c r="AD55" s="45" t="n">
        <f aca="false">MAX(AC55,CEILING(X55*AB55,AC55))</f>
        <v>30</v>
      </c>
      <c r="AE55" s="25" t="n">
        <f aca="false">AD55/AC55</f>
        <v>3</v>
      </c>
      <c r="AF55" s="45" t="n">
        <f aca="false">Z55+AD55</f>
        <v>32.1888373640025</v>
      </c>
      <c r="AG55" s="25" t="n">
        <f aca="false">ROUNDUP(AF55/AC55,0)</f>
        <v>4</v>
      </c>
      <c r="AH55" s="45" t="n">
        <f aca="false">IF(W55&gt;0,AF55/W55,0)</f>
        <v>15.2865403644218</v>
      </c>
      <c r="AI55" s="25" t="n">
        <f aca="false">IF(AD55&gt;0,E55/AD55,0)</f>
        <v>16.8455839433333</v>
      </c>
      <c r="AJ55" s="25" t="n">
        <f aca="false">INDEX(C_TAB,MATCH($A55,C_COD,0),16)</f>
        <v>20</v>
      </c>
      <c r="AK55" s="47" t="n">
        <f aca="false">IF(AJ55&gt;0,AG55/AJ55,0)</f>
        <v>0.2</v>
      </c>
      <c r="AL55" s="45" t="n">
        <f aca="false">INDEX(C_TAB,MATCH($A55,C_COD,0),17)</f>
        <v>0.73</v>
      </c>
      <c r="AM55" s="45" t="n">
        <f aca="false">AK55*AL55</f>
        <v>0.146</v>
      </c>
    </row>
    <row r="56" customFormat="false" ht="15" hidden="false" customHeight="false" outlineLevel="0" collapsed="false">
      <c r="A56" s="24" t="s">
        <v>1056</v>
      </c>
      <c r="B56" s="24" t="str">
        <f aca="false">INDEX(C_TAB,MATCH($A56,C_COD,0),2)</f>
        <v>Manguera armada con válvula esférica y tobera campana, carro 50 kg</v>
      </c>
      <c r="C56" s="24" t="str">
        <f aca="false">INDEX(C_TAB,MATCH($A56,C_COD,0),3)</f>
        <v>u</v>
      </c>
      <c r="D56" s="24" t="str">
        <f aca="false">INDEX(C_TAB,MATCH($A56,C_COD,0),6)</f>
        <v>Rack de insumos de montaje (carros)</v>
      </c>
      <c r="E56" s="45" t="n">
        <f aca="false">CONSOLIDADO_INSUMOS!T155</f>
        <v>1117.30854025</v>
      </c>
      <c r="F56" s="45" t="n">
        <f aca="false">SUMIFS(CONSOLIDADO_INSUMOS!$T$4:$T$350,CONSOLIDADO_INSUMOS!$B$4:$B$350,$A56,CONSOLIDADO_INSUMOS!$H$4:$H$350,"MANUALES")</f>
        <v>0</v>
      </c>
      <c r="G56" s="45" t="n">
        <f aca="false">SUMIFS(CONSOLIDADO_INSUMOS!$T$4:$T$350,CONSOLIDADO_INSUMOS!$B$4:$B$350,$A56,CONSOLIDADO_INSUMOS!$H$4:$H$350,"RODANTES")</f>
        <v>997.1951731</v>
      </c>
      <c r="H56" s="45" t="n">
        <f aca="false">SUMIFS(CONSOLIDADO_INSUMOS!$T$4:$T$350,CONSOLIDADO_INSUMOS!$B$4:$B$350,$A56,CONSOLIDADO_INSUMOS!$H$4:$H$350,"RECARGAS")</f>
        <v>120.11336715</v>
      </c>
      <c r="I56" s="45" t="n">
        <f aca="false">SUMIFS(CONSOLIDADO_INSUMOS!$T$4:$T$350,CONSOLIDADO_INSUMOS!$B$4:$B$350,$A56,CONSOLIDADO_INSUMOS!$H$4:$H$350,"REVENDIDOS")</f>
        <v>0</v>
      </c>
      <c r="J56" s="45" t="n">
        <f aca="false">F56*ESTACIONALIDAD!$B$14+G56*ESTACIONALIDAD!$B$15+H56*ESTACIONALIDAD!$B$16+I56*ESTACIONALIDAD!$B$17</f>
        <v>96.2143535849688</v>
      </c>
      <c r="K56" s="45" t="n">
        <f aca="false">F56*ESTACIONALIDAD!$C$14+G56*ESTACIONALIDAD!$C$15+H56*ESTACIONALIDAD!$C$16+I56*ESTACIONALIDAD!$C$17</f>
        <v>84.2734277948363</v>
      </c>
      <c r="L56" s="45" t="n">
        <f aca="false">F56*ESTACIONALIDAD!$D$14+G56*ESTACIONALIDAD!$D$15+H56*ESTACIONALIDAD!$D$16+I56*ESTACIONALIDAD!$D$17</f>
        <v>99.5187233279271</v>
      </c>
      <c r="M56" s="45" t="n">
        <f aca="false">F56*ESTACIONALIDAD!$E$14+G56*ESTACIONALIDAD!$E$15+H56*ESTACIONALIDAD!$E$16+I56*ESTACIONALIDAD!$E$17</f>
        <v>99.2394369061615</v>
      </c>
      <c r="N56" s="45" t="n">
        <f aca="false">F56*ESTACIONALIDAD!$F$14+G56*ESTACIONALIDAD!$F$15+H56*ESTACIONALIDAD!$F$16+I56*ESTACIONALIDAD!$F$17</f>
        <v>98.9520689695707</v>
      </c>
      <c r="O56" s="45" t="n">
        <f aca="false">F56*ESTACIONALIDAD!$G$14+G56*ESTACIONALIDAD!$G$15+H56*ESTACIONALIDAD!$G$16+I56*ESTACIONALIDAD!$G$17</f>
        <v>88.6927493019799</v>
      </c>
      <c r="P56" s="45" t="n">
        <f aca="false">F56*ESTACIONALIDAD!$H$14+G56*ESTACIONALIDAD!$H$15+H56*ESTACIONALIDAD!$H$16+I56*ESTACIONALIDAD!$H$17</f>
        <v>99.2475184209867</v>
      </c>
      <c r="Q56" s="45" t="n">
        <f aca="false">F56*ESTACIONALIDAD!$I$14+G56*ESTACIONALIDAD!$I$15+H56*ESTACIONALIDAD!$I$16+I56*ESTACIONALIDAD!$I$17</f>
        <v>99.5106418131019</v>
      </c>
      <c r="R56" s="45" t="n">
        <f aca="false">F56*ESTACIONALIDAD!$J$14+G56*ESTACIONALIDAD!$J$15+H56*ESTACIONALIDAD!$J$16+I56*ESTACIONALIDAD!$J$17</f>
        <v>94.524665947602</v>
      </c>
      <c r="S56" s="45" t="n">
        <f aca="false">F56*ESTACIONALIDAD!$K$14+G56*ESTACIONALIDAD!$K$15+H56*ESTACIONALIDAD!$K$16+I56*ESTACIONALIDAD!$K$17</f>
        <v>84.2734277948363</v>
      </c>
      <c r="T56" s="45" t="n">
        <f aca="false">F56*ESTACIONALIDAD!$L$14+G56*ESTACIONALIDAD!$L$15+H56*ESTACIONALIDAD!$L$16+I56*ESTACIONALIDAD!$L$17</f>
        <v>79.2793704145112</v>
      </c>
      <c r="U56" s="45" t="n">
        <f aca="false">F56*ESTACIONALIDAD!$M$14+G56*ESTACIONALIDAD!$M$15+H56*ESTACIONALIDAD!$M$16+I56*ESTACIONALIDAD!$M$17</f>
        <v>93.5821559735176</v>
      </c>
      <c r="V56" s="45" t="n">
        <f aca="false">MAX(J56:U56)</f>
        <v>99.5187233279271</v>
      </c>
      <c r="W56" s="46" t="n">
        <f aca="false">E56/INDEX(P_VAL,MATCH("DH_AÑO",P_ID,0))</f>
        <v>4.65545225104167</v>
      </c>
      <c r="X56" s="46" t="n">
        <f aca="false">V56/INDEX(P_VAL,MATCH("DH_MES",P_ID,0))</f>
        <v>4.97593616639636</v>
      </c>
      <c r="Y56" s="25" t="n">
        <f aca="false">INDEX(C_TAB,MATCH($A56,C_COD,0),12)</f>
        <v>15</v>
      </c>
      <c r="Z56" s="46" t="n">
        <f aca="false">(X56-W56)*Y56</f>
        <v>4.80725873032034</v>
      </c>
      <c r="AA56" s="45" t="n">
        <f aca="false">W56*Y56+Z56</f>
        <v>74.6390424959454</v>
      </c>
      <c r="AB56" s="25" t="n">
        <f aca="false">INDEX(C_TAB,MATCH($A56,C_COD,0),15)</f>
        <v>10</v>
      </c>
      <c r="AC56" s="45" t="n">
        <f aca="false">INDEX(C_TAB,MATCH($A56,C_COD,0),11)</f>
        <v>10</v>
      </c>
      <c r="AD56" s="45" t="n">
        <f aca="false">MAX(AC56,CEILING(X56*AB56,AC56))</f>
        <v>50</v>
      </c>
      <c r="AE56" s="25" t="n">
        <f aca="false">AD56/AC56</f>
        <v>5</v>
      </c>
      <c r="AF56" s="45" t="n">
        <f aca="false">Z56+AD56</f>
        <v>54.8072587303203</v>
      </c>
      <c r="AG56" s="25" t="n">
        <f aca="false">ROUNDUP(AF56/AC56,0)</f>
        <v>6</v>
      </c>
      <c r="AH56" s="45" t="n">
        <f aca="false">IF(W56&gt;0,AF56/W56,0)</f>
        <v>11.7727034399412</v>
      </c>
      <c r="AI56" s="25" t="n">
        <f aca="false">IF(AD56&gt;0,E56/AD56,0)</f>
        <v>22.346170805</v>
      </c>
      <c r="AJ56" s="25" t="n">
        <f aca="false">INDEX(C_TAB,MATCH($A56,C_COD,0),16)</f>
        <v>20</v>
      </c>
      <c r="AK56" s="47" t="n">
        <f aca="false">IF(AJ56&gt;0,AG56/AJ56,0)</f>
        <v>0.3</v>
      </c>
      <c r="AL56" s="45" t="n">
        <f aca="false">INDEX(C_TAB,MATCH($A56,C_COD,0),17)</f>
        <v>0.73</v>
      </c>
      <c r="AM56" s="45" t="n">
        <f aca="false">AK56*AL56</f>
        <v>0.219</v>
      </c>
    </row>
    <row r="57" customFormat="false" ht="15" hidden="false" customHeight="false" outlineLevel="0" collapsed="false">
      <c r="A57" s="24" t="s">
        <v>1164</v>
      </c>
      <c r="B57" s="24" t="str">
        <f aca="false">INDEX(C_TAB,MATCH($A57,C_COD,0),2)</f>
        <v>Manguera armada con válvula esférica y tobera campana, carro 70 kg</v>
      </c>
      <c r="C57" s="24" t="str">
        <f aca="false">INDEX(C_TAB,MATCH($A57,C_COD,0),3)</f>
        <v>u</v>
      </c>
      <c r="D57" s="24" t="str">
        <f aca="false">INDEX(C_TAB,MATCH($A57,C_COD,0),6)</f>
        <v>Rack de insumos de montaje (carros)</v>
      </c>
      <c r="E57" s="45" t="n">
        <f aca="false">CONSOLIDADO_INSUMOS!T158</f>
        <v>242.576408835</v>
      </c>
      <c r="F57" s="45" t="n">
        <f aca="false">SUMIFS(CONSOLIDADO_INSUMOS!$T$4:$T$350,CONSOLIDADO_INSUMOS!$B$4:$B$350,$A57,CONSOLIDADO_INSUMOS!$H$4:$H$350,"MANUALES")</f>
        <v>0</v>
      </c>
      <c r="G57" s="45" t="n">
        <f aca="false">SUMIFS(CONSOLIDADO_INSUMOS!$T$4:$T$350,CONSOLIDADO_INSUMOS!$B$4:$B$350,$A57,CONSOLIDADO_INSUMOS!$H$4:$H$350,"RODANTES")</f>
        <v>217.569856</v>
      </c>
      <c r="H57" s="45" t="n">
        <f aca="false">SUMIFS(CONSOLIDADO_INSUMOS!$T$4:$T$350,CONSOLIDADO_INSUMOS!$B$4:$B$350,$A57,CONSOLIDADO_INSUMOS!$H$4:$H$350,"RECARGAS")</f>
        <v>25.006552835</v>
      </c>
      <c r="I57" s="45" t="n">
        <f aca="false">SUMIFS(CONSOLIDADO_INSUMOS!$T$4:$T$350,CONSOLIDADO_INSUMOS!$B$4:$B$350,$A57,CONSOLIDADO_INSUMOS!$H$4:$H$350,"REVENDIDOS")</f>
        <v>0</v>
      </c>
      <c r="J57" s="45" t="n">
        <f aca="false">F57*ESTACIONALIDAD!$B$14+G57*ESTACIONALIDAD!$B$15+H57*ESTACIONALIDAD!$B$16+I57*ESTACIONALIDAD!$B$17</f>
        <v>20.8778030613324</v>
      </c>
      <c r="K57" s="45" t="n">
        <f aca="false">F57*ESTACIONALIDAD!$C$14+G57*ESTACIONALIDAD!$C$15+H57*ESTACIONALIDAD!$C$16+I57*ESTACIONALIDAD!$C$17</f>
        <v>18.292181317854</v>
      </c>
      <c r="L57" s="45" t="n">
        <f aca="false">F57*ESTACIONALIDAD!$D$14+G57*ESTACIONALIDAD!$D$15+H57*ESTACIONALIDAD!$D$16+I57*ESTACIONALIDAD!$D$17</f>
        <v>21.6155566496641</v>
      </c>
      <c r="M57" s="45" t="n">
        <f aca="false">F57*ESTACIONALIDAD!$E$14+G57*ESTACIONALIDAD!$E$15+H57*ESTACIONALIDAD!$E$16+I57*ESTACIONALIDAD!$E$17</f>
        <v>21.5574116585803</v>
      </c>
      <c r="N57" s="45" t="n">
        <f aca="false">F57*ESTACIONALIDAD!$F$14+G57*ESTACIONALIDAD!$F$15+H57*ESTACIONALIDAD!$F$16+I57*ESTACIONALIDAD!$F$17</f>
        <v>21.4975841667702</v>
      </c>
      <c r="O57" s="45" t="n">
        <f aca="false">F57*ESTACIONALIDAD!$G$14+G57*ESTACIONALIDAD!$G$15+H57*ESTACIONALIDAD!$G$16+I57*ESTACIONALIDAD!$G$17</f>
        <v>19.2620581149602</v>
      </c>
      <c r="P57" s="45" t="n">
        <f aca="false">F57*ESTACIONALIDAD!$H$14+G57*ESTACIONALIDAD!$H$15+H57*ESTACIONALIDAD!$H$16+I57*ESTACIONALIDAD!$H$17</f>
        <v>21.5590941593065</v>
      </c>
      <c r="Q57" s="45" t="n">
        <f aca="false">F57*ESTACIONALIDAD!$I$14+G57*ESTACIONALIDAD!$I$15+H57*ESTACIONALIDAD!$I$16+I57*ESTACIONALIDAD!$I$17</f>
        <v>21.6138741489378</v>
      </c>
      <c r="R57" s="45" t="n">
        <f aca="false">F57*ESTACIONALIDAD!$J$14+G57*ESTACIONALIDAD!$J$15+H57*ESTACIONALIDAD!$J$16+I57*ESTACIONALIDAD!$J$17</f>
        <v>20.5260248689378</v>
      </c>
      <c r="S57" s="45" t="n">
        <f aca="false">F57*ESTACIONALIDAD!$K$14+G57*ESTACIONALIDAD!$K$15+H57*ESTACIONALIDAD!$K$16+I57*ESTACIONALIDAD!$K$17</f>
        <v>18.292181317854</v>
      </c>
      <c r="T57" s="45" t="n">
        <f aca="false">F57*ESTACIONALIDAD!$L$14+G57*ESTACIONALIDAD!$L$15+H57*ESTACIONALIDAD!$L$16+I57*ESTACIONALIDAD!$L$17</f>
        <v>17.2026495371278</v>
      </c>
      <c r="U57" s="45" t="n">
        <f aca="false">F57*ESTACIONALIDAD!$M$14+G57*ESTACIONALIDAD!$M$15+H57*ESTACIONALIDAD!$M$16+I57*ESTACIONALIDAD!$M$17</f>
        <v>20.2799898336749</v>
      </c>
      <c r="V57" s="45" t="n">
        <f aca="false">MAX(J57:U57)</f>
        <v>21.6155566496641</v>
      </c>
      <c r="W57" s="46" t="n">
        <f aca="false">E57/INDEX(P_VAL,MATCH("DH_AÑO",P_ID,0))</f>
        <v>1.0107350368125</v>
      </c>
      <c r="X57" s="46" t="n">
        <f aca="false">V57/INDEX(P_VAL,MATCH("DH_MES",P_ID,0))</f>
        <v>1.0807778324832</v>
      </c>
      <c r="Y57" s="25" t="n">
        <f aca="false">INDEX(C_TAB,MATCH($A57,C_COD,0),12)</f>
        <v>15</v>
      </c>
      <c r="Z57" s="46" t="n">
        <f aca="false">(X57-W57)*Y57</f>
        <v>1.05064193506054</v>
      </c>
      <c r="AA57" s="45" t="n">
        <f aca="false">W57*Y57+Z57</f>
        <v>16.211667487248</v>
      </c>
      <c r="AB57" s="25" t="n">
        <f aca="false">INDEX(C_TAB,MATCH($A57,C_COD,0),15)</f>
        <v>10</v>
      </c>
      <c r="AC57" s="45" t="n">
        <f aca="false">INDEX(C_TAB,MATCH($A57,C_COD,0),11)</f>
        <v>10</v>
      </c>
      <c r="AD57" s="45" t="n">
        <f aca="false">MAX(AC57,CEILING(X57*AB57,AC57))</f>
        <v>20</v>
      </c>
      <c r="AE57" s="25" t="n">
        <f aca="false">AD57/AC57</f>
        <v>2</v>
      </c>
      <c r="AF57" s="45" t="n">
        <f aca="false">Z57+AD57</f>
        <v>21.0506419350605</v>
      </c>
      <c r="AG57" s="25" t="n">
        <f aca="false">ROUNDUP(AF57/AC57,0)</f>
        <v>3</v>
      </c>
      <c r="AH57" s="45" t="n">
        <f aca="false">IF(W57&gt;0,AF57/W57,0)</f>
        <v>20.8270626508079</v>
      </c>
      <c r="AI57" s="25" t="n">
        <f aca="false">IF(AD57&gt;0,E57/AD57,0)</f>
        <v>12.12882044175</v>
      </c>
      <c r="AJ57" s="25" t="n">
        <f aca="false">INDEX(C_TAB,MATCH($A57,C_COD,0),16)</f>
        <v>20</v>
      </c>
      <c r="AK57" s="47" t="n">
        <f aca="false">IF(AJ57&gt;0,AG57/AJ57,0)</f>
        <v>0.15</v>
      </c>
      <c r="AL57" s="45" t="n">
        <f aca="false">INDEX(C_TAB,MATCH($A57,C_COD,0),17)</f>
        <v>0.73</v>
      </c>
      <c r="AM57" s="45" t="n">
        <f aca="false">AK57*AL57</f>
        <v>0.1095</v>
      </c>
    </row>
    <row r="58" customFormat="false" ht="15" hidden="false" customHeight="false" outlineLevel="0" collapsed="false">
      <c r="A58" s="24" t="s">
        <v>1268</v>
      </c>
      <c r="B58" s="24" t="str">
        <f aca="false">INDEX(C_TAB,MATCH($A58,C_COD,0),2)</f>
        <v>Manguera armada con válvula esférica y tobera campana, carro 100 kg</v>
      </c>
      <c r="C58" s="24" t="str">
        <f aca="false">INDEX(C_TAB,MATCH($A58,C_COD,0),3)</f>
        <v>u</v>
      </c>
      <c r="D58" s="24" t="str">
        <f aca="false">INDEX(C_TAB,MATCH($A58,C_COD,0),6)</f>
        <v>Rack de insumos de montaje (carros)</v>
      </c>
      <c r="E58" s="45" t="n">
        <f aca="false">CONSOLIDADO_INSUMOS!T161</f>
        <v>162.617605825</v>
      </c>
      <c r="F58" s="45" t="n">
        <f aca="false">SUMIFS(CONSOLIDADO_INSUMOS!$T$4:$T$350,CONSOLIDADO_INSUMOS!$B$4:$B$350,$A58,CONSOLIDADO_INSUMOS!$H$4:$H$350,"MANUALES")</f>
        <v>0</v>
      </c>
      <c r="G58" s="45" t="n">
        <f aca="false">SUMIFS(CONSOLIDADO_INSUMOS!$T$4:$T$350,CONSOLIDADO_INSUMOS!$B$4:$B$350,$A58,CONSOLIDADO_INSUMOS!$H$4:$H$350,"RODANTES")</f>
        <v>145.0465706</v>
      </c>
      <c r="H58" s="45" t="n">
        <f aca="false">SUMIFS(CONSOLIDADO_INSUMOS!$T$4:$T$350,CONSOLIDADO_INSUMOS!$B$4:$B$350,$A58,CONSOLIDADO_INSUMOS!$H$4:$H$350,"RECARGAS")</f>
        <v>17.571035225</v>
      </c>
      <c r="I58" s="45" t="n">
        <f aca="false">SUMIFS(CONSOLIDADO_INSUMOS!$T$4:$T$350,CONSOLIDADO_INSUMOS!$B$4:$B$350,$A58,CONSOLIDADO_INSUMOS!$H$4:$H$350,"REVENDIDOS")</f>
        <v>0</v>
      </c>
      <c r="J58" s="45" t="n">
        <f aca="false">F58*ESTACIONALIDAD!$B$14+G58*ESTACIONALIDAD!$B$15+H58*ESTACIONALIDAD!$B$16+I58*ESTACIONALIDAD!$B$17</f>
        <v>14.0043500263902</v>
      </c>
      <c r="K58" s="45" t="n">
        <f aca="false">F58*ESTACIONALIDAD!$C$14+G58*ESTACIONALIDAD!$C$15+H58*ESTACIONALIDAD!$C$16+I58*ESTACIONALIDAD!$C$17</f>
        <v>12.265848830494</v>
      </c>
      <c r="L58" s="45" t="n">
        <f aca="false">F58*ESTACIONALIDAD!$D$14+G58*ESTACIONALIDAD!$D$15+H58*ESTACIONALIDAD!$D$16+I58*ESTACIONALIDAD!$D$17</f>
        <v>14.483585609354</v>
      </c>
      <c r="M58" s="45" t="n">
        <f aca="false">F58*ESTACIONALIDAD!$E$14+G58*ESTACIONALIDAD!$E$15+H58*ESTACIONALIDAD!$E$16+I58*ESTACIONALIDAD!$E$17</f>
        <v>14.442729610799</v>
      </c>
      <c r="N58" s="45" t="n">
        <f aca="false">F58*ESTACIONALIDAD!$F$14+G58*ESTACIONALIDAD!$F$15+H58*ESTACIONALIDAD!$F$16+I58*ESTACIONALIDAD!$F$17</f>
        <v>14.4006913909391</v>
      </c>
      <c r="O58" s="45" t="n">
        <f aca="false">F58*ESTACIONALIDAD!$G$14+G58*ESTACIONALIDAD!$G$15+H58*ESTACIONALIDAD!$G$16+I58*ESTACIONALIDAD!$G$17</f>
        <v>12.9081874650791</v>
      </c>
      <c r="P58" s="45" t="n">
        <f aca="false">F58*ESTACIONALIDAD!$H$14+G58*ESTACIONALIDAD!$H$15+H58*ESTACIONALIDAD!$H$16+I58*ESTACIONALIDAD!$H$17</f>
        <v>14.4439118321041</v>
      </c>
      <c r="Q58" s="45" t="n">
        <f aca="false">F58*ESTACIONALIDAD!$I$14+G58*ESTACIONALIDAD!$I$15+H58*ESTACIONALIDAD!$I$16+I58*ESTACIONALIDAD!$I$17</f>
        <v>14.4824033880489</v>
      </c>
      <c r="R58" s="45" t="n">
        <f aca="false">F58*ESTACIONALIDAD!$J$14+G58*ESTACIONALIDAD!$J$15+H58*ESTACIONALIDAD!$J$16+I58*ESTACIONALIDAD!$J$17</f>
        <v>13.7571705350489</v>
      </c>
      <c r="S58" s="45" t="n">
        <f aca="false">F58*ESTACIONALIDAD!$K$14+G58*ESTACIONALIDAD!$K$15+H58*ESTACIONALIDAD!$K$16+I58*ESTACIONALIDAD!$K$17</f>
        <v>12.265848830494</v>
      </c>
      <c r="T58" s="45" t="n">
        <f aca="false">F58*ESTACIONALIDAD!$L$14+G58*ESTACIONALIDAD!$L$15+H58*ESTACIONALIDAD!$L$16+I58*ESTACIONALIDAD!$L$17</f>
        <v>11.5394337561889</v>
      </c>
      <c r="U58" s="45" t="n">
        <f aca="false">F58*ESTACIONALIDAD!$M$14+G58*ESTACIONALIDAD!$M$15+H58*ESTACIONALIDAD!$M$16+I58*ESTACIONALIDAD!$M$17</f>
        <v>13.6234445500599</v>
      </c>
      <c r="V58" s="45" t="n">
        <f aca="false">MAX(J58:U58)</f>
        <v>14.483585609354</v>
      </c>
      <c r="W58" s="46" t="n">
        <f aca="false">E58/INDEX(P_VAL,MATCH("DH_AÑO",P_ID,0))</f>
        <v>0.677573357604167</v>
      </c>
      <c r="X58" s="46" t="n">
        <f aca="false">V58/INDEX(P_VAL,MATCH("DH_MES",P_ID,0))</f>
        <v>0.724179280467698</v>
      </c>
      <c r="Y58" s="25" t="n">
        <f aca="false">INDEX(C_TAB,MATCH($A58,C_COD,0),12)</f>
        <v>15</v>
      </c>
      <c r="Z58" s="46" t="n">
        <f aca="false">(X58-W58)*Y58</f>
        <v>0.699088842952962</v>
      </c>
      <c r="AA58" s="45" t="n">
        <f aca="false">W58*Y58+Z58</f>
        <v>10.8626892070155</v>
      </c>
      <c r="AB58" s="25" t="n">
        <f aca="false">INDEX(C_TAB,MATCH($A58,C_COD,0),15)</f>
        <v>10</v>
      </c>
      <c r="AC58" s="45" t="n">
        <f aca="false">INDEX(C_TAB,MATCH($A58,C_COD,0),11)</f>
        <v>10</v>
      </c>
      <c r="AD58" s="45" t="n">
        <f aca="false">MAX(AC58,CEILING(X58*AB58,AC58))</f>
        <v>10</v>
      </c>
      <c r="AE58" s="25" t="n">
        <f aca="false">AD58/AC58</f>
        <v>1</v>
      </c>
      <c r="AF58" s="45" t="n">
        <f aca="false">Z58+AD58</f>
        <v>10.699088842953</v>
      </c>
      <c r="AG58" s="25" t="n">
        <f aca="false">ROUNDUP(AF58/AC58,0)</f>
        <v>2</v>
      </c>
      <c r="AH58" s="45" t="n">
        <f aca="false">IF(W58&gt;0,AF58/W58,0)</f>
        <v>15.7903033271318</v>
      </c>
      <c r="AI58" s="25" t="n">
        <f aca="false">IF(AD58&gt;0,E58/AD58,0)</f>
        <v>16.2617605825</v>
      </c>
      <c r="AJ58" s="25" t="n">
        <f aca="false">INDEX(C_TAB,MATCH($A58,C_COD,0),16)</f>
        <v>20</v>
      </c>
      <c r="AK58" s="47" t="n">
        <f aca="false">IF(AJ58&gt;0,AG58/AJ58,0)</f>
        <v>0.1</v>
      </c>
      <c r="AL58" s="45" t="n">
        <f aca="false">INDEX(C_TAB,MATCH($A58,C_COD,0),17)</f>
        <v>0.73</v>
      </c>
      <c r="AM58" s="45" t="n">
        <f aca="false">AK58*AL58</f>
        <v>0.073</v>
      </c>
    </row>
    <row r="59" customFormat="false" ht="15" hidden="false" customHeight="false" outlineLevel="0" collapsed="false">
      <c r="A59" s="24" t="s">
        <v>514</v>
      </c>
      <c r="B59" s="24" t="str">
        <f aca="false">INDEX(C_TAB,MATCH($A59,C_COD,0),2)</f>
        <v>Junta tórica NBR 70 del cuello M22</v>
      </c>
      <c r="C59" s="24" t="str">
        <f aca="false">INDEX(C_TAB,MATCH($A59,C_COD,0),3)</f>
        <v>u</v>
      </c>
      <c r="D59" s="24" t="str">
        <f aca="false">INDEX(C_TAB,MATCH($A59,C_COD,0),6)</f>
        <v>Insumos de montaje (manuales)</v>
      </c>
      <c r="E59" s="45" t="n">
        <f aca="false">CONSOLIDADO_INSUMOS!T164</f>
        <v>228355.32983</v>
      </c>
      <c r="F59" s="45" t="n">
        <f aca="false">SUMIFS(CONSOLIDADO_INSUMOS!$T$4:$T$350,CONSOLIDADO_INSUMOS!$B$4:$B$350,$A59,CONSOLIDADO_INSUMOS!$H$4:$H$350,"MANUALES")</f>
        <v>32072.63913</v>
      </c>
      <c r="G59" s="45" t="n">
        <f aca="false">SUMIFS(CONSOLIDADO_INSUMOS!$T$4:$T$350,CONSOLIDADO_INSUMOS!$B$4:$B$350,$A59,CONSOLIDADO_INSUMOS!$H$4:$H$350,"RODANTES")</f>
        <v>0</v>
      </c>
      <c r="H59" s="45" t="n">
        <f aca="false">SUMIFS(CONSOLIDADO_INSUMOS!$T$4:$T$350,CONSOLIDADO_INSUMOS!$B$4:$B$350,$A59,CONSOLIDADO_INSUMOS!$H$4:$H$350,"RECARGAS")</f>
        <v>196282.6907</v>
      </c>
      <c r="I59" s="45" t="n">
        <f aca="false">SUMIFS(CONSOLIDADO_INSUMOS!$T$4:$T$350,CONSOLIDADO_INSUMOS!$B$4:$B$350,$A59,CONSOLIDADO_INSUMOS!$H$4:$H$350,"REVENDIDOS")</f>
        <v>0</v>
      </c>
      <c r="J59" s="45" t="n">
        <f aca="false">F59*ESTACIONALIDAD!$B$14+G59*ESTACIONALIDAD!$B$15+H59*ESTACIONALIDAD!$B$16+I59*ESTACIONALIDAD!$B$17</f>
        <v>22377.5076908335</v>
      </c>
      <c r="K59" s="45" t="n">
        <f aca="false">F59*ESTACIONALIDAD!$C$14+G59*ESTACIONALIDAD!$C$15+H59*ESTACIONALIDAD!$C$16+I59*ESTACIONALIDAD!$C$17</f>
        <v>18291.0833254503</v>
      </c>
      <c r="L59" s="45" t="n">
        <f aca="false">F59*ESTACIONALIDAD!$D$14+G59*ESTACIONALIDAD!$D$15+H59*ESTACIONALIDAD!$D$16+I59*ESTACIONALIDAD!$D$17</f>
        <v>18579.9745670001</v>
      </c>
      <c r="M59" s="45" t="n">
        <f aca="false">F59*ESTACIONALIDAD!$E$14+G59*ESTACIONALIDAD!$E$15+H59*ESTACIONALIDAD!$E$16+I59*ESTACIONALIDAD!$E$17</f>
        <v>18009.8890127072</v>
      </c>
      <c r="N59" s="45" t="n">
        <f aca="false">F59*ESTACIONALIDAD!$F$14+G59*ESTACIONALIDAD!$F$15+H59*ESTACIONALIDAD!$F$16+I59*ESTACIONALIDAD!$F$17</f>
        <v>17379.9248629476</v>
      </c>
      <c r="O59" s="45" t="n">
        <f aca="false">F59*ESTACIONALIDAD!$G$14+G59*ESTACIONALIDAD!$G$15+H59*ESTACIONALIDAD!$G$16+I59*ESTACIONALIDAD!$G$17</f>
        <v>16863.6516825913</v>
      </c>
      <c r="P59" s="45" t="n">
        <f aca="false">F59*ESTACIONALIDAD!$H$14+G59*ESTACIONALIDAD!$H$15+H59*ESTACIONALIDAD!$H$16+I59*ESTACIONALIDAD!$H$17</f>
        <v>17976.4231556802</v>
      </c>
      <c r="Q59" s="45" t="n">
        <f aca="false">F59*ESTACIONALIDAD!$I$14+G59*ESTACIONALIDAD!$I$15+H59*ESTACIONALIDAD!$I$16+I59*ESTACIONALIDAD!$I$17</f>
        <v>18406.4050021303</v>
      </c>
      <c r="R59" s="45" t="n">
        <f aca="false">F59*ESTACIONALIDAD!$J$14+G59*ESTACIONALIDAD!$J$15+H59*ESTACIONALIDAD!$J$16+I59*ESTACIONALIDAD!$J$17</f>
        <v>18406.4050021303</v>
      </c>
      <c r="S59" s="45" t="n">
        <f aca="false">F59*ESTACIONALIDAD!$K$14+G59*ESTACIONALIDAD!$K$15+H59*ESTACIONALIDAD!$K$16+I59*ESTACIONALIDAD!$K$17</f>
        <v>17903.3381909938</v>
      </c>
      <c r="T59" s="45" t="n">
        <f aca="false">F59*ESTACIONALIDAD!$L$14+G59*ESTACIONALIDAD!$L$15+H59*ESTACIONALIDAD!$L$16+I59*ESTACIONALIDAD!$L$17</f>
        <v>17843.4595955272</v>
      </c>
      <c r="U59" s="45" t="n">
        <f aca="false">F59*ESTACIONALIDAD!$M$14+G59*ESTACIONALIDAD!$M$15+H59*ESTACIONALIDAD!$M$16+I59*ESTACIONALIDAD!$M$17</f>
        <v>26317.2677420081</v>
      </c>
      <c r="V59" s="45" t="n">
        <f aca="false">MAX(J59:U59)</f>
        <v>26317.2677420081</v>
      </c>
      <c r="W59" s="46" t="n">
        <f aca="false">E59/INDEX(P_VAL,MATCH("DH_AÑO",P_ID,0))</f>
        <v>951.480540958333</v>
      </c>
      <c r="X59" s="46" t="n">
        <f aca="false">V59/INDEX(P_VAL,MATCH("DH_MES",P_ID,0))</f>
        <v>1315.8633871004</v>
      </c>
      <c r="Y59" s="25" t="n">
        <f aca="false">INDEX(C_TAB,MATCH($A59,C_COD,0),12)</f>
        <v>10</v>
      </c>
      <c r="Z59" s="46" t="n">
        <f aca="false">(X59-W59)*Y59</f>
        <v>3643.8284614207</v>
      </c>
      <c r="AA59" s="45" t="n">
        <f aca="false">W59*Y59+Z59</f>
        <v>13158.633871004</v>
      </c>
      <c r="AB59" s="25" t="n">
        <f aca="false">INDEX(C_TAB,MATCH($A59,C_COD,0),15)</f>
        <v>10</v>
      </c>
      <c r="AC59" s="45" t="n">
        <f aca="false">INDEX(C_TAB,MATCH($A59,C_COD,0),11)</f>
        <v>1000</v>
      </c>
      <c r="AD59" s="45" t="n">
        <f aca="false">MAX(AC59,CEILING(X59*AB59,AC59))</f>
        <v>14000</v>
      </c>
      <c r="AE59" s="25" t="n">
        <f aca="false">AD59/AC59</f>
        <v>14</v>
      </c>
      <c r="AF59" s="45" t="n">
        <f aca="false">Z59+AD59</f>
        <v>17643.8284614207</v>
      </c>
      <c r="AG59" s="25" t="n">
        <f aca="false">ROUNDUP(AF59/AC59,0)</f>
        <v>18</v>
      </c>
      <c r="AH59" s="45" t="n">
        <f aca="false">IF(W59&gt;0,AF59/W59,0)</f>
        <v>18.5435515514062</v>
      </c>
      <c r="AI59" s="25" t="n">
        <f aca="false">IF(AD59&gt;0,E59/AD59,0)</f>
        <v>16.3110949878571</v>
      </c>
      <c r="AJ59" s="25" t="n">
        <f aca="false">INDEX(C_TAB,MATCH($A59,C_COD,0),16)</f>
        <v>50</v>
      </c>
      <c r="AK59" s="47" t="n">
        <f aca="false">IF(AJ59&gt;0,AG59/AJ59,0)</f>
        <v>0.36</v>
      </c>
      <c r="AL59" s="45" t="n">
        <f aca="false">INDEX(C_TAB,MATCH($A59,C_COD,0),17)</f>
        <v>0.73</v>
      </c>
      <c r="AM59" s="45" t="n">
        <f aca="false">AK59*AL59</f>
        <v>0.2628</v>
      </c>
    </row>
    <row r="60" customFormat="false" ht="15" hidden="false" customHeight="false" outlineLevel="0" collapsed="false">
      <c r="A60" s="24" t="s">
        <v>630</v>
      </c>
      <c r="B60" s="24" t="str">
        <f aca="false">INDEX(C_TAB,MATCH($A60,C_COD,0),2)</f>
        <v>Junta tórica NBR 70 del cuello M30</v>
      </c>
      <c r="C60" s="24" t="str">
        <f aca="false">INDEX(C_TAB,MATCH($A60,C_COD,0),3)</f>
        <v>u</v>
      </c>
      <c r="D60" s="24" t="str">
        <f aca="false">INDEX(C_TAB,MATCH($A60,C_COD,0),6)</f>
        <v>Insumos de montaje (manuales)</v>
      </c>
      <c r="E60" s="45" t="n">
        <f aca="false">CONSOLIDADO_INSUMOS!T167</f>
        <v>173952.9962193</v>
      </c>
      <c r="F60" s="45" t="n">
        <f aca="false">SUMIFS(CONSOLIDADO_INSUMOS!$T$4:$T$350,CONSOLIDADO_INSUMOS!$B$4:$B$350,$A60,CONSOLIDADO_INSUMOS!$H$4:$H$350,"MANUALES")</f>
        <v>41584.485243</v>
      </c>
      <c r="G60" s="45" t="n">
        <f aca="false">SUMIFS(CONSOLIDADO_INSUMOS!$T$4:$T$350,CONSOLIDADO_INSUMOS!$B$4:$B$350,$A60,CONSOLIDADO_INSUMOS!$H$4:$H$350,"RODANTES")</f>
        <v>1450.4657063</v>
      </c>
      <c r="H60" s="45" t="n">
        <f aca="false">SUMIFS(CONSOLIDADO_INSUMOS!$T$4:$T$350,CONSOLIDADO_INSUMOS!$B$4:$B$350,$A60,CONSOLIDADO_INSUMOS!$H$4:$H$350,"RECARGAS")</f>
        <v>130918.04527</v>
      </c>
      <c r="I60" s="45" t="n">
        <f aca="false">SUMIFS(CONSOLIDADO_INSUMOS!$T$4:$T$350,CONSOLIDADO_INSUMOS!$B$4:$B$350,$A60,CONSOLIDADO_INSUMOS!$H$4:$H$350,"REVENDIDOS")</f>
        <v>0</v>
      </c>
      <c r="J60" s="45" t="n">
        <f aca="false">F60*ESTACIONALIDAD!$B$14+G60*ESTACIONALIDAD!$B$15+H60*ESTACIONALIDAD!$B$16+I60*ESTACIONALIDAD!$B$17</f>
        <v>17354.3580314288</v>
      </c>
      <c r="K60" s="45" t="n">
        <f aca="false">F60*ESTACIONALIDAD!$C$14+G60*ESTACIONALIDAD!$C$15+H60*ESTACIONALIDAD!$C$16+I60*ESTACIONALIDAD!$C$17</f>
        <v>14067.2554623082</v>
      </c>
      <c r="L60" s="45" t="n">
        <f aca="false">F60*ESTACIONALIDAD!$D$14+G60*ESTACIONALIDAD!$D$15+H60*ESTACIONALIDAD!$D$16+I60*ESTACIONALIDAD!$D$17</f>
        <v>14167.9271306138</v>
      </c>
      <c r="M60" s="45" t="n">
        <f aca="false">F60*ESTACIONALIDAD!$E$14+G60*ESTACIONALIDAD!$E$15+H60*ESTACIONALIDAD!$E$16+I60*ESTACIONALIDAD!$E$17</f>
        <v>13716.1092520005</v>
      </c>
      <c r="N60" s="45" t="n">
        <f aca="false">F60*ESTACIONALIDAD!$F$14+G60*ESTACIONALIDAD!$F$15+H60*ESTACIONALIDAD!$F$16+I60*ESTACIONALIDAD!$F$17</f>
        <v>13194.9689931295</v>
      </c>
      <c r="O60" s="45" t="n">
        <f aca="false">F60*ESTACIONALIDAD!$G$14+G60*ESTACIONALIDAD!$G$15+H60*ESTACIONALIDAD!$G$16+I60*ESTACIONALIDAD!$G$17</f>
        <v>12806.7326025821</v>
      </c>
      <c r="P60" s="45" t="n">
        <f aca="false">F60*ESTACIONALIDAD!$H$14+G60*ESTACIONALIDAD!$H$15+H60*ESTACIONALIDAD!$H$16+I60*ESTACIONALIDAD!$H$17</f>
        <v>13664.4038306015</v>
      </c>
      <c r="Q60" s="45" t="n">
        <f aca="false">F60*ESTACIONALIDAD!$I$14+G60*ESTACIONALIDAD!$I$15+H60*ESTACIONALIDAD!$I$16+I60*ESTACIONALIDAD!$I$17</f>
        <v>13951.1962249694</v>
      </c>
      <c r="R60" s="45" t="n">
        <f aca="false">F60*ESTACIONALIDAD!$J$14+G60*ESTACIONALIDAD!$J$15+H60*ESTACIONALIDAD!$J$16+I60*ESTACIONALIDAD!$J$17</f>
        <v>13943.9438964379</v>
      </c>
      <c r="S60" s="45" t="n">
        <f aca="false">F60*ESTACIONALIDAD!$K$14+G60*ESTACIONALIDAD!$K$15+H60*ESTACIONALIDAD!$K$16+I60*ESTACIONALIDAD!$K$17</f>
        <v>13564.5159853199</v>
      </c>
      <c r="T60" s="45" t="n">
        <f aca="false">F60*ESTACIONALIDAD!$L$14+G60*ESTACIONALIDAD!$L$15+H60*ESTACIONALIDAD!$L$16+I60*ESTACIONALIDAD!$L$17</f>
        <v>13487.9412765307</v>
      </c>
      <c r="U60" s="45" t="n">
        <f aca="false">F60*ESTACIONALIDAD!$M$14+G60*ESTACIONALIDAD!$M$15+H60*ESTACIONALIDAD!$M$16+I60*ESTACIONALIDAD!$M$17</f>
        <v>20033.6435333777</v>
      </c>
      <c r="V60" s="45" t="n">
        <f aca="false">MAX(J60:U60)</f>
        <v>20033.6435333777</v>
      </c>
      <c r="W60" s="46" t="n">
        <f aca="false">E60/INDEX(P_VAL,MATCH("DH_AÑO",P_ID,0))</f>
        <v>724.80415091375</v>
      </c>
      <c r="X60" s="46" t="n">
        <f aca="false">V60/INDEX(P_VAL,MATCH("DH_MES",P_ID,0))</f>
        <v>1001.68217666889</v>
      </c>
      <c r="Y60" s="25" t="n">
        <f aca="false">INDEX(C_TAB,MATCH($A60,C_COD,0),12)</f>
        <v>10</v>
      </c>
      <c r="Z60" s="46" t="n">
        <f aca="false">(X60-W60)*Y60</f>
        <v>2768.78025755136</v>
      </c>
      <c r="AA60" s="45" t="n">
        <f aca="false">W60*Y60+Z60</f>
        <v>10016.8217666889</v>
      </c>
      <c r="AB60" s="25" t="n">
        <f aca="false">INDEX(C_TAB,MATCH($A60,C_COD,0),15)</f>
        <v>10</v>
      </c>
      <c r="AC60" s="45" t="n">
        <f aca="false">INDEX(C_TAB,MATCH($A60,C_COD,0),11)</f>
        <v>1000</v>
      </c>
      <c r="AD60" s="45" t="n">
        <f aca="false">MAX(AC60,CEILING(X60*AB60,AC60))</f>
        <v>11000</v>
      </c>
      <c r="AE60" s="25" t="n">
        <f aca="false">AD60/AC60</f>
        <v>11</v>
      </c>
      <c r="AF60" s="45" t="n">
        <f aca="false">Z60+AD60</f>
        <v>13768.7802575514</v>
      </c>
      <c r="AG60" s="25" t="n">
        <f aca="false">ROUNDUP(AF60/AC60,0)</f>
        <v>14</v>
      </c>
      <c r="AH60" s="45" t="n">
        <f aca="false">IF(W60&gt;0,AF60/W60,0)</f>
        <v>18.9965527104022</v>
      </c>
      <c r="AI60" s="25" t="n">
        <f aca="false">IF(AD60&gt;0,E60/AD60,0)</f>
        <v>15.8139087472091</v>
      </c>
      <c r="AJ60" s="25" t="n">
        <f aca="false">INDEX(C_TAB,MATCH($A60,C_COD,0),16)</f>
        <v>50</v>
      </c>
      <c r="AK60" s="47" t="n">
        <f aca="false">IF(AJ60&gt;0,AG60/AJ60,0)</f>
        <v>0.28</v>
      </c>
      <c r="AL60" s="45" t="n">
        <f aca="false">INDEX(C_TAB,MATCH($A60,C_COD,0),17)</f>
        <v>0.73</v>
      </c>
      <c r="AM60" s="45" t="n">
        <f aca="false">AK60*AL60</f>
        <v>0.2044</v>
      </c>
    </row>
    <row r="61" customFormat="false" ht="15" hidden="false" customHeight="false" outlineLevel="0" collapsed="false">
      <c r="A61" s="24" t="s">
        <v>1137</v>
      </c>
      <c r="B61" s="24" t="str">
        <f aca="false">INDEX(C_TAB,MATCH($A61,C_COD,0),2)</f>
        <v>Junta tórica NBR 70 del cuello 2½" (carros 70 y 100 kg)</v>
      </c>
      <c r="C61" s="24" t="str">
        <f aca="false">INDEX(C_TAB,MATCH($A61,C_COD,0),3)</f>
        <v>u</v>
      </c>
      <c r="D61" s="24" t="str">
        <f aca="false">INDEX(C_TAB,MATCH($A61,C_COD,0),6)</f>
        <v>Rack de insumos de montaje (carros)</v>
      </c>
      <c r="E61" s="45" t="n">
        <f aca="false">CONSOLIDADO_INSUMOS!T171</f>
        <v>1205.6181878</v>
      </c>
      <c r="F61" s="45" t="n">
        <f aca="false">SUMIFS(CONSOLIDADO_INSUMOS!$T$4:$T$350,CONSOLIDADO_INSUMOS!$B$4:$B$350,$A61,CONSOLIDADO_INSUMOS!$H$4:$H$350,"MANUALES")</f>
        <v>0</v>
      </c>
      <c r="G61" s="45" t="n">
        <f aca="false">SUMIFS(CONSOLIDADO_INSUMOS!$T$4:$T$350,CONSOLIDADO_INSUMOS!$B$4:$B$350,$A61,CONSOLIDADO_INSUMOS!$H$4:$H$350,"RODANTES")</f>
        <v>362.6164266</v>
      </c>
      <c r="H61" s="45" t="n">
        <f aca="false">SUMIFS(CONSOLIDADO_INSUMOS!$T$4:$T$350,CONSOLIDADO_INSUMOS!$B$4:$B$350,$A61,CONSOLIDADO_INSUMOS!$H$4:$H$350,"RECARGAS")</f>
        <v>843.0017612</v>
      </c>
      <c r="I61" s="45" t="n">
        <f aca="false">SUMIFS(CONSOLIDADO_INSUMOS!$T$4:$T$350,CONSOLIDADO_INSUMOS!$B$4:$B$350,$A61,CONSOLIDADO_INSUMOS!$H$4:$H$350,"REVENDIDOS")</f>
        <v>0</v>
      </c>
      <c r="J61" s="45" t="n">
        <f aca="false">F61*ESTACIONALIDAD!$B$14+G61*ESTACIONALIDAD!$B$15+H61*ESTACIONALIDAD!$B$16+I61*ESTACIONALIDAD!$B$17</f>
        <v>111.202293547527</v>
      </c>
      <c r="K61" s="45" t="n">
        <f aca="false">F61*ESTACIONALIDAD!$C$14+G61*ESTACIONALIDAD!$C$15+H61*ESTACIONALIDAD!$C$16+I61*ESTACIONALIDAD!$C$17</f>
        <v>93.7571128057594</v>
      </c>
      <c r="L61" s="45" t="n">
        <f aca="false">F61*ESTACIONALIDAD!$D$14+G61*ESTACIONALIDAD!$D$15+H61*ESTACIONALIDAD!$D$16+I61*ESTACIONALIDAD!$D$17</f>
        <v>101.213217797658</v>
      </c>
      <c r="M61" s="45" t="n">
        <f aca="false">F61*ESTACIONALIDAD!$E$14+G61*ESTACIONALIDAD!$E$15+H61*ESTACIONALIDAD!$E$16+I61*ESTACIONALIDAD!$E$17</f>
        <v>99.2530783809215</v>
      </c>
      <c r="N61" s="45" t="n">
        <f aca="false">F61*ESTACIONALIDAD!$F$14+G61*ESTACIONALIDAD!$F$15+H61*ESTACIONALIDAD!$F$16+I61*ESTACIONALIDAD!$F$17</f>
        <v>97.2362197880229</v>
      </c>
      <c r="O61" s="45" t="n">
        <f aca="false">F61*ESTACIONALIDAD!$G$14+G61*ESTACIONALIDAD!$G$15+H61*ESTACIONALIDAD!$G$16+I61*ESTACIONALIDAD!$G$17</f>
        <v>91.5931969291244</v>
      </c>
      <c r="P61" s="45" t="n">
        <f aca="false">F61*ESTACIONALIDAD!$H$14+G61*ESTACIONALIDAD!$H$15+H61*ESTACIONALIDAD!$H$16+I61*ESTACIONALIDAD!$H$17</f>
        <v>99.3097975570835</v>
      </c>
      <c r="Q61" s="45" t="n">
        <f aca="false">F61*ESTACIONALIDAD!$I$14+G61*ESTACIONALIDAD!$I$15+H61*ESTACIONALIDAD!$I$16+I61*ESTACIONALIDAD!$I$17</f>
        <v>101.156498621496</v>
      </c>
      <c r="R61" s="45" t="n">
        <f aca="false">F61*ESTACIONALIDAD!$J$14+G61*ESTACIONALIDAD!$J$15+H61*ESTACIONALIDAD!$J$16+I61*ESTACIONALIDAD!$J$17</f>
        <v>99.3434164884959</v>
      </c>
      <c r="S61" s="45" t="n">
        <f aca="false">F61*ESTACIONALIDAD!$K$14+G61*ESTACIONALIDAD!$K$15+H61*ESTACIONALIDAD!$K$16+I61*ESTACIONALIDAD!$K$17</f>
        <v>93.7571128057594</v>
      </c>
      <c r="T61" s="45" t="n">
        <f aca="false">F61*ESTACIONALIDAD!$L$14+G61*ESTACIONALIDAD!$L$15+H61*ESTACIONALIDAD!$L$16+I61*ESTACIONALIDAD!$L$17</f>
        <v>91.8873114965974</v>
      </c>
      <c r="U61" s="45" t="n">
        <f aca="false">F61*ESTACIONALIDAD!$M$14+G61*ESTACIONALIDAD!$M$15+H61*ESTACIONALIDAD!$M$16+I61*ESTACIONALIDAD!$M$17</f>
        <v>125.908931581555</v>
      </c>
      <c r="V61" s="45" t="n">
        <f aca="false">MAX(J61:U61)</f>
        <v>125.908931581555</v>
      </c>
      <c r="W61" s="46" t="n">
        <f aca="false">E61/INDEX(P_VAL,MATCH("DH_AÑO",P_ID,0))</f>
        <v>5.02340911583333</v>
      </c>
      <c r="X61" s="46" t="n">
        <f aca="false">V61/INDEX(P_VAL,MATCH("DH_MES",P_ID,0))</f>
        <v>6.29544657907774</v>
      </c>
      <c r="Y61" s="25" t="n">
        <f aca="false">INDEX(C_TAB,MATCH($A61,C_COD,0),12)</f>
        <v>10</v>
      </c>
      <c r="Z61" s="46" t="n">
        <f aca="false">(X61-W61)*Y61</f>
        <v>12.720374632444</v>
      </c>
      <c r="AA61" s="45" t="n">
        <f aca="false">W61*Y61+Z61</f>
        <v>62.9544657907774</v>
      </c>
      <c r="AB61" s="25" t="n">
        <f aca="false">INDEX(C_TAB,MATCH($A61,C_COD,0),15)</f>
        <v>10</v>
      </c>
      <c r="AC61" s="45" t="n">
        <f aca="false">INDEX(C_TAB,MATCH($A61,C_COD,0),11)</f>
        <v>100</v>
      </c>
      <c r="AD61" s="45" t="n">
        <f aca="false">MAX(AC61,CEILING(X61*AB61,AC61))</f>
        <v>100</v>
      </c>
      <c r="AE61" s="25" t="n">
        <f aca="false">AD61/AC61</f>
        <v>1</v>
      </c>
      <c r="AF61" s="45" t="n">
        <f aca="false">Z61+AD61</f>
        <v>112.720374632444</v>
      </c>
      <c r="AG61" s="25" t="n">
        <f aca="false">ROUNDUP(AF61/AC61,0)</f>
        <v>2</v>
      </c>
      <c r="AH61" s="45" t="n">
        <f aca="false">IF(W61&gt;0,AF61/W61,0)</f>
        <v>22.4390194055984</v>
      </c>
      <c r="AI61" s="25" t="n">
        <f aca="false">IF(AD61&gt;0,E61/AD61,0)</f>
        <v>12.056181878</v>
      </c>
      <c r="AJ61" s="25" t="n">
        <f aca="false">INDEX(C_TAB,MATCH($A61,C_COD,0),16)</f>
        <v>50</v>
      </c>
      <c r="AK61" s="47" t="n">
        <f aca="false">IF(AJ61&gt;0,AG61/AJ61,0)</f>
        <v>0.04</v>
      </c>
      <c r="AL61" s="45" t="n">
        <f aca="false">INDEX(C_TAB,MATCH($A61,C_COD,0),17)</f>
        <v>0.73</v>
      </c>
      <c r="AM61" s="45" t="n">
        <f aca="false">AK61*AL61</f>
        <v>0.0292</v>
      </c>
    </row>
    <row r="62" customFormat="false" ht="15" hidden="false" customHeight="false" outlineLevel="0" collapsed="false">
      <c r="A62" s="24" t="s">
        <v>1485</v>
      </c>
      <c r="B62" s="24" t="str">
        <f aca="false">INDEX(C_TAB,MATCH($A62,C_COD,0),2)</f>
        <v>Junta tórica del cuello de los equipos de otros fabricantes (recargas)</v>
      </c>
      <c r="C62" s="24" t="str">
        <f aca="false">INDEX(C_TAB,MATCH($A62,C_COD,0),3)</f>
        <v>u</v>
      </c>
      <c r="D62" s="24" t="str">
        <f aca="false">INDEX(C_TAB,MATCH($A62,C_COD,0),6)</f>
        <v>Insumos de recargas</v>
      </c>
      <c r="E62" s="45" t="n">
        <f aca="false">CONSOLIDADO_INSUMOS!T174</f>
        <v>23608.0887822</v>
      </c>
      <c r="F62" s="45" t="n">
        <f aca="false">SUMIFS(CONSOLIDADO_INSUMOS!$T$4:$T$350,CONSOLIDADO_INSUMOS!$B$4:$B$350,$A62,CONSOLIDADO_INSUMOS!$H$4:$H$350,"MANUALES")</f>
        <v>0</v>
      </c>
      <c r="G62" s="45" t="n">
        <f aca="false">SUMIFS(CONSOLIDADO_INSUMOS!$T$4:$T$350,CONSOLIDADO_INSUMOS!$B$4:$B$350,$A62,CONSOLIDADO_INSUMOS!$H$4:$H$350,"RODANTES")</f>
        <v>0</v>
      </c>
      <c r="H62" s="45" t="n">
        <f aca="false">SUMIFS(CONSOLIDADO_INSUMOS!$T$4:$T$350,CONSOLIDADO_INSUMOS!$B$4:$B$350,$A62,CONSOLIDADO_INSUMOS!$H$4:$H$350,"RECARGAS")</f>
        <v>23608.0887822</v>
      </c>
      <c r="I62" s="45" t="n">
        <f aca="false">SUMIFS(CONSOLIDADO_INSUMOS!$T$4:$T$350,CONSOLIDADO_INSUMOS!$B$4:$B$350,$A62,CONSOLIDADO_INSUMOS!$H$4:$H$350,"REVENDIDOS")</f>
        <v>0</v>
      </c>
      <c r="J62" s="45" t="n">
        <f aca="false">F62*ESTACIONALIDAD!$B$14+G62*ESTACIONALIDAD!$B$15+H62*ESTACIONALIDAD!$B$16+I62*ESTACIONALIDAD!$B$17</f>
        <v>2251.02228581732</v>
      </c>
      <c r="K62" s="45" t="n">
        <f aca="false">F62*ESTACIONALIDAD!$C$14+G62*ESTACIONALIDAD!$C$15+H62*ESTACIONALIDAD!$C$16+I62*ESTACIONALIDAD!$C$17</f>
        <v>1864.0236069792</v>
      </c>
      <c r="L62" s="45" t="n">
        <f aca="false">F62*ESTACIONALIDAD!$D$14+G62*ESTACIONALIDAD!$D$15+H62*ESTACIONALIDAD!$D$16+I62*ESTACIONALIDAD!$D$17</f>
        <v>1920.50531189819</v>
      </c>
      <c r="M62" s="45" t="n">
        <f aca="false">F62*ESTACIONALIDAD!$E$14+G62*ESTACIONALIDAD!$E$15+H62*ESTACIONALIDAD!$E$16+I62*ESTACIONALIDAD!$E$17</f>
        <v>1865.61201569685</v>
      </c>
      <c r="N62" s="45" t="n">
        <f aca="false">F62*ESTACIONALIDAD!$F$14+G62*ESTACIONALIDAD!$F$15+H62*ESTACIONALIDAD!$F$16+I62*ESTACIONALIDAD!$F$17</f>
        <v>1809.13031077786</v>
      </c>
      <c r="O62" s="45" t="n">
        <f aca="false">F62*ESTACIONALIDAD!$G$14+G62*ESTACIONALIDAD!$G$15+H62*ESTACIONALIDAD!$G$16+I62*ESTACIONALIDAD!$G$17</f>
        <v>1752.64860585886</v>
      </c>
      <c r="P62" s="45" t="n">
        <f aca="false">F62*ESTACIONALIDAD!$H$14+G62*ESTACIONALIDAD!$H$15+H62*ESTACIONALIDAD!$H$16+I62*ESTACIONALIDAD!$H$17</f>
        <v>1867.2004244145</v>
      </c>
      <c r="Q62" s="45" t="n">
        <f aca="false">F62*ESTACIONALIDAD!$I$14+G62*ESTACIONALIDAD!$I$15+H62*ESTACIONALIDAD!$I$16+I62*ESTACIONALIDAD!$I$17</f>
        <v>1918.91690318054</v>
      </c>
      <c r="R62" s="45" t="n">
        <f aca="false">F62*ESTACIONALIDAD!$J$14+G62*ESTACIONALIDAD!$J$15+H62*ESTACIONALIDAD!$J$16+I62*ESTACIONALIDAD!$J$17</f>
        <v>1918.91690318054</v>
      </c>
      <c r="S62" s="45" t="n">
        <f aca="false">F62*ESTACIONALIDAD!$K$14+G62*ESTACIONALIDAD!$K$15+H62*ESTACIONALIDAD!$K$16+I62*ESTACIONALIDAD!$K$17</f>
        <v>1864.0236069792</v>
      </c>
      <c r="T62" s="45" t="n">
        <f aca="false">F62*ESTACIONALIDAD!$L$14+G62*ESTACIONALIDAD!$L$15+H62*ESTACIONALIDAD!$L$16+I62*ESTACIONALIDAD!$L$17</f>
        <v>1862.43519826154</v>
      </c>
      <c r="U62" s="45" t="n">
        <f aca="false">F62*ESTACIONALIDAD!$M$14+G62*ESTACIONALIDAD!$M$15+H62*ESTACIONALIDAD!$M$16+I62*ESTACIONALIDAD!$M$17</f>
        <v>2713.6536091554</v>
      </c>
      <c r="V62" s="45" t="n">
        <f aca="false">MAX(J62:U62)</f>
        <v>2713.6536091554</v>
      </c>
      <c r="W62" s="46" t="n">
        <f aca="false">E62/INDEX(P_VAL,MATCH("DH_AÑO",P_ID,0))</f>
        <v>98.3670365925</v>
      </c>
      <c r="X62" s="46" t="n">
        <f aca="false">V62/INDEX(P_VAL,MATCH("DH_MES",P_ID,0))</f>
        <v>135.68268045777</v>
      </c>
      <c r="Y62" s="25" t="n">
        <f aca="false">INDEX(C_TAB,MATCH($A62,C_COD,0),12)</f>
        <v>10</v>
      </c>
      <c r="Z62" s="46" t="n">
        <f aca="false">(X62-W62)*Y62</f>
        <v>373.156438652699</v>
      </c>
      <c r="AA62" s="45" t="n">
        <f aca="false">W62*Y62+Z62</f>
        <v>1356.8268045777</v>
      </c>
      <c r="AB62" s="25" t="n">
        <f aca="false">INDEX(C_TAB,MATCH($A62,C_COD,0),15)</f>
        <v>10</v>
      </c>
      <c r="AC62" s="45" t="n">
        <f aca="false">INDEX(C_TAB,MATCH($A62,C_COD,0),11)</f>
        <v>100</v>
      </c>
      <c r="AD62" s="45" t="n">
        <f aca="false">MAX(AC62,CEILING(X62*AB62,AC62))</f>
        <v>1400</v>
      </c>
      <c r="AE62" s="25" t="n">
        <f aca="false">AD62/AC62</f>
        <v>14</v>
      </c>
      <c r="AF62" s="45" t="n">
        <f aca="false">Z62+AD62</f>
        <v>1773.1564386527</v>
      </c>
      <c r="AG62" s="25" t="n">
        <f aca="false">ROUNDUP(AF62/AC62,0)</f>
        <v>18</v>
      </c>
      <c r="AH62" s="45" t="n">
        <f aca="false">IF(W62&gt;0,AF62/W62,0)</f>
        <v>18.0259210816552</v>
      </c>
      <c r="AI62" s="25" t="n">
        <f aca="false">IF(AD62&gt;0,E62/AD62,0)</f>
        <v>16.8629205587143</v>
      </c>
      <c r="AJ62" s="25" t="n">
        <f aca="false">INDEX(C_TAB,MATCH($A62,C_COD,0),16)</f>
        <v>50</v>
      </c>
      <c r="AK62" s="47" t="n">
        <f aca="false">IF(AJ62&gt;0,AG62/AJ62,0)</f>
        <v>0.36</v>
      </c>
      <c r="AL62" s="45" t="n">
        <f aca="false">INDEX(C_TAB,MATCH($A62,C_COD,0),17)</f>
        <v>0.73</v>
      </c>
      <c r="AM62" s="45" t="n">
        <f aca="false">AK62*AL62</f>
        <v>0.2628</v>
      </c>
    </row>
    <row r="63" customFormat="false" ht="15" hidden="false" customHeight="false" outlineLevel="0" collapsed="false">
      <c r="A63" s="24" t="s">
        <v>699</v>
      </c>
      <c r="B63" s="24" t="str">
        <f aca="false">INDEX(C_TAB,MATCH($A63,C_COD,0),2)</f>
        <v>Soporte de pared ABC 2,5 kg</v>
      </c>
      <c r="C63" s="24" t="str">
        <f aca="false">INDEX(C_TAB,MATCH($A63,C_COD,0),3)</f>
        <v>u</v>
      </c>
      <c r="D63" s="24" t="str">
        <f aca="false">INDEX(C_TAB,MATCH($A63,C_COD,0),6)</f>
        <v>Insumos de montaje (manuales)</v>
      </c>
      <c r="E63" s="45" t="n">
        <f aca="false">CONSOLIDADO_INSUMOS!T176</f>
        <v>7424.858444</v>
      </c>
      <c r="F63" s="45" t="n">
        <f aca="false">SUMIFS(CONSOLIDADO_INSUMOS!$T$4:$T$350,CONSOLIDADO_INSUMOS!$B$4:$B$350,$A63,CONSOLIDADO_INSUMOS!$H$4:$H$350,"MANUALES")</f>
        <v>7424.858444</v>
      </c>
      <c r="G63" s="45" t="n">
        <f aca="false">SUMIFS(CONSOLIDADO_INSUMOS!$T$4:$T$350,CONSOLIDADO_INSUMOS!$B$4:$B$350,$A63,CONSOLIDADO_INSUMOS!$H$4:$H$350,"RODANTES")</f>
        <v>0</v>
      </c>
      <c r="H63" s="45" t="n">
        <f aca="false">SUMIFS(CONSOLIDADO_INSUMOS!$T$4:$T$350,CONSOLIDADO_INSUMOS!$B$4:$B$350,$A63,CONSOLIDADO_INSUMOS!$H$4:$H$350,"RECARGAS")</f>
        <v>0</v>
      </c>
      <c r="I63" s="45" t="n">
        <f aca="false">SUMIFS(CONSOLIDADO_INSUMOS!$T$4:$T$350,CONSOLIDADO_INSUMOS!$B$4:$B$350,$A63,CONSOLIDADO_INSUMOS!$H$4:$H$350,"REVENDIDOS")</f>
        <v>0</v>
      </c>
      <c r="J63" s="45" t="n">
        <f aca="false">F63*ESTACIONALIDAD!$B$14+G63*ESTACIONALIDAD!$B$15+H63*ESTACIONALIDAD!$B$16+I63*ESTACIONALIDAD!$B$17</f>
        <v>847.764284475807</v>
      </c>
      <c r="K63" s="45" t="n">
        <f aca="false">F63*ESTACIONALIDAD!$C$14+G63*ESTACIONALIDAD!$C$15+H63*ESTACIONALIDAD!$C$16+I63*ESTACIONALIDAD!$C$17</f>
        <v>646.627895557904</v>
      </c>
      <c r="L63" s="45" t="n">
        <f aca="false">F63*ESTACIONALIDAD!$D$14+G63*ESTACIONALIDAD!$D$15+H63*ESTACIONALIDAD!$D$16+I63*ESTACIONALIDAD!$D$17</f>
        <v>604.793357721048</v>
      </c>
      <c r="M63" s="45" t="n">
        <f aca="false">F63*ESTACIONALIDAD!$E$14+G63*ESTACIONALIDAD!$E$15+H63*ESTACIONALIDAD!$E$16+I63*ESTACIONALIDAD!$E$17</f>
        <v>578.473747702097</v>
      </c>
      <c r="N63" s="45" t="n">
        <f aca="false">F63*ESTACIONALIDAD!$F$14+G63*ESTACIONALIDAD!$F$15+H63*ESTACIONALIDAD!$F$16+I63*ESTACIONALIDAD!$F$17</f>
        <v>541.349455482097</v>
      </c>
      <c r="O63" s="45" t="n">
        <f aca="false">F63*ESTACIONALIDAD!$G$14+G63*ESTACIONALIDAD!$G$15+H63*ESTACIONALIDAD!$G$16+I63*ESTACIONALIDAD!$G$17</f>
        <v>530.544773281048</v>
      </c>
      <c r="P63" s="45" t="n">
        <f aca="false">F63*ESTACIONALIDAD!$H$14+G63*ESTACIONALIDAD!$H$15+H63*ESTACIONALIDAD!$H$16+I63*ESTACIONALIDAD!$H$17</f>
        <v>567.669065501048</v>
      </c>
      <c r="Q63" s="45" t="n">
        <f aca="false">F63*ESTACIONALIDAD!$I$14+G63*ESTACIONALIDAD!$I$15+H63*ESTACIONALIDAD!$I$16+I63*ESTACIONALIDAD!$I$17</f>
        <v>567.669065501048</v>
      </c>
      <c r="R63" s="45" t="n">
        <f aca="false">F63*ESTACIONALIDAD!$J$14+G63*ESTACIONALIDAD!$J$15+H63*ESTACIONALIDAD!$J$16+I63*ESTACIONALIDAD!$J$17</f>
        <v>567.669065501048</v>
      </c>
      <c r="S63" s="45" t="n">
        <f aca="false">F63*ESTACIONALIDAD!$K$14+G63*ESTACIONALIDAD!$K$15+H63*ESTACIONALIDAD!$K$16+I63*ESTACIONALIDAD!$K$17</f>
        <v>556.8643833</v>
      </c>
      <c r="T63" s="45" t="n">
        <f aca="false">F63*ESTACIONALIDAD!$L$14+G63*ESTACIONALIDAD!$L$15+H63*ESTACIONALIDAD!$L$16+I63*ESTACIONALIDAD!$L$17</f>
        <v>546.059701098952</v>
      </c>
      <c r="U63" s="45" t="n">
        <f aca="false">F63*ESTACIONALIDAD!$M$14+G63*ESTACIONALIDAD!$M$15+H63*ESTACIONALIDAD!$M$16+I63*ESTACIONALIDAD!$M$17</f>
        <v>869.373648877904</v>
      </c>
      <c r="V63" s="45" t="n">
        <f aca="false">MAX(J63:U63)</f>
        <v>869.373648877904</v>
      </c>
      <c r="W63" s="46" t="n">
        <f aca="false">E63/INDEX(P_VAL,MATCH("DH_AÑO",P_ID,0))</f>
        <v>30.9369101833333</v>
      </c>
      <c r="X63" s="46" t="n">
        <f aca="false">V63/INDEX(P_VAL,MATCH("DH_MES",P_ID,0))</f>
        <v>43.4686824438952</v>
      </c>
      <c r="Y63" s="25" t="n">
        <f aca="false">INDEX(C_TAB,MATCH($A63,C_COD,0),12)</f>
        <v>15</v>
      </c>
      <c r="Z63" s="46" t="n">
        <f aca="false">(X63-W63)*Y63</f>
        <v>187.976583908428</v>
      </c>
      <c r="AA63" s="45" t="n">
        <f aca="false">W63*Y63+Z63</f>
        <v>652.030236658428</v>
      </c>
      <c r="AB63" s="25" t="n">
        <f aca="false">INDEX(C_TAB,MATCH($A63,C_COD,0),15)</f>
        <v>10</v>
      </c>
      <c r="AC63" s="45" t="n">
        <f aca="false">INDEX(C_TAB,MATCH($A63,C_COD,0),11)</f>
        <v>50</v>
      </c>
      <c r="AD63" s="45" t="n">
        <f aca="false">MAX(AC63,CEILING(X63*AB63,AC63))</f>
        <v>450</v>
      </c>
      <c r="AE63" s="25" t="n">
        <f aca="false">AD63/AC63</f>
        <v>9</v>
      </c>
      <c r="AF63" s="45" t="n">
        <f aca="false">Z63+AD63</f>
        <v>637.976583908428</v>
      </c>
      <c r="AG63" s="25" t="n">
        <f aca="false">ROUNDUP(AF63/AC63,0)</f>
        <v>13</v>
      </c>
      <c r="AH63" s="45" t="n">
        <f aca="false">IF(W63&gt;0,AF63/W63,0)</f>
        <v>20.6218584896731</v>
      </c>
      <c r="AI63" s="25" t="n">
        <f aca="false">IF(AD63&gt;0,E63/AD63,0)</f>
        <v>16.4996854311111</v>
      </c>
      <c r="AJ63" s="25" t="n">
        <f aca="false">INDEX(C_TAB,MATCH($A63,C_COD,0),16)</f>
        <v>10</v>
      </c>
      <c r="AK63" s="47" t="n">
        <f aca="false">IF(AJ63&gt;0,AG63/AJ63,0)</f>
        <v>1.3</v>
      </c>
      <c r="AL63" s="45" t="n">
        <f aca="false">INDEX(C_TAB,MATCH($A63,C_COD,0),17)</f>
        <v>0.73</v>
      </c>
      <c r="AM63" s="45" t="n">
        <f aca="false">AK63*AL63</f>
        <v>0.949</v>
      </c>
    </row>
    <row r="64" customFormat="false" ht="15" hidden="false" customHeight="false" outlineLevel="0" collapsed="false">
      <c r="A64" s="24" t="s">
        <v>786</v>
      </c>
      <c r="B64" s="24" t="str">
        <f aca="false">INDEX(C_TAB,MATCH($A64,C_COD,0),2)</f>
        <v>Soporte de pared ABC 5 kg</v>
      </c>
      <c r="C64" s="24" t="str">
        <f aca="false">INDEX(C_TAB,MATCH($A64,C_COD,0),3)</f>
        <v>u</v>
      </c>
      <c r="D64" s="24" t="str">
        <f aca="false">INDEX(C_TAB,MATCH($A64,C_COD,0),6)</f>
        <v>Insumos de montaje (manuales)</v>
      </c>
      <c r="E64" s="45" t="n">
        <f aca="false">CONSOLIDADO_INSUMOS!T178</f>
        <v>32700.97872</v>
      </c>
      <c r="F64" s="45" t="n">
        <f aca="false">SUMIFS(CONSOLIDADO_INSUMOS!$T$4:$T$350,CONSOLIDADO_INSUMOS!$B$4:$B$350,$A64,CONSOLIDADO_INSUMOS!$H$4:$H$350,"MANUALES")</f>
        <v>32318.77872</v>
      </c>
      <c r="G64" s="45" t="n">
        <f aca="false">SUMIFS(CONSOLIDADO_INSUMOS!$T$4:$T$350,CONSOLIDADO_INSUMOS!$B$4:$B$350,$A64,CONSOLIDADO_INSUMOS!$H$4:$H$350,"RODANTES")</f>
        <v>0</v>
      </c>
      <c r="H64" s="45" t="n">
        <f aca="false">SUMIFS(CONSOLIDADO_INSUMOS!$T$4:$T$350,CONSOLIDADO_INSUMOS!$B$4:$B$350,$A64,CONSOLIDADO_INSUMOS!$H$4:$H$350,"RECARGAS")</f>
        <v>382.2</v>
      </c>
      <c r="I64" s="45" t="n">
        <f aca="false">SUMIFS(CONSOLIDADO_INSUMOS!$T$4:$T$350,CONSOLIDADO_INSUMOS!$B$4:$B$350,$A64,CONSOLIDADO_INSUMOS!$H$4:$H$350,"REVENDIDOS")</f>
        <v>0</v>
      </c>
      <c r="J64" s="45" t="n">
        <f aca="false">F64*ESTACIONALIDAD!$B$14+G64*ESTACIONALIDAD!$B$15+H64*ESTACIONALIDAD!$B$16+I64*ESTACIONALIDAD!$B$17</f>
        <v>3726.57443297548</v>
      </c>
      <c r="K64" s="45" t="n">
        <f aca="false">F64*ESTACIONALIDAD!$C$14+G64*ESTACIONALIDAD!$C$15+H64*ESTACIONALIDAD!$C$16+I64*ESTACIONALIDAD!$C$17</f>
        <v>2844.80662698148</v>
      </c>
      <c r="L64" s="45" t="n">
        <f aca="false">F64*ESTACIONALIDAD!$D$14+G64*ESTACIONALIDAD!$D$15+H64*ESTACIONALIDAD!$D$16+I64*ESTACIONALIDAD!$D$17</f>
        <v>2663.62447133727</v>
      </c>
      <c r="M64" s="45" t="n">
        <f aca="false">F64*ESTACIONALIDAD!$E$14+G64*ESTACIONALIDAD!$E$15+H64*ESTACIONALIDAD!$E$16+I64*ESTACIONALIDAD!$E$17</f>
        <v>2548.1722995633</v>
      </c>
      <c r="N64" s="45" t="n">
        <f aca="false">F64*ESTACIONALIDAD!$F$14+G64*ESTACIONALIDAD!$F$15+H64*ESTACIONALIDAD!$F$16+I64*ESTACIONALIDAD!$F$17</f>
        <v>2385.66400294579</v>
      </c>
      <c r="O64" s="45" t="n">
        <f aca="false">F64*ESTACIONALIDAD!$G$14+G64*ESTACIONALIDAD!$G$15+H64*ESTACIONALIDAD!$G$16+I64*ESTACIONALIDAD!$G$17</f>
        <v>2337.71919041552</v>
      </c>
      <c r="P64" s="45" t="n">
        <f aca="false">F64*ESTACIONALIDAD!$H$14+G64*ESTACIONALIDAD!$H$15+H64*ESTACIONALIDAD!$H$16+I64*ESTACIONALIDAD!$H$17</f>
        <v>2501.1676053813</v>
      </c>
      <c r="Q64" s="45" t="n">
        <f aca="false">F64*ESTACIONALIDAD!$I$14+G64*ESTACIONALIDAD!$I$15+H64*ESTACIONALIDAD!$I$16+I64*ESTACIONALIDAD!$I$17</f>
        <v>2502.0048624065</v>
      </c>
      <c r="R64" s="45" t="n">
        <f aca="false">F64*ESTACIONALIDAD!$J$14+G64*ESTACIONALIDAD!$J$15+H64*ESTACIONALIDAD!$J$16+I64*ESTACIONALIDAD!$J$17</f>
        <v>2502.0048624065</v>
      </c>
      <c r="S64" s="45" t="n">
        <f aca="false">F64*ESTACIONALIDAD!$K$14+G64*ESTACIONALIDAD!$K$15+H64*ESTACIONALIDAD!$K$16+I64*ESTACIONALIDAD!$K$17</f>
        <v>2454.085765207</v>
      </c>
      <c r="T64" s="45" t="n">
        <f aca="false">F64*ESTACIONALIDAD!$L$14+G64*ESTACIONALIDAD!$L$15+H64*ESTACIONALIDAD!$L$16+I64*ESTACIONALIDAD!$L$17</f>
        <v>2407.02964036347</v>
      </c>
      <c r="U64" s="45" t="n">
        <f aca="false">F64*ESTACIONALIDAD!$M$14+G64*ESTACIONALIDAD!$M$15+H64*ESTACIONALIDAD!$M$16+I64*ESTACIONALIDAD!$M$17</f>
        <v>3828.12496001638</v>
      </c>
      <c r="V64" s="45" t="n">
        <f aca="false">MAX(J64:U64)</f>
        <v>3828.12496001638</v>
      </c>
      <c r="W64" s="46" t="n">
        <f aca="false">E64/INDEX(P_VAL,MATCH("DH_AÑO",P_ID,0))</f>
        <v>136.254078</v>
      </c>
      <c r="X64" s="46" t="n">
        <f aca="false">V64/INDEX(P_VAL,MATCH("DH_MES",P_ID,0))</f>
        <v>191.406248000819</v>
      </c>
      <c r="Y64" s="25" t="n">
        <f aca="false">INDEX(C_TAB,MATCH($A64,C_COD,0),12)</f>
        <v>15</v>
      </c>
      <c r="Z64" s="46" t="n">
        <f aca="false">(X64-W64)*Y64</f>
        <v>827.282550012286</v>
      </c>
      <c r="AA64" s="45" t="n">
        <f aca="false">W64*Y64+Z64</f>
        <v>2871.09372001229</v>
      </c>
      <c r="AB64" s="25" t="n">
        <f aca="false">INDEX(C_TAB,MATCH($A64,C_COD,0),15)</f>
        <v>10</v>
      </c>
      <c r="AC64" s="45" t="n">
        <f aca="false">INDEX(C_TAB,MATCH($A64,C_COD,0),11)</f>
        <v>50</v>
      </c>
      <c r="AD64" s="45" t="n">
        <f aca="false">MAX(AC64,CEILING(X64*AB64,AC64))</f>
        <v>1950</v>
      </c>
      <c r="AE64" s="25" t="n">
        <f aca="false">AD64/AC64</f>
        <v>39</v>
      </c>
      <c r="AF64" s="45" t="n">
        <f aca="false">Z64+AD64</f>
        <v>2777.28255001229</v>
      </c>
      <c r="AG64" s="25" t="n">
        <f aca="false">ROUNDUP(AF64/AC64,0)</f>
        <v>56</v>
      </c>
      <c r="AH64" s="45" t="n">
        <f aca="false">IF(W64&gt;0,AF64/W64,0)</f>
        <v>20.3831150654609</v>
      </c>
      <c r="AI64" s="25" t="n">
        <f aca="false">IF(AD64&gt;0,E64/AD64,0)</f>
        <v>16.7697326769231</v>
      </c>
      <c r="AJ64" s="25" t="n">
        <f aca="false">INDEX(C_TAB,MATCH($A64,C_COD,0),16)</f>
        <v>10</v>
      </c>
      <c r="AK64" s="47" t="n">
        <f aca="false">IF(AJ64&gt;0,AG64/AJ64,0)</f>
        <v>5.6</v>
      </c>
      <c r="AL64" s="45" t="n">
        <f aca="false">INDEX(C_TAB,MATCH($A64,C_COD,0),17)</f>
        <v>0.73</v>
      </c>
      <c r="AM64" s="45" t="n">
        <f aca="false">AK64*AL64</f>
        <v>4.088</v>
      </c>
    </row>
    <row r="65" customFormat="false" ht="15" hidden="false" customHeight="false" outlineLevel="0" collapsed="false">
      <c r="A65" s="24" t="s">
        <v>870</v>
      </c>
      <c r="B65" s="24" t="str">
        <f aca="false">INDEX(C_TAB,MATCH($A65,C_COD,0),2)</f>
        <v>Soporte de pared ABC 10 kg</v>
      </c>
      <c r="C65" s="24" t="str">
        <f aca="false">INDEX(C_TAB,MATCH($A65,C_COD,0),3)</f>
        <v>u</v>
      </c>
      <c r="D65" s="24" t="str">
        <f aca="false">INDEX(C_TAB,MATCH($A65,C_COD,0),6)</f>
        <v>Insumos de montaje (manuales)</v>
      </c>
      <c r="E65" s="45" t="n">
        <f aca="false">CONSOLIDADO_INSUMOS!T181</f>
        <v>1847.898079</v>
      </c>
      <c r="F65" s="45" t="n">
        <f aca="false">SUMIFS(CONSOLIDADO_INSUMOS!$T$4:$T$350,CONSOLIDADO_INSUMOS!$B$4:$B$350,$A65,CONSOLIDADO_INSUMOS!$H$4:$H$350,"MANUALES")</f>
        <v>1840.848079</v>
      </c>
      <c r="G65" s="45" t="n">
        <f aca="false">SUMIFS(CONSOLIDADO_INSUMOS!$T$4:$T$350,CONSOLIDADO_INSUMOS!$B$4:$B$350,$A65,CONSOLIDADO_INSUMOS!$H$4:$H$350,"RODANTES")</f>
        <v>0</v>
      </c>
      <c r="H65" s="45" t="n">
        <f aca="false">SUMIFS(CONSOLIDADO_INSUMOS!$T$4:$T$350,CONSOLIDADO_INSUMOS!$B$4:$B$350,$A65,CONSOLIDADO_INSUMOS!$H$4:$H$350,"RECARGAS")</f>
        <v>7.05</v>
      </c>
      <c r="I65" s="45" t="n">
        <f aca="false">SUMIFS(CONSOLIDADO_INSUMOS!$T$4:$T$350,CONSOLIDADO_INSUMOS!$B$4:$B$350,$A65,CONSOLIDADO_INSUMOS!$H$4:$H$350,"REVENDIDOS")</f>
        <v>0</v>
      </c>
      <c r="J65" s="45" t="n">
        <f aca="false">F65*ESTACIONALIDAD!$B$14+G65*ESTACIONALIDAD!$B$15+H65*ESTACIONALIDAD!$B$16+I65*ESTACIONALIDAD!$B$17</f>
        <v>210.858747840278</v>
      </c>
      <c r="K65" s="45" t="n">
        <f aca="false">F65*ESTACIONALIDAD!$C$14+G65*ESTACIONALIDAD!$C$15+H65*ESTACIONALIDAD!$C$16+I65*ESTACIONALIDAD!$C$17</f>
        <v>160.875355653564</v>
      </c>
      <c r="L65" s="45" t="n">
        <f aca="false">F65*ESTACIONALIDAD!$D$14+G65*ESTACIONALIDAD!$D$15+H65*ESTACIONALIDAD!$D$16+I65*ESTACIONALIDAD!$D$17</f>
        <v>150.520169138845</v>
      </c>
      <c r="M65" s="45" t="n">
        <f aca="false">F65*ESTACIONALIDAD!$E$14+G65*ESTACIONALIDAD!$E$15+H65*ESTACIONALIDAD!$E$16+I65*ESTACIONALIDAD!$E$17</f>
        <v>143.978345267623</v>
      </c>
      <c r="N65" s="45" t="n">
        <f aca="false">F65*ESTACIONALIDAD!$F$14+G65*ESTACIONALIDAD!$F$15+H65*ESTACIONALIDAD!$F$16+I65*ESTACIONALIDAD!$F$17</f>
        <v>134.757237940982</v>
      </c>
      <c r="O65" s="45" t="n">
        <f aca="false">F65*ESTACIONALIDAD!$G$14+G65*ESTACIONALIDAD!$G$15+H65*ESTACIONALIDAD!$G$16+I65*ESTACIONALIDAD!$G$17</f>
        <v>132.061561894794</v>
      </c>
      <c r="P65" s="45" t="n">
        <f aca="false">F65*ESTACIONALIDAD!$H$14+G65*ESTACIONALIDAD!$H$15+H65*ESTACIONALIDAD!$H$16+I65*ESTACIONALIDAD!$H$17</f>
        <v>141.300010493951</v>
      </c>
      <c r="Q65" s="45" t="n">
        <f aca="false">F65*ESTACIONALIDAD!$I$14+G65*ESTACIONALIDAD!$I$15+H65*ESTACIONALIDAD!$I$16+I65*ESTACIONALIDAD!$I$17</f>
        <v>141.315454402971</v>
      </c>
      <c r="R65" s="45" t="n">
        <f aca="false">F65*ESTACIONALIDAD!$J$14+G65*ESTACIONALIDAD!$J$15+H65*ESTACIONALIDAD!$J$16+I65*ESTACIONALIDAD!$J$17</f>
        <v>141.315454402971</v>
      </c>
      <c r="S65" s="45" t="n">
        <f aca="false">F65*ESTACIONALIDAD!$K$14+G65*ESTACIONALIDAD!$K$15+H65*ESTACIONALIDAD!$K$16+I65*ESTACIONALIDAD!$K$17</f>
        <v>138.620252697657</v>
      </c>
      <c r="T65" s="45" t="n">
        <f aca="false">F65*ESTACIONALIDAD!$L$14+G65*ESTACIONALIDAD!$L$15+H65*ESTACIONALIDAD!$L$16+I65*ESTACIONALIDAD!$L$17</f>
        <v>135.940969242236</v>
      </c>
      <c r="U65" s="45" t="n">
        <f aca="false">F65*ESTACIONALIDAD!$M$14+G65*ESTACIONALIDAD!$M$15+H65*ESTACIONALIDAD!$M$16+I65*ESTACIONALIDAD!$M$17</f>
        <v>216.354520024129</v>
      </c>
      <c r="V65" s="45" t="n">
        <f aca="false">MAX(J65:U65)</f>
        <v>216.354520024129</v>
      </c>
      <c r="W65" s="46" t="n">
        <f aca="false">E65/INDEX(P_VAL,MATCH("DH_AÑO",P_ID,0))</f>
        <v>7.69957532916667</v>
      </c>
      <c r="X65" s="46" t="n">
        <f aca="false">V65/INDEX(P_VAL,MATCH("DH_MES",P_ID,0))</f>
        <v>10.8177260012064</v>
      </c>
      <c r="Y65" s="25" t="n">
        <f aca="false">INDEX(C_TAB,MATCH($A65,C_COD,0),12)</f>
        <v>15</v>
      </c>
      <c r="Z65" s="46" t="n">
        <f aca="false">(X65-W65)*Y65</f>
        <v>46.7722600805966</v>
      </c>
      <c r="AA65" s="45" t="n">
        <f aca="false">W65*Y65+Z65</f>
        <v>162.265890018097</v>
      </c>
      <c r="AB65" s="25" t="n">
        <f aca="false">INDEX(C_TAB,MATCH($A65,C_COD,0),15)</f>
        <v>10</v>
      </c>
      <c r="AC65" s="45" t="n">
        <f aca="false">INDEX(C_TAB,MATCH($A65,C_COD,0),11)</f>
        <v>50</v>
      </c>
      <c r="AD65" s="45" t="n">
        <f aca="false">MAX(AC65,CEILING(X65*AB65,AC65))</f>
        <v>150</v>
      </c>
      <c r="AE65" s="25" t="n">
        <f aca="false">AD65/AC65</f>
        <v>3</v>
      </c>
      <c r="AF65" s="45" t="n">
        <f aca="false">Z65+AD65</f>
        <v>196.772260080597</v>
      </c>
      <c r="AG65" s="25" t="n">
        <f aca="false">ROUNDUP(AF65/AC65,0)</f>
        <v>4</v>
      </c>
      <c r="AH65" s="45" t="n">
        <f aca="false">IF(W65&gt;0,AF65/W65,0)</f>
        <v>25.5562484511589</v>
      </c>
      <c r="AI65" s="25" t="n">
        <f aca="false">IF(AD65&gt;0,E65/AD65,0)</f>
        <v>12.3193205266667</v>
      </c>
      <c r="AJ65" s="25" t="n">
        <f aca="false">INDEX(C_TAB,MATCH($A65,C_COD,0),16)</f>
        <v>10</v>
      </c>
      <c r="AK65" s="47" t="n">
        <f aca="false">IF(AJ65&gt;0,AG65/AJ65,0)</f>
        <v>0.4</v>
      </c>
      <c r="AL65" s="45" t="n">
        <f aca="false">INDEX(C_TAB,MATCH($A65,C_COD,0),17)</f>
        <v>0.73</v>
      </c>
      <c r="AM65" s="45" t="n">
        <f aca="false">AK65*AL65</f>
        <v>0.292</v>
      </c>
    </row>
    <row r="66" customFormat="false" ht="15" hidden="false" customHeight="false" outlineLevel="0" collapsed="false">
      <c r="A66" s="24" t="s">
        <v>602</v>
      </c>
      <c r="B66" s="24" t="str">
        <f aca="false">INDEX(C_TAB,MATCH($A66,C_COD,0),2)</f>
        <v>Soporte vehicular con cierre rápido (1 kg)</v>
      </c>
      <c r="C66" s="24" t="str">
        <f aca="false">INDEX(C_TAB,MATCH($A66,C_COD,0),3)</f>
        <v>u</v>
      </c>
      <c r="D66" s="24" t="str">
        <f aca="false">INDEX(C_TAB,MATCH($A66,C_COD,0),6)</f>
        <v>Insumos de montaje (manuales)</v>
      </c>
      <c r="E66" s="45" t="n">
        <f aca="false">CONSOLIDADO_INSUMOS!T184</f>
        <v>32072.63913</v>
      </c>
      <c r="F66" s="45" t="n">
        <f aca="false">SUMIFS(CONSOLIDADO_INSUMOS!$T$4:$T$350,CONSOLIDADO_INSUMOS!$B$4:$B$350,$A66,CONSOLIDADO_INSUMOS!$H$4:$H$350,"MANUALES")</f>
        <v>32072.63913</v>
      </c>
      <c r="G66" s="45" t="n">
        <f aca="false">SUMIFS(CONSOLIDADO_INSUMOS!$T$4:$T$350,CONSOLIDADO_INSUMOS!$B$4:$B$350,$A66,CONSOLIDADO_INSUMOS!$H$4:$H$350,"RODANTES")</f>
        <v>0</v>
      </c>
      <c r="H66" s="45" t="n">
        <f aca="false">SUMIFS(CONSOLIDADO_INSUMOS!$T$4:$T$350,CONSOLIDADO_INSUMOS!$B$4:$B$350,$A66,CONSOLIDADO_INSUMOS!$H$4:$H$350,"RECARGAS")</f>
        <v>0</v>
      </c>
      <c r="I66" s="45" t="n">
        <f aca="false">SUMIFS(CONSOLIDADO_INSUMOS!$T$4:$T$350,CONSOLIDADO_INSUMOS!$B$4:$B$350,$A66,CONSOLIDADO_INSUMOS!$H$4:$H$350,"REVENDIDOS")</f>
        <v>0</v>
      </c>
      <c r="J66" s="45" t="n">
        <f aca="false">F66*ESTACIONALIDAD!$B$14+G66*ESTACIONALIDAD!$B$15+H66*ESTACIONALIDAD!$B$16+I66*ESTACIONALIDAD!$B$17</f>
        <v>3662.02779061295</v>
      </c>
      <c r="K66" s="45" t="n">
        <f aca="false">F66*ESTACIONALIDAD!$C$14+G66*ESTACIONALIDAD!$C$15+H66*ESTACIONALIDAD!$C$16+I66*ESTACIONALIDAD!$C$17</f>
        <v>2793.19306920648</v>
      </c>
      <c r="L66" s="45" t="n">
        <f aca="false">F66*ESTACIONALIDAD!$D$14+G66*ESTACIONALIDAD!$D$15+H66*ESTACIONALIDAD!$D$16+I66*ESTACIONALIDAD!$D$17</f>
        <v>2612.48335664676</v>
      </c>
      <c r="M66" s="45" t="n">
        <f aca="false">F66*ESTACIONALIDAD!$E$14+G66*ESTACIONALIDAD!$E$15+H66*ESTACIONALIDAD!$E$16+I66*ESTACIONALIDAD!$E$17</f>
        <v>2498.79238724353</v>
      </c>
      <c r="N66" s="45" t="n">
        <f aca="false">F66*ESTACIONALIDAD!$F$14+G66*ESTACIONALIDAD!$F$15+H66*ESTACIONALIDAD!$F$16+I66*ESTACIONALIDAD!$F$17</f>
        <v>2338.42919159353</v>
      </c>
      <c r="O66" s="45" t="n">
        <f aca="false">F66*ESTACIONALIDAD!$G$14+G66*ESTACIONALIDAD!$G$15+H66*ESTACIONALIDAD!$G$16+I66*ESTACIONALIDAD!$G$17</f>
        <v>2291.75696534676</v>
      </c>
      <c r="P66" s="45" t="n">
        <f aca="false">F66*ESTACIONALIDAD!$H$14+G66*ESTACIONALIDAD!$H$15+H66*ESTACIONALIDAD!$H$16+I66*ESTACIONALIDAD!$H$17</f>
        <v>2452.12016099676</v>
      </c>
      <c r="Q66" s="45" t="n">
        <f aca="false">F66*ESTACIONALIDAD!$I$14+G66*ESTACIONALIDAD!$I$15+H66*ESTACIONALIDAD!$I$16+I66*ESTACIONALIDAD!$I$17</f>
        <v>2452.12016099676</v>
      </c>
      <c r="R66" s="45" t="n">
        <f aca="false">F66*ESTACIONALIDAD!$J$14+G66*ESTACIONALIDAD!$J$15+H66*ESTACIONALIDAD!$J$16+I66*ESTACIONALIDAD!$J$17</f>
        <v>2452.12016099676</v>
      </c>
      <c r="S66" s="45" t="n">
        <f aca="false">F66*ESTACIONALIDAD!$K$14+G66*ESTACIONALIDAD!$K$15+H66*ESTACIONALIDAD!$K$16+I66*ESTACIONALIDAD!$K$17</f>
        <v>2405.44793475</v>
      </c>
      <c r="T66" s="45" t="n">
        <f aca="false">F66*ESTACIONALIDAD!$L$14+G66*ESTACIONALIDAD!$L$15+H66*ESTACIONALIDAD!$L$16+I66*ESTACIONALIDAD!$L$17</f>
        <v>2358.77570850324</v>
      </c>
      <c r="U66" s="45" t="n">
        <f aca="false">F66*ESTACIONALIDAD!$M$14+G66*ESTACIONALIDAD!$M$15+H66*ESTACIONALIDAD!$M$16+I66*ESTACIONALIDAD!$M$17</f>
        <v>3755.37224310648</v>
      </c>
      <c r="V66" s="45" t="n">
        <f aca="false">MAX(J66:U66)</f>
        <v>3755.37224310648</v>
      </c>
      <c r="W66" s="46" t="n">
        <f aca="false">E66/INDEX(P_VAL,MATCH("DH_AÑO",P_ID,0))</f>
        <v>133.635996375</v>
      </c>
      <c r="X66" s="46" t="n">
        <f aca="false">V66/INDEX(P_VAL,MATCH("DH_MES",P_ID,0))</f>
        <v>187.768612155324</v>
      </c>
      <c r="Y66" s="25" t="n">
        <f aca="false">INDEX(C_TAB,MATCH($A66,C_COD,0),12)</f>
        <v>15</v>
      </c>
      <c r="Z66" s="46" t="n">
        <f aca="false">(X66-W66)*Y66</f>
        <v>811.989236704857</v>
      </c>
      <c r="AA66" s="45" t="n">
        <f aca="false">W66*Y66+Z66</f>
        <v>2816.52918232986</v>
      </c>
      <c r="AB66" s="25" t="n">
        <f aca="false">INDEX(C_TAB,MATCH($A66,C_COD,0),15)</f>
        <v>10</v>
      </c>
      <c r="AC66" s="45" t="n">
        <f aca="false">INDEX(C_TAB,MATCH($A66,C_COD,0),11)</f>
        <v>50</v>
      </c>
      <c r="AD66" s="45" t="n">
        <f aca="false">MAX(AC66,CEILING(X66*AB66,AC66))</f>
        <v>1900</v>
      </c>
      <c r="AE66" s="25" t="n">
        <f aca="false">AD66/AC66</f>
        <v>38</v>
      </c>
      <c r="AF66" s="45" t="n">
        <f aca="false">Z66+AD66</f>
        <v>2711.98923670486</v>
      </c>
      <c r="AG66" s="25" t="n">
        <f aca="false">ROUNDUP(AF66/AC66,0)</f>
        <v>55</v>
      </c>
      <c r="AH66" s="45" t="n">
        <f aca="false">IF(W66&gt;0,AF66/W66,0)</f>
        <v>20.2938527812122</v>
      </c>
      <c r="AI66" s="25" t="n">
        <f aca="false">IF(AD66&gt;0,E66/AD66,0)</f>
        <v>16.8803363842105</v>
      </c>
      <c r="AJ66" s="25" t="n">
        <f aca="false">INDEX(C_TAB,MATCH($A66,C_COD,0),16)</f>
        <v>10</v>
      </c>
      <c r="AK66" s="47" t="n">
        <f aca="false">IF(AJ66&gt;0,AG66/AJ66,0)</f>
        <v>5.5</v>
      </c>
      <c r="AL66" s="45" t="n">
        <f aca="false">INDEX(C_TAB,MATCH($A66,C_COD,0),17)</f>
        <v>0.73</v>
      </c>
      <c r="AM66" s="45" t="n">
        <f aca="false">AK66*AL66</f>
        <v>4.015</v>
      </c>
    </row>
    <row r="67" customFormat="false" ht="15" hidden="false" customHeight="false" outlineLevel="0" collapsed="false">
      <c r="A67" s="24" t="s">
        <v>703</v>
      </c>
      <c r="B67" s="24" t="str">
        <f aca="false">INDEX(C_TAB,MATCH($A67,C_COD,0),2)</f>
        <v>Tornillo M8 y tarugo Ø10 de fijación</v>
      </c>
      <c r="C67" s="24" t="str">
        <f aca="false">INDEX(C_TAB,MATCH($A67,C_COD,0),3)</f>
        <v>u</v>
      </c>
      <c r="D67" s="24" t="str">
        <f aca="false">INDEX(C_TAB,MATCH($A67,C_COD,0),6)</f>
        <v>Insumos de montaje (manuales)</v>
      </c>
      <c r="E67" s="45" t="n">
        <f aca="false">CONSOLIDADO_INSUMOS!T186</f>
        <v>83947.470486</v>
      </c>
      <c r="F67" s="45" t="n">
        <f aca="false">SUMIFS(CONSOLIDADO_INSUMOS!$T$4:$T$350,CONSOLIDADO_INSUMOS!$B$4:$B$350,$A67,CONSOLIDADO_INSUMOS!$H$4:$H$350,"MANUALES")</f>
        <v>83168.970486</v>
      </c>
      <c r="G67" s="45" t="n">
        <f aca="false">SUMIFS(CONSOLIDADO_INSUMOS!$T$4:$T$350,CONSOLIDADO_INSUMOS!$B$4:$B$350,$A67,CONSOLIDADO_INSUMOS!$H$4:$H$350,"RODANTES")</f>
        <v>0</v>
      </c>
      <c r="H67" s="45" t="n">
        <f aca="false">SUMIFS(CONSOLIDADO_INSUMOS!$T$4:$T$350,CONSOLIDADO_INSUMOS!$B$4:$B$350,$A67,CONSOLIDADO_INSUMOS!$H$4:$H$350,"RECARGAS")</f>
        <v>778.5</v>
      </c>
      <c r="I67" s="45" t="n">
        <f aca="false">SUMIFS(CONSOLIDADO_INSUMOS!$T$4:$T$350,CONSOLIDADO_INSUMOS!$B$4:$B$350,$A67,CONSOLIDADO_INSUMOS!$H$4:$H$350,"REVENDIDOS")</f>
        <v>0</v>
      </c>
      <c r="J67" s="45" t="n">
        <f aca="false">F67*ESTACIONALIDAD!$B$14+G67*ESTACIONALIDAD!$B$15+H67*ESTACIONALIDAD!$B$16+I67*ESTACIONALIDAD!$B$17</f>
        <v>9570.39493058313</v>
      </c>
      <c r="K67" s="45" t="n">
        <f aca="false">F67*ESTACIONALIDAD!$C$14+G67*ESTACIONALIDAD!$C$15+H67*ESTACIONALIDAD!$C$16+I67*ESTACIONALIDAD!$C$17</f>
        <v>7304.6197563859</v>
      </c>
      <c r="L67" s="45" t="n">
        <f aca="false">F67*ESTACIONALIDAD!$D$14+G67*ESTACIONALIDAD!$D$15+H67*ESTACIONALIDAD!$D$16+I67*ESTACIONALIDAD!$D$17</f>
        <v>6837.87599639433</v>
      </c>
      <c r="M67" s="45" t="n">
        <f aca="false">F67*ESTACIONALIDAD!$E$14+G67*ESTACIONALIDAD!$E$15+H67*ESTACIONALIDAD!$E$16+I67*ESTACIONALIDAD!$E$17</f>
        <v>6541.24878506603</v>
      </c>
      <c r="N67" s="45" t="n">
        <f aca="false">F67*ESTACIONALIDAD!$F$14+G67*ESTACIONALIDAD!$F$15+H67*ESTACIONALIDAD!$F$16+I67*ESTACIONALIDAD!$F$17</f>
        <v>6123.54139273773</v>
      </c>
      <c r="O67" s="45" t="n">
        <f aca="false">F67*ESTACIONALIDAD!$G$14+G67*ESTACIONALIDAD!$G$15+H67*ESTACIONALIDAD!$G$16+I67*ESTACIONALIDAD!$G$17</f>
        <v>6000.65105118272</v>
      </c>
      <c r="P67" s="45" t="n">
        <f aca="false">F67*ESTACIONALIDAD!$H$14+G67*ESTACIONALIDAD!$H$15+H67*ESTACIONALIDAD!$H$16+I67*ESTACIONALIDAD!$H$17</f>
        <v>6420.27336275261</v>
      </c>
      <c r="Q67" s="45" t="n">
        <f aca="false">F67*ESTACIONALIDAD!$I$14+G67*ESTACIONALIDAD!$I$15+H67*ESTACIONALIDAD!$I$16+I67*ESTACIONALIDAD!$I$17</f>
        <v>6421.97876462104</v>
      </c>
      <c r="R67" s="45" t="n">
        <f aca="false">F67*ESTACIONALIDAD!$J$14+G67*ESTACIONALIDAD!$J$15+H67*ESTACIONALIDAD!$J$16+I67*ESTACIONALIDAD!$J$17</f>
        <v>6421.97876462104</v>
      </c>
      <c r="S67" s="45" t="n">
        <f aca="false">F67*ESTACIONALIDAD!$K$14+G67*ESTACIONALIDAD!$K$15+H67*ESTACIONALIDAD!$K$16+I67*ESTACIONALIDAD!$K$17</f>
        <v>6299.14080240932</v>
      </c>
      <c r="T67" s="45" t="n">
        <f aca="false">F67*ESTACIONALIDAD!$L$14+G67*ESTACIONALIDAD!$L$15+H67*ESTACIONALIDAD!$L$16+I67*ESTACIONALIDAD!$L$17</f>
        <v>6178.06062140932</v>
      </c>
      <c r="U67" s="45" t="n">
        <f aca="false">F67*ESTACIONALIDAD!$M$14+G67*ESTACIONALIDAD!$M$15+H67*ESTACIONALIDAD!$M$16+I67*ESTACIONALIDAD!$M$17</f>
        <v>9827.70625783683</v>
      </c>
      <c r="V67" s="45" t="n">
        <f aca="false">MAX(J67:U67)</f>
        <v>9827.70625783683</v>
      </c>
      <c r="W67" s="46" t="n">
        <f aca="false">E67/INDEX(P_VAL,MATCH("DH_AÑO",P_ID,0))</f>
        <v>349.781127025</v>
      </c>
      <c r="X67" s="46" t="n">
        <f aca="false">V67/INDEX(P_VAL,MATCH("DH_MES",P_ID,0))</f>
        <v>491.385312891841</v>
      </c>
      <c r="Y67" s="25" t="n">
        <f aca="false">INDEX(C_TAB,MATCH($A67,C_COD,0),12)</f>
        <v>5</v>
      </c>
      <c r="Z67" s="46" t="n">
        <f aca="false">(X67-W67)*Y67</f>
        <v>708.020929334207</v>
      </c>
      <c r="AA67" s="45" t="n">
        <f aca="false">W67*Y67+Z67</f>
        <v>2456.92656445921</v>
      </c>
      <c r="AB67" s="25" t="n">
        <f aca="false">INDEX(C_TAB,MATCH($A67,C_COD,0),15)</f>
        <v>10</v>
      </c>
      <c r="AC67" s="45" t="n">
        <f aca="false">INDEX(C_TAB,MATCH($A67,C_COD,0),11)</f>
        <v>500</v>
      </c>
      <c r="AD67" s="45" t="n">
        <f aca="false">MAX(AC67,CEILING(X67*AB67,AC67))</f>
        <v>5000</v>
      </c>
      <c r="AE67" s="25" t="n">
        <f aca="false">AD67/AC67</f>
        <v>10</v>
      </c>
      <c r="AF67" s="45" t="n">
        <f aca="false">Z67+AD67</f>
        <v>5708.02092933421</v>
      </c>
      <c r="AG67" s="25" t="n">
        <f aca="false">ROUNDUP(AF67/AC67,0)</f>
        <v>12</v>
      </c>
      <c r="AH67" s="45" t="n">
        <f aca="false">IF(W67&gt;0,AF67/W67,0)</f>
        <v>16.3188362330545</v>
      </c>
      <c r="AI67" s="25" t="n">
        <f aca="false">IF(AD67&gt;0,E67/AD67,0)</f>
        <v>16.7894940972</v>
      </c>
      <c r="AJ67" s="25" t="n">
        <f aca="false">INDEX(C_TAB,MATCH($A67,C_COD,0),16)</f>
        <v>20</v>
      </c>
      <c r="AK67" s="47" t="n">
        <f aca="false">IF(AJ67&gt;0,AG67/AJ67,0)</f>
        <v>0.6</v>
      </c>
      <c r="AL67" s="45" t="n">
        <f aca="false">INDEX(C_TAB,MATCH($A67,C_COD,0),17)</f>
        <v>0.73</v>
      </c>
      <c r="AM67" s="45" t="n">
        <f aca="false">AK67*AL67</f>
        <v>0.438</v>
      </c>
    </row>
    <row r="68" customFormat="false" ht="15" hidden="false" customHeight="false" outlineLevel="0" collapsed="false">
      <c r="A68" s="24" t="s">
        <v>957</v>
      </c>
      <c r="B68" s="24" t="str">
        <f aca="false">INDEX(C_TAB,MATCH($A68,C_COD,0),2)</f>
        <v>Rueda de chapa y goma Ø300 × 50, buje 3/4" (carro 25 kg)</v>
      </c>
      <c r="C68" s="24" t="str">
        <f aca="false">INDEX(C_TAB,MATCH($A68,C_COD,0),3)</f>
        <v>u</v>
      </c>
      <c r="D68" s="24" t="str">
        <f aca="false">INDEX(C_TAB,MATCH($A68,C_COD,0),6)</f>
        <v>Rack de insumos de montaje (carros)</v>
      </c>
      <c r="E68" s="45" t="n">
        <f aca="false">CONSOLIDADO_INSUMOS!T189</f>
        <v>906.5410664</v>
      </c>
      <c r="F68" s="45" t="n">
        <f aca="false">SUMIFS(CONSOLIDADO_INSUMOS!$T$4:$T$350,CONSOLIDADO_INSUMOS!$B$4:$B$350,$A68,CONSOLIDADO_INSUMOS!$H$4:$H$350,"MANUALES")</f>
        <v>0</v>
      </c>
      <c r="G68" s="45" t="n">
        <f aca="false">SUMIFS(CONSOLIDADO_INSUMOS!$T$4:$T$350,CONSOLIDADO_INSUMOS!$B$4:$B$350,$A68,CONSOLIDADO_INSUMOS!$H$4:$H$350,"RODANTES")</f>
        <v>906.5410664</v>
      </c>
      <c r="H68" s="45" t="n">
        <f aca="false">SUMIFS(CONSOLIDADO_INSUMOS!$T$4:$T$350,CONSOLIDADO_INSUMOS!$B$4:$B$350,$A68,CONSOLIDADO_INSUMOS!$H$4:$H$350,"RECARGAS")</f>
        <v>0</v>
      </c>
      <c r="I68" s="45" t="n">
        <f aca="false">SUMIFS(CONSOLIDADO_INSUMOS!$T$4:$T$350,CONSOLIDADO_INSUMOS!$B$4:$B$350,$A68,CONSOLIDADO_INSUMOS!$H$4:$H$350,"REVENDIDOS")</f>
        <v>0</v>
      </c>
      <c r="J68" s="45" t="n">
        <f aca="false">F68*ESTACIONALIDAD!$B$14+G68*ESTACIONALIDAD!$B$15+H68*ESTACIONALIDAD!$B$16+I68*ESTACIONALIDAD!$B$17</f>
        <v>77.055990644</v>
      </c>
      <c r="K68" s="45" t="n">
        <f aca="false">F68*ESTACIONALIDAD!$C$14+G68*ESTACIONALIDAD!$C$15+H68*ESTACIONALIDAD!$C$16+I68*ESTACIONALIDAD!$C$17</f>
        <v>67.99057998</v>
      </c>
      <c r="L68" s="45" t="n">
        <f aca="false">F68*ESTACIONALIDAD!$D$14+G68*ESTACIONALIDAD!$D$15+H68*ESTACIONALIDAD!$D$16+I68*ESTACIONALIDAD!$D$17</f>
        <v>81.588695976</v>
      </c>
      <c r="M68" s="45" t="n">
        <f aca="false">F68*ESTACIONALIDAD!$E$14+G68*ESTACIONALIDAD!$E$15+H68*ESTACIONALIDAD!$E$16+I68*ESTACIONALIDAD!$E$17</f>
        <v>81.588695976</v>
      </c>
      <c r="N68" s="45" t="n">
        <f aca="false">F68*ESTACIONALIDAD!$F$14+G68*ESTACIONALIDAD!$F$15+H68*ESTACIONALIDAD!$F$16+I68*ESTACIONALIDAD!$F$17</f>
        <v>81.588695976</v>
      </c>
      <c r="O68" s="45" t="n">
        <f aca="false">F68*ESTACIONALIDAD!$G$14+G68*ESTACIONALIDAD!$G$15+H68*ESTACIONALIDAD!$G$16+I68*ESTACIONALIDAD!$G$17</f>
        <v>72.523285312</v>
      </c>
      <c r="P68" s="45" t="n">
        <f aca="false">F68*ESTACIONALIDAD!$H$14+G68*ESTACIONALIDAD!$H$15+H68*ESTACIONALIDAD!$H$16+I68*ESTACIONALIDAD!$H$17</f>
        <v>81.588695976</v>
      </c>
      <c r="Q68" s="45" t="n">
        <f aca="false">F68*ESTACIONALIDAD!$I$14+G68*ESTACIONALIDAD!$I$15+H68*ESTACIONALIDAD!$I$16+I68*ESTACIONALIDAD!$I$17</f>
        <v>81.588695976</v>
      </c>
      <c r="R68" s="45" t="n">
        <f aca="false">F68*ESTACIONALIDAD!$J$14+G68*ESTACIONALIDAD!$J$15+H68*ESTACIONALIDAD!$J$16+I68*ESTACIONALIDAD!$J$17</f>
        <v>77.055990644</v>
      </c>
      <c r="S68" s="45" t="n">
        <f aca="false">F68*ESTACIONALIDAD!$K$14+G68*ESTACIONALIDAD!$K$15+H68*ESTACIONALIDAD!$K$16+I68*ESTACIONALIDAD!$K$17</f>
        <v>67.99057998</v>
      </c>
      <c r="T68" s="45" t="n">
        <f aca="false">F68*ESTACIONALIDAD!$L$14+G68*ESTACIONALIDAD!$L$15+H68*ESTACIONALIDAD!$L$16+I68*ESTACIONALIDAD!$L$17</f>
        <v>63.457874648</v>
      </c>
      <c r="U68" s="45" t="n">
        <f aca="false">F68*ESTACIONALIDAD!$M$14+G68*ESTACIONALIDAD!$M$15+H68*ESTACIONALIDAD!$M$16+I68*ESTACIONALIDAD!$M$17</f>
        <v>72.523285312</v>
      </c>
      <c r="V68" s="45" t="n">
        <f aca="false">MAX(J68:U68)</f>
        <v>81.588695976</v>
      </c>
      <c r="W68" s="46" t="n">
        <f aca="false">E68/INDEX(P_VAL,MATCH("DH_AÑO",P_ID,0))</f>
        <v>3.77725444333333</v>
      </c>
      <c r="X68" s="46" t="n">
        <f aca="false">V68/INDEX(P_VAL,MATCH("DH_MES",P_ID,0))</f>
        <v>4.0794347988</v>
      </c>
      <c r="Y68" s="25" t="n">
        <f aca="false">INDEX(C_TAB,MATCH($A68,C_COD,0),12)</f>
        <v>15</v>
      </c>
      <c r="Z68" s="46" t="n">
        <f aca="false">(X68-W68)*Y68</f>
        <v>4.53270533199999</v>
      </c>
      <c r="AA68" s="45" t="n">
        <f aca="false">W68*Y68+Z68</f>
        <v>61.191521982</v>
      </c>
      <c r="AB68" s="25" t="n">
        <f aca="false">INDEX(C_TAB,MATCH($A68,C_COD,0),15)</f>
        <v>10</v>
      </c>
      <c r="AC68" s="45" t="n">
        <f aca="false">INDEX(C_TAB,MATCH($A68,C_COD,0),11)</f>
        <v>10</v>
      </c>
      <c r="AD68" s="45" t="n">
        <f aca="false">MAX(AC68,CEILING(X68*AB68,AC68))</f>
        <v>50</v>
      </c>
      <c r="AE68" s="25" t="n">
        <f aca="false">AD68/AC68</f>
        <v>5</v>
      </c>
      <c r="AF68" s="45" t="n">
        <f aca="false">Z68+AD68</f>
        <v>54.532705332</v>
      </c>
      <c r="AG68" s="25" t="n">
        <f aca="false">ROUNDUP(AF68/AC68,0)</f>
        <v>6</v>
      </c>
      <c r="AH68" s="45" t="n">
        <f aca="false">IF(W68&gt;0,AF68/W68,0)</f>
        <v>14.4371278530753</v>
      </c>
      <c r="AI68" s="25" t="n">
        <f aca="false">IF(AD68&gt;0,E68/AD68,0)</f>
        <v>18.130821328</v>
      </c>
      <c r="AJ68" s="25" t="n">
        <f aca="false">INDEX(C_TAB,MATCH($A68,C_COD,0),16)</f>
        <v>4</v>
      </c>
      <c r="AK68" s="47" t="n">
        <f aca="false">IF(AJ68&gt;0,AG68/AJ68,0)</f>
        <v>1.5</v>
      </c>
      <c r="AL68" s="45" t="n">
        <f aca="false">INDEX(C_TAB,MATCH($A68,C_COD,0),17)</f>
        <v>0.73</v>
      </c>
      <c r="AM68" s="45" t="n">
        <f aca="false">AK68*AL68</f>
        <v>1.095</v>
      </c>
    </row>
    <row r="69" customFormat="false" ht="15" hidden="false" customHeight="false" outlineLevel="0" collapsed="false">
      <c r="A69" s="24" t="s">
        <v>1076</v>
      </c>
      <c r="B69" s="24" t="str">
        <f aca="false">INDEX(C_TAB,MATCH($A69,C_COD,0),2)</f>
        <v>Rueda de chapa y goma Ø350 × 60, buje 1" (carro 50 kg)</v>
      </c>
      <c r="C69" s="24" t="str">
        <f aca="false">INDEX(C_TAB,MATCH($A69,C_COD,0),3)</f>
        <v>u</v>
      </c>
      <c r="D69" s="24" t="str">
        <f aca="false">INDEX(C_TAB,MATCH($A69,C_COD,0),6)</f>
        <v>Rack de insumos de montaje (carros)</v>
      </c>
      <c r="E69" s="45" t="n">
        <f aca="false">CONSOLIDADO_INSUMOS!T191</f>
        <v>2001.7903462</v>
      </c>
      <c r="F69" s="45" t="n">
        <f aca="false">SUMIFS(CONSOLIDADO_INSUMOS!$T$4:$T$350,CONSOLIDADO_INSUMOS!$B$4:$B$350,$A69,CONSOLIDADO_INSUMOS!$H$4:$H$350,"MANUALES")</f>
        <v>0</v>
      </c>
      <c r="G69" s="45" t="n">
        <f aca="false">SUMIFS(CONSOLIDADO_INSUMOS!$T$4:$T$350,CONSOLIDADO_INSUMOS!$B$4:$B$350,$A69,CONSOLIDADO_INSUMOS!$H$4:$H$350,"RODANTES")</f>
        <v>1994.3903462</v>
      </c>
      <c r="H69" s="45" t="n">
        <f aca="false">SUMIFS(CONSOLIDADO_INSUMOS!$T$4:$T$350,CONSOLIDADO_INSUMOS!$B$4:$B$350,$A69,CONSOLIDADO_INSUMOS!$H$4:$H$350,"RECARGAS")</f>
        <v>7.4</v>
      </c>
      <c r="I69" s="45" t="n">
        <f aca="false">SUMIFS(CONSOLIDADO_INSUMOS!$T$4:$T$350,CONSOLIDADO_INSUMOS!$B$4:$B$350,$A69,CONSOLIDADO_INSUMOS!$H$4:$H$350,"REVENDIDOS")</f>
        <v>0</v>
      </c>
      <c r="J69" s="45" t="n">
        <f aca="false">F69*ESTACIONALIDAD!$B$14+G69*ESTACIONALIDAD!$B$15+H69*ESTACIONALIDAD!$B$16+I69*ESTACIONALIDAD!$B$17</f>
        <v>170.228766612338</v>
      </c>
      <c r="K69" s="45" t="n">
        <f aca="false">F69*ESTACIONALIDAD!$C$14+G69*ESTACIONALIDAD!$C$15+H69*ESTACIONALIDAD!$C$16+I69*ESTACIONALIDAD!$C$17</f>
        <v>150.163557683817</v>
      </c>
      <c r="L69" s="45" t="n">
        <f aca="false">F69*ESTACIONALIDAD!$D$14+G69*ESTACIONALIDAD!$D$15+H69*ESTACIONALIDAD!$D$16+I69*ESTACIONALIDAD!$D$17</f>
        <v>180.097117173859</v>
      </c>
      <c r="M69" s="45" t="n">
        <f aca="false">F69*ESTACIONALIDAD!$E$14+G69*ESTACIONALIDAD!$E$15+H69*ESTACIONALIDAD!$E$16+I69*ESTACIONALIDAD!$E$17</f>
        <v>180.079910766528</v>
      </c>
      <c r="N69" s="45" t="n">
        <f aca="false">F69*ESTACIONALIDAD!$F$14+G69*ESTACIONALIDAD!$F$15+H69*ESTACIONALIDAD!$F$16+I69*ESTACIONALIDAD!$F$17</f>
        <v>180.062206469486</v>
      </c>
      <c r="O69" s="45" t="n">
        <f aca="false">F69*ESTACIONALIDAD!$G$14+G69*ESTACIONALIDAD!$G$15+H69*ESTACIONALIDAD!$G$16+I69*ESTACIONALIDAD!$G$17</f>
        <v>160.100598710444</v>
      </c>
      <c r="P69" s="45" t="n">
        <f aca="false">F69*ESTACIONALIDAD!$H$14+G69*ESTACIONALIDAD!$H$15+H69*ESTACIONALIDAD!$H$16+I69*ESTACIONALIDAD!$H$17</f>
        <v>180.08040865624</v>
      </c>
      <c r="Q69" s="45" t="n">
        <f aca="false">F69*ESTACIONALIDAD!$I$14+G69*ESTACIONALIDAD!$I$15+H69*ESTACIONALIDAD!$I$16+I69*ESTACIONALIDAD!$I$17</f>
        <v>180.096619284148</v>
      </c>
      <c r="R69" s="45" t="n">
        <f aca="false">F69*ESTACIONALIDAD!$J$14+G69*ESTACIONALIDAD!$J$15+H69*ESTACIONALIDAD!$J$16+I69*ESTACIONALIDAD!$J$17</f>
        <v>170.124667553148</v>
      </c>
      <c r="S69" s="45" t="n">
        <f aca="false">F69*ESTACIONALIDAD!$K$14+G69*ESTACIONALIDAD!$K$15+H69*ESTACIONALIDAD!$K$16+I69*ESTACIONALIDAD!$K$17</f>
        <v>150.163557683817</v>
      </c>
      <c r="T69" s="45" t="n">
        <f aca="false">F69*ESTACIONALIDAD!$L$14+G69*ESTACIONALIDAD!$L$15+H69*ESTACIONALIDAD!$L$16+I69*ESTACIONALIDAD!$L$17</f>
        <v>140.191108063106</v>
      </c>
      <c r="U69" s="45" t="n">
        <f aca="false">F69*ESTACIONALIDAD!$M$14+G69*ESTACIONALIDAD!$M$15+H69*ESTACIONALIDAD!$M$16+I69*ESTACIONALIDAD!$M$17</f>
        <v>160.40182754307</v>
      </c>
      <c r="V69" s="45" t="n">
        <f aca="false">MAX(J69:U69)</f>
        <v>180.097117173859</v>
      </c>
      <c r="W69" s="46" t="n">
        <f aca="false">E69/INDEX(P_VAL,MATCH("DH_AÑO",P_ID,0))</f>
        <v>8.34079310916667</v>
      </c>
      <c r="X69" s="46" t="n">
        <f aca="false">V69/INDEX(P_VAL,MATCH("DH_MES",P_ID,0))</f>
        <v>9.00485585869296</v>
      </c>
      <c r="Y69" s="25" t="n">
        <f aca="false">INDEX(C_TAB,MATCH($A69,C_COD,0),12)</f>
        <v>15</v>
      </c>
      <c r="Z69" s="46" t="n">
        <f aca="false">(X69-W69)*Y69</f>
        <v>9.96094124289439</v>
      </c>
      <c r="AA69" s="45" t="n">
        <f aca="false">W69*Y69+Z69</f>
        <v>135.072837880394</v>
      </c>
      <c r="AB69" s="25" t="n">
        <f aca="false">INDEX(C_TAB,MATCH($A69,C_COD,0),15)</f>
        <v>10</v>
      </c>
      <c r="AC69" s="45" t="n">
        <f aca="false">INDEX(C_TAB,MATCH($A69,C_COD,0),11)</f>
        <v>10</v>
      </c>
      <c r="AD69" s="45" t="n">
        <f aca="false">MAX(AC69,CEILING(X69*AB69,AC69))</f>
        <v>100</v>
      </c>
      <c r="AE69" s="25" t="n">
        <f aca="false">AD69/AC69</f>
        <v>10</v>
      </c>
      <c r="AF69" s="45" t="n">
        <f aca="false">Z69+AD69</f>
        <v>109.960941242894</v>
      </c>
      <c r="AG69" s="25" t="n">
        <f aca="false">ROUNDUP(AF69/AC69,0)</f>
        <v>11</v>
      </c>
      <c r="AH69" s="45" t="n">
        <f aca="false">IF(W69&gt;0,AF69/W69,0)</f>
        <v>13.1835114243567</v>
      </c>
      <c r="AI69" s="25" t="n">
        <f aca="false">IF(AD69&gt;0,E69/AD69,0)</f>
        <v>20.017903462</v>
      </c>
      <c r="AJ69" s="25" t="n">
        <f aca="false">INDEX(C_TAB,MATCH($A69,C_COD,0),16)</f>
        <v>3</v>
      </c>
      <c r="AK69" s="47" t="n">
        <f aca="false">IF(AJ69&gt;0,AG69/AJ69,0)</f>
        <v>3.66666666666667</v>
      </c>
      <c r="AL69" s="45" t="n">
        <f aca="false">INDEX(C_TAB,MATCH($A69,C_COD,0),17)</f>
        <v>0.73</v>
      </c>
      <c r="AM69" s="45" t="n">
        <f aca="false">AK69*AL69</f>
        <v>2.67666666666667</v>
      </c>
    </row>
    <row r="70" customFormat="false" ht="15" hidden="false" customHeight="false" outlineLevel="0" collapsed="false">
      <c r="A70" s="24" t="s">
        <v>1184</v>
      </c>
      <c r="B70" s="24" t="str">
        <f aca="false">INDEX(C_TAB,MATCH($A70,C_COD,0),2)</f>
        <v>Rueda de chapa y goma Ø400 × 60, buje 1" (carros 70 y 100 kg)</v>
      </c>
      <c r="C70" s="24" t="str">
        <f aca="false">INDEX(C_TAB,MATCH($A70,C_COD,0),3)</f>
        <v>u</v>
      </c>
      <c r="D70" s="24" t="str">
        <f aca="false">INDEX(C_TAB,MATCH($A70,C_COD,0),6)</f>
        <v>Rack de insumos de montaje (carros)</v>
      </c>
      <c r="E70" s="45" t="n">
        <f aca="false">CONSOLIDADO_INSUMOS!T194</f>
        <v>726.1328532</v>
      </c>
      <c r="F70" s="45" t="n">
        <f aca="false">SUMIFS(CONSOLIDADO_INSUMOS!$T$4:$T$350,CONSOLIDADO_INSUMOS!$B$4:$B$350,$A70,CONSOLIDADO_INSUMOS!$H$4:$H$350,"MANUALES")</f>
        <v>0</v>
      </c>
      <c r="G70" s="45" t="n">
        <f aca="false">SUMIFS(CONSOLIDADO_INSUMOS!$T$4:$T$350,CONSOLIDADO_INSUMOS!$B$4:$B$350,$A70,CONSOLIDADO_INSUMOS!$H$4:$H$350,"RODANTES")</f>
        <v>725.2328532</v>
      </c>
      <c r="H70" s="45" t="n">
        <f aca="false">SUMIFS(CONSOLIDADO_INSUMOS!$T$4:$T$350,CONSOLIDADO_INSUMOS!$B$4:$B$350,$A70,CONSOLIDADO_INSUMOS!$H$4:$H$350,"RECARGAS")</f>
        <v>0.9</v>
      </c>
      <c r="I70" s="45" t="n">
        <f aca="false">SUMIFS(CONSOLIDADO_INSUMOS!$T$4:$T$350,CONSOLIDADO_INSUMOS!$B$4:$B$350,$A70,CONSOLIDADO_INSUMOS!$H$4:$H$350,"REVENDIDOS")</f>
        <v>0</v>
      </c>
      <c r="J70" s="45" t="n">
        <f aca="false">F70*ESTACIONALIDAD!$B$14+G70*ESTACIONALIDAD!$B$15+H70*ESTACIONALIDAD!$B$16+I70*ESTACIONALIDAD!$B$17</f>
        <v>61.7306071796763</v>
      </c>
      <c r="K70" s="45" t="n">
        <f aca="false">F70*ESTACIONALIDAD!$C$14+G70*ESTACIONALIDAD!$C$15+H70*ESTACIONALIDAD!$C$16+I70*ESTACIONALIDAD!$C$17</f>
        <v>54.4635252801264</v>
      </c>
      <c r="L70" s="45" t="n">
        <f aca="false">F70*ESTACIONALIDAD!$D$14+G70*ESTACIONALIDAD!$D$15+H70*ESTACIONALIDAD!$D$16+I70*ESTACIONALIDAD!$D$17</f>
        <v>65.3441713034423</v>
      </c>
      <c r="M70" s="45" t="n">
        <f aca="false">F70*ESTACIONALIDAD!$E$14+G70*ESTACIONALIDAD!$E$15+H70*ESTACIONALIDAD!$E$16+I70*ESTACIONALIDAD!$E$17</f>
        <v>65.3420786322805</v>
      </c>
      <c r="N70" s="45" t="n">
        <f aca="false">F70*ESTACIONALIDAD!$F$14+G70*ESTACIONALIDAD!$F$15+H70*ESTACIONALIDAD!$F$16+I70*ESTACIONALIDAD!$F$17</f>
        <v>65.3399254069645</v>
      </c>
      <c r="O70" s="45" t="n">
        <f aca="false">F70*ESTACIONALIDAD!$G$14+G70*ESTACIONALIDAD!$G$15+H70*ESTACIONALIDAD!$G$16+I70*ESTACIONALIDAD!$G$17</f>
        <v>58.0854436496486</v>
      </c>
      <c r="P70" s="45" t="n">
        <f aca="false">F70*ESTACIONALIDAD!$H$14+G70*ESTACIONALIDAD!$H$15+H70*ESTACIONALIDAD!$H$16+I70*ESTACIONALIDAD!$H$17</f>
        <v>65.3421391864346</v>
      </c>
      <c r="Q70" s="45" t="n">
        <f aca="false">F70*ESTACIONALIDAD!$I$14+G70*ESTACIONALIDAD!$I$15+H70*ESTACIONALIDAD!$I$16+I70*ESTACIONALIDAD!$I$17</f>
        <v>65.3441107492882</v>
      </c>
      <c r="R70" s="45" t="n">
        <f aca="false">F70*ESTACIONALIDAD!$J$14+G70*ESTACIONALIDAD!$J$15+H70*ESTACIONALIDAD!$J$16+I70*ESTACIONALIDAD!$J$17</f>
        <v>61.7179464832883</v>
      </c>
      <c r="S70" s="45" t="n">
        <f aca="false">F70*ESTACIONALIDAD!$K$14+G70*ESTACIONALIDAD!$K$15+H70*ESTACIONALIDAD!$K$16+I70*ESTACIONALIDAD!$K$17</f>
        <v>54.4635252801264</v>
      </c>
      <c r="T70" s="45" t="n">
        <f aca="false">F70*ESTACIONALIDAD!$L$14+G70*ESTACIONALIDAD!$L$15+H70*ESTACIONALIDAD!$L$16+I70*ESTACIONALIDAD!$L$17</f>
        <v>50.8373004599723</v>
      </c>
      <c r="U70" s="45" t="n">
        <f aca="false">F70*ESTACIONALIDAD!$M$14+G70*ESTACIONALIDAD!$M$15+H70*ESTACIONALIDAD!$M$16+I70*ESTACIONALIDAD!$M$17</f>
        <v>58.1220795887517</v>
      </c>
      <c r="V70" s="45" t="n">
        <f aca="false">MAX(J70:U70)</f>
        <v>65.3441713034423</v>
      </c>
      <c r="W70" s="46" t="n">
        <f aca="false">E70/INDEX(P_VAL,MATCH("DH_AÑO",P_ID,0))</f>
        <v>3.025553555</v>
      </c>
      <c r="X70" s="46" t="n">
        <f aca="false">V70/INDEX(P_VAL,MATCH("DH_MES",P_ID,0))</f>
        <v>3.26720856517212</v>
      </c>
      <c r="Y70" s="25" t="n">
        <f aca="false">INDEX(C_TAB,MATCH($A70,C_COD,0),12)</f>
        <v>15</v>
      </c>
      <c r="Z70" s="46" t="n">
        <f aca="false">(X70-W70)*Y70</f>
        <v>3.62482515258175</v>
      </c>
      <c r="AA70" s="45" t="n">
        <f aca="false">W70*Y70+Z70</f>
        <v>49.0081284775817</v>
      </c>
      <c r="AB70" s="25" t="n">
        <f aca="false">INDEX(C_TAB,MATCH($A70,C_COD,0),15)</f>
        <v>10</v>
      </c>
      <c r="AC70" s="45" t="n">
        <f aca="false">INDEX(C_TAB,MATCH($A70,C_COD,0),11)</f>
        <v>10</v>
      </c>
      <c r="AD70" s="45" t="n">
        <f aca="false">MAX(AC70,CEILING(X70*AB70,AC70))</f>
        <v>40</v>
      </c>
      <c r="AE70" s="25" t="n">
        <f aca="false">AD70/AC70</f>
        <v>4</v>
      </c>
      <c r="AF70" s="45" t="n">
        <f aca="false">Z70+AD70</f>
        <v>43.6248251525818</v>
      </c>
      <c r="AG70" s="25" t="n">
        <f aca="false">ROUNDUP(AF70/AC70,0)</f>
        <v>5</v>
      </c>
      <c r="AH70" s="45" t="n">
        <f aca="false">IF(W70&gt;0,AF70/W70,0)</f>
        <v>14.4187912590368</v>
      </c>
      <c r="AI70" s="25" t="n">
        <f aca="false">IF(AD70&gt;0,E70/AD70,0)</f>
        <v>18.15332133</v>
      </c>
      <c r="AJ70" s="25" t="n">
        <f aca="false">INDEX(C_TAB,MATCH($A70,C_COD,0),16)</f>
        <v>3</v>
      </c>
      <c r="AK70" s="47" t="n">
        <f aca="false">IF(AJ70&gt;0,AG70/AJ70,0)</f>
        <v>1.66666666666667</v>
      </c>
      <c r="AL70" s="45" t="n">
        <f aca="false">INDEX(C_TAB,MATCH($A70,C_COD,0),17)</f>
        <v>0.73</v>
      </c>
      <c r="AM70" s="45" t="n">
        <f aca="false">AK70*AL70</f>
        <v>1.21666666666667</v>
      </c>
    </row>
    <row r="71" customFormat="false" ht="15" hidden="false" customHeight="false" outlineLevel="0" collapsed="false">
      <c r="A71" s="24" t="s">
        <v>577</v>
      </c>
      <c r="B71" s="24" t="str">
        <f aca="false">INDEX(C_TAB,MATCH($A71,C_COD,0),2)</f>
        <v>Etiqueta / placa de características ABC 1 kg</v>
      </c>
      <c r="C71" s="24" t="str">
        <f aca="false">INDEX(C_TAB,MATCH($A71,C_COD,0),3)</f>
        <v>u</v>
      </c>
      <c r="D71" s="24" t="str">
        <f aca="false">INDEX(C_TAB,MATCH($A71,C_COD,0),6)</f>
        <v>Identificación</v>
      </c>
      <c r="E71" s="45" t="n">
        <f aca="false">CONSOLIDADO_INSUMOS!T197</f>
        <v>32072.63913</v>
      </c>
      <c r="F71" s="45" t="n">
        <f aca="false">SUMIFS(CONSOLIDADO_INSUMOS!$T$4:$T$350,CONSOLIDADO_INSUMOS!$B$4:$B$350,$A71,CONSOLIDADO_INSUMOS!$H$4:$H$350,"MANUALES")</f>
        <v>32072.63913</v>
      </c>
      <c r="G71" s="45" t="n">
        <f aca="false">SUMIFS(CONSOLIDADO_INSUMOS!$T$4:$T$350,CONSOLIDADO_INSUMOS!$B$4:$B$350,$A71,CONSOLIDADO_INSUMOS!$H$4:$H$350,"RODANTES")</f>
        <v>0</v>
      </c>
      <c r="H71" s="45" t="n">
        <f aca="false">SUMIFS(CONSOLIDADO_INSUMOS!$T$4:$T$350,CONSOLIDADO_INSUMOS!$B$4:$B$350,$A71,CONSOLIDADO_INSUMOS!$H$4:$H$350,"RECARGAS")</f>
        <v>0</v>
      </c>
      <c r="I71" s="45" t="n">
        <f aca="false">SUMIFS(CONSOLIDADO_INSUMOS!$T$4:$T$350,CONSOLIDADO_INSUMOS!$B$4:$B$350,$A71,CONSOLIDADO_INSUMOS!$H$4:$H$350,"REVENDIDOS")</f>
        <v>0</v>
      </c>
      <c r="J71" s="45" t="n">
        <f aca="false">F71*ESTACIONALIDAD!$B$14+G71*ESTACIONALIDAD!$B$15+H71*ESTACIONALIDAD!$B$16+I71*ESTACIONALIDAD!$B$17</f>
        <v>3662.02779061295</v>
      </c>
      <c r="K71" s="45" t="n">
        <f aca="false">F71*ESTACIONALIDAD!$C$14+G71*ESTACIONALIDAD!$C$15+H71*ESTACIONALIDAD!$C$16+I71*ESTACIONALIDAD!$C$17</f>
        <v>2793.19306920648</v>
      </c>
      <c r="L71" s="45" t="n">
        <f aca="false">F71*ESTACIONALIDAD!$D$14+G71*ESTACIONALIDAD!$D$15+H71*ESTACIONALIDAD!$D$16+I71*ESTACIONALIDAD!$D$17</f>
        <v>2612.48335664676</v>
      </c>
      <c r="M71" s="45" t="n">
        <f aca="false">F71*ESTACIONALIDAD!$E$14+G71*ESTACIONALIDAD!$E$15+H71*ESTACIONALIDAD!$E$16+I71*ESTACIONALIDAD!$E$17</f>
        <v>2498.79238724353</v>
      </c>
      <c r="N71" s="45" t="n">
        <f aca="false">F71*ESTACIONALIDAD!$F$14+G71*ESTACIONALIDAD!$F$15+H71*ESTACIONALIDAD!$F$16+I71*ESTACIONALIDAD!$F$17</f>
        <v>2338.42919159353</v>
      </c>
      <c r="O71" s="45" t="n">
        <f aca="false">F71*ESTACIONALIDAD!$G$14+G71*ESTACIONALIDAD!$G$15+H71*ESTACIONALIDAD!$G$16+I71*ESTACIONALIDAD!$G$17</f>
        <v>2291.75696534676</v>
      </c>
      <c r="P71" s="45" t="n">
        <f aca="false">F71*ESTACIONALIDAD!$H$14+G71*ESTACIONALIDAD!$H$15+H71*ESTACIONALIDAD!$H$16+I71*ESTACIONALIDAD!$H$17</f>
        <v>2452.12016099676</v>
      </c>
      <c r="Q71" s="45" t="n">
        <f aca="false">F71*ESTACIONALIDAD!$I$14+G71*ESTACIONALIDAD!$I$15+H71*ESTACIONALIDAD!$I$16+I71*ESTACIONALIDAD!$I$17</f>
        <v>2452.12016099676</v>
      </c>
      <c r="R71" s="45" t="n">
        <f aca="false">F71*ESTACIONALIDAD!$J$14+G71*ESTACIONALIDAD!$J$15+H71*ESTACIONALIDAD!$J$16+I71*ESTACIONALIDAD!$J$17</f>
        <v>2452.12016099676</v>
      </c>
      <c r="S71" s="45" t="n">
        <f aca="false">F71*ESTACIONALIDAD!$K$14+G71*ESTACIONALIDAD!$K$15+H71*ESTACIONALIDAD!$K$16+I71*ESTACIONALIDAD!$K$17</f>
        <v>2405.44793475</v>
      </c>
      <c r="T71" s="45" t="n">
        <f aca="false">F71*ESTACIONALIDAD!$L$14+G71*ESTACIONALIDAD!$L$15+H71*ESTACIONALIDAD!$L$16+I71*ESTACIONALIDAD!$L$17</f>
        <v>2358.77570850324</v>
      </c>
      <c r="U71" s="45" t="n">
        <f aca="false">F71*ESTACIONALIDAD!$M$14+G71*ESTACIONALIDAD!$M$15+H71*ESTACIONALIDAD!$M$16+I71*ESTACIONALIDAD!$M$17</f>
        <v>3755.37224310648</v>
      </c>
      <c r="V71" s="45" t="n">
        <f aca="false">MAX(J71:U71)</f>
        <v>3755.37224310648</v>
      </c>
      <c r="W71" s="46" t="n">
        <f aca="false">E71/INDEX(P_VAL,MATCH("DH_AÑO",P_ID,0))</f>
        <v>133.635996375</v>
      </c>
      <c r="X71" s="46" t="n">
        <f aca="false">V71/INDEX(P_VAL,MATCH("DH_MES",P_ID,0))</f>
        <v>187.768612155324</v>
      </c>
      <c r="Y71" s="25" t="n">
        <f aca="false">INDEX(C_TAB,MATCH($A71,C_COD,0),12)</f>
        <v>10</v>
      </c>
      <c r="Z71" s="46" t="n">
        <f aca="false">(X71-W71)*Y71</f>
        <v>541.326157803238</v>
      </c>
      <c r="AA71" s="45" t="n">
        <f aca="false">W71*Y71+Z71</f>
        <v>1877.68612155324</v>
      </c>
      <c r="AB71" s="25" t="n">
        <f aca="false">INDEX(C_TAB,MATCH($A71,C_COD,0),15)</f>
        <v>10</v>
      </c>
      <c r="AC71" s="45" t="n">
        <f aca="false">INDEX(C_TAB,MATCH($A71,C_COD,0),11)</f>
        <v>1000</v>
      </c>
      <c r="AD71" s="45" t="n">
        <f aca="false">MAX(AC71,CEILING(X71*AB71,AC71))</f>
        <v>2000</v>
      </c>
      <c r="AE71" s="25" t="n">
        <f aca="false">AD71/AC71</f>
        <v>2</v>
      </c>
      <c r="AF71" s="45" t="n">
        <f aca="false">Z71+AD71</f>
        <v>2541.32615780324</v>
      </c>
      <c r="AG71" s="25" t="n">
        <f aca="false">ROUNDUP(AF71/AC71,0)</f>
        <v>3</v>
      </c>
      <c r="AH71" s="45" t="n">
        <f aca="false">IF(W71&gt;0,AF71/W71,0)</f>
        <v>19.0167786130912</v>
      </c>
      <c r="AI71" s="25" t="n">
        <f aca="false">IF(AD71&gt;0,E71/AD71,0)</f>
        <v>16.036319565</v>
      </c>
      <c r="AJ71" s="25" t="n">
        <f aca="false">INDEX(C_TAB,MATCH($A71,C_COD,0),16)</f>
        <v>30</v>
      </c>
      <c r="AK71" s="47" t="n">
        <f aca="false">IF(AJ71&gt;0,AG71/AJ71,0)</f>
        <v>0.1</v>
      </c>
      <c r="AL71" s="45" t="n">
        <f aca="false">INDEX(C_TAB,MATCH($A71,C_COD,0),17)</f>
        <v>0.73</v>
      </c>
      <c r="AM71" s="45" t="n">
        <f aca="false">AK71*AL71</f>
        <v>0.073</v>
      </c>
    </row>
    <row r="72" customFormat="false" ht="15" hidden="false" customHeight="false" outlineLevel="0" collapsed="false">
      <c r="A72" s="24" t="s">
        <v>680</v>
      </c>
      <c r="B72" s="24" t="str">
        <f aca="false">INDEX(C_TAB,MATCH($A72,C_COD,0),2)</f>
        <v>Etiqueta / placa de características ABC 2,5 kg</v>
      </c>
      <c r="C72" s="24" t="str">
        <f aca="false">INDEX(C_TAB,MATCH($A72,C_COD,0),3)</f>
        <v>u</v>
      </c>
      <c r="D72" s="24" t="str">
        <f aca="false">INDEX(C_TAB,MATCH($A72,C_COD,0),6)</f>
        <v>Identificación</v>
      </c>
      <c r="E72" s="45" t="n">
        <f aca="false">CONSOLIDADO_INSUMOS!T199</f>
        <v>7424.858444</v>
      </c>
      <c r="F72" s="45" t="n">
        <f aca="false">SUMIFS(CONSOLIDADO_INSUMOS!$T$4:$T$350,CONSOLIDADO_INSUMOS!$B$4:$B$350,$A72,CONSOLIDADO_INSUMOS!$H$4:$H$350,"MANUALES")</f>
        <v>7424.858444</v>
      </c>
      <c r="G72" s="45" t="n">
        <f aca="false">SUMIFS(CONSOLIDADO_INSUMOS!$T$4:$T$350,CONSOLIDADO_INSUMOS!$B$4:$B$350,$A72,CONSOLIDADO_INSUMOS!$H$4:$H$350,"RODANTES")</f>
        <v>0</v>
      </c>
      <c r="H72" s="45" t="n">
        <f aca="false">SUMIFS(CONSOLIDADO_INSUMOS!$T$4:$T$350,CONSOLIDADO_INSUMOS!$B$4:$B$350,$A72,CONSOLIDADO_INSUMOS!$H$4:$H$350,"RECARGAS")</f>
        <v>0</v>
      </c>
      <c r="I72" s="45" t="n">
        <f aca="false">SUMIFS(CONSOLIDADO_INSUMOS!$T$4:$T$350,CONSOLIDADO_INSUMOS!$B$4:$B$350,$A72,CONSOLIDADO_INSUMOS!$H$4:$H$350,"REVENDIDOS")</f>
        <v>0</v>
      </c>
      <c r="J72" s="45" t="n">
        <f aca="false">F72*ESTACIONALIDAD!$B$14+G72*ESTACIONALIDAD!$B$15+H72*ESTACIONALIDAD!$B$16+I72*ESTACIONALIDAD!$B$17</f>
        <v>847.764284475807</v>
      </c>
      <c r="K72" s="45" t="n">
        <f aca="false">F72*ESTACIONALIDAD!$C$14+G72*ESTACIONALIDAD!$C$15+H72*ESTACIONALIDAD!$C$16+I72*ESTACIONALIDAD!$C$17</f>
        <v>646.627895557904</v>
      </c>
      <c r="L72" s="45" t="n">
        <f aca="false">F72*ESTACIONALIDAD!$D$14+G72*ESTACIONALIDAD!$D$15+H72*ESTACIONALIDAD!$D$16+I72*ESTACIONALIDAD!$D$17</f>
        <v>604.793357721048</v>
      </c>
      <c r="M72" s="45" t="n">
        <f aca="false">F72*ESTACIONALIDAD!$E$14+G72*ESTACIONALIDAD!$E$15+H72*ESTACIONALIDAD!$E$16+I72*ESTACIONALIDAD!$E$17</f>
        <v>578.473747702097</v>
      </c>
      <c r="N72" s="45" t="n">
        <f aca="false">F72*ESTACIONALIDAD!$F$14+G72*ESTACIONALIDAD!$F$15+H72*ESTACIONALIDAD!$F$16+I72*ESTACIONALIDAD!$F$17</f>
        <v>541.349455482097</v>
      </c>
      <c r="O72" s="45" t="n">
        <f aca="false">F72*ESTACIONALIDAD!$G$14+G72*ESTACIONALIDAD!$G$15+H72*ESTACIONALIDAD!$G$16+I72*ESTACIONALIDAD!$G$17</f>
        <v>530.544773281048</v>
      </c>
      <c r="P72" s="45" t="n">
        <f aca="false">F72*ESTACIONALIDAD!$H$14+G72*ESTACIONALIDAD!$H$15+H72*ESTACIONALIDAD!$H$16+I72*ESTACIONALIDAD!$H$17</f>
        <v>567.669065501048</v>
      </c>
      <c r="Q72" s="45" t="n">
        <f aca="false">F72*ESTACIONALIDAD!$I$14+G72*ESTACIONALIDAD!$I$15+H72*ESTACIONALIDAD!$I$16+I72*ESTACIONALIDAD!$I$17</f>
        <v>567.669065501048</v>
      </c>
      <c r="R72" s="45" t="n">
        <f aca="false">F72*ESTACIONALIDAD!$J$14+G72*ESTACIONALIDAD!$J$15+H72*ESTACIONALIDAD!$J$16+I72*ESTACIONALIDAD!$J$17</f>
        <v>567.669065501048</v>
      </c>
      <c r="S72" s="45" t="n">
        <f aca="false">F72*ESTACIONALIDAD!$K$14+G72*ESTACIONALIDAD!$K$15+H72*ESTACIONALIDAD!$K$16+I72*ESTACIONALIDAD!$K$17</f>
        <v>556.8643833</v>
      </c>
      <c r="T72" s="45" t="n">
        <f aca="false">F72*ESTACIONALIDAD!$L$14+G72*ESTACIONALIDAD!$L$15+H72*ESTACIONALIDAD!$L$16+I72*ESTACIONALIDAD!$L$17</f>
        <v>546.059701098952</v>
      </c>
      <c r="U72" s="45" t="n">
        <f aca="false">F72*ESTACIONALIDAD!$M$14+G72*ESTACIONALIDAD!$M$15+H72*ESTACIONALIDAD!$M$16+I72*ESTACIONALIDAD!$M$17</f>
        <v>869.373648877904</v>
      </c>
      <c r="V72" s="45" t="n">
        <f aca="false">MAX(J72:U72)</f>
        <v>869.373648877904</v>
      </c>
      <c r="W72" s="46" t="n">
        <f aca="false">E72/INDEX(P_VAL,MATCH("DH_AÑO",P_ID,0))</f>
        <v>30.9369101833333</v>
      </c>
      <c r="X72" s="46" t="n">
        <f aca="false">V72/INDEX(P_VAL,MATCH("DH_MES",P_ID,0))</f>
        <v>43.4686824438952</v>
      </c>
      <c r="Y72" s="25" t="n">
        <f aca="false">INDEX(C_TAB,MATCH($A72,C_COD,0),12)</f>
        <v>10</v>
      </c>
      <c r="Z72" s="46" t="n">
        <f aca="false">(X72-W72)*Y72</f>
        <v>125.317722605618</v>
      </c>
      <c r="AA72" s="45" t="n">
        <f aca="false">W72*Y72+Z72</f>
        <v>434.686824438952</v>
      </c>
      <c r="AB72" s="25" t="n">
        <f aca="false">INDEX(C_TAB,MATCH($A72,C_COD,0),15)</f>
        <v>10</v>
      </c>
      <c r="AC72" s="45" t="n">
        <f aca="false">INDEX(C_TAB,MATCH($A72,C_COD,0),11)</f>
        <v>1000</v>
      </c>
      <c r="AD72" s="45" t="n">
        <f aca="false">MAX(AC72,CEILING(X72*AB72,AC72))</f>
        <v>1000</v>
      </c>
      <c r="AE72" s="25" t="n">
        <f aca="false">AD72/AC72</f>
        <v>1</v>
      </c>
      <c r="AF72" s="45" t="n">
        <f aca="false">Z72+AD72</f>
        <v>1125.31772260562</v>
      </c>
      <c r="AG72" s="25" t="n">
        <f aca="false">ROUNDUP(AF72/AC72,0)</f>
        <v>2</v>
      </c>
      <c r="AH72" s="45" t="n">
        <f aca="false">IF(W72&gt;0,AF72/W72,0)</f>
        <v>36.3745996590138</v>
      </c>
      <c r="AI72" s="25" t="n">
        <f aca="false">IF(AD72&gt;0,E72/AD72,0)</f>
        <v>7.424858444</v>
      </c>
      <c r="AJ72" s="25" t="n">
        <f aca="false">INDEX(C_TAB,MATCH($A72,C_COD,0),16)</f>
        <v>30</v>
      </c>
      <c r="AK72" s="47" t="n">
        <f aca="false">IF(AJ72&gt;0,AG72/AJ72,0)</f>
        <v>0.0666666666666667</v>
      </c>
      <c r="AL72" s="45" t="n">
        <f aca="false">INDEX(C_TAB,MATCH($A72,C_COD,0),17)</f>
        <v>0.73</v>
      </c>
      <c r="AM72" s="45" t="n">
        <f aca="false">AK72*AL72</f>
        <v>0.0486666666666667</v>
      </c>
    </row>
    <row r="73" customFormat="false" ht="15" hidden="false" customHeight="false" outlineLevel="0" collapsed="false">
      <c r="A73" s="24" t="s">
        <v>771</v>
      </c>
      <c r="B73" s="24" t="str">
        <f aca="false">INDEX(C_TAB,MATCH($A73,C_COD,0),2)</f>
        <v>Etiqueta / placa de características ABC 5 kg</v>
      </c>
      <c r="C73" s="24" t="str">
        <f aca="false">INDEX(C_TAB,MATCH($A73,C_COD,0),3)</f>
        <v>u</v>
      </c>
      <c r="D73" s="24" t="str">
        <f aca="false">INDEX(C_TAB,MATCH($A73,C_COD,0),6)</f>
        <v>Identificación</v>
      </c>
      <c r="E73" s="45" t="n">
        <f aca="false">CONSOLIDADO_INSUMOS!T201</f>
        <v>32700.97872</v>
      </c>
      <c r="F73" s="45" t="n">
        <f aca="false">SUMIFS(CONSOLIDADO_INSUMOS!$T$4:$T$350,CONSOLIDADO_INSUMOS!$B$4:$B$350,$A73,CONSOLIDADO_INSUMOS!$H$4:$H$350,"MANUALES")</f>
        <v>32318.77872</v>
      </c>
      <c r="G73" s="45" t="n">
        <f aca="false">SUMIFS(CONSOLIDADO_INSUMOS!$T$4:$T$350,CONSOLIDADO_INSUMOS!$B$4:$B$350,$A73,CONSOLIDADO_INSUMOS!$H$4:$H$350,"RODANTES")</f>
        <v>0</v>
      </c>
      <c r="H73" s="45" t="n">
        <f aca="false">SUMIFS(CONSOLIDADO_INSUMOS!$T$4:$T$350,CONSOLIDADO_INSUMOS!$B$4:$B$350,$A73,CONSOLIDADO_INSUMOS!$H$4:$H$350,"RECARGAS")</f>
        <v>382.2</v>
      </c>
      <c r="I73" s="45" t="n">
        <f aca="false">SUMIFS(CONSOLIDADO_INSUMOS!$T$4:$T$350,CONSOLIDADO_INSUMOS!$B$4:$B$350,$A73,CONSOLIDADO_INSUMOS!$H$4:$H$350,"REVENDIDOS")</f>
        <v>0</v>
      </c>
      <c r="J73" s="45" t="n">
        <f aca="false">F73*ESTACIONALIDAD!$B$14+G73*ESTACIONALIDAD!$B$15+H73*ESTACIONALIDAD!$B$16+I73*ESTACIONALIDAD!$B$17</f>
        <v>3726.57443297548</v>
      </c>
      <c r="K73" s="45" t="n">
        <f aca="false">F73*ESTACIONALIDAD!$C$14+G73*ESTACIONALIDAD!$C$15+H73*ESTACIONALIDAD!$C$16+I73*ESTACIONALIDAD!$C$17</f>
        <v>2844.80662698148</v>
      </c>
      <c r="L73" s="45" t="n">
        <f aca="false">F73*ESTACIONALIDAD!$D$14+G73*ESTACIONALIDAD!$D$15+H73*ESTACIONALIDAD!$D$16+I73*ESTACIONALIDAD!$D$17</f>
        <v>2663.62447133727</v>
      </c>
      <c r="M73" s="45" t="n">
        <f aca="false">F73*ESTACIONALIDAD!$E$14+G73*ESTACIONALIDAD!$E$15+H73*ESTACIONALIDAD!$E$16+I73*ESTACIONALIDAD!$E$17</f>
        <v>2548.1722995633</v>
      </c>
      <c r="N73" s="45" t="n">
        <f aca="false">F73*ESTACIONALIDAD!$F$14+G73*ESTACIONALIDAD!$F$15+H73*ESTACIONALIDAD!$F$16+I73*ESTACIONALIDAD!$F$17</f>
        <v>2385.66400294579</v>
      </c>
      <c r="O73" s="45" t="n">
        <f aca="false">F73*ESTACIONALIDAD!$G$14+G73*ESTACIONALIDAD!$G$15+H73*ESTACIONALIDAD!$G$16+I73*ESTACIONALIDAD!$G$17</f>
        <v>2337.71919041552</v>
      </c>
      <c r="P73" s="45" t="n">
        <f aca="false">F73*ESTACIONALIDAD!$H$14+G73*ESTACIONALIDAD!$H$15+H73*ESTACIONALIDAD!$H$16+I73*ESTACIONALIDAD!$H$17</f>
        <v>2501.1676053813</v>
      </c>
      <c r="Q73" s="45" t="n">
        <f aca="false">F73*ESTACIONALIDAD!$I$14+G73*ESTACIONALIDAD!$I$15+H73*ESTACIONALIDAD!$I$16+I73*ESTACIONALIDAD!$I$17</f>
        <v>2502.0048624065</v>
      </c>
      <c r="R73" s="45" t="n">
        <f aca="false">F73*ESTACIONALIDAD!$J$14+G73*ESTACIONALIDAD!$J$15+H73*ESTACIONALIDAD!$J$16+I73*ESTACIONALIDAD!$J$17</f>
        <v>2502.0048624065</v>
      </c>
      <c r="S73" s="45" t="n">
        <f aca="false">F73*ESTACIONALIDAD!$K$14+G73*ESTACIONALIDAD!$K$15+H73*ESTACIONALIDAD!$K$16+I73*ESTACIONALIDAD!$K$17</f>
        <v>2454.085765207</v>
      </c>
      <c r="T73" s="45" t="n">
        <f aca="false">F73*ESTACIONALIDAD!$L$14+G73*ESTACIONALIDAD!$L$15+H73*ESTACIONALIDAD!$L$16+I73*ESTACIONALIDAD!$L$17</f>
        <v>2407.02964036347</v>
      </c>
      <c r="U73" s="45" t="n">
        <f aca="false">F73*ESTACIONALIDAD!$M$14+G73*ESTACIONALIDAD!$M$15+H73*ESTACIONALIDAD!$M$16+I73*ESTACIONALIDAD!$M$17</f>
        <v>3828.12496001638</v>
      </c>
      <c r="V73" s="45" t="n">
        <f aca="false">MAX(J73:U73)</f>
        <v>3828.12496001638</v>
      </c>
      <c r="W73" s="46" t="n">
        <f aca="false">E73/INDEX(P_VAL,MATCH("DH_AÑO",P_ID,0))</f>
        <v>136.254078</v>
      </c>
      <c r="X73" s="46" t="n">
        <f aca="false">V73/INDEX(P_VAL,MATCH("DH_MES",P_ID,0))</f>
        <v>191.406248000819</v>
      </c>
      <c r="Y73" s="25" t="n">
        <f aca="false">INDEX(C_TAB,MATCH($A73,C_COD,0),12)</f>
        <v>10</v>
      </c>
      <c r="Z73" s="46" t="n">
        <f aca="false">(X73-W73)*Y73</f>
        <v>551.521700008191</v>
      </c>
      <c r="AA73" s="45" t="n">
        <f aca="false">W73*Y73+Z73</f>
        <v>1914.06248000819</v>
      </c>
      <c r="AB73" s="25" t="n">
        <f aca="false">INDEX(C_TAB,MATCH($A73,C_COD,0),15)</f>
        <v>10</v>
      </c>
      <c r="AC73" s="45" t="n">
        <f aca="false">INDEX(C_TAB,MATCH($A73,C_COD,0),11)</f>
        <v>1000</v>
      </c>
      <c r="AD73" s="45" t="n">
        <f aca="false">MAX(AC73,CEILING(X73*AB73,AC73))</f>
        <v>2000</v>
      </c>
      <c r="AE73" s="25" t="n">
        <f aca="false">AD73/AC73</f>
        <v>2</v>
      </c>
      <c r="AF73" s="45" t="n">
        <f aca="false">Z73+AD73</f>
        <v>2551.52170000819</v>
      </c>
      <c r="AG73" s="25" t="n">
        <f aca="false">ROUNDUP(AF73/AC73,0)</f>
        <v>3</v>
      </c>
      <c r="AH73" s="45" t="n">
        <f aca="false">IF(W73&gt;0,AF73/W73,0)</f>
        <v>18.7262042902539</v>
      </c>
      <c r="AI73" s="25" t="n">
        <f aca="false">IF(AD73&gt;0,E73/AD73,0)</f>
        <v>16.35048936</v>
      </c>
      <c r="AJ73" s="25" t="n">
        <f aca="false">INDEX(C_TAB,MATCH($A73,C_COD,0),16)</f>
        <v>30</v>
      </c>
      <c r="AK73" s="47" t="n">
        <f aca="false">IF(AJ73&gt;0,AG73/AJ73,0)</f>
        <v>0.1</v>
      </c>
      <c r="AL73" s="45" t="n">
        <f aca="false">INDEX(C_TAB,MATCH($A73,C_COD,0),17)</f>
        <v>0.73</v>
      </c>
      <c r="AM73" s="45" t="n">
        <f aca="false">AK73*AL73</f>
        <v>0.073</v>
      </c>
    </row>
    <row r="74" customFormat="false" ht="15" hidden="false" customHeight="false" outlineLevel="0" collapsed="false">
      <c r="A74" s="24" t="s">
        <v>855</v>
      </c>
      <c r="B74" s="24" t="str">
        <f aca="false">INDEX(C_TAB,MATCH($A74,C_COD,0),2)</f>
        <v>Etiqueta / placa de características ABC 10 kg</v>
      </c>
      <c r="C74" s="24" t="str">
        <f aca="false">INDEX(C_TAB,MATCH($A74,C_COD,0),3)</f>
        <v>u</v>
      </c>
      <c r="D74" s="24" t="str">
        <f aca="false">INDEX(C_TAB,MATCH($A74,C_COD,0),6)</f>
        <v>Identificación</v>
      </c>
      <c r="E74" s="45" t="n">
        <f aca="false">CONSOLIDADO_INSUMOS!T204</f>
        <v>1847.898079</v>
      </c>
      <c r="F74" s="45" t="n">
        <f aca="false">SUMIFS(CONSOLIDADO_INSUMOS!$T$4:$T$350,CONSOLIDADO_INSUMOS!$B$4:$B$350,$A74,CONSOLIDADO_INSUMOS!$H$4:$H$350,"MANUALES")</f>
        <v>1840.848079</v>
      </c>
      <c r="G74" s="45" t="n">
        <f aca="false">SUMIFS(CONSOLIDADO_INSUMOS!$T$4:$T$350,CONSOLIDADO_INSUMOS!$B$4:$B$350,$A74,CONSOLIDADO_INSUMOS!$H$4:$H$350,"RODANTES")</f>
        <v>0</v>
      </c>
      <c r="H74" s="45" t="n">
        <f aca="false">SUMIFS(CONSOLIDADO_INSUMOS!$T$4:$T$350,CONSOLIDADO_INSUMOS!$B$4:$B$350,$A74,CONSOLIDADO_INSUMOS!$H$4:$H$350,"RECARGAS")</f>
        <v>7.05</v>
      </c>
      <c r="I74" s="45" t="n">
        <f aca="false">SUMIFS(CONSOLIDADO_INSUMOS!$T$4:$T$350,CONSOLIDADO_INSUMOS!$B$4:$B$350,$A74,CONSOLIDADO_INSUMOS!$H$4:$H$350,"REVENDIDOS")</f>
        <v>0</v>
      </c>
      <c r="J74" s="45" t="n">
        <f aca="false">F74*ESTACIONALIDAD!$B$14+G74*ESTACIONALIDAD!$B$15+H74*ESTACIONALIDAD!$B$16+I74*ESTACIONALIDAD!$B$17</f>
        <v>210.858747840278</v>
      </c>
      <c r="K74" s="45" t="n">
        <f aca="false">F74*ESTACIONALIDAD!$C$14+G74*ESTACIONALIDAD!$C$15+H74*ESTACIONALIDAD!$C$16+I74*ESTACIONALIDAD!$C$17</f>
        <v>160.875355653564</v>
      </c>
      <c r="L74" s="45" t="n">
        <f aca="false">F74*ESTACIONALIDAD!$D$14+G74*ESTACIONALIDAD!$D$15+H74*ESTACIONALIDAD!$D$16+I74*ESTACIONALIDAD!$D$17</f>
        <v>150.520169138845</v>
      </c>
      <c r="M74" s="45" t="n">
        <f aca="false">F74*ESTACIONALIDAD!$E$14+G74*ESTACIONALIDAD!$E$15+H74*ESTACIONALIDAD!$E$16+I74*ESTACIONALIDAD!$E$17</f>
        <v>143.978345267623</v>
      </c>
      <c r="N74" s="45" t="n">
        <f aca="false">F74*ESTACIONALIDAD!$F$14+G74*ESTACIONALIDAD!$F$15+H74*ESTACIONALIDAD!$F$16+I74*ESTACIONALIDAD!$F$17</f>
        <v>134.757237940982</v>
      </c>
      <c r="O74" s="45" t="n">
        <f aca="false">F74*ESTACIONALIDAD!$G$14+G74*ESTACIONALIDAD!$G$15+H74*ESTACIONALIDAD!$G$16+I74*ESTACIONALIDAD!$G$17</f>
        <v>132.061561894794</v>
      </c>
      <c r="P74" s="45" t="n">
        <f aca="false">F74*ESTACIONALIDAD!$H$14+G74*ESTACIONALIDAD!$H$15+H74*ESTACIONALIDAD!$H$16+I74*ESTACIONALIDAD!$H$17</f>
        <v>141.300010493951</v>
      </c>
      <c r="Q74" s="45" t="n">
        <f aca="false">F74*ESTACIONALIDAD!$I$14+G74*ESTACIONALIDAD!$I$15+H74*ESTACIONALIDAD!$I$16+I74*ESTACIONALIDAD!$I$17</f>
        <v>141.315454402971</v>
      </c>
      <c r="R74" s="45" t="n">
        <f aca="false">F74*ESTACIONALIDAD!$J$14+G74*ESTACIONALIDAD!$J$15+H74*ESTACIONALIDAD!$J$16+I74*ESTACIONALIDAD!$J$17</f>
        <v>141.315454402971</v>
      </c>
      <c r="S74" s="45" t="n">
        <f aca="false">F74*ESTACIONALIDAD!$K$14+G74*ESTACIONALIDAD!$K$15+H74*ESTACIONALIDAD!$K$16+I74*ESTACIONALIDAD!$K$17</f>
        <v>138.620252697657</v>
      </c>
      <c r="T74" s="45" t="n">
        <f aca="false">F74*ESTACIONALIDAD!$L$14+G74*ESTACIONALIDAD!$L$15+H74*ESTACIONALIDAD!$L$16+I74*ESTACIONALIDAD!$L$17</f>
        <v>135.940969242236</v>
      </c>
      <c r="U74" s="45" t="n">
        <f aca="false">F74*ESTACIONALIDAD!$M$14+G74*ESTACIONALIDAD!$M$15+H74*ESTACIONALIDAD!$M$16+I74*ESTACIONALIDAD!$M$17</f>
        <v>216.354520024129</v>
      </c>
      <c r="V74" s="45" t="n">
        <f aca="false">MAX(J74:U74)</f>
        <v>216.354520024129</v>
      </c>
      <c r="W74" s="46" t="n">
        <f aca="false">E74/INDEX(P_VAL,MATCH("DH_AÑO",P_ID,0))</f>
        <v>7.69957532916667</v>
      </c>
      <c r="X74" s="46" t="n">
        <f aca="false">V74/INDEX(P_VAL,MATCH("DH_MES",P_ID,0))</f>
        <v>10.8177260012064</v>
      </c>
      <c r="Y74" s="25" t="n">
        <f aca="false">INDEX(C_TAB,MATCH($A74,C_COD,0),12)</f>
        <v>10</v>
      </c>
      <c r="Z74" s="46" t="n">
        <f aca="false">(X74-W74)*Y74</f>
        <v>31.1815067203978</v>
      </c>
      <c r="AA74" s="45" t="n">
        <f aca="false">W74*Y74+Z74</f>
        <v>108.177260012064</v>
      </c>
      <c r="AB74" s="25" t="n">
        <f aca="false">INDEX(C_TAB,MATCH($A74,C_COD,0),15)</f>
        <v>10</v>
      </c>
      <c r="AC74" s="45" t="n">
        <f aca="false">INDEX(C_TAB,MATCH($A74,C_COD,0),11)</f>
        <v>1000</v>
      </c>
      <c r="AD74" s="45" t="n">
        <f aca="false">MAX(AC74,CEILING(X74*AB74,AC74))</f>
        <v>1000</v>
      </c>
      <c r="AE74" s="25" t="n">
        <f aca="false">AD74/AC74</f>
        <v>1</v>
      </c>
      <c r="AF74" s="45" t="n">
        <f aca="false">Z74+AD74</f>
        <v>1031.1815067204</v>
      </c>
      <c r="AG74" s="25" t="n">
        <f aca="false">ROUNDUP(AF74/AC74,0)</f>
        <v>2</v>
      </c>
      <c r="AH74" s="45" t="n">
        <f aca="false">IF(W74&gt;0,AF74/W74,0)</f>
        <v>133.927062550345</v>
      </c>
      <c r="AI74" s="25" t="n">
        <f aca="false">IF(AD74&gt;0,E74/AD74,0)</f>
        <v>1.847898079</v>
      </c>
      <c r="AJ74" s="25" t="n">
        <f aca="false">INDEX(C_TAB,MATCH($A74,C_COD,0),16)</f>
        <v>30</v>
      </c>
      <c r="AK74" s="47" t="n">
        <f aca="false">IF(AJ74&gt;0,AG74/AJ74,0)</f>
        <v>0.0666666666666667</v>
      </c>
      <c r="AL74" s="45" t="n">
        <f aca="false">INDEX(C_TAB,MATCH($A74,C_COD,0),17)</f>
        <v>0.73</v>
      </c>
      <c r="AM74" s="45" t="n">
        <f aca="false">AK74*AL74</f>
        <v>0.0486666666666667</v>
      </c>
    </row>
    <row r="75" customFormat="false" ht="15" hidden="false" customHeight="false" outlineLevel="0" collapsed="false">
      <c r="A75" s="24" t="s">
        <v>993</v>
      </c>
      <c r="B75" s="24" t="str">
        <f aca="false">INDEX(C_TAB,MATCH($A75,C_COD,0),2)</f>
        <v>Etiqueta / placa de características ABC 25 kg</v>
      </c>
      <c r="C75" s="24" t="str">
        <f aca="false">INDEX(C_TAB,MATCH($A75,C_COD,0),3)</f>
        <v>u</v>
      </c>
      <c r="D75" s="24" t="str">
        <f aca="false">INDEX(C_TAB,MATCH($A75,C_COD,0),6)</f>
        <v>Identificación</v>
      </c>
      <c r="E75" s="45" t="n">
        <f aca="false">CONSOLIDADO_INSUMOS!T207</f>
        <v>453.2705332</v>
      </c>
      <c r="F75" s="45" t="n">
        <f aca="false">SUMIFS(CONSOLIDADO_INSUMOS!$T$4:$T$350,CONSOLIDADO_INSUMOS!$B$4:$B$350,$A75,CONSOLIDADO_INSUMOS!$H$4:$H$350,"MANUALES")</f>
        <v>0</v>
      </c>
      <c r="G75" s="45" t="n">
        <f aca="false">SUMIFS(CONSOLIDADO_INSUMOS!$T$4:$T$350,CONSOLIDADO_INSUMOS!$B$4:$B$350,$A75,CONSOLIDADO_INSUMOS!$H$4:$H$350,"RODANTES")</f>
        <v>453.2705332</v>
      </c>
      <c r="H75" s="45" t="n">
        <f aca="false">SUMIFS(CONSOLIDADO_INSUMOS!$T$4:$T$350,CONSOLIDADO_INSUMOS!$B$4:$B$350,$A75,CONSOLIDADO_INSUMOS!$H$4:$H$350,"RECARGAS")</f>
        <v>0</v>
      </c>
      <c r="I75" s="45" t="n">
        <f aca="false">SUMIFS(CONSOLIDADO_INSUMOS!$T$4:$T$350,CONSOLIDADO_INSUMOS!$B$4:$B$350,$A75,CONSOLIDADO_INSUMOS!$H$4:$H$350,"REVENDIDOS")</f>
        <v>0</v>
      </c>
      <c r="J75" s="45" t="n">
        <f aca="false">F75*ESTACIONALIDAD!$B$14+G75*ESTACIONALIDAD!$B$15+H75*ESTACIONALIDAD!$B$16+I75*ESTACIONALIDAD!$B$17</f>
        <v>38.527995322</v>
      </c>
      <c r="K75" s="45" t="n">
        <f aca="false">F75*ESTACIONALIDAD!$C$14+G75*ESTACIONALIDAD!$C$15+H75*ESTACIONALIDAD!$C$16+I75*ESTACIONALIDAD!$C$17</f>
        <v>33.99528999</v>
      </c>
      <c r="L75" s="45" t="n">
        <f aca="false">F75*ESTACIONALIDAD!$D$14+G75*ESTACIONALIDAD!$D$15+H75*ESTACIONALIDAD!$D$16+I75*ESTACIONALIDAD!$D$17</f>
        <v>40.794347988</v>
      </c>
      <c r="M75" s="45" t="n">
        <f aca="false">F75*ESTACIONALIDAD!$E$14+G75*ESTACIONALIDAD!$E$15+H75*ESTACIONALIDAD!$E$16+I75*ESTACIONALIDAD!$E$17</f>
        <v>40.794347988</v>
      </c>
      <c r="N75" s="45" t="n">
        <f aca="false">F75*ESTACIONALIDAD!$F$14+G75*ESTACIONALIDAD!$F$15+H75*ESTACIONALIDAD!$F$16+I75*ESTACIONALIDAD!$F$17</f>
        <v>40.794347988</v>
      </c>
      <c r="O75" s="45" t="n">
        <f aca="false">F75*ESTACIONALIDAD!$G$14+G75*ESTACIONALIDAD!$G$15+H75*ESTACIONALIDAD!$G$16+I75*ESTACIONALIDAD!$G$17</f>
        <v>36.261642656</v>
      </c>
      <c r="P75" s="45" t="n">
        <f aca="false">F75*ESTACIONALIDAD!$H$14+G75*ESTACIONALIDAD!$H$15+H75*ESTACIONALIDAD!$H$16+I75*ESTACIONALIDAD!$H$17</f>
        <v>40.794347988</v>
      </c>
      <c r="Q75" s="45" t="n">
        <f aca="false">F75*ESTACIONALIDAD!$I$14+G75*ESTACIONALIDAD!$I$15+H75*ESTACIONALIDAD!$I$16+I75*ESTACIONALIDAD!$I$17</f>
        <v>40.794347988</v>
      </c>
      <c r="R75" s="45" t="n">
        <f aca="false">F75*ESTACIONALIDAD!$J$14+G75*ESTACIONALIDAD!$J$15+H75*ESTACIONALIDAD!$J$16+I75*ESTACIONALIDAD!$J$17</f>
        <v>38.527995322</v>
      </c>
      <c r="S75" s="45" t="n">
        <f aca="false">F75*ESTACIONALIDAD!$K$14+G75*ESTACIONALIDAD!$K$15+H75*ESTACIONALIDAD!$K$16+I75*ESTACIONALIDAD!$K$17</f>
        <v>33.99528999</v>
      </c>
      <c r="T75" s="45" t="n">
        <f aca="false">F75*ESTACIONALIDAD!$L$14+G75*ESTACIONALIDAD!$L$15+H75*ESTACIONALIDAD!$L$16+I75*ESTACIONALIDAD!$L$17</f>
        <v>31.728937324</v>
      </c>
      <c r="U75" s="45" t="n">
        <f aca="false">F75*ESTACIONALIDAD!$M$14+G75*ESTACIONALIDAD!$M$15+H75*ESTACIONALIDAD!$M$16+I75*ESTACIONALIDAD!$M$17</f>
        <v>36.261642656</v>
      </c>
      <c r="V75" s="45" t="n">
        <f aca="false">MAX(J75:U75)</f>
        <v>40.794347988</v>
      </c>
      <c r="W75" s="46" t="n">
        <f aca="false">E75/INDEX(P_VAL,MATCH("DH_AÑO",P_ID,0))</f>
        <v>1.88862722166667</v>
      </c>
      <c r="X75" s="46" t="n">
        <f aca="false">V75/INDEX(P_VAL,MATCH("DH_MES",P_ID,0))</f>
        <v>2.0397173994</v>
      </c>
      <c r="Y75" s="25" t="n">
        <f aca="false">INDEX(C_TAB,MATCH($A75,C_COD,0),12)</f>
        <v>10</v>
      </c>
      <c r="Z75" s="46" t="n">
        <f aca="false">(X75-W75)*Y75</f>
        <v>1.51090177733333</v>
      </c>
      <c r="AA75" s="45" t="n">
        <f aca="false">W75*Y75+Z75</f>
        <v>20.397173994</v>
      </c>
      <c r="AB75" s="25" t="n">
        <f aca="false">INDEX(C_TAB,MATCH($A75,C_COD,0),15)</f>
        <v>10</v>
      </c>
      <c r="AC75" s="45" t="n">
        <f aca="false">INDEX(C_TAB,MATCH($A75,C_COD,0),11)</f>
        <v>1000</v>
      </c>
      <c r="AD75" s="45" t="n">
        <f aca="false">MAX(AC75,CEILING(X75*AB75,AC75))</f>
        <v>1000</v>
      </c>
      <c r="AE75" s="25" t="n">
        <f aca="false">AD75/AC75</f>
        <v>1</v>
      </c>
      <c r="AF75" s="45" t="n">
        <f aca="false">Z75+AD75</f>
        <v>1001.51090177733</v>
      </c>
      <c r="AG75" s="25" t="n">
        <f aca="false">ROUNDUP(AF75/AC75,0)</f>
        <v>2</v>
      </c>
      <c r="AH75" s="45" t="n">
        <f aca="false">IF(W75&gt;0,AF75/W75,0)</f>
        <v>530.285114123011</v>
      </c>
      <c r="AI75" s="25" t="n">
        <f aca="false">IF(AD75&gt;0,E75/AD75,0)</f>
        <v>0.4532705332</v>
      </c>
      <c r="AJ75" s="25" t="n">
        <f aca="false">INDEX(C_TAB,MATCH($A75,C_COD,0),16)</f>
        <v>30</v>
      </c>
      <c r="AK75" s="47" t="n">
        <f aca="false">IF(AJ75&gt;0,AG75/AJ75,0)</f>
        <v>0.0666666666666667</v>
      </c>
      <c r="AL75" s="45" t="n">
        <f aca="false">INDEX(C_TAB,MATCH($A75,C_COD,0),17)</f>
        <v>0.73</v>
      </c>
      <c r="AM75" s="45" t="n">
        <f aca="false">AK75*AL75</f>
        <v>0.0486666666666667</v>
      </c>
    </row>
    <row r="76" customFormat="false" ht="15" hidden="false" customHeight="false" outlineLevel="0" collapsed="false">
      <c r="A76" s="24" t="s">
        <v>1098</v>
      </c>
      <c r="B76" s="24" t="str">
        <f aca="false">INDEX(C_TAB,MATCH($A76,C_COD,0),2)</f>
        <v>Etiqueta / placa de características ABC 50 kg</v>
      </c>
      <c r="C76" s="24" t="str">
        <f aca="false">INDEX(C_TAB,MATCH($A76,C_COD,0),3)</f>
        <v>u</v>
      </c>
      <c r="D76" s="24" t="str">
        <f aca="false">INDEX(C_TAB,MATCH($A76,C_COD,0),6)</f>
        <v>Identificación</v>
      </c>
      <c r="E76" s="45" t="n">
        <f aca="false">CONSOLIDADO_INSUMOS!T209</f>
        <v>1000.8951731</v>
      </c>
      <c r="F76" s="45" t="n">
        <f aca="false">SUMIFS(CONSOLIDADO_INSUMOS!$T$4:$T$350,CONSOLIDADO_INSUMOS!$B$4:$B$350,$A76,CONSOLIDADO_INSUMOS!$H$4:$H$350,"MANUALES")</f>
        <v>0</v>
      </c>
      <c r="G76" s="45" t="n">
        <f aca="false">SUMIFS(CONSOLIDADO_INSUMOS!$T$4:$T$350,CONSOLIDADO_INSUMOS!$B$4:$B$350,$A76,CONSOLIDADO_INSUMOS!$H$4:$H$350,"RODANTES")</f>
        <v>997.1951731</v>
      </c>
      <c r="H76" s="45" t="n">
        <f aca="false">SUMIFS(CONSOLIDADO_INSUMOS!$T$4:$T$350,CONSOLIDADO_INSUMOS!$B$4:$B$350,$A76,CONSOLIDADO_INSUMOS!$H$4:$H$350,"RECARGAS")</f>
        <v>3.7</v>
      </c>
      <c r="I76" s="45" t="n">
        <f aca="false">SUMIFS(CONSOLIDADO_INSUMOS!$T$4:$T$350,CONSOLIDADO_INSUMOS!$B$4:$B$350,$A76,CONSOLIDADO_INSUMOS!$H$4:$H$350,"REVENDIDOS")</f>
        <v>0</v>
      </c>
      <c r="J76" s="45" t="n">
        <f aca="false">F76*ESTACIONALIDAD!$B$14+G76*ESTACIONALIDAD!$B$15+H76*ESTACIONALIDAD!$B$16+I76*ESTACIONALIDAD!$B$17</f>
        <v>85.1143833061692</v>
      </c>
      <c r="K76" s="45" t="n">
        <f aca="false">F76*ESTACIONALIDAD!$C$14+G76*ESTACIONALIDAD!$C$15+H76*ESTACIONALIDAD!$C$16+I76*ESTACIONALIDAD!$C$17</f>
        <v>75.0817788419085</v>
      </c>
      <c r="L76" s="45" t="n">
        <f aca="false">F76*ESTACIONALIDAD!$D$14+G76*ESTACIONALIDAD!$D$15+H76*ESTACIONALIDAD!$D$16+I76*ESTACIONALIDAD!$D$17</f>
        <v>90.0485585869296</v>
      </c>
      <c r="M76" s="45" t="n">
        <f aca="false">F76*ESTACIONALIDAD!$E$14+G76*ESTACIONALIDAD!$E$15+H76*ESTACIONALIDAD!$E$16+I76*ESTACIONALIDAD!$E$17</f>
        <v>90.0399553832642</v>
      </c>
      <c r="N76" s="45" t="n">
        <f aca="false">F76*ESTACIONALIDAD!$F$14+G76*ESTACIONALIDAD!$F$15+H76*ESTACIONALIDAD!$F$16+I76*ESTACIONALIDAD!$F$17</f>
        <v>90.031103234743</v>
      </c>
      <c r="O76" s="45" t="n">
        <f aca="false">F76*ESTACIONALIDAD!$G$14+G76*ESTACIONALIDAD!$G$15+H76*ESTACIONALIDAD!$G$16+I76*ESTACIONALIDAD!$G$17</f>
        <v>80.0502993552219</v>
      </c>
      <c r="P76" s="45" t="n">
        <f aca="false">F76*ESTACIONALIDAD!$H$14+G76*ESTACIONALIDAD!$H$15+H76*ESTACIONALIDAD!$H$16+I76*ESTACIONALIDAD!$H$17</f>
        <v>90.0402043281199</v>
      </c>
      <c r="Q76" s="45" t="n">
        <f aca="false">F76*ESTACIONALIDAD!$I$14+G76*ESTACIONALIDAD!$I$15+H76*ESTACIONALIDAD!$I$16+I76*ESTACIONALIDAD!$I$17</f>
        <v>90.0483096420739</v>
      </c>
      <c r="R76" s="45" t="n">
        <f aca="false">F76*ESTACIONALIDAD!$J$14+G76*ESTACIONALIDAD!$J$15+H76*ESTACIONALIDAD!$J$16+I76*ESTACIONALIDAD!$J$17</f>
        <v>85.0623337765739</v>
      </c>
      <c r="S76" s="45" t="n">
        <f aca="false">F76*ESTACIONALIDAD!$K$14+G76*ESTACIONALIDAD!$K$15+H76*ESTACIONALIDAD!$K$16+I76*ESTACIONALIDAD!$K$17</f>
        <v>75.0817788419085</v>
      </c>
      <c r="T76" s="45" t="n">
        <f aca="false">F76*ESTACIONALIDAD!$L$14+G76*ESTACIONALIDAD!$L$15+H76*ESTACIONALIDAD!$L$16+I76*ESTACIONALIDAD!$L$17</f>
        <v>70.0955540315528</v>
      </c>
      <c r="U76" s="45" t="n">
        <f aca="false">F76*ESTACIONALIDAD!$M$14+G76*ESTACIONALIDAD!$M$15+H76*ESTACIONALIDAD!$M$16+I76*ESTACIONALIDAD!$M$17</f>
        <v>80.2009137715349</v>
      </c>
      <c r="V76" s="45" t="n">
        <f aca="false">MAX(J76:U76)</f>
        <v>90.0485585869296</v>
      </c>
      <c r="W76" s="46" t="n">
        <f aca="false">E76/INDEX(P_VAL,MATCH("DH_AÑO",P_ID,0))</f>
        <v>4.17039655458333</v>
      </c>
      <c r="X76" s="46" t="n">
        <f aca="false">V76/INDEX(P_VAL,MATCH("DH_MES",P_ID,0))</f>
        <v>4.50242792934648</v>
      </c>
      <c r="Y76" s="25" t="n">
        <f aca="false">INDEX(C_TAB,MATCH($A76,C_COD,0),12)</f>
        <v>10</v>
      </c>
      <c r="Z76" s="46" t="n">
        <f aca="false">(X76-W76)*Y76</f>
        <v>3.32031374763147</v>
      </c>
      <c r="AA76" s="45" t="n">
        <f aca="false">W76*Y76+Z76</f>
        <v>45.0242792934648</v>
      </c>
      <c r="AB76" s="25" t="n">
        <f aca="false">INDEX(C_TAB,MATCH($A76,C_COD,0),15)</f>
        <v>10</v>
      </c>
      <c r="AC76" s="45" t="n">
        <f aca="false">INDEX(C_TAB,MATCH($A76,C_COD,0),11)</f>
        <v>1000</v>
      </c>
      <c r="AD76" s="45" t="n">
        <f aca="false">MAX(AC76,CEILING(X76*AB76,AC76))</f>
        <v>1000</v>
      </c>
      <c r="AE76" s="25" t="n">
        <f aca="false">AD76/AC76</f>
        <v>1</v>
      </c>
      <c r="AF76" s="45" t="n">
        <f aca="false">Z76+AD76</f>
        <v>1003.32031374763</v>
      </c>
      <c r="AG76" s="25" t="n">
        <f aca="false">ROUNDUP(AF76/AC76,0)</f>
        <v>2</v>
      </c>
      <c r="AH76" s="45" t="n">
        <f aca="false">IF(W76&gt;0,AF76/W76,0)</f>
        <v>240.581513200457</v>
      </c>
      <c r="AI76" s="25" t="n">
        <f aca="false">IF(AD76&gt;0,E76/AD76,0)</f>
        <v>1.0008951731</v>
      </c>
      <c r="AJ76" s="25" t="n">
        <f aca="false">INDEX(C_TAB,MATCH($A76,C_COD,0),16)</f>
        <v>30</v>
      </c>
      <c r="AK76" s="47" t="n">
        <f aca="false">IF(AJ76&gt;0,AG76/AJ76,0)</f>
        <v>0.0666666666666667</v>
      </c>
      <c r="AL76" s="45" t="n">
        <f aca="false">INDEX(C_TAB,MATCH($A76,C_COD,0),17)</f>
        <v>0.73</v>
      </c>
      <c r="AM76" s="45" t="n">
        <f aca="false">AK76*AL76</f>
        <v>0.0486666666666667</v>
      </c>
    </row>
    <row r="77" customFormat="false" ht="15" hidden="false" customHeight="false" outlineLevel="0" collapsed="false">
      <c r="A77" s="24" t="s">
        <v>1205</v>
      </c>
      <c r="B77" s="24" t="str">
        <f aca="false">INDEX(C_TAB,MATCH($A77,C_COD,0),2)</f>
        <v>Etiqueta / placa de características ABC 70 kg</v>
      </c>
      <c r="C77" s="24" t="str">
        <f aca="false">INDEX(C_TAB,MATCH($A77,C_COD,0),3)</f>
        <v>u</v>
      </c>
      <c r="D77" s="24" t="str">
        <f aca="false">INDEX(C_TAB,MATCH($A77,C_COD,0),6)</f>
        <v>Identificación</v>
      </c>
      <c r="E77" s="45" t="n">
        <f aca="false">CONSOLIDADO_INSUMOS!T212</f>
        <v>217.569856</v>
      </c>
      <c r="F77" s="45" t="n">
        <f aca="false">SUMIFS(CONSOLIDADO_INSUMOS!$T$4:$T$350,CONSOLIDADO_INSUMOS!$B$4:$B$350,$A77,CONSOLIDADO_INSUMOS!$H$4:$H$350,"MANUALES")</f>
        <v>0</v>
      </c>
      <c r="G77" s="45" t="n">
        <f aca="false">SUMIFS(CONSOLIDADO_INSUMOS!$T$4:$T$350,CONSOLIDADO_INSUMOS!$B$4:$B$350,$A77,CONSOLIDADO_INSUMOS!$H$4:$H$350,"RODANTES")</f>
        <v>217.569856</v>
      </c>
      <c r="H77" s="45" t="n">
        <f aca="false">SUMIFS(CONSOLIDADO_INSUMOS!$T$4:$T$350,CONSOLIDADO_INSUMOS!$B$4:$B$350,$A77,CONSOLIDADO_INSUMOS!$H$4:$H$350,"RECARGAS")</f>
        <v>0</v>
      </c>
      <c r="I77" s="45" t="n">
        <f aca="false">SUMIFS(CONSOLIDADO_INSUMOS!$T$4:$T$350,CONSOLIDADO_INSUMOS!$B$4:$B$350,$A77,CONSOLIDADO_INSUMOS!$H$4:$H$350,"REVENDIDOS")</f>
        <v>0</v>
      </c>
      <c r="J77" s="45" t="n">
        <f aca="false">F77*ESTACIONALIDAD!$B$14+G77*ESTACIONALIDAD!$B$15+H77*ESTACIONALIDAD!$B$16+I77*ESTACIONALIDAD!$B$17</f>
        <v>18.49343776</v>
      </c>
      <c r="K77" s="45" t="n">
        <f aca="false">F77*ESTACIONALIDAD!$C$14+G77*ESTACIONALIDAD!$C$15+H77*ESTACIONALIDAD!$C$16+I77*ESTACIONALIDAD!$C$17</f>
        <v>16.3177392</v>
      </c>
      <c r="L77" s="45" t="n">
        <f aca="false">F77*ESTACIONALIDAD!$D$14+G77*ESTACIONALIDAD!$D$15+H77*ESTACIONALIDAD!$D$16+I77*ESTACIONALIDAD!$D$17</f>
        <v>19.58128704</v>
      </c>
      <c r="M77" s="45" t="n">
        <f aca="false">F77*ESTACIONALIDAD!$E$14+G77*ESTACIONALIDAD!$E$15+H77*ESTACIONALIDAD!$E$16+I77*ESTACIONALIDAD!$E$17</f>
        <v>19.58128704</v>
      </c>
      <c r="N77" s="45" t="n">
        <f aca="false">F77*ESTACIONALIDAD!$F$14+G77*ESTACIONALIDAD!$F$15+H77*ESTACIONALIDAD!$F$16+I77*ESTACIONALIDAD!$F$17</f>
        <v>19.58128704</v>
      </c>
      <c r="O77" s="45" t="n">
        <f aca="false">F77*ESTACIONALIDAD!$G$14+G77*ESTACIONALIDAD!$G$15+H77*ESTACIONALIDAD!$G$16+I77*ESTACIONALIDAD!$G$17</f>
        <v>17.40558848</v>
      </c>
      <c r="P77" s="45" t="n">
        <f aca="false">F77*ESTACIONALIDAD!$H$14+G77*ESTACIONALIDAD!$H$15+H77*ESTACIONALIDAD!$H$16+I77*ESTACIONALIDAD!$H$17</f>
        <v>19.58128704</v>
      </c>
      <c r="Q77" s="45" t="n">
        <f aca="false">F77*ESTACIONALIDAD!$I$14+G77*ESTACIONALIDAD!$I$15+H77*ESTACIONALIDAD!$I$16+I77*ESTACIONALIDAD!$I$17</f>
        <v>19.58128704</v>
      </c>
      <c r="R77" s="45" t="n">
        <f aca="false">F77*ESTACIONALIDAD!$J$14+G77*ESTACIONALIDAD!$J$15+H77*ESTACIONALIDAD!$J$16+I77*ESTACIONALIDAD!$J$17</f>
        <v>18.49343776</v>
      </c>
      <c r="S77" s="45" t="n">
        <f aca="false">F77*ESTACIONALIDAD!$K$14+G77*ESTACIONALIDAD!$K$15+H77*ESTACIONALIDAD!$K$16+I77*ESTACIONALIDAD!$K$17</f>
        <v>16.3177392</v>
      </c>
      <c r="T77" s="45" t="n">
        <f aca="false">F77*ESTACIONALIDAD!$L$14+G77*ESTACIONALIDAD!$L$15+H77*ESTACIONALIDAD!$L$16+I77*ESTACIONALIDAD!$L$17</f>
        <v>15.22988992</v>
      </c>
      <c r="U77" s="45" t="n">
        <f aca="false">F77*ESTACIONALIDAD!$M$14+G77*ESTACIONALIDAD!$M$15+H77*ESTACIONALIDAD!$M$16+I77*ESTACIONALIDAD!$M$17</f>
        <v>17.40558848</v>
      </c>
      <c r="V77" s="45" t="n">
        <f aca="false">MAX(J77:U77)</f>
        <v>19.58128704</v>
      </c>
      <c r="W77" s="46" t="n">
        <f aca="false">E77/INDEX(P_VAL,MATCH("DH_AÑO",P_ID,0))</f>
        <v>0.906541066666667</v>
      </c>
      <c r="X77" s="46" t="n">
        <f aca="false">V77/INDEX(P_VAL,MATCH("DH_MES",P_ID,0))</f>
        <v>0.979064352</v>
      </c>
      <c r="Y77" s="25" t="n">
        <f aca="false">INDEX(C_TAB,MATCH($A77,C_COD,0),12)</f>
        <v>10</v>
      </c>
      <c r="Z77" s="46" t="n">
        <f aca="false">(X77-W77)*Y77</f>
        <v>0.725232853333334</v>
      </c>
      <c r="AA77" s="45" t="n">
        <f aca="false">W77*Y77+Z77</f>
        <v>9.79064352</v>
      </c>
      <c r="AB77" s="25" t="n">
        <f aca="false">INDEX(C_TAB,MATCH($A77,C_COD,0),15)</f>
        <v>10</v>
      </c>
      <c r="AC77" s="45" t="n">
        <f aca="false">INDEX(C_TAB,MATCH($A77,C_COD,0),11)</f>
        <v>1000</v>
      </c>
      <c r="AD77" s="45" t="n">
        <f aca="false">MAX(AC77,CEILING(X77*AB77,AC77))</f>
        <v>1000</v>
      </c>
      <c r="AE77" s="25" t="n">
        <f aca="false">AD77/AC77</f>
        <v>1</v>
      </c>
      <c r="AF77" s="45" t="n">
        <f aca="false">Z77+AD77</f>
        <v>1000.72523285333</v>
      </c>
      <c r="AG77" s="25" t="n">
        <f aca="false">ROUNDUP(AF77/AC77,0)</f>
        <v>2</v>
      </c>
      <c r="AH77" s="45" t="n">
        <f aca="false">IF(W77&gt;0,AF77/W77,0)</f>
        <v>1103.89398743179</v>
      </c>
      <c r="AI77" s="25" t="n">
        <f aca="false">IF(AD77&gt;0,E77/AD77,0)</f>
        <v>0.217569856</v>
      </c>
      <c r="AJ77" s="25" t="n">
        <f aca="false">INDEX(C_TAB,MATCH($A77,C_COD,0),16)</f>
        <v>30</v>
      </c>
      <c r="AK77" s="47" t="n">
        <f aca="false">IF(AJ77&gt;0,AG77/AJ77,0)</f>
        <v>0.0666666666666667</v>
      </c>
      <c r="AL77" s="45" t="n">
        <f aca="false">INDEX(C_TAB,MATCH($A77,C_COD,0),17)</f>
        <v>0.73</v>
      </c>
      <c r="AM77" s="45" t="n">
        <f aca="false">AK77*AL77</f>
        <v>0.0486666666666667</v>
      </c>
    </row>
    <row r="78" customFormat="false" ht="15" hidden="false" customHeight="false" outlineLevel="0" collapsed="false">
      <c r="A78" s="24" t="s">
        <v>1306</v>
      </c>
      <c r="B78" s="24" t="str">
        <f aca="false">INDEX(C_TAB,MATCH($A78,C_COD,0),2)</f>
        <v>Etiqueta / placa de características ABC 100 kg</v>
      </c>
      <c r="C78" s="24" t="str">
        <f aca="false">INDEX(C_TAB,MATCH($A78,C_COD,0),3)</f>
        <v>u</v>
      </c>
      <c r="D78" s="24" t="str">
        <f aca="false">INDEX(C_TAB,MATCH($A78,C_COD,0),6)</f>
        <v>Identificación</v>
      </c>
      <c r="E78" s="45" t="n">
        <f aca="false">CONSOLIDADO_INSUMOS!T214</f>
        <v>145.4965706</v>
      </c>
      <c r="F78" s="45" t="n">
        <f aca="false">SUMIFS(CONSOLIDADO_INSUMOS!$T$4:$T$350,CONSOLIDADO_INSUMOS!$B$4:$B$350,$A78,CONSOLIDADO_INSUMOS!$H$4:$H$350,"MANUALES")</f>
        <v>0</v>
      </c>
      <c r="G78" s="45" t="n">
        <f aca="false">SUMIFS(CONSOLIDADO_INSUMOS!$T$4:$T$350,CONSOLIDADO_INSUMOS!$B$4:$B$350,$A78,CONSOLIDADO_INSUMOS!$H$4:$H$350,"RODANTES")</f>
        <v>145.0465706</v>
      </c>
      <c r="H78" s="45" t="n">
        <f aca="false">SUMIFS(CONSOLIDADO_INSUMOS!$T$4:$T$350,CONSOLIDADO_INSUMOS!$B$4:$B$350,$A78,CONSOLIDADO_INSUMOS!$H$4:$H$350,"RECARGAS")</f>
        <v>0.45</v>
      </c>
      <c r="I78" s="45" t="n">
        <f aca="false">SUMIFS(CONSOLIDADO_INSUMOS!$T$4:$T$350,CONSOLIDADO_INSUMOS!$B$4:$B$350,$A78,CONSOLIDADO_INSUMOS!$H$4:$H$350,"REVENDIDOS")</f>
        <v>0</v>
      </c>
      <c r="J78" s="45" t="n">
        <f aca="false">F78*ESTACIONALIDAD!$B$14+G78*ESTACIONALIDAD!$B$15+H78*ESTACIONALIDAD!$B$16+I78*ESTACIONALIDAD!$B$17</f>
        <v>12.3718658298381</v>
      </c>
      <c r="K78" s="45" t="n">
        <f aca="false">F78*ESTACIONALIDAD!$C$14+G78*ESTACIONALIDAD!$C$15+H78*ESTACIONALIDAD!$C$16+I78*ESTACIONALIDAD!$C$17</f>
        <v>10.9140234400632</v>
      </c>
      <c r="L78" s="45" t="n">
        <f aca="false">F78*ESTACIONALIDAD!$D$14+G78*ESTACIONALIDAD!$D$15+H78*ESTACIONALIDAD!$D$16+I78*ESTACIONALIDAD!$D$17</f>
        <v>13.0907986117212</v>
      </c>
      <c r="M78" s="45" t="n">
        <f aca="false">F78*ESTACIONALIDAD!$E$14+G78*ESTACIONALIDAD!$E$15+H78*ESTACIONALIDAD!$E$16+I78*ESTACIONALIDAD!$E$17</f>
        <v>13.0897522761402</v>
      </c>
      <c r="N78" s="45" t="n">
        <f aca="false">F78*ESTACIONALIDAD!$F$14+G78*ESTACIONALIDAD!$F$15+H78*ESTACIONALIDAD!$F$16+I78*ESTACIONALIDAD!$F$17</f>
        <v>13.0886756634823</v>
      </c>
      <c r="O78" s="45" t="n">
        <f aca="false">F78*ESTACIONALIDAD!$G$14+G78*ESTACIONALIDAD!$G$15+H78*ESTACIONALIDAD!$G$16+I78*ESTACIONALIDAD!$G$17</f>
        <v>11.6371333448243</v>
      </c>
      <c r="P78" s="45" t="n">
        <f aca="false">F78*ESTACIONALIDAD!$H$14+G78*ESTACIONALIDAD!$H$15+H78*ESTACIONALIDAD!$H$16+I78*ESTACIONALIDAD!$H$17</f>
        <v>13.0897825532173</v>
      </c>
      <c r="Q78" s="45" t="n">
        <f aca="false">F78*ESTACIONALIDAD!$I$14+G78*ESTACIONALIDAD!$I$15+H78*ESTACIONALIDAD!$I$16+I78*ESTACIONALIDAD!$I$17</f>
        <v>13.0907683346441</v>
      </c>
      <c r="R78" s="45" t="n">
        <f aca="false">F78*ESTACIONALIDAD!$J$14+G78*ESTACIONALIDAD!$J$15+H78*ESTACIONALIDAD!$J$16+I78*ESTACIONALIDAD!$J$17</f>
        <v>12.3655354816441</v>
      </c>
      <c r="S78" s="45" t="n">
        <f aca="false">F78*ESTACIONALIDAD!$K$14+G78*ESTACIONALIDAD!$K$15+H78*ESTACIONALIDAD!$K$16+I78*ESTACIONALIDAD!$K$17</f>
        <v>10.9140234400632</v>
      </c>
      <c r="T78" s="45" t="n">
        <f aca="false">F78*ESTACIONALIDAD!$L$14+G78*ESTACIONALIDAD!$L$15+H78*ESTACIONALIDAD!$L$16+I78*ESTACIONALIDAD!$L$17</f>
        <v>10.1887603099861</v>
      </c>
      <c r="U78" s="45" t="n">
        <f aca="false">F78*ESTACIONALIDAD!$M$14+G78*ESTACIONALIDAD!$M$15+H78*ESTACIONALIDAD!$M$16+I78*ESTACIONALIDAD!$M$17</f>
        <v>11.6554513143759</v>
      </c>
      <c r="V78" s="45" t="n">
        <f aca="false">MAX(J78:U78)</f>
        <v>13.0907986117212</v>
      </c>
      <c r="W78" s="46" t="n">
        <f aca="false">E78/INDEX(P_VAL,MATCH("DH_AÑO",P_ID,0))</f>
        <v>0.606235710833333</v>
      </c>
      <c r="X78" s="46" t="n">
        <f aca="false">V78/INDEX(P_VAL,MATCH("DH_MES",P_ID,0))</f>
        <v>0.654539930586058</v>
      </c>
      <c r="Y78" s="25" t="n">
        <f aca="false">INDEX(C_TAB,MATCH($A78,C_COD,0),12)</f>
        <v>10</v>
      </c>
      <c r="Z78" s="46" t="n">
        <f aca="false">(X78-W78)*Y78</f>
        <v>0.48304219752725</v>
      </c>
      <c r="AA78" s="45" t="n">
        <f aca="false">W78*Y78+Z78</f>
        <v>6.54539930586058</v>
      </c>
      <c r="AB78" s="25" t="n">
        <f aca="false">INDEX(C_TAB,MATCH($A78,C_COD,0),15)</f>
        <v>10</v>
      </c>
      <c r="AC78" s="45" t="n">
        <f aca="false">INDEX(C_TAB,MATCH($A78,C_COD,0),11)</f>
        <v>1000</v>
      </c>
      <c r="AD78" s="45" t="n">
        <f aca="false">MAX(AC78,CEILING(X78*AB78,AC78))</f>
        <v>1000</v>
      </c>
      <c r="AE78" s="25" t="n">
        <f aca="false">AD78/AC78</f>
        <v>1</v>
      </c>
      <c r="AF78" s="45" t="n">
        <f aca="false">Z78+AD78</f>
        <v>1000.48304219753</v>
      </c>
      <c r="AG78" s="25" t="n">
        <f aca="false">ROUNDUP(AF78/AC78,0)</f>
        <v>2</v>
      </c>
      <c r="AH78" s="45" t="n">
        <f aca="false">IF(W78&gt;0,AF78/W78,0)</f>
        <v>1650.3202043678</v>
      </c>
      <c r="AI78" s="25" t="n">
        <f aca="false">IF(AD78&gt;0,E78/AD78,0)</f>
        <v>0.1454965706</v>
      </c>
      <c r="AJ78" s="25" t="n">
        <f aca="false">INDEX(C_TAB,MATCH($A78,C_COD,0),16)</f>
        <v>30</v>
      </c>
      <c r="AK78" s="47" t="n">
        <f aca="false">IF(AJ78&gt;0,AG78/AJ78,0)</f>
        <v>0.0666666666666667</v>
      </c>
      <c r="AL78" s="45" t="n">
        <f aca="false">INDEX(C_TAB,MATCH($A78,C_COD,0),17)</f>
        <v>0.73</v>
      </c>
      <c r="AM78" s="45" t="n">
        <f aca="false">AK78*AL78</f>
        <v>0.0486666666666667</v>
      </c>
    </row>
    <row r="79" customFormat="false" ht="15" hidden="false" customHeight="false" outlineLevel="0" collapsed="false">
      <c r="A79" s="24" t="s">
        <v>581</v>
      </c>
      <c r="B79" s="24" t="str">
        <f aca="false">INDEX(C_TAB,MATCH($A79,C_COD,0),2)</f>
        <v>Oblea de fabricación PBA (Res. 522/07)</v>
      </c>
      <c r="C79" s="24" t="str">
        <f aca="false">INDEX(C_TAB,MATCH($A79,C_COD,0),3)</f>
        <v>u</v>
      </c>
      <c r="D79" s="24" t="str">
        <f aca="false">INDEX(C_TAB,MATCH($A79,C_COD,0),6)</f>
        <v>Identificación</v>
      </c>
      <c r="E79" s="45" t="n">
        <f aca="false">CONSOLIDADO_INSUMOS!T217</f>
        <v>57943.4720154401</v>
      </c>
      <c r="F79" s="45" t="n">
        <f aca="false">SUMIFS(CONSOLIDADO_INSUMOS!$T$4:$T$350,CONSOLIDADO_INSUMOS!$B$4:$B$350,$A79,CONSOLIDADO_INSUMOS!$H$4:$H$350,"MANUALES")</f>
        <v>56258.1944283494</v>
      </c>
      <c r="G79" s="45" t="n">
        <f aca="false">SUMIFS(CONSOLIDADO_INSUMOS!$T$4:$T$350,CONSOLIDADO_INSUMOS!$B$4:$B$350,$A79,CONSOLIDADO_INSUMOS!$H$4:$H$350,"RODANTES")</f>
        <v>1384.80463384265</v>
      </c>
      <c r="H79" s="45" t="n">
        <f aca="false">SUMIFS(CONSOLIDADO_INSUMOS!$T$4:$T$350,CONSOLIDADO_INSUMOS!$B$4:$B$350,$A79,CONSOLIDADO_INSUMOS!$H$4:$H$350,"RECARGAS")</f>
        <v>300.472953248029</v>
      </c>
      <c r="I79" s="45" t="n">
        <f aca="false">SUMIFS(CONSOLIDADO_INSUMOS!$T$4:$T$350,CONSOLIDADO_INSUMOS!$B$4:$B$350,$A79,CONSOLIDADO_INSUMOS!$H$4:$H$350,"REVENDIDOS")</f>
        <v>0</v>
      </c>
      <c r="J79" s="45" t="n">
        <f aca="false">F79*ESTACIONALIDAD!$B$14+G79*ESTACIONALIDAD!$B$15+H79*ESTACIONALIDAD!$B$16+I79*ESTACIONALIDAD!$B$17</f>
        <v>6569.87315447005</v>
      </c>
      <c r="K79" s="45" t="n">
        <f aca="false">F79*ESTACIONALIDAD!$C$14+G79*ESTACIONALIDAD!$C$15+H79*ESTACIONALIDAD!$C$16+I79*ESTACIONALIDAD!$C$17</f>
        <v>5027.0880094564</v>
      </c>
      <c r="L79" s="45" t="n">
        <f aca="false">F79*ESTACIONALIDAD!$D$14+G79*ESTACIONALIDAD!$D$15+H79*ESTACIONALIDAD!$D$16+I79*ESTACIONALIDAD!$D$17</f>
        <v>4731.59842243988</v>
      </c>
      <c r="M79" s="45" t="n">
        <f aca="false">F79*ESTACIONALIDAD!$E$14+G79*ESTACIONALIDAD!$E$15+H79*ESTACIONALIDAD!$E$16+I79*ESTACIONALIDAD!$E$17</f>
        <v>4531.47593169116</v>
      </c>
      <c r="N79" s="45" t="n">
        <f aca="false">F79*ESTACIONALIDAD!$F$14+G79*ESTACIONALIDAD!$F$15+H79*ESTACIONALIDAD!$F$16+I79*ESTACIONALIDAD!$F$17</f>
        <v>4249.46608624976</v>
      </c>
      <c r="O79" s="45" t="n">
        <f aca="false">F79*ESTACIONALIDAD!$G$14+G79*ESTACIONALIDAD!$G$15+H79*ESTACIONALIDAD!$G$16+I79*ESTACIONALIDAD!$G$17</f>
        <v>4153.03202845844</v>
      </c>
      <c r="P79" s="45" t="n">
        <f aca="false">F79*ESTACIONALIDAD!$H$14+G79*ESTACIONALIDAD!$H$15+H79*ESTACIONALIDAD!$H$16+I79*ESTACIONALIDAD!$H$17</f>
        <v>4449.62901007739</v>
      </c>
      <c r="Q79" s="45" t="n">
        <f aca="false">F79*ESTACIONALIDAD!$I$14+G79*ESTACIONALIDAD!$I$15+H79*ESTACIONALIDAD!$I$16+I79*ESTACIONALIDAD!$I$17</f>
        <v>4450.28723375868</v>
      </c>
      <c r="R79" s="45" t="n">
        <f aca="false">F79*ESTACIONALIDAD!$J$14+G79*ESTACIONALIDAD!$J$15+H79*ESTACIONALIDAD!$J$16+I79*ESTACIONALIDAD!$J$17</f>
        <v>4443.36321058947</v>
      </c>
      <c r="S79" s="45" t="n">
        <f aca="false">F79*ESTACIONALIDAD!$K$14+G79*ESTACIONALIDAD!$K$15+H79*ESTACIONALIDAD!$K$16+I79*ESTACIONALIDAD!$K$17</f>
        <v>4346.94936933761</v>
      </c>
      <c r="T79" s="45" t="n">
        <f aca="false">F79*ESTACIONALIDAD!$L$14+G79*ESTACIONALIDAD!$L$15+H79*ESTACIONALIDAD!$L$16+I79*ESTACIONALIDAD!$L$17</f>
        <v>4258.13799147572</v>
      </c>
      <c r="U79" s="45" t="n">
        <f aca="false">F79*ESTACIONALIDAD!$M$14+G79*ESTACIONALIDAD!$M$15+H79*ESTACIONALIDAD!$M$16+I79*ESTACIONALIDAD!$M$17</f>
        <v>6732.57156743551</v>
      </c>
      <c r="V79" s="45" t="n">
        <f aca="false">MAX(J79:U79)</f>
        <v>6732.57156743551</v>
      </c>
      <c r="W79" s="46" t="n">
        <f aca="false">E79/INDEX(P_VAL,MATCH("DH_AÑO",P_ID,0))</f>
        <v>241.431133397667</v>
      </c>
      <c r="X79" s="46" t="n">
        <f aca="false">V79/INDEX(P_VAL,MATCH("DH_MES",P_ID,0))</f>
        <v>336.628578371775</v>
      </c>
      <c r="Y79" s="25" t="n">
        <f aca="false">INDEX(C_TAB,MATCH($A79,C_COD,0),12)</f>
        <v>10</v>
      </c>
      <c r="Z79" s="46" t="n">
        <f aca="false">(X79-W79)*Y79</f>
        <v>951.974449741083</v>
      </c>
      <c r="AA79" s="45" t="n">
        <f aca="false">W79*Y79+Z79</f>
        <v>3366.28578371775</v>
      </c>
      <c r="AB79" s="25" t="n">
        <f aca="false">INDEX(C_TAB,MATCH($A79,C_COD,0),15)</f>
        <v>10</v>
      </c>
      <c r="AC79" s="45" t="n">
        <f aca="false">INDEX(C_TAB,MATCH($A79,C_COD,0),11)</f>
        <v>1000</v>
      </c>
      <c r="AD79" s="45" t="n">
        <f aca="false">MAX(AC79,CEILING(X79*AB79,AC79))</f>
        <v>4000</v>
      </c>
      <c r="AE79" s="25" t="n">
        <f aca="false">AD79/AC79</f>
        <v>4</v>
      </c>
      <c r="AF79" s="45" t="n">
        <f aca="false">Z79+AD79</f>
        <v>4951.97444974108</v>
      </c>
      <c r="AG79" s="25" t="n">
        <f aca="false">ROUNDUP(AF79/AC79,0)</f>
        <v>5</v>
      </c>
      <c r="AH79" s="45" t="n">
        <f aca="false">IF(W79&gt;0,AF79/W79,0)</f>
        <v>20.5109191182256</v>
      </c>
      <c r="AI79" s="25" t="n">
        <f aca="false">IF(AD79&gt;0,E79/AD79,0)</f>
        <v>14.48586800386</v>
      </c>
      <c r="AJ79" s="25" t="n">
        <f aca="false">INDEX(C_TAB,MATCH($A79,C_COD,0),16)</f>
        <v>50</v>
      </c>
      <c r="AK79" s="47" t="n">
        <f aca="false">IF(AJ79&gt;0,AG79/AJ79,0)</f>
        <v>0.1</v>
      </c>
      <c r="AL79" s="45" t="n">
        <f aca="false">INDEX(C_TAB,MATCH($A79,C_COD,0),17)</f>
        <v>0.73</v>
      </c>
      <c r="AM79" s="45" t="n">
        <f aca="false">AK79*AL79</f>
        <v>0.073</v>
      </c>
    </row>
    <row r="80" customFormat="false" ht="15" hidden="false" customHeight="false" outlineLevel="0" collapsed="false">
      <c r="A80" s="24" t="s">
        <v>586</v>
      </c>
      <c r="B80" s="24" t="str">
        <f aca="false">INDEX(C_TAB,MATCH($A80,C_COD,0),2)</f>
        <v>Estampilla IRAM de conformidad</v>
      </c>
      <c r="C80" s="24" t="str">
        <f aca="false">INDEX(C_TAB,MATCH($A80,C_COD,0),3)</f>
        <v>u</v>
      </c>
      <c r="D80" s="24" t="str">
        <f aca="false">INDEX(C_TAB,MATCH($A80,C_COD,0),6)</f>
        <v>Identificación</v>
      </c>
      <c r="E80" s="45" t="n">
        <f aca="false">CONSOLIDADO_INSUMOS!T221</f>
        <v>75863.6065059</v>
      </c>
      <c r="F80" s="45" t="n">
        <f aca="false">SUMIFS(CONSOLIDADO_INSUMOS!$T$4:$T$350,CONSOLIDADO_INSUMOS!$B$4:$B$350,$A80,CONSOLIDADO_INSUMOS!$H$4:$H$350,"MANUALES")</f>
        <v>73657.124373</v>
      </c>
      <c r="G80" s="45" t="n">
        <f aca="false">SUMIFS(CONSOLIDADO_INSUMOS!$T$4:$T$350,CONSOLIDADO_INSUMOS!$B$4:$B$350,$A80,CONSOLIDADO_INSUMOS!$H$4:$H$350,"RODANTES")</f>
        <v>1813.0821329</v>
      </c>
      <c r="H80" s="45" t="n">
        <f aca="false">SUMIFS(CONSOLIDADO_INSUMOS!$T$4:$T$350,CONSOLIDADO_INSUMOS!$B$4:$B$350,$A80,CONSOLIDADO_INSUMOS!$H$4:$H$350,"RECARGAS")</f>
        <v>393.4</v>
      </c>
      <c r="I80" s="45" t="n">
        <f aca="false">SUMIFS(CONSOLIDADO_INSUMOS!$T$4:$T$350,CONSOLIDADO_INSUMOS!$B$4:$B$350,$A80,CONSOLIDADO_INSUMOS!$H$4:$H$350,"REVENDIDOS")</f>
        <v>0</v>
      </c>
      <c r="J80" s="45" t="n">
        <f aca="false">F80*ESTACIONALIDAD!$B$14+G80*ESTACIONALIDAD!$B$15+H80*ESTACIONALIDAD!$B$16+I80*ESTACIONALIDAD!$B$17</f>
        <v>8601.73293812253</v>
      </c>
      <c r="K80" s="45" t="n">
        <f aca="false">F80*ESTACIONALIDAD!$C$14+G80*ESTACIONALIDAD!$C$15+H80*ESTACIONALIDAD!$C$16+I80*ESTACIONALIDAD!$C$17</f>
        <v>6581.8117788714</v>
      </c>
      <c r="L80" s="45" t="n">
        <f aca="false">F80*ESTACIONALIDAD!$D$14+G80*ESTACIONALIDAD!$D$15+H80*ESTACIONALIDAD!$D$16+I80*ESTACIONALIDAD!$D$17</f>
        <v>6194.93634707058</v>
      </c>
      <c r="M80" s="45" t="n">
        <f aca="false">F80*ESTACIONALIDAD!$E$14+G80*ESTACIONALIDAD!$E$15+H80*ESTACIONALIDAD!$E$16+I80*ESTACIONALIDAD!$E$17</f>
        <v>5932.92212246394</v>
      </c>
      <c r="N80" s="45" t="n">
        <f aca="false">F80*ESTACIONALIDAD!$F$14+G80*ESTACIONALIDAD!$F$15+H80*ESTACIONALIDAD!$F$16+I80*ESTACIONALIDAD!$F$17</f>
        <v>5563.69530188862</v>
      </c>
      <c r="O80" s="45" t="n">
        <f aca="false">F80*ESTACIONALIDAD!$G$14+G80*ESTACIONALIDAD!$G$15+H80*ESTACIONALIDAD!$G$16+I80*ESTACIONALIDAD!$G$17</f>
        <v>5437.43715477417</v>
      </c>
      <c r="P80" s="45" t="n">
        <f aca="false">F80*ESTACIONALIDAD!$H$14+G80*ESTACIONALIDAD!$H$15+H80*ESTACIONALIDAD!$H$16+I80*ESTACIONALIDAD!$H$17</f>
        <v>5825.7624642824</v>
      </c>
      <c r="Q80" s="45" t="n">
        <f aca="false">F80*ESTACIONALIDAD!$I$14+G80*ESTACIONALIDAD!$I$15+H80*ESTACIONALIDAD!$I$16+I80*ESTACIONALIDAD!$I$17</f>
        <v>5826.624256312</v>
      </c>
      <c r="R80" s="45" t="n">
        <f aca="false">F80*ESTACIONALIDAD!$J$14+G80*ESTACIONALIDAD!$J$15+H80*ESTACIONALIDAD!$J$16+I80*ESTACIONALIDAD!$J$17</f>
        <v>5817.5588456475</v>
      </c>
      <c r="S80" s="45" t="n">
        <f aca="false">F80*ESTACIONALIDAD!$K$14+G80*ESTACIONALIDAD!$K$15+H80*ESTACIONALIDAD!$K$16+I80*ESTACIONALIDAD!$K$17</f>
        <v>5691.32716742663</v>
      </c>
      <c r="T80" s="45" t="n">
        <f aca="false">F80*ESTACIONALIDAD!$L$14+G80*ESTACIONALIDAD!$L$15+H80*ESTACIONALIDAD!$L$16+I80*ESTACIONALIDAD!$L$17</f>
        <v>5575.04916079344</v>
      </c>
      <c r="U80" s="45" t="n">
        <f aca="false">F80*ESTACIONALIDAD!$M$14+G80*ESTACIONALIDAD!$M$15+H80*ESTACIONALIDAD!$M$16+I80*ESTACIONALIDAD!$M$17</f>
        <v>8814.7489682468</v>
      </c>
      <c r="V80" s="45" t="n">
        <f aca="false">MAX(J80:U80)</f>
        <v>8814.7489682468</v>
      </c>
      <c r="W80" s="46" t="n">
        <f aca="false">E80/INDEX(P_VAL,MATCH("DH_AÑO",P_ID,0))</f>
        <v>316.09836044125</v>
      </c>
      <c r="X80" s="46" t="n">
        <f aca="false">V80/INDEX(P_VAL,MATCH("DH_MES",P_ID,0))</f>
        <v>440.73744841234</v>
      </c>
      <c r="Y80" s="25" t="n">
        <f aca="false">INDEX(C_TAB,MATCH($A80,C_COD,0),12)</f>
        <v>10</v>
      </c>
      <c r="Z80" s="46" t="n">
        <f aca="false">(X80-W80)*Y80</f>
        <v>1246.3908797109</v>
      </c>
      <c r="AA80" s="45" t="n">
        <f aca="false">W80*Y80+Z80</f>
        <v>4407.3744841234</v>
      </c>
      <c r="AB80" s="25" t="n">
        <f aca="false">INDEX(C_TAB,MATCH($A80,C_COD,0),15)</f>
        <v>10</v>
      </c>
      <c r="AC80" s="45" t="n">
        <f aca="false">INDEX(C_TAB,MATCH($A80,C_COD,0),11)</f>
        <v>1000</v>
      </c>
      <c r="AD80" s="45" t="n">
        <f aca="false">MAX(AC80,CEILING(X80*AB80,AC80))</f>
        <v>5000</v>
      </c>
      <c r="AE80" s="25" t="n">
        <f aca="false">AD80/AC80</f>
        <v>5</v>
      </c>
      <c r="AF80" s="45" t="n">
        <f aca="false">Z80+AD80</f>
        <v>6246.3908797109</v>
      </c>
      <c r="AG80" s="25" t="n">
        <f aca="false">ROUNDUP(AF80/AC80,0)</f>
        <v>7</v>
      </c>
      <c r="AH80" s="45" t="n">
        <f aca="false">IF(W80&gt;0,AF80/W80,0)</f>
        <v>19.7609088227835</v>
      </c>
      <c r="AI80" s="25" t="n">
        <f aca="false">IF(AD80&gt;0,E80/AD80,0)</f>
        <v>15.17272130118</v>
      </c>
      <c r="AJ80" s="25" t="n">
        <f aca="false">INDEX(C_TAB,MATCH($A80,C_COD,0),16)</f>
        <v>50</v>
      </c>
      <c r="AK80" s="47" t="n">
        <f aca="false">IF(AJ80&gt;0,AG80/AJ80,0)</f>
        <v>0.14</v>
      </c>
      <c r="AL80" s="45" t="n">
        <f aca="false">INDEX(C_TAB,MATCH($A80,C_COD,0),17)</f>
        <v>0.73</v>
      </c>
      <c r="AM80" s="45" t="n">
        <f aca="false">AK80*AL80</f>
        <v>0.1022</v>
      </c>
    </row>
    <row r="81" customFormat="false" ht="15" hidden="false" customHeight="false" outlineLevel="0" collapsed="false">
      <c r="A81" s="24" t="s">
        <v>688</v>
      </c>
      <c r="B81" s="24" t="str">
        <f aca="false">INDEX(C_TAB,MATCH($A81,C_COD,0),2)</f>
        <v>Tarjeta de identificación AGC (CABA)</v>
      </c>
      <c r="C81" s="24" t="str">
        <f aca="false">INDEX(C_TAB,MATCH($A81,C_COD,0),3)</f>
        <v>u</v>
      </c>
      <c r="D81" s="24" t="str">
        <f aca="false">INDEX(C_TAB,MATCH($A81,C_COD,0),6)</f>
        <v>Identificación</v>
      </c>
      <c r="E81" s="45" t="n">
        <f aca="false">CONSOLIDADO_INSUMOS!T225</f>
        <v>110702.244388891</v>
      </c>
      <c r="F81" s="45" t="n">
        <f aca="false">SUMIFS(CONSOLIDADO_INSUMOS!$T$4:$T$350,CONSOLIDADO_INSUMOS!$B$4:$B$350,$A81,CONSOLIDADO_INSUMOS!$H$4:$H$350,"MANUALES")</f>
        <v>9822.8861320105</v>
      </c>
      <c r="G81" s="45" t="n">
        <f aca="false">SUMIFS(CONSOLIDADO_INSUMOS!$T$4:$T$350,CONSOLIDADO_INSUMOS!$B$4:$B$350,$A81,CONSOLIDADO_INSUMOS!$H$4:$H$350,"RODANTES")</f>
        <v>428.277499057353</v>
      </c>
      <c r="H81" s="45" t="n">
        <f aca="false">SUMIFS(CONSOLIDADO_INSUMOS!$T$4:$T$350,CONSOLIDADO_INSUMOS!$B$4:$B$350,$A81,CONSOLIDADO_INSUMOS!$H$4:$H$350,"RECARGAS")</f>
        <v>96196.7181084503</v>
      </c>
      <c r="I81" s="45" t="n">
        <f aca="false">SUMIFS(CONSOLIDADO_INSUMOS!$T$4:$T$350,CONSOLIDADO_INSUMOS!$B$4:$B$350,$A81,CONSOLIDADO_INSUMOS!$H$4:$H$350,"REVENDIDOS")</f>
        <v>4254.36264937325</v>
      </c>
      <c r="J81" s="45" t="n">
        <f aca="false">F81*ESTACIONALIDAD!$B$14+G81*ESTACIONALIDAD!$B$15+H81*ESTACIONALIDAD!$B$16+I81*ESTACIONALIDAD!$B$17</f>
        <v>10754.2554261578</v>
      </c>
      <c r="K81" s="45" t="n">
        <f aca="false">F81*ESTACIONALIDAD!$C$14+G81*ESTACIONALIDAD!$C$15+H81*ESTACIONALIDAD!$C$16+I81*ESTACIONALIDAD!$C$17</f>
        <v>8822.85284369699</v>
      </c>
      <c r="L81" s="45" t="n">
        <f aca="false">F81*ESTACIONALIDAD!$D$14+G81*ESTACIONALIDAD!$D$15+H81*ESTACIONALIDAD!$D$16+I81*ESTACIONALIDAD!$D$17</f>
        <v>9026.33356444116</v>
      </c>
      <c r="M81" s="45" t="n">
        <f aca="false">F81*ESTACIONALIDAD!$E$14+G81*ESTACIONALIDAD!$E$15+H81*ESTACIONALIDAD!$E$16+I81*ESTACIONALIDAD!$E$17</f>
        <v>8767.83777070009</v>
      </c>
      <c r="N81" s="45" t="n">
        <f aca="false">F81*ESTACIONALIDAD!$F$14+G81*ESTACIONALIDAD!$F$15+H81*ESTACIONALIDAD!$F$16+I81*ESTACIONALIDAD!$F$17</f>
        <v>8467.79486359031</v>
      </c>
      <c r="O81" s="45" t="n">
        <f aca="false">F81*ESTACIONALIDAD!$G$14+G81*ESTACIONALIDAD!$G$15+H81*ESTACIONALIDAD!$G$16+I81*ESTACIONALIDAD!$G$17</f>
        <v>8197.3066179292</v>
      </c>
      <c r="P81" s="45" t="n">
        <f aca="false">F81*ESTACIONALIDAD!$H$14+G81*ESTACIONALIDAD!$H$15+H81*ESTACIONALIDAD!$H$16+I81*ESTACIONALIDAD!$H$17</f>
        <v>8739.23534820091</v>
      </c>
      <c r="Q81" s="45" t="n">
        <f aca="false">F81*ESTACIONALIDAD!$I$14+G81*ESTACIONALIDAD!$I$15+H81*ESTACIONALIDAD!$I$16+I81*ESTACIONALIDAD!$I$17</f>
        <v>8949.9663216107</v>
      </c>
      <c r="R81" s="45" t="n">
        <f aca="false">F81*ESTACIONALIDAD!$J$14+G81*ESTACIONALIDAD!$J$15+H81*ESTACIONALIDAD!$J$16+I81*ESTACIONALIDAD!$J$17</f>
        <v>8947.33358760418</v>
      </c>
      <c r="S81" s="45" t="n">
        <f aca="false">F81*ESTACIONALIDAD!$K$14+G81*ESTACIONALIDAD!$K$15+H81*ESTACIONALIDAD!$K$16+I81*ESTACIONALIDAD!$K$17</f>
        <v>8683.31768737785</v>
      </c>
      <c r="T81" s="45" t="n">
        <f aca="false">F81*ESTACIONALIDAD!$L$14+G81*ESTACIONALIDAD!$L$15+H81*ESTACIONALIDAD!$L$16+I81*ESTACIONALIDAD!$L$17</f>
        <v>8639.1378400026</v>
      </c>
      <c r="U81" s="45" t="n">
        <f aca="false">F81*ESTACIONALIDAD!$M$14+G81*ESTACIONALIDAD!$M$15+H81*ESTACIONALIDAD!$M$16+I81*ESTACIONALIDAD!$M$17</f>
        <v>12706.8725175796</v>
      </c>
      <c r="V81" s="45" t="n">
        <f aca="false">MAX(J81:U81)</f>
        <v>12706.8725175796</v>
      </c>
      <c r="W81" s="46" t="n">
        <f aca="false">E81/INDEX(P_VAL,MATCH("DH_AÑO",P_ID,0))</f>
        <v>461.259351620381</v>
      </c>
      <c r="X81" s="46" t="n">
        <f aca="false">V81/INDEX(P_VAL,MATCH("DH_MES",P_ID,0))</f>
        <v>635.343625878979</v>
      </c>
      <c r="Y81" s="25" t="n">
        <f aca="false">INDEX(C_TAB,MATCH($A81,C_COD,0),12)</f>
        <v>10</v>
      </c>
      <c r="Z81" s="46" t="n">
        <f aca="false">(X81-W81)*Y81</f>
        <v>1740.84274258599</v>
      </c>
      <c r="AA81" s="45" t="n">
        <f aca="false">W81*Y81+Z81</f>
        <v>6353.43625878979</v>
      </c>
      <c r="AB81" s="25" t="n">
        <f aca="false">INDEX(C_TAB,MATCH($A81,C_COD,0),15)</f>
        <v>10</v>
      </c>
      <c r="AC81" s="45" t="n">
        <f aca="false">INDEX(C_TAB,MATCH($A81,C_COD,0),11)</f>
        <v>500</v>
      </c>
      <c r="AD81" s="45" t="n">
        <f aca="false">MAX(AC81,CEILING(X81*AB81,AC81))</f>
        <v>6500</v>
      </c>
      <c r="AE81" s="25" t="n">
        <f aca="false">AD81/AC81</f>
        <v>13</v>
      </c>
      <c r="AF81" s="45" t="n">
        <f aca="false">Z81+AD81</f>
        <v>8240.84274258599</v>
      </c>
      <c r="AG81" s="25" t="n">
        <f aca="false">ROUNDUP(AF81/AC81,0)</f>
        <v>17</v>
      </c>
      <c r="AH81" s="45" t="n">
        <f aca="false">IF(W81&gt;0,AF81/W81,0)</f>
        <v>17.8659635054256</v>
      </c>
      <c r="AI81" s="25" t="n">
        <f aca="false">IF(AD81&gt;0,E81/AD81,0)</f>
        <v>17.0311145213679</v>
      </c>
      <c r="AJ81" s="25" t="n">
        <f aca="false">INDEX(C_TAB,MATCH($A81,C_COD,0),16)</f>
        <v>50</v>
      </c>
      <c r="AK81" s="47" t="n">
        <f aca="false">IF(AJ81&gt;0,AG81/AJ81,0)</f>
        <v>0.34</v>
      </c>
      <c r="AL81" s="45" t="n">
        <f aca="false">INDEX(C_TAB,MATCH($A81,C_COD,0),17)</f>
        <v>0.73</v>
      </c>
      <c r="AM81" s="45" t="n">
        <f aca="false">AK81*AL81</f>
        <v>0.2482</v>
      </c>
    </row>
    <row r="82" customFormat="false" ht="15" hidden="false" customHeight="false" outlineLevel="0" collapsed="false">
      <c r="A82" s="24" t="s">
        <v>1371</v>
      </c>
      <c r="B82" s="24" t="str">
        <f aca="false">INDEX(C_TAB,MATCH($A82,C_COD,0),2)</f>
        <v>Tarjeta de identificación DPS (PBA), recargas</v>
      </c>
      <c r="C82" s="24" t="str">
        <f aca="false">INDEX(C_TAB,MATCH($A82,C_COD,0),3)</f>
        <v>u</v>
      </c>
      <c r="D82" s="24" t="str">
        <f aca="false">INDEX(C_TAB,MATCH($A82,C_COD,0),6)</f>
        <v>Identificación</v>
      </c>
      <c r="E82" s="45" t="n">
        <f aca="false">CONSOLIDADO_INSUMOS!T230</f>
        <v>279821.898521302</v>
      </c>
      <c r="F82" s="45" t="n">
        <f aca="false">SUMIFS(CONSOLIDADO_INSUMOS!$T$4:$T$350,CONSOLIDADO_INSUMOS!$B$4:$B$350,$A82,CONSOLIDADO_INSUMOS!$H$4:$H$350,"MANUALES")</f>
        <v>0</v>
      </c>
      <c r="G82" s="45" t="n">
        <f aca="false">SUMIFS(CONSOLIDADO_INSUMOS!$T$4:$T$350,CONSOLIDADO_INSUMOS!$B$4:$B$350,$A82,CONSOLIDADO_INSUMOS!$H$4:$H$350,"RODANTES")</f>
        <v>0</v>
      </c>
      <c r="H82" s="45" t="n">
        <f aca="false">SUMIFS(CONSOLIDADO_INSUMOS!$T$4:$T$350,CONSOLIDADO_INSUMOS!$B$4:$B$350,$A82,CONSOLIDADO_INSUMOS!$H$4:$H$350,"RECARGAS")</f>
        <v>279821.898521302</v>
      </c>
      <c r="I82" s="45" t="n">
        <f aca="false">SUMIFS(CONSOLIDADO_INSUMOS!$T$4:$T$350,CONSOLIDADO_INSUMOS!$B$4:$B$350,$A82,CONSOLIDADO_INSUMOS!$H$4:$H$350,"REVENDIDOS")</f>
        <v>0</v>
      </c>
      <c r="J82" s="45" t="n">
        <f aca="false">F82*ESTACIONALIDAD!$B$14+G82*ESTACIONALIDAD!$B$15+H82*ESTACIONALIDAD!$B$16+I82*ESTACIONALIDAD!$B$17</f>
        <v>26680.9115910341</v>
      </c>
      <c r="K82" s="45" t="n">
        <f aca="false">F82*ESTACIONALIDAD!$C$14+G82*ESTACIONALIDAD!$C$15+H82*ESTACIONALIDAD!$C$16+I82*ESTACIONALIDAD!$C$17</f>
        <v>22093.8945717078</v>
      </c>
      <c r="L82" s="45" t="n">
        <f aca="false">F82*ESTACIONALIDAD!$D$14+G82*ESTACIONALIDAD!$D$15+H82*ESTACIONALIDAD!$D$16+I82*ESTACIONALIDAD!$D$17</f>
        <v>22763.3607893234</v>
      </c>
      <c r="M82" s="45" t="n">
        <f aca="false">F82*ESTACIONALIDAD!$E$14+G82*ESTACIONALIDAD!$E$15+H82*ESTACIONALIDAD!$E$16+I82*ESTACIONALIDAD!$E$17</f>
        <v>22112.7216587754</v>
      </c>
      <c r="N82" s="45" t="n">
        <f aca="false">F82*ESTACIONALIDAD!$F$14+G82*ESTACIONALIDAD!$F$15+H82*ESTACIONALIDAD!$F$16+I82*ESTACIONALIDAD!$F$17</f>
        <v>21443.2554411597</v>
      </c>
      <c r="O82" s="45" t="n">
        <f aca="false">F82*ESTACIONALIDAD!$G$14+G82*ESTACIONALIDAD!$G$15+H82*ESTACIONALIDAD!$G$16+I82*ESTACIONALIDAD!$G$17</f>
        <v>20773.7892235441</v>
      </c>
      <c r="P82" s="45" t="n">
        <f aca="false">F82*ESTACIONALIDAD!$H$14+G82*ESTACIONALIDAD!$H$15+H82*ESTACIONALIDAD!$H$16+I82*ESTACIONALIDAD!$H$17</f>
        <v>22131.5487458429</v>
      </c>
      <c r="Q82" s="45" t="n">
        <f aca="false">F82*ESTACIONALIDAD!$I$14+G82*ESTACIONALIDAD!$I$15+H82*ESTACIONALIDAD!$I$16+I82*ESTACIONALIDAD!$I$17</f>
        <v>22744.5337022558</v>
      </c>
      <c r="R82" s="45" t="n">
        <f aca="false">F82*ESTACIONALIDAD!$J$14+G82*ESTACIONALIDAD!$J$15+H82*ESTACIONALIDAD!$J$16+I82*ESTACIONALIDAD!$J$17</f>
        <v>22744.5337022558</v>
      </c>
      <c r="S82" s="45" t="n">
        <f aca="false">F82*ESTACIONALIDAD!$K$14+G82*ESTACIONALIDAD!$K$15+H82*ESTACIONALIDAD!$K$16+I82*ESTACIONALIDAD!$K$17</f>
        <v>22093.8945717078</v>
      </c>
      <c r="T82" s="45" t="n">
        <f aca="false">F82*ESTACIONALIDAD!$L$14+G82*ESTACIONALIDAD!$L$15+H82*ESTACIONALIDAD!$L$16+I82*ESTACIONALIDAD!$L$17</f>
        <v>22075.0674846402</v>
      </c>
      <c r="U82" s="45" t="n">
        <f aca="false">F82*ESTACIONALIDAD!$M$14+G82*ESTACIONALIDAD!$M$15+H82*ESTACIONALIDAD!$M$16+I82*ESTACIONALIDAD!$M$17</f>
        <v>32164.3870390547</v>
      </c>
      <c r="V82" s="45" t="n">
        <f aca="false">MAX(J82:U82)</f>
        <v>32164.3870390547</v>
      </c>
      <c r="W82" s="46" t="n">
        <f aca="false">E82/INDEX(P_VAL,MATCH("DH_AÑO",P_ID,0))</f>
        <v>1165.92457717209</v>
      </c>
      <c r="X82" s="46" t="n">
        <f aca="false">V82/INDEX(P_VAL,MATCH("DH_MES",P_ID,0))</f>
        <v>1608.21935195273</v>
      </c>
      <c r="Y82" s="25" t="n">
        <f aca="false">INDEX(C_TAB,MATCH($A82,C_COD,0),12)</f>
        <v>10</v>
      </c>
      <c r="Z82" s="46" t="n">
        <f aca="false">(X82-W82)*Y82</f>
        <v>4422.94774780643</v>
      </c>
      <c r="AA82" s="45" t="n">
        <f aca="false">W82*Y82+Z82</f>
        <v>16082.1935195273</v>
      </c>
      <c r="AB82" s="25" t="n">
        <f aca="false">INDEX(C_TAB,MATCH($A82,C_COD,0),15)</f>
        <v>10</v>
      </c>
      <c r="AC82" s="45" t="n">
        <f aca="false">INDEX(C_TAB,MATCH($A82,C_COD,0),11)</f>
        <v>500</v>
      </c>
      <c r="AD82" s="45" t="n">
        <f aca="false">MAX(AC82,CEILING(X82*AB82,AC82))</f>
        <v>16500</v>
      </c>
      <c r="AE82" s="25" t="n">
        <f aca="false">AD82/AC82</f>
        <v>33</v>
      </c>
      <c r="AF82" s="45" t="n">
        <f aca="false">Z82+AD82</f>
        <v>20922.9477478064</v>
      </c>
      <c r="AG82" s="25" t="n">
        <f aca="false">ROUNDUP(AF82/AC82,0)</f>
        <v>42</v>
      </c>
      <c r="AH82" s="45" t="n">
        <f aca="false">IF(W82&gt;0,AF82/W82,0)</f>
        <v>17.9453698442092</v>
      </c>
      <c r="AI82" s="25" t="n">
        <f aca="false">IF(AD82&gt;0,E82/AD82,0)</f>
        <v>16.958902940685</v>
      </c>
      <c r="AJ82" s="25" t="n">
        <f aca="false">INDEX(C_TAB,MATCH($A82,C_COD,0),16)</f>
        <v>50</v>
      </c>
      <c r="AK82" s="47" t="n">
        <f aca="false">IF(AJ82&gt;0,AG82/AJ82,0)</f>
        <v>0.84</v>
      </c>
      <c r="AL82" s="45" t="n">
        <f aca="false">INDEX(C_TAB,MATCH($A82,C_COD,0),17)</f>
        <v>0.73</v>
      </c>
      <c r="AM82" s="45" t="n">
        <f aca="false">AK82*AL82</f>
        <v>0.6132</v>
      </c>
    </row>
    <row r="83" customFormat="false" ht="15" hidden="false" customHeight="false" outlineLevel="0" collapsed="false">
      <c r="A83" s="24" t="s">
        <v>1367</v>
      </c>
      <c r="B83" s="24" t="str">
        <f aca="false">INDEX(C_TAB,MATCH($A83,C_COD,0),2)</f>
        <v>Estampilla y oblea de recarga (PBA)</v>
      </c>
      <c r="C83" s="24" t="str">
        <f aca="false">INDEX(C_TAB,MATCH($A83,C_COD,0),3)</f>
        <v>u</v>
      </c>
      <c r="D83" s="24" t="str">
        <f aca="false">INDEX(C_TAB,MATCH($A83,C_COD,0),6)</f>
        <v>Identificación</v>
      </c>
      <c r="E83" s="45" t="n">
        <f aca="false">CONSOLIDADO_INSUMOS!T232</f>
        <v>279821.898521302</v>
      </c>
      <c r="F83" s="45" t="n">
        <f aca="false">SUMIFS(CONSOLIDADO_INSUMOS!$T$4:$T$350,CONSOLIDADO_INSUMOS!$B$4:$B$350,$A83,CONSOLIDADO_INSUMOS!$H$4:$H$350,"MANUALES")</f>
        <v>0</v>
      </c>
      <c r="G83" s="45" t="n">
        <f aca="false">SUMIFS(CONSOLIDADO_INSUMOS!$T$4:$T$350,CONSOLIDADO_INSUMOS!$B$4:$B$350,$A83,CONSOLIDADO_INSUMOS!$H$4:$H$350,"RODANTES")</f>
        <v>0</v>
      </c>
      <c r="H83" s="45" t="n">
        <f aca="false">SUMIFS(CONSOLIDADO_INSUMOS!$T$4:$T$350,CONSOLIDADO_INSUMOS!$B$4:$B$350,$A83,CONSOLIDADO_INSUMOS!$H$4:$H$350,"RECARGAS")</f>
        <v>279821.898521302</v>
      </c>
      <c r="I83" s="45" t="n">
        <f aca="false">SUMIFS(CONSOLIDADO_INSUMOS!$T$4:$T$350,CONSOLIDADO_INSUMOS!$B$4:$B$350,$A83,CONSOLIDADO_INSUMOS!$H$4:$H$350,"REVENDIDOS")</f>
        <v>0</v>
      </c>
      <c r="J83" s="45" t="n">
        <f aca="false">F83*ESTACIONALIDAD!$B$14+G83*ESTACIONALIDAD!$B$15+H83*ESTACIONALIDAD!$B$16+I83*ESTACIONALIDAD!$B$17</f>
        <v>26680.9115910341</v>
      </c>
      <c r="K83" s="45" t="n">
        <f aca="false">F83*ESTACIONALIDAD!$C$14+G83*ESTACIONALIDAD!$C$15+H83*ESTACIONALIDAD!$C$16+I83*ESTACIONALIDAD!$C$17</f>
        <v>22093.8945717078</v>
      </c>
      <c r="L83" s="45" t="n">
        <f aca="false">F83*ESTACIONALIDAD!$D$14+G83*ESTACIONALIDAD!$D$15+H83*ESTACIONALIDAD!$D$16+I83*ESTACIONALIDAD!$D$17</f>
        <v>22763.3607893234</v>
      </c>
      <c r="M83" s="45" t="n">
        <f aca="false">F83*ESTACIONALIDAD!$E$14+G83*ESTACIONALIDAD!$E$15+H83*ESTACIONALIDAD!$E$16+I83*ESTACIONALIDAD!$E$17</f>
        <v>22112.7216587754</v>
      </c>
      <c r="N83" s="45" t="n">
        <f aca="false">F83*ESTACIONALIDAD!$F$14+G83*ESTACIONALIDAD!$F$15+H83*ESTACIONALIDAD!$F$16+I83*ESTACIONALIDAD!$F$17</f>
        <v>21443.2554411597</v>
      </c>
      <c r="O83" s="45" t="n">
        <f aca="false">F83*ESTACIONALIDAD!$G$14+G83*ESTACIONALIDAD!$G$15+H83*ESTACIONALIDAD!$G$16+I83*ESTACIONALIDAD!$G$17</f>
        <v>20773.7892235441</v>
      </c>
      <c r="P83" s="45" t="n">
        <f aca="false">F83*ESTACIONALIDAD!$H$14+G83*ESTACIONALIDAD!$H$15+H83*ESTACIONALIDAD!$H$16+I83*ESTACIONALIDAD!$H$17</f>
        <v>22131.5487458429</v>
      </c>
      <c r="Q83" s="45" t="n">
        <f aca="false">F83*ESTACIONALIDAD!$I$14+G83*ESTACIONALIDAD!$I$15+H83*ESTACIONALIDAD!$I$16+I83*ESTACIONALIDAD!$I$17</f>
        <v>22744.5337022558</v>
      </c>
      <c r="R83" s="45" t="n">
        <f aca="false">F83*ESTACIONALIDAD!$J$14+G83*ESTACIONALIDAD!$J$15+H83*ESTACIONALIDAD!$J$16+I83*ESTACIONALIDAD!$J$17</f>
        <v>22744.5337022558</v>
      </c>
      <c r="S83" s="45" t="n">
        <f aca="false">F83*ESTACIONALIDAD!$K$14+G83*ESTACIONALIDAD!$K$15+H83*ESTACIONALIDAD!$K$16+I83*ESTACIONALIDAD!$K$17</f>
        <v>22093.8945717078</v>
      </c>
      <c r="T83" s="45" t="n">
        <f aca="false">F83*ESTACIONALIDAD!$L$14+G83*ESTACIONALIDAD!$L$15+H83*ESTACIONALIDAD!$L$16+I83*ESTACIONALIDAD!$L$17</f>
        <v>22075.0674846402</v>
      </c>
      <c r="U83" s="45" t="n">
        <f aca="false">F83*ESTACIONALIDAD!$M$14+G83*ESTACIONALIDAD!$M$15+H83*ESTACIONALIDAD!$M$16+I83*ESTACIONALIDAD!$M$17</f>
        <v>32164.3870390547</v>
      </c>
      <c r="V83" s="45" t="n">
        <f aca="false">MAX(J83:U83)</f>
        <v>32164.3870390547</v>
      </c>
      <c r="W83" s="46" t="n">
        <f aca="false">E83/INDEX(P_VAL,MATCH("DH_AÑO",P_ID,0))</f>
        <v>1165.92457717209</v>
      </c>
      <c r="X83" s="46" t="n">
        <f aca="false">V83/INDEX(P_VAL,MATCH("DH_MES",P_ID,0))</f>
        <v>1608.21935195273</v>
      </c>
      <c r="Y83" s="25" t="n">
        <f aca="false">INDEX(C_TAB,MATCH($A83,C_COD,0),12)</f>
        <v>10</v>
      </c>
      <c r="Z83" s="46" t="n">
        <f aca="false">(X83-W83)*Y83</f>
        <v>4422.94774780643</v>
      </c>
      <c r="AA83" s="45" t="n">
        <f aca="false">W83*Y83+Z83</f>
        <v>16082.1935195273</v>
      </c>
      <c r="AB83" s="25" t="n">
        <f aca="false">INDEX(C_TAB,MATCH($A83,C_COD,0),15)</f>
        <v>10</v>
      </c>
      <c r="AC83" s="45" t="n">
        <f aca="false">INDEX(C_TAB,MATCH($A83,C_COD,0),11)</f>
        <v>1000</v>
      </c>
      <c r="AD83" s="45" t="n">
        <f aca="false">MAX(AC83,CEILING(X83*AB83,AC83))</f>
        <v>17000</v>
      </c>
      <c r="AE83" s="25" t="n">
        <f aca="false">AD83/AC83</f>
        <v>17</v>
      </c>
      <c r="AF83" s="45" t="n">
        <f aca="false">Z83+AD83</f>
        <v>21422.9477478064</v>
      </c>
      <c r="AG83" s="25" t="n">
        <f aca="false">ROUNDUP(AF83/AC83,0)</f>
        <v>22</v>
      </c>
      <c r="AH83" s="45" t="n">
        <f aca="false">IF(W83&gt;0,AF83/W83,0)</f>
        <v>18.3742140505924</v>
      </c>
      <c r="AI83" s="25" t="n">
        <f aca="false">IF(AD83&gt;0,E83/AD83,0)</f>
        <v>16.4601116777236</v>
      </c>
      <c r="AJ83" s="25" t="n">
        <f aca="false">INDEX(C_TAB,MATCH($A83,C_COD,0),16)</f>
        <v>50</v>
      </c>
      <c r="AK83" s="47" t="n">
        <f aca="false">IF(AJ83&gt;0,AG83/AJ83,0)</f>
        <v>0.44</v>
      </c>
      <c r="AL83" s="45" t="n">
        <f aca="false">INDEX(C_TAB,MATCH($A83,C_COD,0),17)</f>
        <v>0.73</v>
      </c>
      <c r="AM83" s="45" t="n">
        <f aca="false">AK83*AL83</f>
        <v>0.3212</v>
      </c>
    </row>
    <row r="84" customFormat="false" ht="15" hidden="false" customHeight="false" outlineLevel="0" collapsed="false">
      <c r="A84" s="24" t="s">
        <v>590</v>
      </c>
      <c r="B84" s="24" t="str">
        <f aca="false">INDEX(C_TAB,MATCH($A84,C_COD,0),2)</f>
        <v>Etiqueta de n° de serie GS1 con QR</v>
      </c>
      <c r="C84" s="24" t="str">
        <f aca="false">INDEX(C_TAB,MATCH($A84,C_COD,0),3)</f>
        <v>u</v>
      </c>
      <c r="D84" s="24" t="str">
        <f aca="false">INDEX(C_TAB,MATCH($A84,C_COD,0),6)</f>
        <v>Identificación</v>
      </c>
      <c r="E84" s="45" t="n">
        <f aca="false">CONSOLIDADO_INSUMOS!T234</f>
        <v>75863.6065059</v>
      </c>
      <c r="F84" s="45" t="n">
        <f aca="false">SUMIFS(CONSOLIDADO_INSUMOS!$T$4:$T$350,CONSOLIDADO_INSUMOS!$B$4:$B$350,$A84,CONSOLIDADO_INSUMOS!$H$4:$H$350,"MANUALES")</f>
        <v>73657.124373</v>
      </c>
      <c r="G84" s="45" t="n">
        <f aca="false">SUMIFS(CONSOLIDADO_INSUMOS!$T$4:$T$350,CONSOLIDADO_INSUMOS!$B$4:$B$350,$A84,CONSOLIDADO_INSUMOS!$H$4:$H$350,"RODANTES")</f>
        <v>1813.0821329</v>
      </c>
      <c r="H84" s="45" t="n">
        <f aca="false">SUMIFS(CONSOLIDADO_INSUMOS!$T$4:$T$350,CONSOLIDADO_INSUMOS!$B$4:$B$350,$A84,CONSOLIDADO_INSUMOS!$H$4:$H$350,"RECARGAS")</f>
        <v>393.4</v>
      </c>
      <c r="I84" s="45" t="n">
        <f aca="false">SUMIFS(CONSOLIDADO_INSUMOS!$T$4:$T$350,CONSOLIDADO_INSUMOS!$B$4:$B$350,$A84,CONSOLIDADO_INSUMOS!$H$4:$H$350,"REVENDIDOS")</f>
        <v>0</v>
      </c>
      <c r="J84" s="45" t="n">
        <f aca="false">F84*ESTACIONALIDAD!$B$14+G84*ESTACIONALIDAD!$B$15+H84*ESTACIONALIDAD!$B$16+I84*ESTACIONALIDAD!$B$17</f>
        <v>8601.73293812253</v>
      </c>
      <c r="K84" s="45" t="n">
        <f aca="false">F84*ESTACIONALIDAD!$C$14+G84*ESTACIONALIDAD!$C$15+H84*ESTACIONALIDAD!$C$16+I84*ESTACIONALIDAD!$C$17</f>
        <v>6581.8117788714</v>
      </c>
      <c r="L84" s="45" t="n">
        <f aca="false">F84*ESTACIONALIDAD!$D$14+G84*ESTACIONALIDAD!$D$15+H84*ESTACIONALIDAD!$D$16+I84*ESTACIONALIDAD!$D$17</f>
        <v>6194.93634707058</v>
      </c>
      <c r="M84" s="45" t="n">
        <f aca="false">F84*ESTACIONALIDAD!$E$14+G84*ESTACIONALIDAD!$E$15+H84*ESTACIONALIDAD!$E$16+I84*ESTACIONALIDAD!$E$17</f>
        <v>5932.92212246394</v>
      </c>
      <c r="N84" s="45" t="n">
        <f aca="false">F84*ESTACIONALIDAD!$F$14+G84*ESTACIONALIDAD!$F$15+H84*ESTACIONALIDAD!$F$16+I84*ESTACIONALIDAD!$F$17</f>
        <v>5563.69530188862</v>
      </c>
      <c r="O84" s="45" t="n">
        <f aca="false">F84*ESTACIONALIDAD!$G$14+G84*ESTACIONALIDAD!$G$15+H84*ESTACIONALIDAD!$G$16+I84*ESTACIONALIDAD!$G$17</f>
        <v>5437.43715477417</v>
      </c>
      <c r="P84" s="45" t="n">
        <f aca="false">F84*ESTACIONALIDAD!$H$14+G84*ESTACIONALIDAD!$H$15+H84*ESTACIONALIDAD!$H$16+I84*ESTACIONALIDAD!$H$17</f>
        <v>5825.7624642824</v>
      </c>
      <c r="Q84" s="45" t="n">
        <f aca="false">F84*ESTACIONALIDAD!$I$14+G84*ESTACIONALIDAD!$I$15+H84*ESTACIONALIDAD!$I$16+I84*ESTACIONALIDAD!$I$17</f>
        <v>5826.624256312</v>
      </c>
      <c r="R84" s="45" t="n">
        <f aca="false">F84*ESTACIONALIDAD!$J$14+G84*ESTACIONALIDAD!$J$15+H84*ESTACIONALIDAD!$J$16+I84*ESTACIONALIDAD!$J$17</f>
        <v>5817.5588456475</v>
      </c>
      <c r="S84" s="45" t="n">
        <f aca="false">F84*ESTACIONALIDAD!$K$14+G84*ESTACIONALIDAD!$K$15+H84*ESTACIONALIDAD!$K$16+I84*ESTACIONALIDAD!$K$17</f>
        <v>5691.32716742663</v>
      </c>
      <c r="T84" s="45" t="n">
        <f aca="false">F84*ESTACIONALIDAD!$L$14+G84*ESTACIONALIDAD!$L$15+H84*ESTACIONALIDAD!$L$16+I84*ESTACIONALIDAD!$L$17</f>
        <v>5575.04916079344</v>
      </c>
      <c r="U84" s="45" t="n">
        <f aca="false">F84*ESTACIONALIDAD!$M$14+G84*ESTACIONALIDAD!$M$15+H84*ESTACIONALIDAD!$M$16+I84*ESTACIONALIDAD!$M$17</f>
        <v>8814.7489682468</v>
      </c>
      <c r="V84" s="45" t="n">
        <f aca="false">MAX(J84:U84)</f>
        <v>8814.7489682468</v>
      </c>
      <c r="W84" s="46" t="n">
        <f aca="false">E84/INDEX(P_VAL,MATCH("DH_AÑO",P_ID,0))</f>
        <v>316.09836044125</v>
      </c>
      <c r="X84" s="46" t="n">
        <f aca="false">V84/INDEX(P_VAL,MATCH("DH_MES",P_ID,0))</f>
        <v>440.73744841234</v>
      </c>
      <c r="Y84" s="25" t="n">
        <f aca="false">INDEX(C_TAB,MATCH($A84,C_COD,0),12)</f>
        <v>10</v>
      </c>
      <c r="Z84" s="46" t="n">
        <f aca="false">(X84-W84)*Y84</f>
        <v>1246.3908797109</v>
      </c>
      <c r="AA84" s="45" t="n">
        <f aca="false">W84*Y84+Z84</f>
        <v>4407.3744841234</v>
      </c>
      <c r="AB84" s="25" t="n">
        <f aca="false">INDEX(C_TAB,MATCH($A84,C_COD,0),15)</f>
        <v>10</v>
      </c>
      <c r="AC84" s="45" t="n">
        <f aca="false">INDEX(C_TAB,MATCH($A84,C_COD,0),11)</f>
        <v>1000</v>
      </c>
      <c r="AD84" s="45" t="n">
        <f aca="false">MAX(AC84,CEILING(X84*AB84,AC84))</f>
        <v>5000</v>
      </c>
      <c r="AE84" s="25" t="n">
        <f aca="false">AD84/AC84</f>
        <v>5</v>
      </c>
      <c r="AF84" s="45" t="n">
        <f aca="false">Z84+AD84</f>
        <v>6246.3908797109</v>
      </c>
      <c r="AG84" s="25" t="n">
        <f aca="false">ROUNDUP(AF84/AC84,0)</f>
        <v>7</v>
      </c>
      <c r="AH84" s="45" t="n">
        <f aca="false">IF(W84&gt;0,AF84/W84,0)</f>
        <v>19.7609088227835</v>
      </c>
      <c r="AI84" s="25" t="n">
        <f aca="false">IF(AD84&gt;0,E84/AD84,0)</f>
        <v>15.17272130118</v>
      </c>
      <c r="AJ84" s="25" t="n">
        <f aca="false">INDEX(C_TAB,MATCH($A84,C_COD,0),16)</f>
        <v>50</v>
      </c>
      <c r="AK84" s="47" t="n">
        <f aca="false">IF(AJ84&gt;0,AG84/AJ84,0)</f>
        <v>0.14</v>
      </c>
      <c r="AL84" s="45" t="n">
        <f aca="false">INDEX(C_TAB,MATCH($A84,C_COD,0),17)</f>
        <v>0.73</v>
      </c>
      <c r="AM84" s="45" t="n">
        <f aca="false">AK84*AL84</f>
        <v>0.1022</v>
      </c>
    </row>
    <row r="85" customFormat="false" ht="15" hidden="false" customHeight="false" outlineLevel="0" collapsed="false">
      <c r="A85" s="24" t="s">
        <v>594</v>
      </c>
      <c r="B85" s="24" t="str">
        <f aca="false">INDEX(C_TAB,MATCH($A85,C_COD,0),2)</f>
        <v>Faja de garantía válvula-cuello</v>
      </c>
      <c r="C85" s="24" t="str">
        <f aca="false">INDEX(C_TAB,MATCH($A85,C_COD,0),3)</f>
        <v>u</v>
      </c>
      <c r="D85" s="24" t="str">
        <f aca="false">INDEX(C_TAB,MATCH($A85,C_COD,0),6)</f>
        <v>Identificación</v>
      </c>
      <c r="E85" s="45" t="n">
        <f aca="false">CONSOLIDADO_INSUMOS!T238</f>
        <v>75863.6065059</v>
      </c>
      <c r="F85" s="45" t="n">
        <f aca="false">SUMIFS(CONSOLIDADO_INSUMOS!$T$4:$T$350,CONSOLIDADO_INSUMOS!$B$4:$B$350,$A85,CONSOLIDADO_INSUMOS!$H$4:$H$350,"MANUALES")</f>
        <v>73657.124373</v>
      </c>
      <c r="G85" s="45" t="n">
        <f aca="false">SUMIFS(CONSOLIDADO_INSUMOS!$T$4:$T$350,CONSOLIDADO_INSUMOS!$B$4:$B$350,$A85,CONSOLIDADO_INSUMOS!$H$4:$H$350,"RODANTES")</f>
        <v>1813.0821329</v>
      </c>
      <c r="H85" s="45" t="n">
        <f aca="false">SUMIFS(CONSOLIDADO_INSUMOS!$T$4:$T$350,CONSOLIDADO_INSUMOS!$B$4:$B$350,$A85,CONSOLIDADO_INSUMOS!$H$4:$H$350,"RECARGAS")</f>
        <v>393.4</v>
      </c>
      <c r="I85" s="45" t="n">
        <f aca="false">SUMIFS(CONSOLIDADO_INSUMOS!$T$4:$T$350,CONSOLIDADO_INSUMOS!$B$4:$B$350,$A85,CONSOLIDADO_INSUMOS!$H$4:$H$350,"REVENDIDOS")</f>
        <v>0</v>
      </c>
      <c r="J85" s="45" t="n">
        <f aca="false">F85*ESTACIONALIDAD!$B$14+G85*ESTACIONALIDAD!$B$15+H85*ESTACIONALIDAD!$B$16+I85*ESTACIONALIDAD!$B$17</f>
        <v>8601.73293812253</v>
      </c>
      <c r="K85" s="45" t="n">
        <f aca="false">F85*ESTACIONALIDAD!$C$14+G85*ESTACIONALIDAD!$C$15+H85*ESTACIONALIDAD!$C$16+I85*ESTACIONALIDAD!$C$17</f>
        <v>6581.8117788714</v>
      </c>
      <c r="L85" s="45" t="n">
        <f aca="false">F85*ESTACIONALIDAD!$D$14+G85*ESTACIONALIDAD!$D$15+H85*ESTACIONALIDAD!$D$16+I85*ESTACIONALIDAD!$D$17</f>
        <v>6194.93634707058</v>
      </c>
      <c r="M85" s="45" t="n">
        <f aca="false">F85*ESTACIONALIDAD!$E$14+G85*ESTACIONALIDAD!$E$15+H85*ESTACIONALIDAD!$E$16+I85*ESTACIONALIDAD!$E$17</f>
        <v>5932.92212246394</v>
      </c>
      <c r="N85" s="45" t="n">
        <f aca="false">F85*ESTACIONALIDAD!$F$14+G85*ESTACIONALIDAD!$F$15+H85*ESTACIONALIDAD!$F$16+I85*ESTACIONALIDAD!$F$17</f>
        <v>5563.69530188862</v>
      </c>
      <c r="O85" s="45" t="n">
        <f aca="false">F85*ESTACIONALIDAD!$G$14+G85*ESTACIONALIDAD!$G$15+H85*ESTACIONALIDAD!$G$16+I85*ESTACIONALIDAD!$G$17</f>
        <v>5437.43715477417</v>
      </c>
      <c r="P85" s="45" t="n">
        <f aca="false">F85*ESTACIONALIDAD!$H$14+G85*ESTACIONALIDAD!$H$15+H85*ESTACIONALIDAD!$H$16+I85*ESTACIONALIDAD!$H$17</f>
        <v>5825.7624642824</v>
      </c>
      <c r="Q85" s="45" t="n">
        <f aca="false">F85*ESTACIONALIDAD!$I$14+G85*ESTACIONALIDAD!$I$15+H85*ESTACIONALIDAD!$I$16+I85*ESTACIONALIDAD!$I$17</f>
        <v>5826.624256312</v>
      </c>
      <c r="R85" s="45" t="n">
        <f aca="false">F85*ESTACIONALIDAD!$J$14+G85*ESTACIONALIDAD!$J$15+H85*ESTACIONALIDAD!$J$16+I85*ESTACIONALIDAD!$J$17</f>
        <v>5817.5588456475</v>
      </c>
      <c r="S85" s="45" t="n">
        <f aca="false">F85*ESTACIONALIDAD!$K$14+G85*ESTACIONALIDAD!$K$15+H85*ESTACIONALIDAD!$K$16+I85*ESTACIONALIDAD!$K$17</f>
        <v>5691.32716742663</v>
      </c>
      <c r="T85" s="45" t="n">
        <f aca="false">F85*ESTACIONALIDAD!$L$14+G85*ESTACIONALIDAD!$L$15+H85*ESTACIONALIDAD!$L$16+I85*ESTACIONALIDAD!$L$17</f>
        <v>5575.04916079344</v>
      </c>
      <c r="U85" s="45" t="n">
        <f aca="false">F85*ESTACIONALIDAD!$M$14+G85*ESTACIONALIDAD!$M$15+H85*ESTACIONALIDAD!$M$16+I85*ESTACIONALIDAD!$M$17</f>
        <v>8814.7489682468</v>
      </c>
      <c r="V85" s="45" t="n">
        <f aca="false">MAX(J85:U85)</f>
        <v>8814.7489682468</v>
      </c>
      <c r="W85" s="46" t="n">
        <f aca="false">E85/INDEX(P_VAL,MATCH("DH_AÑO",P_ID,0))</f>
        <v>316.09836044125</v>
      </c>
      <c r="X85" s="46" t="n">
        <f aca="false">V85/INDEX(P_VAL,MATCH("DH_MES",P_ID,0))</f>
        <v>440.73744841234</v>
      </c>
      <c r="Y85" s="25" t="n">
        <f aca="false">INDEX(C_TAB,MATCH($A85,C_COD,0),12)</f>
        <v>10</v>
      </c>
      <c r="Z85" s="46" t="n">
        <f aca="false">(X85-W85)*Y85</f>
        <v>1246.3908797109</v>
      </c>
      <c r="AA85" s="45" t="n">
        <f aca="false">W85*Y85+Z85</f>
        <v>4407.3744841234</v>
      </c>
      <c r="AB85" s="25" t="n">
        <f aca="false">INDEX(C_TAB,MATCH($A85,C_COD,0),15)</f>
        <v>10</v>
      </c>
      <c r="AC85" s="45" t="n">
        <f aca="false">INDEX(C_TAB,MATCH($A85,C_COD,0),11)</f>
        <v>1000</v>
      </c>
      <c r="AD85" s="45" t="n">
        <f aca="false">MAX(AC85,CEILING(X85*AB85,AC85))</f>
        <v>5000</v>
      </c>
      <c r="AE85" s="25" t="n">
        <f aca="false">AD85/AC85</f>
        <v>5</v>
      </c>
      <c r="AF85" s="45" t="n">
        <f aca="false">Z85+AD85</f>
        <v>6246.3908797109</v>
      </c>
      <c r="AG85" s="25" t="n">
        <f aca="false">ROUNDUP(AF85/AC85,0)</f>
        <v>7</v>
      </c>
      <c r="AH85" s="45" t="n">
        <f aca="false">IF(W85&gt;0,AF85/W85,0)</f>
        <v>19.7609088227835</v>
      </c>
      <c r="AI85" s="25" t="n">
        <f aca="false">IF(AD85&gt;0,E85/AD85,0)</f>
        <v>15.17272130118</v>
      </c>
      <c r="AJ85" s="25" t="n">
        <f aca="false">INDEX(C_TAB,MATCH($A85,C_COD,0),16)</f>
        <v>50</v>
      </c>
      <c r="AK85" s="47" t="n">
        <f aca="false">IF(AJ85&gt;0,AG85/AJ85,0)</f>
        <v>0.14</v>
      </c>
      <c r="AL85" s="45" t="n">
        <f aca="false">INDEX(C_TAB,MATCH($A85,C_COD,0),17)</f>
        <v>0.73</v>
      </c>
      <c r="AM85" s="45" t="n">
        <f aca="false">AK85*AL85</f>
        <v>0.1022</v>
      </c>
    </row>
    <row r="86" customFormat="false" ht="15" hidden="false" customHeight="false" outlineLevel="0" collapsed="false">
      <c r="A86" s="24" t="s">
        <v>598</v>
      </c>
      <c r="B86" s="24" t="str">
        <f aca="false">INDEX(C_TAB,MATCH($A86,C_COD,0),2)</f>
        <v>Precinto de fábrica numerado «FLAMA»</v>
      </c>
      <c r="C86" s="24" t="str">
        <f aca="false">INDEX(C_TAB,MATCH($A86,C_COD,0),3)</f>
        <v>u</v>
      </c>
      <c r="D86" s="24" t="str">
        <f aca="false">INDEX(C_TAB,MATCH($A86,C_COD,0),6)</f>
        <v>Identificación</v>
      </c>
      <c r="E86" s="45" t="n">
        <f aca="false">CONSOLIDADO_INSUMOS!T242</f>
        <v>75863.6065059</v>
      </c>
      <c r="F86" s="45" t="n">
        <f aca="false">SUMIFS(CONSOLIDADO_INSUMOS!$T$4:$T$350,CONSOLIDADO_INSUMOS!$B$4:$B$350,$A86,CONSOLIDADO_INSUMOS!$H$4:$H$350,"MANUALES")</f>
        <v>73657.124373</v>
      </c>
      <c r="G86" s="45" t="n">
        <f aca="false">SUMIFS(CONSOLIDADO_INSUMOS!$T$4:$T$350,CONSOLIDADO_INSUMOS!$B$4:$B$350,$A86,CONSOLIDADO_INSUMOS!$H$4:$H$350,"RODANTES")</f>
        <v>1813.0821329</v>
      </c>
      <c r="H86" s="45" t="n">
        <f aca="false">SUMIFS(CONSOLIDADO_INSUMOS!$T$4:$T$350,CONSOLIDADO_INSUMOS!$B$4:$B$350,$A86,CONSOLIDADO_INSUMOS!$H$4:$H$350,"RECARGAS")</f>
        <v>393.4</v>
      </c>
      <c r="I86" s="45" t="n">
        <f aca="false">SUMIFS(CONSOLIDADO_INSUMOS!$T$4:$T$350,CONSOLIDADO_INSUMOS!$B$4:$B$350,$A86,CONSOLIDADO_INSUMOS!$H$4:$H$350,"REVENDIDOS")</f>
        <v>0</v>
      </c>
      <c r="J86" s="45" t="n">
        <f aca="false">F86*ESTACIONALIDAD!$B$14+G86*ESTACIONALIDAD!$B$15+H86*ESTACIONALIDAD!$B$16+I86*ESTACIONALIDAD!$B$17</f>
        <v>8601.73293812253</v>
      </c>
      <c r="K86" s="45" t="n">
        <f aca="false">F86*ESTACIONALIDAD!$C$14+G86*ESTACIONALIDAD!$C$15+H86*ESTACIONALIDAD!$C$16+I86*ESTACIONALIDAD!$C$17</f>
        <v>6581.8117788714</v>
      </c>
      <c r="L86" s="45" t="n">
        <f aca="false">F86*ESTACIONALIDAD!$D$14+G86*ESTACIONALIDAD!$D$15+H86*ESTACIONALIDAD!$D$16+I86*ESTACIONALIDAD!$D$17</f>
        <v>6194.93634707058</v>
      </c>
      <c r="M86" s="45" t="n">
        <f aca="false">F86*ESTACIONALIDAD!$E$14+G86*ESTACIONALIDAD!$E$15+H86*ESTACIONALIDAD!$E$16+I86*ESTACIONALIDAD!$E$17</f>
        <v>5932.92212246394</v>
      </c>
      <c r="N86" s="45" t="n">
        <f aca="false">F86*ESTACIONALIDAD!$F$14+G86*ESTACIONALIDAD!$F$15+H86*ESTACIONALIDAD!$F$16+I86*ESTACIONALIDAD!$F$17</f>
        <v>5563.69530188862</v>
      </c>
      <c r="O86" s="45" t="n">
        <f aca="false">F86*ESTACIONALIDAD!$G$14+G86*ESTACIONALIDAD!$G$15+H86*ESTACIONALIDAD!$G$16+I86*ESTACIONALIDAD!$G$17</f>
        <v>5437.43715477417</v>
      </c>
      <c r="P86" s="45" t="n">
        <f aca="false">F86*ESTACIONALIDAD!$H$14+G86*ESTACIONALIDAD!$H$15+H86*ESTACIONALIDAD!$H$16+I86*ESTACIONALIDAD!$H$17</f>
        <v>5825.7624642824</v>
      </c>
      <c r="Q86" s="45" t="n">
        <f aca="false">F86*ESTACIONALIDAD!$I$14+G86*ESTACIONALIDAD!$I$15+H86*ESTACIONALIDAD!$I$16+I86*ESTACIONALIDAD!$I$17</f>
        <v>5826.624256312</v>
      </c>
      <c r="R86" s="45" t="n">
        <f aca="false">F86*ESTACIONALIDAD!$J$14+G86*ESTACIONALIDAD!$J$15+H86*ESTACIONALIDAD!$J$16+I86*ESTACIONALIDAD!$J$17</f>
        <v>5817.5588456475</v>
      </c>
      <c r="S86" s="45" t="n">
        <f aca="false">F86*ESTACIONALIDAD!$K$14+G86*ESTACIONALIDAD!$K$15+H86*ESTACIONALIDAD!$K$16+I86*ESTACIONALIDAD!$K$17</f>
        <v>5691.32716742663</v>
      </c>
      <c r="T86" s="45" t="n">
        <f aca="false">F86*ESTACIONALIDAD!$L$14+G86*ESTACIONALIDAD!$L$15+H86*ESTACIONALIDAD!$L$16+I86*ESTACIONALIDAD!$L$17</f>
        <v>5575.04916079344</v>
      </c>
      <c r="U86" s="45" t="n">
        <f aca="false">F86*ESTACIONALIDAD!$M$14+G86*ESTACIONALIDAD!$M$15+H86*ESTACIONALIDAD!$M$16+I86*ESTACIONALIDAD!$M$17</f>
        <v>8814.7489682468</v>
      </c>
      <c r="V86" s="45" t="n">
        <f aca="false">MAX(J86:U86)</f>
        <v>8814.7489682468</v>
      </c>
      <c r="W86" s="46" t="n">
        <f aca="false">E86/INDEX(P_VAL,MATCH("DH_AÑO",P_ID,0))</f>
        <v>316.09836044125</v>
      </c>
      <c r="X86" s="46" t="n">
        <f aca="false">V86/INDEX(P_VAL,MATCH("DH_MES",P_ID,0))</f>
        <v>440.73744841234</v>
      </c>
      <c r="Y86" s="25" t="n">
        <f aca="false">INDEX(C_TAB,MATCH($A86,C_COD,0),12)</f>
        <v>10</v>
      </c>
      <c r="Z86" s="46" t="n">
        <f aca="false">(X86-W86)*Y86</f>
        <v>1246.3908797109</v>
      </c>
      <c r="AA86" s="45" t="n">
        <f aca="false">W86*Y86+Z86</f>
        <v>4407.3744841234</v>
      </c>
      <c r="AB86" s="25" t="n">
        <f aca="false">INDEX(C_TAB,MATCH($A86,C_COD,0),15)</f>
        <v>10</v>
      </c>
      <c r="AC86" s="45" t="n">
        <f aca="false">INDEX(C_TAB,MATCH($A86,C_COD,0),11)</f>
        <v>1000</v>
      </c>
      <c r="AD86" s="45" t="n">
        <f aca="false">MAX(AC86,CEILING(X86*AB86,AC86))</f>
        <v>5000</v>
      </c>
      <c r="AE86" s="25" t="n">
        <f aca="false">AD86/AC86</f>
        <v>5</v>
      </c>
      <c r="AF86" s="45" t="n">
        <f aca="false">Z86+AD86</f>
        <v>6246.3908797109</v>
      </c>
      <c r="AG86" s="25" t="n">
        <f aca="false">ROUNDUP(AF86/AC86,0)</f>
        <v>7</v>
      </c>
      <c r="AH86" s="45" t="n">
        <f aca="false">IF(W86&gt;0,AF86/W86,0)</f>
        <v>19.7609088227835</v>
      </c>
      <c r="AI86" s="25" t="n">
        <f aca="false">IF(AD86&gt;0,E86/AD86,0)</f>
        <v>15.17272130118</v>
      </c>
      <c r="AJ86" s="25" t="n">
        <f aca="false">INDEX(C_TAB,MATCH($A86,C_COD,0),16)</f>
        <v>50</v>
      </c>
      <c r="AK86" s="47" t="n">
        <f aca="false">IF(AJ86&gt;0,AG86/AJ86,0)</f>
        <v>0.14</v>
      </c>
      <c r="AL86" s="45" t="n">
        <f aca="false">INDEX(C_TAB,MATCH($A86,C_COD,0),17)</f>
        <v>0.73</v>
      </c>
      <c r="AM86" s="45" t="n">
        <f aca="false">AK86*AL86</f>
        <v>0.1022</v>
      </c>
    </row>
    <row r="87" customFormat="false" ht="15" hidden="false" customHeight="false" outlineLevel="0" collapsed="false">
      <c r="A87" s="24" t="s">
        <v>614</v>
      </c>
      <c r="B87" s="24" t="str">
        <f aca="false">INDEX(C_TAB,MATCH($A87,C_COD,0),2)</f>
        <v>Etiqueta de identificación del cilindro suelto</v>
      </c>
      <c r="C87" s="24" t="str">
        <f aca="false">INDEX(C_TAB,MATCH($A87,C_COD,0),3)</f>
        <v>u</v>
      </c>
      <c r="D87" s="24" t="str">
        <f aca="false">INDEX(C_TAB,MATCH($A87,C_COD,0),6)</f>
        <v>Identificación</v>
      </c>
      <c r="E87" s="45" t="n">
        <f aca="false">CONSOLIDADO_INSUMOS!T246</f>
        <v>213430</v>
      </c>
      <c r="F87" s="45" t="n">
        <f aca="false">SUMIFS(CONSOLIDADO_INSUMOS!$T$4:$T$350,CONSOLIDADO_INSUMOS!$B$4:$B$350,$A87,CONSOLIDADO_INSUMOS!$H$4:$H$350,"MANUALES")</f>
        <v>212143</v>
      </c>
      <c r="G87" s="45" t="n">
        <f aca="false">SUMIFS(CONSOLIDADO_INSUMOS!$T$4:$T$350,CONSOLIDADO_INSUMOS!$B$4:$B$350,$A87,CONSOLIDADO_INSUMOS!$H$4:$H$350,"RODANTES")</f>
        <v>1287</v>
      </c>
      <c r="H87" s="45" t="n">
        <f aca="false">SUMIFS(CONSOLIDADO_INSUMOS!$T$4:$T$350,CONSOLIDADO_INSUMOS!$B$4:$B$350,$A87,CONSOLIDADO_INSUMOS!$H$4:$H$350,"RECARGAS")</f>
        <v>0</v>
      </c>
      <c r="I87" s="45" t="n">
        <f aca="false">SUMIFS(CONSOLIDADO_INSUMOS!$T$4:$T$350,CONSOLIDADO_INSUMOS!$B$4:$B$350,$A87,CONSOLIDADO_INSUMOS!$H$4:$H$350,"REVENDIDOS")</f>
        <v>0</v>
      </c>
      <c r="J87" s="45" t="n">
        <f aca="false">F87*ESTACIONALIDAD!$B$14+G87*ESTACIONALIDAD!$B$15+H87*ESTACIONALIDAD!$B$16+I87*ESTACIONALIDAD!$B$17</f>
        <v>24331.7098034405</v>
      </c>
      <c r="K87" s="45" t="n">
        <f aca="false">F87*ESTACIONALIDAD!$C$14+G87*ESTACIONALIDAD!$C$15+H87*ESTACIONALIDAD!$C$16+I87*ESTACIONALIDAD!$C$17</f>
        <v>18571.9724017202</v>
      </c>
      <c r="L87" s="45" t="n">
        <f aca="false">F87*ESTACIONALIDAD!$D$14+G87*ESTACIONALIDAD!$D$15+H87*ESTACIONALIDAD!$D$16+I87*ESTACIONALIDAD!$D$17</f>
        <v>17395.9812991399</v>
      </c>
      <c r="M87" s="45" t="n">
        <f aca="false">F87*ESTACIONALIDAD!$E$14+G87*ESTACIONALIDAD!$E$15+H87*ESTACIONALIDAD!$E$16+I87*ESTACIONALIDAD!$E$17</f>
        <v>16643.9775982798</v>
      </c>
      <c r="N87" s="45" t="n">
        <f aca="false">F87*ESTACIONALIDAD!$F$14+G87*ESTACIONALIDAD!$F$15+H87*ESTACIONALIDAD!$F$16+I87*ESTACIONALIDAD!$F$17</f>
        <v>15583.2625982798</v>
      </c>
      <c r="O87" s="45" t="n">
        <f aca="false">F87*ESTACIONALIDAD!$G$14+G87*ESTACIONALIDAD!$G$15+H87*ESTACIONALIDAD!$G$16+I87*ESTACIONALIDAD!$G$17</f>
        <v>15261.6812991399</v>
      </c>
      <c r="P87" s="45" t="n">
        <f aca="false">F87*ESTACIONALIDAD!$H$14+G87*ESTACIONALIDAD!$H$15+H87*ESTACIONALIDAD!$H$16+I87*ESTACIONALIDAD!$H$17</f>
        <v>16335.2662991399</v>
      </c>
      <c r="Q87" s="45" t="n">
        <f aca="false">F87*ESTACIONALIDAD!$I$14+G87*ESTACIONALIDAD!$I$15+H87*ESTACIONALIDAD!$I$16+I87*ESTACIONALIDAD!$I$17</f>
        <v>16335.2662991399</v>
      </c>
      <c r="R87" s="45" t="n">
        <f aca="false">F87*ESTACIONALIDAD!$J$14+G87*ESTACIONALIDAD!$J$15+H87*ESTACIONALIDAD!$J$16+I87*ESTACIONALIDAD!$J$17</f>
        <v>16328.8312991399</v>
      </c>
      <c r="S87" s="45" t="n">
        <f aca="false">F87*ESTACIONALIDAD!$K$14+G87*ESTACIONALIDAD!$K$15+H87*ESTACIONALIDAD!$K$16+I87*ESTACIONALIDAD!$K$17</f>
        <v>16007.25</v>
      </c>
      <c r="T87" s="45" t="n">
        <f aca="false">F87*ESTACIONALIDAD!$L$14+G87*ESTACIONALIDAD!$L$15+H87*ESTACIONALIDAD!$L$16+I87*ESTACIONALIDAD!$L$17</f>
        <v>15692.1037008601</v>
      </c>
      <c r="U87" s="45" t="n">
        <f aca="false">F87*ESTACIONALIDAD!$M$14+G87*ESTACIONALIDAD!$M$15+H87*ESTACIONALIDAD!$M$16+I87*ESTACIONALIDAD!$M$17</f>
        <v>24942.6974017202</v>
      </c>
      <c r="V87" s="45" t="n">
        <f aca="false">MAX(J87:U87)</f>
        <v>24942.6974017202</v>
      </c>
      <c r="W87" s="46" t="n">
        <f aca="false">E87/INDEX(P_VAL,MATCH("DH_AÑO",P_ID,0))</f>
        <v>889.291666666667</v>
      </c>
      <c r="X87" s="46" t="n">
        <f aca="false">V87/INDEX(P_VAL,MATCH("DH_MES",P_ID,0))</f>
        <v>1247.13487008601</v>
      </c>
      <c r="Y87" s="25" t="n">
        <f aca="false">INDEX(C_TAB,MATCH($A87,C_COD,0),12)</f>
        <v>10</v>
      </c>
      <c r="Z87" s="46" t="n">
        <f aca="false">(X87-W87)*Y87</f>
        <v>3578.43203419345</v>
      </c>
      <c r="AA87" s="45" t="n">
        <f aca="false">W87*Y87+Z87</f>
        <v>12471.3487008601</v>
      </c>
      <c r="AB87" s="25" t="n">
        <f aca="false">INDEX(C_TAB,MATCH($A87,C_COD,0),15)</f>
        <v>10</v>
      </c>
      <c r="AC87" s="45" t="n">
        <f aca="false">INDEX(C_TAB,MATCH($A87,C_COD,0),11)</f>
        <v>1000</v>
      </c>
      <c r="AD87" s="45" t="n">
        <f aca="false">MAX(AC87,CEILING(X87*AB87,AC87))</f>
        <v>13000</v>
      </c>
      <c r="AE87" s="25" t="n">
        <f aca="false">AD87/AC87</f>
        <v>13</v>
      </c>
      <c r="AF87" s="45" t="n">
        <f aca="false">Z87+AD87</f>
        <v>16578.4320341935</v>
      </c>
      <c r="AG87" s="25" t="n">
        <f aca="false">ROUNDUP(AF87/AC87,0)</f>
        <v>17</v>
      </c>
      <c r="AH87" s="45" t="n">
        <f aca="false">IF(W87&gt;0,AF87/W87,0)</f>
        <v>18.6422887513772</v>
      </c>
      <c r="AI87" s="25" t="n">
        <f aca="false">IF(AD87&gt;0,E87/AD87,0)</f>
        <v>16.4176923076923</v>
      </c>
      <c r="AJ87" s="25" t="n">
        <f aca="false">INDEX(C_TAB,MATCH($A87,C_COD,0),16)</f>
        <v>50</v>
      </c>
      <c r="AK87" s="47" t="n">
        <f aca="false">IF(AJ87&gt;0,AG87/AJ87,0)</f>
        <v>0.34</v>
      </c>
      <c r="AL87" s="45" t="n">
        <f aca="false">INDEX(C_TAB,MATCH($A87,C_COD,0),17)</f>
        <v>0.73</v>
      </c>
      <c r="AM87" s="45" t="n">
        <f aca="false">AK87*AL87</f>
        <v>0.2482</v>
      </c>
    </row>
    <row r="88" customFormat="false" ht="15" hidden="false" customHeight="false" outlineLevel="0" collapsed="false">
      <c r="A88" s="24" t="s">
        <v>1345</v>
      </c>
      <c r="B88" s="24" t="str">
        <f aca="false">INDEX(C_TAB,MATCH($A88,C_COD,0),2)</f>
        <v>Etiqueta de control periódico (celeste 35 × 50)</v>
      </c>
      <c r="C88" s="24" t="str">
        <f aca="false">INDEX(C_TAB,MATCH($A88,C_COD,0),3)</f>
        <v>u</v>
      </c>
      <c r="D88" s="24" t="str">
        <f aca="false">INDEX(C_TAB,MATCH($A88,C_COD,0),6)</f>
        <v>Insumos de recargas</v>
      </c>
      <c r="E88" s="45" t="n">
        <f aca="false">CONSOLIDADO_INSUMOS!T249</f>
        <v>1503702.758332</v>
      </c>
      <c r="F88" s="45" t="n">
        <f aca="false">SUMIFS(CONSOLIDADO_INSUMOS!$T$4:$T$350,CONSOLIDADO_INSUMOS!$B$4:$B$350,$A88,CONSOLIDADO_INSUMOS!$H$4:$H$350,"MANUALES")</f>
        <v>0</v>
      </c>
      <c r="G88" s="45" t="n">
        <f aca="false">SUMIFS(CONSOLIDADO_INSUMOS!$T$4:$T$350,CONSOLIDADO_INSUMOS!$B$4:$B$350,$A88,CONSOLIDADO_INSUMOS!$H$4:$H$350,"RODANTES")</f>
        <v>0</v>
      </c>
      <c r="H88" s="45" t="n">
        <f aca="false">SUMIFS(CONSOLIDADO_INSUMOS!$T$4:$T$350,CONSOLIDADO_INSUMOS!$B$4:$B$350,$A88,CONSOLIDADO_INSUMOS!$H$4:$H$350,"RECARGAS")</f>
        <v>1503702.758332</v>
      </c>
      <c r="I88" s="45" t="n">
        <f aca="false">SUMIFS(CONSOLIDADO_INSUMOS!$T$4:$T$350,CONSOLIDADO_INSUMOS!$B$4:$B$350,$A88,CONSOLIDADO_INSUMOS!$H$4:$H$350,"REVENDIDOS")</f>
        <v>0</v>
      </c>
      <c r="J88" s="45" t="n">
        <f aca="false">F88*ESTACIONALIDAD!$B$14+G88*ESTACIONALIDAD!$B$15+H88*ESTACIONALIDAD!$B$16+I88*ESTACIONALIDAD!$B$17</f>
        <v>143377.486059033</v>
      </c>
      <c r="K88" s="45" t="n">
        <f aca="false">F88*ESTACIONALIDAD!$C$14+G88*ESTACIONALIDAD!$C$15+H88*ESTACIONALIDAD!$C$16+I88*ESTACIONALIDAD!$C$17</f>
        <v>118727.842192966</v>
      </c>
      <c r="L88" s="45" t="n">
        <f aca="false">F88*ESTACIONALIDAD!$D$14+G88*ESTACIONALIDAD!$D$15+H88*ESTACIONALIDAD!$D$16+I88*ESTACIONALIDAD!$D$17</f>
        <v>122325.409800643</v>
      </c>
      <c r="M88" s="45" t="n">
        <f aca="false">F88*ESTACIONALIDAD!$E$14+G88*ESTACIONALIDAD!$E$15+H88*ESTACIONALIDAD!$E$16+I88*ESTACIONALIDAD!$E$17</f>
        <v>118829.014913559</v>
      </c>
      <c r="N88" s="45" t="n">
        <f aca="false">F88*ESTACIONALIDAD!$F$14+G88*ESTACIONALIDAD!$F$15+H88*ESTACIONALIDAD!$F$16+I88*ESTACIONALIDAD!$F$17</f>
        <v>115231.447305883</v>
      </c>
      <c r="O88" s="45" t="n">
        <f aca="false">F88*ESTACIONALIDAD!$G$14+G88*ESTACIONALIDAD!$G$15+H88*ESTACIONALIDAD!$G$16+I88*ESTACIONALIDAD!$G$17</f>
        <v>111633.879698207</v>
      </c>
      <c r="P88" s="45" t="n">
        <f aca="false">F88*ESTACIONALIDAD!$H$14+G88*ESTACIONALIDAD!$H$15+H88*ESTACIONALIDAD!$H$16+I88*ESTACIONALIDAD!$H$17</f>
        <v>118930.187634152</v>
      </c>
      <c r="Q88" s="45" t="n">
        <f aca="false">F88*ESTACIONALIDAD!$I$14+G88*ESTACIONALIDAD!$I$15+H88*ESTACIONALIDAD!$I$16+I88*ESTACIONALIDAD!$I$17</f>
        <v>122224.23708005</v>
      </c>
      <c r="R88" s="45" t="n">
        <f aca="false">F88*ESTACIONALIDAD!$J$14+G88*ESTACIONALIDAD!$J$15+H88*ESTACIONALIDAD!$J$16+I88*ESTACIONALIDAD!$J$17</f>
        <v>122224.23708005</v>
      </c>
      <c r="S88" s="45" t="n">
        <f aca="false">F88*ESTACIONALIDAD!$K$14+G88*ESTACIONALIDAD!$K$15+H88*ESTACIONALIDAD!$K$16+I88*ESTACIONALIDAD!$K$17</f>
        <v>118727.842192966</v>
      </c>
      <c r="T88" s="45" t="n">
        <f aca="false">F88*ESTACIONALIDAD!$L$14+G88*ESTACIONALIDAD!$L$15+H88*ESTACIONALIDAD!$L$16+I88*ESTACIONALIDAD!$L$17</f>
        <v>118626.669472374</v>
      </c>
      <c r="U88" s="45" t="n">
        <f aca="false">F88*ESTACIONALIDAD!$M$14+G88*ESTACIONALIDAD!$M$15+H88*ESTACIONALIDAD!$M$16+I88*ESTACIONALIDAD!$M$17</f>
        <v>172844.504902116</v>
      </c>
      <c r="V88" s="45" t="n">
        <f aca="false">MAX(J88:U88)</f>
        <v>172844.504902116</v>
      </c>
      <c r="W88" s="46" t="n">
        <f aca="false">E88/INDEX(P_VAL,MATCH("DH_AÑO",P_ID,0))</f>
        <v>6265.42815971667</v>
      </c>
      <c r="X88" s="46" t="n">
        <f aca="false">V88/INDEX(P_VAL,MATCH("DH_MES",P_ID,0))</f>
        <v>8642.2252451058</v>
      </c>
      <c r="Y88" s="25" t="n">
        <f aca="false">INDEX(C_TAB,MATCH($A88,C_COD,0),12)</f>
        <v>10</v>
      </c>
      <c r="Z88" s="46" t="n">
        <f aca="false">(X88-W88)*Y88</f>
        <v>23767.9708538913</v>
      </c>
      <c r="AA88" s="45" t="n">
        <f aca="false">W88*Y88+Z88</f>
        <v>86422.252451058</v>
      </c>
      <c r="AB88" s="25" t="n">
        <f aca="false">INDEX(C_TAB,MATCH($A88,C_COD,0),15)</f>
        <v>10</v>
      </c>
      <c r="AC88" s="45" t="n">
        <f aca="false">INDEX(C_TAB,MATCH($A88,C_COD,0),11)</f>
        <v>1000</v>
      </c>
      <c r="AD88" s="45" t="n">
        <f aca="false">MAX(AC88,CEILING(X88*AB88,AC88))</f>
        <v>87000</v>
      </c>
      <c r="AE88" s="25" t="n">
        <f aca="false">AD88/AC88</f>
        <v>87</v>
      </c>
      <c r="AF88" s="45" t="n">
        <f aca="false">Z88+AD88</f>
        <v>110767.970853891</v>
      </c>
      <c r="AG88" s="25" t="n">
        <f aca="false">ROUNDUP(AF88/AC88,0)</f>
        <v>111</v>
      </c>
      <c r="AH88" s="45" t="n">
        <f aca="false">IF(W88&gt;0,AF88/W88,0)</f>
        <v>17.67923404917</v>
      </c>
      <c r="AI88" s="25" t="n">
        <f aca="false">IF(AD88&gt;0,E88/AD88,0)</f>
        <v>17.2839397509425</v>
      </c>
      <c r="AJ88" s="25" t="n">
        <f aca="false">INDEX(C_TAB,MATCH($A88,C_COD,0),16)</f>
        <v>50</v>
      </c>
      <c r="AK88" s="47" t="n">
        <f aca="false">IF(AJ88&gt;0,AG88/AJ88,0)</f>
        <v>2.22</v>
      </c>
      <c r="AL88" s="45" t="n">
        <f aca="false">INDEX(C_TAB,MATCH($A88,C_COD,0),17)</f>
        <v>0.73</v>
      </c>
      <c r="AM88" s="45" t="n">
        <f aca="false">AK88*AL88</f>
        <v>1.6206</v>
      </c>
    </row>
    <row r="89" customFormat="false" ht="15" hidden="false" customHeight="false" outlineLevel="0" collapsed="false">
      <c r="A89" s="24" t="s">
        <v>1363</v>
      </c>
      <c r="B89" s="24" t="str">
        <f aca="false">INDEX(C_TAB,MATCH($A89,C_COD,0),2)</f>
        <v>Etiqueta de servicio del recargador</v>
      </c>
      <c r="C89" s="24" t="str">
        <f aca="false">INDEX(C_TAB,MATCH($A89,C_COD,0),3)</f>
        <v>u</v>
      </c>
      <c r="D89" s="24" t="str">
        <f aca="false">INDEX(C_TAB,MATCH($A89,C_COD,0),6)</f>
        <v>Insumos de recargas</v>
      </c>
      <c r="E89" s="45" t="n">
        <f aca="false">CONSOLIDADO_INSUMOS!T251</f>
        <v>375925.689583</v>
      </c>
      <c r="F89" s="45" t="n">
        <f aca="false">SUMIFS(CONSOLIDADO_INSUMOS!$T$4:$T$350,CONSOLIDADO_INSUMOS!$B$4:$B$350,$A89,CONSOLIDADO_INSUMOS!$H$4:$H$350,"MANUALES")</f>
        <v>0</v>
      </c>
      <c r="G89" s="45" t="n">
        <f aca="false">SUMIFS(CONSOLIDADO_INSUMOS!$T$4:$T$350,CONSOLIDADO_INSUMOS!$B$4:$B$350,$A89,CONSOLIDADO_INSUMOS!$H$4:$H$350,"RODANTES")</f>
        <v>0</v>
      </c>
      <c r="H89" s="45" t="n">
        <f aca="false">SUMIFS(CONSOLIDADO_INSUMOS!$T$4:$T$350,CONSOLIDADO_INSUMOS!$B$4:$B$350,$A89,CONSOLIDADO_INSUMOS!$H$4:$H$350,"RECARGAS")</f>
        <v>375925.689583</v>
      </c>
      <c r="I89" s="45" t="n">
        <f aca="false">SUMIFS(CONSOLIDADO_INSUMOS!$T$4:$T$350,CONSOLIDADO_INSUMOS!$B$4:$B$350,$A89,CONSOLIDADO_INSUMOS!$H$4:$H$350,"REVENDIDOS")</f>
        <v>0</v>
      </c>
      <c r="J89" s="45" t="n">
        <f aca="false">F89*ESTACIONALIDAD!$B$14+G89*ESTACIONALIDAD!$B$15+H89*ESTACIONALIDAD!$B$16+I89*ESTACIONALIDAD!$B$17</f>
        <v>35844.3715147584</v>
      </c>
      <c r="K89" s="45" t="n">
        <f aca="false">F89*ESTACIONALIDAD!$C$14+G89*ESTACIONALIDAD!$C$15+H89*ESTACIONALIDAD!$C$16+I89*ESTACIONALIDAD!$C$17</f>
        <v>29681.9605482416</v>
      </c>
      <c r="L89" s="45" t="n">
        <f aca="false">F89*ESTACIONALIDAD!$D$14+G89*ESTACIONALIDAD!$D$15+H89*ESTACIONALIDAD!$D$16+I89*ESTACIONALIDAD!$D$17</f>
        <v>30581.3524501607</v>
      </c>
      <c r="M89" s="45" t="n">
        <f aca="false">F89*ESTACIONALIDAD!$E$14+G89*ESTACIONALIDAD!$E$15+H89*ESTACIONALIDAD!$E$16+I89*ESTACIONALIDAD!$E$17</f>
        <v>29707.2537283899</v>
      </c>
      <c r="N89" s="45" t="n">
        <f aca="false">F89*ESTACIONALIDAD!$F$14+G89*ESTACIONALIDAD!$F$15+H89*ESTACIONALIDAD!$F$16+I89*ESTACIONALIDAD!$F$17</f>
        <v>28807.8618264708</v>
      </c>
      <c r="O89" s="45" t="n">
        <f aca="false">F89*ESTACIONALIDAD!$G$14+G89*ESTACIONALIDAD!$G$15+H89*ESTACIONALIDAD!$G$16+I89*ESTACIONALIDAD!$G$17</f>
        <v>27908.4699245517</v>
      </c>
      <c r="P89" s="45" t="n">
        <f aca="false">F89*ESTACIONALIDAD!$H$14+G89*ESTACIONALIDAD!$H$15+H89*ESTACIONALIDAD!$H$16+I89*ESTACIONALIDAD!$H$17</f>
        <v>29732.5469085381</v>
      </c>
      <c r="Q89" s="45" t="n">
        <f aca="false">F89*ESTACIONALIDAD!$I$14+G89*ESTACIONALIDAD!$I$15+H89*ESTACIONALIDAD!$I$16+I89*ESTACIONALIDAD!$I$17</f>
        <v>30556.0592700124</v>
      </c>
      <c r="R89" s="45" t="n">
        <f aca="false">F89*ESTACIONALIDAD!$J$14+G89*ESTACIONALIDAD!$J$15+H89*ESTACIONALIDAD!$J$16+I89*ESTACIONALIDAD!$J$17</f>
        <v>30556.0592700124</v>
      </c>
      <c r="S89" s="45" t="n">
        <f aca="false">F89*ESTACIONALIDAD!$K$14+G89*ESTACIONALIDAD!$K$15+H89*ESTACIONALIDAD!$K$16+I89*ESTACIONALIDAD!$K$17</f>
        <v>29681.9605482416</v>
      </c>
      <c r="T89" s="45" t="n">
        <f aca="false">F89*ESTACIONALIDAD!$L$14+G89*ESTACIONALIDAD!$L$15+H89*ESTACIONALIDAD!$L$16+I89*ESTACIONALIDAD!$L$17</f>
        <v>29656.6673680934</v>
      </c>
      <c r="U89" s="45" t="n">
        <f aca="false">F89*ESTACIONALIDAD!$M$14+G89*ESTACIONALIDAD!$M$15+H89*ESTACIONALIDAD!$M$16+I89*ESTACIONALIDAD!$M$17</f>
        <v>43211.126225529</v>
      </c>
      <c r="V89" s="45" t="n">
        <f aca="false">MAX(J89:U89)</f>
        <v>43211.126225529</v>
      </c>
      <c r="W89" s="46" t="n">
        <f aca="false">E89/INDEX(P_VAL,MATCH("DH_AÑO",P_ID,0))</f>
        <v>1566.35703992917</v>
      </c>
      <c r="X89" s="46" t="n">
        <f aca="false">V89/INDEX(P_VAL,MATCH("DH_MES",P_ID,0))</f>
        <v>2160.55631127645</v>
      </c>
      <c r="Y89" s="25" t="n">
        <f aca="false">INDEX(C_TAB,MATCH($A89,C_COD,0),12)</f>
        <v>10</v>
      </c>
      <c r="Z89" s="46" t="n">
        <f aca="false">(X89-W89)*Y89</f>
        <v>5941.99271347284</v>
      </c>
      <c r="AA89" s="45" t="n">
        <f aca="false">W89*Y89+Z89</f>
        <v>21605.5631127645</v>
      </c>
      <c r="AB89" s="25" t="n">
        <f aca="false">INDEX(C_TAB,MATCH($A89,C_COD,0),15)</f>
        <v>10</v>
      </c>
      <c r="AC89" s="45" t="n">
        <f aca="false">INDEX(C_TAB,MATCH($A89,C_COD,0),11)</f>
        <v>1000</v>
      </c>
      <c r="AD89" s="45" t="n">
        <f aca="false">MAX(AC89,CEILING(X89*AB89,AC89))</f>
        <v>22000</v>
      </c>
      <c r="AE89" s="25" t="n">
        <f aca="false">AD89/AC89</f>
        <v>22</v>
      </c>
      <c r="AF89" s="45" t="n">
        <f aca="false">Z89+AD89</f>
        <v>27941.9927134728</v>
      </c>
      <c r="AG89" s="25" t="n">
        <f aca="false">ROUNDUP(AF89/AC89,0)</f>
        <v>28</v>
      </c>
      <c r="AH89" s="45" t="n">
        <f aca="false">IF(W89&gt;0,AF89/W89,0)</f>
        <v>17.8388400608436</v>
      </c>
      <c r="AI89" s="25" t="n">
        <f aca="false">IF(AD89&gt;0,E89/AD89,0)</f>
        <v>17.0875313446818</v>
      </c>
      <c r="AJ89" s="25" t="n">
        <f aca="false">INDEX(C_TAB,MATCH($A89,C_COD,0),16)</f>
        <v>50</v>
      </c>
      <c r="AK89" s="47" t="n">
        <f aca="false">IF(AJ89&gt;0,AG89/AJ89,0)</f>
        <v>0.56</v>
      </c>
      <c r="AL89" s="45" t="n">
        <f aca="false">INDEX(C_TAB,MATCH($A89,C_COD,0),17)</f>
        <v>0.73</v>
      </c>
      <c r="AM89" s="45" t="n">
        <f aca="false">AK89*AL89</f>
        <v>0.4088</v>
      </c>
    </row>
    <row r="90" customFormat="false" ht="15" hidden="false" customHeight="false" outlineLevel="0" collapsed="false">
      <c r="A90" s="24" t="s">
        <v>1359</v>
      </c>
      <c r="B90" s="24" t="str">
        <f aca="false">INDEX(C_TAB,MATCH($A90,C_COD,0),2)</f>
        <v>Marbete indicador de mantenimiento (color del año)</v>
      </c>
      <c r="C90" s="24" t="str">
        <f aca="false">INDEX(C_TAB,MATCH($A90,C_COD,0),3)</f>
        <v>u</v>
      </c>
      <c r="D90" s="24" t="str">
        <f aca="false">INDEX(C_TAB,MATCH($A90,C_COD,0),6)</f>
        <v>Insumos de recargas</v>
      </c>
      <c r="E90" s="45" t="n">
        <f aca="false">CONSOLIDADO_INSUMOS!T253</f>
        <v>351258.4265134</v>
      </c>
      <c r="F90" s="45" t="n">
        <f aca="false">SUMIFS(CONSOLIDADO_INSUMOS!$T$4:$T$350,CONSOLIDADO_INSUMOS!$B$4:$B$350,$A90,CONSOLIDADO_INSUMOS!$H$4:$H$350,"MANUALES")</f>
        <v>0</v>
      </c>
      <c r="G90" s="45" t="n">
        <f aca="false">SUMIFS(CONSOLIDADO_INSUMOS!$T$4:$T$350,CONSOLIDADO_INSUMOS!$B$4:$B$350,$A90,CONSOLIDADO_INSUMOS!$H$4:$H$350,"RODANTES")</f>
        <v>0</v>
      </c>
      <c r="H90" s="45" t="n">
        <f aca="false">SUMIFS(CONSOLIDADO_INSUMOS!$T$4:$T$350,CONSOLIDADO_INSUMOS!$B$4:$B$350,$A90,CONSOLIDADO_INSUMOS!$H$4:$H$350,"RECARGAS")</f>
        <v>351258.4265134</v>
      </c>
      <c r="I90" s="45" t="n">
        <f aca="false">SUMIFS(CONSOLIDADO_INSUMOS!$T$4:$T$350,CONSOLIDADO_INSUMOS!$B$4:$B$350,$A90,CONSOLIDADO_INSUMOS!$H$4:$H$350,"REVENDIDOS")</f>
        <v>0</v>
      </c>
      <c r="J90" s="45" t="n">
        <f aca="false">F90*ESTACIONALIDAD!$B$14+G90*ESTACIONALIDAD!$B$15+H90*ESTACIONALIDAD!$B$16+I90*ESTACIONALIDAD!$B$17</f>
        <v>33492.3573635047</v>
      </c>
      <c r="K90" s="45" t="n">
        <f aca="false">F90*ESTACIONALIDAD!$C$14+G90*ESTACIONALIDAD!$C$15+H90*ESTACIONALIDAD!$C$16+I90*ESTACIONALIDAD!$C$17</f>
        <v>27734.3077286721</v>
      </c>
      <c r="L90" s="45" t="n">
        <f aca="false">F90*ESTACIONALIDAD!$D$14+G90*ESTACIONALIDAD!$D$15+H90*ESTACIONALIDAD!$D$16+I90*ESTACIONALIDAD!$D$17</f>
        <v>28574.6838802392</v>
      </c>
      <c r="M90" s="45" t="n">
        <f aca="false">F90*ESTACIONALIDAD!$E$14+G90*ESTACIONALIDAD!$E$15+H90*ESTACIONALIDAD!$E$16+I90*ESTACIONALIDAD!$E$17</f>
        <v>27757.9412363215</v>
      </c>
      <c r="N90" s="45" t="n">
        <f aca="false">F90*ESTACIONALIDAD!$F$14+G90*ESTACIONALIDAD!$F$15+H90*ESTACIONALIDAD!$F$16+I90*ESTACIONALIDAD!$F$17</f>
        <v>26917.5650847544</v>
      </c>
      <c r="O90" s="45" t="n">
        <f aca="false">F90*ESTACIONALIDAD!$G$14+G90*ESTACIONALIDAD!$G$15+H90*ESTACIONALIDAD!$G$16+I90*ESTACIONALIDAD!$G$17</f>
        <v>26077.1889331872</v>
      </c>
      <c r="P90" s="45" t="n">
        <f aca="false">F90*ESTACIONALIDAD!$H$14+G90*ESTACIONALIDAD!$H$15+H90*ESTACIONALIDAD!$H$16+I90*ESTACIONALIDAD!$H$17</f>
        <v>27781.574743971</v>
      </c>
      <c r="Q90" s="45" t="n">
        <f aca="false">F90*ESTACIONALIDAD!$I$14+G90*ESTACIONALIDAD!$I$15+H90*ESTACIONALIDAD!$I$16+I90*ESTACIONALIDAD!$I$17</f>
        <v>28551.0503725897</v>
      </c>
      <c r="R90" s="45" t="n">
        <f aca="false">F90*ESTACIONALIDAD!$J$14+G90*ESTACIONALIDAD!$J$15+H90*ESTACIONALIDAD!$J$16+I90*ESTACIONALIDAD!$J$17</f>
        <v>28551.0503725897</v>
      </c>
      <c r="S90" s="45" t="n">
        <f aca="false">F90*ESTACIONALIDAD!$K$14+G90*ESTACIONALIDAD!$K$15+H90*ESTACIONALIDAD!$K$16+I90*ESTACIONALIDAD!$K$17</f>
        <v>27734.3077286721</v>
      </c>
      <c r="T90" s="45" t="n">
        <f aca="false">F90*ESTACIONALIDAD!$L$14+G90*ESTACIONALIDAD!$L$15+H90*ESTACIONALIDAD!$L$16+I90*ESTACIONALIDAD!$L$17</f>
        <v>27710.6742210226</v>
      </c>
      <c r="U90" s="45" t="n">
        <f aca="false">F90*ESTACIONALIDAD!$M$14+G90*ESTACIONALIDAD!$M$15+H90*ESTACIONALIDAD!$M$16+I90*ESTACIONALIDAD!$M$17</f>
        <v>40375.7248478759</v>
      </c>
      <c r="V90" s="45" t="n">
        <f aca="false">MAX(J90:U90)</f>
        <v>40375.7248478759</v>
      </c>
      <c r="W90" s="46" t="n">
        <f aca="false">E90/INDEX(P_VAL,MATCH("DH_AÑO",P_ID,0))</f>
        <v>1463.57677713917</v>
      </c>
      <c r="X90" s="46" t="n">
        <f aca="false">V90/INDEX(P_VAL,MATCH("DH_MES",P_ID,0))</f>
        <v>2018.7862423938</v>
      </c>
      <c r="Y90" s="25" t="n">
        <f aca="false">INDEX(C_TAB,MATCH($A90,C_COD,0),12)</f>
        <v>10</v>
      </c>
      <c r="Z90" s="46" t="n">
        <f aca="false">(X90-W90)*Y90</f>
        <v>5552.09465254631</v>
      </c>
      <c r="AA90" s="45" t="n">
        <f aca="false">W90*Y90+Z90</f>
        <v>20187.862423938</v>
      </c>
      <c r="AB90" s="25" t="n">
        <f aca="false">INDEX(C_TAB,MATCH($A90,C_COD,0),15)</f>
        <v>10</v>
      </c>
      <c r="AC90" s="45" t="n">
        <f aca="false">INDEX(C_TAB,MATCH($A90,C_COD,0),11)</f>
        <v>1000</v>
      </c>
      <c r="AD90" s="45" t="n">
        <f aca="false">MAX(AC90,CEILING(X90*AB90,AC90))</f>
        <v>21000</v>
      </c>
      <c r="AE90" s="25" t="n">
        <f aca="false">AD90/AC90</f>
        <v>21</v>
      </c>
      <c r="AF90" s="45" t="n">
        <f aca="false">Z90+AD90</f>
        <v>26552.0946525463</v>
      </c>
      <c r="AG90" s="25" t="n">
        <f aca="false">ROUNDUP(AF90/AC90,0)</f>
        <v>27</v>
      </c>
      <c r="AH90" s="45" t="n">
        <f aca="false">IF(W90&gt;0,AF90/W90,0)</f>
        <v>18.1419212625438</v>
      </c>
      <c r="AI90" s="25" t="n">
        <f aca="false">IF(AD90&gt;0,E90/AD90,0)</f>
        <v>16.7265917387333</v>
      </c>
      <c r="AJ90" s="25" t="n">
        <f aca="false">INDEX(C_TAB,MATCH($A90,C_COD,0),16)</f>
        <v>50</v>
      </c>
      <c r="AK90" s="47" t="n">
        <f aca="false">IF(AJ90&gt;0,AG90/AJ90,0)</f>
        <v>0.54</v>
      </c>
      <c r="AL90" s="45" t="n">
        <f aca="false">INDEX(C_TAB,MATCH($A90,C_COD,0),17)</f>
        <v>0.73</v>
      </c>
      <c r="AM90" s="45" t="n">
        <f aca="false">AK90*AL90</f>
        <v>0.3942</v>
      </c>
    </row>
    <row r="91" customFormat="false" ht="15" hidden="false" customHeight="false" outlineLevel="0" collapsed="false">
      <c r="A91" s="24" t="s">
        <v>1381</v>
      </c>
      <c r="B91" s="24" t="str">
        <f aca="false">INDEX(C_TAB,MATCH($A91,C_COD,0),2)</f>
        <v>Oblea de vencimiento de la prueba hidráulica</v>
      </c>
      <c r="C91" s="24" t="str">
        <f aca="false">INDEX(C_TAB,MATCH($A91,C_COD,0),3)</f>
        <v>u</v>
      </c>
      <c r="D91" s="24" t="str">
        <f aca="false">INDEX(C_TAB,MATCH($A91,C_COD,0),6)</f>
        <v>Insumos de recargas</v>
      </c>
      <c r="E91" s="45" t="n">
        <f aca="false">CONSOLIDADO_INSUMOS!T255</f>
        <v>73585.57192823</v>
      </c>
      <c r="F91" s="45" t="n">
        <f aca="false">SUMIFS(CONSOLIDADO_INSUMOS!$T$4:$T$350,CONSOLIDADO_INSUMOS!$B$4:$B$350,$A91,CONSOLIDADO_INSUMOS!$H$4:$H$350,"MANUALES")</f>
        <v>0</v>
      </c>
      <c r="G91" s="45" t="n">
        <f aca="false">SUMIFS(CONSOLIDADO_INSUMOS!$T$4:$T$350,CONSOLIDADO_INSUMOS!$B$4:$B$350,$A91,CONSOLIDADO_INSUMOS!$H$4:$H$350,"RODANTES")</f>
        <v>0</v>
      </c>
      <c r="H91" s="45" t="n">
        <f aca="false">SUMIFS(CONSOLIDADO_INSUMOS!$T$4:$T$350,CONSOLIDADO_INSUMOS!$B$4:$B$350,$A91,CONSOLIDADO_INSUMOS!$H$4:$H$350,"RECARGAS")</f>
        <v>73585.57192823</v>
      </c>
      <c r="I91" s="45" t="n">
        <f aca="false">SUMIFS(CONSOLIDADO_INSUMOS!$T$4:$T$350,CONSOLIDADO_INSUMOS!$B$4:$B$350,$A91,CONSOLIDADO_INSUMOS!$H$4:$H$350,"REVENDIDOS")</f>
        <v>0</v>
      </c>
      <c r="J91" s="45" t="n">
        <f aca="false">F91*ESTACIONALIDAD!$B$14+G91*ESTACIONALIDAD!$B$15+H91*ESTACIONALIDAD!$B$16+I91*ESTACIONALIDAD!$B$17</f>
        <v>7016.35629437102</v>
      </c>
      <c r="K91" s="45" t="n">
        <f aca="false">F91*ESTACIONALIDAD!$C$14+G91*ESTACIONALIDAD!$C$15+H91*ESTACIONALIDAD!$C$16+I91*ESTACIONALIDAD!$C$17</f>
        <v>5810.09519545293</v>
      </c>
      <c r="L91" s="45" t="n">
        <f aca="false">F91*ESTACIONALIDAD!$D$14+G91*ESTACIONALIDAD!$D$15+H91*ESTACIONALIDAD!$D$16+I91*ESTACIONALIDAD!$D$17</f>
        <v>5986.14665808042</v>
      </c>
      <c r="M91" s="45" t="n">
        <f aca="false">F91*ESTACIONALIDAD!$E$14+G91*ESTACIONALIDAD!$E$15+H91*ESTACIONALIDAD!$E$16+I91*ESTACIONALIDAD!$E$17</f>
        <v>5815.04620885443</v>
      </c>
      <c r="N91" s="45" t="n">
        <f aca="false">F91*ESTACIONALIDAD!$F$14+G91*ESTACIONALIDAD!$F$15+H91*ESTACIONALIDAD!$F$16+I91*ESTACIONALIDAD!$F$17</f>
        <v>5638.99474622695</v>
      </c>
      <c r="O91" s="45" t="n">
        <f aca="false">F91*ESTACIONALIDAD!$G$14+G91*ESTACIONALIDAD!$G$15+H91*ESTACIONALIDAD!$G$16+I91*ESTACIONALIDAD!$G$17</f>
        <v>5462.94328359946</v>
      </c>
      <c r="P91" s="45" t="n">
        <f aca="false">F91*ESTACIONALIDAD!$H$14+G91*ESTACIONALIDAD!$H$15+H91*ESTACIONALIDAD!$H$16+I91*ESTACIONALIDAD!$H$17</f>
        <v>5819.99722225592</v>
      </c>
      <c r="Q91" s="45" t="n">
        <f aca="false">F91*ESTACIONALIDAD!$I$14+G91*ESTACIONALIDAD!$I$15+H91*ESTACIONALIDAD!$I$16+I91*ESTACIONALIDAD!$I$17</f>
        <v>5981.19564467892</v>
      </c>
      <c r="R91" s="45" t="n">
        <f aca="false">F91*ESTACIONALIDAD!$J$14+G91*ESTACIONALIDAD!$J$15+H91*ESTACIONALIDAD!$J$16+I91*ESTACIONALIDAD!$J$17</f>
        <v>5981.19564467892</v>
      </c>
      <c r="S91" s="45" t="n">
        <f aca="false">F91*ESTACIONALIDAD!$K$14+G91*ESTACIONALIDAD!$K$15+H91*ESTACIONALIDAD!$K$16+I91*ESTACIONALIDAD!$K$17</f>
        <v>5810.09519545293</v>
      </c>
      <c r="T91" s="45" t="n">
        <f aca="false">F91*ESTACIONALIDAD!$L$14+G91*ESTACIONALIDAD!$L$15+H91*ESTACIONALIDAD!$L$16+I91*ESTACIONALIDAD!$L$17</f>
        <v>5805.14418205144</v>
      </c>
      <c r="U91" s="45" t="n">
        <f aca="false">F91*ESTACIONALIDAD!$M$14+G91*ESTACIONALIDAD!$M$15+H91*ESTACIONALIDAD!$M$16+I91*ESTACIONALIDAD!$M$17</f>
        <v>8458.36165252667</v>
      </c>
      <c r="V91" s="45" t="n">
        <f aca="false">MAX(J91:U91)</f>
        <v>8458.36165252667</v>
      </c>
      <c r="W91" s="46" t="n">
        <f aca="false">E91/INDEX(P_VAL,MATCH("DH_AÑO",P_ID,0))</f>
        <v>306.606549700958</v>
      </c>
      <c r="X91" s="46" t="n">
        <f aca="false">V91/INDEX(P_VAL,MATCH("DH_MES",P_ID,0))</f>
        <v>422.918082626333</v>
      </c>
      <c r="Y91" s="25" t="n">
        <f aca="false">INDEX(C_TAB,MATCH($A91,C_COD,0),12)</f>
        <v>10</v>
      </c>
      <c r="Z91" s="46" t="n">
        <f aca="false">(X91-W91)*Y91</f>
        <v>1163.11532925375</v>
      </c>
      <c r="AA91" s="45" t="n">
        <f aca="false">W91*Y91+Z91</f>
        <v>4229.18082626333</v>
      </c>
      <c r="AB91" s="25" t="n">
        <f aca="false">INDEX(C_TAB,MATCH($A91,C_COD,0),15)</f>
        <v>10</v>
      </c>
      <c r="AC91" s="45" t="n">
        <f aca="false">INDEX(C_TAB,MATCH($A91,C_COD,0),11)</f>
        <v>1000</v>
      </c>
      <c r="AD91" s="45" t="n">
        <f aca="false">MAX(AC91,CEILING(X91*AB91,AC91))</f>
        <v>5000</v>
      </c>
      <c r="AE91" s="25" t="n">
        <f aca="false">AD91/AC91</f>
        <v>5</v>
      </c>
      <c r="AF91" s="45" t="n">
        <f aca="false">Z91+AD91</f>
        <v>6163.11532925375</v>
      </c>
      <c r="AG91" s="25" t="n">
        <f aca="false">ROUNDUP(AF91/AC91,0)</f>
        <v>7</v>
      </c>
      <c r="AH91" s="45" t="n">
        <f aca="false">IF(W91&gt;0,AF91/W91,0)</f>
        <v>20.1010556860733</v>
      </c>
      <c r="AI91" s="25" t="n">
        <f aca="false">IF(AD91&gt;0,E91/AD91,0)</f>
        <v>14.717114385646</v>
      </c>
      <c r="AJ91" s="25" t="n">
        <f aca="false">INDEX(C_TAB,MATCH($A91,C_COD,0),16)</f>
        <v>50</v>
      </c>
      <c r="AK91" s="47" t="n">
        <f aca="false">IF(AJ91&gt;0,AG91/AJ91,0)</f>
        <v>0.14</v>
      </c>
      <c r="AL91" s="45" t="n">
        <f aca="false">INDEX(C_TAB,MATCH($A91,C_COD,0),17)</f>
        <v>0.73</v>
      </c>
      <c r="AM91" s="45" t="n">
        <f aca="false">AK91*AL91</f>
        <v>0.1022</v>
      </c>
    </row>
    <row r="92" customFormat="false" ht="15" hidden="false" customHeight="false" outlineLevel="0" collapsed="false">
      <c r="A92" s="24" t="s">
        <v>1355</v>
      </c>
      <c r="B92" s="24" t="str">
        <f aca="false">INDEX(C_TAB,MATCH($A92,C_COD,0),2)</f>
        <v>Precinto con identificación del recargador</v>
      </c>
      <c r="C92" s="24" t="str">
        <f aca="false">INDEX(C_TAB,MATCH($A92,C_COD,0),3)</f>
        <v>u</v>
      </c>
      <c r="D92" s="24" t="str">
        <f aca="false">INDEX(C_TAB,MATCH($A92,C_COD,0),6)</f>
        <v>Insumos de recargas</v>
      </c>
      <c r="E92" s="45" t="n">
        <f aca="false">CONSOLIDADO_INSUMOS!T257</f>
        <v>375925.689583</v>
      </c>
      <c r="F92" s="45" t="n">
        <f aca="false">SUMIFS(CONSOLIDADO_INSUMOS!$T$4:$T$350,CONSOLIDADO_INSUMOS!$B$4:$B$350,$A92,CONSOLIDADO_INSUMOS!$H$4:$H$350,"MANUALES")</f>
        <v>0</v>
      </c>
      <c r="G92" s="45" t="n">
        <f aca="false">SUMIFS(CONSOLIDADO_INSUMOS!$T$4:$T$350,CONSOLIDADO_INSUMOS!$B$4:$B$350,$A92,CONSOLIDADO_INSUMOS!$H$4:$H$350,"RODANTES")</f>
        <v>0</v>
      </c>
      <c r="H92" s="45" t="n">
        <f aca="false">SUMIFS(CONSOLIDADO_INSUMOS!$T$4:$T$350,CONSOLIDADO_INSUMOS!$B$4:$B$350,$A92,CONSOLIDADO_INSUMOS!$H$4:$H$350,"RECARGAS")</f>
        <v>375925.689583</v>
      </c>
      <c r="I92" s="45" t="n">
        <f aca="false">SUMIFS(CONSOLIDADO_INSUMOS!$T$4:$T$350,CONSOLIDADO_INSUMOS!$B$4:$B$350,$A92,CONSOLIDADO_INSUMOS!$H$4:$H$350,"REVENDIDOS")</f>
        <v>0</v>
      </c>
      <c r="J92" s="45" t="n">
        <f aca="false">F92*ESTACIONALIDAD!$B$14+G92*ESTACIONALIDAD!$B$15+H92*ESTACIONALIDAD!$B$16+I92*ESTACIONALIDAD!$B$17</f>
        <v>35844.3715147584</v>
      </c>
      <c r="K92" s="45" t="n">
        <f aca="false">F92*ESTACIONALIDAD!$C$14+G92*ESTACIONALIDAD!$C$15+H92*ESTACIONALIDAD!$C$16+I92*ESTACIONALIDAD!$C$17</f>
        <v>29681.9605482416</v>
      </c>
      <c r="L92" s="45" t="n">
        <f aca="false">F92*ESTACIONALIDAD!$D$14+G92*ESTACIONALIDAD!$D$15+H92*ESTACIONALIDAD!$D$16+I92*ESTACIONALIDAD!$D$17</f>
        <v>30581.3524501607</v>
      </c>
      <c r="M92" s="45" t="n">
        <f aca="false">F92*ESTACIONALIDAD!$E$14+G92*ESTACIONALIDAD!$E$15+H92*ESTACIONALIDAD!$E$16+I92*ESTACIONALIDAD!$E$17</f>
        <v>29707.2537283899</v>
      </c>
      <c r="N92" s="45" t="n">
        <f aca="false">F92*ESTACIONALIDAD!$F$14+G92*ESTACIONALIDAD!$F$15+H92*ESTACIONALIDAD!$F$16+I92*ESTACIONALIDAD!$F$17</f>
        <v>28807.8618264708</v>
      </c>
      <c r="O92" s="45" t="n">
        <f aca="false">F92*ESTACIONALIDAD!$G$14+G92*ESTACIONALIDAD!$G$15+H92*ESTACIONALIDAD!$G$16+I92*ESTACIONALIDAD!$G$17</f>
        <v>27908.4699245517</v>
      </c>
      <c r="P92" s="45" t="n">
        <f aca="false">F92*ESTACIONALIDAD!$H$14+G92*ESTACIONALIDAD!$H$15+H92*ESTACIONALIDAD!$H$16+I92*ESTACIONALIDAD!$H$17</f>
        <v>29732.5469085381</v>
      </c>
      <c r="Q92" s="45" t="n">
        <f aca="false">F92*ESTACIONALIDAD!$I$14+G92*ESTACIONALIDAD!$I$15+H92*ESTACIONALIDAD!$I$16+I92*ESTACIONALIDAD!$I$17</f>
        <v>30556.0592700124</v>
      </c>
      <c r="R92" s="45" t="n">
        <f aca="false">F92*ESTACIONALIDAD!$J$14+G92*ESTACIONALIDAD!$J$15+H92*ESTACIONALIDAD!$J$16+I92*ESTACIONALIDAD!$J$17</f>
        <v>30556.0592700124</v>
      </c>
      <c r="S92" s="45" t="n">
        <f aca="false">F92*ESTACIONALIDAD!$K$14+G92*ESTACIONALIDAD!$K$15+H92*ESTACIONALIDAD!$K$16+I92*ESTACIONALIDAD!$K$17</f>
        <v>29681.9605482416</v>
      </c>
      <c r="T92" s="45" t="n">
        <f aca="false">F92*ESTACIONALIDAD!$L$14+G92*ESTACIONALIDAD!$L$15+H92*ESTACIONALIDAD!$L$16+I92*ESTACIONALIDAD!$L$17</f>
        <v>29656.6673680934</v>
      </c>
      <c r="U92" s="45" t="n">
        <f aca="false">F92*ESTACIONALIDAD!$M$14+G92*ESTACIONALIDAD!$M$15+H92*ESTACIONALIDAD!$M$16+I92*ESTACIONALIDAD!$M$17</f>
        <v>43211.126225529</v>
      </c>
      <c r="V92" s="45" t="n">
        <f aca="false">MAX(J92:U92)</f>
        <v>43211.126225529</v>
      </c>
      <c r="W92" s="46" t="n">
        <f aca="false">E92/INDEX(P_VAL,MATCH("DH_AÑO",P_ID,0))</f>
        <v>1566.35703992917</v>
      </c>
      <c r="X92" s="46" t="n">
        <f aca="false">V92/INDEX(P_VAL,MATCH("DH_MES",P_ID,0))</f>
        <v>2160.55631127645</v>
      </c>
      <c r="Y92" s="25" t="n">
        <f aca="false">INDEX(C_TAB,MATCH($A92,C_COD,0),12)</f>
        <v>10</v>
      </c>
      <c r="Z92" s="46" t="n">
        <f aca="false">(X92-W92)*Y92</f>
        <v>5941.99271347284</v>
      </c>
      <c r="AA92" s="45" t="n">
        <f aca="false">W92*Y92+Z92</f>
        <v>21605.5631127645</v>
      </c>
      <c r="AB92" s="25" t="n">
        <f aca="false">INDEX(C_TAB,MATCH($A92,C_COD,0),15)</f>
        <v>10</v>
      </c>
      <c r="AC92" s="45" t="n">
        <f aca="false">INDEX(C_TAB,MATCH($A92,C_COD,0),11)</f>
        <v>1000</v>
      </c>
      <c r="AD92" s="45" t="n">
        <f aca="false">MAX(AC92,CEILING(X92*AB92,AC92))</f>
        <v>22000</v>
      </c>
      <c r="AE92" s="25" t="n">
        <f aca="false">AD92/AC92</f>
        <v>22</v>
      </c>
      <c r="AF92" s="45" t="n">
        <f aca="false">Z92+AD92</f>
        <v>27941.9927134728</v>
      </c>
      <c r="AG92" s="25" t="n">
        <f aca="false">ROUNDUP(AF92/AC92,0)</f>
        <v>28</v>
      </c>
      <c r="AH92" s="45" t="n">
        <f aca="false">IF(W92&gt;0,AF92/W92,0)</f>
        <v>17.8388400608436</v>
      </c>
      <c r="AI92" s="25" t="n">
        <f aca="false">IF(AD92&gt;0,E92/AD92,0)</f>
        <v>17.0875313446818</v>
      </c>
      <c r="AJ92" s="25" t="n">
        <f aca="false">INDEX(C_TAB,MATCH($A92,C_COD,0),16)</f>
        <v>50</v>
      </c>
      <c r="AK92" s="47" t="n">
        <f aca="false">IF(AJ92&gt;0,AG92/AJ92,0)</f>
        <v>0.56</v>
      </c>
      <c r="AL92" s="45" t="n">
        <f aca="false">INDEX(C_TAB,MATCH($A92,C_COD,0),17)</f>
        <v>0.73</v>
      </c>
      <c r="AM92" s="45" t="n">
        <f aca="false">AK92*AL92</f>
        <v>0.4088</v>
      </c>
    </row>
    <row r="93" customFormat="false" ht="15" hidden="false" customHeight="false" outlineLevel="0" collapsed="false">
      <c r="A93" s="24" t="s">
        <v>1567</v>
      </c>
      <c r="B93" s="24" t="str">
        <f aca="false">INDEX(C_TAB,MATCH($A93,C_COD,0),2)</f>
        <v>Conjunto de seguridad (disco) de CO₂, IRAM 2736</v>
      </c>
      <c r="C93" s="24" t="str">
        <f aca="false">INDEX(C_TAB,MATCH($A93,C_COD,0),3)</f>
        <v>u</v>
      </c>
      <c r="D93" s="24" t="str">
        <f aca="false">INDEX(C_TAB,MATCH($A93,C_COD,0),6)</f>
        <v>Insumos de recargas</v>
      </c>
      <c r="E93" s="45" t="n">
        <f aca="false">CONSOLIDADO_INSUMOS!T259</f>
        <v>7635.53544464282</v>
      </c>
      <c r="F93" s="45" t="n">
        <f aca="false">SUMIFS(CONSOLIDADO_INSUMOS!$T$4:$T$350,CONSOLIDADO_INSUMOS!$B$4:$B$350,$A93,CONSOLIDADO_INSUMOS!$H$4:$H$350,"MANUALES")</f>
        <v>0</v>
      </c>
      <c r="G93" s="45" t="n">
        <f aca="false">SUMIFS(CONSOLIDADO_INSUMOS!$T$4:$T$350,CONSOLIDADO_INSUMOS!$B$4:$B$350,$A93,CONSOLIDADO_INSUMOS!$H$4:$H$350,"RODANTES")</f>
        <v>0</v>
      </c>
      <c r="H93" s="45" t="n">
        <f aca="false">SUMIFS(CONSOLIDADO_INSUMOS!$T$4:$T$350,CONSOLIDADO_INSUMOS!$B$4:$B$350,$A93,CONSOLIDADO_INSUMOS!$H$4:$H$350,"RECARGAS")</f>
        <v>7635.53544464282</v>
      </c>
      <c r="I93" s="45" t="n">
        <f aca="false">SUMIFS(CONSOLIDADO_INSUMOS!$T$4:$T$350,CONSOLIDADO_INSUMOS!$B$4:$B$350,$A93,CONSOLIDADO_INSUMOS!$H$4:$H$350,"REVENDIDOS")</f>
        <v>0</v>
      </c>
      <c r="J93" s="45" t="n">
        <f aca="false">F93*ESTACIONALIDAD!$B$14+G93*ESTACIONALIDAD!$B$15+H93*ESTACIONALIDAD!$B$16+I93*ESTACIONALIDAD!$B$17</f>
        <v>728.045400396759</v>
      </c>
      <c r="K93" s="45" t="n">
        <f aca="false">F93*ESTACIONALIDAD!$C$14+G93*ESTACIONALIDAD!$C$15+H93*ESTACIONALIDAD!$C$16+I93*ESTACIONALIDAD!$C$17</f>
        <v>602.878888335589</v>
      </c>
      <c r="L93" s="45" t="n">
        <f aca="false">F93*ESTACIONALIDAD!$D$14+G93*ESTACIONALIDAD!$D$15+H93*ESTACIONALIDAD!$D$16+I93*ESTACIONALIDAD!$D$17</f>
        <v>621.146697469212</v>
      </c>
      <c r="M93" s="45" t="n">
        <f aca="false">F93*ESTACIONALIDAD!$E$14+G93*ESTACIONALIDAD!$E$15+H93*ESTACIONALIDAD!$E$16+I93*ESTACIONALIDAD!$E$17</f>
        <v>603.39262543545</v>
      </c>
      <c r="N93" s="45" t="n">
        <f aca="false">F93*ESTACIONALIDAD!$F$14+G93*ESTACIONALIDAD!$F$15+H93*ESTACIONALIDAD!$F$16+I93*ESTACIONALIDAD!$F$17</f>
        <v>585.124816301827</v>
      </c>
      <c r="O93" s="45" t="n">
        <f aca="false">F93*ESTACIONALIDAD!$G$14+G93*ESTACIONALIDAD!$G$15+H93*ESTACIONALIDAD!$G$16+I93*ESTACIONALIDAD!$G$17</f>
        <v>566.857007168205</v>
      </c>
      <c r="P93" s="45" t="n">
        <f aca="false">F93*ESTACIONALIDAD!$H$14+G93*ESTACIONALIDAD!$H$15+H93*ESTACIONALIDAD!$H$16+I93*ESTACIONALIDAD!$H$17</f>
        <v>603.90636253531</v>
      </c>
      <c r="Q93" s="45" t="n">
        <f aca="false">F93*ESTACIONALIDAD!$I$14+G93*ESTACIONALIDAD!$I$15+H93*ESTACIONALIDAD!$I$16+I93*ESTACIONALIDAD!$I$17</f>
        <v>620.632960369351</v>
      </c>
      <c r="R93" s="45" t="n">
        <f aca="false">F93*ESTACIONALIDAD!$J$14+G93*ESTACIONALIDAD!$J$15+H93*ESTACIONALIDAD!$J$16+I93*ESTACIONALIDAD!$J$17</f>
        <v>620.632960369351</v>
      </c>
      <c r="S93" s="45" t="n">
        <f aca="false">F93*ESTACIONALIDAD!$K$14+G93*ESTACIONALIDAD!$K$15+H93*ESTACIONALIDAD!$K$16+I93*ESTACIONALIDAD!$K$17</f>
        <v>602.878888335589</v>
      </c>
      <c r="T93" s="45" t="n">
        <f aca="false">F93*ESTACIONALIDAD!$L$14+G93*ESTACIONALIDAD!$L$15+H93*ESTACIONALIDAD!$L$16+I93*ESTACIONALIDAD!$L$17</f>
        <v>602.365151235728</v>
      </c>
      <c r="U93" s="45" t="n">
        <f aca="false">F93*ESTACIONALIDAD!$M$14+G93*ESTACIONALIDAD!$M$15+H93*ESTACIONALIDAD!$M$16+I93*ESTACIONALIDAD!$M$17</f>
        <v>877.673686690451</v>
      </c>
      <c r="V93" s="45" t="n">
        <f aca="false">MAX(J93:U93)</f>
        <v>877.673686690451</v>
      </c>
      <c r="W93" s="46" t="n">
        <f aca="false">E93/INDEX(P_VAL,MATCH("DH_AÑO",P_ID,0))</f>
        <v>31.8147310193451</v>
      </c>
      <c r="X93" s="46" t="n">
        <f aca="false">V93/INDEX(P_VAL,MATCH("DH_MES",P_ID,0))</f>
        <v>43.8836843345226</v>
      </c>
      <c r="Y93" s="25" t="n">
        <f aca="false">INDEX(C_TAB,MATCH($A93,C_COD,0),12)</f>
        <v>15</v>
      </c>
      <c r="Z93" s="46" t="n">
        <f aca="false">(X93-W93)*Y93</f>
        <v>181.034299727662</v>
      </c>
      <c r="AA93" s="45" t="n">
        <f aca="false">W93*Y93+Z93</f>
        <v>658.255265017838</v>
      </c>
      <c r="AB93" s="25" t="n">
        <f aca="false">INDEX(C_TAB,MATCH($A93,C_COD,0),15)</f>
        <v>10</v>
      </c>
      <c r="AC93" s="45" t="n">
        <f aca="false">INDEX(C_TAB,MATCH($A93,C_COD,0),11)</f>
        <v>100</v>
      </c>
      <c r="AD93" s="45" t="n">
        <f aca="false">MAX(AC93,CEILING(X93*AB93,AC93))</f>
        <v>500</v>
      </c>
      <c r="AE93" s="25" t="n">
        <f aca="false">AD93/AC93</f>
        <v>5</v>
      </c>
      <c r="AF93" s="45" t="n">
        <f aca="false">Z93+AD93</f>
        <v>681.034299727662</v>
      </c>
      <c r="AG93" s="25" t="n">
        <f aca="false">ROUNDUP(AF93/AC93,0)</f>
        <v>7</v>
      </c>
      <c r="AH93" s="45" t="n">
        <f aca="false">IF(W93&gt;0,AF93/W93,0)</f>
        <v>21.4062567215657</v>
      </c>
      <c r="AI93" s="25" t="n">
        <f aca="false">IF(AD93&gt;0,E93/AD93,0)</f>
        <v>15.2710708892856</v>
      </c>
      <c r="AJ93" s="25" t="n">
        <f aca="false">INDEX(C_TAB,MATCH($A93,C_COD,0),16)</f>
        <v>50</v>
      </c>
      <c r="AK93" s="47" t="n">
        <f aca="false">IF(AJ93&gt;0,AG93/AJ93,0)</f>
        <v>0.14</v>
      </c>
      <c r="AL93" s="45" t="n">
        <f aca="false">INDEX(C_TAB,MATCH($A93,C_COD,0),17)</f>
        <v>0.73</v>
      </c>
      <c r="AM93" s="45" t="n">
        <f aca="false">AK93*AL93</f>
        <v>0.1022</v>
      </c>
    </row>
    <row r="94" customFormat="false" ht="15" hidden="false" customHeight="false" outlineLevel="0" collapsed="false">
      <c r="A94" s="24" t="s">
        <v>1619</v>
      </c>
      <c r="B94" s="24" t="str">
        <f aca="false">INDEX(C_TAB,MATCH($A94,C_COD,0),2)</f>
        <v>Faja amarilla de sustituto (≤ 40 mm)</v>
      </c>
      <c r="C94" s="24" t="str">
        <f aca="false">INDEX(C_TAB,MATCH($A94,C_COD,0),3)</f>
        <v>u</v>
      </c>
      <c r="D94" s="24" t="str">
        <f aca="false">INDEX(C_TAB,MATCH($A94,C_COD,0),6)</f>
        <v>Insumos de recargas</v>
      </c>
      <c r="E94" s="45" t="n">
        <f aca="false">CONSOLIDADO_INSUMOS!T261</f>
        <v>451.35</v>
      </c>
      <c r="F94" s="45" t="n">
        <f aca="false">SUMIFS(CONSOLIDADO_INSUMOS!$T$4:$T$350,CONSOLIDADO_INSUMOS!$B$4:$B$350,$A94,CONSOLIDADO_INSUMOS!$H$4:$H$350,"MANUALES")</f>
        <v>0</v>
      </c>
      <c r="G94" s="45" t="n">
        <f aca="false">SUMIFS(CONSOLIDADO_INSUMOS!$T$4:$T$350,CONSOLIDADO_INSUMOS!$B$4:$B$350,$A94,CONSOLIDADO_INSUMOS!$H$4:$H$350,"RODANTES")</f>
        <v>0</v>
      </c>
      <c r="H94" s="45" t="n">
        <f aca="false">SUMIFS(CONSOLIDADO_INSUMOS!$T$4:$T$350,CONSOLIDADO_INSUMOS!$B$4:$B$350,$A94,CONSOLIDADO_INSUMOS!$H$4:$H$350,"RECARGAS")</f>
        <v>451.35</v>
      </c>
      <c r="I94" s="45" t="n">
        <f aca="false">SUMIFS(CONSOLIDADO_INSUMOS!$T$4:$T$350,CONSOLIDADO_INSUMOS!$B$4:$B$350,$A94,CONSOLIDADO_INSUMOS!$H$4:$H$350,"REVENDIDOS")</f>
        <v>0</v>
      </c>
      <c r="J94" s="45" t="n">
        <f aca="false">F94*ESTACIONALIDAD!$B$14+G94*ESTACIONALIDAD!$B$15+H94*ESTACIONALIDAD!$B$16+I94*ESTACIONALIDAD!$B$17</f>
        <v>43.0360508246516</v>
      </c>
      <c r="K94" s="45" t="n">
        <f aca="false">F94*ESTACIONALIDAD!$C$14+G94*ESTACIONALIDAD!$C$15+H94*ESTACIONALIDAD!$C$16+I94*ESTACIONALIDAD!$C$17</f>
        <v>35.6372369983801</v>
      </c>
      <c r="L94" s="45" t="n">
        <f aca="false">F94*ESTACIONALIDAD!$D$14+G94*ESTACIONALIDAD!$D$15+H94*ESTACIONALIDAD!$D$16+I94*ESTACIONALIDAD!$D$17</f>
        <v>36.7170794943305</v>
      </c>
      <c r="M94" s="45" t="n">
        <f aca="false">F94*ESTACIONALIDAD!$E$14+G94*ESTACIONALIDAD!$E$15+H94*ESTACIONALIDAD!$E$16+I94*ESTACIONALIDAD!$E$17</f>
        <v>35.6676049066563</v>
      </c>
      <c r="N94" s="45" t="n">
        <f aca="false">F94*ESTACIONALIDAD!$F$14+G94*ESTACIONALIDAD!$F$15+H94*ESTACIONALIDAD!$F$16+I94*ESTACIONALIDAD!$F$17</f>
        <v>34.5877624107059</v>
      </c>
      <c r="O94" s="45" t="n">
        <f aca="false">F94*ESTACIONALIDAD!$G$14+G94*ESTACIONALIDAD!$G$15+H94*ESTACIONALIDAD!$G$16+I94*ESTACIONALIDAD!$G$17</f>
        <v>33.5079199147556</v>
      </c>
      <c r="P94" s="45" t="n">
        <f aca="false">F94*ESTACIONALIDAD!$H$14+G94*ESTACIONALIDAD!$H$15+H94*ESTACIONALIDAD!$H$16+I94*ESTACIONALIDAD!$H$17</f>
        <v>35.6979728149324</v>
      </c>
      <c r="Q94" s="45" t="n">
        <f aca="false">F94*ESTACIONALIDAD!$I$14+G94*ESTACIONALIDAD!$I$15+H94*ESTACIONALIDAD!$I$16+I94*ESTACIONALIDAD!$I$17</f>
        <v>36.6867115860543</v>
      </c>
      <c r="R94" s="45" t="n">
        <f aca="false">F94*ESTACIONALIDAD!$J$14+G94*ESTACIONALIDAD!$J$15+H94*ESTACIONALIDAD!$J$16+I94*ESTACIONALIDAD!$J$17</f>
        <v>36.6867115860543</v>
      </c>
      <c r="S94" s="45" t="n">
        <f aca="false">F94*ESTACIONALIDAD!$K$14+G94*ESTACIONALIDAD!$K$15+H94*ESTACIONALIDAD!$K$16+I94*ESTACIONALIDAD!$K$17</f>
        <v>35.6372369983801</v>
      </c>
      <c r="T94" s="45" t="n">
        <f aca="false">F94*ESTACIONALIDAD!$L$14+G94*ESTACIONALIDAD!$L$15+H94*ESTACIONALIDAD!$L$16+I94*ESTACIONALIDAD!$L$17</f>
        <v>35.606869090104</v>
      </c>
      <c r="U94" s="45" t="n">
        <f aca="false">F94*ESTACIONALIDAD!$M$14+G94*ESTACIONALIDAD!$M$15+H94*ESTACIONALIDAD!$M$16+I94*ESTACIONALIDAD!$M$17</f>
        <v>51.8808433749947</v>
      </c>
      <c r="V94" s="45" t="n">
        <f aca="false">MAX(J94:U94)</f>
        <v>51.8808433749947</v>
      </c>
      <c r="W94" s="46" t="n">
        <f aca="false">E94/INDEX(P_VAL,MATCH("DH_AÑO",P_ID,0))</f>
        <v>1.880625</v>
      </c>
      <c r="X94" s="46" t="n">
        <f aca="false">V94/INDEX(P_VAL,MATCH("DH_MES",P_ID,0))</f>
        <v>2.59404216874974</v>
      </c>
      <c r="Y94" s="25" t="n">
        <f aca="false">INDEX(C_TAB,MATCH($A94,C_COD,0),12)</f>
        <v>10</v>
      </c>
      <c r="Z94" s="46" t="n">
        <f aca="false">(X94-W94)*Y94</f>
        <v>7.13417168749737</v>
      </c>
      <c r="AA94" s="45" t="n">
        <f aca="false">W94*Y94+Z94</f>
        <v>25.9404216874974</v>
      </c>
      <c r="AB94" s="25" t="n">
        <f aca="false">INDEX(C_TAB,MATCH($A94,C_COD,0),15)</f>
        <v>10</v>
      </c>
      <c r="AC94" s="45" t="n">
        <f aca="false">INDEX(C_TAB,MATCH($A94,C_COD,0),11)</f>
        <v>500</v>
      </c>
      <c r="AD94" s="45" t="n">
        <f aca="false">MAX(AC94,CEILING(X94*AB94,AC94))</f>
        <v>500</v>
      </c>
      <c r="AE94" s="25" t="n">
        <f aca="false">AD94/AC94</f>
        <v>1</v>
      </c>
      <c r="AF94" s="45" t="n">
        <f aca="false">Z94+AD94</f>
        <v>507.134171687497</v>
      </c>
      <c r="AG94" s="25" t="n">
        <f aca="false">ROUNDUP(AF94/AC94,0)</f>
        <v>2</v>
      </c>
      <c r="AH94" s="45" t="n">
        <f aca="false">IF(W94&gt;0,AF94/W94,0)</f>
        <v>269.662570521767</v>
      </c>
      <c r="AI94" s="25" t="n">
        <f aca="false">IF(AD94&gt;0,E94/AD94,0)</f>
        <v>0.9027</v>
      </c>
      <c r="AJ94" s="25" t="n">
        <f aca="false">INDEX(C_TAB,MATCH($A94,C_COD,0),16)</f>
        <v>50</v>
      </c>
      <c r="AK94" s="47" t="n">
        <f aca="false">IF(AJ94&gt;0,AG94/AJ94,0)</f>
        <v>0.04</v>
      </c>
      <c r="AL94" s="45" t="n">
        <f aca="false">INDEX(C_TAB,MATCH($A94,C_COD,0),17)</f>
        <v>0.73</v>
      </c>
      <c r="AM94" s="45" t="n">
        <f aca="false">AK94*AL94</f>
        <v>0.0292</v>
      </c>
    </row>
    <row r="95" customFormat="false" ht="15" hidden="false" customHeight="false" outlineLevel="0" collapsed="false">
      <c r="A95" s="24" t="s">
        <v>1624</v>
      </c>
      <c r="B95" s="24" t="str">
        <f aca="false">INDEX(C_TAB,MATCH($A95,C_COD,0),2)</f>
        <v>Tarjeta DPS «SUSTITUTO HABILITADO»</v>
      </c>
      <c r="C95" s="24" t="str">
        <f aca="false">INDEX(C_TAB,MATCH($A95,C_COD,0),3)</f>
        <v>u</v>
      </c>
      <c r="D95" s="24" t="str">
        <f aca="false">INDEX(C_TAB,MATCH($A95,C_COD,0),6)</f>
        <v>Insumos de recargas</v>
      </c>
      <c r="E95" s="45" t="n">
        <f aca="false">CONSOLIDADO_INSUMOS!T263</f>
        <v>451.35</v>
      </c>
      <c r="F95" s="45" t="n">
        <f aca="false">SUMIFS(CONSOLIDADO_INSUMOS!$T$4:$T$350,CONSOLIDADO_INSUMOS!$B$4:$B$350,$A95,CONSOLIDADO_INSUMOS!$H$4:$H$350,"MANUALES")</f>
        <v>0</v>
      </c>
      <c r="G95" s="45" t="n">
        <f aca="false">SUMIFS(CONSOLIDADO_INSUMOS!$T$4:$T$350,CONSOLIDADO_INSUMOS!$B$4:$B$350,$A95,CONSOLIDADO_INSUMOS!$H$4:$H$350,"RODANTES")</f>
        <v>0</v>
      </c>
      <c r="H95" s="45" t="n">
        <f aca="false">SUMIFS(CONSOLIDADO_INSUMOS!$T$4:$T$350,CONSOLIDADO_INSUMOS!$B$4:$B$350,$A95,CONSOLIDADO_INSUMOS!$H$4:$H$350,"RECARGAS")</f>
        <v>451.35</v>
      </c>
      <c r="I95" s="45" t="n">
        <f aca="false">SUMIFS(CONSOLIDADO_INSUMOS!$T$4:$T$350,CONSOLIDADO_INSUMOS!$B$4:$B$350,$A95,CONSOLIDADO_INSUMOS!$H$4:$H$350,"REVENDIDOS")</f>
        <v>0</v>
      </c>
      <c r="J95" s="45" t="n">
        <f aca="false">F95*ESTACIONALIDAD!$B$14+G95*ESTACIONALIDAD!$B$15+H95*ESTACIONALIDAD!$B$16+I95*ESTACIONALIDAD!$B$17</f>
        <v>43.0360508246516</v>
      </c>
      <c r="K95" s="45" t="n">
        <f aca="false">F95*ESTACIONALIDAD!$C$14+G95*ESTACIONALIDAD!$C$15+H95*ESTACIONALIDAD!$C$16+I95*ESTACIONALIDAD!$C$17</f>
        <v>35.6372369983801</v>
      </c>
      <c r="L95" s="45" t="n">
        <f aca="false">F95*ESTACIONALIDAD!$D$14+G95*ESTACIONALIDAD!$D$15+H95*ESTACIONALIDAD!$D$16+I95*ESTACIONALIDAD!$D$17</f>
        <v>36.7170794943305</v>
      </c>
      <c r="M95" s="45" t="n">
        <f aca="false">F95*ESTACIONALIDAD!$E$14+G95*ESTACIONALIDAD!$E$15+H95*ESTACIONALIDAD!$E$16+I95*ESTACIONALIDAD!$E$17</f>
        <v>35.6676049066563</v>
      </c>
      <c r="N95" s="45" t="n">
        <f aca="false">F95*ESTACIONALIDAD!$F$14+G95*ESTACIONALIDAD!$F$15+H95*ESTACIONALIDAD!$F$16+I95*ESTACIONALIDAD!$F$17</f>
        <v>34.5877624107059</v>
      </c>
      <c r="O95" s="45" t="n">
        <f aca="false">F95*ESTACIONALIDAD!$G$14+G95*ESTACIONALIDAD!$G$15+H95*ESTACIONALIDAD!$G$16+I95*ESTACIONALIDAD!$G$17</f>
        <v>33.5079199147556</v>
      </c>
      <c r="P95" s="45" t="n">
        <f aca="false">F95*ESTACIONALIDAD!$H$14+G95*ESTACIONALIDAD!$H$15+H95*ESTACIONALIDAD!$H$16+I95*ESTACIONALIDAD!$H$17</f>
        <v>35.6979728149324</v>
      </c>
      <c r="Q95" s="45" t="n">
        <f aca="false">F95*ESTACIONALIDAD!$I$14+G95*ESTACIONALIDAD!$I$15+H95*ESTACIONALIDAD!$I$16+I95*ESTACIONALIDAD!$I$17</f>
        <v>36.6867115860543</v>
      </c>
      <c r="R95" s="45" t="n">
        <f aca="false">F95*ESTACIONALIDAD!$J$14+G95*ESTACIONALIDAD!$J$15+H95*ESTACIONALIDAD!$J$16+I95*ESTACIONALIDAD!$J$17</f>
        <v>36.6867115860543</v>
      </c>
      <c r="S95" s="45" t="n">
        <f aca="false">F95*ESTACIONALIDAD!$K$14+G95*ESTACIONALIDAD!$K$15+H95*ESTACIONALIDAD!$K$16+I95*ESTACIONALIDAD!$K$17</f>
        <v>35.6372369983801</v>
      </c>
      <c r="T95" s="45" t="n">
        <f aca="false">F95*ESTACIONALIDAD!$L$14+G95*ESTACIONALIDAD!$L$15+H95*ESTACIONALIDAD!$L$16+I95*ESTACIONALIDAD!$L$17</f>
        <v>35.606869090104</v>
      </c>
      <c r="U95" s="45" t="n">
        <f aca="false">F95*ESTACIONALIDAD!$M$14+G95*ESTACIONALIDAD!$M$15+H95*ESTACIONALIDAD!$M$16+I95*ESTACIONALIDAD!$M$17</f>
        <v>51.8808433749947</v>
      </c>
      <c r="V95" s="45" t="n">
        <f aca="false">MAX(J95:U95)</f>
        <v>51.8808433749947</v>
      </c>
      <c r="W95" s="46" t="n">
        <f aca="false">E95/INDEX(P_VAL,MATCH("DH_AÑO",P_ID,0))</f>
        <v>1.880625</v>
      </c>
      <c r="X95" s="46" t="n">
        <f aca="false">V95/INDEX(P_VAL,MATCH("DH_MES",P_ID,0))</f>
        <v>2.59404216874974</v>
      </c>
      <c r="Y95" s="25" t="n">
        <f aca="false">INDEX(C_TAB,MATCH($A95,C_COD,0),12)</f>
        <v>10</v>
      </c>
      <c r="Z95" s="46" t="n">
        <f aca="false">(X95-W95)*Y95</f>
        <v>7.13417168749737</v>
      </c>
      <c r="AA95" s="45" t="n">
        <f aca="false">W95*Y95+Z95</f>
        <v>25.9404216874974</v>
      </c>
      <c r="AB95" s="25" t="n">
        <f aca="false">INDEX(C_TAB,MATCH($A95,C_COD,0),15)</f>
        <v>10</v>
      </c>
      <c r="AC95" s="45" t="n">
        <f aca="false">INDEX(C_TAB,MATCH($A95,C_COD,0),11)</f>
        <v>100</v>
      </c>
      <c r="AD95" s="45" t="n">
        <f aca="false">MAX(AC95,CEILING(X95*AB95,AC95))</f>
        <v>100</v>
      </c>
      <c r="AE95" s="25" t="n">
        <f aca="false">AD95/AC95</f>
        <v>1</v>
      </c>
      <c r="AF95" s="45" t="n">
        <f aca="false">Z95+AD95</f>
        <v>107.134171687497</v>
      </c>
      <c r="AG95" s="25" t="n">
        <f aca="false">ROUNDUP(AF95/AC95,0)</f>
        <v>2</v>
      </c>
      <c r="AH95" s="45" t="n">
        <f aca="false">IF(W95&gt;0,AF95/W95,0)</f>
        <v>56.967322931205</v>
      </c>
      <c r="AI95" s="25" t="n">
        <f aca="false">IF(AD95&gt;0,E95/AD95,0)</f>
        <v>4.5135</v>
      </c>
      <c r="AJ95" s="25" t="n">
        <f aca="false">INDEX(C_TAB,MATCH($A95,C_COD,0),16)</f>
        <v>50</v>
      </c>
      <c r="AK95" s="47" t="n">
        <f aca="false">IF(AJ95&gt;0,AG95/AJ95,0)</f>
        <v>0.04</v>
      </c>
      <c r="AL95" s="45" t="n">
        <f aca="false">INDEX(C_TAB,MATCH($A95,C_COD,0),17)</f>
        <v>0.73</v>
      </c>
      <c r="AM95" s="45" t="n">
        <f aca="false">AK95*AL95</f>
        <v>0.0292</v>
      </c>
    </row>
    <row r="96" customFormat="false" ht="15" hidden="false" customHeight="false" outlineLevel="0" collapsed="false">
      <c r="A96" s="24" t="s">
        <v>1628</v>
      </c>
      <c r="B96" s="24" t="str">
        <f aca="false">INDEX(C_TAB,MATCH($A96,C_COD,0),2)</f>
        <v>Tarjeta AGC con «Es sustituto»</v>
      </c>
      <c r="C96" s="24" t="str">
        <f aca="false">INDEX(C_TAB,MATCH($A96,C_COD,0),3)</f>
        <v>u</v>
      </c>
      <c r="D96" s="24" t="str">
        <f aca="false">INDEX(C_TAB,MATCH($A96,C_COD,0),6)</f>
        <v>Insumos de recargas</v>
      </c>
      <c r="E96" s="45" t="n">
        <f aca="false">CONSOLIDADO_INSUMOS!T265</f>
        <v>451.35</v>
      </c>
      <c r="F96" s="45" t="n">
        <f aca="false">SUMIFS(CONSOLIDADO_INSUMOS!$T$4:$T$350,CONSOLIDADO_INSUMOS!$B$4:$B$350,$A96,CONSOLIDADO_INSUMOS!$H$4:$H$350,"MANUALES")</f>
        <v>0</v>
      </c>
      <c r="G96" s="45" t="n">
        <f aca="false">SUMIFS(CONSOLIDADO_INSUMOS!$T$4:$T$350,CONSOLIDADO_INSUMOS!$B$4:$B$350,$A96,CONSOLIDADO_INSUMOS!$H$4:$H$350,"RODANTES")</f>
        <v>0</v>
      </c>
      <c r="H96" s="45" t="n">
        <f aca="false">SUMIFS(CONSOLIDADO_INSUMOS!$T$4:$T$350,CONSOLIDADO_INSUMOS!$B$4:$B$350,$A96,CONSOLIDADO_INSUMOS!$H$4:$H$350,"RECARGAS")</f>
        <v>451.35</v>
      </c>
      <c r="I96" s="45" t="n">
        <f aca="false">SUMIFS(CONSOLIDADO_INSUMOS!$T$4:$T$350,CONSOLIDADO_INSUMOS!$B$4:$B$350,$A96,CONSOLIDADO_INSUMOS!$H$4:$H$350,"REVENDIDOS")</f>
        <v>0</v>
      </c>
      <c r="J96" s="45" t="n">
        <f aca="false">F96*ESTACIONALIDAD!$B$14+G96*ESTACIONALIDAD!$B$15+H96*ESTACIONALIDAD!$B$16+I96*ESTACIONALIDAD!$B$17</f>
        <v>43.0360508246516</v>
      </c>
      <c r="K96" s="45" t="n">
        <f aca="false">F96*ESTACIONALIDAD!$C$14+G96*ESTACIONALIDAD!$C$15+H96*ESTACIONALIDAD!$C$16+I96*ESTACIONALIDAD!$C$17</f>
        <v>35.6372369983801</v>
      </c>
      <c r="L96" s="45" t="n">
        <f aca="false">F96*ESTACIONALIDAD!$D$14+G96*ESTACIONALIDAD!$D$15+H96*ESTACIONALIDAD!$D$16+I96*ESTACIONALIDAD!$D$17</f>
        <v>36.7170794943305</v>
      </c>
      <c r="M96" s="45" t="n">
        <f aca="false">F96*ESTACIONALIDAD!$E$14+G96*ESTACIONALIDAD!$E$15+H96*ESTACIONALIDAD!$E$16+I96*ESTACIONALIDAD!$E$17</f>
        <v>35.6676049066563</v>
      </c>
      <c r="N96" s="45" t="n">
        <f aca="false">F96*ESTACIONALIDAD!$F$14+G96*ESTACIONALIDAD!$F$15+H96*ESTACIONALIDAD!$F$16+I96*ESTACIONALIDAD!$F$17</f>
        <v>34.5877624107059</v>
      </c>
      <c r="O96" s="45" t="n">
        <f aca="false">F96*ESTACIONALIDAD!$G$14+G96*ESTACIONALIDAD!$G$15+H96*ESTACIONALIDAD!$G$16+I96*ESTACIONALIDAD!$G$17</f>
        <v>33.5079199147556</v>
      </c>
      <c r="P96" s="45" t="n">
        <f aca="false">F96*ESTACIONALIDAD!$H$14+G96*ESTACIONALIDAD!$H$15+H96*ESTACIONALIDAD!$H$16+I96*ESTACIONALIDAD!$H$17</f>
        <v>35.6979728149324</v>
      </c>
      <c r="Q96" s="45" t="n">
        <f aca="false">F96*ESTACIONALIDAD!$I$14+G96*ESTACIONALIDAD!$I$15+H96*ESTACIONALIDAD!$I$16+I96*ESTACIONALIDAD!$I$17</f>
        <v>36.6867115860543</v>
      </c>
      <c r="R96" s="45" t="n">
        <f aca="false">F96*ESTACIONALIDAD!$J$14+G96*ESTACIONALIDAD!$J$15+H96*ESTACIONALIDAD!$J$16+I96*ESTACIONALIDAD!$J$17</f>
        <v>36.6867115860543</v>
      </c>
      <c r="S96" s="45" t="n">
        <f aca="false">F96*ESTACIONALIDAD!$K$14+G96*ESTACIONALIDAD!$K$15+H96*ESTACIONALIDAD!$K$16+I96*ESTACIONALIDAD!$K$17</f>
        <v>35.6372369983801</v>
      </c>
      <c r="T96" s="45" t="n">
        <f aca="false">F96*ESTACIONALIDAD!$L$14+G96*ESTACIONALIDAD!$L$15+H96*ESTACIONALIDAD!$L$16+I96*ESTACIONALIDAD!$L$17</f>
        <v>35.606869090104</v>
      </c>
      <c r="U96" s="45" t="n">
        <f aca="false">F96*ESTACIONALIDAD!$M$14+G96*ESTACIONALIDAD!$M$15+H96*ESTACIONALIDAD!$M$16+I96*ESTACIONALIDAD!$M$17</f>
        <v>51.8808433749947</v>
      </c>
      <c r="V96" s="45" t="n">
        <f aca="false">MAX(J96:U96)</f>
        <v>51.8808433749947</v>
      </c>
      <c r="W96" s="46" t="n">
        <f aca="false">E96/INDEX(P_VAL,MATCH("DH_AÑO",P_ID,0))</f>
        <v>1.880625</v>
      </c>
      <c r="X96" s="46" t="n">
        <f aca="false">V96/INDEX(P_VAL,MATCH("DH_MES",P_ID,0))</f>
        <v>2.59404216874974</v>
      </c>
      <c r="Y96" s="25" t="n">
        <f aca="false">INDEX(C_TAB,MATCH($A96,C_COD,0),12)</f>
        <v>10</v>
      </c>
      <c r="Z96" s="46" t="n">
        <f aca="false">(X96-W96)*Y96</f>
        <v>7.13417168749737</v>
      </c>
      <c r="AA96" s="45" t="n">
        <f aca="false">W96*Y96+Z96</f>
        <v>25.9404216874974</v>
      </c>
      <c r="AB96" s="25" t="n">
        <f aca="false">INDEX(C_TAB,MATCH($A96,C_COD,0),15)</f>
        <v>10</v>
      </c>
      <c r="AC96" s="45" t="n">
        <f aca="false">INDEX(C_TAB,MATCH($A96,C_COD,0),11)</f>
        <v>100</v>
      </c>
      <c r="AD96" s="45" t="n">
        <f aca="false">MAX(AC96,CEILING(X96*AB96,AC96))</f>
        <v>100</v>
      </c>
      <c r="AE96" s="25" t="n">
        <f aca="false">AD96/AC96</f>
        <v>1</v>
      </c>
      <c r="AF96" s="45" t="n">
        <f aca="false">Z96+AD96</f>
        <v>107.134171687497</v>
      </c>
      <c r="AG96" s="25" t="n">
        <f aca="false">ROUNDUP(AF96/AC96,0)</f>
        <v>2</v>
      </c>
      <c r="AH96" s="45" t="n">
        <f aca="false">IF(W96&gt;0,AF96/W96,0)</f>
        <v>56.967322931205</v>
      </c>
      <c r="AI96" s="25" t="n">
        <f aca="false">IF(AD96&gt;0,E96/AD96,0)</f>
        <v>4.5135</v>
      </c>
      <c r="AJ96" s="25" t="n">
        <f aca="false">INDEX(C_TAB,MATCH($A96,C_COD,0),16)</f>
        <v>50</v>
      </c>
      <c r="AK96" s="47" t="n">
        <f aca="false">IF(AJ96&gt;0,AG96/AJ96,0)</f>
        <v>0.04</v>
      </c>
      <c r="AL96" s="45" t="n">
        <f aca="false">INDEX(C_TAB,MATCH($A96,C_COD,0),17)</f>
        <v>0.73</v>
      </c>
      <c r="AM96" s="45" t="n">
        <f aca="false">AK96*AL96</f>
        <v>0.0292</v>
      </c>
    </row>
    <row r="97" customFormat="false" ht="15" hidden="false" customHeight="false" outlineLevel="0" collapsed="false">
      <c r="A97" s="24" t="s">
        <v>1632</v>
      </c>
      <c r="B97" s="24" t="str">
        <f aca="false">INDEX(C_TAB,MATCH($A97,C_COD,0),2)</f>
        <v>Impresos (protocolo de ensayo, remito de préstamo)</v>
      </c>
      <c r="C97" s="24" t="str">
        <f aca="false">INDEX(C_TAB,MATCH($A97,C_COD,0),3)</f>
        <v>u</v>
      </c>
      <c r="D97" s="24" t="str">
        <f aca="false">INDEX(C_TAB,MATCH($A97,C_COD,0),6)</f>
        <v>Identificación</v>
      </c>
      <c r="E97" s="45" t="n">
        <f aca="false">CONSOLIDADO_INSUMOS!T267</f>
        <v>213881.35</v>
      </c>
      <c r="F97" s="45" t="n">
        <f aca="false">SUMIFS(CONSOLIDADO_INSUMOS!$T$4:$T$350,CONSOLIDADO_INSUMOS!$B$4:$B$350,$A97,CONSOLIDADO_INSUMOS!$H$4:$H$350,"MANUALES")</f>
        <v>212143</v>
      </c>
      <c r="G97" s="45" t="n">
        <f aca="false">SUMIFS(CONSOLIDADO_INSUMOS!$T$4:$T$350,CONSOLIDADO_INSUMOS!$B$4:$B$350,$A97,CONSOLIDADO_INSUMOS!$H$4:$H$350,"RODANTES")</f>
        <v>1287</v>
      </c>
      <c r="H97" s="45" t="n">
        <f aca="false">SUMIFS(CONSOLIDADO_INSUMOS!$T$4:$T$350,CONSOLIDADO_INSUMOS!$B$4:$B$350,$A97,CONSOLIDADO_INSUMOS!$H$4:$H$350,"RECARGAS")</f>
        <v>451.35</v>
      </c>
      <c r="I97" s="45" t="n">
        <f aca="false">SUMIFS(CONSOLIDADO_INSUMOS!$T$4:$T$350,CONSOLIDADO_INSUMOS!$B$4:$B$350,$A97,CONSOLIDADO_INSUMOS!$H$4:$H$350,"REVENDIDOS")</f>
        <v>0</v>
      </c>
      <c r="J97" s="45" t="n">
        <f aca="false">F97*ESTACIONALIDAD!$B$14+G97*ESTACIONALIDAD!$B$15+H97*ESTACIONALIDAD!$B$16+I97*ESTACIONALIDAD!$B$17</f>
        <v>24374.7458542651</v>
      </c>
      <c r="K97" s="45" t="n">
        <f aca="false">F97*ESTACIONALIDAD!$C$14+G97*ESTACIONALIDAD!$C$15+H97*ESTACIONALIDAD!$C$16+I97*ESTACIONALIDAD!$C$17</f>
        <v>18607.6096387186</v>
      </c>
      <c r="L97" s="45" t="n">
        <f aca="false">F97*ESTACIONALIDAD!$D$14+G97*ESTACIONALIDAD!$D$15+H97*ESTACIONALIDAD!$D$16+I97*ESTACIONALIDAD!$D$17</f>
        <v>17432.6983786342</v>
      </c>
      <c r="M97" s="45" t="n">
        <f aca="false">F97*ESTACIONALIDAD!$E$14+G97*ESTACIONALIDAD!$E$15+H97*ESTACIONALIDAD!$E$16+I97*ESTACIONALIDAD!$E$17</f>
        <v>16679.6452031864</v>
      </c>
      <c r="N97" s="45" t="n">
        <f aca="false">F97*ESTACIONALIDAD!$F$14+G97*ESTACIONALIDAD!$F$15+H97*ESTACIONALIDAD!$F$16+I97*ESTACIONALIDAD!$F$17</f>
        <v>15617.8503606905</v>
      </c>
      <c r="O97" s="45" t="n">
        <f aca="false">F97*ESTACIONALIDAD!$G$14+G97*ESTACIONALIDAD!$G$15+H97*ESTACIONALIDAD!$G$16+I97*ESTACIONALIDAD!$G$17</f>
        <v>15295.1892190546</v>
      </c>
      <c r="P97" s="45" t="n">
        <f aca="false">F97*ESTACIONALIDAD!$H$14+G97*ESTACIONALIDAD!$H$15+H97*ESTACIONALIDAD!$H$16+I97*ESTACIONALIDAD!$H$17</f>
        <v>16370.9642719548</v>
      </c>
      <c r="Q97" s="45" t="n">
        <f aca="false">F97*ESTACIONALIDAD!$I$14+G97*ESTACIONALIDAD!$I$15+H97*ESTACIONALIDAD!$I$16+I97*ESTACIONALIDAD!$I$17</f>
        <v>16371.9530107259</v>
      </c>
      <c r="R97" s="45" t="n">
        <f aca="false">F97*ESTACIONALIDAD!$J$14+G97*ESTACIONALIDAD!$J$15+H97*ESTACIONALIDAD!$J$16+I97*ESTACIONALIDAD!$J$17</f>
        <v>16365.5180107259</v>
      </c>
      <c r="S97" s="45" t="n">
        <f aca="false">F97*ESTACIONALIDAD!$K$14+G97*ESTACIONALIDAD!$K$15+H97*ESTACIONALIDAD!$K$16+I97*ESTACIONALIDAD!$K$17</f>
        <v>16042.8872369984</v>
      </c>
      <c r="T97" s="45" t="n">
        <f aca="false">F97*ESTACIONALIDAD!$L$14+G97*ESTACIONALIDAD!$L$15+H97*ESTACIONALIDAD!$L$16+I97*ESTACIONALIDAD!$L$17</f>
        <v>15727.7105699502</v>
      </c>
      <c r="U97" s="45" t="n">
        <f aca="false">F97*ESTACIONALIDAD!$M$14+G97*ESTACIONALIDAD!$M$15+H97*ESTACIONALIDAD!$M$16+I97*ESTACIONALIDAD!$M$17</f>
        <v>24994.5782450952</v>
      </c>
      <c r="V97" s="45" t="n">
        <f aca="false">MAX(J97:U97)</f>
        <v>24994.5782450952</v>
      </c>
      <c r="W97" s="46" t="n">
        <f aca="false">E97/INDEX(P_VAL,MATCH("DH_AÑO",P_ID,0))</f>
        <v>891.172291666667</v>
      </c>
      <c r="X97" s="46" t="n">
        <f aca="false">V97/INDEX(P_VAL,MATCH("DH_MES",P_ID,0))</f>
        <v>1249.72891225476</v>
      </c>
      <c r="Y97" s="25" t="n">
        <f aca="false">INDEX(C_TAB,MATCH($A97,C_COD,0),12)</f>
        <v>5</v>
      </c>
      <c r="Z97" s="46" t="n">
        <f aca="false">(X97-W97)*Y97</f>
        <v>1792.78310294047</v>
      </c>
      <c r="AA97" s="45" t="n">
        <f aca="false">W97*Y97+Z97</f>
        <v>6248.64456127381</v>
      </c>
      <c r="AB97" s="25" t="n">
        <f aca="false">INDEX(C_TAB,MATCH($A97,C_COD,0),15)</f>
        <v>10</v>
      </c>
      <c r="AC97" s="45" t="n">
        <f aca="false">INDEX(C_TAB,MATCH($A97,C_COD,0),11)</f>
        <v>500</v>
      </c>
      <c r="AD97" s="45" t="n">
        <f aca="false">MAX(AC97,CEILING(X97*AB97,AC97))</f>
        <v>12500</v>
      </c>
      <c r="AE97" s="25" t="n">
        <f aca="false">AD97/AC97</f>
        <v>25</v>
      </c>
      <c r="AF97" s="45" t="n">
        <f aca="false">Z97+AD97</f>
        <v>14292.7831029405</v>
      </c>
      <c r="AG97" s="25" t="n">
        <f aca="false">ROUNDUP(AF97/AC97,0)</f>
        <v>29</v>
      </c>
      <c r="AH97" s="45" t="n">
        <f aca="false">IF(W97&gt;0,AF97/W97,0)</f>
        <v>16.0381816586893</v>
      </c>
      <c r="AI97" s="25" t="n">
        <f aca="false">IF(AD97&gt;0,E97/AD97,0)</f>
        <v>17.110508</v>
      </c>
      <c r="AJ97" s="25" t="n">
        <f aca="false">INDEX(C_TAB,MATCH($A97,C_COD,0),16)</f>
        <v>50</v>
      </c>
      <c r="AK97" s="47" t="n">
        <f aca="false">IF(AJ97&gt;0,AG97/AJ97,0)</f>
        <v>0.58</v>
      </c>
      <c r="AL97" s="45" t="n">
        <f aca="false">INDEX(C_TAB,MATCH($A97,C_COD,0),17)</f>
        <v>0.73</v>
      </c>
      <c r="AM97" s="45" t="n">
        <f aca="false">AK97*AL97</f>
        <v>0.4234</v>
      </c>
    </row>
    <row r="98" customFormat="false" ht="15" hidden="false" customHeight="false" outlineLevel="0" collapsed="false">
      <c r="A98" s="24" t="s">
        <v>1530</v>
      </c>
      <c r="B98" s="24" t="str">
        <f aca="false">INDEX(C_TAB,MATCH($A98,C_COD,0),2)</f>
        <v>Polvo BC (IRAM 3566), recargas</v>
      </c>
      <c r="C98" s="24" t="str">
        <f aca="false">INDEX(C_TAB,MATCH($A98,C_COD,0),3)</f>
        <v>kg</v>
      </c>
      <c r="D98" s="24" t="str">
        <f aca="false">INDEX(C_TAB,MATCH($A98,C_COD,0),6)</f>
        <v>Depósito de polvo químico</v>
      </c>
      <c r="E98" s="45" t="n">
        <f aca="false">CONSOLIDADO_INSUMOS!T271</f>
        <v>189.998694987761</v>
      </c>
      <c r="F98" s="45" t="n">
        <f aca="false">SUMIFS(CONSOLIDADO_INSUMOS!$T$4:$T$350,CONSOLIDADO_INSUMOS!$B$4:$B$350,$A98,CONSOLIDADO_INSUMOS!$H$4:$H$350,"MANUALES")</f>
        <v>0</v>
      </c>
      <c r="G98" s="45" t="n">
        <f aca="false">SUMIFS(CONSOLIDADO_INSUMOS!$T$4:$T$350,CONSOLIDADO_INSUMOS!$B$4:$B$350,$A98,CONSOLIDADO_INSUMOS!$H$4:$H$350,"RODANTES")</f>
        <v>0</v>
      </c>
      <c r="H98" s="45" t="n">
        <f aca="false">SUMIFS(CONSOLIDADO_INSUMOS!$T$4:$T$350,CONSOLIDADO_INSUMOS!$B$4:$B$350,$A98,CONSOLIDADO_INSUMOS!$H$4:$H$350,"RECARGAS")</f>
        <v>189.998694987761</v>
      </c>
      <c r="I98" s="45" t="n">
        <f aca="false">SUMIFS(CONSOLIDADO_INSUMOS!$T$4:$T$350,CONSOLIDADO_INSUMOS!$B$4:$B$350,$A98,CONSOLIDADO_INSUMOS!$H$4:$H$350,"REVENDIDOS")</f>
        <v>0</v>
      </c>
      <c r="J98" s="45" t="n">
        <f aca="false">F98*ESTACIONALIDAD!$B$14+G98*ESTACIONALIDAD!$B$15+H98*ESTACIONALIDAD!$B$16+I98*ESTACIONALIDAD!$B$17</f>
        <v>18.1163032992373</v>
      </c>
      <c r="K98" s="45" t="n">
        <f aca="false">F98*ESTACIONALIDAD!$C$14+G98*ESTACIONALIDAD!$C$15+H98*ESTACIONALIDAD!$C$16+I98*ESTACIONALIDAD!$C$17</f>
        <v>15.0017248757323</v>
      </c>
      <c r="L98" s="45" t="n">
        <f aca="false">F98*ESTACIONALIDAD!$D$14+G98*ESTACIONALIDAD!$D$15+H98*ESTACIONALIDAD!$D$16+I98*ESTACIONALIDAD!$D$17</f>
        <v>15.4562915424497</v>
      </c>
      <c r="M98" s="45" t="n">
        <f aca="false">F98*ESTACIONALIDAD!$E$14+G98*ESTACIONALIDAD!$E$15+H98*ESTACIONALIDAD!$E$16+I98*ESTACIONALIDAD!$E$17</f>
        <v>15.0145084426803</v>
      </c>
      <c r="N98" s="45" t="n">
        <f aca="false">F98*ESTACIONALIDAD!$F$14+G98*ESTACIONALIDAD!$F$15+H98*ESTACIONALIDAD!$F$16+I98*ESTACIONALIDAD!$F$17</f>
        <v>14.5599417759629</v>
      </c>
      <c r="O98" s="45" t="n">
        <f aca="false">F98*ESTACIONALIDAD!$G$14+G98*ESTACIONALIDAD!$G$15+H98*ESTACIONALIDAD!$G$16+I98*ESTACIONALIDAD!$G$17</f>
        <v>14.1053751092455</v>
      </c>
      <c r="P98" s="45" t="n">
        <f aca="false">F98*ESTACIONALIDAD!$H$14+G98*ESTACIONALIDAD!$H$15+H98*ESTACIONALIDAD!$H$16+I98*ESTACIONALIDAD!$H$17</f>
        <v>15.0272920096283</v>
      </c>
      <c r="Q98" s="45" t="n">
        <f aca="false">F98*ESTACIONALIDAD!$I$14+G98*ESTACIONALIDAD!$I$15+H98*ESTACIONALIDAD!$I$16+I98*ESTACIONALIDAD!$I$17</f>
        <v>15.4435079755017</v>
      </c>
      <c r="R98" s="45" t="n">
        <f aca="false">F98*ESTACIONALIDAD!$J$14+G98*ESTACIONALIDAD!$J$15+H98*ESTACIONALIDAD!$J$16+I98*ESTACIONALIDAD!$J$17</f>
        <v>15.4435079755017</v>
      </c>
      <c r="S98" s="45" t="n">
        <f aca="false">F98*ESTACIONALIDAD!$K$14+G98*ESTACIONALIDAD!$K$15+H98*ESTACIONALIDAD!$K$16+I98*ESTACIONALIDAD!$K$17</f>
        <v>15.0017248757323</v>
      </c>
      <c r="T98" s="45" t="n">
        <f aca="false">F98*ESTACIONALIDAD!$L$14+G98*ESTACIONALIDAD!$L$15+H98*ESTACIONALIDAD!$L$16+I98*ESTACIONALIDAD!$L$17</f>
        <v>14.9889413087843</v>
      </c>
      <c r="U98" s="45" t="n">
        <f aca="false">F98*ESTACIONALIDAD!$M$14+G98*ESTACIONALIDAD!$M$15+H98*ESTACIONALIDAD!$M$16+I98*ESTACIONALIDAD!$M$17</f>
        <v>21.8395757973046</v>
      </c>
      <c r="V98" s="45" t="n">
        <f aca="false">MAX(J98:U98)</f>
        <v>21.8395757973046</v>
      </c>
      <c r="W98" s="46" t="n">
        <f aca="false">E98/INDEX(P_VAL,MATCH("DH_AÑO",P_ID,0))</f>
        <v>0.791661229115671</v>
      </c>
      <c r="X98" s="46" t="n">
        <f aca="false">V98/INDEX(P_VAL,MATCH("DH_MES",P_ID,0))</f>
        <v>1.09197878986523</v>
      </c>
      <c r="Y98" s="25" t="n">
        <f aca="false">INDEX(C_TAB,MATCH($A98,C_COD,0),12)</f>
        <v>7</v>
      </c>
      <c r="Z98" s="46" t="n">
        <f aca="false">(X98-W98)*Y98</f>
        <v>2.10222292524691</v>
      </c>
      <c r="AA98" s="45" t="n">
        <f aca="false">W98*Y98+Z98</f>
        <v>7.64385152905661</v>
      </c>
      <c r="AB98" s="25" t="n">
        <f aca="false">INDEX(C_TAB,MATCH($A98,C_COD,0),15)</f>
        <v>10</v>
      </c>
      <c r="AC98" s="45" t="n">
        <f aca="false">INDEX(C_TAB,MATCH($A98,C_COD,0),11)</f>
        <v>25</v>
      </c>
      <c r="AD98" s="45" t="n">
        <f aca="false">MAX(AC98,CEILING(X98*AB98,AC98))</f>
        <v>25</v>
      </c>
      <c r="AE98" s="25" t="n">
        <f aca="false">AD98/AC98</f>
        <v>1</v>
      </c>
      <c r="AF98" s="45" t="n">
        <f aca="false">Z98+AD98</f>
        <v>27.1022229252469</v>
      </c>
      <c r="AG98" s="25" t="n">
        <f aca="false">ROUNDUP(AF98/AC98,0)</f>
        <v>2</v>
      </c>
      <c r="AH98" s="45" t="n">
        <f aca="false">IF(W98&gt;0,AF98/W98,0)</f>
        <v>34.2346219929471</v>
      </c>
      <c r="AI98" s="25" t="n">
        <f aca="false">IF(AD98&gt;0,E98/AD98,0)</f>
        <v>7.59994779951044</v>
      </c>
      <c r="AJ98" s="25" t="n">
        <f aca="false">INDEX(C_TAB,MATCH($A98,C_COD,0),16)</f>
        <v>40</v>
      </c>
      <c r="AK98" s="47" t="n">
        <f aca="false">IF(AJ98&gt;0,AG98/AJ98,0)</f>
        <v>0.05</v>
      </c>
      <c r="AL98" s="45" t="n">
        <f aca="false">INDEX(C_TAB,MATCH($A98,C_COD,0),17)</f>
        <v>1.2</v>
      </c>
      <c r="AM98" s="45" t="n">
        <f aca="false">AK98*AL98</f>
        <v>0.06</v>
      </c>
    </row>
    <row r="99" customFormat="false" ht="15" hidden="false" customHeight="false" outlineLevel="0" collapsed="false">
      <c r="A99" s="24" t="s">
        <v>1603</v>
      </c>
      <c r="B99" s="24" t="str">
        <f aca="false">INDEX(C_TAB,MATCH($A99,C_COD,0),2)</f>
        <v>Polvo para metales combustibles clase D, recargas</v>
      </c>
      <c r="C99" s="24" t="str">
        <f aca="false">INDEX(C_TAB,MATCH($A99,C_COD,0),3)</f>
        <v>kg</v>
      </c>
      <c r="D99" s="24" t="str">
        <f aca="false">INDEX(C_TAB,MATCH($A99,C_COD,0),6)</f>
        <v>Depósito de polvo químico</v>
      </c>
      <c r="E99" s="45" t="n">
        <f aca="false">CONSOLIDADO_INSUMOS!T273</f>
        <v>255.602815856663</v>
      </c>
      <c r="F99" s="45" t="n">
        <f aca="false">SUMIFS(CONSOLIDADO_INSUMOS!$T$4:$T$350,CONSOLIDADO_INSUMOS!$B$4:$B$350,$A99,CONSOLIDADO_INSUMOS!$H$4:$H$350,"MANUALES")</f>
        <v>0</v>
      </c>
      <c r="G99" s="45" t="n">
        <f aca="false">SUMIFS(CONSOLIDADO_INSUMOS!$T$4:$T$350,CONSOLIDADO_INSUMOS!$B$4:$B$350,$A99,CONSOLIDADO_INSUMOS!$H$4:$H$350,"RODANTES")</f>
        <v>0</v>
      </c>
      <c r="H99" s="45" t="n">
        <f aca="false">SUMIFS(CONSOLIDADO_INSUMOS!$T$4:$T$350,CONSOLIDADO_INSUMOS!$B$4:$B$350,$A99,CONSOLIDADO_INSUMOS!$H$4:$H$350,"RECARGAS")</f>
        <v>255.602815856663</v>
      </c>
      <c r="I99" s="45" t="n">
        <f aca="false">SUMIFS(CONSOLIDADO_INSUMOS!$T$4:$T$350,CONSOLIDADO_INSUMOS!$B$4:$B$350,$A99,CONSOLIDADO_INSUMOS!$H$4:$H$350,"REVENDIDOS")</f>
        <v>0</v>
      </c>
      <c r="J99" s="45" t="n">
        <f aca="false">F99*ESTACIONALIDAD!$B$14+G99*ESTACIONALIDAD!$B$15+H99*ESTACIONALIDAD!$B$16+I99*ESTACIONALIDAD!$B$17</f>
        <v>24.3716312709237</v>
      </c>
      <c r="K99" s="45" t="n">
        <f aca="false">F99*ESTACIONALIDAD!$C$14+G99*ESTACIONALIDAD!$C$15+H99*ESTACIONALIDAD!$C$16+I99*ESTACIONALIDAD!$C$17</f>
        <v>20.1816287274559</v>
      </c>
      <c r="L99" s="45" t="n">
        <f aca="false">F99*ESTACIONALIDAD!$D$14+G99*ESTACIONALIDAD!$D$15+H99*ESTACIONALIDAD!$D$16+I99*ESTACIONALIDAD!$D$17</f>
        <v>20.7931514540463</v>
      </c>
      <c r="M99" s="45" t="n">
        <f aca="false">F99*ESTACIONALIDAD!$E$14+G99*ESTACIONALIDAD!$E$15+H99*ESTACIONALIDAD!$E$16+I99*ESTACIONALIDAD!$E$17</f>
        <v>20.198826296675</v>
      </c>
      <c r="N99" s="45" t="n">
        <f aca="false">F99*ESTACIONALIDAD!$F$14+G99*ESTACIONALIDAD!$F$15+H99*ESTACIONALIDAD!$F$16+I99*ESTACIONALIDAD!$F$17</f>
        <v>19.5873035700846</v>
      </c>
      <c r="O99" s="45" t="n">
        <f aca="false">F99*ESTACIONALIDAD!$G$14+G99*ESTACIONALIDAD!$G$15+H99*ESTACIONALIDAD!$G$16+I99*ESTACIONALIDAD!$G$17</f>
        <v>18.9757808434942</v>
      </c>
      <c r="P99" s="45" t="n">
        <f aca="false">F99*ESTACIONALIDAD!$H$14+G99*ESTACIONALIDAD!$H$15+H99*ESTACIONALIDAD!$H$16+I99*ESTACIONALIDAD!$H$17</f>
        <v>20.2160238658942</v>
      </c>
      <c r="Q99" s="45" t="n">
        <f aca="false">F99*ESTACIONALIDAD!$I$14+G99*ESTACIONALIDAD!$I$15+H99*ESTACIONALIDAD!$I$16+I99*ESTACIONALIDAD!$I$17</f>
        <v>20.7759538848272</v>
      </c>
      <c r="R99" s="45" t="n">
        <f aca="false">F99*ESTACIONALIDAD!$J$14+G99*ESTACIONALIDAD!$J$15+H99*ESTACIONALIDAD!$J$16+I99*ESTACIONALIDAD!$J$17</f>
        <v>20.7759538848272</v>
      </c>
      <c r="S99" s="45" t="n">
        <f aca="false">F99*ESTACIONALIDAD!$K$14+G99*ESTACIONALIDAD!$K$15+H99*ESTACIONALIDAD!$K$16+I99*ESTACIONALIDAD!$K$17</f>
        <v>20.1816287274559</v>
      </c>
      <c r="T99" s="45" t="n">
        <f aca="false">F99*ESTACIONALIDAD!$L$14+G99*ESTACIONALIDAD!$L$15+H99*ESTACIONALIDAD!$L$16+I99*ESTACIONALIDAD!$L$17</f>
        <v>20.1644311582368</v>
      </c>
      <c r="U99" s="45" t="n">
        <f aca="false">F99*ESTACIONALIDAD!$M$14+G99*ESTACIONALIDAD!$M$15+H99*ESTACIONALIDAD!$M$16+I99*ESTACIONALIDAD!$M$17</f>
        <v>29.3805021727421</v>
      </c>
      <c r="V99" s="45" t="n">
        <f aca="false">MAX(J99:U99)</f>
        <v>29.3805021727421</v>
      </c>
      <c r="W99" s="46" t="n">
        <f aca="false">E99/INDEX(P_VAL,MATCH("DH_AÑO",P_ID,0))</f>
        <v>1.0650117327361</v>
      </c>
      <c r="X99" s="46" t="n">
        <f aca="false">V99/INDEX(P_VAL,MATCH("DH_MES",P_ID,0))</f>
        <v>1.46902510863711</v>
      </c>
      <c r="Y99" s="25" t="n">
        <f aca="false">INDEX(C_TAB,MATCH($A99,C_COD,0),12)</f>
        <v>15</v>
      </c>
      <c r="Z99" s="46" t="n">
        <f aca="false">(X99-W99)*Y99</f>
        <v>6.06020063851515</v>
      </c>
      <c r="AA99" s="45" t="n">
        <f aca="false">W99*Y99+Z99</f>
        <v>22.0353766295566</v>
      </c>
      <c r="AB99" s="25" t="n">
        <f aca="false">INDEX(C_TAB,MATCH($A99,C_COD,0),15)</f>
        <v>10</v>
      </c>
      <c r="AC99" s="45" t="n">
        <f aca="false">INDEX(C_TAB,MATCH($A99,C_COD,0),11)</f>
        <v>25</v>
      </c>
      <c r="AD99" s="45" t="n">
        <f aca="false">MAX(AC99,CEILING(X99*AB99,AC99))</f>
        <v>25</v>
      </c>
      <c r="AE99" s="25" t="n">
        <f aca="false">AD99/AC99</f>
        <v>1</v>
      </c>
      <c r="AF99" s="45" t="n">
        <f aca="false">Z99+AD99</f>
        <v>31.0602006385152</v>
      </c>
      <c r="AG99" s="25" t="n">
        <f aca="false">ROUNDUP(AF99/AC99,0)</f>
        <v>2</v>
      </c>
      <c r="AH99" s="45" t="n">
        <f aca="false">IF(W99&gt;0,AF99/W99,0)</f>
        <v>29.1641863500594</v>
      </c>
      <c r="AI99" s="25" t="n">
        <f aca="false">IF(AD99&gt;0,E99/AD99,0)</f>
        <v>10.2241126342665</v>
      </c>
      <c r="AJ99" s="25" t="n">
        <f aca="false">INDEX(C_TAB,MATCH($A99,C_COD,0),16)</f>
        <v>40</v>
      </c>
      <c r="AK99" s="47" t="n">
        <f aca="false">IF(AJ99&gt;0,AG99/AJ99,0)</f>
        <v>0.05</v>
      </c>
      <c r="AL99" s="45" t="n">
        <f aca="false">INDEX(C_TAB,MATCH($A99,C_COD,0),17)</f>
        <v>1.2</v>
      </c>
      <c r="AM99" s="45" t="n">
        <f aca="false">AK99*AL99</f>
        <v>0.06</v>
      </c>
    </row>
    <row r="100" customFormat="false" ht="15" hidden="false" customHeight="false" outlineLevel="0" collapsed="false">
      <c r="A100" s="24" t="s">
        <v>1558</v>
      </c>
      <c r="B100" s="24" t="str">
        <f aca="false">INDEX(C_TAB,MATCH($A100,C_COD,0),2)</f>
        <v>CO₂ líquido grado industrial, recargas</v>
      </c>
      <c r="C100" s="24" t="str">
        <f aca="false">INDEX(C_TAB,MATCH($A100,C_COD,0),3)</f>
        <v>kg</v>
      </c>
      <c r="D100" s="24" t="str">
        <f aca="false">INDEX(C_TAB,MATCH($A100,C_COD,0),6)</f>
        <v>Jaula de gases</v>
      </c>
      <c r="E100" s="45" t="n">
        <f aca="false">CONSOLIDADO_INSUMOS!T275</f>
        <v>8188.46223778897</v>
      </c>
      <c r="F100" s="45" t="n">
        <f aca="false">SUMIFS(CONSOLIDADO_INSUMOS!$T$4:$T$350,CONSOLIDADO_INSUMOS!$B$4:$B$350,$A100,CONSOLIDADO_INSUMOS!$H$4:$H$350,"MANUALES")</f>
        <v>0</v>
      </c>
      <c r="G100" s="45" t="n">
        <f aca="false">SUMIFS(CONSOLIDADO_INSUMOS!$T$4:$T$350,CONSOLIDADO_INSUMOS!$B$4:$B$350,$A100,CONSOLIDADO_INSUMOS!$H$4:$H$350,"RODANTES")</f>
        <v>0</v>
      </c>
      <c r="H100" s="45" t="n">
        <f aca="false">SUMIFS(CONSOLIDADO_INSUMOS!$T$4:$T$350,CONSOLIDADO_INSUMOS!$B$4:$B$350,$A100,CONSOLIDADO_INSUMOS!$H$4:$H$350,"RECARGAS")</f>
        <v>8188.46223778897</v>
      </c>
      <c r="I100" s="45" t="n">
        <f aca="false">SUMIFS(CONSOLIDADO_INSUMOS!$T$4:$T$350,CONSOLIDADO_INSUMOS!$B$4:$B$350,$A100,CONSOLIDADO_INSUMOS!$H$4:$H$350,"REVENDIDOS")</f>
        <v>0</v>
      </c>
      <c r="J100" s="45" t="n">
        <f aca="false">F100*ESTACIONALIDAD!$B$14+G100*ESTACIONALIDAD!$B$15+H100*ESTACIONALIDAD!$B$16+I100*ESTACIONALIDAD!$B$17</f>
        <v>780.766759812178</v>
      </c>
      <c r="K100" s="45" t="n">
        <f aca="false">F100*ESTACIONALIDAD!$C$14+G100*ESTACIONALIDAD!$C$15+H100*ESTACIONALIDAD!$C$16+I100*ESTACIONALIDAD!$C$17</f>
        <v>646.536323076043</v>
      </c>
      <c r="L100" s="45" t="n">
        <f aca="false">F100*ESTACIONALIDAD!$D$14+G100*ESTACIONALIDAD!$D$15+H100*ESTACIONALIDAD!$D$16+I100*ESTACIONALIDAD!$D$17</f>
        <v>666.1269943973</v>
      </c>
      <c r="M100" s="45" t="n">
        <f aca="false">F100*ESTACIONALIDAD!$E$14+G100*ESTACIONALIDAD!$E$15+H100*ESTACIONALIDAD!$E$16+I100*ESTACIONALIDAD!$E$17</f>
        <v>647.08726241394</v>
      </c>
      <c r="N100" s="45" t="n">
        <f aca="false">F100*ESTACIONALIDAD!$F$14+G100*ESTACIONALIDAD!$F$15+H100*ESTACIONALIDAD!$F$16+I100*ESTACIONALIDAD!$F$17</f>
        <v>627.496591092683</v>
      </c>
      <c r="O100" s="45" t="n">
        <f aca="false">F100*ESTACIONALIDAD!$G$14+G100*ESTACIONALIDAD!$G$15+H100*ESTACIONALIDAD!$G$16+I100*ESTACIONALIDAD!$G$17</f>
        <v>607.905919771426</v>
      </c>
      <c r="P100" s="45" t="n">
        <f aca="false">F100*ESTACIONALIDAD!$H$14+G100*ESTACIONALIDAD!$H$15+H100*ESTACIONALIDAD!$H$16+I100*ESTACIONALIDAD!$H$17</f>
        <v>647.638201751837</v>
      </c>
      <c r="Q100" s="45" t="n">
        <f aca="false">F100*ESTACIONALIDAD!$I$14+G100*ESTACIONALIDAD!$I$15+H100*ESTACIONALIDAD!$I$16+I100*ESTACIONALIDAD!$I$17</f>
        <v>665.576055059402</v>
      </c>
      <c r="R100" s="45" t="n">
        <f aca="false">F100*ESTACIONALIDAD!$J$14+G100*ESTACIONALIDAD!$J$15+H100*ESTACIONALIDAD!$J$16+I100*ESTACIONALIDAD!$J$17</f>
        <v>665.576055059402</v>
      </c>
      <c r="S100" s="45" t="n">
        <f aca="false">F100*ESTACIONALIDAD!$K$14+G100*ESTACIONALIDAD!$K$15+H100*ESTACIONALIDAD!$K$16+I100*ESTACIONALIDAD!$K$17</f>
        <v>646.536323076043</v>
      </c>
      <c r="T100" s="45" t="n">
        <f aca="false">F100*ESTACIONALIDAD!$L$14+G100*ESTACIONALIDAD!$L$15+H100*ESTACIONALIDAD!$L$16+I100*ESTACIONALIDAD!$L$17</f>
        <v>645.985383738146</v>
      </c>
      <c r="U100" s="45" t="n">
        <f aca="false">F100*ESTACIONALIDAD!$M$14+G100*ESTACIONALIDAD!$M$15+H100*ESTACIONALIDAD!$M$16+I100*ESTACIONALIDAD!$M$17</f>
        <v>941.230368540576</v>
      </c>
      <c r="V100" s="45" t="n">
        <f aca="false">MAX(J100:U100)</f>
        <v>941.230368540576</v>
      </c>
      <c r="W100" s="46" t="n">
        <f aca="false">E100/INDEX(P_VAL,MATCH("DH_AÑO",P_ID,0))</f>
        <v>34.1185926574541</v>
      </c>
      <c r="X100" s="46" t="n">
        <f aca="false">V100/INDEX(P_VAL,MATCH("DH_MES",P_ID,0))</f>
        <v>47.0615184270288</v>
      </c>
      <c r="Y100" s="25" t="n">
        <f aca="false">INDEX(C_TAB,MATCH($A100,C_COD,0),12)</f>
        <v>1</v>
      </c>
      <c r="Z100" s="46" t="n">
        <f aca="false">(X100-W100)*Y100</f>
        <v>12.9429257695747</v>
      </c>
      <c r="AA100" s="45" t="n">
        <f aca="false">W100*Y100+Z100</f>
        <v>47.0615184270288</v>
      </c>
      <c r="AB100" s="25" t="n">
        <f aca="false">INDEX(C_TAB,MATCH($A100,C_COD,0),15)</f>
        <v>5</v>
      </c>
      <c r="AC100" s="45" t="n">
        <f aca="false">INDEX(C_TAB,MATCH($A100,C_COD,0),11)</f>
        <v>25</v>
      </c>
      <c r="AD100" s="45" t="n">
        <f aca="false">MAX(AC100,CEILING(X100*AB100,AC100))</f>
        <v>250</v>
      </c>
      <c r="AE100" s="25" t="n">
        <f aca="false">AD100/AC100</f>
        <v>10</v>
      </c>
      <c r="AF100" s="45" t="n">
        <f aca="false">Z100+AD100</f>
        <v>262.942925769575</v>
      </c>
      <c r="AG100" s="25" t="n">
        <f aca="false">ROUNDUP(AF100/AC100,0)</f>
        <v>11</v>
      </c>
      <c r="AH100" s="45" t="n">
        <f aca="false">IF(W100&gt;0,AF100/W100,0)</f>
        <v>7.70673422580718</v>
      </c>
      <c r="AI100" s="25" t="n">
        <f aca="false">IF(AD100&gt;0,E100/AD100,0)</f>
        <v>32.7538489511559</v>
      </c>
      <c r="AJ100" s="25" t="n">
        <f aca="false">INDEX(C_TAB,MATCH($A100,C_COD,0),16)</f>
        <v>1</v>
      </c>
      <c r="AK100" s="47" t="n">
        <f aca="false">IF(AJ100&gt;0,AG100/AJ100,0)</f>
        <v>11</v>
      </c>
      <c r="AL100" s="45" t="n">
        <f aca="false">INDEX(C_TAB,MATCH($A100,C_COD,0),17)</f>
        <v>0.1</v>
      </c>
      <c r="AM100" s="45" t="n">
        <f aca="false">AK100*AL100</f>
        <v>1.1</v>
      </c>
    </row>
    <row r="101" customFormat="false" ht="15" hidden="false" customHeight="false" outlineLevel="0" collapsed="false">
      <c r="A101" s="24" t="s">
        <v>1586</v>
      </c>
      <c r="B101" s="24" t="str">
        <f aca="false">INDEX(C_TAB,MATCH($A101,C_COD,0),2)</f>
        <v>Agente limpio HCFC-123 / HFC-236fa, recargas</v>
      </c>
      <c r="C101" s="24" t="str">
        <f aca="false">INDEX(C_TAB,MATCH($A101,C_COD,0),3)</f>
        <v>kg</v>
      </c>
      <c r="D101" s="24" t="str">
        <f aca="false">INDEX(C_TAB,MATCH($A101,C_COD,0),6)</f>
        <v>Insumos de recargas</v>
      </c>
      <c r="E101" s="45" t="n">
        <f aca="false">CONSOLIDADO_INSUMOS!T277</f>
        <v>489.969341838035</v>
      </c>
      <c r="F101" s="45" t="n">
        <f aca="false">SUMIFS(CONSOLIDADO_INSUMOS!$T$4:$T$350,CONSOLIDADO_INSUMOS!$B$4:$B$350,$A101,CONSOLIDADO_INSUMOS!$H$4:$H$350,"MANUALES")</f>
        <v>0</v>
      </c>
      <c r="G101" s="45" t="n">
        <f aca="false">SUMIFS(CONSOLIDADO_INSUMOS!$T$4:$T$350,CONSOLIDADO_INSUMOS!$B$4:$B$350,$A101,CONSOLIDADO_INSUMOS!$H$4:$H$350,"RODANTES")</f>
        <v>0</v>
      </c>
      <c r="H101" s="45" t="n">
        <f aca="false">SUMIFS(CONSOLIDADO_INSUMOS!$T$4:$T$350,CONSOLIDADO_INSUMOS!$B$4:$B$350,$A101,CONSOLIDADO_INSUMOS!$H$4:$H$350,"RECARGAS")</f>
        <v>489.969341838035</v>
      </c>
      <c r="I101" s="45" t="n">
        <f aca="false">SUMIFS(CONSOLIDADO_INSUMOS!$T$4:$T$350,CONSOLIDADO_INSUMOS!$B$4:$B$350,$A101,CONSOLIDADO_INSUMOS!$H$4:$H$350,"REVENDIDOS")</f>
        <v>0</v>
      </c>
      <c r="J101" s="45" t="n">
        <f aca="false">F101*ESTACIONALIDAD!$B$14+G101*ESTACIONALIDAD!$B$15+H101*ESTACIONALIDAD!$B$16+I101*ESTACIONALIDAD!$B$17</f>
        <v>46.7183903796671</v>
      </c>
      <c r="K101" s="45" t="n">
        <f aca="false">F101*ESTACIONALIDAD!$C$14+G101*ESTACIONALIDAD!$C$15+H101*ESTACIONALIDAD!$C$16+I101*ESTACIONALIDAD!$C$17</f>
        <v>38.6865039482051</v>
      </c>
      <c r="L101" s="45" t="n">
        <f aca="false">F101*ESTACIONALIDAD!$D$14+G101*ESTACIONALIDAD!$D$15+H101*ESTACIONALIDAD!$D$16+I101*ESTACIONALIDAD!$D$17</f>
        <v>39.8587421603012</v>
      </c>
      <c r="M101" s="45" t="n">
        <f aca="false">F101*ESTACIONALIDAD!$E$14+G101*ESTACIONALIDAD!$E$15+H101*ESTACIONALIDAD!$E$16+I101*ESTACIONALIDAD!$E$17</f>
        <v>38.719470258233</v>
      </c>
      <c r="N101" s="45" t="n">
        <f aca="false">F101*ESTACIONALIDAD!$F$14+G101*ESTACIONALIDAD!$F$15+H101*ESTACIONALIDAD!$F$16+I101*ESTACIONALIDAD!$F$17</f>
        <v>37.5472320461369</v>
      </c>
      <c r="O101" s="45" t="n">
        <f aca="false">F101*ESTACIONALIDAD!$G$14+G101*ESTACIONALIDAD!$G$15+H101*ESTACIONALIDAD!$G$16+I101*ESTACIONALIDAD!$G$17</f>
        <v>36.3749938340409</v>
      </c>
      <c r="P101" s="45" t="n">
        <f aca="false">F101*ESTACIONALIDAD!$H$14+G101*ESTACIONALIDAD!$H$15+H101*ESTACIONALIDAD!$H$16+I101*ESTACIONALIDAD!$H$17</f>
        <v>38.7524365682608</v>
      </c>
      <c r="Q101" s="45" t="n">
        <f aca="false">F101*ESTACIONALIDAD!$I$14+G101*ESTACIONALIDAD!$I$15+H101*ESTACIONALIDAD!$I$16+I101*ESTACIONALIDAD!$I$17</f>
        <v>39.8257758502733</v>
      </c>
      <c r="R101" s="45" t="n">
        <f aca="false">F101*ESTACIONALIDAD!$J$14+G101*ESTACIONALIDAD!$J$15+H101*ESTACIONALIDAD!$J$16+I101*ESTACIONALIDAD!$J$17</f>
        <v>39.8257758502733</v>
      </c>
      <c r="S101" s="45" t="n">
        <f aca="false">F101*ESTACIONALIDAD!$K$14+G101*ESTACIONALIDAD!$K$15+H101*ESTACIONALIDAD!$K$16+I101*ESTACIONALIDAD!$K$17</f>
        <v>38.6865039482051</v>
      </c>
      <c r="T101" s="45" t="n">
        <f aca="false">F101*ESTACIONALIDAD!$L$14+G101*ESTACIONALIDAD!$L$15+H101*ESTACIONALIDAD!$L$16+I101*ESTACIONALIDAD!$L$17</f>
        <v>38.6535376381773</v>
      </c>
      <c r="U101" s="45" t="n">
        <f aca="false">F101*ESTACIONALIDAD!$M$14+G101*ESTACIONALIDAD!$M$15+H101*ESTACIONALIDAD!$M$16+I101*ESTACIONALIDAD!$M$17</f>
        <v>56.3199793562609</v>
      </c>
      <c r="V101" s="45" t="n">
        <f aca="false">MAX(J101:U101)</f>
        <v>56.3199793562609</v>
      </c>
      <c r="W101" s="46" t="n">
        <f aca="false">E101/INDEX(P_VAL,MATCH("DH_AÑO",P_ID,0))</f>
        <v>2.04153892432515</v>
      </c>
      <c r="X101" s="46" t="n">
        <f aca="false">V101/INDEX(P_VAL,MATCH("DH_MES",P_ID,0))</f>
        <v>2.81599896781304</v>
      </c>
      <c r="Y101" s="25" t="n">
        <f aca="false">INDEX(C_TAB,MATCH($A101,C_COD,0),12)</f>
        <v>30</v>
      </c>
      <c r="Z101" s="46" t="n">
        <f aca="false">(X101-W101)*Y101</f>
        <v>23.233801304637</v>
      </c>
      <c r="AA101" s="45" t="n">
        <f aca="false">W101*Y101+Z101</f>
        <v>84.4799690343913</v>
      </c>
      <c r="AB101" s="25" t="n">
        <f aca="false">INDEX(C_TAB,MATCH($A101,C_COD,0),15)</f>
        <v>20</v>
      </c>
      <c r="AC101" s="45" t="n">
        <f aca="false">INDEX(C_TAB,MATCH($A101,C_COD,0),11)</f>
        <v>50</v>
      </c>
      <c r="AD101" s="45" t="n">
        <f aca="false">MAX(AC101,CEILING(X101*AB101,AC101))</f>
        <v>100</v>
      </c>
      <c r="AE101" s="25" t="n">
        <f aca="false">AD101/AC101</f>
        <v>2</v>
      </c>
      <c r="AF101" s="45" t="n">
        <f aca="false">Z101+AD101</f>
        <v>123.233801304637</v>
      </c>
      <c r="AG101" s="25" t="n">
        <f aca="false">ROUNDUP(AF101/AC101,0)</f>
        <v>3</v>
      </c>
      <c r="AH101" s="45" t="n">
        <f aca="false">IF(W101&gt;0,AF101/W101,0)</f>
        <v>60.3631896684866</v>
      </c>
      <c r="AI101" s="25" t="n">
        <f aca="false">IF(AD101&gt;0,E101/AD101,0)</f>
        <v>4.89969341838035</v>
      </c>
      <c r="AJ101" s="25" t="n">
        <f aca="false">INDEX(C_TAB,MATCH($A101,C_COD,0),16)</f>
        <v>1</v>
      </c>
      <c r="AK101" s="47" t="n">
        <f aca="false">IF(AJ101&gt;0,AG101/AJ101,0)</f>
        <v>3</v>
      </c>
      <c r="AL101" s="45" t="n">
        <f aca="false">INDEX(C_TAB,MATCH($A101,C_COD,0),17)</f>
        <v>0.2</v>
      </c>
      <c r="AM101" s="45" t="n">
        <f aca="false">AK101*AL101</f>
        <v>0.6</v>
      </c>
    </row>
    <row r="102" customFormat="false" ht="15" hidden="false" customHeight="false" outlineLevel="0" collapsed="false">
      <c r="A102" s="24" t="s">
        <v>1499</v>
      </c>
      <c r="B102" s="24" t="str">
        <f aca="false">INDEX(C_TAB,MATCH($A102,C_COD,0),2)</f>
        <v>Concentrado AFFF 3 % (IRAM 3515), recargas</v>
      </c>
      <c r="C102" s="24" t="str">
        <f aca="false">INDEX(C_TAB,MATCH($A102,C_COD,0),3)</f>
        <v>L</v>
      </c>
      <c r="D102" s="24" t="str">
        <f aca="false">INDEX(C_TAB,MATCH($A102,C_COD,0),6)</f>
        <v>Insumos de recargas</v>
      </c>
      <c r="E102" s="45" t="n">
        <f aca="false">CONSOLIDADO_INSUMOS!T279</f>
        <v>1756.25863425</v>
      </c>
      <c r="F102" s="45" t="n">
        <f aca="false">SUMIFS(CONSOLIDADO_INSUMOS!$T$4:$T$350,CONSOLIDADO_INSUMOS!$B$4:$B$350,$A102,CONSOLIDADO_INSUMOS!$H$4:$H$350,"MANUALES")</f>
        <v>0</v>
      </c>
      <c r="G102" s="45" t="n">
        <f aca="false">SUMIFS(CONSOLIDADO_INSUMOS!$T$4:$T$350,CONSOLIDADO_INSUMOS!$B$4:$B$350,$A102,CONSOLIDADO_INSUMOS!$H$4:$H$350,"RODANTES")</f>
        <v>0</v>
      </c>
      <c r="H102" s="45" t="n">
        <f aca="false">SUMIFS(CONSOLIDADO_INSUMOS!$T$4:$T$350,CONSOLIDADO_INSUMOS!$B$4:$B$350,$A102,CONSOLIDADO_INSUMOS!$H$4:$H$350,"RECARGAS")</f>
        <v>1756.25863425</v>
      </c>
      <c r="I102" s="45" t="n">
        <f aca="false">SUMIFS(CONSOLIDADO_INSUMOS!$T$4:$T$350,CONSOLIDADO_INSUMOS!$B$4:$B$350,$A102,CONSOLIDADO_INSUMOS!$H$4:$H$350,"REVENDIDOS")</f>
        <v>0</v>
      </c>
      <c r="J102" s="45" t="n">
        <f aca="false">F102*ESTACIONALIDAD!$B$14+G102*ESTACIONALIDAD!$B$15+H102*ESTACIONALIDAD!$B$16+I102*ESTACIONALIDAD!$B$17</f>
        <v>167.458592765739</v>
      </c>
      <c r="K102" s="45" t="n">
        <f aca="false">F102*ESTACIONALIDAD!$C$14+G102*ESTACIONALIDAD!$C$15+H102*ESTACIONALIDAD!$C$16+I102*ESTACIONALIDAD!$C$17</f>
        <v>138.668893717112</v>
      </c>
      <c r="L102" s="45" t="n">
        <f aca="false">F102*ESTACIONALIDAD!$D$14+G102*ESTACIONALIDAD!$D$15+H102*ESTACIONALIDAD!$D$16+I102*ESTACIONALIDAD!$D$17</f>
        <v>142.870694331143</v>
      </c>
      <c r="M102" s="45" t="n">
        <f aca="false">F102*ESTACIONALIDAD!$E$14+G102*ESTACIONALIDAD!$E$15+H102*ESTACIONALIDAD!$E$16+I102*ESTACIONALIDAD!$E$17</f>
        <v>138.787059001513</v>
      </c>
      <c r="N102" s="45" t="n">
        <f aca="false">F102*ESTACIONALIDAD!$F$14+G102*ESTACIONALIDAD!$F$15+H102*ESTACIONALIDAD!$F$16+I102*ESTACIONALIDAD!$F$17</f>
        <v>134.585258387482</v>
      </c>
      <c r="O102" s="45" t="n">
        <f aca="false">F102*ESTACIONALIDAD!$G$14+G102*ESTACIONALIDAD!$G$15+H102*ESTACIONALIDAD!$G$16+I102*ESTACIONALIDAD!$G$17</f>
        <v>130.383457773451</v>
      </c>
      <c r="P102" s="45" t="n">
        <f aca="false">F102*ESTACIONALIDAD!$H$14+G102*ESTACIONALIDAD!$H$15+H102*ESTACIONALIDAD!$H$16+I102*ESTACIONALIDAD!$H$17</f>
        <v>138.905224285913</v>
      </c>
      <c r="Q102" s="45" t="n">
        <f aca="false">F102*ESTACIONALIDAD!$I$14+G102*ESTACIONALIDAD!$I$15+H102*ESTACIONALIDAD!$I$16+I102*ESTACIONALIDAD!$I$17</f>
        <v>142.752529046743</v>
      </c>
      <c r="R102" s="45" t="n">
        <f aca="false">F102*ESTACIONALIDAD!$J$14+G102*ESTACIONALIDAD!$J$15+H102*ESTACIONALIDAD!$J$16+I102*ESTACIONALIDAD!$J$17</f>
        <v>142.752529046743</v>
      </c>
      <c r="S102" s="45" t="n">
        <f aca="false">F102*ESTACIONALIDAD!$K$14+G102*ESTACIONALIDAD!$K$15+H102*ESTACIONALIDAD!$K$16+I102*ESTACIONALIDAD!$K$17</f>
        <v>138.668893717112</v>
      </c>
      <c r="T102" s="45" t="n">
        <f aca="false">F102*ESTACIONALIDAD!$L$14+G102*ESTACIONALIDAD!$L$15+H102*ESTACIONALIDAD!$L$16+I102*ESTACIONALIDAD!$L$17</f>
        <v>138.550728432712</v>
      </c>
      <c r="U102" s="45" t="n">
        <f aca="false">F102*ESTACIONALIDAD!$M$14+G102*ESTACIONALIDAD!$M$15+H102*ESTACIONALIDAD!$M$16+I102*ESTACIONALIDAD!$M$17</f>
        <v>201.874773744337</v>
      </c>
      <c r="V102" s="45" t="n">
        <f aca="false">MAX(J102:U102)</f>
        <v>201.874773744337</v>
      </c>
      <c r="W102" s="46" t="n">
        <f aca="false">E102/INDEX(P_VAL,MATCH("DH_AÑO",P_ID,0))</f>
        <v>7.317744309375</v>
      </c>
      <c r="X102" s="46" t="n">
        <f aca="false">V102/INDEX(P_VAL,MATCH("DH_MES",P_ID,0))</f>
        <v>10.0937386872168</v>
      </c>
      <c r="Y102" s="25" t="n">
        <f aca="false">INDEX(C_TAB,MATCH($A102,C_COD,0),12)</f>
        <v>7</v>
      </c>
      <c r="Z102" s="46" t="n">
        <f aca="false">(X102-W102)*Y102</f>
        <v>19.4319606448929</v>
      </c>
      <c r="AA102" s="45" t="n">
        <f aca="false">W102*Y102+Z102</f>
        <v>70.6561708105179</v>
      </c>
      <c r="AB102" s="25" t="n">
        <f aca="false">INDEX(C_TAB,MATCH($A102,C_COD,0),15)</f>
        <v>10</v>
      </c>
      <c r="AC102" s="45" t="n">
        <f aca="false">INDEX(C_TAB,MATCH($A102,C_COD,0),11)</f>
        <v>20</v>
      </c>
      <c r="AD102" s="45" t="n">
        <f aca="false">MAX(AC102,CEILING(X102*AB102,AC102))</f>
        <v>120</v>
      </c>
      <c r="AE102" s="25" t="n">
        <f aca="false">AD102/AC102</f>
        <v>6</v>
      </c>
      <c r="AF102" s="45" t="n">
        <f aca="false">Z102+AD102</f>
        <v>139.431960644893</v>
      </c>
      <c r="AG102" s="25" t="n">
        <f aca="false">ROUNDUP(AF102/AC102,0)</f>
        <v>7</v>
      </c>
      <c r="AH102" s="45" t="n">
        <f aca="false">IF(W102&gt;0,AF102/W102,0)</f>
        <v>19.0539536160429</v>
      </c>
      <c r="AI102" s="25" t="n">
        <f aca="false">IF(AD102&gt;0,E102/AD102,0)</f>
        <v>14.63548861875</v>
      </c>
      <c r="AJ102" s="25" t="n">
        <f aca="false">INDEX(C_TAB,MATCH($A102,C_COD,0),16)</f>
        <v>32</v>
      </c>
      <c r="AK102" s="47" t="n">
        <f aca="false">IF(AJ102&gt;0,AG102/AJ102,0)</f>
        <v>0.21875</v>
      </c>
      <c r="AL102" s="45" t="n">
        <f aca="false">INDEX(C_TAB,MATCH($A102,C_COD,0),17)</f>
        <v>0.73</v>
      </c>
      <c r="AM102" s="45" t="n">
        <f aca="false">AK102*AL102</f>
        <v>0.1596875</v>
      </c>
    </row>
    <row r="103" customFormat="false" ht="15" hidden="false" customHeight="false" outlineLevel="0" collapsed="false">
      <c r="A103" s="24" t="s">
        <v>1545</v>
      </c>
      <c r="B103" s="24" t="str">
        <f aca="false">INDEX(C_TAB,MATCH($A103,C_COD,0),2)</f>
        <v>Solución de acetato de potasio (clase K), recargas</v>
      </c>
      <c r="C103" s="24" t="str">
        <f aca="false">INDEX(C_TAB,MATCH($A103,C_COD,0),3)</f>
        <v>L</v>
      </c>
      <c r="D103" s="24" t="str">
        <f aca="false">INDEX(C_TAB,MATCH($A103,C_COD,0),6)</f>
        <v>Insumos de recargas</v>
      </c>
      <c r="E103" s="45" t="n">
        <f aca="false">CONSOLIDADO_INSUMOS!T281</f>
        <v>25654.48809798</v>
      </c>
      <c r="F103" s="45" t="n">
        <f aca="false">SUMIFS(CONSOLIDADO_INSUMOS!$T$4:$T$350,CONSOLIDADO_INSUMOS!$B$4:$B$350,$A103,CONSOLIDADO_INSUMOS!$H$4:$H$350,"MANUALES")</f>
        <v>0</v>
      </c>
      <c r="G103" s="45" t="n">
        <f aca="false">SUMIFS(CONSOLIDADO_INSUMOS!$T$4:$T$350,CONSOLIDADO_INSUMOS!$B$4:$B$350,$A103,CONSOLIDADO_INSUMOS!$H$4:$H$350,"RODANTES")</f>
        <v>0</v>
      </c>
      <c r="H103" s="45" t="n">
        <f aca="false">SUMIFS(CONSOLIDADO_INSUMOS!$T$4:$T$350,CONSOLIDADO_INSUMOS!$B$4:$B$350,$A103,CONSOLIDADO_INSUMOS!$H$4:$H$350,"RECARGAS")</f>
        <v>25654.48809798</v>
      </c>
      <c r="I103" s="45" t="n">
        <f aca="false">SUMIFS(CONSOLIDADO_INSUMOS!$T$4:$T$350,CONSOLIDADO_INSUMOS!$B$4:$B$350,$A103,CONSOLIDADO_INSUMOS!$H$4:$H$350,"REVENDIDOS")</f>
        <v>0</v>
      </c>
      <c r="J103" s="45" t="n">
        <f aca="false">F103*ESTACIONALIDAD!$B$14+G103*ESTACIONALIDAD!$B$15+H103*ESTACIONALIDAD!$B$16+I103*ESTACIONALIDAD!$B$17</f>
        <v>2446.14568220912</v>
      </c>
      <c r="K103" s="45" t="n">
        <f aca="false">F103*ESTACIONALIDAD!$C$14+G103*ESTACIONALIDAD!$C$15+H103*ESTACIONALIDAD!$C$16+I103*ESTACIONALIDAD!$C$17</f>
        <v>2025.60113530483</v>
      </c>
      <c r="L103" s="45" t="n">
        <f aca="false">F103*ESTACIONALIDAD!$D$14+G103*ESTACIONALIDAD!$D$15+H103*ESTACIONALIDAD!$D$16+I103*ESTACIONALIDAD!$D$17</f>
        <v>2086.97879446081</v>
      </c>
      <c r="M103" s="45" t="n">
        <f aca="false">F103*ESTACIONALIDAD!$E$14+G103*ESTACIONALIDAD!$E$15+H103*ESTACIONALIDAD!$E$16+I103*ESTACIONALIDAD!$E$17</f>
        <v>2027.32723066637</v>
      </c>
      <c r="N103" s="45" t="n">
        <f aca="false">F103*ESTACIONALIDAD!$F$14+G103*ESTACIONALIDAD!$F$15+H103*ESTACIONALIDAD!$F$16+I103*ESTACIONALIDAD!$F$17</f>
        <v>1965.94957151039</v>
      </c>
      <c r="O103" s="45" t="n">
        <f aca="false">F103*ESTACIONALIDAD!$G$14+G103*ESTACIONALIDAD!$G$15+H103*ESTACIONALIDAD!$G$16+I103*ESTACIONALIDAD!$G$17</f>
        <v>1904.57191235441</v>
      </c>
      <c r="P103" s="45" t="n">
        <f aca="false">F103*ESTACIONALIDAD!$H$14+G103*ESTACIONALIDAD!$H$15+H103*ESTACIONALIDAD!$H$16+I103*ESTACIONALIDAD!$H$17</f>
        <v>2029.05332602791</v>
      </c>
      <c r="Q103" s="45" t="n">
        <f aca="false">F103*ESTACIONALIDAD!$I$14+G103*ESTACIONALIDAD!$I$15+H103*ESTACIONALIDAD!$I$16+I103*ESTACIONALIDAD!$I$17</f>
        <v>2085.25269909927</v>
      </c>
      <c r="R103" s="45" t="n">
        <f aca="false">F103*ESTACIONALIDAD!$J$14+G103*ESTACIONALIDAD!$J$15+H103*ESTACIONALIDAD!$J$16+I103*ESTACIONALIDAD!$J$17</f>
        <v>2085.25269909927</v>
      </c>
      <c r="S103" s="45" t="n">
        <f aca="false">F103*ESTACIONALIDAD!$K$14+G103*ESTACIONALIDAD!$K$15+H103*ESTACIONALIDAD!$K$16+I103*ESTACIONALIDAD!$K$17</f>
        <v>2025.60113530483</v>
      </c>
      <c r="T103" s="45" t="n">
        <f aca="false">F103*ESTACIONALIDAD!$L$14+G103*ESTACIONALIDAD!$L$15+H103*ESTACIONALIDAD!$L$16+I103*ESTACIONALIDAD!$L$17</f>
        <v>2023.87503994329</v>
      </c>
      <c r="U103" s="45" t="n">
        <f aca="false">F103*ESTACIONALIDAD!$M$14+G103*ESTACIONALIDAD!$M$15+H103*ESTACIONALIDAD!$M$16+I103*ESTACIONALIDAD!$M$17</f>
        <v>2948.87887199948</v>
      </c>
      <c r="V103" s="45" t="n">
        <f aca="false">MAX(J103:U103)</f>
        <v>2948.87887199948</v>
      </c>
      <c r="W103" s="46" t="n">
        <f aca="false">E103/INDEX(P_VAL,MATCH("DH_AÑO",P_ID,0))</f>
        <v>106.89370040825</v>
      </c>
      <c r="X103" s="46" t="n">
        <f aca="false">V103/INDEX(P_VAL,MATCH("DH_MES",P_ID,0))</f>
        <v>147.443943599974</v>
      </c>
      <c r="Y103" s="25" t="n">
        <f aca="false">INDEX(C_TAB,MATCH($A103,C_COD,0),12)</f>
        <v>7</v>
      </c>
      <c r="Z103" s="46" t="n">
        <f aca="false">(X103-W103)*Y103</f>
        <v>283.851702342069</v>
      </c>
      <c r="AA103" s="45" t="n">
        <f aca="false">W103*Y103+Z103</f>
        <v>1032.10760519982</v>
      </c>
      <c r="AB103" s="25" t="n">
        <f aca="false">INDEX(C_TAB,MATCH($A103,C_COD,0),15)</f>
        <v>10</v>
      </c>
      <c r="AC103" s="45" t="n">
        <f aca="false">INDEX(C_TAB,MATCH($A103,C_COD,0),11)</f>
        <v>20</v>
      </c>
      <c r="AD103" s="45" t="n">
        <f aca="false">MAX(AC103,CEILING(X103*AB103,AC103))</f>
        <v>1480</v>
      </c>
      <c r="AE103" s="25" t="n">
        <f aca="false">AD103/AC103</f>
        <v>74</v>
      </c>
      <c r="AF103" s="45" t="n">
        <f aca="false">Z103+AD103</f>
        <v>1763.85170234207</v>
      </c>
      <c r="AG103" s="25" t="n">
        <f aca="false">ROUNDUP(AF103/AC103,0)</f>
        <v>89</v>
      </c>
      <c r="AH103" s="45" t="n">
        <f aca="false">IF(W103&gt;0,AF103/W103,0)</f>
        <v>16.5009883239662</v>
      </c>
      <c r="AI103" s="25" t="n">
        <f aca="false">IF(AD103&gt;0,E103/AD103,0)</f>
        <v>17.3341135797162</v>
      </c>
      <c r="AJ103" s="25" t="n">
        <f aca="false">INDEX(C_TAB,MATCH($A103,C_COD,0),16)</f>
        <v>32</v>
      </c>
      <c r="AK103" s="47" t="n">
        <f aca="false">IF(AJ103&gt;0,AG103/AJ103,0)</f>
        <v>2.78125</v>
      </c>
      <c r="AL103" s="45" t="n">
        <f aca="false">INDEX(C_TAB,MATCH($A103,C_COD,0),17)</f>
        <v>0.73</v>
      </c>
      <c r="AM103" s="45" t="n">
        <f aca="false">AK103*AL103</f>
        <v>2.0303125</v>
      </c>
    </row>
    <row r="104" customFormat="false" ht="15" hidden="false" customHeight="false" outlineLevel="0" collapsed="false">
      <c r="A104" s="24" t="s">
        <v>1926</v>
      </c>
      <c r="B104" s="24" t="str">
        <f aca="false">INDEX(C_TAB,MATCH($A104,C_COD,0),2)</f>
        <v>Esmalte rojo de retoque, recargas</v>
      </c>
      <c r="C104" s="24" t="str">
        <f aca="false">INDEX(C_TAB,MATCH($A104,C_COD,0),3)</f>
        <v>L</v>
      </c>
      <c r="D104" s="24" t="str">
        <f aca="false">INDEX(C_TAB,MATCH($A104,C_COD,0),6)</f>
        <v>Insumos de recargas</v>
      </c>
      <c r="E104" s="45" t="n">
        <f aca="false">CONSOLIDADO_INSUMOS!T283</f>
        <v>2819.4426718725</v>
      </c>
      <c r="F104" s="45" t="n">
        <f aca="false">SUMIFS(CONSOLIDADO_INSUMOS!$T$4:$T$350,CONSOLIDADO_INSUMOS!$B$4:$B$350,$A104,CONSOLIDADO_INSUMOS!$H$4:$H$350,"MANUALES")</f>
        <v>0</v>
      </c>
      <c r="G104" s="45" t="n">
        <f aca="false">SUMIFS(CONSOLIDADO_INSUMOS!$T$4:$T$350,CONSOLIDADO_INSUMOS!$B$4:$B$350,$A104,CONSOLIDADO_INSUMOS!$H$4:$H$350,"RODANTES")</f>
        <v>0</v>
      </c>
      <c r="H104" s="45" t="n">
        <f aca="false">SUMIFS(CONSOLIDADO_INSUMOS!$T$4:$T$350,CONSOLIDADO_INSUMOS!$B$4:$B$350,$A104,CONSOLIDADO_INSUMOS!$H$4:$H$350,"RECARGAS")</f>
        <v>2819.4426718725</v>
      </c>
      <c r="I104" s="45" t="n">
        <f aca="false">SUMIFS(CONSOLIDADO_INSUMOS!$T$4:$T$350,CONSOLIDADO_INSUMOS!$B$4:$B$350,$A104,CONSOLIDADO_INSUMOS!$H$4:$H$350,"REVENDIDOS")</f>
        <v>0</v>
      </c>
      <c r="J104" s="45" t="n">
        <f aca="false">F104*ESTACIONALIDAD!$B$14+G104*ESTACIONALIDAD!$B$15+H104*ESTACIONALIDAD!$B$16+I104*ESTACIONALIDAD!$B$17</f>
        <v>268.832786360688</v>
      </c>
      <c r="K104" s="45" t="n">
        <f aca="false">F104*ESTACIONALIDAD!$C$14+G104*ESTACIONALIDAD!$C$15+H104*ESTACIONALIDAD!$C$16+I104*ESTACIONALIDAD!$C$17</f>
        <v>222.614704111812</v>
      </c>
      <c r="L104" s="45" t="n">
        <f aca="false">F104*ESTACIONALIDAD!$D$14+G104*ESTACIONALIDAD!$D$15+H104*ESTACIONALIDAD!$D$16+I104*ESTACIONALIDAD!$D$17</f>
        <v>229.360143376205</v>
      </c>
      <c r="M104" s="45" t="n">
        <f aca="false">F104*ESTACIONALIDAD!$E$14+G104*ESTACIONALIDAD!$E$15+H104*ESTACIONALIDAD!$E$16+I104*ESTACIONALIDAD!$E$17</f>
        <v>222.804402962924</v>
      </c>
      <c r="N104" s="45" t="n">
        <f aca="false">F104*ESTACIONALIDAD!$F$14+G104*ESTACIONALIDAD!$F$15+H104*ESTACIONALIDAD!$F$16+I104*ESTACIONALIDAD!$F$17</f>
        <v>216.058963698531</v>
      </c>
      <c r="O104" s="45" t="n">
        <f aca="false">F104*ESTACIONALIDAD!$G$14+G104*ESTACIONALIDAD!$G$15+H104*ESTACIONALIDAD!$G$16+I104*ESTACIONALIDAD!$G$17</f>
        <v>209.313524434138</v>
      </c>
      <c r="P104" s="45" t="n">
        <f aca="false">F104*ESTACIONALIDAD!$H$14+G104*ESTACIONALIDAD!$H$15+H104*ESTACIONALIDAD!$H$16+I104*ESTACIONALIDAD!$H$17</f>
        <v>222.994101814036</v>
      </c>
      <c r="Q104" s="45" t="n">
        <f aca="false">F104*ESTACIONALIDAD!$I$14+G104*ESTACIONALIDAD!$I$15+H104*ESTACIONALIDAD!$I$16+I104*ESTACIONALIDAD!$I$17</f>
        <v>229.170444525093</v>
      </c>
      <c r="R104" s="45" t="n">
        <f aca="false">F104*ESTACIONALIDAD!$J$14+G104*ESTACIONALIDAD!$J$15+H104*ESTACIONALIDAD!$J$16+I104*ESTACIONALIDAD!$J$17</f>
        <v>229.170444525093</v>
      </c>
      <c r="S104" s="45" t="n">
        <f aca="false">F104*ESTACIONALIDAD!$K$14+G104*ESTACIONALIDAD!$K$15+H104*ESTACIONALIDAD!$K$16+I104*ESTACIONALIDAD!$K$17</f>
        <v>222.614704111812</v>
      </c>
      <c r="T104" s="45" t="n">
        <f aca="false">F104*ESTACIONALIDAD!$L$14+G104*ESTACIONALIDAD!$L$15+H104*ESTACIONALIDAD!$L$16+I104*ESTACIONALIDAD!$L$17</f>
        <v>222.4250052607</v>
      </c>
      <c r="U104" s="45" t="n">
        <f aca="false">F104*ESTACIONALIDAD!$M$14+G104*ESTACIONALIDAD!$M$15+H104*ESTACIONALIDAD!$M$16+I104*ESTACIONALIDAD!$M$17</f>
        <v>324.083446691468</v>
      </c>
      <c r="V104" s="45" t="n">
        <f aca="false">MAX(J104:U104)</f>
        <v>324.083446691468</v>
      </c>
      <c r="W104" s="46" t="n">
        <f aca="false">E104/INDEX(P_VAL,MATCH("DH_AÑO",P_ID,0))</f>
        <v>11.7476777994688</v>
      </c>
      <c r="X104" s="46" t="n">
        <f aca="false">V104/INDEX(P_VAL,MATCH("DH_MES",P_ID,0))</f>
        <v>16.2041723345734</v>
      </c>
      <c r="Y104" s="25" t="n">
        <f aca="false">INDEX(C_TAB,MATCH($A104,C_COD,0),12)</f>
        <v>5</v>
      </c>
      <c r="Z104" s="46" t="n">
        <f aca="false">(X104-W104)*Y104</f>
        <v>22.2824726755231</v>
      </c>
      <c r="AA104" s="45" t="n">
        <f aca="false">W104*Y104+Z104</f>
        <v>81.0208616728669</v>
      </c>
      <c r="AB104" s="25" t="n">
        <f aca="false">INDEX(C_TAB,MATCH($A104,C_COD,0),15)</f>
        <v>10</v>
      </c>
      <c r="AC104" s="45" t="n">
        <f aca="false">INDEX(C_TAB,MATCH($A104,C_COD,0),11)</f>
        <v>4</v>
      </c>
      <c r="AD104" s="45" t="n">
        <f aca="false">MAX(AC104,CEILING(X104*AB104,AC104))</f>
        <v>164</v>
      </c>
      <c r="AE104" s="25" t="n">
        <f aca="false">AD104/AC104</f>
        <v>41</v>
      </c>
      <c r="AF104" s="45" t="n">
        <f aca="false">Z104+AD104</f>
        <v>186.282472675523</v>
      </c>
      <c r="AG104" s="25" t="n">
        <f aca="false">ROUNDUP(AF104/AC104,0)</f>
        <v>47</v>
      </c>
      <c r="AH104" s="45" t="n">
        <f aca="false">IF(W104&gt;0,AF104/W104,0)</f>
        <v>15.8569613378354</v>
      </c>
      <c r="AI104" s="25" t="n">
        <f aca="false">IF(AD104&gt;0,E104/AD104,0)</f>
        <v>17.1917236089787</v>
      </c>
      <c r="AJ104" s="25" t="n">
        <f aca="false">INDEX(C_TAB,MATCH($A104,C_COD,0),16)</f>
        <v>40</v>
      </c>
      <c r="AK104" s="47" t="n">
        <f aca="false">IF(AJ104&gt;0,AG104/AJ104,0)</f>
        <v>1.175</v>
      </c>
      <c r="AL104" s="45" t="n">
        <f aca="false">INDEX(C_TAB,MATCH($A104,C_COD,0),17)</f>
        <v>0.73</v>
      </c>
      <c r="AM104" s="45" t="n">
        <f aca="false">AK104*AL104</f>
        <v>0.85775</v>
      </c>
    </row>
    <row r="105" customFormat="false" ht="15" hidden="false" customHeight="false" outlineLevel="0" collapsed="false">
      <c r="A105" s="24" t="s">
        <v>1807</v>
      </c>
      <c r="B105" s="24" t="str">
        <f aca="false">INDEX(C_TAB,MATCH($A105,C_COD,0),2)</f>
        <v>Caja de cartón corrugado simple ABC 1 kg</v>
      </c>
      <c r="C105" s="24" t="str">
        <f aca="false">INDEX(C_TAB,MATCH($A105,C_COD,0),3)</f>
        <v>u</v>
      </c>
      <c r="D105" s="24" t="str">
        <f aca="false">INDEX(C_TAB,MATCH($A105,C_COD,0),6)</f>
        <v>Embalaje</v>
      </c>
      <c r="E105" s="45" t="n">
        <f aca="false">CONSOLIDADO_INSUMOS!T285</f>
        <v>202620.63913</v>
      </c>
      <c r="F105" s="45" t="n">
        <f aca="false">SUMIFS(CONSOLIDADO_INSUMOS!$T$4:$T$350,CONSOLIDADO_INSUMOS!$B$4:$B$350,$A105,CONSOLIDADO_INSUMOS!$H$4:$H$350,"MANUALES")</f>
        <v>202620.63913</v>
      </c>
      <c r="G105" s="45" t="n">
        <f aca="false">SUMIFS(CONSOLIDADO_INSUMOS!$T$4:$T$350,CONSOLIDADO_INSUMOS!$B$4:$B$350,$A105,CONSOLIDADO_INSUMOS!$H$4:$H$350,"RODANTES")</f>
        <v>0</v>
      </c>
      <c r="H105" s="45" t="n">
        <f aca="false">SUMIFS(CONSOLIDADO_INSUMOS!$T$4:$T$350,CONSOLIDADO_INSUMOS!$B$4:$B$350,$A105,CONSOLIDADO_INSUMOS!$H$4:$H$350,"RECARGAS")</f>
        <v>0</v>
      </c>
      <c r="I105" s="45" t="n">
        <f aca="false">SUMIFS(CONSOLIDADO_INSUMOS!$T$4:$T$350,CONSOLIDADO_INSUMOS!$B$4:$B$350,$A105,CONSOLIDADO_INSUMOS!$H$4:$H$350,"REVENDIDOS")</f>
        <v>0</v>
      </c>
      <c r="J105" s="45" t="n">
        <f aca="false">F105*ESTACIONALIDAD!$B$14+G105*ESTACIONALIDAD!$B$15+H105*ESTACIONALIDAD!$B$16+I105*ESTACIONALIDAD!$B$17</f>
        <v>23135.0594018241</v>
      </c>
      <c r="K105" s="45" t="n">
        <f aca="false">F105*ESTACIONALIDAD!$C$14+G105*ESTACIONALIDAD!$C$15+H105*ESTACIONALIDAD!$C$16+I105*ESTACIONALIDAD!$C$17</f>
        <v>17646.148874812</v>
      </c>
      <c r="L105" s="45" t="n">
        <f aca="false">F105*ESTACIONALIDAD!$D$14+G105*ESTACIONALIDAD!$D$15+H105*ESTACIONALIDAD!$D$16+I105*ESTACIONALIDAD!$D$17</f>
        <v>16504.505453844</v>
      </c>
      <c r="M105" s="45" t="n">
        <f aca="false">F105*ESTACIONALIDAD!$E$14+G105*ESTACIONALIDAD!$E$15+H105*ESTACIONALIDAD!$E$16+I105*ESTACIONALIDAD!$E$17</f>
        <v>15786.256581638</v>
      </c>
      <c r="N105" s="45" t="n">
        <f aca="false">F105*ESTACIONALIDAD!$F$14+G105*ESTACIONALIDAD!$F$15+H105*ESTACIONALIDAD!$F$16+I105*ESTACIONALIDAD!$F$17</f>
        <v>14773.153385988</v>
      </c>
      <c r="O105" s="45" t="n">
        <f aca="false">F105*ESTACIONALIDAD!$G$14+G105*ESTACIONALIDAD!$G$15+H105*ESTACIONALIDAD!$G$16+I105*ESTACIONALIDAD!$G$17</f>
        <v>14478.299062544</v>
      </c>
      <c r="P105" s="45" t="n">
        <f aca="false">F105*ESTACIONALIDAD!$H$14+G105*ESTACIONALIDAD!$H$15+H105*ESTACIONALIDAD!$H$16+I105*ESTACIONALIDAD!$H$17</f>
        <v>15491.402258194</v>
      </c>
      <c r="Q105" s="45" t="n">
        <f aca="false">F105*ESTACIONALIDAD!$I$14+G105*ESTACIONALIDAD!$I$15+H105*ESTACIONALIDAD!$I$16+I105*ESTACIONALIDAD!$I$17</f>
        <v>15491.402258194</v>
      </c>
      <c r="R105" s="45" t="n">
        <f aca="false">F105*ESTACIONALIDAD!$J$14+G105*ESTACIONALIDAD!$J$15+H105*ESTACIONALIDAD!$J$16+I105*ESTACIONALIDAD!$J$17</f>
        <v>15491.402258194</v>
      </c>
      <c r="S105" s="45" t="n">
        <f aca="false">F105*ESTACIONALIDAD!$K$14+G105*ESTACIONALIDAD!$K$15+H105*ESTACIONALIDAD!$K$16+I105*ESTACIONALIDAD!$K$17</f>
        <v>15196.54793475</v>
      </c>
      <c r="T105" s="45" t="n">
        <f aca="false">F105*ESTACIONALIDAD!$L$14+G105*ESTACIONALIDAD!$L$15+H105*ESTACIONALIDAD!$L$16+I105*ESTACIONALIDAD!$L$17</f>
        <v>14901.693611306</v>
      </c>
      <c r="U105" s="45" t="n">
        <f aca="false">F105*ESTACIONALIDAD!$M$14+G105*ESTACIONALIDAD!$M$15+H105*ESTACIONALIDAD!$M$16+I105*ESTACIONALIDAD!$M$17</f>
        <v>23724.768048712</v>
      </c>
      <c r="V105" s="45" t="n">
        <f aca="false">MAX(J105:U105)</f>
        <v>23724.768048712</v>
      </c>
      <c r="W105" s="46" t="n">
        <f aca="false">E105/INDEX(P_VAL,MATCH("DH_AÑO",P_ID,0))</f>
        <v>844.252663041667</v>
      </c>
      <c r="X105" s="46" t="n">
        <f aca="false">V105/INDEX(P_VAL,MATCH("DH_MES",P_ID,0))</f>
        <v>1186.2384024356</v>
      </c>
      <c r="Y105" s="25" t="n">
        <f aca="false">INDEX(C_TAB,MATCH($A105,C_COD,0),12)</f>
        <v>10</v>
      </c>
      <c r="Z105" s="46" t="n">
        <f aca="false">(X105-W105)*Y105</f>
        <v>3419.85739393936</v>
      </c>
      <c r="AA105" s="45" t="n">
        <f aca="false">W105*Y105+Z105</f>
        <v>11862.384024356</v>
      </c>
      <c r="AB105" s="25" t="n">
        <f aca="false">INDEX(C_TAB,MATCH($A105,C_COD,0),15)</f>
        <v>10</v>
      </c>
      <c r="AC105" s="45" t="n">
        <f aca="false">INDEX(C_TAB,MATCH($A105,C_COD,0),11)</f>
        <v>600</v>
      </c>
      <c r="AD105" s="45" t="n">
        <f aca="false">MAX(AC105,CEILING(X105*AB105,AC105))</f>
        <v>12000</v>
      </c>
      <c r="AE105" s="25" t="n">
        <f aca="false">AD105/AC105</f>
        <v>20</v>
      </c>
      <c r="AF105" s="45" t="n">
        <f aca="false">Z105+AD105</f>
        <v>15419.8573939394</v>
      </c>
      <c r="AG105" s="25" t="n">
        <f aca="false">ROUNDUP(AF105/AC105,0)</f>
        <v>26</v>
      </c>
      <c r="AH105" s="45" t="n">
        <f aca="false">IF(W105&gt;0,AF105/W105,0)</f>
        <v>18.2645054839209</v>
      </c>
      <c r="AI105" s="25" t="n">
        <f aca="false">IF(AD105&gt;0,E105/AD105,0)</f>
        <v>16.8850532608333</v>
      </c>
      <c r="AJ105" s="25" t="n">
        <f aca="false">INDEX(C_TAB,MATCH($A105,C_COD,0),16)</f>
        <v>1</v>
      </c>
      <c r="AK105" s="47" t="n">
        <f aca="false">IF(AJ105&gt;0,AG105/AJ105,0)</f>
        <v>26</v>
      </c>
      <c r="AL105" s="45" t="n">
        <f aca="false">INDEX(C_TAB,MATCH($A105,C_COD,0),17)</f>
        <v>1.2</v>
      </c>
      <c r="AM105" s="45" t="n">
        <f aca="false">AK105*AL105</f>
        <v>31.2</v>
      </c>
    </row>
    <row r="106" customFormat="false" ht="15" hidden="false" customHeight="false" outlineLevel="0" collapsed="false">
      <c r="A106" s="24" t="s">
        <v>1826</v>
      </c>
      <c r="B106" s="24" t="str">
        <f aca="false">INDEX(C_TAB,MATCH($A106,C_COD,0),2)</f>
        <v>Caja de cartón corrugado simple ABC 2,5 kg</v>
      </c>
      <c r="C106" s="24" t="str">
        <f aca="false">INDEX(C_TAB,MATCH($A106,C_COD,0),3)</f>
        <v>u</v>
      </c>
      <c r="D106" s="24" t="str">
        <f aca="false">INDEX(C_TAB,MATCH($A106,C_COD,0),6)</f>
        <v>Embalaje</v>
      </c>
      <c r="E106" s="45" t="n">
        <f aca="false">CONSOLIDADO_INSUMOS!T287</f>
        <v>14093.858444</v>
      </c>
      <c r="F106" s="45" t="n">
        <f aca="false">SUMIFS(CONSOLIDADO_INSUMOS!$T$4:$T$350,CONSOLIDADO_INSUMOS!$B$4:$B$350,$A106,CONSOLIDADO_INSUMOS!$H$4:$H$350,"MANUALES")</f>
        <v>14093.858444</v>
      </c>
      <c r="G106" s="45" t="n">
        <f aca="false">SUMIFS(CONSOLIDADO_INSUMOS!$T$4:$T$350,CONSOLIDADO_INSUMOS!$B$4:$B$350,$A106,CONSOLIDADO_INSUMOS!$H$4:$H$350,"RODANTES")</f>
        <v>0</v>
      </c>
      <c r="H106" s="45" t="n">
        <f aca="false">SUMIFS(CONSOLIDADO_INSUMOS!$T$4:$T$350,CONSOLIDADO_INSUMOS!$B$4:$B$350,$A106,CONSOLIDADO_INSUMOS!$H$4:$H$350,"RECARGAS")</f>
        <v>0</v>
      </c>
      <c r="I106" s="45" t="n">
        <f aca="false">SUMIFS(CONSOLIDADO_INSUMOS!$T$4:$T$350,CONSOLIDADO_INSUMOS!$B$4:$B$350,$A106,CONSOLIDADO_INSUMOS!$H$4:$H$350,"REVENDIDOS")</f>
        <v>0</v>
      </c>
      <c r="J106" s="45" t="n">
        <f aca="false">F106*ESTACIONALIDAD!$B$14+G106*ESTACIONALIDAD!$B$15+H106*ESTACIONALIDAD!$B$16+I106*ESTACIONALIDAD!$B$17</f>
        <v>1609.2252679829</v>
      </c>
      <c r="K106" s="45" t="n">
        <f aca="false">F106*ESTACIONALIDAD!$C$14+G106*ESTACIONALIDAD!$C$15+H106*ESTACIONALIDAD!$C$16+I106*ESTACIONALIDAD!$C$17</f>
        <v>1227.42838731145</v>
      </c>
      <c r="L106" s="45" t="n">
        <f aca="false">F106*ESTACIONALIDAD!$D$14+G106*ESTACIONALIDAD!$D$15+H106*ESTACIONALIDAD!$D$16+I106*ESTACIONALIDAD!$D$17</f>
        <v>1148.01811184428</v>
      </c>
      <c r="M106" s="45" t="n">
        <f aca="false">F106*ESTACIONALIDAD!$E$14+G106*ESTACIONALIDAD!$E$15+H106*ESTACIONALIDAD!$E$16+I106*ESTACIONALIDAD!$E$17</f>
        <v>1098.05825594855</v>
      </c>
      <c r="N106" s="45" t="n">
        <f aca="false">F106*ESTACIONALIDAD!$F$14+G106*ESTACIONALIDAD!$F$15+H106*ESTACIONALIDAD!$F$16+I106*ESTACIONALIDAD!$F$17</f>
        <v>1027.58896372855</v>
      </c>
      <c r="O106" s="45" t="n">
        <f aca="false">F106*ESTACIONALIDAD!$G$14+G106*ESTACIONALIDAD!$G$15+H106*ESTACIONALIDAD!$G$16+I106*ESTACIONALIDAD!$G$17</f>
        <v>1007.07952740428</v>
      </c>
      <c r="P106" s="45" t="n">
        <f aca="false">F106*ESTACIONALIDAD!$H$14+G106*ESTACIONALIDAD!$H$15+H106*ESTACIONALIDAD!$H$16+I106*ESTACIONALIDAD!$H$17</f>
        <v>1077.54881962428</v>
      </c>
      <c r="Q106" s="45" t="n">
        <f aca="false">F106*ESTACIONALIDAD!$I$14+G106*ESTACIONALIDAD!$I$15+H106*ESTACIONALIDAD!$I$16+I106*ESTACIONALIDAD!$I$17</f>
        <v>1077.54881962428</v>
      </c>
      <c r="R106" s="45" t="n">
        <f aca="false">F106*ESTACIONALIDAD!$J$14+G106*ESTACIONALIDAD!$J$15+H106*ESTACIONALIDAD!$J$16+I106*ESTACIONALIDAD!$J$17</f>
        <v>1077.54881962428</v>
      </c>
      <c r="S106" s="45" t="n">
        <f aca="false">F106*ESTACIONALIDAD!$K$14+G106*ESTACIONALIDAD!$K$15+H106*ESTACIONALIDAD!$K$16+I106*ESTACIONALIDAD!$K$17</f>
        <v>1057.0393833</v>
      </c>
      <c r="T106" s="45" t="n">
        <f aca="false">F106*ESTACIONALIDAD!$L$14+G106*ESTACIONALIDAD!$L$15+H106*ESTACIONALIDAD!$L$16+I106*ESTACIONALIDAD!$L$17</f>
        <v>1036.52994697572</v>
      </c>
      <c r="U106" s="45" t="n">
        <f aca="false">F106*ESTACIONALIDAD!$M$14+G106*ESTACIONALIDAD!$M$15+H106*ESTACIONALIDAD!$M$16+I106*ESTACIONALIDAD!$M$17</f>
        <v>1650.24414063145</v>
      </c>
      <c r="V106" s="45" t="n">
        <f aca="false">MAX(J106:U106)</f>
        <v>1650.24414063145</v>
      </c>
      <c r="W106" s="46" t="n">
        <f aca="false">E106/INDEX(P_VAL,MATCH("DH_AÑO",P_ID,0))</f>
        <v>58.7244101833333</v>
      </c>
      <c r="X106" s="46" t="n">
        <f aca="false">V106/INDEX(P_VAL,MATCH("DH_MES",P_ID,0))</f>
        <v>82.5122070315724</v>
      </c>
      <c r="Y106" s="25" t="n">
        <f aca="false">INDEX(C_TAB,MATCH($A106,C_COD,0),12)</f>
        <v>10</v>
      </c>
      <c r="Z106" s="46" t="n">
        <f aca="false">(X106-W106)*Y106</f>
        <v>237.877968482391</v>
      </c>
      <c r="AA106" s="45" t="n">
        <f aca="false">W106*Y106+Z106</f>
        <v>825.122070315724</v>
      </c>
      <c r="AB106" s="25" t="n">
        <f aca="false">INDEX(C_TAB,MATCH($A106,C_COD,0),15)</f>
        <v>10</v>
      </c>
      <c r="AC106" s="45" t="n">
        <f aca="false">INDEX(C_TAB,MATCH($A106,C_COD,0),11)</f>
        <v>600</v>
      </c>
      <c r="AD106" s="45" t="n">
        <f aca="false">MAX(AC106,CEILING(X106*AB106,AC106))</f>
        <v>1200</v>
      </c>
      <c r="AE106" s="25" t="n">
        <f aca="false">AD106/AC106</f>
        <v>2</v>
      </c>
      <c r="AF106" s="45" t="n">
        <f aca="false">Z106+AD106</f>
        <v>1437.87796848239</v>
      </c>
      <c r="AG106" s="25" t="n">
        <f aca="false">ROUNDUP(AF106/AC106,0)</f>
        <v>3</v>
      </c>
      <c r="AH106" s="45" t="n">
        <f aca="false">IF(W106&gt;0,AF106/W106,0)</f>
        <v>24.4851836569059</v>
      </c>
      <c r="AI106" s="25" t="n">
        <f aca="false">IF(AD106&gt;0,E106/AD106,0)</f>
        <v>11.7448820366667</v>
      </c>
      <c r="AJ106" s="25" t="n">
        <f aca="false">INDEX(C_TAB,MATCH($A106,C_COD,0),16)</f>
        <v>1</v>
      </c>
      <c r="AK106" s="47" t="n">
        <f aca="false">IF(AJ106&gt;0,AG106/AJ106,0)</f>
        <v>3</v>
      </c>
      <c r="AL106" s="45" t="n">
        <f aca="false">INDEX(C_TAB,MATCH($A106,C_COD,0),17)</f>
        <v>1.2</v>
      </c>
      <c r="AM106" s="45" t="n">
        <f aca="false">AK106*AL106</f>
        <v>3.6</v>
      </c>
    </row>
    <row r="107" customFormat="false" ht="15" hidden="false" customHeight="false" outlineLevel="0" collapsed="false">
      <c r="A107" s="24" t="s">
        <v>1830</v>
      </c>
      <c r="B107" s="24" t="str">
        <f aca="false">INDEX(C_TAB,MATCH($A107,C_COD,0),2)</f>
        <v>Caja de cartón corrugado simple ABC 5 kg</v>
      </c>
      <c r="C107" s="24" t="str">
        <f aca="false">INDEX(C_TAB,MATCH($A107,C_COD,0),3)</f>
        <v>u</v>
      </c>
      <c r="D107" s="24" t="str">
        <f aca="false">INDEX(C_TAB,MATCH($A107,C_COD,0),6)</f>
        <v>Embalaje</v>
      </c>
      <c r="E107" s="45" t="n">
        <f aca="false">CONSOLIDADO_INSUMOS!T289</f>
        <v>65233.77872</v>
      </c>
      <c r="F107" s="45" t="n">
        <f aca="false">SUMIFS(CONSOLIDADO_INSUMOS!$T$4:$T$350,CONSOLIDADO_INSUMOS!$B$4:$B$350,$A107,CONSOLIDADO_INSUMOS!$H$4:$H$350,"MANUALES")</f>
        <v>65233.77872</v>
      </c>
      <c r="G107" s="45" t="n">
        <f aca="false">SUMIFS(CONSOLIDADO_INSUMOS!$T$4:$T$350,CONSOLIDADO_INSUMOS!$B$4:$B$350,$A107,CONSOLIDADO_INSUMOS!$H$4:$H$350,"RODANTES")</f>
        <v>0</v>
      </c>
      <c r="H107" s="45" t="n">
        <f aca="false">SUMIFS(CONSOLIDADO_INSUMOS!$T$4:$T$350,CONSOLIDADO_INSUMOS!$B$4:$B$350,$A107,CONSOLIDADO_INSUMOS!$H$4:$H$350,"RECARGAS")</f>
        <v>0</v>
      </c>
      <c r="I107" s="45" t="n">
        <f aca="false">SUMIFS(CONSOLIDADO_INSUMOS!$T$4:$T$350,CONSOLIDADO_INSUMOS!$B$4:$B$350,$A107,CONSOLIDADO_INSUMOS!$H$4:$H$350,"REVENDIDOS")</f>
        <v>0</v>
      </c>
      <c r="J107" s="45" t="n">
        <f aca="false">F107*ESTACIONALIDAD!$B$14+G107*ESTACIONALIDAD!$B$15+H107*ESTACIONALIDAD!$B$16+I107*ESTACIONALIDAD!$B$17</f>
        <v>7448.33967641551</v>
      </c>
      <c r="K107" s="45" t="n">
        <f aca="false">F107*ESTACIONALIDAD!$C$14+G107*ESTACIONALIDAD!$C$15+H107*ESTACIONALIDAD!$C$16+I107*ESTACIONALIDAD!$C$17</f>
        <v>5681.18319980776</v>
      </c>
      <c r="L107" s="45" t="n">
        <f aca="false">F107*ESTACIONALIDAD!$D$14+G107*ESTACIONALIDAD!$D$15+H107*ESTACIONALIDAD!$D$16+I107*ESTACIONALIDAD!$D$17</f>
        <v>5313.63074009612</v>
      </c>
      <c r="M107" s="45" t="n">
        <f aca="false">F107*ESTACIONALIDAD!$E$14+G107*ESTACIONALIDAD!$E$15+H107*ESTACIONALIDAD!$E$16+I107*ESTACIONALIDAD!$E$17</f>
        <v>5082.39028899225</v>
      </c>
      <c r="N107" s="45" t="n">
        <f aca="false">F107*ESTACIONALIDAD!$F$14+G107*ESTACIONALIDAD!$F$15+H107*ESTACIONALIDAD!$F$16+I107*ESTACIONALIDAD!$F$17</f>
        <v>4756.22139539225</v>
      </c>
      <c r="O107" s="45" t="n">
        <f aca="false">F107*ESTACIONALIDAD!$G$14+G107*ESTACIONALIDAD!$G$15+H107*ESTACIONALIDAD!$G$16+I107*ESTACIONALIDAD!$G$17</f>
        <v>4661.29295289612</v>
      </c>
      <c r="P107" s="45" t="n">
        <f aca="false">F107*ESTACIONALIDAD!$H$14+G107*ESTACIONALIDAD!$H$15+H107*ESTACIONALIDAD!$H$16+I107*ESTACIONALIDAD!$H$17</f>
        <v>4987.46184649612</v>
      </c>
      <c r="Q107" s="45" t="n">
        <f aca="false">F107*ESTACIONALIDAD!$I$14+G107*ESTACIONALIDAD!$I$15+H107*ESTACIONALIDAD!$I$16+I107*ESTACIONALIDAD!$I$17</f>
        <v>4987.46184649612</v>
      </c>
      <c r="R107" s="45" t="n">
        <f aca="false">F107*ESTACIONALIDAD!$J$14+G107*ESTACIONALIDAD!$J$15+H107*ESTACIONALIDAD!$J$16+I107*ESTACIONALIDAD!$J$17</f>
        <v>4987.46184649612</v>
      </c>
      <c r="S107" s="45" t="n">
        <f aca="false">F107*ESTACIONALIDAD!$K$14+G107*ESTACIONALIDAD!$K$15+H107*ESTACIONALIDAD!$K$16+I107*ESTACIONALIDAD!$K$17</f>
        <v>4892.533404</v>
      </c>
      <c r="T107" s="45" t="n">
        <f aca="false">F107*ESTACIONALIDAD!$L$14+G107*ESTACIONALIDAD!$L$15+H107*ESTACIONALIDAD!$L$16+I107*ESTACIONALIDAD!$L$17</f>
        <v>4797.60496150388</v>
      </c>
      <c r="U107" s="45" t="n">
        <f aca="false">F107*ESTACIONALIDAD!$M$14+G107*ESTACIONALIDAD!$M$15+H107*ESTACIONALIDAD!$M$16+I107*ESTACIONALIDAD!$M$17</f>
        <v>7638.19656140776</v>
      </c>
      <c r="V107" s="45" t="n">
        <f aca="false">MAX(J107:U107)</f>
        <v>7638.19656140776</v>
      </c>
      <c r="W107" s="46" t="n">
        <f aca="false">E107/INDEX(P_VAL,MATCH("DH_AÑO",P_ID,0))</f>
        <v>271.807411333333</v>
      </c>
      <c r="X107" s="46" t="n">
        <f aca="false">V107/INDEX(P_VAL,MATCH("DH_MES",P_ID,0))</f>
        <v>381.909828070388</v>
      </c>
      <c r="Y107" s="25" t="n">
        <f aca="false">INDEX(C_TAB,MATCH($A107,C_COD,0),12)</f>
        <v>10</v>
      </c>
      <c r="Z107" s="46" t="n">
        <f aca="false">(X107-W107)*Y107</f>
        <v>1101.02416737054</v>
      </c>
      <c r="AA107" s="45" t="n">
        <f aca="false">W107*Y107+Z107</f>
        <v>3819.09828070388</v>
      </c>
      <c r="AB107" s="25" t="n">
        <f aca="false">INDEX(C_TAB,MATCH($A107,C_COD,0),15)</f>
        <v>10</v>
      </c>
      <c r="AC107" s="45" t="n">
        <f aca="false">INDEX(C_TAB,MATCH($A107,C_COD,0),11)</f>
        <v>600</v>
      </c>
      <c r="AD107" s="45" t="n">
        <f aca="false">MAX(AC107,CEILING(X107*AB107,AC107))</f>
        <v>4200</v>
      </c>
      <c r="AE107" s="25" t="n">
        <f aca="false">AD107/AC107</f>
        <v>7</v>
      </c>
      <c r="AF107" s="45" t="n">
        <f aca="false">Z107+AD107</f>
        <v>5301.02416737054</v>
      </c>
      <c r="AG107" s="25" t="n">
        <f aca="false">ROUNDUP(AF107/AC107,0)</f>
        <v>9</v>
      </c>
      <c r="AH107" s="45" t="n">
        <f aca="false">IF(W107&gt;0,AF107/W107,0)</f>
        <v>19.5028683778957</v>
      </c>
      <c r="AI107" s="25" t="n">
        <f aca="false">IF(AD107&gt;0,E107/AD107,0)</f>
        <v>15.5318520761905</v>
      </c>
      <c r="AJ107" s="25" t="n">
        <f aca="false">INDEX(C_TAB,MATCH($A107,C_COD,0),16)</f>
        <v>1</v>
      </c>
      <c r="AK107" s="47" t="n">
        <f aca="false">IF(AJ107&gt;0,AG107/AJ107,0)</f>
        <v>9</v>
      </c>
      <c r="AL107" s="45" t="n">
        <f aca="false">INDEX(C_TAB,MATCH($A107,C_COD,0),17)</f>
        <v>1.2</v>
      </c>
      <c r="AM107" s="45" t="n">
        <f aca="false">AK107*AL107</f>
        <v>10.8</v>
      </c>
    </row>
    <row r="108" customFormat="false" ht="15" hidden="false" customHeight="false" outlineLevel="0" collapsed="false">
      <c r="A108" s="24" t="s">
        <v>1834</v>
      </c>
      <c r="B108" s="24" t="str">
        <f aca="false">INDEX(C_TAB,MATCH($A108,C_COD,0),2)</f>
        <v>Caja de cartón corrugado doble ABC 10 kg</v>
      </c>
      <c r="C108" s="24" t="str">
        <f aca="false">INDEX(C_TAB,MATCH($A108,C_COD,0),3)</f>
        <v>u</v>
      </c>
      <c r="D108" s="24" t="str">
        <f aca="false">INDEX(C_TAB,MATCH($A108,C_COD,0),6)</f>
        <v>Embalaje</v>
      </c>
      <c r="E108" s="45" t="n">
        <f aca="false">CONSOLIDADO_INSUMOS!T291</f>
        <v>3851.848079</v>
      </c>
      <c r="F108" s="45" t="n">
        <f aca="false">SUMIFS(CONSOLIDADO_INSUMOS!$T$4:$T$350,CONSOLIDADO_INSUMOS!$B$4:$B$350,$A108,CONSOLIDADO_INSUMOS!$H$4:$H$350,"MANUALES")</f>
        <v>3851.848079</v>
      </c>
      <c r="G108" s="45" t="n">
        <f aca="false">SUMIFS(CONSOLIDADO_INSUMOS!$T$4:$T$350,CONSOLIDADO_INSUMOS!$B$4:$B$350,$A108,CONSOLIDADO_INSUMOS!$H$4:$H$350,"RODANTES")</f>
        <v>0</v>
      </c>
      <c r="H108" s="45" t="n">
        <f aca="false">SUMIFS(CONSOLIDADO_INSUMOS!$T$4:$T$350,CONSOLIDADO_INSUMOS!$B$4:$B$350,$A108,CONSOLIDADO_INSUMOS!$H$4:$H$350,"RECARGAS")</f>
        <v>0</v>
      </c>
      <c r="I108" s="45" t="n">
        <f aca="false">SUMIFS(CONSOLIDADO_INSUMOS!$T$4:$T$350,CONSOLIDADO_INSUMOS!$B$4:$B$350,$A108,CONSOLIDADO_INSUMOS!$H$4:$H$350,"REVENDIDOS")</f>
        <v>0</v>
      </c>
      <c r="J108" s="45" t="n">
        <f aca="false">F108*ESTACIONALIDAD!$B$14+G108*ESTACIONALIDAD!$B$15+H108*ESTACIONALIDAD!$B$16+I108*ESTACIONALIDAD!$B$17</f>
        <v>439.800873677498</v>
      </c>
      <c r="K108" s="45" t="n">
        <f aca="false">F108*ESTACIONALIDAD!$C$14+G108*ESTACIONALIDAD!$C$15+H108*ESTACIONALIDAD!$C$16+I108*ESTACIONALIDAD!$C$17</f>
        <v>335.455879208749</v>
      </c>
      <c r="L108" s="45" t="n">
        <f aca="false">F108*ESTACIONALIDAD!$D$14+G108*ESTACIONALIDAD!$D$15+H108*ESTACIONALIDAD!$D$16+I108*ESTACIONALIDAD!$D$17</f>
        <v>313.753070270626</v>
      </c>
      <c r="M108" s="45" t="n">
        <f aca="false">F108*ESTACIONALIDAD!$E$14+G108*ESTACIONALIDAD!$E$15+H108*ESTACIONALIDAD!$E$16+I108*ESTACIONALIDAD!$E$17</f>
        <v>300.099053826251</v>
      </c>
      <c r="N108" s="45" t="n">
        <f aca="false">F108*ESTACIONALIDAD!$F$14+G108*ESTACIONALIDAD!$F$15+H108*ESTACIONALIDAD!$F$16+I108*ESTACIONALIDAD!$F$17</f>
        <v>280.839813431251</v>
      </c>
      <c r="O108" s="45" t="n">
        <f aca="false">F108*ESTACIONALIDAD!$G$14+G108*ESTACIONALIDAD!$G$15+H108*ESTACIONALIDAD!$G$16+I108*ESTACIONALIDAD!$G$17</f>
        <v>275.234589480626</v>
      </c>
      <c r="P108" s="45" t="n">
        <f aca="false">F108*ESTACIONALIDAD!$H$14+G108*ESTACIONALIDAD!$H$15+H108*ESTACIONALIDAD!$H$16+I108*ESTACIONALIDAD!$H$17</f>
        <v>294.493829875626</v>
      </c>
      <c r="Q108" s="45" t="n">
        <f aca="false">F108*ESTACIONALIDAD!$I$14+G108*ESTACIONALIDAD!$I$15+H108*ESTACIONALIDAD!$I$16+I108*ESTACIONALIDAD!$I$17</f>
        <v>294.493829875626</v>
      </c>
      <c r="R108" s="45" t="n">
        <f aca="false">F108*ESTACIONALIDAD!$J$14+G108*ESTACIONALIDAD!$J$15+H108*ESTACIONALIDAD!$J$16+I108*ESTACIONALIDAD!$J$17</f>
        <v>294.493829875626</v>
      </c>
      <c r="S108" s="45" t="n">
        <f aca="false">F108*ESTACIONALIDAD!$K$14+G108*ESTACIONALIDAD!$K$15+H108*ESTACIONALIDAD!$K$16+I108*ESTACIONALIDAD!$K$17</f>
        <v>288.888605925</v>
      </c>
      <c r="T108" s="45" t="n">
        <f aca="false">F108*ESTACIONALIDAD!$L$14+G108*ESTACIONALIDAD!$L$15+H108*ESTACIONALIDAD!$L$16+I108*ESTACIONALIDAD!$L$17</f>
        <v>283.283381974375</v>
      </c>
      <c r="U108" s="45" t="n">
        <f aca="false">F108*ESTACIONALIDAD!$M$14+G108*ESTACIONALIDAD!$M$15+H108*ESTACIONALIDAD!$M$16+I108*ESTACIONALIDAD!$M$17</f>
        <v>451.011321578749</v>
      </c>
      <c r="V108" s="45" t="n">
        <f aca="false">MAX(J108:U108)</f>
        <v>451.011321578749</v>
      </c>
      <c r="W108" s="46" t="n">
        <f aca="false">E108/INDEX(P_VAL,MATCH("DH_AÑO",P_ID,0))</f>
        <v>16.0493669958333</v>
      </c>
      <c r="X108" s="46" t="n">
        <f aca="false">V108/INDEX(P_VAL,MATCH("DH_MES",P_ID,0))</f>
        <v>22.5505660789375</v>
      </c>
      <c r="Y108" s="25" t="n">
        <f aca="false">INDEX(C_TAB,MATCH($A108,C_COD,0),12)</f>
        <v>10</v>
      </c>
      <c r="Z108" s="46" t="n">
        <f aca="false">(X108-W108)*Y108</f>
        <v>65.0119908310412</v>
      </c>
      <c r="AA108" s="45" t="n">
        <f aca="false">W108*Y108+Z108</f>
        <v>225.505660789375</v>
      </c>
      <c r="AB108" s="25" t="n">
        <f aca="false">INDEX(C_TAB,MATCH($A108,C_COD,0),15)</f>
        <v>10</v>
      </c>
      <c r="AC108" s="45" t="n">
        <f aca="false">INDEX(C_TAB,MATCH($A108,C_COD,0),11)</f>
        <v>600</v>
      </c>
      <c r="AD108" s="45" t="n">
        <f aca="false">MAX(AC108,CEILING(X108*AB108,AC108))</f>
        <v>600</v>
      </c>
      <c r="AE108" s="25" t="n">
        <f aca="false">AD108/AC108</f>
        <v>1</v>
      </c>
      <c r="AF108" s="45" t="n">
        <f aca="false">Z108+AD108</f>
        <v>665.011990831041</v>
      </c>
      <c r="AG108" s="25" t="n">
        <f aca="false">ROUNDUP(AF108/AC108,0)</f>
        <v>2</v>
      </c>
      <c r="AH108" s="45" t="n">
        <f aca="false">IF(W108&gt;0,AF108/W108,0)</f>
        <v>41.4354030912053</v>
      </c>
      <c r="AI108" s="25" t="n">
        <f aca="false">IF(AD108&gt;0,E108/AD108,0)</f>
        <v>6.41974679833333</v>
      </c>
      <c r="AJ108" s="25" t="n">
        <f aca="false">INDEX(C_TAB,MATCH($A108,C_COD,0),16)</f>
        <v>1</v>
      </c>
      <c r="AK108" s="47" t="n">
        <f aca="false">IF(AJ108&gt;0,AG108/AJ108,0)</f>
        <v>2</v>
      </c>
      <c r="AL108" s="45" t="n">
        <f aca="false">INDEX(C_TAB,MATCH($A108,C_COD,0),17)</f>
        <v>1.2</v>
      </c>
      <c r="AM108" s="45" t="n">
        <f aca="false">AK108*AL108</f>
        <v>2.4</v>
      </c>
    </row>
    <row r="109" customFormat="false" ht="15" hidden="false" customHeight="false" outlineLevel="0" collapsed="false">
      <c r="A109" s="24" t="s">
        <v>1810</v>
      </c>
      <c r="B109" s="24" t="str">
        <f aca="false">INDEX(C_TAB,MATCH($A109,C_COD,0),2)</f>
        <v>Etiqueta de caja (código, serie y lote)</v>
      </c>
      <c r="C109" s="24" t="str">
        <f aca="false">INDEX(C_TAB,MATCH($A109,C_COD,0),3)</f>
        <v>u</v>
      </c>
      <c r="D109" s="24" t="str">
        <f aca="false">INDEX(C_TAB,MATCH($A109,C_COD,0),6)</f>
        <v>Embalaje</v>
      </c>
      <c r="E109" s="45" t="n">
        <f aca="false">CONSOLIDADO_INSUMOS!T293</f>
        <v>285800.124373</v>
      </c>
      <c r="F109" s="45" t="n">
        <f aca="false">SUMIFS(CONSOLIDADO_INSUMOS!$T$4:$T$350,CONSOLIDADO_INSUMOS!$B$4:$B$350,$A109,CONSOLIDADO_INSUMOS!$H$4:$H$350,"MANUALES")</f>
        <v>285800.124373</v>
      </c>
      <c r="G109" s="45" t="n">
        <f aca="false">SUMIFS(CONSOLIDADO_INSUMOS!$T$4:$T$350,CONSOLIDADO_INSUMOS!$B$4:$B$350,$A109,CONSOLIDADO_INSUMOS!$H$4:$H$350,"RODANTES")</f>
        <v>0</v>
      </c>
      <c r="H109" s="45" t="n">
        <f aca="false">SUMIFS(CONSOLIDADO_INSUMOS!$T$4:$T$350,CONSOLIDADO_INSUMOS!$B$4:$B$350,$A109,CONSOLIDADO_INSUMOS!$H$4:$H$350,"RECARGAS")</f>
        <v>0</v>
      </c>
      <c r="I109" s="45" t="n">
        <f aca="false">SUMIFS(CONSOLIDADO_INSUMOS!$T$4:$T$350,CONSOLIDADO_INSUMOS!$B$4:$B$350,$A109,CONSOLIDADO_INSUMOS!$H$4:$H$350,"REVENDIDOS")</f>
        <v>0</v>
      </c>
      <c r="J109" s="45" t="n">
        <f aca="false">F109*ESTACIONALIDAD!$B$14+G109*ESTACIONALIDAD!$B$15+H109*ESTACIONALIDAD!$B$16+I109*ESTACIONALIDAD!$B$17</f>
        <v>32632.4252199</v>
      </c>
      <c r="K109" s="45" t="n">
        <f aca="false">F109*ESTACIONALIDAD!$C$14+G109*ESTACIONALIDAD!$C$15+H109*ESTACIONALIDAD!$C$16+I109*ESTACIONALIDAD!$C$17</f>
        <v>24890.21634114</v>
      </c>
      <c r="L109" s="45" t="n">
        <f aca="false">F109*ESTACIONALIDAD!$D$14+G109*ESTACIONALIDAD!$D$15+H109*ESTACIONALIDAD!$D$16+I109*ESTACIONALIDAD!$D$17</f>
        <v>23279.907376055</v>
      </c>
      <c r="M109" s="45" t="n">
        <f aca="false">F109*ESTACIONALIDAD!$E$14+G109*ESTACIONALIDAD!$E$15+H109*ESTACIONALIDAD!$E$16+I109*ESTACIONALIDAD!$E$17</f>
        <v>22266.804180405</v>
      </c>
      <c r="N109" s="45" t="n">
        <f aca="false">F109*ESTACIONALIDAD!$F$14+G109*ESTACIONALIDAD!$F$15+H109*ESTACIONALIDAD!$F$16+I109*ESTACIONALIDAD!$F$17</f>
        <v>20837.80355854</v>
      </c>
      <c r="O109" s="45" t="n">
        <f aca="false">F109*ESTACIONALIDAD!$G$14+G109*ESTACIONALIDAD!$G$15+H109*ESTACIONALIDAD!$G$16+I109*ESTACIONALIDAD!$G$17</f>
        <v>20421.906132325</v>
      </c>
      <c r="P109" s="45" t="n">
        <f aca="false">F109*ESTACIONALIDAD!$H$14+G109*ESTACIONALIDAD!$H$15+H109*ESTACIONALIDAD!$H$16+I109*ESTACIONALIDAD!$H$17</f>
        <v>21850.90675419</v>
      </c>
      <c r="Q109" s="45" t="n">
        <f aca="false">F109*ESTACIONALIDAD!$I$14+G109*ESTACIONALIDAD!$I$15+H109*ESTACIONALIDAD!$I$16+I109*ESTACIONALIDAD!$I$17</f>
        <v>21850.90675419</v>
      </c>
      <c r="R109" s="45" t="n">
        <f aca="false">F109*ESTACIONALIDAD!$J$14+G109*ESTACIONALIDAD!$J$15+H109*ESTACIONALIDAD!$J$16+I109*ESTACIONALIDAD!$J$17</f>
        <v>21850.90675419</v>
      </c>
      <c r="S109" s="45" t="n">
        <f aca="false">F109*ESTACIONALIDAD!$K$14+G109*ESTACIONALIDAD!$K$15+H109*ESTACIONALIDAD!$K$16+I109*ESTACIONALIDAD!$K$17</f>
        <v>21435.009327975</v>
      </c>
      <c r="T109" s="45" t="n">
        <f aca="false">F109*ESTACIONALIDAD!$L$14+G109*ESTACIONALIDAD!$L$15+H109*ESTACIONALIDAD!$L$16+I109*ESTACIONALIDAD!$L$17</f>
        <v>21019.11190176</v>
      </c>
      <c r="U109" s="45" t="n">
        <f aca="false">F109*ESTACIONALIDAD!$M$14+G109*ESTACIONALIDAD!$M$15+H109*ESTACIONALIDAD!$M$16+I109*ESTACIONALIDAD!$M$17</f>
        <v>33464.22007233</v>
      </c>
      <c r="V109" s="45" t="n">
        <f aca="false">MAX(J109:U109)</f>
        <v>33464.22007233</v>
      </c>
      <c r="W109" s="46" t="n">
        <f aca="false">E109/INDEX(P_VAL,MATCH("DH_AÑO",P_ID,0))</f>
        <v>1190.83385155417</v>
      </c>
      <c r="X109" s="46" t="n">
        <f aca="false">V109/INDEX(P_VAL,MATCH("DH_MES",P_ID,0))</f>
        <v>1673.2110036165</v>
      </c>
      <c r="Y109" s="25" t="n">
        <f aca="false">INDEX(C_TAB,MATCH($A109,C_COD,0),12)</f>
        <v>10</v>
      </c>
      <c r="Z109" s="46" t="n">
        <f aca="false">(X109-W109)*Y109</f>
        <v>4823.77152062333</v>
      </c>
      <c r="AA109" s="45" t="n">
        <f aca="false">W109*Y109+Z109</f>
        <v>16732.110036165</v>
      </c>
      <c r="AB109" s="25" t="n">
        <f aca="false">INDEX(C_TAB,MATCH($A109,C_COD,0),15)</f>
        <v>10</v>
      </c>
      <c r="AC109" s="45" t="n">
        <f aca="false">INDEX(C_TAB,MATCH($A109,C_COD,0),11)</f>
        <v>1000</v>
      </c>
      <c r="AD109" s="45" t="n">
        <f aca="false">MAX(AC109,CEILING(X109*AB109,AC109))</f>
        <v>17000</v>
      </c>
      <c r="AE109" s="25" t="n">
        <f aca="false">AD109/AC109</f>
        <v>17</v>
      </c>
      <c r="AF109" s="45" t="n">
        <f aca="false">Z109+AD109</f>
        <v>21823.7715206233</v>
      </c>
      <c r="AG109" s="25" t="n">
        <f aca="false">ROUNDUP(AF109/AC109,0)</f>
        <v>22</v>
      </c>
      <c r="AH109" s="45" t="n">
        <f aca="false">IF(W109&gt;0,AF109/W109,0)</f>
        <v>18.3264621610655</v>
      </c>
      <c r="AI109" s="25" t="n">
        <f aca="false">IF(AD109&gt;0,E109/AD109,0)</f>
        <v>16.8117720219412</v>
      </c>
      <c r="AJ109" s="25" t="n">
        <f aca="false">INDEX(C_TAB,MATCH($A109,C_COD,0),16)</f>
        <v>50</v>
      </c>
      <c r="AK109" s="47" t="n">
        <f aca="false">IF(AJ109&gt;0,AG109/AJ109,0)</f>
        <v>0.44</v>
      </c>
      <c r="AL109" s="45" t="n">
        <f aca="false">INDEX(C_TAB,MATCH($A109,C_COD,0),17)</f>
        <v>0.73</v>
      </c>
      <c r="AM109" s="45" t="n">
        <f aca="false">AK109*AL109</f>
        <v>0.3212</v>
      </c>
    </row>
    <row r="110" customFormat="false" ht="15" hidden="false" customHeight="false" outlineLevel="0" collapsed="false">
      <c r="A110" s="24" t="s">
        <v>1813</v>
      </c>
      <c r="B110" s="24" t="str">
        <f aca="false">INDEX(C_TAB,MATCH($A110,C_COD,0),2)</f>
        <v>Pallet de madera 1200 × 1000 (IRAM 10016)</v>
      </c>
      <c r="C110" s="24" t="str">
        <f aca="false">INDEX(C_TAB,MATCH($A110,C_COD,0),3)</f>
        <v>u</v>
      </c>
      <c r="D110" s="24" t="str">
        <f aca="false">INDEX(C_TAB,MATCH($A110,C_COD,0),6)</f>
        <v>Embalaje</v>
      </c>
      <c r="E110" s="45" t="n">
        <f aca="false">CONSOLIDADO_INSUMOS!T295</f>
        <v>1546.97859196234</v>
      </c>
      <c r="F110" s="45" t="n">
        <f aca="false">SUMIFS(CONSOLIDADO_INSUMOS!$T$4:$T$350,CONSOLIDADO_INSUMOS!$B$4:$B$350,$A110,CONSOLIDADO_INSUMOS!$H$4:$H$350,"MANUALES")</f>
        <v>1412.06192529568</v>
      </c>
      <c r="G110" s="45" t="n">
        <f aca="false">SUMIFS(CONSOLIDADO_INSUMOS!$T$4:$T$350,CONSOLIDADO_INSUMOS!$B$4:$B$350,$A110,CONSOLIDADO_INSUMOS!$H$4:$H$350,"RODANTES")</f>
        <v>134.916666666667</v>
      </c>
      <c r="H110" s="45" t="n">
        <f aca="false">SUMIFS(CONSOLIDADO_INSUMOS!$T$4:$T$350,CONSOLIDADO_INSUMOS!$B$4:$B$350,$A110,CONSOLIDADO_INSUMOS!$H$4:$H$350,"RECARGAS")</f>
        <v>0</v>
      </c>
      <c r="I110" s="45" t="n">
        <f aca="false">SUMIFS(CONSOLIDADO_INSUMOS!$T$4:$T$350,CONSOLIDADO_INSUMOS!$B$4:$B$350,$A110,CONSOLIDADO_INSUMOS!$H$4:$H$350,"REVENDIDOS")</f>
        <v>0</v>
      </c>
      <c r="J110" s="45" t="n">
        <f aca="false">F110*ESTACIONALIDAD!$B$14+G110*ESTACIONALIDAD!$B$15+H110*ESTACIONALIDAD!$B$16+I110*ESTACIONALIDAD!$B$17</f>
        <v>172.695996200114</v>
      </c>
      <c r="K110" s="45" t="n">
        <f aca="false">F110*ESTACIONALIDAD!$C$14+G110*ESTACIONALIDAD!$C$15+H110*ESTACIONALIDAD!$C$16+I110*ESTACIONALIDAD!$C$17</f>
        <v>133.094647525594</v>
      </c>
      <c r="L110" s="45" t="n">
        <f aca="false">F110*ESTACIONALIDAD!$D$14+G110*ESTACIONALIDAD!$D$15+H110*ESTACIONALIDAD!$D$16+I110*ESTACIONALIDAD!$D$17</f>
        <v>127.162291899162</v>
      </c>
      <c r="M110" s="45" t="n">
        <f aca="false">F110*ESTACIONALIDAD!$E$14+G110*ESTACIONALIDAD!$E$15+H110*ESTACIONALIDAD!$E$16+I110*ESTACIONALIDAD!$E$17</f>
        <v>122.156820148193</v>
      </c>
      <c r="N110" s="45" t="n">
        <f aca="false">F110*ESTACIONALIDAD!$F$14+G110*ESTACIONALIDAD!$F$15+H110*ESTACIONALIDAD!$F$16+I110*ESTACIONALIDAD!$F$17</f>
        <v>115.096510521714</v>
      </c>
      <c r="O110" s="45" t="n">
        <f aca="false">F110*ESTACIONALIDAD!$G$14+G110*ESTACIONALIDAD!$G$15+H110*ESTACIONALIDAD!$G$16+I110*ESTACIONALIDAD!$G$17</f>
        <v>111.692505979539</v>
      </c>
      <c r="P110" s="45" t="n">
        <f aca="false">F110*ESTACIONALIDAD!$H$14+G110*ESTACIONALIDAD!$H$15+H110*ESTACIONALIDAD!$H$16+I110*ESTACIONALIDAD!$H$17</f>
        <v>120.101982272684</v>
      </c>
      <c r="Q110" s="45" t="n">
        <f aca="false">F110*ESTACIONALIDAD!$I$14+G110*ESTACIONALIDAD!$I$15+H110*ESTACIONALIDAD!$I$16+I110*ESTACIONALIDAD!$I$17</f>
        <v>120.101982272684</v>
      </c>
      <c r="R110" s="45" t="n">
        <f aca="false">F110*ESTACIONALIDAD!$J$14+G110*ESTACIONALIDAD!$J$15+H110*ESTACIONALIDAD!$J$16+I110*ESTACIONALIDAD!$J$17</f>
        <v>119.427398939351</v>
      </c>
      <c r="S110" s="45" t="n">
        <f aca="false">F110*ESTACIONALIDAD!$K$14+G110*ESTACIONALIDAD!$K$15+H110*ESTACIONALIDAD!$K$16+I110*ESTACIONALIDAD!$K$17</f>
        <v>116.023394397176</v>
      </c>
      <c r="T110" s="45" t="n">
        <f aca="false">F110*ESTACIONALIDAD!$L$14+G110*ESTACIONALIDAD!$L$15+H110*ESTACIONALIDAD!$L$16+I110*ESTACIONALIDAD!$L$17</f>
        <v>113.293973188334</v>
      </c>
      <c r="U110" s="45" t="n">
        <f aca="false">F110*ESTACIONALIDAD!$M$14+G110*ESTACIONALIDAD!$M$15+H110*ESTACIONALIDAD!$M$16+I110*ESTACIONALIDAD!$M$17</f>
        <v>176.131088617797</v>
      </c>
      <c r="V110" s="45" t="n">
        <f aca="false">MAX(J110:U110)</f>
        <v>176.131088617797</v>
      </c>
      <c r="W110" s="46" t="n">
        <f aca="false">E110/INDEX(P_VAL,MATCH("DH_AÑO",P_ID,0))</f>
        <v>6.44574413317643</v>
      </c>
      <c r="X110" s="46" t="n">
        <f aca="false">V110/INDEX(P_VAL,MATCH("DH_MES",P_ID,0))</f>
        <v>8.80655443088987</v>
      </c>
      <c r="Y110" s="25" t="n">
        <f aca="false">INDEX(C_TAB,MATCH($A110,C_COD,0),12)</f>
        <v>5</v>
      </c>
      <c r="Z110" s="46" t="n">
        <f aca="false">(X110-W110)*Y110</f>
        <v>11.8040514885672</v>
      </c>
      <c r="AA110" s="45" t="n">
        <f aca="false">W110*Y110+Z110</f>
        <v>44.0327721544494</v>
      </c>
      <c r="AB110" s="25" t="n">
        <f aca="false">INDEX(C_TAB,MATCH($A110,C_COD,0),15)</f>
        <v>10</v>
      </c>
      <c r="AC110" s="45" t="n">
        <f aca="false">INDEX(C_TAB,MATCH($A110,C_COD,0),11)</f>
        <v>15</v>
      </c>
      <c r="AD110" s="45" t="n">
        <f aca="false">MAX(AC110,CEILING(X110*AB110,AC110))</f>
        <v>90</v>
      </c>
      <c r="AE110" s="25" t="n">
        <f aca="false">AD110/AC110</f>
        <v>6</v>
      </c>
      <c r="AF110" s="45" t="n">
        <f aca="false">Z110+AD110</f>
        <v>101.804051488567</v>
      </c>
      <c r="AG110" s="25" t="n">
        <f aca="false">ROUNDUP(AF110/AC110,0)</f>
        <v>7</v>
      </c>
      <c r="AH110" s="45" t="n">
        <f aca="false">IF(W110&gt;0,AF110/W110,0)</f>
        <v>15.7939951361983</v>
      </c>
      <c r="AI110" s="25" t="n">
        <f aca="false">IF(AD110&gt;0,E110/AD110,0)</f>
        <v>17.1886510218038</v>
      </c>
      <c r="AJ110" s="25" t="n">
        <f aca="false">INDEX(C_TAB,MATCH($A110,C_COD,0),16)</f>
        <v>1</v>
      </c>
      <c r="AK110" s="47" t="n">
        <f aca="false">IF(AJ110&gt;0,AG110/AJ110,0)</f>
        <v>7</v>
      </c>
      <c r="AL110" s="45" t="n">
        <f aca="false">INDEX(C_TAB,MATCH($A110,C_COD,0),17)</f>
        <v>1.2</v>
      </c>
      <c r="AM110" s="45" t="n">
        <f aca="false">AK110*AL110</f>
        <v>8.4</v>
      </c>
    </row>
    <row r="111" customFormat="false" ht="15" hidden="false" customHeight="false" outlineLevel="0" collapsed="false">
      <c r="A111" s="24" t="s">
        <v>1816</v>
      </c>
      <c r="B111" s="24" t="str">
        <f aca="false">INDEX(C_TAB,MATCH($A111,C_COD,0),2)</f>
        <v>Film stretch 500 mm pre-estirable</v>
      </c>
      <c r="C111" s="24" t="str">
        <f aca="false">INDEX(C_TAB,MATCH($A111,C_COD,0),3)</f>
        <v>kg</v>
      </c>
      <c r="D111" s="24" t="str">
        <f aca="false">INDEX(C_TAB,MATCH($A111,C_COD,0),6)</f>
        <v>Embalaje</v>
      </c>
      <c r="E111" s="45" t="n">
        <f aca="false">CONSOLIDADO_INSUMOS!T298</f>
        <v>541.44250718682</v>
      </c>
      <c r="F111" s="45" t="n">
        <f aca="false">SUMIFS(CONSOLIDADO_INSUMOS!$T$4:$T$350,CONSOLIDADO_INSUMOS!$B$4:$B$350,$A111,CONSOLIDADO_INSUMOS!$H$4:$H$350,"MANUALES")</f>
        <v>494.221673853486</v>
      </c>
      <c r="G111" s="45" t="n">
        <f aca="false">SUMIFS(CONSOLIDADO_INSUMOS!$T$4:$T$350,CONSOLIDADO_INSUMOS!$B$4:$B$350,$A111,CONSOLIDADO_INSUMOS!$H$4:$H$350,"RODANTES")</f>
        <v>47.2208333333333</v>
      </c>
      <c r="H111" s="45" t="n">
        <f aca="false">SUMIFS(CONSOLIDADO_INSUMOS!$T$4:$T$350,CONSOLIDADO_INSUMOS!$B$4:$B$350,$A111,CONSOLIDADO_INSUMOS!$H$4:$H$350,"RECARGAS")</f>
        <v>0</v>
      </c>
      <c r="I111" s="45" t="n">
        <f aca="false">SUMIFS(CONSOLIDADO_INSUMOS!$T$4:$T$350,CONSOLIDADO_INSUMOS!$B$4:$B$350,$A111,CONSOLIDADO_INSUMOS!$H$4:$H$350,"REVENDIDOS")</f>
        <v>0</v>
      </c>
      <c r="J111" s="45" t="n">
        <f aca="false">F111*ESTACIONALIDAD!$B$14+G111*ESTACIONALIDAD!$B$15+H111*ESTACIONALIDAD!$B$16+I111*ESTACIONALIDAD!$B$17</f>
        <v>60.4435986700398</v>
      </c>
      <c r="K111" s="45" t="n">
        <f aca="false">F111*ESTACIONALIDAD!$C$14+G111*ESTACIONALIDAD!$C$15+H111*ESTACIONALIDAD!$C$16+I111*ESTACIONALIDAD!$C$17</f>
        <v>46.5831266339578</v>
      </c>
      <c r="L111" s="45" t="n">
        <f aca="false">F111*ESTACIONALIDAD!$D$14+G111*ESTACIONALIDAD!$D$15+H111*ESTACIONALIDAD!$D$16+I111*ESTACIONALIDAD!$D$17</f>
        <v>44.5068021647069</v>
      </c>
      <c r="M111" s="45" t="n">
        <f aca="false">F111*ESTACIONALIDAD!$E$14+G111*ESTACIONALIDAD!$E$15+H111*ESTACIONALIDAD!$E$16+I111*ESTACIONALIDAD!$E$17</f>
        <v>42.7548870518674</v>
      </c>
      <c r="N111" s="45" t="n">
        <f aca="false">F111*ESTACIONALIDAD!$F$14+G111*ESTACIONALIDAD!$F$15+H111*ESTACIONALIDAD!$F$16+I111*ESTACIONALIDAD!$F$17</f>
        <v>40.2837786826</v>
      </c>
      <c r="O111" s="45" t="n">
        <f aca="false">F111*ESTACIONALIDAD!$G$14+G111*ESTACIONALIDAD!$G$15+H111*ESTACIONALIDAD!$G$16+I111*ESTACIONALIDAD!$G$17</f>
        <v>39.0923770928387</v>
      </c>
      <c r="P111" s="45" t="n">
        <f aca="false">F111*ESTACIONALIDAD!$H$14+G111*ESTACIONALIDAD!$H$15+H111*ESTACIONALIDAD!$H$16+I111*ESTACIONALIDAD!$H$17</f>
        <v>42.0356937954394</v>
      </c>
      <c r="Q111" s="45" t="n">
        <f aca="false">F111*ESTACIONALIDAD!$I$14+G111*ESTACIONALIDAD!$I$15+H111*ESTACIONALIDAD!$I$16+I111*ESTACIONALIDAD!$I$17</f>
        <v>42.0356937954394</v>
      </c>
      <c r="R111" s="45" t="n">
        <f aca="false">F111*ESTACIONALIDAD!$J$14+G111*ESTACIONALIDAD!$J$15+H111*ESTACIONALIDAD!$J$16+I111*ESTACIONALIDAD!$J$17</f>
        <v>41.7995896287728</v>
      </c>
      <c r="S111" s="45" t="n">
        <f aca="false">F111*ESTACIONALIDAD!$K$14+G111*ESTACIONALIDAD!$K$15+H111*ESTACIONALIDAD!$K$16+I111*ESTACIONALIDAD!$K$17</f>
        <v>40.6081880390115</v>
      </c>
      <c r="T111" s="45" t="n">
        <f aca="false">F111*ESTACIONALIDAD!$L$14+G111*ESTACIONALIDAD!$L$15+H111*ESTACIONALIDAD!$L$16+I111*ESTACIONALIDAD!$L$17</f>
        <v>39.6528906159168</v>
      </c>
      <c r="U111" s="45" t="n">
        <f aca="false">F111*ESTACIONALIDAD!$M$14+G111*ESTACIONALIDAD!$M$15+H111*ESTACIONALIDAD!$M$16+I111*ESTACIONALIDAD!$M$17</f>
        <v>61.6458810162291</v>
      </c>
      <c r="V111" s="45" t="n">
        <f aca="false">MAX(J111:U111)</f>
        <v>61.6458810162291</v>
      </c>
      <c r="W111" s="46" t="n">
        <f aca="false">E111/INDEX(P_VAL,MATCH("DH_AÑO",P_ID,0))</f>
        <v>2.25601044661175</v>
      </c>
      <c r="X111" s="46" t="n">
        <f aca="false">V111/INDEX(P_VAL,MATCH("DH_MES",P_ID,0))</f>
        <v>3.08229405081146</v>
      </c>
      <c r="Y111" s="25" t="n">
        <f aca="false">INDEX(C_TAB,MATCH($A111,C_COD,0),12)</f>
        <v>5</v>
      </c>
      <c r="Z111" s="46" t="n">
        <f aca="false">(X111-W111)*Y111</f>
        <v>4.13141802099853</v>
      </c>
      <c r="AA111" s="45" t="n">
        <f aca="false">W111*Y111+Z111</f>
        <v>15.4114702540573</v>
      </c>
      <c r="AB111" s="25" t="n">
        <f aca="false">INDEX(C_TAB,MATCH($A111,C_COD,0),15)</f>
        <v>10</v>
      </c>
      <c r="AC111" s="45" t="n">
        <f aca="false">INDEX(C_TAB,MATCH($A111,C_COD,0),11)</f>
        <v>16</v>
      </c>
      <c r="AD111" s="45" t="n">
        <f aca="false">MAX(AC111,CEILING(X111*AB111,AC111))</f>
        <v>32</v>
      </c>
      <c r="AE111" s="25" t="n">
        <f aca="false">AD111/AC111</f>
        <v>2</v>
      </c>
      <c r="AF111" s="45" t="n">
        <f aca="false">Z111+AD111</f>
        <v>36.1314180209985</v>
      </c>
      <c r="AG111" s="25" t="n">
        <f aca="false">ROUNDUP(AF111/AC111,0)</f>
        <v>3</v>
      </c>
      <c r="AH111" s="45" t="n">
        <f aca="false">IF(W111&gt;0,AF111/W111,0)</f>
        <v>16.0156253155935</v>
      </c>
      <c r="AI111" s="25" t="n">
        <f aca="false">IF(AD111&gt;0,E111/AD111,0)</f>
        <v>16.9200783495881</v>
      </c>
      <c r="AJ111" s="25" t="n">
        <f aca="false">INDEX(C_TAB,MATCH($A111,C_COD,0),16)</f>
        <v>30</v>
      </c>
      <c r="AK111" s="47" t="n">
        <f aca="false">IF(AJ111&gt;0,AG111/AJ111,0)</f>
        <v>0.1</v>
      </c>
      <c r="AL111" s="45" t="n">
        <f aca="false">INDEX(C_TAB,MATCH($A111,C_COD,0),17)</f>
        <v>0.73</v>
      </c>
      <c r="AM111" s="45" t="n">
        <f aca="false">AK111*AL111</f>
        <v>0.073</v>
      </c>
    </row>
    <row r="112" customFormat="false" ht="15" hidden="false" customHeight="false" outlineLevel="0" collapsed="false">
      <c r="A112" s="24" t="s">
        <v>1818</v>
      </c>
      <c r="B112" s="24" t="str">
        <f aca="false">INDEX(C_TAB,MATCH($A112,C_COD,0),2)</f>
        <v>Etiqueta de pallet</v>
      </c>
      <c r="C112" s="24" t="str">
        <f aca="false">INDEX(C_TAB,MATCH($A112,C_COD,0),3)</f>
        <v>u</v>
      </c>
      <c r="D112" s="24" t="str">
        <f aca="false">INDEX(C_TAB,MATCH($A112,C_COD,0),6)</f>
        <v>Embalaje</v>
      </c>
      <c r="E112" s="45" t="n">
        <f aca="false">CONSOLIDADO_INSUMOS!T301</f>
        <v>1546.97859196234</v>
      </c>
      <c r="F112" s="45" t="n">
        <f aca="false">SUMIFS(CONSOLIDADO_INSUMOS!$T$4:$T$350,CONSOLIDADO_INSUMOS!$B$4:$B$350,$A112,CONSOLIDADO_INSUMOS!$H$4:$H$350,"MANUALES")</f>
        <v>1412.06192529568</v>
      </c>
      <c r="G112" s="45" t="n">
        <f aca="false">SUMIFS(CONSOLIDADO_INSUMOS!$T$4:$T$350,CONSOLIDADO_INSUMOS!$B$4:$B$350,$A112,CONSOLIDADO_INSUMOS!$H$4:$H$350,"RODANTES")</f>
        <v>134.916666666667</v>
      </c>
      <c r="H112" s="45" t="n">
        <f aca="false">SUMIFS(CONSOLIDADO_INSUMOS!$T$4:$T$350,CONSOLIDADO_INSUMOS!$B$4:$B$350,$A112,CONSOLIDADO_INSUMOS!$H$4:$H$350,"RECARGAS")</f>
        <v>0</v>
      </c>
      <c r="I112" s="45" t="n">
        <f aca="false">SUMIFS(CONSOLIDADO_INSUMOS!$T$4:$T$350,CONSOLIDADO_INSUMOS!$B$4:$B$350,$A112,CONSOLIDADO_INSUMOS!$H$4:$H$350,"REVENDIDOS")</f>
        <v>0</v>
      </c>
      <c r="J112" s="45" t="n">
        <f aca="false">F112*ESTACIONALIDAD!$B$14+G112*ESTACIONALIDAD!$B$15+H112*ESTACIONALIDAD!$B$16+I112*ESTACIONALIDAD!$B$17</f>
        <v>172.695996200114</v>
      </c>
      <c r="K112" s="45" t="n">
        <f aca="false">F112*ESTACIONALIDAD!$C$14+G112*ESTACIONALIDAD!$C$15+H112*ESTACIONALIDAD!$C$16+I112*ESTACIONALIDAD!$C$17</f>
        <v>133.094647525594</v>
      </c>
      <c r="L112" s="45" t="n">
        <f aca="false">F112*ESTACIONALIDAD!$D$14+G112*ESTACIONALIDAD!$D$15+H112*ESTACIONALIDAD!$D$16+I112*ESTACIONALIDAD!$D$17</f>
        <v>127.162291899162</v>
      </c>
      <c r="M112" s="45" t="n">
        <f aca="false">F112*ESTACIONALIDAD!$E$14+G112*ESTACIONALIDAD!$E$15+H112*ESTACIONALIDAD!$E$16+I112*ESTACIONALIDAD!$E$17</f>
        <v>122.156820148193</v>
      </c>
      <c r="N112" s="45" t="n">
        <f aca="false">F112*ESTACIONALIDAD!$F$14+G112*ESTACIONALIDAD!$F$15+H112*ESTACIONALIDAD!$F$16+I112*ESTACIONALIDAD!$F$17</f>
        <v>115.096510521714</v>
      </c>
      <c r="O112" s="45" t="n">
        <f aca="false">F112*ESTACIONALIDAD!$G$14+G112*ESTACIONALIDAD!$G$15+H112*ESTACIONALIDAD!$G$16+I112*ESTACIONALIDAD!$G$17</f>
        <v>111.692505979539</v>
      </c>
      <c r="P112" s="45" t="n">
        <f aca="false">F112*ESTACIONALIDAD!$H$14+G112*ESTACIONALIDAD!$H$15+H112*ESTACIONALIDAD!$H$16+I112*ESTACIONALIDAD!$H$17</f>
        <v>120.101982272684</v>
      </c>
      <c r="Q112" s="45" t="n">
        <f aca="false">F112*ESTACIONALIDAD!$I$14+G112*ESTACIONALIDAD!$I$15+H112*ESTACIONALIDAD!$I$16+I112*ESTACIONALIDAD!$I$17</f>
        <v>120.101982272684</v>
      </c>
      <c r="R112" s="45" t="n">
        <f aca="false">F112*ESTACIONALIDAD!$J$14+G112*ESTACIONALIDAD!$J$15+H112*ESTACIONALIDAD!$J$16+I112*ESTACIONALIDAD!$J$17</f>
        <v>119.427398939351</v>
      </c>
      <c r="S112" s="45" t="n">
        <f aca="false">F112*ESTACIONALIDAD!$K$14+G112*ESTACIONALIDAD!$K$15+H112*ESTACIONALIDAD!$K$16+I112*ESTACIONALIDAD!$K$17</f>
        <v>116.023394397176</v>
      </c>
      <c r="T112" s="45" t="n">
        <f aca="false">F112*ESTACIONALIDAD!$L$14+G112*ESTACIONALIDAD!$L$15+H112*ESTACIONALIDAD!$L$16+I112*ESTACIONALIDAD!$L$17</f>
        <v>113.293973188334</v>
      </c>
      <c r="U112" s="45" t="n">
        <f aca="false">F112*ESTACIONALIDAD!$M$14+G112*ESTACIONALIDAD!$M$15+H112*ESTACIONALIDAD!$M$16+I112*ESTACIONALIDAD!$M$17</f>
        <v>176.131088617797</v>
      </c>
      <c r="V112" s="45" t="n">
        <f aca="false">MAX(J112:U112)</f>
        <v>176.131088617797</v>
      </c>
      <c r="W112" s="46" t="n">
        <f aca="false">E112/INDEX(P_VAL,MATCH("DH_AÑO",P_ID,0))</f>
        <v>6.44574413317643</v>
      </c>
      <c r="X112" s="46" t="n">
        <f aca="false">V112/INDEX(P_VAL,MATCH("DH_MES",P_ID,0))</f>
        <v>8.80655443088987</v>
      </c>
      <c r="Y112" s="25" t="n">
        <f aca="false">INDEX(C_TAB,MATCH($A112,C_COD,0),12)</f>
        <v>10</v>
      </c>
      <c r="Z112" s="46" t="n">
        <f aca="false">(X112-W112)*Y112</f>
        <v>23.6081029771345</v>
      </c>
      <c r="AA112" s="45" t="n">
        <f aca="false">W112*Y112+Z112</f>
        <v>88.0655443088987</v>
      </c>
      <c r="AB112" s="25" t="n">
        <f aca="false">INDEX(C_TAB,MATCH($A112,C_COD,0),15)</f>
        <v>10</v>
      </c>
      <c r="AC112" s="45" t="n">
        <f aca="false">INDEX(C_TAB,MATCH($A112,C_COD,0),11)</f>
        <v>500</v>
      </c>
      <c r="AD112" s="45" t="n">
        <f aca="false">MAX(AC112,CEILING(X112*AB112,AC112))</f>
        <v>500</v>
      </c>
      <c r="AE112" s="25" t="n">
        <f aca="false">AD112/AC112</f>
        <v>1</v>
      </c>
      <c r="AF112" s="45" t="n">
        <f aca="false">Z112+AD112</f>
        <v>523.608102977134</v>
      </c>
      <c r="AG112" s="25" t="n">
        <f aca="false">ROUNDUP(AF112/AC112,0)</f>
        <v>2</v>
      </c>
      <c r="AH112" s="45" t="n">
        <f aca="false">IF(W112&gt;0,AF112/W112,0)</f>
        <v>81.2331504569207</v>
      </c>
      <c r="AI112" s="25" t="n">
        <f aca="false">IF(AD112&gt;0,E112/AD112,0)</f>
        <v>3.09395718392468</v>
      </c>
      <c r="AJ112" s="25" t="n">
        <f aca="false">INDEX(C_TAB,MATCH($A112,C_COD,0),16)</f>
        <v>50</v>
      </c>
      <c r="AK112" s="47" t="n">
        <f aca="false">IF(AJ112&gt;0,AG112/AJ112,0)</f>
        <v>0.04</v>
      </c>
      <c r="AL112" s="45" t="n">
        <f aca="false">INDEX(C_TAB,MATCH($A112,C_COD,0),17)</f>
        <v>0.73</v>
      </c>
      <c r="AM112" s="45" t="n">
        <f aca="false">AK112*AL112</f>
        <v>0.0292</v>
      </c>
    </row>
    <row r="113" customFormat="false" ht="15" hidden="false" customHeight="false" outlineLevel="0" collapsed="false">
      <c r="A113" s="24" t="s">
        <v>1890</v>
      </c>
      <c r="B113" s="24" t="str">
        <f aca="false">INDEX(C_TAB,MATCH($A113,C_COD,0),2)</f>
        <v>Esquinero de cartón 50 × 50 × 1200</v>
      </c>
      <c r="C113" s="24" t="str">
        <f aca="false">INDEX(C_TAB,MATCH($A113,C_COD,0),3)</f>
        <v>u</v>
      </c>
      <c r="D113" s="24" t="str">
        <f aca="false">INDEX(C_TAB,MATCH($A113,C_COD,0),6)</f>
        <v>Embalaje</v>
      </c>
      <c r="E113" s="45" t="n">
        <f aca="false">CONSOLIDADO_INSUMOS!T304</f>
        <v>539.666666666667</v>
      </c>
      <c r="F113" s="45" t="n">
        <f aca="false">SUMIFS(CONSOLIDADO_INSUMOS!$T$4:$T$350,CONSOLIDADO_INSUMOS!$B$4:$B$350,$A113,CONSOLIDADO_INSUMOS!$H$4:$H$350,"MANUALES")</f>
        <v>0</v>
      </c>
      <c r="G113" s="45" t="n">
        <f aca="false">SUMIFS(CONSOLIDADO_INSUMOS!$T$4:$T$350,CONSOLIDADO_INSUMOS!$B$4:$B$350,$A113,CONSOLIDADO_INSUMOS!$H$4:$H$350,"RODANTES")</f>
        <v>539.666666666667</v>
      </c>
      <c r="H113" s="45" t="n">
        <f aca="false">SUMIFS(CONSOLIDADO_INSUMOS!$T$4:$T$350,CONSOLIDADO_INSUMOS!$B$4:$B$350,$A113,CONSOLIDADO_INSUMOS!$H$4:$H$350,"RECARGAS")</f>
        <v>0</v>
      </c>
      <c r="I113" s="45" t="n">
        <f aca="false">SUMIFS(CONSOLIDADO_INSUMOS!$T$4:$T$350,CONSOLIDADO_INSUMOS!$B$4:$B$350,$A113,CONSOLIDADO_INSUMOS!$H$4:$H$350,"REVENDIDOS")</f>
        <v>0</v>
      </c>
      <c r="J113" s="45" t="n">
        <f aca="false">F113*ESTACIONALIDAD!$B$14+G113*ESTACIONALIDAD!$B$15+H113*ESTACIONALIDAD!$B$16+I113*ESTACIONALIDAD!$B$17</f>
        <v>45.8716666666667</v>
      </c>
      <c r="K113" s="45" t="n">
        <f aca="false">F113*ESTACIONALIDAD!$C$14+G113*ESTACIONALIDAD!$C$15+H113*ESTACIONALIDAD!$C$16+I113*ESTACIONALIDAD!$C$17</f>
        <v>40.475</v>
      </c>
      <c r="L113" s="45" t="n">
        <f aca="false">F113*ESTACIONALIDAD!$D$14+G113*ESTACIONALIDAD!$D$15+H113*ESTACIONALIDAD!$D$16+I113*ESTACIONALIDAD!$D$17</f>
        <v>48.57</v>
      </c>
      <c r="M113" s="45" t="n">
        <f aca="false">F113*ESTACIONALIDAD!$E$14+G113*ESTACIONALIDAD!$E$15+H113*ESTACIONALIDAD!$E$16+I113*ESTACIONALIDAD!$E$17</f>
        <v>48.57</v>
      </c>
      <c r="N113" s="45" t="n">
        <f aca="false">F113*ESTACIONALIDAD!$F$14+G113*ESTACIONALIDAD!$F$15+H113*ESTACIONALIDAD!$F$16+I113*ESTACIONALIDAD!$F$17</f>
        <v>48.57</v>
      </c>
      <c r="O113" s="45" t="n">
        <f aca="false">F113*ESTACIONALIDAD!$G$14+G113*ESTACIONALIDAD!$G$15+H113*ESTACIONALIDAD!$G$16+I113*ESTACIONALIDAD!$G$17</f>
        <v>43.1733333333333</v>
      </c>
      <c r="P113" s="45" t="n">
        <f aca="false">F113*ESTACIONALIDAD!$H$14+G113*ESTACIONALIDAD!$H$15+H113*ESTACIONALIDAD!$H$16+I113*ESTACIONALIDAD!$H$17</f>
        <v>48.57</v>
      </c>
      <c r="Q113" s="45" t="n">
        <f aca="false">F113*ESTACIONALIDAD!$I$14+G113*ESTACIONALIDAD!$I$15+H113*ESTACIONALIDAD!$I$16+I113*ESTACIONALIDAD!$I$17</f>
        <v>48.57</v>
      </c>
      <c r="R113" s="45" t="n">
        <f aca="false">F113*ESTACIONALIDAD!$J$14+G113*ESTACIONALIDAD!$J$15+H113*ESTACIONALIDAD!$J$16+I113*ESTACIONALIDAD!$J$17</f>
        <v>45.8716666666667</v>
      </c>
      <c r="S113" s="45" t="n">
        <f aca="false">F113*ESTACIONALIDAD!$K$14+G113*ESTACIONALIDAD!$K$15+H113*ESTACIONALIDAD!$K$16+I113*ESTACIONALIDAD!$K$17</f>
        <v>40.475</v>
      </c>
      <c r="T113" s="45" t="n">
        <f aca="false">F113*ESTACIONALIDAD!$L$14+G113*ESTACIONALIDAD!$L$15+H113*ESTACIONALIDAD!$L$16+I113*ESTACIONALIDAD!$L$17</f>
        <v>37.7766666666667</v>
      </c>
      <c r="U113" s="45" t="n">
        <f aca="false">F113*ESTACIONALIDAD!$M$14+G113*ESTACIONALIDAD!$M$15+H113*ESTACIONALIDAD!$M$16+I113*ESTACIONALIDAD!$M$17</f>
        <v>43.1733333333333</v>
      </c>
      <c r="V113" s="45" t="n">
        <f aca="false">MAX(J113:U113)</f>
        <v>48.57</v>
      </c>
      <c r="W113" s="46" t="n">
        <f aca="false">E113/INDEX(P_VAL,MATCH("DH_AÑO",P_ID,0))</f>
        <v>2.24861111111111</v>
      </c>
      <c r="X113" s="46" t="n">
        <f aca="false">V113/INDEX(P_VAL,MATCH("DH_MES",P_ID,0))</f>
        <v>2.4285</v>
      </c>
      <c r="Y113" s="25" t="n">
        <f aca="false">INDEX(C_TAB,MATCH($A113,C_COD,0),12)</f>
        <v>10</v>
      </c>
      <c r="Z113" s="46" t="n">
        <f aca="false">(X113-W113)*Y113</f>
        <v>1.79888888888889</v>
      </c>
      <c r="AA113" s="45" t="n">
        <f aca="false">W113*Y113+Z113</f>
        <v>24.285</v>
      </c>
      <c r="AB113" s="25" t="n">
        <f aca="false">INDEX(C_TAB,MATCH($A113,C_COD,0),15)</f>
        <v>10</v>
      </c>
      <c r="AC113" s="45" t="n">
        <f aca="false">INDEX(C_TAB,MATCH($A113,C_COD,0),11)</f>
        <v>100</v>
      </c>
      <c r="AD113" s="45" t="n">
        <f aca="false">MAX(AC113,CEILING(X113*AB113,AC113))</f>
        <v>100</v>
      </c>
      <c r="AE113" s="25" t="n">
        <f aca="false">AD113/AC113</f>
        <v>1</v>
      </c>
      <c r="AF113" s="45" t="n">
        <f aca="false">Z113+AD113</f>
        <v>101.798888888889</v>
      </c>
      <c r="AG113" s="25" t="n">
        <f aca="false">ROUNDUP(AF113/AC113,0)</f>
        <v>2</v>
      </c>
      <c r="AH113" s="45" t="n">
        <f aca="false">IF(W113&gt;0,AF113/W113,0)</f>
        <v>45.2718962322421</v>
      </c>
      <c r="AI113" s="25" t="n">
        <f aca="false">IF(AD113&gt;0,E113/AD113,0)</f>
        <v>5.39666666666667</v>
      </c>
      <c r="AJ113" s="25" t="n">
        <f aca="false">INDEX(C_TAB,MATCH($A113,C_COD,0),16)</f>
        <v>5</v>
      </c>
      <c r="AK113" s="47" t="n">
        <f aca="false">IF(AJ113&gt;0,AG113/AJ113,0)</f>
        <v>0.4</v>
      </c>
      <c r="AL113" s="45" t="n">
        <f aca="false">INDEX(C_TAB,MATCH($A113,C_COD,0),17)</f>
        <v>0.73</v>
      </c>
      <c r="AM113" s="45" t="n">
        <f aca="false">AK113*AL113</f>
        <v>0.292</v>
      </c>
    </row>
    <row r="114" customFormat="false" ht="15" hidden="false" customHeight="false" outlineLevel="0" collapsed="false">
      <c r="A114" s="24" t="s">
        <v>1885</v>
      </c>
      <c r="B114" s="24" t="str">
        <f aca="false">INDEX(C_TAB,MATCH($A114,C_COD,0),2)</f>
        <v>Funda de polietileno para rodante</v>
      </c>
      <c r="C114" s="24" t="str">
        <f aca="false">INDEX(C_TAB,MATCH($A114,C_COD,0),3)</f>
        <v>u</v>
      </c>
      <c r="D114" s="24" t="str">
        <f aca="false">INDEX(C_TAB,MATCH($A114,C_COD,0),6)</f>
        <v>Embalaje</v>
      </c>
      <c r="E114" s="45" t="n">
        <f aca="false">CONSOLIDADO_INSUMOS!T306</f>
        <v>1813.0821329</v>
      </c>
      <c r="F114" s="45" t="n">
        <f aca="false">SUMIFS(CONSOLIDADO_INSUMOS!$T$4:$T$350,CONSOLIDADO_INSUMOS!$B$4:$B$350,$A114,CONSOLIDADO_INSUMOS!$H$4:$H$350,"MANUALES")</f>
        <v>0</v>
      </c>
      <c r="G114" s="45" t="n">
        <f aca="false">SUMIFS(CONSOLIDADO_INSUMOS!$T$4:$T$350,CONSOLIDADO_INSUMOS!$B$4:$B$350,$A114,CONSOLIDADO_INSUMOS!$H$4:$H$350,"RODANTES")</f>
        <v>1813.0821329</v>
      </c>
      <c r="H114" s="45" t="n">
        <f aca="false">SUMIFS(CONSOLIDADO_INSUMOS!$T$4:$T$350,CONSOLIDADO_INSUMOS!$B$4:$B$350,$A114,CONSOLIDADO_INSUMOS!$H$4:$H$350,"RECARGAS")</f>
        <v>0</v>
      </c>
      <c r="I114" s="45" t="n">
        <f aca="false">SUMIFS(CONSOLIDADO_INSUMOS!$T$4:$T$350,CONSOLIDADO_INSUMOS!$B$4:$B$350,$A114,CONSOLIDADO_INSUMOS!$H$4:$H$350,"REVENDIDOS")</f>
        <v>0</v>
      </c>
      <c r="J114" s="45" t="n">
        <f aca="false">F114*ESTACIONALIDAD!$B$14+G114*ESTACIONALIDAD!$B$15+H114*ESTACIONALIDAD!$B$16+I114*ESTACIONALIDAD!$B$17</f>
        <v>154.1119812965</v>
      </c>
      <c r="K114" s="45" t="n">
        <f aca="false">F114*ESTACIONALIDAD!$C$14+G114*ESTACIONALIDAD!$C$15+H114*ESTACIONALIDAD!$C$16+I114*ESTACIONALIDAD!$C$17</f>
        <v>135.9811599675</v>
      </c>
      <c r="L114" s="45" t="n">
        <f aca="false">F114*ESTACIONALIDAD!$D$14+G114*ESTACIONALIDAD!$D$15+H114*ESTACIONALIDAD!$D$16+I114*ESTACIONALIDAD!$D$17</f>
        <v>163.177391961</v>
      </c>
      <c r="M114" s="45" t="n">
        <f aca="false">F114*ESTACIONALIDAD!$E$14+G114*ESTACIONALIDAD!$E$15+H114*ESTACIONALIDAD!$E$16+I114*ESTACIONALIDAD!$E$17</f>
        <v>163.177391961</v>
      </c>
      <c r="N114" s="45" t="n">
        <f aca="false">F114*ESTACIONALIDAD!$F$14+G114*ESTACIONALIDAD!$F$15+H114*ESTACIONALIDAD!$F$16+I114*ESTACIONALIDAD!$F$17</f>
        <v>163.177391961</v>
      </c>
      <c r="O114" s="45" t="n">
        <f aca="false">F114*ESTACIONALIDAD!$G$14+G114*ESTACIONALIDAD!$G$15+H114*ESTACIONALIDAD!$G$16+I114*ESTACIONALIDAD!$G$17</f>
        <v>145.046570632</v>
      </c>
      <c r="P114" s="45" t="n">
        <f aca="false">F114*ESTACIONALIDAD!$H$14+G114*ESTACIONALIDAD!$H$15+H114*ESTACIONALIDAD!$H$16+I114*ESTACIONALIDAD!$H$17</f>
        <v>163.177391961</v>
      </c>
      <c r="Q114" s="45" t="n">
        <f aca="false">F114*ESTACIONALIDAD!$I$14+G114*ESTACIONALIDAD!$I$15+H114*ESTACIONALIDAD!$I$16+I114*ESTACIONALIDAD!$I$17</f>
        <v>163.177391961</v>
      </c>
      <c r="R114" s="45" t="n">
        <f aca="false">F114*ESTACIONALIDAD!$J$14+G114*ESTACIONALIDAD!$J$15+H114*ESTACIONALIDAD!$J$16+I114*ESTACIONALIDAD!$J$17</f>
        <v>154.1119812965</v>
      </c>
      <c r="S114" s="45" t="n">
        <f aca="false">F114*ESTACIONALIDAD!$K$14+G114*ESTACIONALIDAD!$K$15+H114*ESTACIONALIDAD!$K$16+I114*ESTACIONALIDAD!$K$17</f>
        <v>135.9811599675</v>
      </c>
      <c r="T114" s="45" t="n">
        <f aca="false">F114*ESTACIONALIDAD!$L$14+G114*ESTACIONALIDAD!$L$15+H114*ESTACIONALIDAD!$L$16+I114*ESTACIONALIDAD!$L$17</f>
        <v>126.915749303</v>
      </c>
      <c r="U114" s="45" t="n">
        <f aca="false">F114*ESTACIONALIDAD!$M$14+G114*ESTACIONALIDAD!$M$15+H114*ESTACIONALIDAD!$M$16+I114*ESTACIONALIDAD!$M$17</f>
        <v>145.046570632</v>
      </c>
      <c r="V114" s="45" t="n">
        <f aca="false">MAX(J114:U114)</f>
        <v>163.177391961</v>
      </c>
      <c r="W114" s="46" t="n">
        <f aca="false">E114/INDEX(P_VAL,MATCH("DH_AÑO",P_ID,0))</f>
        <v>7.55450888708333</v>
      </c>
      <c r="X114" s="46" t="n">
        <f aca="false">V114/INDEX(P_VAL,MATCH("DH_MES",P_ID,0))</f>
        <v>8.15886959805</v>
      </c>
      <c r="Y114" s="25" t="n">
        <f aca="false">INDEX(C_TAB,MATCH($A114,C_COD,0),12)</f>
        <v>5</v>
      </c>
      <c r="Z114" s="46" t="n">
        <f aca="false">(X114-W114)*Y114</f>
        <v>3.02180355483333</v>
      </c>
      <c r="AA114" s="45" t="n">
        <f aca="false">W114*Y114+Z114</f>
        <v>40.79434799025</v>
      </c>
      <c r="AB114" s="25" t="n">
        <f aca="false">INDEX(C_TAB,MATCH($A114,C_COD,0),15)</f>
        <v>10</v>
      </c>
      <c r="AC114" s="45" t="n">
        <f aca="false">INDEX(C_TAB,MATCH($A114,C_COD,0),11)</f>
        <v>100</v>
      </c>
      <c r="AD114" s="45" t="n">
        <f aca="false">MAX(AC114,CEILING(X114*AB114,AC114))</f>
        <v>100</v>
      </c>
      <c r="AE114" s="25" t="n">
        <f aca="false">AD114/AC114</f>
        <v>1</v>
      </c>
      <c r="AF114" s="45" t="n">
        <f aca="false">Z114+AD114</f>
        <v>103.021803554833</v>
      </c>
      <c r="AG114" s="25" t="n">
        <f aca="false">ROUNDUP(AF114/AC114,0)</f>
        <v>2</v>
      </c>
      <c r="AH114" s="45" t="n">
        <f aca="false">IF(W114&gt;0,AF114/W114,0)</f>
        <v>13.6371278523452</v>
      </c>
      <c r="AI114" s="25" t="n">
        <f aca="false">IF(AD114&gt;0,E114/AD114,0)</f>
        <v>18.130821329</v>
      </c>
      <c r="AJ114" s="25" t="n">
        <f aca="false">INDEX(C_TAB,MATCH($A114,C_COD,0),16)</f>
        <v>10</v>
      </c>
      <c r="AK114" s="47" t="n">
        <f aca="false">IF(AJ114&gt;0,AG114/AJ114,0)</f>
        <v>0.2</v>
      </c>
      <c r="AL114" s="45" t="n">
        <f aca="false">INDEX(C_TAB,MATCH($A114,C_COD,0),17)</f>
        <v>0.73</v>
      </c>
      <c r="AM114" s="45" t="n">
        <f aca="false">AK114*AL114</f>
        <v>0.146</v>
      </c>
    </row>
    <row r="115" customFormat="false" ht="15" hidden="false" customHeight="false" outlineLevel="0" collapsed="false">
      <c r="A115" s="24" t="s">
        <v>610</v>
      </c>
      <c r="B115" s="24" t="str">
        <f aca="false">INDEX(C_TAB,MATCH($A115,C_COD,0),2)</f>
        <v>Tapón protector de rosca PE M22 (cilindro suelto)</v>
      </c>
      <c r="C115" s="24" t="str">
        <f aca="false">INDEX(C_TAB,MATCH($A115,C_COD,0),3)</f>
        <v>u</v>
      </c>
      <c r="D115" s="24" t="str">
        <f aca="false">INDEX(C_TAB,MATCH($A115,C_COD,0),6)</f>
        <v>Embalaje</v>
      </c>
      <c r="E115" s="45" t="n">
        <f aca="false">CONSOLIDADO_INSUMOS!T308</f>
        <v>170548</v>
      </c>
      <c r="F115" s="45" t="n">
        <f aca="false">SUMIFS(CONSOLIDADO_INSUMOS!$T$4:$T$350,CONSOLIDADO_INSUMOS!$B$4:$B$350,$A115,CONSOLIDADO_INSUMOS!$H$4:$H$350,"MANUALES")</f>
        <v>170548</v>
      </c>
      <c r="G115" s="45" t="n">
        <f aca="false">SUMIFS(CONSOLIDADO_INSUMOS!$T$4:$T$350,CONSOLIDADO_INSUMOS!$B$4:$B$350,$A115,CONSOLIDADO_INSUMOS!$H$4:$H$350,"RODANTES")</f>
        <v>0</v>
      </c>
      <c r="H115" s="45" t="n">
        <f aca="false">SUMIFS(CONSOLIDADO_INSUMOS!$T$4:$T$350,CONSOLIDADO_INSUMOS!$B$4:$B$350,$A115,CONSOLIDADO_INSUMOS!$H$4:$H$350,"RECARGAS")</f>
        <v>0</v>
      </c>
      <c r="I115" s="45" t="n">
        <f aca="false">SUMIFS(CONSOLIDADO_INSUMOS!$T$4:$T$350,CONSOLIDADO_INSUMOS!$B$4:$B$350,$A115,CONSOLIDADO_INSUMOS!$H$4:$H$350,"REVENDIDOS")</f>
        <v>0</v>
      </c>
      <c r="J115" s="45" t="n">
        <f aca="false">F115*ESTACIONALIDAD!$B$14+G115*ESTACIONALIDAD!$B$15+H115*ESTACIONALIDAD!$B$16+I115*ESTACIONALIDAD!$B$17</f>
        <v>19473.0316112111</v>
      </c>
      <c r="K115" s="45" t="n">
        <f aca="false">F115*ESTACIONALIDAD!$C$14+G115*ESTACIONALIDAD!$C$15+H115*ESTACIONALIDAD!$C$16+I115*ESTACIONALIDAD!$C$17</f>
        <v>14852.9558056056</v>
      </c>
      <c r="L115" s="45" t="n">
        <f aca="false">F115*ESTACIONALIDAD!$D$14+G115*ESTACIONALIDAD!$D$15+H115*ESTACIONALIDAD!$D$16+I115*ESTACIONALIDAD!$D$17</f>
        <v>13892.0220971972</v>
      </c>
      <c r="M115" s="45" t="n">
        <f aca="false">F115*ESTACIONALIDAD!$E$14+G115*ESTACIONALIDAD!$E$15+H115*ESTACIONALIDAD!$E$16+I115*ESTACIONALIDAD!$E$17</f>
        <v>13287.4641943944</v>
      </c>
      <c r="N115" s="45" t="n">
        <f aca="false">F115*ESTACIONALIDAD!$F$14+G115*ESTACIONALIDAD!$F$15+H115*ESTACIONALIDAD!$F$16+I115*ESTACIONALIDAD!$F$17</f>
        <v>12434.7241943944</v>
      </c>
      <c r="O115" s="45" t="n">
        <f aca="false">F115*ESTACIONALIDAD!$G$14+G115*ESTACIONALIDAD!$G$15+H115*ESTACIONALIDAD!$G$16+I115*ESTACIONALIDAD!$G$17</f>
        <v>12186.5420971972</v>
      </c>
      <c r="P115" s="45" t="n">
        <f aca="false">F115*ESTACIONALIDAD!$H$14+G115*ESTACIONALIDAD!$H$15+H115*ESTACIONALIDAD!$H$16+I115*ESTACIONALIDAD!$H$17</f>
        <v>13039.2820971972</v>
      </c>
      <c r="Q115" s="45" t="n">
        <f aca="false">F115*ESTACIONALIDAD!$I$14+G115*ESTACIONALIDAD!$I$15+H115*ESTACIONALIDAD!$I$16+I115*ESTACIONALIDAD!$I$17</f>
        <v>13039.2820971972</v>
      </c>
      <c r="R115" s="45" t="n">
        <f aca="false">F115*ESTACIONALIDAD!$J$14+G115*ESTACIONALIDAD!$J$15+H115*ESTACIONALIDAD!$J$16+I115*ESTACIONALIDAD!$J$17</f>
        <v>13039.2820971972</v>
      </c>
      <c r="S115" s="45" t="n">
        <f aca="false">F115*ESTACIONALIDAD!$K$14+G115*ESTACIONALIDAD!$K$15+H115*ESTACIONALIDAD!$K$16+I115*ESTACIONALIDAD!$K$17</f>
        <v>12791.1</v>
      </c>
      <c r="T115" s="45" t="n">
        <f aca="false">F115*ESTACIONALIDAD!$L$14+G115*ESTACIONALIDAD!$L$15+H115*ESTACIONALIDAD!$L$16+I115*ESTACIONALIDAD!$L$17</f>
        <v>12542.9179028028</v>
      </c>
      <c r="U115" s="45" t="n">
        <f aca="false">F115*ESTACIONALIDAD!$M$14+G115*ESTACIONALIDAD!$M$15+H115*ESTACIONALIDAD!$M$16+I115*ESTACIONALIDAD!$M$17</f>
        <v>19969.3958056056</v>
      </c>
      <c r="V115" s="45" t="n">
        <f aca="false">MAX(J115:U115)</f>
        <v>19969.3958056056</v>
      </c>
      <c r="W115" s="46" t="n">
        <f aca="false">E115/INDEX(P_VAL,MATCH("DH_AÑO",P_ID,0))</f>
        <v>710.616666666667</v>
      </c>
      <c r="X115" s="46" t="n">
        <f aca="false">V115/INDEX(P_VAL,MATCH("DH_MES",P_ID,0))</f>
        <v>998.469790280279</v>
      </c>
      <c r="Y115" s="25" t="n">
        <f aca="false">INDEX(C_TAB,MATCH($A115,C_COD,0),12)</f>
        <v>10</v>
      </c>
      <c r="Z115" s="46" t="n">
        <f aca="false">(X115-W115)*Y115</f>
        <v>2878.53123613612</v>
      </c>
      <c r="AA115" s="45" t="n">
        <f aca="false">W115*Y115+Z115</f>
        <v>9984.69790280279</v>
      </c>
      <c r="AB115" s="25" t="n">
        <f aca="false">INDEX(C_TAB,MATCH($A115,C_COD,0),15)</f>
        <v>10</v>
      </c>
      <c r="AC115" s="45" t="n">
        <f aca="false">INDEX(C_TAB,MATCH($A115,C_COD,0),11)</f>
        <v>5000</v>
      </c>
      <c r="AD115" s="45" t="n">
        <f aca="false">MAX(AC115,CEILING(X115*AB115,AC115))</f>
        <v>10000</v>
      </c>
      <c r="AE115" s="25" t="n">
        <f aca="false">AD115/AC115</f>
        <v>2</v>
      </c>
      <c r="AF115" s="45" t="n">
        <f aca="false">Z115+AD115</f>
        <v>12878.5312361361</v>
      </c>
      <c r="AG115" s="25" t="n">
        <f aca="false">ROUNDUP(AF115/AC115,0)</f>
        <v>3</v>
      </c>
      <c r="AH115" s="45" t="n">
        <f aca="false">IF(W115&gt;0,AF115/W115,0)</f>
        <v>18.1230357240933</v>
      </c>
      <c r="AI115" s="25" t="n">
        <f aca="false">IF(AD115&gt;0,E115/AD115,0)</f>
        <v>17.0548</v>
      </c>
      <c r="AJ115" s="25" t="n">
        <f aca="false">INDEX(C_TAB,MATCH($A115,C_COD,0),16)</f>
        <v>4</v>
      </c>
      <c r="AK115" s="47" t="n">
        <f aca="false">IF(AJ115&gt;0,AG115/AJ115,0)</f>
        <v>0.75</v>
      </c>
      <c r="AL115" s="45" t="n">
        <f aca="false">INDEX(C_TAB,MATCH($A115,C_COD,0),17)</f>
        <v>0.73</v>
      </c>
      <c r="AM115" s="45" t="n">
        <f aca="false">AK115*AL115</f>
        <v>0.5475</v>
      </c>
    </row>
    <row r="116" customFormat="false" ht="15" hidden="false" customHeight="false" outlineLevel="0" collapsed="false">
      <c r="A116" s="24" t="s">
        <v>710</v>
      </c>
      <c r="B116" s="24" t="str">
        <f aca="false">INDEX(C_TAB,MATCH($A116,C_COD,0),2)</f>
        <v>Tapón protector de rosca PE M30 (cilindro suelto)</v>
      </c>
      <c r="C116" s="24" t="str">
        <f aca="false">INDEX(C_TAB,MATCH($A116,C_COD,0),3)</f>
        <v>u</v>
      </c>
      <c r="D116" s="24" t="str">
        <f aca="false">INDEX(C_TAB,MATCH($A116,C_COD,0),6)</f>
        <v>Embalaje</v>
      </c>
      <c r="E116" s="45" t="n">
        <f aca="false">CONSOLIDADO_INSUMOS!T310</f>
        <v>42625</v>
      </c>
      <c r="F116" s="45" t="n">
        <f aca="false">SUMIFS(CONSOLIDADO_INSUMOS!$T$4:$T$350,CONSOLIDADO_INSUMOS!$B$4:$B$350,$A116,CONSOLIDADO_INSUMOS!$H$4:$H$350,"MANUALES")</f>
        <v>41595</v>
      </c>
      <c r="G116" s="45" t="n">
        <f aca="false">SUMIFS(CONSOLIDADO_INSUMOS!$T$4:$T$350,CONSOLIDADO_INSUMOS!$B$4:$B$350,$A116,CONSOLIDADO_INSUMOS!$H$4:$H$350,"RODANTES")</f>
        <v>1030</v>
      </c>
      <c r="H116" s="45" t="n">
        <f aca="false">SUMIFS(CONSOLIDADO_INSUMOS!$T$4:$T$350,CONSOLIDADO_INSUMOS!$B$4:$B$350,$A116,CONSOLIDADO_INSUMOS!$H$4:$H$350,"RECARGAS")</f>
        <v>0</v>
      </c>
      <c r="I116" s="45" t="n">
        <f aca="false">SUMIFS(CONSOLIDADO_INSUMOS!$T$4:$T$350,CONSOLIDADO_INSUMOS!$B$4:$B$350,$A116,CONSOLIDADO_INSUMOS!$H$4:$H$350,"REVENDIDOS")</f>
        <v>0</v>
      </c>
      <c r="J116" s="45" t="n">
        <f aca="false">F116*ESTACIONALIDAD!$B$14+G116*ESTACIONALIDAD!$B$15+H116*ESTACIONALIDAD!$B$16+I116*ESTACIONALIDAD!$B$17</f>
        <v>4836.83319222933</v>
      </c>
      <c r="K116" s="45" t="n">
        <f aca="false">F116*ESTACIONALIDAD!$C$14+G116*ESTACIONALIDAD!$C$15+H116*ESTACIONALIDAD!$C$16+I116*ESTACIONALIDAD!$C$17</f>
        <v>3699.74159611466</v>
      </c>
      <c r="L116" s="45" t="n">
        <f aca="false">F116*ESTACIONALIDAD!$D$14+G116*ESTACIONALIDAD!$D$15+H116*ESTACIONALIDAD!$D$16+I116*ESTACIONALIDAD!$D$17</f>
        <v>3480.82920194267</v>
      </c>
      <c r="M116" s="45" t="n">
        <f aca="false">F116*ESTACIONALIDAD!$E$14+G116*ESTACIONALIDAD!$E$15+H116*ESTACIONALIDAD!$E$16+I116*ESTACIONALIDAD!$E$17</f>
        <v>3333.38340388534</v>
      </c>
      <c r="N116" s="45" t="n">
        <f aca="false">F116*ESTACIONALIDAD!$F$14+G116*ESTACIONALIDAD!$F$15+H116*ESTACIONALIDAD!$F$16+I116*ESTACIONALIDAD!$F$17</f>
        <v>3125.40840388534</v>
      </c>
      <c r="O116" s="45" t="n">
        <f aca="false">F116*ESTACIONALIDAD!$G$14+G116*ESTACIONALIDAD!$G$15+H116*ESTACIONALIDAD!$G$16+I116*ESTACIONALIDAD!$G$17</f>
        <v>3054.57920194267</v>
      </c>
      <c r="P116" s="45" t="n">
        <f aca="false">F116*ESTACIONALIDAD!$H$14+G116*ESTACIONALIDAD!$H$15+H116*ESTACIONALIDAD!$H$16+I116*ESTACIONALIDAD!$H$17</f>
        <v>3272.85420194267</v>
      </c>
      <c r="Q116" s="45" t="n">
        <f aca="false">F116*ESTACIONALIDAD!$I$14+G116*ESTACIONALIDAD!$I$15+H116*ESTACIONALIDAD!$I$16+I116*ESTACIONALIDAD!$I$17</f>
        <v>3272.85420194267</v>
      </c>
      <c r="R116" s="45" t="n">
        <f aca="false">F116*ESTACIONALIDAD!$J$14+G116*ESTACIONALIDAD!$J$15+H116*ESTACIONALIDAD!$J$16+I116*ESTACIONALIDAD!$J$17</f>
        <v>3267.70420194267</v>
      </c>
      <c r="S116" s="45" t="n">
        <f aca="false">F116*ESTACIONALIDAD!$K$14+G116*ESTACIONALIDAD!$K$15+H116*ESTACIONALIDAD!$K$16+I116*ESTACIONALIDAD!$K$17</f>
        <v>3196.875</v>
      </c>
      <c r="T116" s="45" t="n">
        <f aca="false">F116*ESTACIONALIDAD!$L$14+G116*ESTACIONALIDAD!$L$15+H116*ESTACIONALIDAD!$L$16+I116*ESTACIONALIDAD!$L$17</f>
        <v>3131.19579805733</v>
      </c>
      <c r="U116" s="45" t="n">
        <f aca="false">F116*ESTACIONALIDAD!$M$14+G116*ESTACIONALIDAD!$M$15+H116*ESTACIONALIDAD!$M$16+I116*ESTACIONALIDAD!$M$17</f>
        <v>4952.74159611466</v>
      </c>
      <c r="V116" s="45" t="n">
        <f aca="false">MAX(J116:U116)</f>
        <v>4952.74159611466</v>
      </c>
      <c r="W116" s="46" t="n">
        <f aca="false">E116/INDEX(P_VAL,MATCH("DH_AÑO",P_ID,0))</f>
        <v>177.604166666667</v>
      </c>
      <c r="X116" s="46" t="n">
        <f aca="false">V116/INDEX(P_VAL,MATCH("DH_MES",P_ID,0))</f>
        <v>247.637079805733</v>
      </c>
      <c r="Y116" s="25" t="n">
        <f aca="false">INDEX(C_TAB,MATCH($A116,C_COD,0),12)</f>
        <v>10</v>
      </c>
      <c r="Z116" s="46" t="n">
        <f aca="false">(X116-W116)*Y116</f>
        <v>700.329131390665</v>
      </c>
      <c r="AA116" s="45" t="n">
        <f aca="false">W116*Y116+Z116</f>
        <v>2476.37079805733</v>
      </c>
      <c r="AB116" s="25" t="n">
        <f aca="false">INDEX(C_TAB,MATCH($A116,C_COD,0),15)</f>
        <v>10</v>
      </c>
      <c r="AC116" s="45" t="n">
        <f aca="false">INDEX(C_TAB,MATCH($A116,C_COD,0),11)</f>
        <v>5000</v>
      </c>
      <c r="AD116" s="45" t="n">
        <f aca="false">MAX(AC116,CEILING(X116*AB116,AC116))</f>
        <v>5000</v>
      </c>
      <c r="AE116" s="25" t="n">
        <f aca="false">AD116/AC116</f>
        <v>1</v>
      </c>
      <c r="AF116" s="45" t="n">
        <f aca="false">Z116+AD116</f>
        <v>5700.32913139067</v>
      </c>
      <c r="AG116" s="25" t="n">
        <f aca="false">ROUNDUP(AF116/AC116,0)</f>
        <v>2</v>
      </c>
      <c r="AH116" s="45" t="n">
        <f aca="false">IF(W116&gt;0,AF116/W116,0)</f>
        <v>32.0956948160413</v>
      </c>
      <c r="AI116" s="25" t="n">
        <f aca="false">IF(AD116&gt;0,E116/AD116,0)</f>
        <v>8.525</v>
      </c>
      <c r="AJ116" s="25" t="n">
        <f aca="false">INDEX(C_TAB,MATCH($A116,C_COD,0),16)</f>
        <v>4</v>
      </c>
      <c r="AK116" s="47" t="n">
        <f aca="false">IF(AJ116&gt;0,AG116/AJ116,0)</f>
        <v>0.5</v>
      </c>
      <c r="AL116" s="45" t="n">
        <f aca="false">INDEX(C_TAB,MATCH($A116,C_COD,0),17)</f>
        <v>0.73</v>
      </c>
      <c r="AM116" s="45" t="n">
        <f aca="false">AK116*AL116</f>
        <v>0.365</v>
      </c>
    </row>
    <row r="117" customFormat="false" ht="15" hidden="false" customHeight="false" outlineLevel="0" collapsed="false">
      <c r="A117" s="24" t="s">
        <v>1225</v>
      </c>
      <c r="B117" s="24" t="str">
        <f aca="false">INDEX(C_TAB,MATCH($A117,C_COD,0),2)</f>
        <v>Tapón protector de rosca PE 2½" (cilindro suelto)</v>
      </c>
      <c r="C117" s="24" t="str">
        <f aca="false">INDEX(C_TAB,MATCH($A117,C_COD,0),3)</f>
        <v>u</v>
      </c>
      <c r="D117" s="24" t="str">
        <f aca="false">INDEX(C_TAB,MATCH($A117,C_COD,0),6)</f>
        <v>Embalaje</v>
      </c>
      <c r="E117" s="45" t="n">
        <f aca="false">CONSOLIDADO_INSUMOS!T313</f>
        <v>257</v>
      </c>
      <c r="F117" s="45" t="n">
        <f aca="false">SUMIFS(CONSOLIDADO_INSUMOS!$T$4:$T$350,CONSOLIDADO_INSUMOS!$B$4:$B$350,$A117,CONSOLIDADO_INSUMOS!$H$4:$H$350,"MANUALES")</f>
        <v>0</v>
      </c>
      <c r="G117" s="45" t="n">
        <f aca="false">SUMIFS(CONSOLIDADO_INSUMOS!$T$4:$T$350,CONSOLIDADO_INSUMOS!$B$4:$B$350,$A117,CONSOLIDADO_INSUMOS!$H$4:$H$350,"RODANTES")</f>
        <v>257</v>
      </c>
      <c r="H117" s="45" t="n">
        <f aca="false">SUMIFS(CONSOLIDADO_INSUMOS!$T$4:$T$350,CONSOLIDADO_INSUMOS!$B$4:$B$350,$A117,CONSOLIDADO_INSUMOS!$H$4:$H$350,"RECARGAS")</f>
        <v>0</v>
      </c>
      <c r="I117" s="45" t="n">
        <f aca="false">SUMIFS(CONSOLIDADO_INSUMOS!$T$4:$T$350,CONSOLIDADO_INSUMOS!$B$4:$B$350,$A117,CONSOLIDADO_INSUMOS!$H$4:$H$350,"REVENDIDOS")</f>
        <v>0</v>
      </c>
      <c r="J117" s="45" t="n">
        <f aca="false">F117*ESTACIONALIDAD!$B$14+G117*ESTACIONALIDAD!$B$15+H117*ESTACIONALIDAD!$B$16+I117*ESTACIONALIDAD!$B$17</f>
        <v>21.845</v>
      </c>
      <c r="K117" s="45" t="n">
        <f aca="false">F117*ESTACIONALIDAD!$C$14+G117*ESTACIONALIDAD!$C$15+H117*ESTACIONALIDAD!$C$16+I117*ESTACIONALIDAD!$C$17</f>
        <v>19.275</v>
      </c>
      <c r="L117" s="45" t="n">
        <f aca="false">F117*ESTACIONALIDAD!$D$14+G117*ESTACIONALIDAD!$D$15+H117*ESTACIONALIDAD!$D$16+I117*ESTACIONALIDAD!$D$17</f>
        <v>23.13</v>
      </c>
      <c r="M117" s="45" t="n">
        <f aca="false">F117*ESTACIONALIDAD!$E$14+G117*ESTACIONALIDAD!$E$15+H117*ESTACIONALIDAD!$E$16+I117*ESTACIONALIDAD!$E$17</f>
        <v>23.13</v>
      </c>
      <c r="N117" s="45" t="n">
        <f aca="false">F117*ESTACIONALIDAD!$F$14+G117*ESTACIONALIDAD!$F$15+H117*ESTACIONALIDAD!$F$16+I117*ESTACIONALIDAD!$F$17</f>
        <v>23.13</v>
      </c>
      <c r="O117" s="45" t="n">
        <f aca="false">F117*ESTACIONALIDAD!$G$14+G117*ESTACIONALIDAD!$G$15+H117*ESTACIONALIDAD!$G$16+I117*ESTACIONALIDAD!$G$17</f>
        <v>20.56</v>
      </c>
      <c r="P117" s="45" t="n">
        <f aca="false">F117*ESTACIONALIDAD!$H$14+G117*ESTACIONALIDAD!$H$15+H117*ESTACIONALIDAD!$H$16+I117*ESTACIONALIDAD!$H$17</f>
        <v>23.13</v>
      </c>
      <c r="Q117" s="45" t="n">
        <f aca="false">F117*ESTACIONALIDAD!$I$14+G117*ESTACIONALIDAD!$I$15+H117*ESTACIONALIDAD!$I$16+I117*ESTACIONALIDAD!$I$17</f>
        <v>23.13</v>
      </c>
      <c r="R117" s="45" t="n">
        <f aca="false">F117*ESTACIONALIDAD!$J$14+G117*ESTACIONALIDAD!$J$15+H117*ESTACIONALIDAD!$J$16+I117*ESTACIONALIDAD!$J$17</f>
        <v>21.845</v>
      </c>
      <c r="S117" s="45" t="n">
        <f aca="false">F117*ESTACIONALIDAD!$K$14+G117*ESTACIONALIDAD!$K$15+H117*ESTACIONALIDAD!$K$16+I117*ESTACIONALIDAD!$K$17</f>
        <v>19.275</v>
      </c>
      <c r="T117" s="45" t="n">
        <f aca="false">F117*ESTACIONALIDAD!$L$14+G117*ESTACIONALIDAD!$L$15+H117*ESTACIONALIDAD!$L$16+I117*ESTACIONALIDAD!$L$17</f>
        <v>17.99</v>
      </c>
      <c r="U117" s="45" t="n">
        <f aca="false">F117*ESTACIONALIDAD!$M$14+G117*ESTACIONALIDAD!$M$15+H117*ESTACIONALIDAD!$M$16+I117*ESTACIONALIDAD!$M$17</f>
        <v>20.56</v>
      </c>
      <c r="V117" s="45" t="n">
        <f aca="false">MAX(J117:U117)</f>
        <v>23.13</v>
      </c>
      <c r="W117" s="46" t="n">
        <f aca="false">E117/INDEX(P_VAL,MATCH("DH_AÑO",P_ID,0))</f>
        <v>1.07083333333333</v>
      </c>
      <c r="X117" s="46" t="n">
        <f aca="false">V117/INDEX(P_VAL,MATCH("DH_MES",P_ID,0))</f>
        <v>1.1565</v>
      </c>
      <c r="Y117" s="25" t="n">
        <f aca="false">INDEX(C_TAB,MATCH($A117,C_COD,0),12)</f>
        <v>10</v>
      </c>
      <c r="Z117" s="46" t="n">
        <f aca="false">(X117-W117)*Y117</f>
        <v>0.856666666666666</v>
      </c>
      <c r="AA117" s="45" t="n">
        <f aca="false">W117*Y117+Z117</f>
        <v>11.565</v>
      </c>
      <c r="AB117" s="25" t="n">
        <f aca="false">INDEX(C_TAB,MATCH($A117,C_COD,0),15)</f>
        <v>10</v>
      </c>
      <c r="AC117" s="45" t="n">
        <f aca="false">INDEX(C_TAB,MATCH($A117,C_COD,0),11)</f>
        <v>500</v>
      </c>
      <c r="AD117" s="45" t="n">
        <f aca="false">MAX(AC117,CEILING(X117*AB117,AC117))</f>
        <v>500</v>
      </c>
      <c r="AE117" s="25" t="n">
        <f aca="false">AD117/AC117</f>
        <v>1</v>
      </c>
      <c r="AF117" s="45" t="n">
        <f aca="false">Z117+AD117</f>
        <v>500.856666666667</v>
      </c>
      <c r="AG117" s="25" t="n">
        <f aca="false">ROUNDUP(AF117/AC117,0)</f>
        <v>2</v>
      </c>
      <c r="AH117" s="45" t="n">
        <f aca="false">IF(W117&gt;0,AF117/W117,0)</f>
        <v>467.726070038911</v>
      </c>
      <c r="AI117" s="25" t="n">
        <f aca="false">IF(AD117&gt;0,E117/AD117,0)</f>
        <v>0.514</v>
      </c>
      <c r="AJ117" s="25" t="n">
        <f aca="false">INDEX(C_TAB,MATCH($A117,C_COD,0),16)</f>
        <v>4</v>
      </c>
      <c r="AK117" s="47" t="n">
        <f aca="false">IF(AJ117&gt;0,AG117/AJ117,0)</f>
        <v>0.5</v>
      </c>
      <c r="AL117" s="45" t="n">
        <f aca="false">INDEX(C_TAB,MATCH($A117,C_COD,0),17)</f>
        <v>0.73</v>
      </c>
      <c r="AM117" s="45" t="n">
        <f aca="false">AK117*AL117</f>
        <v>0.365</v>
      </c>
    </row>
    <row r="118" customFormat="false" ht="15" hidden="false" customHeight="false" outlineLevel="0" collapsed="false">
      <c r="A118" s="24" t="s">
        <v>1329</v>
      </c>
      <c r="B118" s="24" t="str">
        <f aca="false">INDEX(C_TAB,MATCH($A118,C_COD,0),2)</f>
        <v>Matafuego Agua 10 l terminado (reventa)</v>
      </c>
      <c r="C118" s="24" t="str">
        <f aca="false">INDEX(C_TAB,MATCH($A118,C_COD,0),3)</f>
        <v>u</v>
      </c>
      <c r="D118" s="24" t="str">
        <f aca="false">INDEX(C_TAB,MATCH($A118,C_COD,0),6)</f>
        <v>Equipos revendidos (almacén de PT)</v>
      </c>
      <c r="E118" s="45" t="n">
        <f aca="false">CONSOLIDADO_INSUMOS!T325</f>
        <v>2916.147406</v>
      </c>
      <c r="F118" s="45" t="n">
        <f aca="false">SUMIFS(CONSOLIDADO_INSUMOS!$T$4:$T$350,CONSOLIDADO_INSUMOS!$B$4:$B$350,$A118,CONSOLIDADO_INSUMOS!$H$4:$H$350,"MANUALES")</f>
        <v>0</v>
      </c>
      <c r="G118" s="45" t="n">
        <f aca="false">SUMIFS(CONSOLIDADO_INSUMOS!$T$4:$T$350,CONSOLIDADO_INSUMOS!$B$4:$B$350,$A118,CONSOLIDADO_INSUMOS!$H$4:$H$350,"RODANTES")</f>
        <v>0</v>
      </c>
      <c r="H118" s="45" t="n">
        <f aca="false">SUMIFS(CONSOLIDADO_INSUMOS!$T$4:$T$350,CONSOLIDADO_INSUMOS!$B$4:$B$350,$A118,CONSOLIDADO_INSUMOS!$H$4:$H$350,"RECARGAS")</f>
        <v>11.25</v>
      </c>
      <c r="I118" s="45" t="n">
        <f aca="false">SUMIFS(CONSOLIDADO_INSUMOS!$T$4:$T$350,CONSOLIDADO_INSUMOS!$B$4:$B$350,$A118,CONSOLIDADO_INSUMOS!$H$4:$H$350,"REVENDIDOS")</f>
        <v>2904.897406</v>
      </c>
      <c r="J118" s="45" t="n">
        <f aca="false">F118*ESTACIONALIDAD!$B$14+G118*ESTACIONALIDAD!$B$15+H118*ESTACIONALIDAD!$B$16+I118*ESTACIONALIDAD!$B$17</f>
        <v>290.55594318667</v>
      </c>
      <c r="K118" s="45" t="n">
        <f aca="false">F118*ESTACIONALIDAD!$C$14+G118*ESTACIONALIDAD!$C$15+H118*ESTACIONALIDAD!$C$16+I118*ESTACIONALIDAD!$C$17</f>
        <v>232.944565061819</v>
      </c>
      <c r="L118" s="45" t="n">
        <f aca="false">F118*ESTACIONALIDAD!$D$14+G118*ESTACIONALIDAD!$D$15+H118*ESTACIONALIDAD!$D$16+I118*ESTACIONALIDAD!$D$17</f>
        <v>248.16695449779</v>
      </c>
      <c r="M118" s="45" t="n">
        <f aca="false">F118*ESTACIONALIDAD!$E$14+G118*ESTACIONALIDAD!$E$15+H118*ESTACIONALIDAD!$E$16+I118*ESTACIONALIDAD!$E$17</f>
        <v>248.140796108267</v>
      </c>
      <c r="N118" s="45" t="n">
        <f aca="false">F118*ESTACIONALIDAD!$F$14+G118*ESTACIONALIDAD!$F$15+H118*ESTACIONALIDAD!$F$16+I118*ESTACIONALIDAD!$F$17</f>
        <v>233.924887306579</v>
      </c>
      <c r="O118" s="45" t="n">
        <f aca="false">F118*ESTACIONALIDAD!$G$14+G118*ESTACIONALIDAD!$G$15+H118*ESTACIONALIDAD!$G$16+I118*ESTACIONALIDAD!$G$17</f>
        <v>219.037991415368</v>
      </c>
      <c r="P118" s="45" t="n">
        <f aca="false">F118*ESTACIONALIDAD!$H$14+G118*ESTACIONALIDAD!$H$15+H118*ESTACIONALIDAD!$H$16+I118*ESTACIONALIDAD!$H$17</f>
        <v>233.952559549954</v>
      </c>
      <c r="Q118" s="45" t="n">
        <f aca="false">F118*ESTACIONALIDAD!$I$14+G118*ESTACIONALIDAD!$I$15+H118*ESTACIONALIDAD!$I$16+I118*ESTACIONALIDAD!$I$17</f>
        <v>233.977204085625</v>
      </c>
      <c r="R118" s="45" t="n">
        <f aca="false">F118*ESTACIONALIDAD!$J$14+G118*ESTACIONALIDAD!$J$15+H118*ESTACIONALIDAD!$J$16+I118*ESTACIONALIDAD!$J$17</f>
        <v>233.641710540864</v>
      </c>
      <c r="S118" s="45" t="n">
        <f aca="false">F118*ESTACIONALIDAD!$K$14+G118*ESTACIONALIDAD!$K$15+H118*ESTACIONALIDAD!$K$16+I118*ESTACIONALIDAD!$K$17</f>
        <v>218.75557157658</v>
      </c>
      <c r="T118" s="45" t="n">
        <f aca="false">F118*ESTACIONALIDAD!$L$14+G118*ESTACIONALIDAD!$L$15+H118*ESTACIONALIDAD!$L$16+I118*ESTACIONALIDAD!$L$17</f>
        <v>204.230327619654</v>
      </c>
      <c r="U118" s="45" t="n">
        <f aca="false">F118*ESTACIONALIDAD!$M$14+G118*ESTACIONALIDAD!$M$15+H118*ESTACIONALIDAD!$M$16+I118*ESTACIONALIDAD!$M$17</f>
        <v>318.81889505083</v>
      </c>
      <c r="V118" s="45" t="n">
        <f aca="false">MAX(J118:U118)</f>
        <v>318.81889505083</v>
      </c>
      <c r="W118" s="46" t="n">
        <f aca="false">E118/INDEX(P_VAL,MATCH("DH_AÑO",P_ID,0))</f>
        <v>12.1506141916667</v>
      </c>
      <c r="X118" s="46" t="n">
        <f aca="false">V118/INDEX(P_VAL,MATCH("DH_MES",P_ID,0))</f>
        <v>15.9409447525415</v>
      </c>
      <c r="Y118" s="25" t="n">
        <f aca="false">INDEX(C_TAB,MATCH($A118,C_COD,0),12)</f>
        <v>15</v>
      </c>
      <c r="Z118" s="46" t="n">
        <f aca="false">(X118-W118)*Y118</f>
        <v>56.8549584131227</v>
      </c>
      <c r="AA118" s="45" t="n">
        <f aca="false">W118*Y118+Z118</f>
        <v>239.114171288123</v>
      </c>
      <c r="AB118" s="25" t="n">
        <f aca="false">INDEX(C_TAB,MATCH($A118,C_COD,0),15)</f>
        <v>10</v>
      </c>
      <c r="AC118" s="45" t="n">
        <f aca="false">INDEX(C_TAB,MATCH($A118,C_COD,0),11)</f>
        <v>1</v>
      </c>
      <c r="AD118" s="45" t="n">
        <f aca="false">MAX(AC118,CEILING(X118*AB118,AC118))</f>
        <v>160</v>
      </c>
      <c r="AE118" s="25" t="n">
        <f aca="false">AD118/AC118</f>
        <v>160</v>
      </c>
      <c r="AF118" s="45" t="n">
        <f aca="false">Z118+AD118</f>
        <v>216.854958413123</v>
      </c>
      <c r="AG118" s="25" t="n">
        <f aca="false">ROUNDUP(AF118/AC118,0)</f>
        <v>217</v>
      </c>
      <c r="AH118" s="45" t="n">
        <f aca="false">IF(W118&gt;0,AF118/W118,0)</f>
        <v>17.8472425337848</v>
      </c>
      <c r="AI118" s="25" t="n">
        <f aca="false">IF(AD118&gt;0,E118/AD118,0)</f>
        <v>18.2259212875</v>
      </c>
      <c r="AJ118" s="25" t="n">
        <f aca="false">INDEX(C_TAB,MATCH($A118,C_COD,0),16)</f>
        <v>24</v>
      </c>
      <c r="AK118" s="47" t="n">
        <f aca="false">IF(AJ118&gt;0,AG118/AJ118,0)</f>
        <v>9.04166666666667</v>
      </c>
      <c r="AL118" s="45" t="n">
        <f aca="false">INDEX(C_TAB,MATCH($A118,C_COD,0),17)</f>
        <v>0.73</v>
      </c>
      <c r="AM118" s="45" t="n">
        <f aca="false">AK118*AL118</f>
        <v>6.60041666666667</v>
      </c>
    </row>
    <row r="119" customFormat="false" ht="15" hidden="false" customHeight="false" outlineLevel="0" collapsed="false">
      <c r="A119" s="24" t="s">
        <v>1333</v>
      </c>
      <c r="B119" s="24" t="str">
        <f aca="false">INDEX(C_TAB,MATCH($A119,C_COD,0),2)</f>
        <v>Matafuego AFFF 10 l terminado (reventa)</v>
      </c>
      <c r="C119" s="24" t="str">
        <f aca="false">INDEX(C_TAB,MATCH($A119,C_COD,0),3)</f>
        <v>u</v>
      </c>
      <c r="D119" s="24" t="str">
        <f aca="false">INDEX(C_TAB,MATCH($A119,C_COD,0),6)</f>
        <v>Equipos revendidos (almacén de PT)</v>
      </c>
      <c r="E119" s="45" t="n">
        <f aca="false">CONSOLIDADO_INSUMOS!T328</f>
        <v>973.5041311</v>
      </c>
      <c r="F119" s="45" t="n">
        <f aca="false">SUMIFS(CONSOLIDADO_INSUMOS!$T$4:$T$350,CONSOLIDADO_INSUMOS!$B$4:$B$350,$A119,CONSOLIDADO_INSUMOS!$H$4:$H$350,"MANUALES")</f>
        <v>0</v>
      </c>
      <c r="G119" s="45" t="n">
        <f aca="false">SUMIFS(CONSOLIDADO_INSUMOS!$T$4:$T$350,CONSOLIDADO_INSUMOS!$B$4:$B$350,$A119,CONSOLIDADO_INSUMOS!$H$4:$H$350,"RODANTES")</f>
        <v>0</v>
      </c>
      <c r="H119" s="45" t="n">
        <f aca="false">SUMIFS(CONSOLIDADO_INSUMOS!$T$4:$T$350,CONSOLIDADO_INSUMOS!$B$4:$B$350,$A119,CONSOLIDADO_INSUMOS!$H$4:$H$350,"RECARGAS")</f>
        <v>2.8</v>
      </c>
      <c r="I119" s="45" t="n">
        <f aca="false">SUMIFS(CONSOLIDADO_INSUMOS!$T$4:$T$350,CONSOLIDADO_INSUMOS!$B$4:$B$350,$A119,CONSOLIDADO_INSUMOS!$H$4:$H$350,"REVENDIDOS")</f>
        <v>970.7041311</v>
      </c>
      <c r="J119" s="45" t="n">
        <f aca="false">F119*ESTACIONALIDAD!$B$14+G119*ESTACIONALIDAD!$B$15+H119*ESTACIONALIDAD!$B$16+I119*ESTACIONALIDAD!$B$17</f>
        <v>97.0010652241031</v>
      </c>
      <c r="K119" s="45" t="n">
        <f aca="false">F119*ESTACIONALIDAD!$C$14+G119*ESTACIONALIDAD!$C$15+H119*ESTACIONALIDAD!$C$16+I119*ESTACIONALIDAD!$C$17</f>
        <v>77.7653011169855</v>
      </c>
      <c r="L119" s="45" t="n">
        <f aca="false">F119*ESTACIONALIDAD!$D$14+G119*ESTACIONALIDAD!$D$15+H119*ESTACIONALIDAD!$D$16+I119*ESTACIONALIDAD!$D$17</f>
        <v>82.8497385762839</v>
      </c>
      <c r="M119" s="45" t="n">
        <f aca="false">F119*ESTACIONALIDAD!$E$14+G119*ESTACIONALIDAD!$E$15+H119*ESTACIONALIDAD!$E$16+I119*ESTACIONALIDAD!$E$17</f>
        <v>82.8432280437803</v>
      </c>
      <c r="N119" s="45" t="n">
        <f aca="false">F119*ESTACIONALIDAD!$F$14+G119*ESTACIONALIDAD!$F$15+H119*ESTACIONALIDAD!$F$16+I119*ESTACIONALIDAD!$F$17</f>
        <v>78.0951174053717</v>
      </c>
      <c r="O119" s="45" t="n">
        <f aca="false">F119*ESTACIONALIDAD!$G$14+G119*ESTACIONALIDAD!$G$15+H119*ESTACIONALIDAD!$G$16+I119*ESTACIONALIDAD!$G$17</f>
        <v>73.1227888863699</v>
      </c>
      <c r="P119" s="45" t="n">
        <f aca="false">F119*ESTACIONALIDAD!$H$14+G119*ESTACIONALIDAD!$H$15+H119*ESTACIONALIDAD!$H$16+I119*ESTACIONALIDAD!$H$17</f>
        <v>78.1020047192785</v>
      </c>
      <c r="Q119" s="45" t="n">
        <f aca="false">F119*ESTACIONALIDAD!$I$14+G119*ESTACIONALIDAD!$I$15+H119*ESTACIONALIDAD!$I$16+I119*ESTACIONALIDAD!$I$17</f>
        <v>78.1081384703788</v>
      </c>
      <c r="R119" s="45" t="n">
        <f aca="false">F119*ESTACIONALIDAD!$J$14+G119*ESTACIONALIDAD!$J$15+H119*ESTACIONALIDAD!$J$16+I119*ESTACIONALIDAD!$J$17</f>
        <v>77.9960295300822</v>
      </c>
      <c r="S119" s="45" t="n">
        <f aca="false">F119*ESTACIONALIDAD!$K$14+G119*ESTACIONALIDAD!$K$15+H119*ESTACIONALIDAD!$K$16+I119*ESTACIONALIDAD!$K$17</f>
        <v>73.0238894017821</v>
      </c>
      <c r="T119" s="45" t="n">
        <f aca="false">F119*ESTACIONALIDAD!$L$14+G119*ESTACIONALIDAD!$L$15+H119*ESTACIONALIDAD!$L$16+I119*ESTACIONALIDAD!$L$17</f>
        <v>68.1701803555805</v>
      </c>
      <c r="U119" s="45" t="n">
        <f aca="false">F119*ESTACIONALIDAD!$M$14+G119*ESTACIONALIDAD!$M$15+H119*ESTACIONALIDAD!$M$16+I119*ESTACIONALIDAD!$M$17</f>
        <v>106.426649370004</v>
      </c>
      <c r="V119" s="45" t="n">
        <f aca="false">MAX(J119:U119)</f>
        <v>106.426649370004</v>
      </c>
      <c r="W119" s="46" t="n">
        <f aca="false">E119/INDEX(P_VAL,MATCH("DH_AÑO",P_ID,0))</f>
        <v>4.05626721291667</v>
      </c>
      <c r="X119" s="46" t="n">
        <f aca="false">V119/INDEX(P_VAL,MATCH("DH_MES",P_ID,0))</f>
        <v>5.32133246850018</v>
      </c>
      <c r="Y119" s="25" t="n">
        <f aca="false">INDEX(C_TAB,MATCH($A119,C_COD,0),12)</f>
        <v>15</v>
      </c>
      <c r="Z119" s="46" t="n">
        <f aca="false">(X119-W119)*Y119</f>
        <v>18.9759788337528</v>
      </c>
      <c r="AA119" s="45" t="n">
        <f aca="false">W119*Y119+Z119</f>
        <v>79.8199870275028</v>
      </c>
      <c r="AB119" s="25" t="n">
        <f aca="false">INDEX(C_TAB,MATCH($A119,C_COD,0),15)</f>
        <v>10</v>
      </c>
      <c r="AC119" s="45" t="n">
        <f aca="false">INDEX(C_TAB,MATCH($A119,C_COD,0),11)</f>
        <v>1</v>
      </c>
      <c r="AD119" s="45" t="n">
        <f aca="false">MAX(AC119,CEILING(X119*AB119,AC119))</f>
        <v>54</v>
      </c>
      <c r="AE119" s="25" t="n">
        <f aca="false">AD119/AC119</f>
        <v>54</v>
      </c>
      <c r="AF119" s="45" t="n">
        <f aca="false">Z119+AD119</f>
        <v>72.9759788337528</v>
      </c>
      <c r="AG119" s="25" t="n">
        <f aca="false">ROUNDUP(AF119/AC119,0)</f>
        <v>73</v>
      </c>
      <c r="AH119" s="45" t="n">
        <f aca="false">IF(W119&gt;0,AF119/W119,0)</f>
        <v>17.9909199772071</v>
      </c>
      <c r="AI119" s="25" t="n">
        <f aca="false">IF(AD119&gt;0,E119/AD119,0)</f>
        <v>18.0278542796296</v>
      </c>
      <c r="AJ119" s="25" t="n">
        <f aca="false">INDEX(C_TAB,MATCH($A119,C_COD,0),16)</f>
        <v>24</v>
      </c>
      <c r="AK119" s="47" t="n">
        <f aca="false">IF(AJ119&gt;0,AG119/AJ119,0)</f>
        <v>3.04166666666667</v>
      </c>
      <c r="AL119" s="45" t="n">
        <f aca="false">INDEX(C_TAB,MATCH($A119,C_COD,0),17)</f>
        <v>0.73</v>
      </c>
      <c r="AM119" s="45" t="n">
        <f aca="false">AK119*AL119</f>
        <v>2.22041666666667</v>
      </c>
    </row>
    <row r="120" customFormat="false" ht="15" hidden="false" customHeight="false" outlineLevel="0" collapsed="false">
      <c r="A120" s="24" t="s">
        <v>1334</v>
      </c>
      <c r="B120" s="24" t="str">
        <f aca="false">INDEX(C_TAB,MATCH($A120,C_COD,0),2)</f>
        <v>Matafuego AFFF 50 l rodante terminado (reventa)</v>
      </c>
      <c r="C120" s="24" t="str">
        <f aca="false">INDEX(C_TAB,MATCH($A120,C_COD,0),3)</f>
        <v>u</v>
      </c>
      <c r="D120" s="24" t="str">
        <f aca="false">INDEX(C_TAB,MATCH($A120,C_COD,0),6)</f>
        <v>Equipos revendidos (almacén de PT)</v>
      </c>
      <c r="E120" s="45" t="n">
        <f aca="false">CONSOLIDADO_INSUMOS!T331</f>
        <v>417.4660562</v>
      </c>
      <c r="F120" s="45" t="n">
        <f aca="false">SUMIFS(CONSOLIDADO_INSUMOS!$T$4:$T$350,CONSOLIDADO_INSUMOS!$B$4:$B$350,$A120,CONSOLIDADO_INSUMOS!$H$4:$H$350,"MANUALES")</f>
        <v>0</v>
      </c>
      <c r="G120" s="45" t="n">
        <f aca="false">SUMIFS(CONSOLIDADO_INSUMOS!$T$4:$T$350,CONSOLIDADO_INSUMOS!$B$4:$B$350,$A120,CONSOLIDADO_INSUMOS!$H$4:$H$350,"RODANTES")</f>
        <v>0</v>
      </c>
      <c r="H120" s="45" t="n">
        <f aca="false">SUMIFS(CONSOLIDADO_INSUMOS!$T$4:$T$350,CONSOLIDADO_INSUMOS!$B$4:$B$350,$A120,CONSOLIDADO_INSUMOS!$H$4:$H$350,"RECARGAS")</f>
        <v>1.45</v>
      </c>
      <c r="I120" s="45" t="n">
        <f aca="false">SUMIFS(CONSOLIDADO_INSUMOS!$T$4:$T$350,CONSOLIDADO_INSUMOS!$B$4:$B$350,$A120,CONSOLIDADO_INSUMOS!$H$4:$H$350,"REVENDIDOS")</f>
        <v>416.0160562</v>
      </c>
      <c r="J120" s="45" t="n">
        <f aca="false">F120*ESTACIONALIDAD!$B$14+G120*ESTACIONALIDAD!$B$15+H120*ESTACIONALIDAD!$B$16+I120*ESTACIONALIDAD!$B$17</f>
        <v>41.5957225023779</v>
      </c>
      <c r="K120" s="45" t="n">
        <f aca="false">F120*ESTACIONALIDAD!$C$14+G120*ESTACIONALIDAD!$C$15+H120*ESTACIONALIDAD!$C$16+I120*ESTACIONALIDAD!$C$17</f>
        <v>33.3477254413923</v>
      </c>
      <c r="L120" s="45" t="n">
        <f aca="false">F120*ESTACIONALIDAD!$D$14+G120*ESTACIONALIDAD!$D$15+H120*ESTACIONALIDAD!$D$16+I120*ESTACIONALIDAD!$D$17</f>
        <v>35.5273681850239</v>
      </c>
      <c r="M120" s="45" t="n">
        <f aca="false">F120*ESTACIONALIDAD!$E$14+G120*ESTACIONALIDAD!$E$15+H120*ESTACIONALIDAD!$E$16+I120*ESTACIONALIDAD!$E$17</f>
        <v>35.5239966592632</v>
      </c>
      <c r="N120" s="45" t="n">
        <f aca="false">F120*ESTACIONALIDAD!$F$14+G120*ESTACIONALIDAD!$F$15+H120*ESTACIONALIDAD!$F$16+I120*ESTACIONALIDAD!$F$17</f>
        <v>33.4884939817321</v>
      </c>
      <c r="O120" s="45" t="n">
        <f aca="false">F120*ESTACIONALIDAD!$G$14+G120*ESTACIONALIDAD!$G$15+H120*ESTACIONALIDAD!$G$16+I120*ESTACIONALIDAD!$G$17</f>
        <v>31.3568979268007</v>
      </c>
      <c r="P120" s="45" t="n">
        <f aca="false">F120*ESTACIONALIDAD!$H$14+G120*ESTACIONALIDAD!$H$15+H120*ESTACIONALIDAD!$H$16+I120*ESTACIONALIDAD!$H$17</f>
        <v>33.4920606264338</v>
      </c>
      <c r="Q120" s="45" t="n">
        <f aca="false">F120*ESTACIONALIDAD!$I$14+G120*ESTACIONALIDAD!$I$15+H120*ESTACIONALIDAD!$I$16+I120*ESTACIONALIDAD!$I$17</f>
        <v>33.4952370332537</v>
      </c>
      <c r="R120" s="45" t="n">
        <f aca="false">F120*ESTACIONALIDAD!$J$14+G120*ESTACIONALIDAD!$J$15+H120*ESTACIONALIDAD!$J$16+I120*ESTACIONALIDAD!$J$17</f>
        <v>33.4471903445535</v>
      </c>
      <c r="S120" s="45" t="n">
        <f aca="false">F120*ESTACIONALIDAD!$K$14+G120*ESTACIONALIDAD!$K$15+H120*ESTACIONALIDAD!$K$16+I120*ESTACIONALIDAD!$K$17</f>
        <v>31.3156918490925</v>
      </c>
      <c r="T120" s="45" t="n">
        <f aca="false">F120*ESTACIONALIDAD!$L$14+G120*ESTACIONALIDAD!$L$15+H120*ESTACIONALIDAD!$L$16+I120*ESTACIONALIDAD!$L$17</f>
        <v>29.235514008622</v>
      </c>
      <c r="U120" s="45" t="n">
        <f aca="false">F120*ESTACIONALIDAD!$M$14+G120*ESTACIONALIDAD!$M$15+H120*ESTACIONALIDAD!$M$16+I120*ESTACIONALIDAD!$M$17</f>
        <v>45.6401576414545</v>
      </c>
      <c r="V120" s="45" t="n">
        <f aca="false">MAX(J120:U120)</f>
        <v>45.6401576414545</v>
      </c>
      <c r="W120" s="46" t="n">
        <f aca="false">E120/INDEX(P_VAL,MATCH("DH_AÑO",P_ID,0))</f>
        <v>1.73944190083333</v>
      </c>
      <c r="X120" s="46" t="n">
        <f aca="false">V120/INDEX(P_VAL,MATCH("DH_MES",P_ID,0))</f>
        <v>2.28200788207272</v>
      </c>
      <c r="Y120" s="25" t="n">
        <f aca="false">INDEX(C_TAB,MATCH($A120,C_COD,0),12)</f>
        <v>15</v>
      </c>
      <c r="Z120" s="46" t="n">
        <f aca="false">(X120-W120)*Y120</f>
        <v>8.13848971859085</v>
      </c>
      <c r="AA120" s="45" t="n">
        <f aca="false">W120*Y120+Z120</f>
        <v>34.2301182310908</v>
      </c>
      <c r="AB120" s="25" t="n">
        <f aca="false">INDEX(C_TAB,MATCH($A120,C_COD,0),15)</f>
        <v>10</v>
      </c>
      <c r="AC120" s="45" t="n">
        <f aca="false">INDEX(C_TAB,MATCH($A120,C_COD,0),11)</f>
        <v>1</v>
      </c>
      <c r="AD120" s="45" t="n">
        <f aca="false">MAX(AC120,CEILING(X120*AB120,AC120))</f>
        <v>23</v>
      </c>
      <c r="AE120" s="25" t="n">
        <f aca="false">AD120/AC120</f>
        <v>23</v>
      </c>
      <c r="AF120" s="45" t="n">
        <f aca="false">Z120+AD120</f>
        <v>31.1384897185908</v>
      </c>
      <c r="AG120" s="25" t="n">
        <f aca="false">ROUNDUP(AF120/AC120,0)</f>
        <v>32</v>
      </c>
      <c r="AH120" s="45" t="n">
        <f aca="false">IF(W120&gt;0,AF120/W120,0)</f>
        <v>17.9014255685533</v>
      </c>
      <c r="AI120" s="25" t="n">
        <f aca="false">IF(AD120&gt;0,E120/AD120,0)</f>
        <v>18.1506980956522</v>
      </c>
      <c r="AJ120" s="25" t="n">
        <f aca="false">INDEX(C_TAB,MATCH($A120,C_COD,0),16)</f>
        <v>2</v>
      </c>
      <c r="AK120" s="47" t="n">
        <f aca="false">IF(AJ120&gt;0,AG120/AJ120,0)</f>
        <v>16</v>
      </c>
      <c r="AL120" s="45" t="n">
        <f aca="false">INDEX(C_TAB,MATCH($A120,C_COD,0),17)</f>
        <v>0.73</v>
      </c>
      <c r="AM120" s="45" t="n">
        <f aca="false">AK120*AL120</f>
        <v>11.68</v>
      </c>
    </row>
    <row r="121" customFormat="false" ht="15" hidden="false" customHeight="false" outlineLevel="0" collapsed="false">
      <c r="A121" s="24" t="s">
        <v>1335</v>
      </c>
      <c r="B121" s="24" t="str">
        <f aca="false">INDEX(C_TAB,MATCH($A121,C_COD,0),2)</f>
        <v>Matafuego BC 5 kg terminado (reventa)</v>
      </c>
      <c r="C121" s="24" t="str">
        <f aca="false">INDEX(C_TAB,MATCH($A121,C_COD,0),3)</f>
        <v>u</v>
      </c>
      <c r="D121" s="24" t="str">
        <f aca="false">INDEX(C_TAB,MATCH($A121,C_COD,0),6)</f>
        <v>Equipos revendidos (almacén de PT)</v>
      </c>
      <c r="E121" s="45" t="n">
        <f aca="false">CONSOLIDADO_INSUMOS!T334</f>
        <v>278.5940374</v>
      </c>
      <c r="F121" s="45" t="n">
        <f aca="false">SUMIFS(CONSOLIDADO_INSUMOS!$T$4:$T$350,CONSOLIDADO_INSUMOS!$B$4:$B$350,$A121,CONSOLIDADO_INSUMOS!$H$4:$H$350,"MANUALES")</f>
        <v>0</v>
      </c>
      <c r="G121" s="45" t="n">
        <f aca="false">SUMIFS(CONSOLIDADO_INSUMOS!$T$4:$T$350,CONSOLIDADO_INSUMOS!$B$4:$B$350,$A121,CONSOLIDADO_INSUMOS!$H$4:$H$350,"RODANTES")</f>
        <v>0</v>
      </c>
      <c r="H121" s="45" t="n">
        <f aca="false">SUMIFS(CONSOLIDADO_INSUMOS!$T$4:$T$350,CONSOLIDADO_INSUMOS!$B$4:$B$350,$A121,CONSOLIDADO_INSUMOS!$H$4:$H$350,"RECARGAS")</f>
        <v>1.25</v>
      </c>
      <c r="I121" s="45" t="n">
        <f aca="false">SUMIFS(CONSOLIDADO_INSUMOS!$T$4:$T$350,CONSOLIDADO_INSUMOS!$B$4:$B$350,$A121,CONSOLIDADO_INSUMOS!$H$4:$H$350,"REVENDIDOS")</f>
        <v>277.3440374</v>
      </c>
      <c r="J121" s="45" t="n">
        <f aca="false">F121*ESTACIONALIDAD!$B$14+G121*ESTACIONALIDAD!$B$15+H121*ESTACIONALIDAD!$B$16+I121*ESTACIONALIDAD!$B$17</f>
        <v>27.7574973871731</v>
      </c>
      <c r="K121" s="45" t="n">
        <f aca="false">F121*ESTACIONALIDAD!$C$14+G121*ESTACIONALIDAD!$C$15+H121*ESTACIONALIDAD!$C$16+I121*ESTACIONALIDAD!$C$17</f>
        <v>22.2541881024942</v>
      </c>
      <c r="L121" s="45" t="n">
        <f aca="false">F121*ESTACIONALIDAD!$D$14+G121*ESTACIONALIDAD!$D$15+H121*ESTACIONALIDAD!$D$16+I121*ESTACIONALIDAD!$D$17</f>
        <v>23.7079611317957</v>
      </c>
      <c r="M121" s="45" t="n">
        <f aca="false">F121*ESTACIONALIDAD!$E$14+G121*ESTACIONALIDAD!$E$15+H121*ESTACIONALIDAD!$E$16+I121*ESTACIONALIDAD!$E$17</f>
        <v>23.7050546440709</v>
      </c>
      <c r="N121" s="45" t="n">
        <f aca="false">F121*ESTACIONALIDAD!$F$14+G121*ESTACIONALIDAD!$F$15+H121*ESTACIONALIDAD!$F$16+I121*ESTACIONALIDAD!$F$17</f>
        <v>22.3473749921467</v>
      </c>
      <c r="O121" s="45" t="n">
        <f aca="false">F121*ESTACIONALIDAD!$G$14+G121*ESTACIONALIDAD!$G$15+H121*ESTACIONALIDAD!$G$16+I121*ESTACIONALIDAD!$G$17</f>
        <v>20.9256330886377</v>
      </c>
      <c r="P121" s="45" t="n">
        <f aca="false">F121*ESTACIONALIDAD!$H$14+G121*ESTACIONALIDAD!$H$15+H121*ESTACIONALIDAD!$H$16+I121*ESTACIONALIDAD!$H$17</f>
        <v>22.3504496858551</v>
      </c>
      <c r="Q121" s="45" t="n">
        <f aca="false">F121*ESTACIONALIDAD!$I$14+G121*ESTACIONALIDAD!$I$15+H121*ESTACIONALIDAD!$I$16+I121*ESTACIONALIDAD!$I$17</f>
        <v>22.3531879675963</v>
      </c>
      <c r="R121" s="45" t="n">
        <f aca="false">F121*ESTACIONALIDAD!$J$14+G121*ESTACIONALIDAD!$J$15+H121*ESTACIONALIDAD!$J$16+I121*ESTACIONALIDAD!$J$17</f>
        <v>22.3211568418039</v>
      </c>
      <c r="S121" s="45" t="n">
        <f aca="false">F121*ESTACIONALIDAD!$K$14+G121*ESTACIONALIDAD!$K$15+H121*ESTACIONALIDAD!$K$16+I121*ESTACIONALIDAD!$K$17</f>
        <v>20.8994990412866</v>
      </c>
      <c r="T121" s="45" t="n">
        <f aca="false">F121*ESTACIONALIDAD!$L$14+G121*ESTACIONALIDAD!$L$15+H121*ESTACIONALIDAD!$L$16+I121*ESTACIONALIDAD!$L$17</f>
        <v>19.5126947512949</v>
      </c>
      <c r="U121" s="45" t="n">
        <f aca="false">F121*ESTACIONALIDAD!$M$14+G121*ESTACIONALIDAD!$M$15+H121*ESTACIONALIDAD!$M$16+I121*ESTACIONALIDAD!$M$17</f>
        <v>30.4593397658451</v>
      </c>
      <c r="V121" s="45" t="n">
        <f aca="false">MAX(J121:U121)</f>
        <v>30.4593397658451</v>
      </c>
      <c r="W121" s="46" t="n">
        <f aca="false">E121/INDEX(P_VAL,MATCH("DH_AÑO",P_ID,0))</f>
        <v>1.16080848916667</v>
      </c>
      <c r="X121" s="46" t="n">
        <f aca="false">V121/INDEX(P_VAL,MATCH("DH_MES",P_ID,0))</f>
        <v>1.52296698829225</v>
      </c>
      <c r="Y121" s="25" t="n">
        <f aca="false">INDEX(C_TAB,MATCH($A121,C_COD,0),12)</f>
        <v>15</v>
      </c>
      <c r="Z121" s="46" t="n">
        <f aca="false">(X121-W121)*Y121</f>
        <v>5.43237748688382</v>
      </c>
      <c r="AA121" s="45" t="n">
        <f aca="false">W121*Y121+Z121</f>
        <v>22.8445048243838</v>
      </c>
      <c r="AB121" s="25" t="n">
        <f aca="false">INDEX(C_TAB,MATCH($A121,C_COD,0),15)</f>
        <v>10</v>
      </c>
      <c r="AC121" s="45" t="n">
        <f aca="false">INDEX(C_TAB,MATCH($A121,C_COD,0),11)</f>
        <v>1</v>
      </c>
      <c r="AD121" s="45" t="n">
        <f aca="false">MAX(AC121,CEILING(X121*AB121,AC121))</f>
        <v>16</v>
      </c>
      <c r="AE121" s="25" t="n">
        <f aca="false">AD121/AC121</f>
        <v>16</v>
      </c>
      <c r="AF121" s="45" t="n">
        <f aca="false">Z121+AD121</f>
        <v>21.4323774868838</v>
      </c>
      <c r="AG121" s="25" t="n">
        <f aca="false">ROUNDUP(AF121/AC121,0)</f>
        <v>22</v>
      </c>
      <c r="AH121" s="45" t="n">
        <f aca="false">IF(W121&gt;0,AF121/W121,0)</f>
        <v>18.4633190460813</v>
      </c>
      <c r="AI121" s="25" t="n">
        <f aca="false">IF(AD121&gt;0,E121/AD121,0)</f>
        <v>17.4121273375</v>
      </c>
      <c r="AJ121" s="25" t="n">
        <f aca="false">INDEX(C_TAB,MATCH($A121,C_COD,0),16)</f>
        <v>40</v>
      </c>
      <c r="AK121" s="47" t="n">
        <f aca="false">IF(AJ121&gt;0,AG121/AJ121,0)</f>
        <v>0.55</v>
      </c>
      <c r="AL121" s="45" t="n">
        <f aca="false">INDEX(C_TAB,MATCH($A121,C_COD,0),17)</f>
        <v>0.73</v>
      </c>
      <c r="AM121" s="45" t="n">
        <f aca="false">AK121*AL121</f>
        <v>0.4015</v>
      </c>
    </row>
    <row r="122" customFormat="false" ht="15" hidden="false" customHeight="false" outlineLevel="0" collapsed="false">
      <c r="A122" s="24" t="s">
        <v>1336</v>
      </c>
      <c r="B122" s="24" t="str">
        <f aca="false">INDEX(C_TAB,MATCH($A122,C_COD,0),2)</f>
        <v>Matafuego Clase K 6 l terminado (reventa)</v>
      </c>
      <c r="C122" s="24" t="str">
        <f aca="false">INDEX(C_TAB,MATCH($A122,C_COD,0),3)</f>
        <v>u</v>
      </c>
      <c r="D122" s="24" t="str">
        <f aca="false">INDEX(C_TAB,MATCH($A122,C_COD,0),6)</f>
        <v>Equipos revendidos (almacén de PT)</v>
      </c>
      <c r="E122" s="45" t="n">
        <f aca="false">CONSOLIDADO_INSUMOS!T337</f>
        <v>1654.235599</v>
      </c>
      <c r="F122" s="45" t="n">
        <f aca="false">SUMIFS(CONSOLIDADO_INSUMOS!$T$4:$T$350,CONSOLIDADO_INSUMOS!$B$4:$B$350,$A122,CONSOLIDADO_INSUMOS!$H$4:$H$350,"MANUALES")</f>
        <v>0</v>
      </c>
      <c r="G122" s="45" t="n">
        <f aca="false">SUMIFS(CONSOLIDADO_INSUMOS!$T$4:$T$350,CONSOLIDADO_INSUMOS!$B$4:$B$350,$A122,CONSOLIDADO_INSUMOS!$H$4:$H$350,"RODANTES")</f>
        <v>0</v>
      </c>
      <c r="H122" s="45" t="n">
        <f aca="false">SUMIFS(CONSOLIDADO_INSUMOS!$T$4:$T$350,CONSOLIDADO_INSUMOS!$B$4:$B$350,$A122,CONSOLIDADO_INSUMOS!$H$4:$H$350,"RECARGAS")</f>
        <v>5.1</v>
      </c>
      <c r="I122" s="45" t="n">
        <f aca="false">SUMIFS(CONSOLIDADO_INSUMOS!$T$4:$T$350,CONSOLIDADO_INSUMOS!$B$4:$B$350,$A122,CONSOLIDADO_INSUMOS!$H$4:$H$350,"REVENDIDOS")</f>
        <v>1649.135599</v>
      </c>
      <c r="J122" s="45" t="n">
        <f aca="false">F122*ESTACIONALIDAD!$B$14+G122*ESTACIONALIDAD!$B$15+H122*ESTACIONALIDAD!$B$16+I122*ESTACIONALIDAD!$B$17</f>
        <v>164.828455123792</v>
      </c>
      <c r="K122" s="45" t="n">
        <f aca="false">F122*ESTACIONALIDAD!$C$14+G122*ESTACIONALIDAD!$C$15+H122*ESTACIONALIDAD!$C$16+I122*ESTACIONALIDAD!$C$17</f>
        <v>132.143065951925</v>
      </c>
      <c r="L122" s="45" t="n">
        <f aca="false">F122*ESTACIONALIDAD!$D$14+G122*ESTACIONALIDAD!$D$15+H122*ESTACIONALIDAD!$D$16+I122*ESTACIONALIDAD!$D$17</f>
        <v>140.781870781298</v>
      </c>
      <c r="M122" s="45" t="n">
        <f aca="false">F122*ESTACIONALIDAD!$E$14+G122*ESTACIONALIDAD!$E$15+H122*ESTACIONALIDAD!$E$16+I122*ESTACIONALIDAD!$E$17</f>
        <v>140.77001231138</v>
      </c>
      <c r="N122" s="45" t="n">
        <f aca="false">F122*ESTACIONALIDAD!$F$14+G122*ESTACIONALIDAD!$F$15+H122*ESTACIONALIDAD!$F$16+I122*ESTACIONALIDAD!$F$17</f>
        <v>132.702595318381</v>
      </c>
      <c r="O122" s="45" t="n">
        <f aca="false">F122*ESTACIONALIDAD!$G$14+G122*ESTACIONALIDAD!$G$15+H122*ESTACIONALIDAD!$G$16+I122*ESTACIONALIDAD!$G$17</f>
        <v>124.254253101133</v>
      </c>
      <c r="P122" s="45" t="n">
        <f aca="false">F122*ESTACIONALIDAD!$H$14+G122*ESTACIONALIDAD!$H$15+H122*ESTACIONALIDAD!$H$16+I122*ESTACIONALIDAD!$H$17</f>
        <v>132.715140068711</v>
      </c>
      <c r="Q122" s="45" t="n">
        <f aca="false">F122*ESTACIONALIDAD!$I$14+G122*ESTACIONALIDAD!$I$15+H122*ESTACIONALIDAD!$I$16+I122*ESTACIONALIDAD!$I$17</f>
        <v>132.726312258216</v>
      </c>
      <c r="R122" s="45" t="n">
        <f aca="false">F122*ESTACIONALIDAD!$J$14+G122*ESTACIONALIDAD!$J$15+H122*ESTACIONALIDAD!$J$16+I122*ESTACIONALIDAD!$J$17</f>
        <v>132.535849646091</v>
      </c>
      <c r="S122" s="45" t="n">
        <f aca="false">F122*ESTACIONALIDAD!$K$14+G122*ESTACIONALIDAD!$K$15+H122*ESTACIONALIDAD!$K$16+I122*ESTACIONALIDAD!$K$17</f>
        <v>124.08785056905</v>
      </c>
      <c r="T122" s="45" t="n">
        <f aca="false">F122*ESTACIONALIDAD!$L$14+G122*ESTACIONALIDAD!$L$15+H122*ESTACIONALIDAD!$L$16+I122*ESTACIONALIDAD!$L$17</f>
        <v>115.841829433843</v>
      </c>
      <c r="U122" s="45" t="n">
        <f aca="false">F122*ESTACIONALIDAD!$M$14+G122*ESTACIONALIDAD!$M$15+H122*ESTACIONALIDAD!$M$16+I122*ESTACIONALIDAD!$M$17</f>
        <v>180.84836443618</v>
      </c>
      <c r="V122" s="45" t="n">
        <f aca="false">MAX(J122:U122)</f>
        <v>180.84836443618</v>
      </c>
      <c r="W122" s="46" t="n">
        <f aca="false">E122/INDEX(P_VAL,MATCH("DH_AÑO",P_ID,0))</f>
        <v>6.89264832916667</v>
      </c>
      <c r="X122" s="46" t="n">
        <f aca="false">V122/INDEX(P_VAL,MATCH("DH_MES",P_ID,0))</f>
        <v>9.042418221809</v>
      </c>
      <c r="Y122" s="25" t="n">
        <f aca="false">INDEX(C_TAB,MATCH($A122,C_COD,0),12)</f>
        <v>15</v>
      </c>
      <c r="Z122" s="46" t="n">
        <f aca="false">(X122-W122)*Y122</f>
        <v>32.2465483896351</v>
      </c>
      <c r="AA122" s="45" t="n">
        <f aca="false">W122*Y122+Z122</f>
        <v>135.636273327135</v>
      </c>
      <c r="AB122" s="25" t="n">
        <f aca="false">INDEX(C_TAB,MATCH($A122,C_COD,0),15)</f>
        <v>10</v>
      </c>
      <c r="AC122" s="45" t="n">
        <f aca="false">INDEX(C_TAB,MATCH($A122,C_COD,0),11)</f>
        <v>1</v>
      </c>
      <c r="AD122" s="45" t="n">
        <f aca="false">MAX(AC122,CEILING(X122*AB122,AC122))</f>
        <v>91</v>
      </c>
      <c r="AE122" s="25" t="n">
        <f aca="false">AD122/AC122</f>
        <v>91</v>
      </c>
      <c r="AF122" s="45" t="n">
        <f aca="false">Z122+AD122</f>
        <v>123.246548389635</v>
      </c>
      <c r="AG122" s="25" t="n">
        <f aca="false">ROUNDUP(AF122/AC122,0)</f>
        <v>124</v>
      </c>
      <c r="AH122" s="45" t="n">
        <f aca="false">IF(W122&gt;0,AF122/W122,0)</f>
        <v>17.880869950685</v>
      </c>
      <c r="AI122" s="25" t="n">
        <f aca="false">IF(AD122&gt;0,E122/AD122,0)</f>
        <v>18.1784131758242</v>
      </c>
      <c r="AJ122" s="25" t="n">
        <f aca="false">INDEX(C_TAB,MATCH($A122,C_COD,0),16)</f>
        <v>30</v>
      </c>
      <c r="AK122" s="47" t="n">
        <f aca="false">IF(AJ122&gt;0,AG122/AJ122,0)</f>
        <v>4.13333333333333</v>
      </c>
      <c r="AL122" s="45" t="n">
        <f aca="false">INDEX(C_TAB,MATCH($A122,C_COD,0),17)</f>
        <v>0.73</v>
      </c>
      <c r="AM122" s="45" t="n">
        <f aca="false">AK122*AL122</f>
        <v>3.01733333333333</v>
      </c>
    </row>
    <row r="123" customFormat="false" ht="15" hidden="false" customHeight="false" outlineLevel="0" collapsed="false">
      <c r="A123" s="24" t="s">
        <v>1337</v>
      </c>
      <c r="B123" s="24" t="str">
        <f aca="false">INDEX(C_TAB,MATCH($A123,C_COD,0),2)</f>
        <v>Matafuego CO₂ 2 kg terminado (reventa)</v>
      </c>
      <c r="C123" s="24" t="str">
        <f aca="false">INDEX(C_TAB,MATCH($A123,C_COD,0),3)</f>
        <v>u</v>
      </c>
      <c r="D123" s="24" t="str">
        <f aca="false">INDEX(C_TAB,MATCH($A123,C_COD,0),6)</f>
        <v>Equipos revendidos (almacén de PT)</v>
      </c>
      <c r="E123" s="45" t="n">
        <f aca="false">CONSOLIDADO_INSUMOS!T340</f>
        <v>7005.27737</v>
      </c>
      <c r="F123" s="45" t="n">
        <f aca="false">SUMIFS(CONSOLIDADO_INSUMOS!$T$4:$T$350,CONSOLIDADO_INSUMOS!$B$4:$B$350,$A123,CONSOLIDADO_INSUMOS!$H$4:$H$350,"MANUALES")</f>
        <v>0</v>
      </c>
      <c r="G123" s="45" t="n">
        <f aca="false">SUMIFS(CONSOLIDADO_INSUMOS!$T$4:$T$350,CONSOLIDADO_INSUMOS!$B$4:$B$350,$A123,CONSOLIDADO_INSUMOS!$H$4:$H$350,"RODANTES")</f>
        <v>0</v>
      </c>
      <c r="H123" s="45" t="n">
        <f aca="false">SUMIFS(CONSOLIDADO_INSUMOS!$T$4:$T$350,CONSOLIDADO_INSUMOS!$B$4:$B$350,$A123,CONSOLIDADO_INSUMOS!$H$4:$H$350,"RECARGAS")</f>
        <v>0</v>
      </c>
      <c r="I123" s="45" t="n">
        <f aca="false">SUMIFS(CONSOLIDADO_INSUMOS!$T$4:$T$350,CONSOLIDADO_INSUMOS!$B$4:$B$350,$A123,CONSOLIDADO_INSUMOS!$H$4:$H$350,"REVENDIDOS")</f>
        <v>7005.27737</v>
      </c>
      <c r="J123" s="45" t="n">
        <f aca="false">F123*ESTACIONALIDAD!$B$14+G123*ESTACIONALIDAD!$B$15+H123*ESTACIONALIDAD!$B$16+I123*ESTACIONALIDAD!$B$17</f>
        <v>698.100568317166</v>
      </c>
      <c r="K123" s="45" t="n">
        <f aca="false">F123*ESTACIONALIDAD!$C$14+G123*ESTACIONALIDAD!$C$15+H123*ESTACIONALIDAD!$C$16+I123*ESTACIONALIDAD!$C$17</f>
        <v>559.613133372389</v>
      </c>
      <c r="L123" s="45" t="n">
        <f aca="false">F123*ESTACIONALIDAD!$D$14+G123*ESTACIONALIDAD!$D$15+H123*ESTACIONALIDAD!$D$16+I123*ESTACIONALIDAD!$D$17</f>
        <v>596.257632677611</v>
      </c>
      <c r="M123" s="45" t="n">
        <f aca="false">F123*ESTACIONALIDAD!$E$14+G123*ESTACIONALIDAD!$E$15+H123*ESTACIONALIDAD!$E$16+I123*ESTACIONALIDAD!$E$17</f>
        <v>596.257632677611</v>
      </c>
      <c r="N123" s="45" t="n">
        <f aca="false">F123*ESTACIONALIDAD!$F$14+G123*ESTACIONALIDAD!$F$15+H123*ESTACIONALIDAD!$F$16+I123*ESTACIONALIDAD!$F$17</f>
        <v>562.040302055222</v>
      </c>
      <c r="O123" s="45" t="n">
        <f aca="false">F123*ESTACIONALIDAD!$G$14+G123*ESTACIONALIDAD!$G$15+H123*ESTACIONALIDAD!$G$16+I123*ESTACIONALIDAD!$G$17</f>
        <v>526.204858977611</v>
      </c>
      <c r="P123" s="45" t="n">
        <f aca="false">F123*ESTACIONALIDAD!$H$14+G123*ESTACIONALIDAD!$H$15+H123*ESTACIONALIDAD!$H$16+I123*ESTACIONALIDAD!$H$17</f>
        <v>562.040302055222</v>
      </c>
      <c r="Q123" s="45" t="n">
        <f aca="false">F123*ESTACIONALIDAD!$I$14+G123*ESTACIONALIDAD!$I$15+H123*ESTACIONALIDAD!$I$16+I123*ESTACIONALIDAD!$I$17</f>
        <v>562.040302055222</v>
      </c>
      <c r="R123" s="45" t="n">
        <f aca="false">F123*ESTACIONALIDAD!$J$14+G123*ESTACIONALIDAD!$J$15+H123*ESTACIONALIDAD!$J$16+I123*ESTACIONALIDAD!$J$17</f>
        <v>561.231245827611</v>
      </c>
      <c r="S123" s="45" t="n">
        <f aca="false">F123*ESTACIONALIDAD!$K$14+G123*ESTACIONALIDAD!$K$15+H123*ESTACIONALIDAD!$K$16+I123*ESTACIONALIDAD!$K$17</f>
        <v>525.39580275</v>
      </c>
      <c r="T123" s="45" t="n">
        <f aca="false">F123*ESTACIONALIDAD!$L$14+G123*ESTACIONALIDAD!$L$15+H123*ESTACIONALIDAD!$L$16+I123*ESTACIONALIDAD!$L$17</f>
        <v>490.3694159</v>
      </c>
      <c r="U123" s="45" t="n">
        <f aca="false">F123*ESTACIONALIDAD!$M$14+G123*ESTACIONALIDAD!$M$15+H123*ESTACIONALIDAD!$M$16+I123*ESTACIONALIDAD!$M$17</f>
        <v>765.726173334333</v>
      </c>
      <c r="V123" s="45" t="n">
        <f aca="false">MAX(J123:U123)</f>
        <v>765.726173334333</v>
      </c>
      <c r="W123" s="46" t="n">
        <f aca="false">E123/INDEX(P_VAL,MATCH("DH_AÑO",P_ID,0))</f>
        <v>29.1886557083333</v>
      </c>
      <c r="X123" s="46" t="n">
        <f aca="false">V123/INDEX(P_VAL,MATCH("DH_MES",P_ID,0))</f>
        <v>38.2863086667167</v>
      </c>
      <c r="Y123" s="25" t="n">
        <f aca="false">INDEX(C_TAB,MATCH($A123,C_COD,0),12)</f>
        <v>15</v>
      </c>
      <c r="Z123" s="46" t="n">
        <f aca="false">(X123-W123)*Y123</f>
        <v>136.46479437575</v>
      </c>
      <c r="AA123" s="45" t="n">
        <f aca="false">W123*Y123+Z123</f>
        <v>574.29463000075</v>
      </c>
      <c r="AB123" s="25" t="n">
        <f aca="false">INDEX(C_TAB,MATCH($A123,C_COD,0),15)</f>
        <v>10</v>
      </c>
      <c r="AC123" s="45" t="n">
        <f aca="false">INDEX(C_TAB,MATCH($A123,C_COD,0),11)</f>
        <v>1</v>
      </c>
      <c r="AD123" s="45" t="n">
        <f aca="false">MAX(AC123,CEILING(X123*AB123,AC123))</f>
        <v>383</v>
      </c>
      <c r="AE123" s="25" t="n">
        <f aca="false">AD123/AC123</f>
        <v>383</v>
      </c>
      <c r="AF123" s="45" t="n">
        <f aca="false">Z123+AD123</f>
        <v>519.46479437575</v>
      </c>
      <c r="AG123" s="25" t="n">
        <f aca="false">ROUNDUP(AF123/AC123,0)</f>
        <v>520</v>
      </c>
      <c r="AH123" s="45" t="n">
        <f aca="false">IF(W123&gt;0,AF123/W123,0)</f>
        <v>17.7968043326998</v>
      </c>
      <c r="AI123" s="25" t="n">
        <f aca="false">IF(AD123&gt;0,E123/AD123,0)</f>
        <v>18.2905414360313</v>
      </c>
      <c r="AJ123" s="25" t="n">
        <f aca="false">INDEX(C_TAB,MATCH($A123,C_COD,0),16)</f>
        <v>48</v>
      </c>
      <c r="AK123" s="47" t="n">
        <f aca="false">IF(AJ123&gt;0,AG123/AJ123,0)</f>
        <v>10.8333333333333</v>
      </c>
      <c r="AL123" s="45" t="n">
        <f aca="false">INDEX(C_TAB,MATCH($A123,C_COD,0),17)</f>
        <v>0.73</v>
      </c>
      <c r="AM123" s="45" t="n">
        <f aca="false">AK123*AL123</f>
        <v>7.90833333333333</v>
      </c>
    </row>
    <row r="124" customFormat="false" ht="15" hidden="false" customHeight="false" outlineLevel="0" collapsed="false">
      <c r="A124" s="24" t="s">
        <v>1338</v>
      </c>
      <c r="B124" s="24" t="str">
        <f aca="false">INDEX(C_TAB,MATCH($A124,C_COD,0),2)</f>
        <v>Matafuego CO₂ 5 kg terminado (reventa)</v>
      </c>
      <c r="C124" s="24" t="str">
        <f aca="false">INDEX(C_TAB,MATCH($A124,C_COD,0),3)</f>
        <v>u</v>
      </c>
      <c r="D124" s="24" t="str">
        <f aca="false">INDEX(C_TAB,MATCH($A124,C_COD,0),6)</f>
        <v>Equipos revendidos (almacén de PT)</v>
      </c>
      <c r="E124" s="45" t="n">
        <f aca="false">CONSOLIDADO_INSUMOS!T342</f>
        <v>3800.375472</v>
      </c>
      <c r="F124" s="45" t="n">
        <f aca="false">SUMIFS(CONSOLIDADO_INSUMOS!$T$4:$T$350,CONSOLIDADO_INSUMOS!$B$4:$B$350,$A124,CONSOLIDADO_INSUMOS!$H$4:$H$350,"MANUALES")</f>
        <v>0</v>
      </c>
      <c r="G124" s="45" t="n">
        <f aca="false">SUMIFS(CONSOLIDADO_INSUMOS!$T$4:$T$350,CONSOLIDADO_INSUMOS!$B$4:$B$350,$A124,CONSOLIDADO_INSUMOS!$H$4:$H$350,"RODANTES")</f>
        <v>0</v>
      </c>
      <c r="H124" s="45" t="n">
        <f aca="false">SUMIFS(CONSOLIDADO_INSUMOS!$T$4:$T$350,CONSOLIDADO_INSUMOS!$B$4:$B$350,$A124,CONSOLIDADO_INSUMOS!$H$4:$H$350,"RECARGAS")</f>
        <v>34.2</v>
      </c>
      <c r="I124" s="45" t="n">
        <f aca="false">SUMIFS(CONSOLIDADO_INSUMOS!$T$4:$T$350,CONSOLIDADO_INSUMOS!$B$4:$B$350,$A124,CONSOLIDADO_INSUMOS!$H$4:$H$350,"REVENDIDOS")</f>
        <v>3766.175472</v>
      </c>
      <c r="J124" s="45" t="n">
        <f aca="false">F124*ESTACIONALIDAD!$B$14+G124*ESTACIONALIDAD!$B$15+H124*ESTACIONALIDAD!$B$16+I124*ESTACIONALIDAD!$B$17</f>
        <v>378.573610369958</v>
      </c>
      <c r="K124" s="45" t="n">
        <f aca="false">F124*ESTACIONALIDAD!$C$14+G124*ESTACIONALIDAD!$C$15+H124*ESTACIONALIDAD!$C$16+I124*ESTACIONALIDAD!$C$17</f>
        <v>303.559402177556</v>
      </c>
      <c r="L124" s="45" t="n">
        <f aca="false">F124*ESTACIONALIDAD!$D$14+G124*ESTACIONALIDAD!$D$15+H124*ESTACIONALIDAD!$D$16+I124*ESTACIONALIDAD!$D$17</f>
        <v>323.342031314056</v>
      </c>
      <c r="M124" s="45" t="n">
        <f aca="false">F124*ESTACIONALIDAD!$E$14+G124*ESTACIONALIDAD!$E$15+H124*ESTACIONALIDAD!$E$16+I124*ESTACIONALIDAD!$E$17</f>
        <v>323.262509809905</v>
      </c>
      <c r="N124" s="45" t="n">
        <f aca="false">F124*ESTACIONALIDAD!$F$14+G124*ESTACIONALIDAD!$F$15+H124*ESTACIONALIDAD!$F$16+I124*ESTACIONALIDAD!$F$17</f>
        <v>304.784774495146</v>
      </c>
      <c r="O124" s="45" t="n">
        <f aca="false">F124*ESTACIONALIDAD!$G$14+G124*ESTACIONALIDAD!$G$15+H124*ESTACIONALIDAD!$G$16+I124*ESTACIONALIDAD!$G$17</f>
        <v>285.437109965892</v>
      </c>
      <c r="P124" s="45" t="n">
        <f aca="false">F124*ESTACIONALIDAD!$H$14+G124*ESTACIONALIDAD!$H$15+H124*ESTACIONALIDAD!$H$16+I124*ESTACIONALIDAD!$H$17</f>
        <v>304.868898115007</v>
      </c>
      <c r="Q124" s="45" t="n">
        <f aca="false">F124*ESTACIONALIDAD!$I$14+G124*ESTACIONALIDAD!$I$15+H124*ESTACIONALIDAD!$I$16+I124*ESTACIONALIDAD!$I$17</f>
        <v>304.943817503447</v>
      </c>
      <c r="R124" s="45" t="n">
        <f aca="false">F124*ESTACIONALIDAD!$J$14+G124*ESTACIONALIDAD!$J$15+H124*ESTACIONALIDAD!$J$16+I124*ESTACIONALIDAD!$J$17</f>
        <v>304.5088528962</v>
      </c>
      <c r="S124" s="45" t="n">
        <f aca="false">F124*ESTACIONALIDAD!$K$14+G124*ESTACIONALIDAD!$K$15+H124*ESTACIONALIDAD!$K$16+I124*ESTACIONALIDAD!$K$17</f>
        <v>285.163489424803</v>
      </c>
      <c r="T124" s="45" t="n">
        <f aca="false">F124*ESTACIONALIDAD!$L$14+G124*ESTACIONALIDAD!$L$15+H124*ESTACIONALIDAD!$L$16+I124*ESTACIONALIDAD!$L$17</f>
        <v>266.330311006947</v>
      </c>
      <c r="U124" s="45" t="n">
        <f aca="false">F124*ESTACIONALIDAD!$M$14+G124*ESTACIONALIDAD!$M$15+H124*ESTACIONALIDAD!$M$16+I124*ESTACIONALIDAD!$M$17</f>
        <v>415.600664921084</v>
      </c>
      <c r="V124" s="45" t="n">
        <f aca="false">MAX(J124:U124)</f>
        <v>415.600664921084</v>
      </c>
      <c r="W124" s="46" t="n">
        <f aca="false">E124/INDEX(P_VAL,MATCH("DH_AÑO",P_ID,0))</f>
        <v>15.8348978</v>
      </c>
      <c r="X124" s="46" t="n">
        <f aca="false">V124/INDEX(P_VAL,MATCH("DH_MES",P_ID,0))</f>
        <v>20.7800332460542</v>
      </c>
      <c r="Y124" s="25" t="n">
        <f aca="false">INDEX(C_TAB,MATCH($A124,C_COD,0),12)</f>
        <v>15</v>
      </c>
      <c r="Z124" s="46" t="n">
        <f aca="false">(X124-W124)*Y124</f>
        <v>74.1770316908132</v>
      </c>
      <c r="AA124" s="45" t="n">
        <f aca="false">W124*Y124+Z124</f>
        <v>311.700498690813</v>
      </c>
      <c r="AB124" s="25" t="n">
        <f aca="false">INDEX(C_TAB,MATCH($A124,C_COD,0),15)</f>
        <v>10</v>
      </c>
      <c r="AC124" s="45" t="n">
        <f aca="false">INDEX(C_TAB,MATCH($A124,C_COD,0),11)</f>
        <v>1</v>
      </c>
      <c r="AD124" s="45" t="n">
        <f aca="false">MAX(AC124,CEILING(X124*AB124,AC124))</f>
        <v>208</v>
      </c>
      <c r="AE124" s="25" t="n">
        <f aca="false">AD124/AC124</f>
        <v>208</v>
      </c>
      <c r="AF124" s="45" t="n">
        <f aca="false">Z124+AD124</f>
        <v>282.177031690813</v>
      </c>
      <c r="AG124" s="25" t="n">
        <f aca="false">ROUNDUP(AF124/AC124,0)</f>
        <v>283</v>
      </c>
      <c r="AH124" s="45" t="n">
        <f aca="false">IF(W124&gt;0,AF124/W124,0)</f>
        <v>17.8199465039056</v>
      </c>
      <c r="AI124" s="25" t="n">
        <f aca="false">IF(AD124&gt;0,E124/AD124,0)</f>
        <v>18.2710359230769</v>
      </c>
      <c r="AJ124" s="25" t="n">
        <f aca="false">INDEX(C_TAB,MATCH($A124,C_COD,0),16)</f>
        <v>24</v>
      </c>
      <c r="AK124" s="47" t="n">
        <f aca="false">IF(AJ124&gt;0,AG124/AJ124,0)</f>
        <v>11.7916666666667</v>
      </c>
      <c r="AL124" s="45" t="n">
        <f aca="false">INDEX(C_TAB,MATCH($A124,C_COD,0),17)</f>
        <v>0.73</v>
      </c>
      <c r="AM124" s="45" t="n">
        <f aca="false">AK124*AL124</f>
        <v>8.60791666666667</v>
      </c>
    </row>
    <row r="125" customFormat="false" ht="15" hidden="false" customHeight="false" outlineLevel="0" collapsed="false">
      <c r="A125" s="24" t="s">
        <v>1339</v>
      </c>
      <c r="B125" s="24" t="str">
        <f aca="false">INDEX(C_TAB,MATCH($A125,C_COD,0),2)</f>
        <v>Matafuego HCFC/HFC 5 kg terminado (reventa)</v>
      </c>
      <c r="C125" s="24" t="str">
        <f aca="false">INDEX(C_TAB,MATCH($A125,C_COD,0),3)</f>
        <v>u</v>
      </c>
      <c r="D125" s="24" t="str">
        <f aca="false">INDEX(C_TAB,MATCH($A125,C_COD,0),6)</f>
        <v>Equipos revendidos (almacén de PT)</v>
      </c>
      <c r="E125" s="45" t="n">
        <f aca="false">CONSOLIDADO_INSUMOS!T345</f>
        <v>745.2956074</v>
      </c>
      <c r="F125" s="45" t="n">
        <f aca="false">SUMIFS(CONSOLIDADO_INSUMOS!$T$4:$T$350,CONSOLIDADO_INSUMOS!$B$4:$B$350,$A125,CONSOLIDADO_INSUMOS!$H$4:$H$350,"MANUALES")</f>
        <v>0</v>
      </c>
      <c r="G125" s="45" t="n">
        <f aca="false">SUMIFS(CONSOLIDADO_INSUMOS!$T$4:$T$350,CONSOLIDADO_INSUMOS!$B$4:$B$350,$A125,CONSOLIDADO_INSUMOS!$H$4:$H$350,"RODANTES")</f>
        <v>0</v>
      </c>
      <c r="H125" s="45" t="n">
        <f aca="false">SUMIFS(CONSOLIDADO_INSUMOS!$T$4:$T$350,CONSOLIDADO_INSUMOS!$B$4:$B$350,$A125,CONSOLIDADO_INSUMOS!$H$4:$H$350,"RECARGAS")</f>
        <v>1.65</v>
      </c>
      <c r="I125" s="45" t="n">
        <f aca="false">SUMIFS(CONSOLIDADO_INSUMOS!$T$4:$T$350,CONSOLIDADO_INSUMOS!$B$4:$B$350,$A125,CONSOLIDADO_INSUMOS!$H$4:$H$350,"REVENDIDOS")</f>
        <v>743.6456074</v>
      </c>
      <c r="J125" s="45" t="n">
        <f aca="false">F125*ESTACIONALIDAD!$B$14+G125*ESTACIONALIDAD!$B$15+H125*ESTACIONALIDAD!$B$16+I125*ESTACIONALIDAD!$B$17</f>
        <v>74.2642313863822</v>
      </c>
      <c r="K125" s="45" t="n">
        <f aca="false">F125*ESTACIONALIDAD!$C$14+G125*ESTACIONALIDAD!$C$15+H125*ESTACIONALIDAD!$C$16+I125*ESTACIONALIDAD!$C$17</f>
        <v>59.5360422152236</v>
      </c>
      <c r="L125" s="45" t="n">
        <f aca="false">F125*ESTACIONALIDAD!$D$14+G125*ESTACIONALIDAD!$D$15+H125*ESTACIONALIDAD!$D$16+I125*ESTACIONALIDAD!$D$17</f>
        <v>63.4299886493191</v>
      </c>
      <c r="M125" s="45" t="n">
        <f aca="false">F125*ESTACIONALIDAD!$E$14+G125*ESTACIONALIDAD!$E$15+H125*ESTACIONALIDAD!$E$16+I125*ESTACIONALIDAD!$E$17</f>
        <v>63.4261520855223</v>
      </c>
      <c r="N125" s="45" t="n">
        <f aca="false">F125*ESTACIONALIDAD!$F$14+G125*ESTACIONALIDAD!$F$15+H125*ESTACIONALIDAD!$F$16+I125*ESTACIONALIDAD!$F$17</f>
        <v>59.7898618774512</v>
      </c>
      <c r="O125" s="45" t="n">
        <f aca="false">F125*ESTACIONALIDAD!$G$14+G125*ESTACIONALIDAD!$G$15+H125*ESTACIONALIDAD!$G$16+I125*ESTACIONALIDAD!$G$17</f>
        <v>55.9818008520305</v>
      </c>
      <c r="P125" s="45" t="n">
        <f aca="false">F125*ESTACIONALIDAD!$H$14+G125*ESTACIONALIDAD!$H$15+H125*ESTACIONALIDAD!$H$16+I125*ESTACIONALIDAD!$H$17</f>
        <v>59.7939204731463</v>
      </c>
      <c r="Q125" s="45" t="n">
        <f aca="false">F125*ESTACIONALIDAD!$I$14+G125*ESTACIONALIDAD!$I$15+H125*ESTACIONALIDAD!$I$16+I125*ESTACIONALIDAD!$I$17</f>
        <v>59.7975350050447</v>
      </c>
      <c r="R125" s="45" t="n">
        <f aca="false">F125*ESTACIONALIDAD!$J$14+G125*ESTACIONALIDAD!$J$15+H125*ESTACIONALIDAD!$J$16+I125*ESTACIONALIDAD!$J$17</f>
        <v>59.7116495963699</v>
      </c>
      <c r="S125" s="45" t="n">
        <f aca="false">F125*ESTACIONALIDAD!$K$14+G125*ESTACIONALIDAD!$K$15+H125*ESTACIONALIDAD!$K$16+I125*ESTACIONALIDAD!$K$17</f>
        <v>55.9036995868984</v>
      </c>
      <c r="T125" s="45" t="n">
        <f aca="false">F125*ESTACIONALIDAD!$L$14+G125*ESTACIONALIDAD!$L$15+H125*ESTACIONALIDAD!$L$16+I125*ESTACIONALIDAD!$L$17</f>
        <v>52.1853605339492</v>
      </c>
      <c r="U125" s="45" t="n">
        <f aca="false">F125*ESTACIONALIDAD!$M$14+G125*ESTACIONALIDAD!$M$15+H125*ESTACIONALIDAD!$M$16+I125*ESTACIONALIDAD!$M$17</f>
        <v>81.4753651386628</v>
      </c>
      <c r="V125" s="45" t="n">
        <f aca="false">MAX(J125:U125)</f>
        <v>81.4753651386628</v>
      </c>
      <c r="W125" s="46" t="n">
        <f aca="false">E125/INDEX(P_VAL,MATCH("DH_AÑO",P_ID,0))</f>
        <v>3.10539836416667</v>
      </c>
      <c r="X125" s="46" t="n">
        <f aca="false">V125/INDEX(P_VAL,MATCH("DH_MES",P_ID,0))</f>
        <v>4.07376825693314</v>
      </c>
      <c r="Y125" s="25" t="n">
        <f aca="false">INDEX(C_TAB,MATCH($A125,C_COD,0),12)</f>
        <v>15</v>
      </c>
      <c r="Z125" s="46" t="n">
        <f aca="false">(X125-W125)*Y125</f>
        <v>14.5255483914971</v>
      </c>
      <c r="AA125" s="45" t="n">
        <f aca="false">W125*Y125+Z125</f>
        <v>61.1065238539971</v>
      </c>
      <c r="AB125" s="25" t="n">
        <f aca="false">INDEX(C_TAB,MATCH($A125,C_COD,0),15)</f>
        <v>10</v>
      </c>
      <c r="AC125" s="45" t="n">
        <f aca="false">INDEX(C_TAB,MATCH($A125,C_COD,0),11)</f>
        <v>1</v>
      </c>
      <c r="AD125" s="45" t="n">
        <f aca="false">MAX(AC125,CEILING(X125*AB125,AC125))</f>
        <v>41</v>
      </c>
      <c r="AE125" s="25" t="n">
        <f aca="false">AD125/AC125</f>
        <v>41</v>
      </c>
      <c r="AF125" s="45" t="n">
        <f aca="false">Z125+AD125</f>
        <v>55.5255483914971</v>
      </c>
      <c r="AG125" s="25" t="n">
        <f aca="false">ROUNDUP(AF125/AC125,0)</f>
        <v>56</v>
      </c>
      <c r="AH125" s="45" t="n">
        <f aca="false">IF(W125&gt;0,AF125/W125,0)</f>
        <v>17.8803302765304</v>
      </c>
      <c r="AI125" s="25" t="n">
        <f aca="false">IF(AD125&gt;0,E125/AD125,0)</f>
        <v>18.1779416439024</v>
      </c>
      <c r="AJ125" s="25" t="n">
        <f aca="false">INDEX(C_TAB,MATCH($A125,C_COD,0),16)</f>
        <v>40</v>
      </c>
      <c r="AK125" s="47" t="n">
        <f aca="false">IF(AJ125&gt;0,AG125/AJ125,0)</f>
        <v>1.4</v>
      </c>
      <c r="AL125" s="45" t="n">
        <f aca="false">INDEX(C_TAB,MATCH($A125,C_COD,0),17)</f>
        <v>0.73</v>
      </c>
      <c r="AM125" s="45" t="n">
        <f aca="false">AK125*AL125</f>
        <v>1.022</v>
      </c>
    </row>
    <row r="126" customFormat="false" ht="15" hidden="false" customHeight="false" outlineLevel="0" collapsed="false">
      <c r="A126" s="24" t="s">
        <v>1340</v>
      </c>
      <c r="B126" s="24" t="str">
        <f aca="false">INDEX(C_TAB,MATCH($A126,C_COD,0),2)</f>
        <v>Matafuego Clase D 9 l terminado (reventa)</v>
      </c>
      <c r="C126" s="24" t="str">
        <f aca="false">INDEX(C_TAB,MATCH($A126,C_COD,0),3)</f>
        <v>u</v>
      </c>
      <c r="D126" s="24" t="str">
        <f aca="false">INDEX(C_TAB,MATCH($A126,C_COD,0),6)</f>
        <v>Equipos revendidos (almacén de PT)</v>
      </c>
      <c r="E126" s="45" t="n">
        <f aca="false">CONSOLIDADO_INSUMOS!T348</f>
        <v>277.5940374</v>
      </c>
      <c r="F126" s="45" t="n">
        <f aca="false">SUMIFS(CONSOLIDADO_INSUMOS!$T$4:$T$350,CONSOLIDADO_INSUMOS!$B$4:$B$350,$A126,CONSOLIDADO_INSUMOS!$H$4:$H$350,"MANUALES")</f>
        <v>0</v>
      </c>
      <c r="G126" s="45" t="n">
        <f aca="false">SUMIFS(CONSOLIDADO_INSUMOS!$T$4:$T$350,CONSOLIDADO_INSUMOS!$B$4:$B$350,$A126,CONSOLIDADO_INSUMOS!$H$4:$H$350,"RODANTES")</f>
        <v>0</v>
      </c>
      <c r="H126" s="45" t="n">
        <f aca="false">SUMIFS(CONSOLIDADO_INSUMOS!$T$4:$T$350,CONSOLIDADO_INSUMOS!$B$4:$B$350,$A126,CONSOLIDADO_INSUMOS!$H$4:$H$350,"RECARGAS")</f>
        <v>0.25</v>
      </c>
      <c r="I126" s="45" t="n">
        <f aca="false">SUMIFS(CONSOLIDADO_INSUMOS!$T$4:$T$350,CONSOLIDADO_INSUMOS!$B$4:$B$350,$A126,CONSOLIDADO_INSUMOS!$H$4:$H$350,"REVENDIDOS")</f>
        <v>277.3440374</v>
      </c>
      <c r="J126" s="45" t="n">
        <f aca="false">F126*ESTACIONALIDAD!$B$14+G126*ESTACIONALIDAD!$B$15+H126*ESTACIONALIDAD!$B$16+I126*ESTACIONALIDAD!$B$17</f>
        <v>27.6621477675328</v>
      </c>
      <c r="K126" s="45" t="n">
        <f aca="false">F126*ESTACIONALIDAD!$C$14+G126*ESTACIONALIDAD!$C$15+H126*ESTACIONALIDAD!$C$16+I126*ESTACIONALIDAD!$C$17</f>
        <v>22.1752311134649</v>
      </c>
      <c r="L126" s="45" t="n">
        <f aca="false">F126*ESTACIONALIDAD!$D$14+G126*ESTACIONALIDAD!$D$15+H126*ESTACIONALIDAD!$D$16+I126*ESTACIONALIDAD!$D$17</f>
        <v>23.6266116701931</v>
      </c>
      <c r="M126" s="45" t="n">
        <f aca="false">F126*ESTACIONALIDAD!$E$14+G126*ESTACIONALIDAD!$E$15+H126*ESTACIONALIDAD!$E$16+I126*ESTACIONALIDAD!$E$17</f>
        <v>23.6260303726481</v>
      </c>
      <c r="N126" s="45" t="n">
        <f aca="false">F126*ESTACIONALIDAD!$F$14+G126*ESTACIONALIDAD!$F$15+H126*ESTACIONALIDAD!$F$16+I126*ESTACIONALIDAD!$F$17</f>
        <v>22.2707431932972</v>
      </c>
      <c r="O126" s="45" t="n">
        <f aca="false">F126*ESTACIONALIDAD!$G$14+G126*ESTACIONALIDAD!$G$15+H126*ESTACIONALIDAD!$G$16+I126*ESTACIONALIDAD!$G$17</f>
        <v>20.8513937623615</v>
      </c>
      <c r="P126" s="45" t="n">
        <f aca="false">F126*ESTACIONALIDAD!$H$14+G126*ESTACIONALIDAD!$H$15+H126*ESTACIONALIDAD!$H$16+I126*ESTACIONALIDAD!$H$17</f>
        <v>22.2713581320389</v>
      </c>
      <c r="Q126" s="45" t="n">
        <f aca="false">F126*ESTACIONALIDAD!$I$14+G126*ESTACIONALIDAD!$I$15+H126*ESTACIONALIDAD!$I$16+I126*ESTACIONALIDAD!$I$17</f>
        <v>22.2719057883871</v>
      </c>
      <c r="R126" s="45" t="n">
        <f aca="false">F126*ESTACIONALIDAD!$J$14+G126*ESTACIONALIDAD!$J$15+H126*ESTACIONALIDAD!$J$16+I126*ESTACIONALIDAD!$J$17</f>
        <v>22.2398746625947</v>
      </c>
      <c r="S126" s="45" t="n">
        <f aca="false">F126*ESTACIONALIDAD!$K$14+G126*ESTACIONALIDAD!$K$15+H126*ESTACIONALIDAD!$K$16+I126*ESTACIONALIDAD!$K$17</f>
        <v>20.8205420522573</v>
      </c>
      <c r="T126" s="45" t="n">
        <f aca="false">F126*ESTACIONALIDAD!$L$14+G126*ESTACIONALIDAD!$L$15+H126*ESTACIONALIDAD!$L$16+I126*ESTACIONALIDAD!$L$17</f>
        <v>19.433805044659</v>
      </c>
      <c r="U126" s="45" t="n">
        <f aca="false">F126*ESTACIONALIDAD!$M$14+G126*ESTACIONALIDAD!$M$15+H126*ESTACIONALIDAD!$M$16+I126*ESTACIONALIDAD!$M$17</f>
        <v>30.3443938405654</v>
      </c>
      <c r="V126" s="45" t="n">
        <f aca="false">MAX(J126:U126)</f>
        <v>30.3443938405654</v>
      </c>
      <c r="W126" s="46" t="n">
        <f aca="false">E126/INDEX(P_VAL,MATCH("DH_AÑO",P_ID,0))</f>
        <v>1.1566418225</v>
      </c>
      <c r="X126" s="46" t="n">
        <f aca="false">V126/INDEX(P_VAL,MATCH("DH_MES",P_ID,0))</f>
        <v>1.51721969202827</v>
      </c>
      <c r="Y126" s="25" t="n">
        <f aca="false">INDEX(C_TAB,MATCH($A126,C_COD,0),12)</f>
        <v>15</v>
      </c>
      <c r="Z126" s="46" t="n">
        <f aca="false">(X126-W126)*Y126</f>
        <v>5.40866804292404</v>
      </c>
      <c r="AA126" s="45" t="n">
        <f aca="false">W126*Y126+Z126</f>
        <v>22.758295380424</v>
      </c>
      <c r="AB126" s="25" t="n">
        <f aca="false">INDEX(C_TAB,MATCH($A126,C_COD,0),15)</f>
        <v>10</v>
      </c>
      <c r="AC126" s="45" t="n">
        <f aca="false">INDEX(C_TAB,MATCH($A126,C_COD,0),11)</f>
        <v>1</v>
      </c>
      <c r="AD126" s="45" t="n">
        <f aca="false">MAX(AC126,CEILING(X126*AB126,AC126))</f>
        <v>16</v>
      </c>
      <c r="AE126" s="25" t="n">
        <f aca="false">AD126/AC126</f>
        <v>16</v>
      </c>
      <c r="AF126" s="45" t="n">
        <f aca="false">Z126+AD126</f>
        <v>21.408668042924</v>
      </c>
      <c r="AG126" s="25" t="n">
        <f aca="false">ROUNDUP(AF126/AC126,0)</f>
        <v>22</v>
      </c>
      <c r="AH126" s="45" t="n">
        <f aca="false">IF(W126&gt;0,AF126/W126,0)</f>
        <v>18.5093324713529</v>
      </c>
      <c r="AI126" s="25" t="n">
        <f aca="false">IF(AD126&gt;0,E126/AD126,0)</f>
        <v>17.3496273375</v>
      </c>
      <c r="AJ126" s="25" t="n">
        <f aca="false">INDEX(C_TAB,MATCH($A126,C_COD,0),16)</f>
        <v>24</v>
      </c>
      <c r="AK126" s="47" t="n">
        <f aca="false">IF(AJ126&gt;0,AG126/AJ126,0)</f>
        <v>0.916666666666667</v>
      </c>
      <c r="AL126" s="45" t="n">
        <f aca="false">INDEX(C_TAB,MATCH($A126,C_COD,0),17)</f>
        <v>0.73</v>
      </c>
      <c r="AM126" s="45" t="n">
        <f aca="false">AK126*AL126</f>
        <v>0.669166666666667</v>
      </c>
    </row>
    <row r="128" customFormat="false" ht="15" hidden="false" customHeight="false" outlineLevel="0" collapsed="false">
      <c r="B128" s="13" t="s">
        <v>3882</v>
      </c>
    </row>
    <row r="129" customFormat="false" ht="31.5" hidden="false" customHeight="true" outlineLevel="0" collapsed="false">
      <c r="A129" s="3"/>
      <c r="B129" s="3" t="s">
        <v>1950</v>
      </c>
      <c r="C129" s="3"/>
      <c r="D129" s="3"/>
      <c r="E129" s="3" t="s">
        <v>3883</v>
      </c>
      <c r="F129" s="3" t="s">
        <v>3884</v>
      </c>
      <c r="G129" s="3" t="s">
        <v>3885</v>
      </c>
      <c r="H129" s="3" t="s">
        <v>3886</v>
      </c>
      <c r="I129" s="3" t="s">
        <v>3887</v>
      </c>
    </row>
    <row r="130" customFormat="false" ht="15" hidden="false" customHeight="false" outlineLevel="0" collapsed="false">
      <c r="A130" s="24"/>
      <c r="B130" s="24" t="s">
        <v>1964</v>
      </c>
      <c r="C130" s="24"/>
      <c r="D130" s="24"/>
      <c r="E130" s="25" t="n">
        <f aca="false">ROUNDUP(SUMIF($D$4:$D$126,B130,$AK$4:$AK$126),0)</f>
        <v>12</v>
      </c>
      <c r="F130" s="24"/>
      <c r="G130" s="24" t="s">
        <v>3888</v>
      </c>
      <c r="H130" s="45" t="n">
        <f aca="false">SUMIF($D$4:$D$126,B130,$AM$4:$AM$126)</f>
        <v>11.6</v>
      </c>
      <c r="I130" s="24"/>
    </row>
    <row r="131" customFormat="false" ht="15" hidden="false" customHeight="false" outlineLevel="0" collapsed="false">
      <c r="A131" s="24"/>
      <c r="B131" s="24" t="s">
        <v>1973</v>
      </c>
      <c r="C131" s="24"/>
      <c r="D131" s="24"/>
      <c r="E131" s="25" t="n">
        <f aca="false">ROUNDUP(SUMIF($D$4:$D$126,B131,$AK$4:$AK$126),0)</f>
        <v>24</v>
      </c>
      <c r="F131" s="24"/>
      <c r="G131" s="24" t="s">
        <v>3888</v>
      </c>
      <c r="H131" s="45" t="n">
        <f aca="false">SUMIF($D$4:$D$126,B131,$AM$4:$AM$126)</f>
        <v>31.48</v>
      </c>
      <c r="I131" s="24"/>
    </row>
    <row r="132" customFormat="false" ht="15" hidden="false" customHeight="false" outlineLevel="0" collapsed="false">
      <c r="A132" s="24"/>
      <c r="B132" s="24" t="s">
        <v>2008</v>
      </c>
      <c r="C132" s="24"/>
      <c r="D132" s="24"/>
      <c r="E132" s="25" t="n">
        <f aca="false">ROUNDUP(SUMIF($D$4:$D$126,B132,$AK$4:$AK$126),0)</f>
        <v>2</v>
      </c>
      <c r="F132" s="24" t="n">
        <v>3</v>
      </c>
      <c r="G132" s="24" t="str">
        <f aca="false">IF(E132&lt;=F132,"Alcanza","No alcanza: ampliar")</f>
        <v>Alcanza</v>
      </c>
      <c r="H132" s="45" t="n">
        <f aca="false">SUMIF($D$4:$D$126,B132,$AM$4:$AM$126)</f>
        <v>9</v>
      </c>
      <c r="I132" s="24" t="s">
        <v>3889</v>
      </c>
    </row>
    <row r="133" customFormat="false" ht="15" hidden="false" customHeight="false" outlineLevel="0" collapsed="false">
      <c r="A133" s="24"/>
      <c r="B133" s="24" t="s">
        <v>2015</v>
      </c>
      <c r="C133" s="24"/>
      <c r="D133" s="24"/>
      <c r="E133" s="25" t="n">
        <f aca="false">ROUNDUP(SUMIF($D$4:$D$126,B133,$AK$4:$AK$126),0)</f>
        <v>8</v>
      </c>
      <c r="F133" s="24" t="n">
        <v>12</v>
      </c>
      <c r="G133" s="24" t="str">
        <f aca="false">IF(E133&lt;=F133,"Alcanza","No alcanza: ampliar")</f>
        <v>Alcanza</v>
      </c>
      <c r="H133" s="45" t="n">
        <f aca="false">SUMIF($D$4:$D$126,B133,$AM$4:$AM$126)</f>
        <v>5.475</v>
      </c>
      <c r="I133" s="24" t="s">
        <v>3890</v>
      </c>
    </row>
    <row r="134" customFormat="false" ht="15" hidden="false" customHeight="false" outlineLevel="0" collapsed="false">
      <c r="A134" s="24"/>
      <c r="B134" s="24" t="s">
        <v>2030</v>
      </c>
      <c r="C134" s="24"/>
      <c r="D134" s="24"/>
      <c r="E134" s="25" t="n">
        <f aca="false">ROUNDUP(SUMIF($D$4:$D$126,B134,$AK$4:$AK$126),0)</f>
        <v>33</v>
      </c>
      <c r="F134" s="24"/>
      <c r="G134" s="24" t="s">
        <v>3888</v>
      </c>
      <c r="H134" s="45" t="n">
        <f aca="false">SUMIF($D$4:$D$126,B134,$AM$4:$AM$126)</f>
        <v>23.8941166666667</v>
      </c>
      <c r="I134" s="24"/>
    </row>
    <row r="135" customFormat="false" ht="15" hidden="false" customHeight="false" outlineLevel="0" collapsed="false">
      <c r="A135" s="24"/>
      <c r="B135" s="24" t="s">
        <v>2058</v>
      </c>
      <c r="C135" s="24"/>
      <c r="D135" s="24"/>
      <c r="E135" s="25" t="n">
        <f aca="false">ROUNDUP(SUMIF($D$4:$D$126,B135,$AK$4:$AK$126),0)</f>
        <v>9</v>
      </c>
      <c r="F135" s="24" t="n">
        <v>8</v>
      </c>
      <c r="G135" s="24" t="str">
        <f aca="false">IF(E135&lt;=F135,"Alcanza","No alcanza: ampliar")</f>
        <v>No alcanza: ampliar</v>
      </c>
      <c r="H135" s="45" t="n">
        <f aca="false">SUMIF($D$4:$D$126,B135,$AM$4:$AM$126)</f>
        <v>6.36803333333333</v>
      </c>
      <c r="I135" s="24" t="s">
        <v>3891</v>
      </c>
    </row>
    <row r="136" customFormat="false" ht="15" hidden="false" customHeight="false" outlineLevel="0" collapsed="false">
      <c r="A136" s="24"/>
      <c r="B136" s="24" t="s">
        <v>2062</v>
      </c>
      <c r="C136" s="24"/>
      <c r="D136" s="24"/>
      <c r="E136" s="25" t="n">
        <f aca="false">ROUNDUP(SUMIF($D$4:$D$126,B136,$AK$4:$AK$126),0)</f>
        <v>10</v>
      </c>
      <c r="F136" s="24"/>
      <c r="G136" s="24" t="s">
        <v>3888</v>
      </c>
      <c r="H136" s="45" t="n">
        <f aca="false">SUMIF($D$4:$D$126,B136,$AM$4:$AM$126)</f>
        <v>9.00933333333333</v>
      </c>
      <c r="I136" s="24"/>
    </row>
    <row r="137" customFormat="false" ht="15" hidden="false" customHeight="false" outlineLevel="0" collapsed="false">
      <c r="A137" s="24"/>
      <c r="B137" s="24" t="s">
        <v>2071</v>
      </c>
      <c r="C137" s="24"/>
      <c r="D137" s="24"/>
      <c r="E137" s="25" t="n">
        <f aca="false">ROUNDUP(SUMIF($D$4:$D$126,B137,$AK$4:$AK$126),0)</f>
        <v>19</v>
      </c>
      <c r="F137" s="24"/>
      <c r="G137" s="24" t="s">
        <v>3888</v>
      </c>
      <c r="H137" s="45" t="n">
        <f aca="false">SUMIF($D$4:$D$126,B137,$AM$4:$AM$126)</f>
        <v>10.3</v>
      </c>
      <c r="I137" s="24"/>
    </row>
    <row r="138" customFormat="false" ht="15" hidden="false" customHeight="false" outlineLevel="0" collapsed="false">
      <c r="A138" s="24"/>
      <c r="B138" s="24" t="s">
        <v>2080</v>
      </c>
      <c r="C138" s="24"/>
      <c r="D138" s="24"/>
      <c r="E138" s="25" t="n">
        <f aca="false">ROUNDUP(SUMIF($D$4:$D$126,B138,$AK$4:$AK$126),0)</f>
        <v>5</v>
      </c>
      <c r="F138" s="24"/>
      <c r="G138" s="24" t="s">
        <v>3888</v>
      </c>
      <c r="H138" s="45" t="n">
        <f aca="false">SUMIF($D$4:$D$126,B138,$AM$4:$AM$126)</f>
        <v>4.62686666666667</v>
      </c>
      <c r="I138" s="24"/>
    </row>
    <row r="139" customFormat="false" ht="15" hidden="false" customHeight="false" outlineLevel="0" collapsed="false">
      <c r="A139" s="24"/>
      <c r="B139" s="24" t="s">
        <v>2150</v>
      </c>
      <c r="C139" s="24"/>
      <c r="D139" s="24"/>
      <c r="E139" s="25" t="n">
        <f aca="false">ROUNDUP(SUMIF($D$4:$D$126,B139,$AK$4:$AK$126),0)</f>
        <v>12</v>
      </c>
      <c r="F139" s="24"/>
      <c r="G139" s="24" t="s">
        <v>3888</v>
      </c>
      <c r="H139" s="45" t="n">
        <f aca="false">SUMIF($D$4:$D$126,B139,$AM$4:$AM$126)</f>
        <v>7.03495</v>
      </c>
      <c r="I139" s="24"/>
    </row>
    <row r="140" customFormat="false" ht="15" hidden="false" customHeight="false" outlineLevel="0" collapsed="false">
      <c r="A140" s="24"/>
      <c r="B140" s="24" t="s">
        <v>2167</v>
      </c>
      <c r="C140" s="24"/>
      <c r="D140" s="24"/>
      <c r="E140" s="25" t="n">
        <f aca="false">ROUNDUP(SUMIF($D$4:$D$126,B140,$AK$4:$AK$126),0)</f>
        <v>4</v>
      </c>
      <c r="F140" s="24"/>
      <c r="G140" s="24" t="s">
        <v>3888</v>
      </c>
      <c r="H140" s="45" t="n">
        <f aca="false">SUMIF($D$4:$D$126,B140,$AM$4:$AM$126)</f>
        <v>2.774</v>
      </c>
      <c r="I140" s="24"/>
    </row>
    <row r="141" customFormat="false" ht="15" hidden="false" customHeight="false" outlineLevel="0" collapsed="false">
      <c r="A141" s="24"/>
      <c r="B141" s="24" t="s">
        <v>2223</v>
      </c>
      <c r="C141" s="24"/>
      <c r="D141" s="24"/>
      <c r="E141" s="25" t="n">
        <f aca="false">ROUNDUP(SUMIF($D$4:$D$126,B141,$AK$4:$AK$126),0)</f>
        <v>50</v>
      </c>
      <c r="F141" s="24"/>
      <c r="G141" s="24" t="s">
        <v>3888</v>
      </c>
      <c r="H141" s="45" t="n">
        <f aca="false">SUMIF($D$4:$D$126,B141,$AM$4:$AM$126)</f>
        <v>58.5389</v>
      </c>
      <c r="I141" s="24"/>
    </row>
    <row r="142" customFormat="false" ht="15" hidden="false" customHeight="false" outlineLevel="0" collapsed="false">
      <c r="A142" s="24"/>
      <c r="B142" s="24" t="s">
        <v>2260</v>
      </c>
      <c r="C142" s="24"/>
      <c r="D142" s="24"/>
      <c r="E142" s="25" t="n">
        <f aca="false">ROUNDUP(SUMIF($D$4:$D$126,B142,$AK$4:$AK$126),0)</f>
        <v>58</v>
      </c>
      <c r="F142" s="24"/>
      <c r="G142" s="24" t="s">
        <v>3888</v>
      </c>
      <c r="H142" s="45" t="n">
        <f aca="false">SUMIF($D$4:$D$126,B142,$AM$4:$AM$126)</f>
        <v>42.1270833333333</v>
      </c>
      <c r="I142" s="24"/>
    </row>
  </sheetData>
  <autoFilter ref="A3:AM12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2026-10-12T20:23:07Z</dcterms:created>
  <dc:creator>openpyxl</dc:creator>
  <dc:description/>
  <dc:language>en-US</dc:language>
  <cp:lastModifiedBy/>
  <dcterms:modified xsi:type="dcterms:W3CDTF">2026-10-12T20:23:17Z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